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Q366BX\Downloads\"/>
    </mc:Choice>
  </mc:AlternateContent>
  <xr:revisionPtr revIDLastSave="0" documentId="13_ncr:1_{92C07D08-A6CD-4F5E-9DEC-3AADB3355AC4}" xr6:coauthVersionLast="47" xr6:coauthVersionMax="47" xr10:uidLastSave="{00000000-0000-0000-0000-000000000000}"/>
  <bookViews>
    <workbookView xWindow="-120" yWindow="-16320" windowWidth="29040" windowHeight="15720" tabRatio="900" firstSheet="8" activeTab="8" xr2:uid="{26DA6E99-C18A-473E-AD7B-5A0876724E69}"/>
  </bookViews>
  <sheets>
    <sheet name="유통리스트 관리 ▶" sheetId="10" r:id="rId1"/>
    <sheet name="Sheet3" sheetId="18" state="hidden" r:id="rId2"/>
    <sheet name="Sheet4" sheetId="19" state="hidden" r:id="rId3"/>
    <sheet name="Sheet5" sheetId="20" state="hidden" r:id="rId4"/>
    <sheet name="1_OSM Market Status" sheetId="31" r:id="rId5"/>
    <sheet name="수집 범위" sheetId="28" r:id="rId6"/>
    <sheet name="2_Change Log sheet" sheetId="6" r:id="rId7"/>
    <sheet name="유통 별 카테고리 수집 경로 ▶" sheetId="8" r:id="rId8"/>
    <sheet name="수집 URL" sheetId="35" r:id="rId9"/>
    <sheet name="수집 URL(과거)" sheetId="9" r:id="rId10"/>
    <sheet name="수집 키워드" sheetId="30" r:id="rId11"/>
    <sheet name="메모용" sheetId="38" r:id="rId12"/>
    <sheet name="수집 배너" sheetId="12" r:id="rId13"/>
    <sheet name="그 외 참고 ▶" sheetId="13" r:id="rId14"/>
    <sheet name="지역 설정값" sheetId="14" r:id="rId15"/>
    <sheet name="rank 수집제한 리스트 (신,구)" sheetId="22" r:id="rId16"/>
    <sheet name="수집 제한 유통리스트" sheetId="15" r:id="rId17"/>
    <sheet name="LIST 목록 관리" sheetId="4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4" hidden="1">'1_OSM Market Status'!$A$12:$AL$147</definedName>
    <definedName name="_xlnm._FilterDatabase" localSheetId="6" hidden="1">'2_Change Log sheet'!$B$8:$N$37</definedName>
    <definedName name="_xlnm._FilterDatabase" localSheetId="8" hidden="1">'수집 URL'!$A$1:$H$1490</definedName>
    <definedName name="_xlnm._FilterDatabase" localSheetId="9" hidden="1">'수집 URL(과거)'!$A$1:$F$827</definedName>
    <definedName name="_xlnm._FilterDatabase" localSheetId="12" hidden="1">'수집 배너'!$A$1:$I$1321</definedName>
    <definedName name="_xlnm._FilterDatabase" localSheetId="10" hidden="1">'수집 키워드'!$B$8:$O$4173</definedName>
    <definedName name="_Order1" hidden="1">255</definedName>
    <definedName name="_Order2" hidden="1">255</definedName>
    <definedName name="_Regression_Int" hidden="1">1</definedName>
    <definedName name="asd" localSheetId="4" hidden="1">{"'0808_월별 (2)'!$A$2:$T$28"}</definedName>
    <definedName name="asd" hidden="1">{"'0808_월별 (2)'!$A$2:$T$28"}</definedName>
    <definedName name="asd_1" localSheetId="4" hidden="1">{"'0808_월별 (2)'!$A$2:$T$28"}</definedName>
    <definedName name="asd_1" hidden="1">{"'0808_월별 (2)'!$A$2:$T$28"}</definedName>
    <definedName name="banner">'[1]Banner Visibility'!$B$3:$D$27</definedName>
    <definedName name="banner_score">OFFSET([2]Score_Banner!$I$3,0,0,COUNTA([2]Score_Banner!$I:$I)-1, COUNTA([2]Score_Banner!$3:$3)-7)</definedName>
    <definedName name="banner_score_M">OFFSET([3]S_M_Banner!$I$3,0,0,COUNTA([3]S_M_Banner!$I:$I)-1,3)</definedName>
    <definedName name="baseline" localSheetId="4">[4]CSR납기분석!#REF!</definedName>
    <definedName name="baseline">[4]CSR납기분석!#REF!</definedName>
    <definedName name="brand">'[1]Brand Visibility'!$O$4:$Q$52</definedName>
    <definedName name="brand_score">OFFSET([2]Score_Brand!$H$3,0,0,COUNTA([2]Score_Brand!$H:$H)-1, COUNTA([2]Score_Brand!$3:$3)-6)</definedName>
    <definedName name="brand_score_M">OFFSET([3]S_M_Brand!$I$4,0,0,COUNTA([3]S_M_Brand!$I:$I)-1,3)</definedName>
    <definedName name="company_요약" localSheetId="4" hidden="1">{"'0808_월별 (2)'!$A$2:$T$28"}</definedName>
    <definedName name="company_요약" hidden="1">{"'0808_월별 (2)'!$A$2:$T$28"}</definedName>
    <definedName name="company_요약_1" localSheetId="4" hidden="1">{"'0808_월별 (2)'!$A$2:$T$28"}</definedName>
    <definedName name="company_요약_1" hidden="1">{"'0808_월별 (2)'!$A$2:$T$28"}</definedName>
    <definedName name="DD" localSheetId="4" hidden="1">{"'0808_월별 (2)'!$A$2:$T$28"}</definedName>
    <definedName name="DD" hidden="1">{"'0808_월별 (2)'!$A$2:$T$28"}</definedName>
    <definedName name="DD_1" localSheetId="4" hidden="1">{"'0808_월별 (2)'!$A$2:$T$28"}</definedName>
    <definedName name="DD_1" hidden="1">{"'0808_월별 (2)'!$A$2:$T$28"}</definedName>
    <definedName name="EI_A" localSheetId="4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A_1">IF( OR(AND(#REF!&lt;2,#REF!&gt;50), AND(AND(#REF!&gt;=2,#REF!&lt;=5), AND(#REF!&gt;= 20,#REF!&lt;= 50)), AND(#REF!&gt;5, AND(#REF!&gt;= 1,#REF!&lt;= 19)) ),1,0)</definedName>
    <definedName name="EI_A_1_1">IF( OR(AND(#REF!&lt;2,#REF!&gt;50), AND(AND(#REF!&gt;=2,#REF!&lt;=5), AND(#REF!&gt;= 20,#REF!&lt;= 50)), AND(#REF!&gt;5, AND(#REF!&gt;= 1,#REF!&lt;= 19)) ),1,0)</definedName>
    <definedName name="EI_A_1_1_1">IF( OR(AND(#REF!&lt;2,#REF!&gt;50), AND(AND(#REF!&gt;=2,#REF!&lt;=5), AND(#REF!&gt;= 20,#REF!&lt;= 50)), AND(#REF!&gt;5, AND(#REF!&gt;= 1,#REF!&lt;= 19)) ),1,0)</definedName>
    <definedName name="EI_A_2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C_1">IF( OR(AND(AND(#REF!&gt;=2,#REF!&lt;=5),#REF!&gt; 50), AND(#REF!&gt;5,#REF!&gt;=  20) ),1,0)</definedName>
    <definedName name="EI_C_1_1">IF( OR(AND(AND(#REF!&gt;=2,#REF!&lt;=5),#REF!&gt; 50), AND(#REF!&gt;5,#REF!&gt;=  20) ),1,0)</definedName>
    <definedName name="EI_C_1_1_1">IF( OR(AND(AND(#REF!&gt;=2,#REF!&lt;=5),#REF!&gt; 50), AND(#REF!&gt;5,#REF!&gt;=  20) ),1,0)</definedName>
    <definedName name="EI_C_2">IF( OR(AND(AND(#REF!&gt;=2,#REF!&lt;=5),#REF!&gt; 50), AND(#REF!&gt;5,#REF!&gt;=  20) ),1,0)</definedName>
    <definedName name="EI_first_row" localSheetId="4">#REF!</definedName>
    <definedName name="EI_first_row">#REF!</definedName>
    <definedName name="EI_Name" localSheetId="4">#REF!</definedName>
    <definedName name="EI_Name">#REF!</definedName>
    <definedName name="EI_S" localSheetId="4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I_S_1">IF( OR(AND(#REF!&lt;2, AND(#REF!&gt;= 1,#REF!&lt;= 50)), AND(AND(#REF!&gt;=2,#REF!&lt;=5), AND(#REF!&gt;= 1,#REF!&lt;= 19)) ),1,0)</definedName>
    <definedName name="EI_S_1_1">IF( OR(AND(#REF!&lt;2, AND(#REF!&gt;= 1,#REF!&lt;= 50)), AND(AND(#REF!&gt;=2,#REF!&lt;=5), AND(#REF!&gt;= 1,#REF!&lt;= 19)) ),1,0)</definedName>
    <definedName name="EI_S_1_1_1">IF( OR(AND(#REF!&lt;2, AND(#REF!&gt;= 1,#REF!&lt;= 50)), AND(AND(#REF!&gt;=2,#REF!&lt;=5), AND(#REF!&gt;= 1,#REF!&lt;= 19)) ),1,0)</definedName>
    <definedName name="EI_S_2">IF( OR(AND(#REF!&lt;2, AND(#REF!&gt;= 1,#REF!&lt;= 50)), AND(AND(#REF!&gt;=2,#REF!&lt;=5), AND(#REF!&gt;= 1,#REF!&lt;= 19)) ),1,0)</definedName>
    <definedName name="Entity_List" localSheetId="4">#REF!</definedName>
    <definedName name="Entity_List">#REF!</definedName>
    <definedName name="Est_Eff_MDay" localSheetId="4">[5]FPA!#REF!</definedName>
    <definedName name="Est_Eff_MDay">[5]FPA!#REF!</definedName>
    <definedName name="FT_A">IF( OR(AND(#REF!&lt;2,#REF!&gt;50), AND(AND(#REF!&gt;=2,#REF!&lt;=5), AND(#REF!&gt;= 20,#REF!&lt;= 50)), AND(#REF!&gt;5, AND(#REF!&gt;= 1,#REF!&lt;= 19)) ),1,0)</definedName>
    <definedName name="FT_A_1">IF( OR(AND(#REF!&lt;2,#REF!&gt;50), AND(AND(#REF!&gt;=2,#REF!&lt;=5), AND(#REF!&gt;= 20,#REF!&lt;= 50)), AND(#REF!&gt;5, AND(#REF!&gt;= 1,#REF!&lt;= 19)) ),1,0)</definedName>
    <definedName name="FT_A_1_1">IF( OR(AND(#REF!&lt;2,#REF!&gt;50), AND(AND(#REF!&gt;=2,#REF!&lt;=5), AND(#REF!&gt;= 20,#REF!&lt;= 50)), AND(#REF!&gt;5, AND(#REF!&gt;= 1,#REF!&lt;= 19)) ),1,0)</definedName>
    <definedName name="FT_A_1_1_1">IF( OR(AND(#REF!&lt;2,#REF!&gt;50), AND(AND(#REF!&gt;=2,#REF!&lt;=5), AND(#REF!&gt;= 20,#REF!&lt;= 50)), AND(#REF!&gt;5, AND(#REF!&gt;= 1,#REF!&lt;= 19)) ),1,0)</definedName>
    <definedName name="FT_A_2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C_1">IF( OR(AND(AND(#REF!&gt;=2,#REF!&lt;=5),#REF!&gt; 50), AND(#REF!&gt;5,#REF!&gt;=  20) ),1,0)</definedName>
    <definedName name="FT_C_1_1">IF( OR(AND(AND(#REF!&gt;=2,#REF!&lt;=5),#REF!&gt; 50), AND(#REF!&gt;5,#REF!&gt;=  20) ),1,0)</definedName>
    <definedName name="FT_C_1_1_1">IF( OR(AND(AND(#REF!&gt;=2,#REF!&lt;=5),#REF!&gt; 50), AND(#REF!&gt;5,#REF!&gt;=  20) ),1,0)</definedName>
    <definedName name="FT_C_2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T_S_1">IF( OR(AND(#REF!&lt;2, AND(#REF!&gt;= 1,#REF!&lt;= 50)), AND(AND(#REF!&gt;=2,#REF!&lt;=5), AND(#REF!&gt;= 1,#REF!&lt;= 19)) ),1,0)</definedName>
    <definedName name="FT_S_1_1">IF( OR(AND(#REF!&lt;2, AND(#REF!&gt;= 1,#REF!&lt;= 50)), AND(AND(#REF!&gt;=2,#REF!&lt;=5), AND(#REF!&gt;= 1,#REF!&lt;= 19)) ),1,0)</definedName>
    <definedName name="FT_S_1_1_1">IF( OR(AND(#REF!&lt;2, AND(#REF!&gt;= 1,#REF!&lt;= 50)), AND(AND(#REF!&gt;=2,#REF!&lt;=5), AND(#REF!&gt;= 1,#REF!&lt;= 19)) ),1,0)</definedName>
    <definedName name="FT_S_2">IF( OR(AND(#REF!&lt;2, AND(#REF!&gt;= 1,#REF!&lt;= 50)), AND(AND(#REF!&gt;=2,#REF!&lt;=5), AND(#REF!&gt;= 1,#REF!&lt;= 19)) ),1,0)</definedName>
    <definedName name="Function_List" localSheetId="4">#REF!</definedName>
    <definedName name="Function_List">#REF!</definedName>
    <definedName name="HTML_CodePage" hidden="1">949</definedName>
    <definedName name="HTML_Control" localSheetId="4" hidden="1">{"'0808_월별 (2)'!$A$2:$T$28"}</definedName>
    <definedName name="HTML_Control" hidden="1">{"'0808_월별 (2)'!$A$2:$T$28"}</definedName>
    <definedName name="HTML_Control_1" localSheetId="4" hidden="1">{"'0808_월별 (2)'!$A$2:$T$28"}</definedName>
    <definedName name="HTML_Control_1" hidden="1">{"'0808_월별 (2)'!$A$2:$T$28"}</definedName>
    <definedName name="HTML_Description" hidden="1">""</definedName>
    <definedName name="HTML_Email" hidden="1">"white74@lge.com"</definedName>
    <definedName name="HTML_Header" hidden="1">""</definedName>
    <definedName name="HTML_LastUpdate" hidden="1">"00-09-01"</definedName>
    <definedName name="HTML_LineAfter" hidden="1">FALSE</definedName>
    <definedName name="HTML_LineBefore" hidden="1">FALSE</definedName>
    <definedName name="HTML_Name" hidden="1">"박성관"</definedName>
    <definedName name="HTML_OBDlg2" hidden="1">TRUE</definedName>
    <definedName name="HTML_OBDlg4" hidden="1">TRUE</definedName>
    <definedName name="HTML_OS" hidden="1">0</definedName>
    <definedName name="HTML_PathFile" hidden="1">"D:\환율\2001년 사업계획 환율.htm"</definedName>
    <definedName name="HTML_Title" hidden="1">"환율지침(2001년 사업계획)"</definedName>
    <definedName name="Index">'[6]Data Vol'!$B$6:$E$6816</definedName>
    <definedName name="IT_A" localSheetId="4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A_1">IF( OR(AND(#REF!&lt;2,#REF!&gt;15), AND(#REF!=2, AND(#REF!&gt;= 5,#REF!&lt;= 15)), AND(#REF!&gt;2, AND(#REF!&gt;=1,#REF!&lt;= 4)) ),1,0)</definedName>
    <definedName name="IT_A_1_1">IF( OR(AND(#REF!&lt;2,#REF!&gt;15), AND(#REF!=2, AND(#REF!&gt;= 5,#REF!&lt;= 15)), AND(#REF!&gt;2, AND(#REF!&gt;=1,#REF!&lt;= 4)) ),1,0)</definedName>
    <definedName name="IT_A_1_1_1">IF( OR(AND(#REF!&lt;2,#REF!&gt;15), AND(#REF!=2, AND(#REF!&gt;= 5,#REF!&lt;= 15)), AND(#REF!&gt;2, AND(#REF!&gt;=1,#REF!&lt;= 4)) ),1,0)</definedName>
    <definedName name="IT_A_2">IF( OR(AND(#REF!&lt;2,#REF!&gt;15), AND(#REF!=2, AND(#REF!&gt;= 5,#REF!&lt;= 15)), AND(#REF!&gt;2, AND(#REF!&gt;=1,#REF!&lt;= 4)) ),1,0)</definedName>
    <definedName name="IT_C" localSheetId="4">IF( OR(AND(#REF!=2,#REF!&gt; 15), AND(#REF!&gt;2,#REF!&gt;=  5) ),1,0)</definedName>
    <definedName name="IT_C">IF( OR(AND(#REF!=2,#REF!&gt; 15), AND(#REF!&gt;2,#REF!&gt;=  5) ),1,0)</definedName>
    <definedName name="IT_C_1">IF( OR(AND(#REF!=2,#REF!&gt; 15), AND(#REF!&gt;2,#REF!&gt;=  5) ),1,0)</definedName>
    <definedName name="IT_C_1_1">IF( OR(AND(#REF!=2,#REF!&gt; 15), AND(#REF!&gt;2,#REF!&gt;=  5) ),1,0)</definedName>
    <definedName name="IT_C_1_1_1">IF( OR(AND(#REF!=2,#REF!&gt; 15), AND(#REF!&gt;2,#REF!&gt;=  5) ),1,0)</definedName>
    <definedName name="IT_C_2">IF( OR(AND(#REF!=2,#REF!&gt; 15), AND(#REF!&gt;2,#REF!&gt;=  5) ),1,0)</definedName>
    <definedName name="IT_S">IF( OR(AND(#REF!&lt;2, AND(#REF!&gt;= 1,#REF!&lt;= 15)), AND(#REF!=2, AND(#REF!&gt;= 1,#REF!&lt;= 4)) ),1,0)</definedName>
    <definedName name="IT_S_1">IF( OR(AND(#REF!&lt;2, AND(#REF!&gt;= 1,#REF!&lt;= 15)), AND(#REF!=2, AND(#REF!&gt;= 1,#REF!&lt;= 4)) ),1,0)</definedName>
    <definedName name="IT_S_1_1">IF( OR(AND(#REF!&lt;2, AND(#REF!&gt;= 1,#REF!&lt;= 15)), AND(#REF!=2, AND(#REF!&gt;= 1,#REF!&lt;= 4)) ),1,0)</definedName>
    <definedName name="IT_S_1_1_1">IF( OR(AND(#REF!&lt;2, AND(#REF!&gt;= 1,#REF!&lt;= 15)), AND(#REF!=2, AND(#REF!&gt;= 1,#REF!&lt;= 4)) ),1,0)</definedName>
    <definedName name="IT_S_2">IF( OR(AND(#REF!&lt;2, AND(#REF!&gt;= 1,#REF!&lt;= 15)), AND(#REF!=2, AND(#REF!&gt;= 1,#REF!&lt;= 4)) ),1,0)</definedName>
    <definedName name="itsa_ratio_nrec">[7]공수견적!#REF!</definedName>
    <definedName name="itsa_ratio_rec">[5]순수개발!#REF!</definedName>
    <definedName name="LastRow" localSheetId="4">#REF!</definedName>
    <definedName name="LastRow">#REF!</definedName>
    <definedName name="major">[3]Validation!$N$15:$N$20</definedName>
    <definedName name="mobile">OFFSET([8]Refined_V!$B$4,0,0,14,COUNTA([8]Refined_V!$4:$4)-1)</definedName>
    <definedName name="Modifier" localSheetId="4">#REF!</definedName>
    <definedName name="Modifier">#REF!</definedName>
    <definedName name="OT_A" localSheetId="4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A_1">IF( OR(AND(#REF!&lt;2,#REF!&gt;19), AND(AND(#REF!&gt;=2,#REF!&lt;= 3), AND(#REF!&gt;= 6,#REF!&lt;= 19)), AND(#REF!&gt;3, AND(#REF!&gt;= 1,#REF!&lt;= 5)) ),1,0)</definedName>
    <definedName name="OT_A_1_1">IF( OR(AND(#REF!&lt;2,#REF!&gt;19), AND(AND(#REF!&gt;=2,#REF!&lt;= 3), AND(#REF!&gt;= 6,#REF!&lt;= 19)), AND(#REF!&gt;3, AND(#REF!&gt;= 1,#REF!&lt;= 5)) ),1,0)</definedName>
    <definedName name="OT_A_1_1_1">IF( OR(AND(#REF!&lt;2,#REF!&gt;19), AND(AND(#REF!&gt;=2,#REF!&lt;= 3), AND(#REF!&gt;= 6,#REF!&lt;= 19)), AND(#REF!&gt;3, AND(#REF!&gt;= 1,#REF!&lt;= 5)) ),1,0)</definedName>
    <definedName name="OT_A_2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C_1">IF( OR(AND(AND(#REF!&gt;=2,#REF!&lt;=3),#REF!&gt; 19), AND(#REF!&gt;3,#REF!&gt;=  6) ),1,0)</definedName>
    <definedName name="OT_C_1_1">IF( OR(AND(AND(#REF!&gt;=2,#REF!&lt;=3),#REF!&gt; 19), AND(#REF!&gt;3,#REF!&gt;=  6) ),1,0)</definedName>
    <definedName name="OT_C_1_1_1">IF( OR(AND(AND(#REF!&gt;=2,#REF!&lt;=3),#REF!&gt; 19), AND(#REF!&gt;3,#REF!&gt;=  6) ),1,0)</definedName>
    <definedName name="OT_C_2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_S_1">IF( OR(AND(#REF!&lt;2, AND(#REF!&gt;= 1,#REF!&lt;= 19)), AND(AND(#REF!&gt;=2,#REF!&lt;=3), AND(#REF!&gt;= 1,#REF!&lt;= 5)) ),1,0)</definedName>
    <definedName name="OT_S_1_1">IF( OR(AND(#REF!&lt;2, AND(#REF!&gt;= 1,#REF!&lt;= 19)), AND(AND(#REF!&gt;=2,#REF!&lt;=3), AND(#REF!&gt;= 1,#REF!&lt;= 5)) ),1,0)</definedName>
    <definedName name="OT_S_1_1_1">IF( OR(AND(#REF!&lt;2, AND(#REF!&gt;= 1,#REF!&lt;= 19)), AND(AND(#REF!&gt;=2,#REF!&lt;=3), AND(#REF!&gt;= 1,#REF!&lt;= 5)) ),1,0)</definedName>
    <definedName name="OT_S_2">IF( OR(AND(#REF!&lt;2, AND(#REF!&gt;= 1,#REF!&lt;= 19)), AND(AND(#REF!&gt;=2,#REF!&lt;=3), AND(#REF!&gt;= 1,#REF!&lt;= 5)) ),1,0)</definedName>
    <definedName name="PC">OFFSET([8]Refined_V!$B$18,0,0,32,COUNTA([8]Refined_V!$18:$18)-1)</definedName>
    <definedName name="pdp_score">OFFSET([2]Score_Sales_raw!$Q$4,0,0,COUNTA([2]Score_Sales_raw!$Q:$Q)-1, COUNTA([2]Score_Sales_raw!$4:$4)-15)</definedName>
    <definedName name="pdp_score_M">OFFSET([3]S_M_Sales!$S$4,0,0,COUNTA([3]S_M_Sales!$S:$S)-1, 15)</definedName>
    <definedName name="Prod_Mobile">OFFSET([8]Refined_V!$B$56,0,0,6,COUNTA([8]Refined_V!$55:$55))</definedName>
    <definedName name="Prod_PC">OFFSET([8]Refined_V!$B$62,0,0,6,COUNTA([8]Refined_V!$55:$55))</definedName>
    <definedName name="product">'[1]Product Visibility'!$I$4:$K$43</definedName>
    <definedName name="product_score">OFFSET([2]Score_Product!$H$3,0,0,COUNTA([2]Score_Product!$H:$H)-1, COUNTA([2]Score_Product!$3:$3)-6)</definedName>
    <definedName name="product_score_M">OFFSET([3]S_M_Product!$H$3,0,0,COUNTA([3]S_M_Product!$H:$H)-1, 3)</definedName>
    <definedName name="QT_A" localSheetId="4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A_1">IF( OR(AND(#REF!&lt;2,#REF!&gt;19), AND(AND(#REF!&gt;=2,#REF!&lt;= 3), AND(#REF!&gt;= 6,#REF!&lt;= 19)), AND(#REF!&gt;3, AND(#REF!&gt;= 1,#REF!&lt;= 5)) ),1,0)</definedName>
    <definedName name="QT_A_1_1">IF( OR(AND(#REF!&lt;2,#REF!&gt;19), AND(AND(#REF!&gt;=2,#REF!&lt;= 3), AND(#REF!&gt;= 6,#REF!&lt;= 19)), AND(#REF!&gt;3, AND(#REF!&gt;= 1,#REF!&lt;= 5)) ),1,0)</definedName>
    <definedName name="QT_A_1_1_1">IF( OR(AND(#REF!&lt;2,#REF!&gt;19), AND(AND(#REF!&gt;=2,#REF!&lt;= 3), AND(#REF!&gt;= 6,#REF!&lt;= 19)), AND(#REF!&gt;3, AND(#REF!&gt;= 1,#REF!&lt;= 5)) ),1,0)</definedName>
    <definedName name="QT_A_2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C_1">IF( OR(AND(AND(#REF!&gt;=2,#REF!&lt;=3),#REF!&gt; 19), AND(#REF!&gt;3,#REF!&gt;=  6) ),1,0)</definedName>
    <definedName name="QT_C_1_1">IF( OR(AND(AND(#REF!&gt;=2,#REF!&lt;=3),#REF!&gt; 19), AND(#REF!&gt;3,#REF!&gt;=  6) ),1,0)</definedName>
    <definedName name="QT_C_1_1_1">IF( OR(AND(AND(#REF!&gt;=2,#REF!&lt;=3),#REF!&gt; 19), AND(#REF!&gt;3,#REF!&gt;=  6) ),1,0)</definedName>
    <definedName name="QT_C_2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T_S_1">IF( OR(AND(#REF!&lt;2, AND(#REF!&gt;= 1,#REF!&lt;= 19)), AND(AND(#REF!&gt;=2,#REF!&lt;=3), AND(#REF!&gt;= 1,#REF!&lt;= 5)) ),1,0)</definedName>
    <definedName name="QT_S_1_1">IF( OR(AND(#REF!&lt;2, AND(#REF!&gt;= 1,#REF!&lt;= 19)), AND(AND(#REF!&gt;=2,#REF!&lt;=3), AND(#REF!&gt;= 1,#REF!&lt;= 5)) ),1,0)</definedName>
    <definedName name="QT_S_1_1_1">IF( OR(AND(#REF!&lt;2, AND(#REF!&gt;= 1,#REF!&lt;= 19)), AND(AND(#REF!&gt;=2,#REF!&lt;=3), AND(#REF!&gt;= 1,#REF!&lt;= 5)) ),1,0)</definedName>
    <definedName name="QT_S_2">IF( OR(AND(#REF!&lt;2, AND(#REF!&gt;= 1,#REF!&lt;= 19)), AND(AND(#REF!&gt;=2,#REF!&lt;=3), AND(#REF!&gt;= 1,#REF!&lt;= 5)) ),1,0)</definedName>
    <definedName name="raw_data">OFFSET(#REF!,0,0,COUNTA(#REF!),COUNTA(#REF!))</definedName>
    <definedName name="refined">OFFSET([9]Refined!$T$3,0,0,COUNTA([9]Refined!$T:$T),COUNTA([9]Refined!$3:$3)-19)</definedName>
    <definedName name="ropo">[10]ROPO!$C$9:$L$40</definedName>
    <definedName name="rpt_date">[11]요약!$C$4</definedName>
    <definedName name="sales">'[1]Sales Conversion'!$S$4:$AE$39</definedName>
    <definedName name="search">'[1]Search Visibility'!$J$4:$L$39</definedName>
    <definedName name="search_score">OFFSET([2]Score_Search!$H$3,0,0,COUNTA([2]Score_Search!$H:$H)-1, COUNTA([2]Score_Search!$3:$3)-6)</definedName>
    <definedName name="search_score_M">OFFSET([3]S_M_Search!$J$3,0,0,COUNTA([3]S_M_Search!$J:$J)-1,3)</definedName>
    <definedName name="test" localSheetId="4">#REF!</definedName>
    <definedName name="test">#REF!</definedName>
    <definedName name="tol" localSheetId="4">'[4]규모,공수분석'!#REF!</definedName>
    <definedName name="tol">'[4]규모,공수분석'!#REF!</definedName>
    <definedName name="Type_Mobile">OFFSET([8]Refined_V!$B$72,0,0,3,COUNTA([8]Refined_V!$71:$71))</definedName>
    <definedName name="Type_PC">OFFSET([8]Refined_V!$B$75,0,0,4,COUNTA([8]Refined_V!$71:$71))</definedName>
    <definedName name="가입설계_단체" localSheetId="4">'[12]신계약_청약의뢰(개별)'!#REF!</definedName>
    <definedName name="가입설계_단체">'[12]신계약_청약의뢰(개별)'!#REF!</definedName>
    <definedName name="구분" localSheetId="4">'[12]신계약_청약의뢰(개별)'!#REF!</definedName>
    <definedName name="구분">'[12]신계약_청약의뢰(개별)'!#REF!</definedName>
    <definedName name="구분1" localSheetId="4">'[12]신계약_청약의뢰(개별)'!#REF!</definedName>
    <definedName name="구분1">'[12]신계약_청약의뢰(개별)'!#REF!</definedName>
    <definedName name="ㄴㅇㅁㄹㄴㅇㄹ" localSheetId="4">'[12]신계약_청약의뢰(개별)'!#REF!</definedName>
    <definedName name="ㄴㅇㅁㄹㄴㅇㄹ">'[12]신계약_청약의뢰(개별)'!#REF!</definedName>
    <definedName name="단계" localSheetId="4">#REF!</definedName>
    <definedName name="단계">#REF!</definedName>
    <definedName name="단계2" localSheetId="4">#REF!</definedName>
    <definedName name="단계2">#REF!</definedName>
    <definedName name="단계3" localSheetId="4">#REF!</definedName>
    <definedName name="단계3">#REF!</definedName>
    <definedName name="ㅀㅀㄹ" localSheetId="4">[4]CSR납기분석!#REF!</definedName>
    <definedName name="ㅀㅀㄹ">[4]CSR납기분석!#REF!</definedName>
    <definedName name="ㅁㄴㅇㄹ">'[12]신계약_청약의뢰(개별)'!#REF!</definedName>
    <definedName name="분류" localSheetId="4">#REF!</definedName>
    <definedName name="분류">#REF!</definedName>
    <definedName name="분석차수" localSheetId="4">#REF!</definedName>
    <definedName name="분석차수">#REF!</definedName>
    <definedName name="상태" localSheetId="4">'[12]신계약_청약의뢰(개별)'!#REF!</definedName>
    <definedName name="상태">'[12]신계약_청약의뢰(개별)'!#REF!</definedName>
    <definedName name="샘플">[13]내용!#REF!</definedName>
    <definedName name="손사_타영역">'[12]신계약_청약의뢰(개별)'!#REF!</definedName>
    <definedName name="신규여부">[14]Sheet3!$A$1:$A$4</definedName>
    <definedName name="위험분류" localSheetId="4">#REF!</definedName>
    <definedName name="위험분류">#REF!</definedName>
    <definedName name="위험분류2" localSheetId="4">#REF!</definedName>
    <definedName name="위험분류2">#REF!</definedName>
    <definedName name="위험취급방식" localSheetId="4">#REF!</definedName>
    <definedName name="위험취급방식">#REF!</definedName>
  </definedNames>
  <calcPr calcId="191028"/>
  <pivotCaches>
    <pivotCache cacheId="12" r:id="rId35"/>
    <pivotCache cacheId="13" r:id="rId36"/>
    <pivotCache cacheId="14" r:id="rId37"/>
    <pivotCache cacheId="15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70" i="30" l="1"/>
  <c r="B3470" i="30"/>
  <c r="A3404" i="30"/>
  <c r="B3404" i="30"/>
  <c r="B3343" i="30"/>
  <c r="A3343" i="30"/>
  <c r="B3823" i="30"/>
  <c r="I4188" i="30"/>
  <c r="A3616" i="30"/>
  <c r="A3615" i="30"/>
  <c r="A3614" i="30"/>
  <c r="A3613" i="30"/>
  <c r="B3616" i="30"/>
  <c r="B3615" i="30"/>
  <c r="B3614" i="30"/>
  <c r="B3613" i="30"/>
  <c r="B3612" i="30"/>
  <c r="A3612" i="30"/>
  <c r="L162" i="31"/>
  <c r="I162" i="31"/>
  <c r="L160" i="31"/>
  <c r="L154" i="31"/>
  <c r="AH147" i="31"/>
  <c r="AG147" i="31"/>
  <c r="B147" i="31"/>
  <c r="AI147" i="31" s="1"/>
  <c r="AH146" i="31"/>
  <c r="AG146" i="31"/>
  <c r="B146" i="31"/>
  <c r="AI146" i="31" s="1"/>
  <c r="AH145" i="31"/>
  <c r="AG145" i="31"/>
  <c r="B145" i="31"/>
  <c r="AI145" i="31" s="1"/>
  <c r="AH144" i="31"/>
  <c r="AG144" i="31"/>
  <c r="B144" i="31"/>
  <c r="AI144" i="31" s="1"/>
  <c r="AH143" i="31"/>
  <c r="AG143" i="31"/>
  <c r="B143" i="31"/>
  <c r="AI143" i="31" s="1"/>
  <c r="AH142" i="31"/>
  <c r="AG142" i="31"/>
  <c r="B142" i="31"/>
  <c r="AI142" i="31" s="1"/>
  <c r="AH141" i="31"/>
  <c r="AG141" i="31"/>
  <c r="B141" i="31"/>
  <c r="AI141" i="31" s="1"/>
  <c r="AH140" i="31"/>
  <c r="AG140" i="31"/>
  <c r="B140" i="31"/>
  <c r="AI140" i="31" s="1"/>
  <c r="AH139" i="31"/>
  <c r="AG139" i="31"/>
  <c r="B139" i="31"/>
  <c r="AI139" i="31" s="1"/>
  <c r="AH138" i="31"/>
  <c r="AG138" i="31"/>
  <c r="B138" i="31"/>
  <c r="AI138" i="31" s="1"/>
  <c r="AH137" i="31"/>
  <c r="AG137" i="31"/>
  <c r="B137" i="31"/>
  <c r="AI137" i="31" s="1"/>
  <c r="AH136" i="31"/>
  <c r="AG136" i="31"/>
  <c r="B136" i="31"/>
  <c r="AI136" i="31" s="1"/>
  <c r="AH135" i="31"/>
  <c r="AG135" i="31"/>
  <c r="B135" i="31"/>
  <c r="AI135" i="31" s="1"/>
  <c r="AH134" i="31"/>
  <c r="AG134" i="31"/>
  <c r="B134" i="31"/>
  <c r="AI134" i="31" s="1"/>
  <c r="AH133" i="31"/>
  <c r="AG133" i="31"/>
  <c r="B133" i="31"/>
  <c r="AI133" i="31" s="1"/>
  <c r="AH132" i="31"/>
  <c r="AG132" i="31"/>
  <c r="B132" i="31"/>
  <c r="AI132" i="31" s="1"/>
  <c r="AH131" i="31"/>
  <c r="AG131" i="31"/>
  <c r="B131" i="31"/>
  <c r="AI131" i="31" s="1"/>
  <c r="AH130" i="31"/>
  <c r="AG130" i="31"/>
  <c r="B130" i="31"/>
  <c r="AI130" i="31" s="1"/>
  <c r="AH129" i="31"/>
  <c r="AG129" i="31"/>
  <c r="B129" i="31"/>
  <c r="AI129" i="31" s="1"/>
  <c r="AH128" i="31"/>
  <c r="AG128" i="31"/>
  <c r="B128" i="31"/>
  <c r="AI128" i="31" s="1"/>
  <c r="AH127" i="31"/>
  <c r="AG127" i="31"/>
  <c r="B127" i="31"/>
  <c r="AI127" i="31" s="1"/>
  <c r="AH126" i="31"/>
  <c r="AG126" i="31"/>
  <c r="B126" i="31"/>
  <c r="AI126" i="31" s="1"/>
  <c r="AH125" i="31"/>
  <c r="AG125" i="31"/>
  <c r="B125" i="31"/>
  <c r="AI125" i="31" s="1"/>
  <c r="AH124" i="31"/>
  <c r="AG124" i="31"/>
  <c r="B124" i="31"/>
  <c r="AI124" i="31" s="1"/>
  <c r="AH123" i="31"/>
  <c r="AG123" i="31"/>
  <c r="B123" i="31"/>
  <c r="AI123" i="31" s="1"/>
  <c r="AH122" i="31"/>
  <c r="AG122" i="31"/>
  <c r="B122" i="31"/>
  <c r="AI122" i="31" s="1"/>
  <c r="AH121" i="31"/>
  <c r="AG121" i="31"/>
  <c r="B121" i="31"/>
  <c r="AI121" i="31" s="1"/>
  <c r="AH120" i="31"/>
  <c r="AG120" i="31"/>
  <c r="B120" i="31"/>
  <c r="AI120" i="31" s="1"/>
  <c r="AH119" i="31"/>
  <c r="AG119" i="31"/>
  <c r="B119" i="31"/>
  <c r="AI119" i="31" s="1"/>
  <c r="AH118" i="31"/>
  <c r="AG118" i="31"/>
  <c r="B118" i="31"/>
  <c r="AI118" i="31" s="1"/>
  <c r="AH117" i="31"/>
  <c r="AG117" i="31"/>
  <c r="B117" i="31"/>
  <c r="AI117" i="31" s="1"/>
  <c r="AH116" i="31"/>
  <c r="AG116" i="31"/>
  <c r="B116" i="31"/>
  <c r="AI116" i="31" s="1"/>
  <c r="AH115" i="31"/>
  <c r="AG115" i="31"/>
  <c r="B115" i="31"/>
  <c r="AI115" i="31" s="1"/>
  <c r="AH114" i="31"/>
  <c r="AG114" i="31"/>
  <c r="B114" i="31"/>
  <c r="AI114" i="31" s="1"/>
  <c r="AH113" i="31"/>
  <c r="AG113" i="31"/>
  <c r="B113" i="31"/>
  <c r="AI113" i="31" s="1"/>
  <c r="AH112" i="31"/>
  <c r="AG112" i="31"/>
  <c r="B112" i="31"/>
  <c r="AI112" i="31" s="1"/>
  <c r="AH111" i="31"/>
  <c r="AG111" i="31"/>
  <c r="B111" i="31"/>
  <c r="AI111" i="31" s="1"/>
  <c r="AH110" i="31"/>
  <c r="AG110" i="31"/>
  <c r="B110" i="31"/>
  <c r="AI110" i="31" s="1"/>
  <c r="AH109" i="31"/>
  <c r="AG109" i="31"/>
  <c r="B109" i="31"/>
  <c r="AI109" i="31" s="1"/>
  <c r="AH108" i="31"/>
  <c r="AG108" i="31"/>
  <c r="B108" i="31"/>
  <c r="AI108" i="31" s="1"/>
  <c r="AH107" i="31"/>
  <c r="AG107" i="31"/>
  <c r="B107" i="31"/>
  <c r="AI107" i="31" s="1"/>
  <c r="AH106" i="31"/>
  <c r="AG106" i="31"/>
  <c r="B106" i="31"/>
  <c r="AI106" i="31" s="1"/>
  <c r="AH105" i="31"/>
  <c r="AG105" i="31"/>
  <c r="B105" i="31"/>
  <c r="AI105" i="31" s="1"/>
  <c r="AH104" i="31"/>
  <c r="AG104" i="31"/>
  <c r="B104" i="31"/>
  <c r="AI104" i="31" s="1"/>
  <c r="AH103" i="31"/>
  <c r="AG103" i="31"/>
  <c r="B103" i="31"/>
  <c r="AI103" i="31" s="1"/>
  <c r="AH102" i="31"/>
  <c r="AG102" i="31"/>
  <c r="B102" i="31"/>
  <c r="AI102" i="31" s="1"/>
  <c r="AH101" i="31"/>
  <c r="AG101" i="31"/>
  <c r="B101" i="31"/>
  <c r="AI101" i="31" s="1"/>
  <c r="AH100" i="31"/>
  <c r="AG100" i="31"/>
  <c r="B100" i="31"/>
  <c r="AI100" i="31" s="1"/>
  <c r="AH99" i="31"/>
  <c r="AG99" i="31"/>
  <c r="B99" i="31"/>
  <c r="AI99" i="31" s="1"/>
  <c r="AH98" i="31"/>
  <c r="AG98" i="31"/>
  <c r="B98" i="31"/>
  <c r="AI98" i="31" s="1"/>
  <c r="AH97" i="31"/>
  <c r="AG97" i="31"/>
  <c r="B97" i="31"/>
  <c r="AI97" i="31" s="1"/>
  <c r="AH96" i="31"/>
  <c r="AG96" i="31"/>
  <c r="B96" i="31"/>
  <c r="AI96" i="31" s="1"/>
  <c r="AH95" i="31"/>
  <c r="AG95" i="31"/>
  <c r="B95" i="31"/>
  <c r="AI95" i="31" s="1"/>
  <c r="AH94" i="31"/>
  <c r="AG94" i="31"/>
  <c r="B94" i="31"/>
  <c r="AI94" i="31" s="1"/>
  <c r="AH93" i="31"/>
  <c r="AG93" i="31"/>
  <c r="B93" i="31"/>
  <c r="AI93" i="31" s="1"/>
  <c r="AH92" i="31"/>
  <c r="AG92" i="31"/>
  <c r="B92" i="31"/>
  <c r="AI92" i="31" s="1"/>
  <c r="AH91" i="31"/>
  <c r="AG91" i="31"/>
  <c r="B91" i="31"/>
  <c r="AI91" i="31" s="1"/>
  <c r="AH90" i="31"/>
  <c r="AG90" i="31"/>
  <c r="B90" i="31"/>
  <c r="AI90" i="31" s="1"/>
  <c r="AH89" i="31"/>
  <c r="AG89" i="31"/>
  <c r="B89" i="31"/>
  <c r="AI89" i="31" s="1"/>
  <c r="AH88" i="31"/>
  <c r="AG88" i="31"/>
  <c r="B88" i="31"/>
  <c r="AI88" i="31" s="1"/>
  <c r="AH87" i="31"/>
  <c r="AG87" i="31"/>
  <c r="B87" i="31"/>
  <c r="AI87" i="31" s="1"/>
  <c r="AH86" i="31"/>
  <c r="AG86" i="31"/>
  <c r="B86" i="31"/>
  <c r="AI86" i="31" s="1"/>
  <c r="AH85" i="31"/>
  <c r="AG85" i="31"/>
  <c r="B85" i="31"/>
  <c r="AI85" i="31" s="1"/>
  <c r="AH84" i="31"/>
  <c r="AG84" i="31"/>
  <c r="B84" i="31"/>
  <c r="AI84" i="31" s="1"/>
  <c r="AH83" i="31"/>
  <c r="AG83" i="31"/>
  <c r="B83" i="31"/>
  <c r="AI83" i="31" s="1"/>
  <c r="AH82" i="31"/>
  <c r="AG82" i="31"/>
  <c r="B82" i="31"/>
  <c r="AI82" i="31" s="1"/>
  <c r="AH81" i="31"/>
  <c r="AG81" i="31"/>
  <c r="B81" i="31"/>
  <c r="AI81" i="31" s="1"/>
  <c r="AH80" i="31"/>
  <c r="AG80" i="31"/>
  <c r="B80" i="31"/>
  <c r="AI80" i="31" s="1"/>
  <c r="AH79" i="31"/>
  <c r="AG79" i="31"/>
  <c r="B79" i="31"/>
  <c r="AI79" i="31" s="1"/>
  <c r="AH78" i="31"/>
  <c r="AG78" i="31"/>
  <c r="B78" i="31"/>
  <c r="AI78" i="31" s="1"/>
  <c r="AH77" i="31"/>
  <c r="AG77" i="31"/>
  <c r="B77" i="31"/>
  <c r="AI77" i="31" s="1"/>
  <c r="AH76" i="31"/>
  <c r="AG76" i="31"/>
  <c r="B76" i="31"/>
  <c r="AI76" i="31" s="1"/>
  <c r="AH75" i="31"/>
  <c r="AG75" i="31"/>
  <c r="B75" i="31"/>
  <c r="AI75" i="31" s="1"/>
  <c r="AH74" i="31"/>
  <c r="AG74" i="31"/>
  <c r="B74" i="31"/>
  <c r="AI74" i="31" s="1"/>
  <c r="AH73" i="31"/>
  <c r="AG73" i="31"/>
  <c r="B73" i="31"/>
  <c r="AI73" i="31" s="1"/>
  <c r="AH72" i="31"/>
  <c r="AG72" i="31"/>
  <c r="B72" i="31"/>
  <c r="AI72" i="31" s="1"/>
  <c r="AH71" i="31"/>
  <c r="AG71" i="31"/>
  <c r="B71" i="31"/>
  <c r="AI71" i="31" s="1"/>
  <c r="AH70" i="31"/>
  <c r="AG70" i="31"/>
  <c r="B70" i="31"/>
  <c r="AI70" i="31" s="1"/>
  <c r="AH69" i="31"/>
  <c r="AG69" i="31"/>
  <c r="B69" i="31"/>
  <c r="AI69" i="31" s="1"/>
  <c r="AH68" i="31"/>
  <c r="AG68" i="31"/>
  <c r="B68" i="31"/>
  <c r="AI68" i="31" s="1"/>
  <c r="AH67" i="31"/>
  <c r="AG67" i="31"/>
  <c r="B67" i="31"/>
  <c r="AI67" i="31" s="1"/>
  <c r="AH66" i="31"/>
  <c r="AG66" i="31"/>
  <c r="B66" i="31"/>
  <c r="AI66" i="31" s="1"/>
  <c r="AH65" i="31"/>
  <c r="AG65" i="31"/>
  <c r="B65" i="31"/>
  <c r="AI65" i="31" s="1"/>
  <c r="AH64" i="31"/>
  <c r="AG64" i="31"/>
  <c r="B64" i="31"/>
  <c r="AI64" i="31" s="1"/>
  <c r="AH63" i="31"/>
  <c r="AG63" i="31"/>
  <c r="B63" i="31"/>
  <c r="AI63" i="31" s="1"/>
  <c r="AH62" i="31"/>
  <c r="AG62" i="31"/>
  <c r="B62" i="31"/>
  <c r="AI62" i="31" s="1"/>
  <c r="AH61" i="31"/>
  <c r="AG61" i="31"/>
  <c r="B61" i="31"/>
  <c r="AI61" i="31" s="1"/>
  <c r="AH60" i="31"/>
  <c r="AG60" i="31"/>
  <c r="B60" i="31"/>
  <c r="AI60" i="31" s="1"/>
  <c r="AH59" i="31"/>
  <c r="AG59" i="31"/>
  <c r="B59" i="31"/>
  <c r="AI59" i="31" s="1"/>
  <c r="AH58" i="31"/>
  <c r="AG58" i="31"/>
  <c r="B58" i="31"/>
  <c r="AI58" i="31" s="1"/>
  <c r="AH57" i="31"/>
  <c r="AG57" i="31"/>
  <c r="B57" i="31"/>
  <c r="AI57" i="31" s="1"/>
  <c r="AH56" i="31"/>
  <c r="AG56" i="31"/>
  <c r="B56" i="31"/>
  <c r="AI56" i="31" s="1"/>
  <c r="AH55" i="31"/>
  <c r="AG55" i="31"/>
  <c r="B55" i="31"/>
  <c r="AI55" i="31" s="1"/>
  <c r="AH54" i="31"/>
  <c r="AG54" i="31"/>
  <c r="B54" i="31"/>
  <c r="AI54" i="31" s="1"/>
  <c r="AH53" i="31"/>
  <c r="AG53" i="31"/>
  <c r="B53" i="31"/>
  <c r="AI53" i="31" s="1"/>
  <c r="AH52" i="31"/>
  <c r="AG52" i="31"/>
  <c r="B52" i="31"/>
  <c r="AI52" i="31" s="1"/>
  <c r="AH51" i="31"/>
  <c r="AG51" i="31"/>
  <c r="B51" i="31"/>
  <c r="AI51" i="31" s="1"/>
  <c r="AH50" i="31"/>
  <c r="AG50" i="31"/>
  <c r="B50" i="31"/>
  <c r="AI50" i="31" s="1"/>
  <c r="AH49" i="31"/>
  <c r="AG49" i="31"/>
  <c r="B49" i="31"/>
  <c r="AI49" i="31" s="1"/>
  <c r="AH48" i="31"/>
  <c r="AG48" i="31"/>
  <c r="B48" i="31"/>
  <c r="AI48" i="31" s="1"/>
  <c r="AH47" i="31"/>
  <c r="AG47" i="31"/>
  <c r="B47" i="31"/>
  <c r="AI47" i="31" s="1"/>
  <c r="AH46" i="31"/>
  <c r="AG46" i="31"/>
  <c r="B46" i="31"/>
  <c r="AI46" i="31" s="1"/>
  <c r="AH45" i="31"/>
  <c r="AG45" i="31"/>
  <c r="B45" i="31"/>
  <c r="AI45" i="31" s="1"/>
  <c r="AH44" i="31"/>
  <c r="AG44" i="31"/>
  <c r="B44" i="31"/>
  <c r="AI44" i="31" s="1"/>
  <c r="AH43" i="31"/>
  <c r="AG43" i="31"/>
  <c r="B43" i="31"/>
  <c r="AI43" i="31" s="1"/>
  <c r="AH42" i="31"/>
  <c r="AG42" i="31"/>
  <c r="B42" i="31"/>
  <c r="AI42" i="31" s="1"/>
  <c r="AH41" i="31"/>
  <c r="AG41" i="31"/>
  <c r="B41" i="31"/>
  <c r="AI41" i="31" s="1"/>
  <c r="AH40" i="31"/>
  <c r="AG40" i="31"/>
  <c r="B40" i="31"/>
  <c r="AI40" i="31" s="1"/>
  <c r="AH39" i="31"/>
  <c r="AG39" i="31"/>
  <c r="B39" i="31"/>
  <c r="AI39" i="31" s="1"/>
  <c r="AH38" i="31"/>
  <c r="AG38" i="31"/>
  <c r="B38" i="31"/>
  <c r="AI38" i="31" s="1"/>
  <c r="AH37" i="31"/>
  <c r="AG37" i="31"/>
  <c r="B37" i="31"/>
  <c r="AI37" i="31" s="1"/>
  <c r="AH36" i="31"/>
  <c r="AG36" i="31"/>
  <c r="B36" i="31"/>
  <c r="AI36" i="31" s="1"/>
  <c r="AH35" i="31"/>
  <c r="AG35" i="31"/>
  <c r="B35" i="31"/>
  <c r="AI35" i="31" s="1"/>
  <c r="AH34" i="31"/>
  <c r="AG34" i="31"/>
  <c r="B34" i="31"/>
  <c r="AI34" i="31" s="1"/>
  <c r="AH33" i="31"/>
  <c r="AG33" i="31"/>
  <c r="B33" i="31"/>
  <c r="AI33" i="31" s="1"/>
  <c r="AH32" i="31"/>
  <c r="AG32" i="31"/>
  <c r="B32" i="31"/>
  <c r="AI32" i="31" s="1"/>
  <c r="AH31" i="31"/>
  <c r="AG31" i="31"/>
  <c r="B31" i="31"/>
  <c r="AI31" i="31" s="1"/>
  <c r="AH30" i="31"/>
  <c r="AG30" i="31"/>
  <c r="B30" i="31"/>
  <c r="AI30" i="31" s="1"/>
  <c r="AH29" i="31"/>
  <c r="AG29" i="31"/>
  <c r="B29" i="31"/>
  <c r="AI29" i="31" s="1"/>
  <c r="AH28" i="31"/>
  <c r="AG28" i="31"/>
  <c r="B28" i="31"/>
  <c r="AI28" i="31" s="1"/>
  <c r="AH27" i="31"/>
  <c r="AG27" i="31"/>
  <c r="B27" i="31"/>
  <c r="AI27" i="31" s="1"/>
  <c r="AH26" i="31"/>
  <c r="AG26" i="31"/>
  <c r="B26" i="31"/>
  <c r="AI26" i="31" s="1"/>
  <c r="AH25" i="31"/>
  <c r="AG25" i="31"/>
  <c r="B25" i="31"/>
  <c r="AI25" i="31" s="1"/>
  <c r="AH24" i="31"/>
  <c r="AG24" i="31"/>
  <c r="B24" i="31"/>
  <c r="AI24" i="31" s="1"/>
  <c r="AH23" i="31"/>
  <c r="AG23" i="31"/>
  <c r="B23" i="31"/>
  <c r="AI23" i="31" s="1"/>
  <c r="AH22" i="31"/>
  <c r="AG22" i="31"/>
  <c r="B22" i="31"/>
  <c r="AI22" i="31" s="1"/>
  <c r="AH21" i="31"/>
  <c r="AG21" i="31"/>
  <c r="B21" i="31"/>
  <c r="AI21" i="31" s="1"/>
  <c r="AH20" i="31"/>
  <c r="AG20" i="31"/>
  <c r="B20" i="31"/>
  <c r="AI20" i="31" s="1"/>
  <c r="AH19" i="31"/>
  <c r="AG19" i="31"/>
  <c r="B19" i="31"/>
  <c r="AI19" i="31" s="1"/>
  <c r="AH18" i="31"/>
  <c r="AG18" i="31"/>
  <c r="B18" i="31"/>
  <c r="AI18" i="31" s="1"/>
  <c r="AH17" i="31"/>
  <c r="AG17" i="31"/>
  <c r="B17" i="31"/>
  <c r="AI17" i="31" s="1"/>
  <c r="AH16" i="31"/>
  <c r="AG16" i="31"/>
  <c r="B16" i="31"/>
  <c r="AI16" i="31" s="1"/>
  <c r="AH15" i="31"/>
  <c r="AG15" i="31"/>
  <c r="B15" i="31"/>
  <c r="AI15" i="31" s="1"/>
  <c r="AH14" i="31"/>
  <c r="AG14" i="31"/>
  <c r="B14" i="31"/>
  <c r="AI14" i="31" s="1"/>
  <c r="AH13" i="31"/>
  <c r="AG13" i="31"/>
  <c r="B13" i="31"/>
  <c r="AI13" i="31" s="1"/>
  <c r="A3521" i="30"/>
  <c r="A3522" i="30"/>
  <c r="A3523" i="30"/>
  <c r="A3524" i="30"/>
  <c r="A3525" i="30"/>
  <c r="A3526" i="30"/>
  <c r="A3527" i="30"/>
  <c r="A3528" i="30"/>
  <c r="A3529" i="30"/>
  <c r="A3530" i="30"/>
  <c r="A3531" i="30"/>
  <c r="A3532" i="30"/>
  <c r="A3533" i="30"/>
  <c r="A3534" i="30"/>
  <c r="A3535" i="30"/>
  <c r="A3536" i="30"/>
  <c r="A3537" i="30"/>
  <c r="A3538" i="30"/>
  <c r="A3539" i="30"/>
  <c r="A3540" i="30"/>
  <c r="A3541" i="30"/>
  <c r="A3542" i="30"/>
  <c r="A3543" i="30"/>
  <c r="A3544" i="30"/>
  <c r="A3545" i="30"/>
  <c r="B3521" i="30"/>
  <c r="B3522" i="30"/>
  <c r="B3523" i="30"/>
  <c r="B3524" i="30"/>
  <c r="B3525" i="30"/>
  <c r="B3526" i="30"/>
  <c r="B3527" i="30"/>
  <c r="B3528" i="30"/>
  <c r="B3529" i="30"/>
  <c r="B3530" i="30"/>
  <c r="B3531" i="30"/>
  <c r="B3532" i="30"/>
  <c r="B3533" i="30"/>
  <c r="B3534" i="30"/>
  <c r="B3535" i="30"/>
  <c r="B3536" i="30"/>
  <c r="B3537" i="30"/>
  <c r="B3538" i="30"/>
  <c r="B3539" i="30"/>
  <c r="B3540" i="30"/>
  <c r="B3541" i="30"/>
  <c r="B3542" i="30"/>
  <c r="B3543" i="30"/>
  <c r="B3544" i="30"/>
  <c r="B3545" i="30"/>
  <c r="I6" i="31" l="1"/>
  <c r="I5" i="31"/>
  <c r="B3819" i="30"/>
  <c r="A3819" i="30"/>
  <c r="B3062" i="30"/>
  <c r="A3062" i="30"/>
  <c r="B2868" i="30"/>
  <c r="A2868" i="30"/>
  <c r="B2846" i="30"/>
  <c r="A2846" i="30"/>
  <c r="B2845" i="30"/>
  <c r="A2845" i="30"/>
  <c r="B2115" i="30"/>
  <c r="A2115" i="30"/>
  <c r="B1955" i="30"/>
  <c r="A1955" i="30"/>
  <c r="B1196" i="30"/>
  <c r="A1196" i="30"/>
  <c r="B1090" i="30"/>
  <c r="A1090" i="30"/>
  <c r="B1089" i="30"/>
  <c r="A1089" i="30"/>
  <c r="B1088" i="30"/>
  <c r="A1088" i="30"/>
  <c r="B1087" i="30"/>
  <c r="A1087" i="30"/>
  <c r="B1086" i="30"/>
  <c r="A1086" i="30"/>
  <c r="B1027" i="30"/>
  <c r="A1027" i="30"/>
  <c r="B1026" i="30"/>
  <c r="A1026" i="30"/>
  <c r="B1025" i="30"/>
  <c r="A1025" i="30"/>
  <c r="B1024" i="30"/>
  <c r="A1024" i="30"/>
  <c r="B1005" i="30"/>
  <c r="A1005" i="30"/>
  <c r="A824" i="30"/>
  <c r="B824" i="30"/>
  <c r="A825" i="30"/>
  <c r="B825" i="30"/>
  <c r="A822" i="30"/>
  <c r="B822" i="30"/>
  <c r="I8" i="31" l="1"/>
  <c r="J8" i="31" s="1"/>
  <c r="J5" i="31"/>
  <c r="B4173" i="30"/>
  <c r="A4173" i="30"/>
  <c r="B4172" i="30"/>
  <c r="A4172" i="30"/>
  <c r="B4171" i="30"/>
  <c r="A4171" i="30"/>
  <c r="B4170" i="30"/>
  <c r="A4170" i="30"/>
  <c r="B4169" i="30"/>
  <c r="A4169" i="30"/>
  <c r="B4168" i="30"/>
  <c r="A4168" i="30"/>
  <c r="B4167" i="30"/>
  <c r="A4167" i="30"/>
  <c r="B4166" i="30"/>
  <c r="A4166" i="30"/>
  <c r="B4165" i="30"/>
  <c r="A4165" i="30"/>
  <c r="B4164" i="30"/>
  <c r="A4164" i="30"/>
  <c r="B4163" i="30"/>
  <c r="A4163" i="30"/>
  <c r="B4162" i="30"/>
  <c r="A4162" i="30"/>
  <c r="B4161" i="30"/>
  <c r="A4161" i="30"/>
  <c r="B4160" i="30"/>
  <c r="A4160" i="30"/>
  <c r="B4159" i="30"/>
  <c r="A4159" i="30"/>
  <c r="B4158" i="30"/>
  <c r="A4158" i="30"/>
  <c r="B4157" i="30"/>
  <c r="A4157" i="30"/>
  <c r="B4156" i="30"/>
  <c r="A4156" i="30"/>
  <c r="B4155" i="30"/>
  <c r="A4155" i="30"/>
  <c r="B4154" i="30"/>
  <c r="A4154" i="30"/>
  <c r="B4153" i="30"/>
  <c r="A4153" i="30"/>
  <c r="B4152" i="30"/>
  <c r="A4152" i="30"/>
  <c r="B4151" i="30"/>
  <c r="A4151" i="30"/>
  <c r="B4150" i="30"/>
  <c r="A4150" i="30"/>
  <c r="B4149" i="30"/>
  <c r="A4149" i="30"/>
  <c r="B4148" i="30"/>
  <c r="A4148" i="30"/>
  <c r="B4147" i="30"/>
  <c r="A4147" i="30"/>
  <c r="B4146" i="30"/>
  <c r="A4146" i="30"/>
  <c r="B4145" i="30"/>
  <c r="A4145" i="30"/>
  <c r="B4144" i="30"/>
  <c r="A4144" i="30"/>
  <c r="B4143" i="30"/>
  <c r="A4143" i="30"/>
  <c r="B4142" i="30"/>
  <c r="A4142" i="30"/>
  <c r="B4141" i="30"/>
  <c r="A4141" i="30"/>
  <c r="B4140" i="30"/>
  <c r="A4140" i="30"/>
  <c r="B4139" i="30"/>
  <c r="A4139" i="30"/>
  <c r="B4138" i="30"/>
  <c r="A4138" i="30"/>
  <c r="B4137" i="30"/>
  <c r="A4137" i="30"/>
  <c r="B4136" i="30"/>
  <c r="A4136" i="30"/>
  <c r="B4135" i="30"/>
  <c r="A4135" i="30"/>
  <c r="B4134" i="30"/>
  <c r="A4134" i="30"/>
  <c r="B4133" i="30"/>
  <c r="A4133" i="30"/>
  <c r="B4132" i="30"/>
  <c r="A4132" i="30"/>
  <c r="B4131" i="30"/>
  <c r="A4131" i="30"/>
  <c r="B4130" i="30"/>
  <c r="A4130" i="30"/>
  <c r="B4129" i="30"/>
  <c r="A4129" i="30"/>
  <c r="B4128" i="30"/>
  <c r="A4128" i="30"/>
  <c r="B4127" i="30"/>
  <c r="A4127" i="30"/>
  <c r="B4126" i="30"/>
  <c r="A4126" i="30"/>
  <c r="B4125" i="30"/>
  <c r="A4125" i="30"/>
  <c r="B4124" i="30"/>
  <c r="A4124" i="30"/>
  <c r="B4123" i="30"/>
  <c r="A4123" i="30"/>
  <c r="B4122" i="30"/>
  <c r="A4122" i="30"/>
  <c r="B4121" i="30"/>
  <c r="A4121" i="30"/>
  <c r="B4120" i="30"/>
  <c r="A4120" i="30"/>
  <c r="B4119" i="30"/>
  <c r="A4119" i="30"/>
  <c r="B4118" i="30"/>
  <c r="A4118" i="30"/>
  <c r="B4117" i="30"/>
  <c r="A4117" i="30"/>
  <c r="B4116" i="30"/>
  <c r="A4116" i="30"/>
  <c r="B4115" i="30"/>
  <c r="A4115" i="30"/>
  <c r="B4114" i="30"/>
  <c r="A4114" i="30"/>
  <c r="B4113" i="30"/>
  <c r="A4113" i="30"/>
  <c r="B4112" i="30"/>
  <c r="A4112" i="30"/>
  <c r="B4111" i="30"/>
  <c r="A4111" i="30"/>
  <c r="B4110" i="30"/>
  <c r="A4110" i="30"/>
  <c r="B4109" i="30"/>
  <c r="A4109" i="30"/>
  <c r="B4108" i="30"/>
  <c r="A4108" i="30"/>
  <c r="B4107" i="30"/>
  <c r="A4107" i="30"/>
  <c r="B4106" i="30"/>
  <c r="A4106" i="30"/>
  <c r="B4105" i="30"/>
  <c r="A4105" i="30"/>
  <c r="B4104" i="30"/>
  <c r="A4104" i="30"/>
  <c r="B4103" i="30"/>
  <c r="A4103" i="30"/>
  <c r="B4102" i="30"/>
  <c r="A4102" i="30"/>
  <c r="B4101" i="30"/>
  <c r="A4101" i="30"/>
  <c r="B4100" i="30"/>
  <c r="A4100" i="30"/>
  <c r="B4099" i="30"/>
  <c r="A4099" i="30"/>
  <c r="B4098" i="30"/>
  <c r="A4098" i="30"/>
  <c r="B4097" i="30"/>
  <c r="A4097" i="30"/>
  <c r="B4096" i="30"/>
  <c r="A4096" i="30"/>
  <c r="B4095" i="30"/>
  <c r="A4095" i="30"/>
  <c r="B4094" i="30"/>
  <c r="A4094" i="30"/>
  <c r="B4093" i="30"/>
  <c r="A4093" i="30"/>
  <c r="B4092" i="30"/>
  <c r="A4092" i="30"/>
  <c r="B4091" i="30"/>
  <c r="A4091" i="30"/>
  <c r="B4090" i="30"/>
  <c r="A4090" i="30"/>
  <c r="B4089" i="30"/>
  <c r="A4089" i="30"/>
  <c r="B4088" i="30"/>
  <c r="A4088" i="30"/>
  <c r="B4087" i="30"/>
  <c r="A4087" i="30"/>
  <c r="B4086" i="30"/>
  <c r="A4086" i="30"/>
  <c r="B4085" i="30"/>
  <c r="A4085" i="30"/>
  <c r="B4084" i="30"/>
  <c r="A4084" i="30"/>
  <c r="B4083" i="30"/>
  <c r="A4083" i="30"/>
  <c r="B4082" i="30"/>
  <c r="A4082" i="30"/>
  <c r="B4081" i="30"/>
  <c r="A4081" i="30"/>
  <c r="B4080" i="30"/>
  <c r="A4080" i="30"/>
  <c r="B4079" i="30"/>
  <c r="A4079" i="30"/>
  <c r="B4078" i="30"/>
  <c r="A4078" i="30"/>
  <c r="B4077" i="30"/>
  <c r="A4077" i="30"/>
  <c r="B4076" i="30"/>
  <c r="A4076" i="30"/>
  <c r="B4075" i="30"/>
  <c r="A4075" i="30"/>
  <c r="B4074" i="30"/>
  <c r="A4074" i="30"/>
  <c r="B4073" i="30"/>
  <c r="A4073" i="30"/>
  <c r="B4072" i="30"/>
  <c r="A4072" i="30"/>
  <c r="B4071" i="30"/>
  <c r="A4071" i="30"/>
  <c r="B4070" i="30"/>
  <c r="A4070" i="30"/>
  <c r="B4069" i="30"/>
  <c r="A4069" i="30"/>
  <c r="B4068" i="30"/>
  <c r="A4068" i="30"/>
  <c r="B4067" i="30"/>
  <c r="A4067" i="30"/>
  <c r="B4066" i="30"/>
  <c r="A4066" i="30"/>
  <c r="B4065" i="30"/>
  <c r="A4065" i="30"/>
  <c r="B4064" i="30"/>
  <c r="A4064" i="30"/>
  <c r="B4063" i="30"/>
  <c r="A4063" i="30"/>
  <c r="B4062" i="30"/>
  <c r="A4062" i="30"/>
  <c r="B4061" i="30"/>
  <c r="A4061" i="30"/>
  <c r="B4060" i="30"/>
  <c r="A4060" i="30"/>
  <c r="B4059" i="30"/>
  <c r="A4059" i="30"/>
  <c r="B4058" i="30"/>
  <c r="A4058" i="30"/>
  <c r="B4057" i="30"/>
  <c r="A4057" i="30"/>
  <c r="B4056" i="30"/>
  <c r="A4056" i="30"/>
  <c r="B4055" i="30"/>
  <c r="A4055" i="30"/>
  <c r="B4054" i="30"/>
  <c r="A4054" i="30"/>
  <c r="B4053" i="30"/>
  <c r="A4053" i="30"/>
  <c r="B4052" i="30"/>
  <c r="A4052" i="30"/>
  <c r="B4051" i="30"/>
  <c r="A4051" i="30"/>
  <c r="B4050" i="30"/>
  <c r="A4050" i="30"/>
  <c r="B4049" i="30"/>
  <c r="A4049" i="30"/>
  <c r="B4048" i="30"/>
  <c r="A4048" i="30"/>
  <c r="B4047" i="30"/>
  <c r="A4047" i="30"/>
  <c r="B4046" i="30"/>
  <c r="A4046" i="30"/>
  <c r="B4045" i="30"/>
  <c r="A4045" i="30"/>
  <c r="B4044" i="30"/>
  <c r="A4044" i="30"/>
  <c r="B4043" i="30"/>
  <c r="A4043" i="30"/>
  <c r="B4042" i="30"/>
  <c r="A4042" i="30"/>
  <c r="B4041" i="30"/>
  <c r="A4041" i="30"/>
  <c r="B4040" i="30"/>
  <c r="A4040" i="30"/>
  <c r="B4039" i="30"/>
  <c r="A4039" i="30"/>
  <c r="B4038" i="30"/>
  <c r="A4038" i="30"/>
  <c r="B4037" i="30"/>
  <c r="A4037" i="30"/>
  <c r="B4036" i="30"/>
  <c r="A4036" i="30"/>
  <c r="B4035" i="30"/>
  <c r="A4035" i="30"/>
  <c r="B4034" i="30"/>
  <c r="A4034" i="30"/>
  <c r="B4033" i="30"/>
  <c r="A4033" i="30"/>
  <c r="B4032" i="30"/>
  <c r="A4032" i="30"/>
  <c r="B4031" i="30"/>
  <c r="A4031" i="30"/>
  <c r="B4030" i="30"/>
  <c r="A4030" i="30"/>
  <c r="B4029" i="30"/>
  <c r="A4029" i="30"/>
  <c r="B4028" i="30"/>
  <c r="A4028" i="30"/>
  <c r="B4027" i="30"/>
  <c r="A4027" i="30"/>
  <c r="B4026" i="30"/>
  <c r="A4026" i="30"/>
  <c r="B4025" i="30"/>
  <c r="A4025" i="30"/>
  <c r="B4024" i="30"/>
  <c r="A4024" i="30"/>
  <c r="B4023" i="30"/>
  <c r="A4023" i="30"/>
  <c r="B4022" i="30"/>
  <c r="A4022" i="30"/>
  <c r="B4021" i="30"/>
  <c r="A4021" i="30"/>
  <c r="B4020" i="30"/>
  <c r="A4020" i="30"/>
  <c r="B4019" i="30"/>
  <c r="A4019" i="30"/>
  <c r="B4018" i="30"/>
  <c r="A4018" i="30"/>
  <c r="B4017" i="30"/>
  <c r="A4017" i="30"/>
  <c r="B4016" i="30"/>
  <c r="A4016" i="30"/>
  <c r="B4015" i="30"/>
  <c r="A4015" i="30"/>
  <c r="B4014" i="30"/>
  <c r="A4014" i="30"/>
  <c r="B4013" i="30"/>
  <c r="A4013" i="30"/>
  <c r="B4012" i="30"/>
  <c r="A4012" i="30"/>
  <c r="B4011" i="30"/>
  <c r="A4011" i="30"/>
  <c r="B4010" i="30"/>
  <c r="A4010" i="30"/>
  <c r="B4009" i="30"/>
  <c r="A4009" i="30"/>
  <c r="B4008" i="30"/>
  <c r="A4008" i="30"/>
  <c r="B4007" i="30"/>
  <c r="A4007" i="30"/>
  <c r="B4006" i="30"/>
  <c r="A4006" i="30"/>
  <c r="B4005" i="30"/>
  <c r="A4005" i="30"/>
  <c r="B4004" i="30"/>
  <c r="A4004" i="30"/>
  <c r="B4003" i="30"/>
  <c r="A4003" i="30"/>
  <c r="B4002" i="30"/>
  <c r="A4002" i="30"/>
  <c r="B4001" i="30"/>
  <c r="A4001" i="30"/>
  <c r="B4000" i="30"/>
  <c r="A4000" i="30"/>
  <c r="B3999" i="30"/>
  <c r="A3999" i="30"/>
  <c r="B3998" i="30"/>
  <c r="A3998" i="30"/>
  <c r="B3997" i="30"/>
  <c r="A3997" i="30"/>
  <c r="B3996" i="30"/>
  <c r="A3996" i="30"/>
  <c r="B3995" i="30"/>
  <c r="A3995" i="30"/>
  <c r="B3994" i="30"/>
  <c r="A3994" i="30"/>
  <c r="B3993" i="30"/>
  <c r="A3993" i="30"/>
  <c r="B3992" i="30"/>
  <c r="A3992" i="30"/>
  <c r="B3991" i="30"/>
  <c r="A3991" i="30"/>
  <c r="B3990" i="30"/>
  <c r="A3990" i="30"/>
  <c r="B3989" i="30"/>
  <c r="A3989" i="30"/>
  <c r="B3988" i="30"/>
  <c r="A3988" i="30"/>
  <c r="B3987" i="30"/>
  <c r="A3987" i="30"/>
  <c r="B3986" i="30"/>
  <c r="A3986" i="30"/>
  <c r="B3985" i="30"/>
  <c r="A3985" i="30"/>
  <c r="B3984" i="30"/>
  <c r="A3984" i="30"/>
  <c r="B3983" i="30"/>
  <c r="A3983" i="30"/>
  <c r="B3982" i="30"/>
  <c r="A3982" i="30"/>
  <c r="B3981" i="30"/>
  <c r="A3981" i="30"/>
  <c r="B3980" i="30"/>
  <c r="A3980" i="30"/>
  <c r="B3979" i="30"/>
  <c r="A3979" i="30"/>
  <c r="B3978" i="30"/>
  <c r="A3978" i="30"/>
  <c r="B3977" i="30"/>
  <c r="A3977" i="30"/>
  <c r="B3976" i="30"/>
  <c r="A3976" i="30"/>
  <c r="B3975" i="30"/>
  <c r="A3975" i="30"/>
  <c r="B3974" i="30"/>
  <c r="A3974" i="30"/>
  <c r="B3973" i="30"/>
  <c r="A3973" i="30"/>
  <c r="B3972" i="30"/>
  <c r="A3972" i="30"/>
  <c r="B3971" i="30"/>
  <c r="A3971" i="30"/>
  <c r="B3970" i="30"/>
  <c r="A3970" i="30"/>
  <c r="B3969" i="30"/>
  <c r="A3969" i="30"/>
  <c r="B3968" i="30"/>
  <c r="A3968" i="30"/>
  <c r="B3967" i="30"/>
  <c r="A3967" i="30"/>
  <c r="B3966" i="30"/>
  <c r="A3966" i="30"/>
  <c r="B3965" i="30"/>
  <c r="A3965" i="30"/>
  <c r="B3964" i="30"/>
  <c r="A3964" i="30"/>
  <c r="B3963" i="30"/>
  <c r="A3963" i="30"/>
  <c r="B3962" i="30"/>
  <c r="A3962" i="30"/>
  <c r="B3961" i="30"/>
  <c r="A3961" i="30"/>
  <c r="B3960" i="30"/>
  <c r="A3960" i="30"/>
  <c r="B3959" i="30"/>
  <c r="A3959" i="30"/>
  <c r="B3958" i="30"/>
  <c r="A3958" i="30"/>
  <c r="B3957" i="30"/>
  <c r="A3957" i="30"/>
  <c r="B3956" i="30"/>
  <c r="A3956" i="30"/>
  <c r="B3955" i="30"/>
  <c r="A3955" i="30"/>
  <c r="B3954" i="30"/>
  <c r="A3954" i="30"/>
  <c r="B3953" i="30"/>
  <c r="A3953" i="30"/>
  <c r="B3952" i="30"/>
  <c r="A3952" i="30"/>
  <c r="B3951" i="30"/>
  <c r="A3951" i="30"/>
  <c r="B3950" i="30"/>
  <c r="A3950" i="30"/>
  <c r="B3949" i="30"/>
  <c r="A3949" i="30"/>
  <c r="B3948" i="30"/>
  <c r="A3948" i="30"/>
  <c r="B3947" i="30"/>
  <c r="A3947" i="30"/>
  <c r="B3946" i="30"/>
  <c r="A3946" i="30"/>
  <c r="B3945" i="30"/>
  <c r="A3945" i="30"/>
  <c r="B3944" i="30"/>
  <c r="A3944" i="30"/>
  <c r="B3943" i="30"/>
  <c r="A3943" i="30"/>
  <c r="B3942" i="30"/>
  <c r="A3942" i="30"/>
  <c r="B3941" i="30"/>
  <c r="A3941" i="30"/>
  <c r="B3940" i="30"/>
  <c r="A3940" i="30"/>
  <c r="B3939" i="30"/>
  <c r="A3939" i="30"/>
  <c r="B3938" i="30"/>
  <c r="A3938" i="30"/>
  <c r="B3937" i="30"/>
  <c r="A3937" i="30"/>
  <c r="B3936" i="30"/>
  <c r="A3936" i="30"/>
  <c r="B3935" i="30"/>
  <c r="A3935" i="30"/>
  <c r="B3934" i="30"/>
  <c r="A3934" i="30"/>
  <c r="B3933" i="30"/>
  <c r="A3933" i="30"/>
  <c r="B3932" i="30"/>
  <c r="A3932" i="30"/>
  <c r="B3931" i="30"/>
  <c r="A3931" i="30"/>
  <c r="B3930" i="30"/>
  <c r="A3930" i="30"/>
  <c r="B3929" i="30"/>
  <c r="A3929" i="30"/>
  <c r="B3928" i="30"/>
  <c r="A3928" i="30"/>
  <c r="B3927" i="30"/>
  <c r="A3927" i="30"/>
  <c r="B3926" i="30"/>
  <c r="A3926" i="30"/>
  <c r="B3925" i="30"/>
  <c r="A3925" i="30"/>
  <c r="B3924" i="30"/>
  <c r="A3924" i="30"/>
  <c r="B3923" i="30"/>
  <c r="A3923" i="30"/>
  <c r="B3922" i="30"/>
  <c r="A3922" i="30"/>
  <c r="B3921" i="30"/>
  <c r="A3921" i="30"/>
  <c r="B3920" i="30"/>
  <c r="A3920" i="30"/>
  <c r="B3919" i="30"/>
  <c r="A3919" i="30"/>
  <c r="B3918" i="30"/>
  <c r="A3918" i="30"/>
  <c r="B3917" i="30"/>
  <c r="A3917" i="30"/>
  <c r="B3916" i="30"/>
  <c r="A3916" i="30"/>
  <c r="B3915" i="30"/>
  <c r="N3915" i="30" s="1"/>
  <c r="A3915" i="30"/>
  <c r="B3914" i="30"/>
  <c r="N3914" i="30" s="1"/>
  <c r="A3914" i="30"/>
  <c r="B3913" i="30"/>
  <c r="N3913" i="30" s="1"/>
  <c r="A3913" i="30"/>
  <c r="B3912" i="30"/>
  <c r="N3912" i="30" s="1"/>
  <c r="A3912" i="30"/>
  <c r="B3911" i="30"/>
  <c r="N3911" i="30" s="1"/>
  <c r="A3911" i="30"/>
  <c r="B3910" i="30"/>
  <c r="N3910" i="30" s="1"/>
  <c r="A3910" i="30"/>
  <c r="B3909" i="30"/>
  <c r="N3909" i="30" s="1"/>
  <c r="A3909" i="30"/>
  <c r="B3908" i="30"/>
  <c r="N3908" i="30" s="1"/>
  <c r="A3908" i="30"/>
  <c r="B3907" i="30"/>
  <c r="N3907" i="30" s="1"/>
  <c r="A3907" i="30"/>
  <c r="B3906" i="30"/>
  <c r="N3906" i="30" s="1"/>
  <c r="A3906" i="30"/>
  <c r="B3905" i="30"/>
  <c r="N3905" i="30" s="1"/>
  <c r="A3905" i="30"/>
  <c r="B3904" i="30"/>
  <c r="N3904" i="30" s="1"/>
  <c r="A3904" i="30"/>
  <c r="B3903" i="30"/>
  <c r="N3903" i="30" s="1"/>
  <c r="A3903" i="30"/>
  <c r="B3902" i="30"/>
  <c r="N3902" i="30" s="1"/>
  <c r="A3902" i="30"/>
  <c r="B3901" i="30"/>
  <c r="N3901" i="30" s="1"/>
  <c r="A3901" i="30"/>
  <c r="B3900" i="30"/>
  <c r="N3900" i="30" s="1"/>
  <c r="A3900" i="30"/>
  <c r="B3899" i="30"/>
  <c r="N3899" i="30" s="1"/>
  <c r="A3899" i="30"/>
  <c r="B3898" i="30"/>
  <c r="N3898" i="30" s="1"/>
  <c r="A3898" i="30"/>
  <c r="B3897" i="30"/>
  <c r="N3897" i="30" s="1"/>
  <c r="A3897" i="30"/>
  <c r="B3896" i="30"/>
  <c r="N3896" i="30" s="1"/>
  <c r="A3896" i="30"/>
  <c r="B3895" i="30"/>
  <c r="N3895" i="30" s="1"/>
  <c r="A3895" i="30"/>
  <c r="B3894" i="30"/>
  <c r="N3894" i="30" s="1"/>
  <c r="A3894" i="30"/>
  <c r="B3893" i="30"/>
  <c r="N3893" i="30" s="1"/>
  <c r="A3893" i="30"/>
  <c r="B3892" i="30"/>
  <c r="N3892" i="30" s="1"/>
  <c r="A3892" i="30"/>
  <c r="B3891" i="30"/>
  <c r="N3891" i="30" s="1"/>
  <c r="A3891" i="30"/>
  <c r="B3890" i="30"/>
  <c r="N3890" i="30" s="1"/>
  <c r="A3890" i="30"/>
  <c r="B3889" i="30"/>
  <c r="N3889" i="30" s="1"/>
  <c r="A3889" i="30"/>
  <c r="B3888" i="30"/>
  <c r="N3888" i="30" s="1"/>
  <c r="A3888" i="30"/>
  <c r="B3887" i="30"/>
  <c r="N3887" i="30" s="1"/>
  <c r="A3887" i="30"/>
  <c r="B3886" i="30"/>
  <c r="N3886" i="30" s="1"/>
  <c r="A3886" i="30"/>
  <c r="B3885" i="30"/>
  <c r="N3885" i="30" s="1"/>
  <c r="A3885" i="30"/>
  <c r="B3884" i="30"/>
  <c r="N3884" i="30" s="1"/>
  <c r="A3884" i="30"/>
  <c r="B3883" i="30"/>
  <c r="N3883" i="30" s="1"/>
  <c r="A3883" i="30"/>
  <c r="B3882" i="30"/>
  <c r="N3882" i="30" s="1"/>
  <c r="A3882" i="30"/>
  <c r="B3881" i="30"/>
  <c r="N3881" i="30" s="1"/>
  <c r="A3881" i="30"/>
  <c r="B3880" i="30"/>
  <c r="N3880" i="30" s="1"/>
  <c r="A3880" i="30"/>
  <c r="B3879" i="30"/>
  <c r="N3879" i="30" s="1"/>
  <c r="A3879" i="30"/>
  <c r="B3878" i="30"/>
  <c r="N3878" i="30" s="1"/>
  <c r="A3878" i="30"/>
  <c r="B3877" i="30"/>
  <c r="N3877" i="30" s="1"/>
  <c r="A3877" i="30"/>
  <c r="B3876" i="30"/>
  <c r="N3876" i="30" s="1"/>
  <c r="A3876" i="30"/>
  <c r="B3875" i="30"/>
  <c r="A3875" i="30"/>
  <c r="B3874" i="30"/>
  <c r="N3874" i="30" s="1"/>
  <c r="A3874" i="30"/>
  <c r="B3873" i="30"/>
  <c r="N3873" i="30" s="1"/>
  <c r="A3873" i="30"/>
  <c r="B3872" i="30"/>
  <c r="N3872" i="30" s="1"/>
  <c r="A3872" i="30"/>
  <c r="B3871" i="30"/>
  <c r="N3871" i="30" s="1"/>
  <c r="A3871" i="30"/>
  <c r="B3870" i="30"/>
  <c r="N3870" i="30" s="1"/>
  <c r="A3870" i="30"/>
  <c r="B3869" i="30"/>
  <c r="N3869" i="30" s="1"/>
  <c r="A3869" i="30"/>
  <c r="B3868" i="30"/>
  <c r="N3868" i="30" s="1"/>
  <c r="A3868" i="30"/>
  <c r="B3867" i="30"/>
  <c r="N3867" i="30" s="1"/>
  <c r="A3867" i="30"/>
  <c r="B3866" i="30"/>
  <c r="N3866" i="30" s="1"/>
  <c r="A3866" i="30"/>
  <c r="B3865" i="30"/>
  <c r="N3865" i="30" s="1"/>
  <c r="A3865" i="30"/>
  <c r="B3864" i="30"/>
  <c r="N3864" i="30" s="1"/>
  <c r="A3864" i="30"/>
  <c r="B3863" i="30"/>
  <c r="N3863" i="30" s="1"/>
  <c r="A3863" i="30"/>
  <c r="B3862" i="30"/>
  <c r="N3862" i="30" s="1"/>
  <c r="A3862" i="30"/>
  <c r="B3861" i="30"/>
  <c r="N3861" i="30" s="1"/>
  <c r="A3861" i="30"/>
  <c r="B3860" i="30"/>
  <c r="N3860" i="30" s="1"/>
  <c r="A3860" i="30"/>
  <c r="B3859" i="30"/>
  <c r="N3859" i="30" s="1"/>
  <c r="A3859" i="30"/>
  <c r="B3858" i="30"/>
  <c r="N3858" i="30" s="1"/>
  <c r="A3858" i="30"/>
  <c r="B3857" i="30"/>
  <c r="N3857" i="30" s="1"/>
  <c r="A3857" i="30"/>
  <c r="B3856" i="30"/>
  <c r="N3856" i="30" s="1"/>
  <c r="A3856" i="30"/>
  <c r="B3855" i="30"/>
  <c r="N3855" i="30" s="1"/>
  <c r="A3855" i="30"/>
  <c r="B3854" i="30"/>
  <c r="N3854" i="30" s="1"/>
  <c r="A3854" i="30"/>
  <c r="B3853" i="30"/>
  <c r="N3853" i="30" s="1"/>
  <c r="A3853" i="30"/>
  <c r="B3852" i="30"/>
  <c r="N3852" i="30" s="1"/>
  <c r="A3852" i="30"/>
  <c r="B3851" i="30"/>
  <c r="N3851" i="30" s="1"/>
  <c r="A3851" i="30"/>
  <c r="B3850" i="30"/>
  <c r="N3850" i="30" s="1"/>
  <c r="A3850" i="30"/>
  <c r="B3849" i="30"/>
  <c r="N3849" i="30" s="1"/>
  <c r="A3849" i="30"/>
  <c r="B3831" i="30"/>
  <c r="A3831" i="30"/>
  <c r="B3830" i="30"/>
  <c r="A3830" i="30"/>
  <c r="B3829" i="30"/>
  <c r="A3829" i="30"/>
  <c r="B3828" i="30"/>
  <c r="A3828" i="30"/>
  <c r="B3827" i="30"/>
  <c r="A3827" i="30"/>
  <c r="B3826" i="30"/>
  <c r="A3826" i="30"/>
  <c r="B3825" i="30"/>
  <c r="A3825" i="30"/>
  <c r="B3824" i="30"/>
  <c r="A3824" i="30"/>
  <c r="A3823" i="30"/>
  <c r="B3822" i="30"/>
  <c r="A3822" i="30"/>
  <c r="B3821" i="30"/>
  <c r="A3821" i="30"/>
  <c r="B3820" i="30"/>
  <c r="A3820" i="30"/>
  <c r="B3818" i="30"/>
  <c r="A3818" i="30"/>
  <c r="B3817" i="30"/>
  <c r="A3817" i="30"/>
  <c r="B3816" i="30"/>
  <c r="A3816" i="30"/>
  <c r="B3815" i="30"/>
  <c r="A3815" i="30"/>
  <c r="B3814" i="30"/>
  <c r="A3814" i="30"/>
  <c r="B3813" i="30"/>
  <c r="A3813" i="30"/>
  <c r="B3812" i="30"/>
  <c r="A3812" i="30"/>
  <c r="B3811" i="30"/>
  <c r="A3811" i="30"/>
  <c r="B3810" i="30"/>
  <c r="A3810" i="30"/>
  <c r="B3809" i="30"/>
  <c r="A3809" i="30"/>
  <c r="B3808" i="30"/>
  <c r="A3808" i="30"/>
  <c r="B3807" i="30"/>
  <c r="A3807" i="30"/>
  <c r="B3806" i="30"/>
  <c r="A3806" i="30"/>
  <c r="B3805" i="30"/>
  <c r="A3805" i="30"/>
  <c r="B3804" i="30"/>
  <c r="A3804" i="30"/>
  <c r="B3803" i="30"/>
  <c r="A3803" i="30"/>
  <c r="B3802" i="30"/>
  <c r="A3802" i="30"/>
  <c r="B3801" i="30"/>
  <c r="N3801" i="30" s="1"/>
  <c r="A3801" i="30"/>
  <c r="B3800" i="30"/>
  <c r="N3800" i="30" s="1"/>
  <c r="A3800" i="30"/>
  <c r="B3799" i="30"/>
  <c r="N3799" i="30" s="1"/>
  <c r="A3799" i="30"/>
  <c r="B3798" i="30"/>
  <c r="N3798" i="30" s="1"/>
  <c r="A3798" i="30"/>
  <c r="B3797" i="30"/>
  <c r="N3797" i="30" s="1"/>
  <c r="A3797" i="30"/>
  <c r="B3796" i="30"/>
  <c r="N3796" i="30" s="1"/>
  <c r="A3796" i="30"/>
  <c r="B3795" i="30"/>
  <c r="N3795" i="30" s="1"/>
  <c r="A3795" i="30"/>
  <c r="B3794" i="30"/>
  <c r="N3794" i="30" s="1"/>
  <c r="A3794" i="30"/>
  <c r="B3793" i="30"/>
  <c r="N3793" i="30" s="1"/>
  <c r="A3793" i="30"/>
  <c r="B3792" i="30"/>
  <c r="N3792" i="30" s="1"/>
  <c r="A3792" i="30"/>
  <c r="B3791" i="30"/>
  <c r="N3791" i="30" s="1"/>
  <c r="A3791" i="30"/>
  <c r="B3790" i="30"/>
  <c r="N3790" i="30" s="1"/>
  <c r="A3790" i="30"/>
  <c r="B3789" i="30"/>
  <c r="N3789" i="30" s="1"/>
  <c r="A3789" i="30"/>
  <c r="B3788" i="30"/>
  <c r="N3788" i="30" s="1"/>
  <c r="A3788" i="30"/>
  <c r="B3787" i="30"/>
  <c r="N3787" i="30" s="1"/>
  <c r="A3787" i="30"/>
  <c r="B3786" i="30"/>
  <c r="N3786" i="30" s="1"/>
  <c r="A3786" i="30"/>
  <c r="B3785" i="30"/>
  <c r="N3785" i="30" s="1"/>
  <c r="A3785" i="30"/>
  <c r="B3784" i="30"/>
  <c r="N3784" i="30" s="1"/>
  <c r="A3784" i="30"/>
  <c r="B3783" i="30"/>
  <c r="N3783" i="30" s="1"/>
  <c r="A3783" i="30"/>
  <c r="B3782" i="30"/>
  <c r="N3782" i="30" s="1"/>
  <c r="A3782" i="30"/>
  <c r="B3781" i="30"/>
  <c r="N3781" i="30" s="1"/>
  <c r="A3781" i="30"/>
  <c r="B3780" i="30"/>
  <c r="N3780" i="30" s="1"/>
  <c r="A3780" i="30"/>
  <c r="B3779" i="30"/>
  <c r="N3779" i="30" s="1"/>
  <c r="A3779" i="30"/>
  <c r="B3778" i="30"/>
  <c r="N3778" i="30" s="1"/>
  <c r="A3778" i="30"/>
  <c r="B3777" i="30"/>
  <c r="N3777" i="30" s="1"/>
  <c r="A3777" i="30"/>
  <c r="B3776" i="30"/>
  <c r="N3776" i="30" s="1"/>
  <c r="A3776" i="30"/>
  <c r="B3775" i="30"/>
  <c r="N3775" i="30" s="1"/>
  <c r="A3775" i="30"/>
  <c r="B3774" i="30"/>
  <c r="N3774" i="30" s="1"/>
  <c r="A3774" i="30"/>
  <c r="B3773" i="30"/>
  <c r="N3773" i="30" s="1"/>
  <c r="A3773" i="30"/>
  <c r="B3772" i="30"/>
  <c r="N3772" i="30" s="1"/>
  <c r="A3772" i="30"/>
  <c r="B3771" i="30"/>
  <c r="N3771" i="30" s="1"/>
  <c r="A3771" i="30"/>
  <c r="B3770" i="30"/>
  <c r="N3770" i="30" s="1"/>
  <c r="A3770" i="30"/>
  <c r="B3769" i="30"/>
  <c r="N3769" i="30" s="1"/>
  <c r="A3769" i="30"/>
  <c r="B3768" i="30"/>
  <c r="N3768" i="30" s="1"/>
  <c r="A3768" i="30"/>
  <c r="B3767" i="30"/>
  <c r="N3767" i="30" s="1"/>
  <c r="A3767" i="30"/>
  <c r="B3766" i="30"/>
  <c r="N3766" i="30" s="1"/>
  <c r="A3766" i="30"/>
  <c r="B3765" i="30"/>
  <c r="N3765" i="30" s="1"/>
  <c r="A3765" i="30"/>
  <c r="B3764" i="30"/>
  <c r="N3764" i="30" s="1"/>
  <c r="A3764" i="30"/>
  <c r="B3763" i="30"/>
  <c r="N3763" i="30" s="1"/>
  <c r="A3763" i="30"/>
  <c r="B3762" i="30"/>
  <c r="N3762" i="30" s="1"/>
  <c r="A3762" i="30"/>
  <c r="B3761" i="30"/>
  <c r="N3761" i="30" s="1"/>
  <c r="A3761" i="30"/>
  <c r="B3760" i="30"/>
  <c r="N3760" i="30" s="1"/>
  <c r="A3760" i="30"/>
  <c r="B3759" i="30"/>
  <c r="N3759" i="30" s="1"/>
  <c r="A3759" i="30"/>
  <c r="B3758" i="30"/>
  <c r="N3758" i="30" s="1"/>
  <c r="A3758" i="30"/>
  <c r="B3757" i="30"/>
  <c r="N3757" i="30" s="1"/>
  <c r="A3757" i="30"/>
  <c r="B3756" i="30"/>
  <c r="N3756" i="30" s="1"/>
  <c r="A3756" i="30"/>
  <c r="B3755" i="30"/>
  <c r="N3755" i="30" s="1"/>
  <c r="A3755" i="30"/>
  <c r="B3754" i="30"/>
  <c r="N3754" i="30" s="1"/>
  <c r="A3754" i="30"/>
  <c r="B3753" i="30"/>
  <c r="N3753" i="30" s="1"/>
  <c r="A3753" i="30"/>
  <c r="B3752" i="30"/>
  <c r="N3752" i="30" s="1"/>
  <c r="A3752" i="30"/>
  <c r="B3751" i="30"/>
  <c r="N3751" i="30" s="1"/>
  <c r="A3751" i="30"/>
  <c r="B3750" i="30"/>
  <c r="N3750" i="30" s="1"/>
  <c r="A3750" i="30"/>
  <c r="B3749" i="30"/>
  <c r="N3749" i="30" s="1"/>
  <c r="A3749" i="30"/>
  <c r="B3748" i="30"/>
  <c r="N3748" i="30" s="1"/>
  <c r="A3748" i="30"/>
  <c r="B3747" i="30"/>
  <c r="N3747" i="30" s="1"/>
  <c r="A3747" i="30"/>
  <c r="B3746" i="30"/>
  <c r="N3746" i="30" s="1"/>
  <c r="A3746" i="30"/>
  <c r="B3745" i="30"/>
  <c r="N3745" i="30" s="1"/>
  <c r="A3745" i="30"/>
  <c r="B3744" i="30"/>
  <c r="N3744" i="30" s="1"/>
  <c r="A3744" i="30"/>
  <c r="B3743" i="30"/>
  <c r="N3743" i="30" s="1"/>
  <c r="A3743" i="30"/>
  <c r="B3742" i="30"/>
  <c r="N3742" i="30" s="1"/>
  <c r="A3742" i="30"/>
  <c r="B3741" i="30"/>
  <c r="N3741" i="30" s="1"/>
  <c r="A3741" i="30"/>
  <c r="B3740" i="30"/>
  <c r="N3740" i="30" s="1"/>
  <c r="A3740" i="30"/>
  <c r="B3739" i="30"/>
  <c r="N3739" i="30" s="1"/>
  <c r="A3739" i="30"/>
  <c r="B3738" i="30"/>
  <c r="N3738" i="30" s="1"/>
  <c r="A3738" i="30"/>
  <c r="B3737" i="30"/>
  <c r="N3737" i="30" s="1"/>
  <c r="A3737" i="30"/>
  <c r="B3736" i="30"/>
  <c r="N3736" i="30" s="1"/>
  <c r="A3736" i="30"/>
  <c r="B3735" i="30"/>
  <c r="A3735" i="30"/>
  <c r="B3734" i="30"/>
  <c r="A3734" i="30"/>
  <c r="B3733" i="30"/>
  <c r="A3733" i="30"/>
  <c r="B3732" i="30"/>
  <c r="A3732" i="30"/>
  <c r="B3731" i="30"/>
  <c r="N3731" i="30" s="1"/>
  <c r="A3731" i="30"/>
  <c r="B3730" i="30"/>
  <c r="N3730" i="30" s="1"/>
  <c r="A3730" i="30"/>
  <c r="B3729" i="30"/>
  <c r="N3729" i="30" s="1"/>
  <c r="A3729" i="30"/>
  <c r="B3728" i="30"/>
  <c r="N3728" i="30" s="1"/>
  <c r="A3728" i="30"/>
  <c r="B3727" i="30"/>
  <c r="N3727" i="30" s="1"/>
  <c r="A3727" i="30"/>
  <c r="B3726" i="30"/>
  <c r="N3726" i="30" s="1"/>
  <c r="A3726" i="30"/>
  <c r="B3725" i="30"/>
  <c r="N3725" i="30" s="1"/>
  <c r="A3725" i="30"/>
  <c r="B3724" i="30"/>
  <c r="N3724" i="30" s="1"/>
  <c r="A3724" i="30"/>
  <c r="B3723" i="30"/>
  <c r="N3723" i="30" s="1"/>
  <c r="A3723" i="30"/>
  <c r="B3722" i="30"/>
  <c r="N3722" i="30" s="1"/>
  <c r="A3722" i="30"/>
  <c r="B3721" i="30"/>
  <c r="N3721" i="30" s="1"/>
  <c r="A3721" i="30"/>
  <c r="B3720" i="30"/>
  <c r="N3720" i="30" s="1"/>
  <c r="A3720" i="30"/>
  <c r="B3719" i="30"/>
  <c r="N3719" i="30" s="1"/>
  <c r="A3719" i="30"/>
  <c r="B3718" i="30"/>
  <c r="N3718" i="30" s="1"/>
  <c r="A3718" i="30"/>
  <c r="B3717" i="30"/>
  <c r="N3717" i="30" s="1"/>
  <c r="A3717" i="30"/>
  <c r="B3716" i="30"/>
  <c r="N3716" i="30" s="1"/>
  <c r="A3716" i="30"/>
  <c r="B3715" i="30"/>
  <c r="N3715" i="30" s="1"/>
  <c r="A3715" i="30"/>
  <c r="B3714" i="30"/>
  <c r="N3714" i="30" s="1"/>
  <c r="A3714" i="30"/>
  <c r="B3713" i="30"/>
  <c r="N3713" i="30" s="1"/>
  <c r="A3713" i="30"/>
  <c r="B3712" i="30"/>
  <c r="N3712" i="30" s="1"/>
  <c r="A3712" i="30"/>
  <c r="B3711" i="30"/>
  <c r="N3711" i="30" s="1"/>
  <c r="A3711" i="30"/>
  <c r="B3710" i="30"/>
  <c r="N3710" i="30" s="1"/>
  <c r="A3710" i="30"/>
  <c r="B3709" i="30"/>
  <c r="N3709" i="30" s="1"/>
  <c r="A3709" i="30"/>
  <c r="B3708" i="30"/>
  <c r="N3708" i="30" s="1"/>
  <c r="A3708" i="30"/>
  <c r="B3707" i="30"/>
  <c r="N3707" i="30" s="1"/>
  <c r="A3707" i="30"/>
  <c r="B3706" i="30"/>
  <c r="N3706" i="30" s="1"/>
  <c r="A3706" i="30"/>
  <c r="B3705" i="30"/>
  <c r="N3705" i="30" s="1"/>
  <c r="A3705" i="30"/>
  <c r="B3704" i="30"/>
  <c r="N3704" i="30" s="1"/>
  <c r="A3704" i="30"/>
  <c r="B3703" i="30"/>
  <c r="N3703" i="30" s="1"/>
  <c r="A3703" i="30"/>
  <c r="B3702" i="30"/>
  <c r="N3702" i="30" s="1"/>
  <c r="A3702" i="30"/>
  <c r="B3701" i="30"/>
  <c r="N3701" i="30" s="1"/>
  <c r="A3701" i="30"/>
  <c r="B3700" i="30"/>
  <c r="N3700" i="30" s="1"/>
  <c r="A3700" i="30"/>
  <c r="B3699" i="30"/>
  <c r="N3699" i="30" s="1"/>
  <c r="A3699" i="30"/>
  <c r="B3698" i="30"/>
  <c r="N3698" i="30" s="1"/>
  <c r="A3698" i="30"/>
  <c r="B3697" i="30"/>
  <c r="N3697" i="30" s="1"/>
  <c r="A3697" i="30"/>
  <c r="B3696" i="30"/>
  <c r="N3696" i="30" s="1"/>
  <c r="A3696" i="30"/>
  <c r="B3695" i="30"/>
  <c r="N3695" i="30" s="1"/>
  <c r="A3695" i="30"/>
  <c r="B3694" i="30"/>
  <c r="N3694" i="30" s="1"/>
  <c r="A3694" i="30"/>
  <c r="B3693" i="30"/>
  <c r="N3693" i="30" s="1"/>
  <c r="A3693" i="30"/>
  <c r="B3692" i="30"/>
  <c r="N3692" i="30" s="1"/>
  <c r="A3692" i="30"/>
  <c r="B3691" i="30"/>
  <c r="N3691" i="30" s="1"/>
  <c r="A3691" i="30"/>
  <c r="B3690" i="30"/>
  <c r="N3690" i="30" s="1"/>
  <c r="A3690" i="30"/>
  <c r="B3689" i="30"/>
  <c r="N3689" i="30" s="1"/>
  <c r="A3689" i="30"/>
  <c r="B3688" i="30"/>
  <c r="N3688" i="30" s="1"/>
  <c r="A3688" i="30"/>
  <c r="B3687" i="30"/>
  <c r="N3687" i="30" s="1"/>
  <c r="A3687" i="30"/>
  <c r="B3686" i="30"/>
  <c r="N3686" i="30" s="1"/>
  <c r="A3686" i="30"/>
  <c r="B3685" i="30"/>
  <c r="N3685" i="30" s="1"/>
  <c r="A3685" i="30"/>
  <c r="B3684" i="30"/>
  <c r="N3684" i="30" s="1"/>
  <c r="A3684" i="30"/>
  <c r="B3683" i="30"/>
  <c r="N3683" i="30" s="1"/>
  <c r="A3683" i="30"/>
  <c r="B3682" i="30"/>
  <c r="N3682" i="30" s="1"/>
  <c r="A3682" i="30"/>
  <c r="B3681" i="30"/>
  <c r="N3681" i="30" s="1"/>
  <c r="A3681" i="30"/>
  <c r="B3680" i="30"/>
  <c r="N3680" i="30" s="1"/>
  <c r="A3680" i="30"/>
  <c r="B3679" i="30"/>
  <c r="N3679" i="30" s="1"/>
  <c r="A3679" i="30"/>
  <c r="B3678" i="30"/>
  <c r="N3678" i="30" s="1"/>
  <c r="A3678" i="30"/>
  <c r="B3677" i="30"/>
  <c r="N3677" i="30" s="1"/>
  <c r="A3677" i="30"/>
  <c r="B3676" i="30"/>
  <c r="N3676" i="30" s="1"/>
  <c r="A3676" i="30"/>
  <c r="B3675" i="30"/>
  <c r="N3675" i="30" s="1"/>
  <c r="A3675" i="30"/>
  <c r="B3674" i="30"/>
  <c r="N3674" i="30" s="1"/>
  <c r="A3674" i="30"/>
  <c r="B3673" i="30"/>
  <c r="N3673" i="30" s="1"/>
  <c r="A3673" i="30"/>
  <c r="B3672" i="30"/>
  <c r="N3672" i="30" s="1"/>
  <c r="A3672" i="30"/>
  <c r="B3671" i="30"/>
  <c r="N3671" i="30" s="1"/>
  <c r="A3671" i="30"/>
  <c r="B3670" i="30"/>
  <c r="N3670" i="30" s="1"/>
  <c r="A3670" i="30"/>
  <c r="B3669" i="30"/>
  <c r="N3669" i="30" s="1"/>
  <c r="A3669" i="30"/>
  <c r="B3668" i="30"/>
  <c r="N3668" i="30" s="1"/>
  <c r="A3668" i="30"/>
  <c r="B3667" i="30"/>
  <c r="N3667" i="30" s="1"/>
  <c r="A3667" i="30"/>
  <c r="B3666" i="30"/>
  <c r="N3666" i="30" s="1"/>
  <c r="A3666" i="30"/>
  <c r="B3665" i="30"/>
  <c r="N3665" i="30" s="1"/>
  <c r="A3665" i="30"/>
  <c r="B3664" i="30"/>
  <c r="N3664" i="30" s="1"/>
  <c r="A3664" i="30"/>
  <c r="B3663" i="30"/>
  <c r="N3663" i="30" s="1"/>
  <c r="A3663" i="30"/>
  <c r="B3662" i="30"/>
  <c r="N3662" i="30" s="1"/>
  <c r="A3662" i="30"/>
  <c r="B3661" i="30"/>
  <c r="N3661" i="30" s="1"/>
  <c r="A3661" i="30"/>
  <c r="B3660" i="30"/>
  <c r="N3660" i="30" s="1"/>
  <c r="A3660" i="30"/>
  <c r="B3659" i="30"/>
  <c r="N3659" i="30" s="1"/>
  <c r="A3659" i="30"/>
  <c r="B3658" i="30"/>
  <c r="N3658" i="30" s="1"/>
  <c r="A3658" i="30"/>
  <c r="B3657" i="30"/>
  <c r="N3657" i="30" s="1"/>
  <c r="A3657" i="30"/>
  <c r="B3656" i="30"/>
  <c r="N3656" i="30" s="1"/>
  <c r="A3656" i="30"/>
  <c r="B3655" i="30"/>
  <c r="N3655" i="30" s="1"/>
  <c r="A3655" i="30"/>
  <c r="B3654" i="30"/>
  <c r="N3654" i="30" s="1"/>
  <c r="A3654" i="30"/>
  <c r="B3653" i="30"/>
  <c r="N3653" i="30" s="1"/>
  <c r="A3653" i="30"/>
  <c r="B3652" i="30"/>
  <c r="N3652" i="30" s="1"/>
  <c r="A3652" i="30"/>
  <c r="B3651" i="30"/>
  <c r="N3651" i="30" s="1"/>
  <c r="A3651" i="30"/>
  <c r="B3650" i="30"/>
  <c r="N3650" i="30" s="1"/>
  <c r="A3650" i="30"/>
  <c r="B3649" i="30"/>
  <c r="N3649" i="30" s="1"/>
  <c r="A3649" i="30"/>
  <c r="B3648" i="30"/>
  <c r="N3648" i="30" s="1"/>
  <c r="A3648" i="30"/>
  <c r="B3647" i="30"/>
  <c r="N3647" i="30" s="1"/>
  <c r="A3647" i="30"/>
  <c r="B3646" i="30"/>
  <c r="N3646" i="30" s="1"/>
  <c r="A3646" i="30"/>
  <c r="B3645" i="30"/>
  <c r="N3645" i="30" s="1"/>
  <c r="A3645" i="30"/>
  <c r="B3644" i="30"/>
  <c r="N3644" i="30" s="1"/>
  <c r="A3644" i="30"/>
  <c r="B3643" i="30"/>
  <c r="N3643" i="30" s="1"/>
  <c r="A3643" i="30"/>
  <c r="B3642" i="30"/>
  <c r="N3642" i="30" s="1"/>
  <c r="A3642" i="30"/>
  <c r="B3641" i="30"/>
  <c r="N3641" i="30" s="1"/>
  <c r="A3641" i="30"/>
  <c r="B3640" i="30"/>
  <c r="N3640" i="30" s="1"/>
  <c r="A3640" i="30"/>
  <c r="B3639" i="30"/>
  <c r="N3639" i="30" s="1"/>
  <c r="A3639" i="30"/>
  <c r="B3638" i="30"/>
  <c r="A3638" i="30"/>
  <c r="B3637" i="30"/>
  <c r="A3637" i="30"/>
  <c r="B3636" i="30"/>
  <c r="A3636" i="30"/>
  <c r="B3635" i="30"/>
  <c r="A3635" i="30"/>
  <c r="B3634" i="30"/>
  <c r="A3634" i="30"/>
  <c r="B3633" i="30"/>
  <c r="A3633" i="30"/>
  <c r="B3632" i="30"/>
  <c r="A3632" i="30"/>
  <c r="B3631" i="30"/>
  <c r="A3631" i="30"/>
  <c r="B3630" i="30"/>
  <c r="A3630" i="30"/>
  <c r="B3629" i="30"/>
  <c r="A3629" i="30"/>
  <c r="B3628" i="30"/>
  <c r="A3628" i="30"/>
  <c r="B3627" i="30"/>
  <c r="A3627" i="30"/>
  <c r="B3626" i="30"/>
  <c r="A3626" i="30"/>
  <c r="B3625" i="30"/>
  <c r="A3625" i="30"/>
  <c r="B3624" i="30"/>
  <c r="A3624" i="30"/>
  <c r="B3623" i="30"/>
  <c r="N3623" i="30" s="1"/>
  <c r="A3623" i="30"/>
  <c r="B3622" i="30"/>
  <c r="N3622" i="30" s="1"/>
  <c r="A3622" i="30"/>
  <c r="B3621" i="30"/>
  <c r="N3621" i="30" s="1"/>
  <c r="A3621" i="30"/>
  <c r="B3620" i="30"/>
  <c r="N3620" i="30" s="1"/>
  <c r="A3620" i="30"/>
  <c r="B3619" i="30"/>
  <c r="N3619" i="30" s="1"/>
  <c r="A3619" i="30"/>
  <c r="B3618" i="30"/>
  <c r="N3618" i="30" s="1"/>
  <c r="A3618" i="30"/>
  <c r="B3617" i="30"/>
  <c r="N3617" i="30" s="1"/>
  <c r="A3617" i="30"/>
  <c r="B3611" i="30"/>
  <c r="N3611" i="30" s="1"/>
  <c r="A3611" i="30"/>
  <c r="B3610" i="30"/>
  <c r="A3610" i="30"/>
  <c r="B3609" i="30"/>
  <c r="A3609" i="30"/>
  <c r="B3608" i="30"/>
  <c r="A3608" i="30"/>
  <c r="B3607" i="30"/>
  <c r="A3607" i="30"/>
  <c r="B3606" i="30"/>
  <c r="A3606" i="30"/>
  <c r="B3605" i="30"/>
  <c r="A3605" i="30"/>
  <c r="B3604" i="30"/>
  <c r="A3604" i="30"/>
  <c r="B3603" i="30"/>
  <c r="A3603" i="30"/>
  <c r="B3602" i="30"/>
  <c r="A3602" i="30"/>
  <c r="B3601" i="30"/>
  <c r="A3601" i="30"/>
  <c r="B3600" i="30"/>
  <c r="A3600" i="30"/>
  <c r="B3599" i="30"/>
  <c r="A3599" i="30"/>
  <c r="B3598" i="30"/>
  <c r="A3598" i="30"/>
  <c r="B3597" i="30"/>
  <c r="A3597" i="30"/>
  <c r="B3596" i="30"/>
  <c r="A3596" i="30"/>
  <c r="B3595" i="30"/>
  <c r="A3595" i="30"/>
  <c r="B3594" i="30"/>
  <c r="A3594" i="30"/>
  <c r="B3593" i="30"/>
  <c r="A3593" i="30"/>
  <c r="B3592" i="30"/>
  <c r="A3592" i="30"/>
  <c r="B3591" i="30"/>
  <c r="A3591" i="30"/>
  <c r="B3590" i="30"/>
  <c r="A3590" i="30"/>
  <c r="B3589" i="30"/>
  <c r="A3589" i="30"/>
  <c r="B3588" i="30"/>
  <c r="A3588" i="30"/>
  <c r="B3587" i="30"/>
  <c r="A3587" i="30"/>
  <c r="B3586" i="30"/>
  <c r="A3586" i="30"/>
  <c r="B3585" i="30"/>
  <c r="A3585" i="30"/>
  <c r="B3584" i="30"/>
  <c r="A3584" i="30"/>
  <c r="B3583" i="30"/>
  <c r="A3583" i="30"/>
  <c r="B3582" i="30"/>
  <c r="A3582" i="30"/>
  <c r="B3581" i="30"/>
  <c r="A3581" i="30"/>
  <c r="B3580" i="30"/>
  <c r="N3580" i="30" s="1"/>
  <c r="A3580" i="30"/>
  <c r="B3579" i="30"/>
  <c r="N3579" i="30" s="1"/>
  <c r="A3579" i="30"/>
  <c r="B3578" i="30"/>
  <c r="N3578" i="30" s="1"/>
  <c r="A3578" i="30"/>
  <c r="B3577" i="30"/>
  <c r="N3577" i="30" s="1"/>
  <c r="A3577" i="30"/>
  <c r="B3576" i="30"/>
  <c r="N3576" i="30" s="1"/>
  <c r="A3576" i="30"/>
  <c r="B3575" i="30"/>
  <c r="N3575" i="30" s="1"/>
  <c r="A3575" i="30"/>
  <c r="B3574" i="30"/>
  <c r="N3574" i="30" s="1"/>
  <c r="A3574" i="30"/>
  <c r="B3573" i="30"/>
  <c r="N3573" i="30" s="1"/>
  <c r="A3573" i="30"/>
  <c r="B3572" i="30"/>
  <c r="N3572" i="30" s="1"/>
  <c r="A3572" i="30"/>
  <c r="B3571" i="30"/>
  <c r="N3571" i="30" s="1"/>
  <c r="A3571" i="30"/>
  <c r="B3570" i="30"/>
  <c r="N3570" i="30" s="1"/>
  <c r="A3570" i="30"/>
  <c r="B3569" i="30"/>
  <c r="N3569" i="30" s="1"/>
  <c r="A3569" i="30"/>
  <c r="B3568" i="30"/>
  <c r="N3568" i="30" s="1"/>
  <c r="A3568" i="30"/>
  <c r="B3567" i="30"/>
  <c r="N3567" i="30" s="1"/>
  <c r="A3567" i="30"/>
  <c r="B3566" i="30"/>
  <c r="N3566" i="30" s="1"/>
  <c r="A3566" i="30"/>
  <c r="B3565" i="30"/>
  <c r="N3565" i="30" s="1"/>
  <c r="A3565" i="30"/>
  <c r="B3564" i="30"/>
  <c r="N3564" i="30" s="1"/>
  <c r="A3564" i="30"/>
  <c r="B3563" i="30"/>
  <c r="N3563" i="30" s="1"/>
  <c r="A3563" i="30"/>
  <c r="B3562" i="30"/>
  <c r="N3562" i="30" s="1"/>
  <c r="A3562" i="30"/>
  <c r="B3561" i="30"/>
  <c r="N3561" i="30" s="1"/>
  <c r="A3561" i="30"/>
  <c r="B3560" i="30"/>
  <c r="N3560" i="30" s="1"/>
  <c r="A3560" i="30"/>
  <c r="B3559" i="30"/>
  <c r="N3559" i="30" s="1"/>
  <c r="A3559" i="30"/>
  <c r="B3558" i="30"/>
  <c r="N3558" i="30" s="1"/>
  <c r="A3558" i="30"/>
  <c r="B3557" i="30"/>
  <c r="N3557" i="30" s="1"/>
  <c r="A3557" i="30"/>
  <c r="B3556" i="30"/>
  <c r="N3556" i="30" s="1"/>
  <c r="A3556" i="30"/>
  <c r="B3555" i="30"/>
  <c r="N3555" i="30" s="1"/>
  <c r="A3555" i="30"/>
  <c r="B3554" i="30"/>
  <c r="N3554" i="30" s="1"/>
  <c r="A3554" i="30"/>
  <c r="B3553" i="30"/>
  <c r="N3553" i="30" s="1"/>
  <c r="A3553" i="30"/>
  <c r="B3552" i="30"/>
  <c r="N3552" i="30" s="1"/>
  <c r="A3552" i="30"/>
  <c r="B3551" i="30"/>
  <c r="N3551" i="30" s="1"/>
  <c r="A3551" i="30"/>
  <c r="B3550" i="30"/>
  <c r="N3550" i="30" s="1"/>
  <c r="A3550" i="30"/>
  <c r="B3549" i="30"/>
  <c r="N3549" i="30" s="1"/>
  <c r="A3549" i="30"/>
  <c r="B3548" i="30"/>
  <c r="N3548" i="30" s="1"/>
  <c r="A3548" i="30"/>
  <c r="B3547" i="30"/>
  <c r="N3547" i="30" s="1"/>
  <c r="A3547" i="30"/>
  <c r="B3546" i="30"/>
  <c r="N3546" i="30" s="1"/>
  <c r="A3546" i="30"/>
  <c r="B3520" i="30"/>
  <c r="N3520" i="30" s="1"/>
  <c r="A3520" i="30"/>
  <c r="B3519" i="30"/>
  <c r="N3519" i="30" s="1"/>
  <c r="A3519" i="30"/>
  <c r="B3518" i="30"/>
  <c r="N3518" i="30" s="1"/>
  <c r="A3518" i="30"/>
  <c r="B3517" i="30"/>
  <c r="N3517" i="30" s="1"/>
  <c r="A3517" i="30"/>
  <c r="B3516" i="30"/>
  <c r="N3516" i="30" s="1"/>
  <c r="A3516" i="30"/>
  <c r="B3515" i="30"/>
  <c r="N3515" i="30" s="1"/>
  <c r="A3515" i="30"/>
  <c r="B3514" i="30"/>
  <c r="N3514" i="30" s="1"/>
  <c r="A3514" i="30"/>
  <c r="B3513" i="30"/>
  <c r="N3513" i="30" s="1"/>
  <c r="A3513" i="30"/>
  <c r="B3512" i="30"/>
  <c r="N3512" i="30" s="1"/>
  <c r="A3512" i="30"/>
  <c r="B3511" i="30"/>
  <c r="N3511" i="30" s="1"/>
  <c r="A3511" i="30"/>
  <c r="B3510" i="30"/>
  <c r="N3510" i="30" s="1"/>
  <c r="A3510" i="30"/>
  <c r="B3509" i="30"/>
  <c r="N3509" i="30" s="1"/>
  <c r="A3509" i="30"/>
  <c r="B3508" i="30"/>
  <c r="N3508" i="30" s="1"/>
  <c r="A3508" i="30"/>
  <c r="B3507" i="30"/>
  <c r="N3507" i="30" s="1"/>
  <c r="A3507" i="30"/>
  <c r="B3506" i="30"/>
  <c r="N3506" i="30" s="1"/>
  <c r="A3506" i="30"/>
  <c r="B3505" i="30"/>
  <c r="N3505" i="30" s="1"/>
  <c r="A3505" i="30"/>
  <c r="B3504" i="30"/>
  <c r="N3504" i="30" s="1"/>
  <c r="A3504" i="30"/>
  <c r="B3503" i="30"/>
  <c r="N3503" i="30" s="1"/>
  <c r="A3503" i="30"/>
  <c r="B3502" i="30"/>
  <c r="N3502" i="30" s="1"/>
  <c r="A3502" i="30"/>
  <c r="B3501" i="30"/>
  <c r="N3501" i="30" s="1"/>
  <c r="A3501" i="30"/>
  <c r="B3500" i="30"/>
  <c r="N3500" i="30" s="1"/>
  <c r="A3500" i="30"/>
  <c r="B3499" i="30"/>
  <c r="N3499" i="30" s="1"/>
  <c r="A3499" i="30"/>
  <c r="B3498" i="30"/>
  <c r="N3498" i="30" s="1"/>
  <c r="A3498" i="30"/>
  <c r="B3497" i="30"/>
  <c r="N3497" i="30" s="1"/>
  <c r="A3497" i="30"/>
  <c r="B3496" i="30"/>
  <c r="N3496" i="30" s="1"/>
  <c r="A3496" i="30"/>
  <c r="B3495" i="30"/>
  <c r="N3495" i="30" s="1"/>
  <c r="A3495" i="30"/>
  <c r="B3494" i="30"/>
  <c r="N3494" i="30" s="1"/>
  <c r="A3494" i="30"/>
  <c r="B3493" i="30"/>
  <c r="N3493" i="30" s="1"/>
  <c r="A3493" i="30"/>
  <c r="B3492" i="30"/>
  <c r="N3492" i="30" s="1"/>
  <c r="A3492" i="30"/>
  <c r="B3491" i="30"/>
  <c r="N3491" i="30" s="1"/>
  <c r="A3491" i="30"/>
  <c r="B3490" i="30"/>
  <c r="N3490" i="30" s="1"/>
  <c r="A3490" i="30"/>
  <c r="B3489" i="30"/>
  <c r="N3489" i="30" s="1"/>
  <c r="A3489" i="30"/>
  <c r="B3488" i="30"/>
  <c r="N3488" i="30" s="1"/>
  <c r="A3488" i="30"/>
  <c r="B3487" i="30"/>
  <c r="N3487" i="30" s="1"/>
  <c r="A3487" i="30"/>
  <c r="B3486" i="30"/>
  <c r="N3486" i="30" s="1"/>
  <c r="A3486" i="30"/>
  <c r="B3485" i="30"/>
  <c r="N3485" i="30" s="1"/>
  <c r="A3485" i="30"/>
  <c r="B3484" i="30"/>
  <c r="N3484" i="30" s="1"/>
  <c r="A3484" i="30"/>
  <c r="B3483" i="30"/>
  <c r="N3483" i="30" s="1"/>
  <c r="A3483" i="30"/>
  <c r="B3482" i="30"/>
  <c r="N3482" i="30" s="1"/>
  <c r="A3482" i="30"/>
  <c r="B3481" i="30"/>
  <c r="A3481" i="30"/>
  <c r="B3480" i="30"/>
  <c r="A3480" i="30"/>
  <c r="B3479" i="30"/>
  <c r="A3479" i="30"/>
  <c r="B3478" i="30"/>
  <c r="A3478" i="30"/>
  <c r="B3477" i="30"/>
  <c r="A3477" i="30"/>
  <c r="B3476" i="30"/>
  <c r="A3476" i="30"/>
  <c r="B3475" i="30"/>
  <c r="N3475" i="30" s="1"/>
  <c r="A3475" i="30"/>
  <c r="B3474" i="30"/>
  <c r="N3474" i="30" s="1"/>
  <c r="A3474" i="30"/>
  <c r="B3473" i="30"/>
  <c r="N3473" i="30" s="1"/>
  <c r="A3473" i="30"/>
  <c r="B3472" i="30"/>
  <c r="N3472" i="30" s="1"/>
  <c r="A3472" i="30"/>
  <c r="B3471" i="30"/>
  <c r="N3471" i="30" s="1"/>
  <c r="A3471" i="30"/>
  <c r="B3469" i="30"/>
  <c r="N3469" i="30" s="1"/>
  <c r="A3469" i="30"/>
  <c r="B3468" i="30"/>
  <c r="N3468" i="30" s="1"/>
  <c r="A3468" i="30"/>
  <c r="B3467" i="30"/>
  <c r="N3467" i="30" s="1"/>
  <c r="A3467" i="30"/>
  <c r="B3466" i="30"/>
  <c r="N3466" i="30" s="1"/>
  <c r="A3466" i="30"/>
  <c r="B3465" i="30"/>
  <c r="N3465" i="30" s="1"/>
  <c r="A3465" i="30"/>
  <c r="B3464" i="30"/>
  <c r="N3464" i="30" s="1"/>
  <c r="A3464" i="30"/>
  <c r="B3463" i="30"/>
  <c r="N3463" i="30" s="1"/>
  <c r="A3463" i="30"/>
  <c r="B3462" i="30"/>
  <c r="N3462" i="30" s="1"/>
  <c r="A3462" i="30"/>
  <c r="B3461" i="30"/>
  <c r="N3461" i="30" s="1"/>
  <c r="A3461" i="30"/>
  <c r="B3460" i="30"/>
  <c r="N3460" i="30" s="1"/>
  <c r="A3460" i="30"/>
  <c r="B3459" i="30"/>
  <c r="N3459" i="30" s="1"/>
  <c r="A3459" i="30"/>
  <c r="B3458" i="30"/>
  <c r="N3458" i="30" s="1"/>
  <c r="A3458" i="30"/>
  <c r="B3457" i="30"/>
  <c r="N3457" i="30" s="1"/>
  <c r="A3457" i="30"/>
  <c r="B3456" i="30"/>
  <c r="N3456" i="30" s="1"/>
  <c r="A3456" i="30"/>
  <c r="B3455" i="30"/>
  <c r="N3455" i="30" s="1"/>
  <c r="A3455" i="30"/>
  <c r="B3454" i="30"/>
  <c r="N3454" i="30" s="1"/>
  <c r="A3454" i="30"/>
  <c r="B3453" i="30"/>
  <c r="N3453" i="30" s="1"/>
  <c r="A3453" i="30"/>
  <c r="B3452" i="30"/>
  <c r="N3452" i="30" s="1"/>
  <c r="A3452" i="30"/>
  <c r="B3451" i="30"/>
  <c r="N3451" i="30" s="1"/>
  <c r="A3451" i="30"/>
  <c r="B3450" i="30"/>
  <c r="N3450" i="30" s="1"/>
  <c r="A3450" i="30"/>
  <c r="B3449" i="30"/>
  <c r="N3449" i="30" s="1"/>
  <c r="A3449" i="30"/>
  <c r="B3448" i="30"/>
  <c r="N3448" i="30" s="1"/>
  <c r="A3448" i="30"/>
  <c r="B3447" i="30"/>
  <c r="N3447" i="30" s="1"/>
  <c r="A3447" i="30"/>
  <c r="B3446" i="30"/>
  <c r="N3446" i="30" s="1"/>
  <c r="A3446" i="30"/>
  <c r="B3445" i="30"/>
  <c r="N3445" i="30" s="1"/>
  <c r="A3445" i="30"/>
  <c r="B3444" i="30"/>
  <c r="N3444" i="30" s="1"/>
  <c r="A3444" i="30"/>
  <c r="B3443" i="30"/>
  <c r="N3443" i="30" s="1"/>
  <c r="A3443" i="30"/>
  <c r="B3442" i="30"/>
  <c r="N3442" i="30" s="1"/>
  <c r="A3442" i="30"/>
  <c r="B3441" i="30"/>
  <c r="N3441" i="30" s="1"/>
  <c r="A3441" i="30"/>
  <c r="B3440" i="30"/>
  <c r="N3440" i="30" s="1"/>
  <c r="A3440" i="30"/>
  <c r="B3439" i="30"/>
  <c r="N3439" i="30" s="1"/>
  <c r="A3439" i="30"/>
  <c r="B3438" i="30"/>
  <c r="N3438" i="30" s="1"/>
  <c r="A3438" i="30"/>
  <c r="B3437" i="30"/>
  <c r="N3437" i="30" s="1"/>
  <c r="A3437" i="30"/>
  <c r="B3436" i="30"/>
  <c r="N3436" i="30" s="1"/>
  <c r="A3436" i="30"/>
  <c r="B3435" i="30"/>
  <c r="N3435" i="30" s="1"/>
  <c r="A3435" i="30"/>
  <c r="B3434" i="30"/>
  <c r="N3434" i="30" s="1"/>
  <c r="A3434" i="30"/>
  <c r="B3433" i="30"/>
  <c r="N3433" i="30" s="1"/>
  <c r="A3433" i="30"/>
  <c r="B3432" i="30"/>
  <c r="N3432" i="30" s="1"/>
  <c r="A3432" i="30"/>
  <c r="B3431" i="30"/>
  <c r="N3431" i="30" s="1"/>
  <c r="A3431" i="30"/>
  <c r="B3430" i="30"/>
  <c r="N3430" i="30" s="1"/>
  <c r="A3430" i="30"/>
  <c r="B3429" i="30"/>
  <c r="N3429" i="30" s="1"/>
  <c r="A3429" i="30"/>
  <c r="B3428" i="30"/>
  <c r="N3428" i="30" s="1"/>
  <c r="A3428" i="30"/>
  <c r="B3427" i="30"/>
  <c r="N3427" i="30" s="1"/>
  <c r="A3427" i="30"/>
  <c r="B3426" i="30"/>
  <c r="N3426" i="30" s="1"/>
  <c r="A3426" i="30"/>
  <c r="B3425" i="30"/>
  <c r="N3425" i="30" s="1"/>
  <c r="A3425" i="30"/>
  <c r="B3424" i="30"/>
  <c r="N3424" i="30" s="1"/>
  <c r="A3424" i="30"/>
  <c r="B3423" i="30"/>
  <c r="N3423" i="30" s="1"/>
  <c r="A3423" i="30"/>
  <c r="B3422" i="30"/>
  <c r="N3422" i="30" s="1"/>
  <c r="A3422" i="30"/>
  <c r="B3421" i="30"/>
  <c r="N3421" i="30" s="1"/>
  <c r="A3421" i="30"/>
  <c r="B3420" i="30"/>
  <c r="N3420" i="30" s="1"/>
  <c r="A3420" i="30"/>
  <c r="B3419" i="30"/>
  <c r="N3419" i="30" s="1"/>
  <c r="A3419" i="30"/>
  <c r="B3418" i="30"/>
  <c r="A3418" i="30"/>
  <c r="B3417" i="30"/>
  <c r="A3417" i="30"/>
  <c r="B3416" i="30"/>
  <c r="A3416" i="30"/>
  <c r="B3415" i="30"/>
  <c r="A3415" i="30"/>
  <c r="B3414" i="30"/>
  <c r="A3414" i="30"/>
  <c r="B3413" i="30"/>
  <c r="A3413" i="30"/>
  <c r="B3412" i="30"/>
  <c r="N3412" i="30" s="1"/>
  <c r="A3412" i="30"/>
  <c r="B3411" i="30"/>
  <c r="N3411" i="30" s="1"/>
  <c r="A3411" i="30"/>
  <c r="B3410" i="30"/>
  <c r="N3410" i="30" s="1"/>
  <c r="A3410" i="30"/>
  <c r="B3409" i="30"/>
  <c r="N3409" i="30" s="1"/>
  <c r="A3409" i="30"/>
  <c r="B3408" i="30"/>
  <c r="N3408" i="30" s="1"/>
  <c r="A3408" i="30"/>
  <c r="B3407" i="30"/>
  <c r="N3407" i="30" s="1"/>
  <c r="A3407" i="30"/>
  <c r="B3406" i="30"/>
  <c r="N3406" i="30" s="1"/>
  <c r="A3406" i="30"/>
  <c r="B3405" i="30"/>
  <c r="N3405" i="30" s="1"/>
  <c r="A3405" i="30"/>
  <c r="B3403" i="30"/>
  <c r="N3403" i="30" s="1"/>
  <c r="A3403" i="30"/>
  <c r="B3402" i="30"/>
  <c r="N3402" i="30" s="1"/>
  <c r="A3402" i="30"/>
  <c r="B3401" i="30"/>
  <c r="N3401" i="30" s="1"/>
  <c r="A3401" i="30"/>
  <c r="B3400" i="30"/>
  <c r="N3400" i="30" s="1"/>
  <c r="A3400" i="30"/>
  <c r="B3399" i="30"/>
  <c r="N3399" i="30" s="1"/>
  <c r="A3399" i="30"/>
  <c r="B3398" i="30"/>
  <c r="N3398" i="30" s="1"/>
  <c r="A3398" i="30"/>
  <c r="B3397" i="30"/>
  <c r="N3397" i="30" s="1"/>
  <c r="A3397" i="30"/>
  <c r="B3396" i="30"/>
  <c r="N3396" i="30" s="1"/>
  <c r="A3396" i="30"/>
  <c r="B3395" i="30"/>
  <c r="N3395" i="30" s="1"/>
  <c r="A3395" i="30"/>
  <c r="B3394" i="30"/>
  <c r="N3394" i="30" s="1"/>
  <c r="A3394" i="30"/>
  <c r="B3393" i="30"/>
  <c r="N3393" i="30" s="1"/>
  <c r="A3393" i="30"/>
  <c r="B3392" i="30"/>
  <c r="N3392" i="30" s="1"/>
  <c r="A3392" i="30"/>
  <c r="B3391" i="30"/>
  <c r="N3391" i="30" s="1"/>
  <c r="A3391" i="30"/>
  <c r="B3390" i="30"/>
  <c r="N3390" i="30" s="1"/>
  <c r="A3390" i="30"/>
  <c r="B3389" i="30"/>
  <c r="N3389" i="30" s="1"/>
  <c r="A3389" i="30"/>
  <c r="B3388" i="30"/>
  <c r="N3388" i="30" s="1"/>
  <c r="A3388" i="30"/>
  <c r="B3387" i="30"/>
  <c r="N3387" i="30" s="1"/>
  <c r="A3387" i="30"/>
  <c r="B3386" i="30"/>
  <c r="N3386" i="30" s="1"/>
  <c r="A3386" i="30"/>
  <c r="B3385" i="30"/>
  <c r="N3385" i="30" s="1"/>
  <c r="A3385" i="30"/>
  <c r="B3384" i="30"/>
  <c r="N3384" i="30" s="1"/>
  <c r="A3384" i="30"/>
  <c r="B3383" i="30"/>
  <c r="N3383" i="30" s="1"/>
  <c r="A3383" i="30"/>
  <c r="B3382" i="30"/>
  <c r="N3382" i="30" s="1"/>
  <c r="A3382" i="30"/>
  <c r="B3381" i="30"/>
  <c r="N3381" i="30" s="1"/>
  <c r="A3381" i="30"/>
  <c r="B3380" i="30"/>
  <c r="N3380" i="30" s="1"/>
  <c r="A3380" i="30"/>
  <c r="B3379" i="30"/>
  <c r="N3379" i="30" s="1"/>
  <c r="A3379" i="30"/>
  <c r="B3378" i="30"/>
  <c r="N3378" i="30" s="1"/>
  <c r="A3378" i="30"/>
  <c r="B3377" i="30"/>
  <c r="N3377" i="30" s="1"/>
  <c r="A3377" i="30"/>
  <c r="B3376" i="30"/>
  <c r="N3376" i="30" s="1"/>
  <c r="A3376" i="30"/>
  <c r="B3375" i="30"/>
  <c r="N3375" i="30" s="1"/>
  <c r="A3375" i="30"/>
  <c r="B3374" i="30"/>
  <c r="N3374" i="30" s="1"/>
  <c r="A3374" i="30"/>
  <c r="B3373" i="30"/>
  <c r="N3373" i="30" s="1"/>
  <c r="A3373" i="30"/>
  <c r="B3372" i="30"/>
  <c r="N3372" i="30" s="1"/>
  <c r="A3372" i="30"/>
  <c r="B3371" i="30"/>
  <c r="N3371" i="30" s="1"/>
  <c r="A3371" i="30"/>
  <c r="B3370" i="30"/>
  <c r="N3370" i="30" s="1"/>
  <c r="A3370" i="30"/>
  <c r="B3369" i="30"/>
  <c r="N3369" i="30" s="1"/>
  <c r="A3369" i="30"/>
  <c r="B3368" i="30"/>
  <c r="N3368" i="30" s="1"/>
  <c r="A3368" i="30"/>
  <c r="B3367" i="30"/>
  <c r="N3367" i="30" s="1"/>
  <c r="A3367" i="30"/>
  <c r="B3366" i="30"/>
  <c r="N3366" i="30" s="1"/>
  <c r="A3366" i="30"/>
  <c r="B3365" i="30"/>
  <c r="N3365" i="30" s="1"/>
  <c r="A3365" i="30"/>
  <c r="B3364" i="30"/>
  <c r="N3364" i="30" s="1"/>
  <c r="A3364" i="30"/>
  <c r="B3363" i="30"/>
  <c r="N3363" i="30" s="1"/>
  <c r="A3363" i="30"/>
  <c r="B3362" i="30"/>
  <c r="N3362" i="30" s="1"/>
  <c r="A3362" i="30"/>
  <c r="B3361" i="30"/>
  <c r="N3361" i="30" s="1"/>
  <c r="A3361" i="30"/>
  <c r="B3360" i="30"/>
  <c r="N3360" i="30" s="1"/>
  <c r="A3360" i="30"/>
  <c r="B3359" i="30"/>
  <c r="N3359" i="30" s="1"/>
  <c r="A3359" i="30"/>
  <c r="B3358" i="30"/>
  <c r="N3358" i="30" s="1"/>
  <c r="A3358" i="30"/>
  <c r="B3357" i="30"/>
  <c r="N3357" i="30" s="1"/>
  <c r="A3357" i="30"/>
  <c r="B3356" i="30"/>
  <c r="N3356" i="30" s="1"/>
  <c r="A3356" i="30"/>
  <c r="B3355" i="30"/>
  <c r="N3355" i="30" s="1"/>
  <c r="A3355" i="30"/>
  <c r="B3354" i="30"/>
  <c r="N3354" i="30" s="1"/>
  <c r="A3354" i="30"/>
  <c r="B3353" i="30"/>
  <c r="N3353" i="30" s="1"/>
  <c r="A3353" i="30"/>
  <c r="B3352" i="30"/>
  <c r="N3352" i="30" s="1"/>
  <c r="A3352" i="30"/>
  <c r="B3351" i="30"/>
  <c r="N3351" i="30" s="1"/>
  <c r="A3351" i="30"/>
  <c r="B3350" i="30"/>
  <c r="N3350" i="30" s="1"/>
  <c r="A3350" i="30"/>
  <c r="B3349" i="30"/>
  <c r="N3349" i="30" s="1"/>
  <c r="A3349" i="30"/>
  <c r="B3348" i="30"/>
  <c r="N3348" i="30" s="1"/>
  <c r="A3348" i="30"/>
  <c r="B3347" i="30"/>
  <c r="N3347" i="30" s="1"/>
  <c r="A3347" i="30"/>
  <c r="B3346" i="30"/>
  <c r="N3346" i="30" s="1"/>
  <c r="A3346" i="30"/>
  <c r="B3345" i="30"/>
  <c r="N3345" i="30" s="1"/>
  <c r="A3345" i="30"/>
  <c r="B3344" i="30"/>
  <c r="N3344" i="30" s="1"/>
  <c r="A3344" i="30"/>
  <c r="B3342" i="30"/>
  <c r="N3342" i="30" s="1"/>
  <c r="A3342" i="30"/>
  <c r="B3341" i="30"/>
  <c r="N3341" i="30" s="1"/>
  <c r="A3341" i="30"/>
  <c r="B3340" i="30"/>
  <c r="N3340" i="30" s="1"/>
  <c r="A3340" i="30"/>
  <c r="B3339" i="30"/>
  <c r="N3339" i="30" s="1"/>
  <c r="A3339" i="30"/>
  <c r="B3338" i="30"/>
  <c r="N3338" i="30" s="1"/>
  <c r="A3338" i="30"/>
  <c r="B3337" i="30"/>
  <c r="N3337" i="30" s="1"/>
  <c r="A3337" i="30"/>
  <c r="B3336" i="30"/>
  <c r="N3336" i="30" s="1"/>
  <c r="A3336" i="30"/>
  <c r="B3335" i="30"/>
  <c r="N3335" i="30" s="1"/>
  <c r="A3335" i="30"/>
  <c r="B3334" i="30"/>
  <c r="N3334" i="30" s="1"/>
  <c r="A3334" i="30"/>
  <c r="B3333" i="30"/>
  <c r="N3333" i="30" s="1"/>
  <c r="A3333" i="30"/>
  <c r="B3332" i="30"/>
  <c r="N3332" i="30" s="1"/>
  <c r="A3332" i="30"/>
  <c r="B3331" i="30"/>
  <c r="N3331" i="30" s="1"/>
  <c r="A3331" i="30"/>
  <c r="B3330" i="30"/>
  <c r="N3330" i="30" s="1"/>
  <c r="A3330" i="30"/>
  <c r="B3329" i="30"/>
  <c r="N3329" i="30" s="1"/>
  <c r="A3329" i="30"/>
  <c r="B3328" i="30"/>
  <c r="N3328" i="30" s="1"/>
  <c r="A3328" i="30"/>
  <c r="B3327" i="30"/>
  <c r="N3327" i="30" s="1"/>
  <c r="A3327" i="30"/>
  <c r="B3326" i="30"/>
  <c r="N3326" i="30" s="1"/>
  <c r="A3326" i="30"/>
  <c r="B3325" i="30"/>
  <c r="N3325" i="30" s="1"/>
  <c r="A3325" i="30"/>
  <c r="B3324" i="30"/>
  <c r="N3324" i="30" s="1"/>
  <c r="A3324" i="30"/>
  <c r="B3323" i="30"/>
  <c r="N3323" i="30" s="1"/>
  <c r="A3323" i="30"/>
  <c r="B3322" i="30"/>
  <c r="N3322" i="30" s="1"/>
  <c r="A3322" i="30"/>
  <c r="B3321" i="30"/>
  <c r="N3321" i="30" s="1"/>
  <c r="A3321" i="30"/>
  <c r="B3320" i="30"/>
  <c r="N3320" i="30" s="1"/>
  <c r="A3320" i="30"/>
  <c r="B3319" i="30"/>
  <c r="N3319" i="30" s="1"/>
  <c r="A3319" i="30"/>
  <c r="B3318" i="30"/>
  <c r="N3318" i="30" s="1"/>
  <c r="A3318" i="30"/>
  <c r="B3317" i="30"/>
  <c r="N3317" i="30" s="1"/>
  <c r="A3317" i="30"/>
  <c r="B3316" i="30"/>
  <c r="N3316" i="30" s="1"/>
  <c r="A3316" i="30"/>
  <c r="B3315" i="30"/>
  <c r="N3315" i="30" s="1"/>
  <c r="A3315" i="30"/>
  <c r="B3314" i="30"/>
  <c r="N3314" i="30" s="1"/>
  <c r="A3314" i="30"/>
  <c r="B3313" i="30"/>
  <c r="N3313" i="30" s="1"/>
  <c r="A3313" i="30"/>
  <c r="B3312" i="30"/>
  <c r="N3312" i="30" s="1"/>
  <c r="A3312" i="30"/>
  <c r="B3311" i="30"/>
  <c r="N3311" i="30" s="1"/>
  <c r="A3311" i="30"/>
  <c r="B3310" i="30"/>
  <c r="N3310" i="30" s="1"/>
  <c r="A3310" i="30"/>
  <c r="B3309" i="30"/>
  <c r="N3309" i="30" s="1"/>
  <c r="A3309" i="30"/>
  <c r="B3308" i="30"/>
  <c r="N3308" i="30" s="1"/>
  <c r="A3308" i="30"/>
  <c r="B3307" i="30"/>
  <c r="N3307" i="30" s="1"/>
  <c r="A3307" i="30"/>
  <c r="B3306" i="30"/>
  <c r="N3306" i="30" s="1"/>
  <c r="A3306" i="30"/>
  <c r="B3305" i="30"/>
  <c r="N3305" i="30" s="1"/>
  <c r="A3305" i="30"/>
  <c r="B3304" i="30"/>
  <c r="N3304" i="30" s="1"/>
  <c r="A3304" i="30"/>
  <c r="B3303" i="30"/>
  <c r="N3303" i="30" s="1"/>
  <c r="A3303" i="30"/>
  <c r="B3302" i="30"/>
  <c r="N3302" i="30" s="1"/>
  <c r="A3302" i="30"/>
  <c r="B3301" i="30"/>
  <c r="N3301" i="30" s="1"/>
  <c r="A3301" i="30"/>
  <c r="B3300" i="30"/>
  <c r="N3300" i="30" s="1"/>
  <c r="A3300" i="30"/>
  <c r="B3299" i="30"/>
  <c r="N3299" i="30" s="1"/>
  <c r="A3299" i="30"/>
  <c r="B3298" i="30"/>
  <c r="N3298" i="30" s="1"/>
  <c r="A3298" i="30"/>
  <c r="B3297" i="30"/>
  <c r="N3297" i="30" s="1"/>
  <c r="A3297" i="30"/>
  <c r="B3296" i="30"/>
  <c r="N3296" i="30" s="1"/>
  <c r="A3296" i="30"/>
  <c r="B3295" i="30"/>
  <c r="N3295" i="30" s="1"/>
  <c r="A3295" i="30"/>
  <c r="B3294" i="30"/>
  <c r="N3294" i="30" s="1"/>
  <c r="A3294" i="30"/>
  <c r="B3293" i="30"/>
  <c r="N3293" i="30" s="1"/>
  <c r="A3293" i="30"/>
  <c r="B3292" i="30"/>
  <c r="N3292" i="30" s="1"/>
  <c r="A3292" i="30"/>
  <c r="B3291" i="30"/>
  <c r="N3291" i="30" s="1"/>
  <c r="A3291" i="30"/>
  <c r="B3290" i="30"/>
  <c r="N3290" i="30" s="1"/>
  <c r="A3290" i="30"/>
  <c r="B3289" i="30"/>
  <c r="N3289" i="30" s="1"/>
  <c r="A3289" i="30"/>
  <c r="B3288" i="30"/>
  <c r="N3288" i="30" s="1"/>
  <c r="A3288" i="30"/>
  <c r="B3287" i="30"/>
  <c r="N3287" i="30" s="1"/>
  <c r="A3287" i="30"/>
  <c r="B3286" i="30"/>
  <c r="N3286" i="30" s="1"/>
  <c r="A3286" i="30"/>
  <c r="B3285" i="30"/>
  <c r="N3285" i="30" s="1"/>
  <c r="A3285" i="30"/>
  <c r="B3284" i="30"/>
  <c r="N3284" i="30" s="1"/>
  <c r="A3284" i="30"/>
  <c r="B3283" i="30"/>
  <c r="N3283" i="30" s="1"/>
  <c r="A3283" i="30"/>
  <c r="B3282" i="30"/>
  <c r="N3282" i="30" s="1"/>
  <c r="A3282" i="30"/>
  <c r="B3281" i="30"/>
  <c r="N3281" i="30" s="1"/>
  <c r="A3281" i="30"/>
  <c r="B3261" i="30"/>
  <c r="A3261" i="30"/>
  <c r="B3260" i="30"/>
  <c r="A3260" i="30"/>
  <c r="B3259" i="30"/>
  <c r="A3259" i="30"/>
  <c r="B3258" i="30"/>
  <c r="A3258" i="30"/>
  <c r="B3257" i="30"/>
  <c r="A3257" i="30"/>
  <c r="B3256" i="30"/>
  <c r="A3256" i="30"/>
  <c r="B3255" i="30"/>
  <c r="A3255" i="30"/>
  <c r="B3254" i="30"/>
  <c r="A3254" i="30"/>
  <c r="B3253" i="30"/>
  <c r="A3253" i="30"/>
  <c r="B3252" i="30"/>
  <c r="A3252" i="30"/>
  <c r="B3251" i="30"/>
  <c r="A3251" i="30"/>
  <c r="B3250" i="30"/>
  <c r="A3250" i="30"/>
  <c r="B3249" i="30"/>
  <c r="A3249" i="30"/>
  <c r="B3248" i="30"/>
  <c r="A3248" i="30"/>
  <c r="B3247" i="30"/>
  <c r="A3247" i="30"/>
  <c r="B3246" i="30"/>
  <c r="A3246" i="30"/>
  <c r="B3245" i="30"/>
  <c r="A3245" i="30"/>
  <c r="B3244" i="30"/>
  <c r="A3244" i="30"/>
  <c r="B3243" i="30"/>
  <c r="A3243" i="30"/>
  <c r="B3242" i="30"/>
  <c r="A3242" i="30"/>
  <c r="B3241" i="30"/>
  <c r="A3241" i="30"/>
  <c r="B3240" i="30"/>
  <c r="A3240" i="30"/>
  <c r="B3239" i="30"/>
  <c r="A3239" i="30"/>
  <c r="B3238" i="30"/>
  <c r="A3238" i="30"/>
  <c r="B3237" i="30"/>
  <c r="A3237" i="30"/>
  <c r="B3236" i="30"/>
  <c r="N3236" i="30" s="1"/>
  <c r="A3236" i="30"/>
  <c r="B3235" i="30"/>
  <c r="N3235" i="30" s="1"/>
  <c r="A3235" i="30"/>
  <c r="B3234" i="30"/>
  <c r="N3234" i="30" s="1"/>
  <c r="A3234" i="30"/>
  <c r="B3233" i="30"/>
  <c r="N3233" i="30" s="1"/>
  <c r="A3233" i="30"/>
  <c r="B3232" i="30"/>
  <c r="N3232" i="30" s="1"/>
  <c r="A3232" i="30"/>
  <c r="B3231" i="30"/>
  <c r="N3231" i="30" s="1"/>
  <c r="A3231" i="30"/>
  <c r="B3230" i="30"/>
  <c r="N3230" i="30" s="1"/>
  <c r="A3230" i="30"/>
  <c r="B3229" i="30"/>
  <c r="N3229" i="30" s="1"/>
  <c r="A3229" i="30"/>
  <c r="B3228" i="30"/>
  <c r="A3228" i="30"/>
  <c r="B3227" i="30"/>
  <c r="A3227" i="30"/>
  <c r="B3226" i="30"/>
  <c r="A3226" i="30"/>
  <c r="B3225" i="30"/>
  <c r="A3225" i="30"/>
  <c r="B3224" i="30"/>
  <c r="A3224" i="30"/>
  <c r="B3223" i="30"/>
  <c r="A3223" i="30"/>
  <c r="B3222" i="30"/>
  <c r="A3222" i="30"/>
  <c r="B3221" i="30"/>
  <c r="A3221" i="30"/>
  <c r="B3220" i="30"/>
  <c r="N3220" i="30" s="1"/>
  <c r="A3220" i="30"/>
  <c r="B3219" i="30"/>
  <c r="N3219" i="30" s="1"/>
  <c r="A3219" i="30"/>
  <c r="B3218" i="30"/>
  <c r="N3218" i="30" s="1"/>
  <c r="A3218" i="30"/>
  <c r="B3217" i="30"/>
  <c r="N3217" i="30" s="1"/>
  <c r="A3217" i="30"/>
  <c r="B3216" i="30"/>
  <c r="N3216" i="30" s="1"/>
  <c r="A3216" i="30"/>
  <c r="B3215" i="30"/>
  <c r="N3215" i="30" s="1"/>
  <c r="A3215" i="30"/>
  <c r="B3214" i="30"/>
  <c r="N3214" i="30" s="1"/>
  <c r="A3214" i="30"/>
  <c r="B3213" i="30"/>
  <c r="N3213" i="30" s="1"/>
  <c r="A3213" i="30"/>
  <c r="B3212" i="30"/>
  <c r="N3212" i="30" s="1"/>
  <c r="A3212" i="30"/>
  <c r="B3211" i="30"/>
  <c r="N3211" i="30" s="1"/>
  <c r="A3211" i="30"/>
  <c r="B3210" i="30"/>
  <c r="N3210" i="30" s="1"/>
  <c r="A3210" i="30"/>
  <c r="B3209" i="30"/>
  <c r="N3209" i="30" s="1"/>
  <c r="A3209" i="30"/>
  <c r="B3208" i="30"/>
  <c r="N3208" i="30" s="1"/>
  <c r="A3208" i="30"/>
  <c r="B3207" i="30"/>
  <c r="N3207" i="30" s="1"/>
  <c r="A3207" i="30"/>
  <c r="B3206" i="30"/>
  <c r="N3206" i="30" s="1"/>
  <c r="A3206" i="30"/>
  <c r="B3205" i="30"/>
  <c r="N3205" i="30" s="1"/>
  <c r="A3205" i="30"/>
  <c r="B3204" i="30"/>
  <c r="N3204" i="30" s="1"/>
  <c r="A3204" i="30"/>
  <c r="B3203" i="30"/>
  <c r="N3203" i="30" s="1"/>
  <c r="A3203" i="30"/>
  <c r="B3202" i="30"/>
  <c r="N3202" i="30" s="1"/>
  <c r="A3202" i="30"/>
  <c r="B3201" i="30"/>
  <c r="N3201" i="30" s="1"/>
  <c r="A3201" i="30"/>
  <c r="B3200" i="30"/>
  <c r="N3200" i="30" s="1"/>
  <c r="A3200" i="30"/>
  <c r="B3199" i="30"/>
  <c r="N3199" i="30" s="1"/>
  <c r="A3199" i="30"/>
  <c r="B3198" i="30"/>
  <c r="N3198" i="30" s="1"/>
  <c r="A3198" i="30"/>
  <c r="B3197" i="30"/>
  <c r="N3197" i="30" s="1"/>
  <c r="A3197" i="30"/>
  <c r="B3196" i="30"/>
  <c r="N3196" i="30" s="1"/>
  <c r="A3196" i="30"/>
  <c r="B3195" i="30"/>
  <c r="N3195" i="30" s="1"/>
  <c r="A3195" i="30"/>
  <c r="B3194" i="30"/>
  <c r="N3194" i="30" s="1"/>
  <c r="A3194" i="30"/>
  <c r="B3193" i="30"/>
  <c r="N3193" i="30" s="1"/>
  <c r="A3193" i="30"/>
  <c r="B3192" i="30"/>
  <c r="N3192" i="30" s="1"/>
  <c r="A3192" i="30"/>
  <c r="B3191" i="30"/>
  <c r="N3191" i="30" s="1"/>
  <c r="A3191" i="30"/>
  <c r="B3190" i="30"/>
  <c r="N3190" i="30" s="1"/>
  <c r="A3190" i="30"/>
  <c r="B3189" i="30"/>
  <c r="N3189" i="30" s="1"/>
  <c r="A3189" i="30"/>
  <c r="B3188" i="30"/>
  <c r="N3188" i="30" s="1"/>
  <c r="A3188" i="30"/>
  <c r="B3187" i="30"/>
  <c r="N3187" i="30" s="1"/>
  <c r="A3187" i="30"/>
  <c r="B3186" i="30"/>
  <c r="N3186" i="30" s="1"/>
  <c r="A3186" i="30"/>
  <c r="B3185" i="30"/>
  <c r="N3185" i="30" s="1"/>
  <c r="A3185" i="30"/>
  <c r="B3184" i="30"/>
  <c r="N3184" i="30" s="1"/>
  <c r="A3184" i="30"/>
  <c r="B3183" i="30"/>
  <c r="N3183" i="30" s="1"/>
  <c r="A3183" i="30"/>
  <c r="B3182" i="30"/>
  <c r="N3182" i="30" s="1"/>
  <c r="A3182" i="30"/>
  <c r="B3181" i="30"/>
  <c r="A3181" i="30"/>
  <c r="B3180" i="30"/>
  <c r="A3180" i="30"/>
  <c r="B3179" i="30"/>
  <c r="A3179" i="30"/>
  <c r="B3178" i="30"/>
  <c r="A3178" i="30"/>
  <c r="B3177" i="30"/>
  <c r="A3177" i="30"/>
  <c r="B3176" i="30"/>
  <c r="A3176" i="30"/>
  <c r="B3175" i="30"/>
  <c r="A3175" i="30"/>
  <c r="B3174" i="30"/>
  <c r="A3174" i="30"/>
  <c r="B3173" i="30"/>
  <c r="N3173" i="30" s="1"/>
  <c r="A3173" i="30"/>
  <c r="B3172" i="30"/>
  <c r="N3172" i="30" s="1"/>
  <c r="A3172" i="30"/>
  <c r="B3171" i="30"/>
  <c r="N3171" i="30" s="1"/>
  <c r="A3171" i="30"/>
  <c r="B3170" i="30"/>
  <c r="N3170" i="30" s="1"/>
  <c r="A3170" i="30"/>
  <c r="B3169" i="30"/>
  <c r="N3169" i="30" s="1"/>
  <c r="A3169" i="30"/>
  <c r="B3168" i="30"/>
  <c r="N3168" i="30" s="1"/>
  <c r="A3168" i="30"/>
  <c r="B3167" i="30"/>
  <c r="N3167" i="30" s="1"/>
  <c r="A3167" i="30"/>
  <c r="B3166" i="30"/>
  <c r="N3166" i="30" s="1"/>
  <c r="A3166" i="30"/>
  <c r="B3165" i="30"/>
  <c r="N3165" i="30" s="1"/>
  <c r="A3165" i="30"/>
  <c r="B3164" i="30"/>
  <c r="N3164" i="30" s="1"/>
  <c r="A3164" i="30"/>
  <c r="B3163" i="30"/>
  <c r="N3163" i="30" s="1"/>
  <c r="A3163" i="30"/>
  <c r="B3162" i="30"/>
  <c r="N3162" i="30" s="1"/>
  <c r="A3162" i="30"/>
  <c r="B3161" i="30"/>
  <c r="N3161" i="30" s="1"/>
  <c r="A3161" i="30"/>
  <c r="B3160" i="30"/>
  <c r="N3160" i="30" s="1"/>
  <c r="A3160" i="30"/>
  <c r="B3159" i="30"/>
  <c r="N3159" i="30" s="1"/>
  <c r="A3159" i="30"/>
  <c r="B3158" i="30"/>
  <c r="N3158" i="30" s="1"/>
  <c r="A3158" i="30"/>
  <c r="B3157" i="30"/>
  <c r="N3157" i="30" s="1"/>
  <c r="A3157" i="30"/>
  <c r="B3156" i="30"/>
  <c r="N3156" i="30" s="1"/>
  <c r="A3156" i="30"/>
  <c r="B3155" i="30"/>
  <c r="N3155" i="30" s="1"/>
  <c r="A3155" i="30"/>
  <c r="B3154" i="30"/>
  <c r="N3154" i="30" s="1"/>
  <c r="A3154" i="30"/>
  <c r="B3153" i="30"/>
  <c r="N3153" i="30" s="1"/>
  <c r="A3153" i="30"/>
  <c r="B3152" i="30"/>
  <c r="N3152" i="30" s="1"/>
  <c r="A3152" i="30"/>
  <c r="B3151" i="30"/>
  <c r="N3151" i="30" s="1"/>
  <c r="A3151" i="30"/>
  <c r="B3150" i="30"/>
  <c r="N3150" i="30" s="1"/>
  <c r="A3150" i="30"/>
  <c r="B3149" i="30"/>
  <c r="N3149" i="30" s="1"/>
  <c r="A3149" i="30"/>
  <c r="B3148" i="30"/>
  <c r="N3148" i="30" s="1"/>
  <c r="A3148" i="30"/>
  <c r="B3147" i="30"/>
  <c r="N3147" i="30" s="1"/>
  <c r="A3147" i="30"/>
  <c r="B3146" i="30"/>
  <c r="N3146" i="30" s="1"/>
  <c r="A3146" i="30"/>
  <c r="B3145" i="30"/>
  <c r="N3145" i="30" s="1"/>
  <c r="A3145" i="30"/>
  <c r="B3144" i="30"/>
  <c r="N3144" i="30" s="1"/>
  <c r="A3144" i="30"/>
  <c r="B3143" i="30"/>
  <c r="A3143" i="30"/>
  <c r="B3142" i="30"/>
  <c r="A3142" i="30"/>
  <c r="B3141" i="30"/>
  <c r="A3141" i="30"/>
  <c r="B3140" i="30"/>
  <c r="A3140" i="30"/>
  <c r="B3139" i="30"/>
  <c r="A3139" i="30"/>
  <c r="B3138" i="30"/>
  <c r="A3138" i="30"/>
  <c r="B3137" i="30"/>
  <c r="A3137" i="30"/>
  <c r="B3136" i="30"/>
  <c r="A3136" i="30"/>
  <c r="B3135" i="30"/>
  <c r="A3135" i="30"/>
  <c r="B3134" i="30"/>
  <c r="N3134" i="30" s="1"/>
  <c r="A3134" i="30"/>
  <c r="B3133" i="30"/>
  <c r="N3133" i="30" s="1"/>
  <c r="A3133" i="30"/>
  <c r="B3132" i="30"/>
  <c r="N3132" i="30" s="1"/>
  <c r="A3132" i="30"/>
  <c r="B3131" i="30"/>
  <c r="N3131" i="30" s="1"/>
  <c r="A3131" i="30"/>
  <c r="B3130" i="30"/>
  <c r="N3130" i="30" s="1"/>
  <c r="A3130" i="30"/>
  <c r="B3129" i="30"/>
  <c r="N3129" i="30" s="1"/>
  <c r="A3129" i="30"/>
  <c r="B3128" i="30"/>
  <c r="N3128" i="30" s="1"/>
  <c r="A3128" i="30"/>
  <c r="B3127" i="30"/>
  <c r="N3127" i="30" s="1"/>
  <c r="A3127" i="30"/>
  <c r="B3126" i="30"/>
  <c r="N3126" i="30" s="1"/>
  <c r="A3126" i="30"/>
  <c r="B3125" i="30"/>
  <c r="N3125" i="30" s="1"/>
  <c r="A3125" i="30"/>
  <c r="B3124" i="30"/>
  <c r="N3124" i="30" s="1"/>
  <c r="A3124" i="30"/>
  <c r="B3123" i="30"/>
  <c r="N3123" i="30" s="1"/>
  <c r="A3123" i="30"/>
  <c r="B3122" i="30"/>
  <c r="N3122" i="30" s="1"/>
  <c r="A3122" i="30"/>
  <c r="B3121" i="30"/>
  <c r="N3121" i="30" s="1"/>
  <c r="A3121" i="30"/>
  <c r="B3120" i="30"/>
  <c r="N3120" i="30" s="1"/>
  <c r="A3120" i="30"/>
  <c r="B3119" i="30"/>
  <c r="N3119" i="30" s="1"/>
  <c r="A3119" i="30"/>
  <c r="B3118" i="30"/>
  <c r="N3118" i="30" s="1"/>
  <c r="A3118" i="30"/>
  <c r="B3117" i="30"/>
  <c r="N3117" i="30" s="1"/>
  <c r="A3117" i="30"/>
  <c r="B3116" i="30"/>
  <c r="N3116" i="30" s="1"/>
  <c r="A3116" i="30"/>
  <c r="B3115" i="30"/>
  <c r="N3115" i="30" s="1"/>
  <c r="A3115" i="30"/>
  <c r="B3114" i="30"/>
  <c r="N3114" i="30" s="1"/>
  <c r="A3114" i="30"/>
  <c r="B3113" i="30"/>
  <c r="N3113" i="30" s="1"/>
  <c r="A3113" i="30"/>
  <c r="B3112" i="30"/>
  <c r="N3112" i="30" s="1"/>
  <c r="A3112" i="30"/>
  <c r="B3111" i="30"/>
  <c r="N3111" i="30" s="1"/>
  <c r="A3111" i="30"/>
  <c r="B3110" i="30"/>
  <c r="N3110" i="30" s="1"/>
  <c r="A3110" i="30"/>
  <c r="B3109" i="30"/>
  <c r="N3109" i="30" s="1"/>
  <c r="A3109" i="30"/>
  <c r="B3108" i="30"/>
  <c r="N3108" i="30" s="1"/>
  <c r="A3108" i="30"/>
  <c r="B3107" i="30"/>
  <c r="N3107" i="30" s="1"/>
  <c r="A3107" i="30"/>
  <c r="B3106" i="30"/>
  <c r="N3106" i="30" s="1"/>
  <c r="A3106" i="30"/>
  <c r="B3105" i="30"/>
  <c r="N3105" i="30" s="1"/>
  <c r="A3105" i="30"/>
  <c r="B3104" i="30"/>
  <c r="N3104" i="30" s="1"/>
  <c r="A3104" i="30"/>
  <c r="B3103" i="30"/>
  <c r="N3103" i="30" s="1"/>
  <c r="A3103" i="30"/>
  <c r="B3102" i="30"/>
  <c r="N3102" i="30" s="1"/>
  <c r="A3102" i="30"/>
  <c r="B3101" i="30"/>
  <c r="N3101" i="30" s="1"/>
  <c r="A3101" i="30"/>
  <c r="B3100" i="30"/>
  <c r="N3100" i="30" s="1"/>
  <c r="A3100" i="30"/>
  <c r="B3099" i="30"/>
  <c r="N3099" i="30" s="1"/>
  <c r="A3099" i="30"/>
  <c r="B3098" i="30"/>
  <c r="N3098" i="30" s="1"/>
  <c r="A3098" i="30"/>
  <c r="B3097" i="30"/>
  <c r="A3097" i="30"/>
  <c r="B3096" i="30"/>
  <c r="A3096" i="30"/>
  <c r="B3095" i="30"/>
  <c r="A3095" i="30"/>
  <c r="B3094" i="30"/>
  <c r="A3094" i="30"/>
  <c r="B3093" i="30"/>
  <c r="A3093" i="30"/>
  <c r="B3092" i="30"/>
  <c r="A3092" i="30"/>
  <c r="B3091" i="30"/>
  <c r="A3091" i="30"/>
  <c r="B3090" i="30"/>
  <c r="A3090" i="30"/>
  <c r="B3089" i="30"/>
  <c r="A3089" i="30"/>
  <c r="B3088" i="30"/>
  <c r="A3088" i="30"/>
  <c r="B3087" i="30"/>
  <c r="A3087" i="30"/>
  <c r="B3086" i="30"/>
  <c r="A3086" i="30"/>
  <c r="B3085" i="30"/>
  <c r="A3085" i="30"/>
  <c r="B3084" i="30"/>
  <c r="A3084" i="30"/>
  <c r="B3083" i="30"/>
  <c r="A3083" i="30"/>
  <c r="B3082" i="30"/>
  <c r="A3082" i="30"/>
  <c r="B3081" i="30"/>
  <c r="A3081" i="30"/>
  <c r="B3080" i="30"/>
  <c r="A3080" i="30"/>
  <c r="B3079" i="30"/>
  <c r="A3079" i="30"/>
  <c r="B3078" i="30"/>
  <c r="A3078" i="30"/>
  <c r="B3077" i="30"/>
  <c r="A3077" i="30"/>
  <c r="B3076" i="30"/>
  <c r="A3076" i="30"/>
  <c r="B3075" i="30"/>
  <c r="A3075" i="30"/>
  <c r="B3074" i="30"/>
  <c r="A3074" i="30"/>
  <c r="B3073" i="30"/>
  <c r="A3073" i="30"/>
  <c r="B3072" i="30"/>
  <c r="A3072" i="30"/>
  <c r="B3071" i="30"/>
  <c r="A3071" i="30"/>
  <c r="B3070" i="30"/>
  <c r="A3070" i="30"/>
  <c r="B3069" i="30"/>
  <c r="A3069" i="30"/>
  <c r="B3068" i="30"/>
  <c r="A3068" i="30"/>
  <c r="B3067" i="30"/>
  <c r="A3067" i="30"/>
  <c r="B3066" i="30"/>
  <c r="A3066" i="30"/>
  <c r="B3065" i="30"/>
  <c r="A3065" i="30"/>
  <c r="B3064" i="30"/>
  <c r="A3064" i="30"/>
  <c r="B3063" i="30"/>
  <c r="A3063" i="30"/>
  <c r="B3061" i="30"/>
  <c r="A3061" i="30"/>
  <c r="B3060" i="30"/>
  <c r="A3060" i="30"/>
  <c r="B3059" i="30"/>
  <c r="A3059" i="30"/>
  <c r="B3058" i="30"/>
  <c r="A3058" i="30"/>
  <c r="B3057" i="30"/>
  <c r="A3057" i="30"/>
  <c r="B3056" i="30"/>
  <c r="A3056" i="30"/>
  <c r="B3055" i="30"/>
  <c r="A3055" i="30"/>
  <c r="B3054" i="30"/>
  <c r="N3054" i="30" s="1"/>
  <c r="A3054" i="30"/>
  <c r="B3053" i="30"/>
  <c r="N3053" i="30" s="1"/>
  <c r="A3053" i="30"/>
  <c r="B3052" i="30"/>
  <c r="N3052" i="30" s="1"/>
  <c r="A3052" i="30"/>
  <c r="B3051" i="30"/>
  <c r="N3051" i="30" s="1"/>
  <c r="A3051" i="30"/>
  <c r="B3050" i="30"/>
  <c r="N3050" i="30" s="1"/>
  <c r="A3050" i="30"/>
  <c r="B3049" i="30"/>
  <c r="N3049" i="30" s="1"/>
  <c r="A3049" i="30"/>
  <c r="B3048" i="30"/>
  <c r="N3048" i="30" s="1"/>
  <c r="A3048" i="30"/>
  <c r="B3047" i="30"/>
  <c r="N3047" i="30" s="1"/>
  <c r="A3047" i="30"/>
  <c r="B3046" i="30"/>
  <c r="N3046" i="30" s="1"/>
  <c r="A3046" i="30"/>
  <c r="B3045" i="30"/>
  <c r="N3045" i="30" s="1"/>
  <c r="A3045" i="30"/>
  <c r="B3044" i="30"/>
  <c r="N3044" i="30" s="1"/>
  <c r="A3044" i="30"/>
  <c r="B3043" i="30"/>
  <c r="N3043" i="30" s="1"/>
  <c r="A3043" i="30"/>
  <c r="B3042" i="30"/>
  <c r="N3042" i="30" s="1"/>
  <c r="A3042" i="30"/>
  <c r="B3041" i="30"/>
  <c r="N3041" i="30" s="1"/>
  <c r="A3041" i="30"/>
  <c r="B3040" i="30"/>
  <c r="N3040" i="30" s="1"/>
  <c r="A3040" i="30"/>
  <c r="B3039" i="30"/>
  <c r="N3039" i="30" s="1"/>
  <c r="A3039" i="30"/>
  <c r="B3038" i="30"/>
  <c r="N3038" i="30" s="1"/>
  <c r="A3038" i="30"/>
  <c r="B3037" i="30"/>
  <c r="N3037" i="30" s="1"/>
  <c r="A3037" i="30"/>
  <c r="B3036" i="30"/>
  <c r="N3036" i="30" s="1"/>
  <c r="A3036" i="30"/>
  <c r="B3035" i="30"/>
  <c r="N3035" i="30" s="1"/>
  <c r="A3035" i="30"/>
  <c r="B3034" i="30"/>
  <c r="N3034" i="30" s="1"/>
  <c r="A3034" i="30"/>
  <c r="B3033" i="30"/>
  <c r="N3033" i="30" s="1"/>
  <c r="A3033" i="30"/>
  <c r="B3032" i="30"/>
  <c r="N3032" i="30" s="1"/>
  <c r="A3032" i="30"/>
  <c r="B3031" i="30"/>
  <c r="N3031" i="30" s="1"/>
  <c r="A3031" i="30"/>
  <c r="B3030" i="30"/>
  <c r="N3030" i="30" s="1"/>
  <c r="A3030" i="30"/>
  <c r="B3029" i="30"/>
  <c r="N3029" i="30" s="1"/>
  <c r="A3029" i="30"/>
  <c r="B3028" i="30"/>
  <c r="N3028" i="30" s="1"/>
  <c r="A3028" i="30"/>
  <c r="B3027" i="30"/>
  <c r="N3027" i="30" s="1"/>
  <c r="A3027" i="30"/>
  <c r="B3026" i="30"/>
  <c r="N3026" i="30" s="1"/>
  <c r="A3026" i="30"/>
  <c r="B3025" i="30"/>
  <c r="N3025" i="30" s="1"/>
  <c r="A3025" i="30"/>
  <c r="B3024" i="30"/>
  <c r="N3024" i="30" s="1"/>
  <c r="A3024" i="30"/>
  <c r="B3023" i="30"/>
  <c r="N3023" i="30" s="1"/>
  <c r="A3023" i="30"/>
  <c r="B3022" i="30"/>
  <c r="N3022" i="30" s="1"/>
  <c r="A3022" i="30"/>
  <c r="B3021" i="30"/>
  <c r="N3021" i="30" s="1"/>
  <c r="A3021" i="30"/>
  <c r="B3020" i="30"/>
  <c r="N3020" i="30" s="1"/>
  <c r="A3020" i="30"/>
  <c r="B3019" i="30"/>
  <c r="N3019" i="30" s="1"/>
  <c r="A3019" i="30"/>
  <c r="B3018" i="30"/>
  <c r="N3018" i="30" s="1"/>
  <c r="A3018" i="30"/>
  <c r="B3017" i="30"/>
  <c r="N3017" i="30" s="1"/>
  <c r="A3017" i="30"/>
  <c r="B3016" i="30"/>
  <c r="A3016" i="30"/>
  <c r="B3015" i="30"/>
  <c r="A3015" i="30"/>
  <c r="B3014" i="30"/>
  <c r="A3014" i="30"/>
  <c r="B3013" i="30"/>
  <c r="A3013" i="30"/>
  <c r="B3012" i="30"/>
  <c r="A3012" i="30"/>
  <c r="B3011" i="30"/>
  <c r="A3011" i="30"/>
  <c r="B3010" i="30"/>
  <c r="N3010" i="30" s="1"/>
  <c r="A3010" i="30"/>
  <c r="B3009" i="30"/>
  <c r="N3009" i="30" s="1"/>
  <c r="A3009" i="30"/>
  <c r="B3008" i="30"/>
  <c r="N3008" i="30" s="1"/>
  <c r="A3008" i="30"/>
  <c r="B3007" i="30"/>
  <c r="N3007" i="30" s="1"/>
  <c r="A3007" i="30"/>
  <c r="B3006" i="30"/>
  <c r="N3006" i="30" s="1"/>
  <c r="A3006" i="30"/>
  <c r="B3005" i="30"/>
  <c r="N3005" i="30" s="1"/>
  <c r="A3005" i="30"/>
  <c r="B3004" i="30"/>
  <c r="N3004" i="30" s="1"/>
  <c r="A3004" i="30"/>
  <c r="B3003" i="30"/>
  <c r="N3003" i="30" s="1"/>
  <c r="A3003" i="30"/>
  <c r="B3002" i="30"/>
  <c r="N3002" i="30" s="1"/>
  <c r="A3002" i="30"/>
  <c r="B3001" i="30"/>
  <c r="N3001" i="30" s="1"/>
  <c r="A3001" i="30"/>
  <c r="B3000" i="30"/>
  <c r="N3000" i="30" s="1"/>
  <c r="A3000" i="30"/>
  <c r="B2999" i="30"/>
  <c r="N2999" i="30" s="1"/>
  <c r="A2999" i="30"/>
  <c r="B2998" i="30"/>
  <c r="N2998" i="30" s="1"/>
  <c r="A2998" i="30"/>
  <c r="B2997" i="30"/>
  <c r="N2997" i="30" s="1"/>
  <c r="A2997" i="30"/>
  <c r="B2996" i="30"/>
  <c r="N2996" i="30" s="1"/>
  <c r="A2996" i="30"/>
  <c r="B2995" i="30"/>
  <c r="N2995" i="30" s="1"/>
  <c r="A2995" i="30"/>
  <c r="B2994" i="30"/>
  <c r="N2994" i="30" s="1"/>
  <c r="A2994" i="30"/>
  <c r="B2993" i="30"/>
  <c r="N2993" i="30" s="1"/>
  <c r="A2993" i="30"/>
  <c r="B2992" i="30"/>
  <c r="N2992" i="30" s="1"/>
  <c r="A2992" i="30"/>
  <c r="B2991" i="30"/>
  <c r="N2991" i="30" s="1"/>
  <c r="A2991" i="30"/>
  <c r="B2990" i="30"/>
  <c r="N2990" i="30" s="1"/>
  <c r="A2990" i="30"/>
  <c r="B2989" i="30"/>
  <c r="N2989" i="30" s="1"/>
  <c r="A2989" i="30"/>
  <c r="B2988" i="30"/>
  <c r="N2988" i="30" s="1"/>
  <c r="A2988" i="30"/>
  <c r="B2987" i="30"/>
  <c r="N2987" i="30" s="1"/>
  <c r="A2987" i="30"/>
  <c r="B2986" i="30"/>
  <c r="N2986" i="30" s="1"/>
  <c r="A2986" i="30"/>
  <c r="B2985" i="30"/>
  <c r="N2985" i="30" s="1"/>
  <c r="A2985" i="30"/>
  <c r="B2984" i="30"/>
  <c r="N2984" i="30" s="1"/>
  <c r="A2984" i="30"/>
  <c r="B2983" i="30"/>
  <c r="N2983" i="30" s="1"/>
  <c r="A2983" i="30"/>
  <c r="B2982" i="30"/>
  <c r="N2982" i="30" s="1"/>
  <c r="A2982" i="30"/>
  <c r="B2981" i="30"/>
  <c r="N2981" i="30" s="1"/>
  <c r="A2981" i="30"/>
  <c r="B2980" i="30"/>
  <c r="N2980" i="30" s="1"/>
  <c r="A2980" i="30"/>
  <c r="B2979" i="30"/>
  <c r="N2979" i="30" s="1"/>
  <c r="A2979" i="30"/>
  <c r="B2978" i="30"/>
  <c r="N2978" i="30" s="1"/>
  <c r="A2978" i="30"/>
  <c r="B2977" i="30"/>
  <c r="N2977" i="30" s="1"/>
  <c r="A2977" i="30"/>
  <c r="B2976" i="30"/>
  <c r="N2976" i="30" s="1"/>
  <c r="A2976" i="30"/>
  <c r="B2975" i="30"/>
  <c r="N2975" i="30" s="1"/>
  <c r="A2975" i="30"/>
  <c r="B2974" i="30"/>
  <c r="N2974" i="30" s="1"/>
  <c r="A2974" i="30"/>
  <c r="B2973" i="30"/>
  <c r="N2973" i="30" s="1"/>
  <c r="A2973" i="30"/>
  <c r="B2972" i="30"/>
  <c r="N2972" i="30" s="1"/>
  <c r="A2972" i="30"/>
  <c r="B2971" i="30"/>
  <c r="N2971" i="30" s="1"/>
  <c r="A2971" i="30"/>
  <c r="B2970" i="30"/>
  <c r="N2970" i="30" s="1"/>
  <c r="A2970" i="30"/>
  <c r="B2969" i="30"/>
  <c r="N2969" i="30" s="1"/>
  <c r="A2969" i="30"/>
  <c r="B2968" i="30"/>
  <c r="N2968" i="30" s="1"/>
  <c r="A2968" i="30"/>
  <c r="B2967" i="30"/>
  <c r="N2967" i="30" s="1"/>
  <c r="A2967" i="30"/>
  <c r="B2966" i="30"/>
  <c r="N2966" i="30" s="1"/>
  <c r="A2966" i="30"/>
  <c r="B2965" i="30"/>
  <c r="N2965" i="30" s="1"/>
  <c r="A2965" i="30"/>
  <c r="B2964" i="30"/>
  <c r="N2964" i="30" s="1"/>
  <c r="A2964" i="30"/>
  <c r="B2963" i="30"/>
  <c r="N2963" i="30" s="1"/>
  <c r="A2963" i="30"/>
  <c r="B2962" i="30"/>
  <c r="N2962" i="30" s="1"/>
  <c r="A2962" i="30"/>
  <c r="B2961" i="30"/>
  <c r="N2961" i="30" s="1"/>
  <c r="A2961" i="30"/>
  <c r="B2960" i="30"/>
  <c r="N2960" i="30" s="1"/>
  <c r="A2960" i="30"/>
  <c r="B2959" i="30"/>
  <c r="N2959" i="30" s="1"/>
  <c r="A2959" i="30"/>
  <c r="B2958" i="30"/>
  <c r="N2958" i="30" s="1"/>
  <c r="A2958" i="30"/>
  <c r="B2957" i="30"/>
  <c r="N2957" i="30" s="1"/>
  <c r="A2957" i="30"/>
  <c r="B2956" i="30"/>
  <c r="N2956" i="30" s="1"/>
  <c r="A2956" i="30"/>
  <c r="B2955" i="30"/>
  <c r="N2955" i="30" s="1"/>
  <c r="A2955" i="30"/>
  <c r="B2954" i="30"/>
  <c r="N2954" i="30" s="1"/>
  <c r="A2954" i="30"/>
  <c r="B2953" i="30"/>
  <c r="N2953" i="30" s="1"/>
  <c r="A2953" i="30"/>
  <c r="B2952" i="30"/>
  <c r="N2952" i="30" s="1"/>
  <c r="A2952" i="30"/>
  <c r="B2951" i="30"/>
  <c r="N2951" i="30" s="1"/>
  <c r="A2951" i="30"/>
  <c r="B2950" i="30"/>
  <c r="N2950" i="30" s="1"/>
  <c r="A2950" i="30"/>
  <c r="B2949" i="30"/>
  <c r="N2949" i="30" s="1"/>
  <c r="A2949" i="30"/>
  <c r="B2948" i="30"/>
  <c r="N2948" i="30" s="1"/>
  <c r="A2948" i="30"/>
  <c r="B2947" i="30"/>
  <c r="N2947" i="30" s="1"/>
  <c r="A2947" i="30"/>
  <c r="B2946" i="30"/>
  <c r="N2946" i="30" s="1"/>
  <c r="A2946" i="30"/>
  <c r="B2945" i="30"/>
  <c r="N2945" i="30" s="1"/>
  <c r="A2945" i="30"/>
  <c r="B2944" i="30"/>
  <c r="N2944" i="30" s="1"/>
  <c r="A2944" i="30"/>
  <c r="B2943" i="30"/>
  <c r="N2943" i="30" s="1"/>
  <c r="A2943" i="30"/>
  <c r="B2942" i="30"/>
  <c r="N2942" i="30" s="1"/>
  <c r="A2942" i="30"/>
  <c r="B2941" i="30"/>
  <c r="N2941" i="30" s="1"/>
  <c r="A2941" i="30"/>
  <c r="B2940" i="30"/>
  <c r="N2940" i="30" s="1"/>
  <c r="A2940" i="30"/>
  <c r="B2939" i="30"/>
  <c r="N2939" i="30" s="1"/>
  <c r="A2939" i="30"/>
  <c r="B2938" i="30"/>
  <c r="N2938" i="30" s="1"/>
  <c r="A2938" i="30"/>
  <c r="B2937" i="30"/>
  <c r="N2937" i="30" s="1"/>
  <c r="A2937" i="30"/>
  <c r="B2936" i="30"/>
  <c r="N2936" i="30" s="1"/>
  <c r="A2936" i="30"/>
  <c r="B2935" i="30"/>
  <c r="N2935" i="30" s="1"/>
  <c r="A2935" i="30"/>
  <c r="B2934" i="30"/>
  <c r="N2934" i="30" s="1"/>
  <c r="A2934" i="30"/>
  <c r="B2933" i="30"/>
  <c r="N2933" i="30" s="1"/>
  <c r="A2933" i="30"/>
  <c r="B2932" i="30"/>
  <c r="N2932" i="30" s="1"/>
  <c r="A2932" i="30"/>
  <c r="B2931" i="30"/>
  <c r="N2931" i="30" s="1"/>
  <c r="A2931" i="30"/>
  <c r="B2930" i="30"/>
  <c r="N2930" i="30" s="1"/>
  <c r="A2930" i="30"/>
  <c r="B2929" i="30"/>
  <c r="N2929" i="30" s="1"/>
  <c r="A2929" i="30"/>
  <c r="B2928" i="30"/>
  <c r="N2928" i="30" s="1"/>
  <c r="A2928" i="30"/>
  <c r="B2927" i="30"/>
  <c r="N2927" i="30" s="1"/>
  <c r="A2927" i="30"/>
  <c r="B2926" i="30"/>
  <c r="N2926" i="30" s="1"/>
  <c r="A2926" i="30"/>
  <c r="B2925" i="30"/>
  <c r="N2925" i="30" s="1"/>
  <c r="A2925" i="30"/>
  <c r="B2924" i="30"/>
  <c r="N2924" i="30" s="1"/>
  <c r="A2924" i="30"/>
  <c r="B2923" i="30"/>
  <c r="N2923" i="30" s="1"/>
  <c r="A2923" i="30"/>
  <c r="B2922" i="30"/>
  <c r="N2922" i="30" s="1"/>
  <c r="A2922" i="30"/>
  <c r="B2921" i="30"/>
  <c r="N2921" i="30" s="1"/>
  <c r="A2921" i="30"/>
  <c r="B2920" i="30"/>
  <c r="N2920" i="30" s="1"/>
  <c r="A2920" i="30"/>
  <c r="B2919" i="30"/>
  <c r="N2919" i="30" s="1"/>
  <c r="A2919" i="30"/>
  <c r="B2918" i="30"/>
  <c r="N2918" i="30" s="1"/>
  <c r="A2918" i="30"/>
  <c r="B2917" i="30"/>
  <c r="N2917" i="30" s="1"/>
  <c r="A2917" i="30"/>
  <c r="B2916" i="30"/>
  <c r="N2916" i="30" s="1"/>
  <c r="A2916" i="30"/>
  <c r="B2915" i="30"/>
  <c r="N2915" i="30" s="1"/>
  <c r="A2915" i="30"/>
  <c r="B2914" i="30"/>
  <c r="N2914" i="30" s="1"/>
  <c r="A2914" i="30"/>
  <c r="B2913" i="30"/>
  <c r="N2913" i="30" s="1"/>
  <c r="A2913" i="30"/>
  <c r="B2912" i="30"/>
  <c r="N2912" i="30" s="1"/>
  <c r="A2912" i="30"/>
  <c r="B2911" i="30"/>
  <c r="N2911" i="30" s="1"/>
  <c r="A2911" i="30"/>
  <c r="B2910" i="30"/>
  <c r="N2910" i="30" s="1"/>
  <c r="A2910" i="30"/>
  <c r="B2909" i="30"/>
  <c r="N2909" i="30" s="1"/>
  <c r="A2909" i="30"/>
  <c r="B2908" i="30"/>
  <c r="N2908" i="30" s="1"/>
  <c r="A2908" i="30"/>
  <c r="B2907" i="30"/>
  <c r="N2907" i="30" s="1"/>
  <c r="A2907" i="30"/>
  <c r="B2906" i="30"/>
  <c r="N2906" i="30" s="1"/>
  <c r="A2906" i="30"/>
  <c r="B2905" i="30"/>
  <c r="N2905" i="30" s="1"/>
  <c r="A2905" i="30"/>
  <c r="B2904" i="30"/>
  <c r="N2904" i="30" s="1"/>
  <c r="A2904" i="30"/>
  <c r="B2903" i="30"/>
  <c r="N2903" i="30" s="1"/>
  <c r="A2903" i="30"/>
  <c r="B2902" i="30"/>
  <c r="N2902" i="30" s="1"/>
  <c r="A2902" i="30"/>
  <c r="B2901" i="30"/>
  <c r="N2901" i="30" s="1"/>
  <c r="A2901" i="30"/>
  <c r="B2900" i="30"/>
  <c r="N2900" i="30" s="1"/>
  <c r="A2900" i="30"/>
  <c r="B2899" i="30"/>
  <c r="N2899" i="30" s="1"/>
  <c r="A2899" i="30"/>
  <c r="B2898" i="30"/>
  <c r="N2898" i="30" s="1"/>
  <c r="A2898" i="30"/>
  <c r="B2897" i="30"/>
  <c r="N2897" i="30" s="1"/>
  <c r="A2897" i="30"/>
  <c r="B2896" i="30"/>
  <c r="N2896" i="30" s="1"/>
  <c r="A2896" i="30"/>
  <c r="B2895" i="30"/>
  <c r="N2895" i="30" s="1"/>
  <c r="A2895" i="30"/>
  <c r="B2894" i="30"/>
  <c r="N2894" i="30" s="1"/>
  <c r="A2894" i="30"/>
  <c r="B2893" i="30"/>
  <c r="N2893" i="30" s="1"/>
  <c r="A2893" i="30"/>
  <c r="B2892" i="30"/>
  <c r="N2892" i="30" s="1"/>
  <c r="A2892" i="30"/>
  <c r="B2891" i="30"/>
  <c r="N2891" i="30" s="1"/>
  <c r="A2891" i="30"/>
  <c r="B2890" i="30"/>
  <c r="N2890" i="30" s="1"/>
  <c r="A2890" i="30"/>
  <c r="B2889" i="30"/>
  <c r="N2889" i="30" s="1"/>
  <c r="A2889" i="30"/>
  <c r="B2888" i="30"/>
  <c r="N2888" i="30" s="1"/>
  <c r="A2888" i="30"/>
  <c r="B2887" i="30"/>
  <c r="N2887" i="30" s="1"/>
  <c r="A2887" i="30"/>
  <c r="B2886" i="30"/>
  <c r="N2886" i="30" s="1"/>
  <c r="A2886" i="30"/>
  <c r="B2885" i="30"/>
  <c r="N2885" i="30" s="1"/>
  <c r="A2885" i="30"/>
  <c r="B2884" i="30"/>
  <c r="N2884" i="30" s="1"/>
  <c r="A2884" i="30"/>
  <c r="B2883" i="30"/>
  <c r="N2883" i="30" s="1"/>
  <c r="A2883" i="30"/>
  <c r="B2882" i="30"/>
  <c r="N2882" i="30" s="1"/>
  <c r="A2882" i="30"/>
  <c r="B2881" i="30"/>
  <c r="N2881" i="30" s="1"/>
  <c r="A2881" i="30"/>
  <c r="B2880" i="30"/>
  <c r="N2880" i="30" s="1"/>
  <c r="A2880" i="30"/>
  <c r="B2879" i="30"/>
  <c r="N2879" i="30" s="1"/>
  <c r="A2879" i="30"/>
  <c r="B2878" i="30"/>
  <c r="N2878" i="30" s="1"/>
  <c r="A2878" i="30"/>
  <c r="B2877" i="30"/>
  <c r="N2877" i="30" s="1"/>
  <c r="A2877" i="30"/>
  <c r="B2876" i="30"/>
  <c r="N2876" i="30" s="1"/>
  <c r="A2876" i="30"/>
  <c r="B2875" i="30"/>
  <c r="N2875" i="30" s="1"/>
  <c r="A2875" i="30"/>
  <c r="B2874" i="30"/>
  <c r="N2874" i="30" s="1"/>
  <c r="A2874" i="30"/>
  <c r="B2873" i="30"/>
  <c r="N2873" i="30" s="1"/>
  <c r="A2873" i="30"/>
  <c r="B2872" i="30"/>
  <c r="N2872" i="30" s="1"/>
  <c r="A2872" i="30"/>
  <c r="B2871" i="30"/>
  <c r="N2871" i="30" s="1"/>
  <c r="A2871" i="30"/>
  <c r="B2870" i="30"/>
  <c r="N2870" i="30" s="1"/>
  <c r="A2870" i="30"/>
  <c r="B2869" i="30"/>
  <c r="N2869" i="30" s="1"/>
  <c r="A2869" i="30"/>
  <c r="B2867" i="30"/>
  <c r="A2867" i="30"/>
  <c r="B2866" i="30"/>
  <c r="A2866" i="30"/>
  <c r="B2865" i="30"/>
  <c r="A2865" i="30"/>
  <c r="B2864" i="30"/>
  <c r="A2864" i="30"/>
  <c r="B2863" i="30"/>
  <c r="A2863" i="30"/>
  <c r="B2862" i="30"/>
  <c r="A2862" i="30"/>
  <c r="B2861" i="30"/>
  <c r="A2861" i="30"/>
  <c r="B2860" i="30"/>
  <c r="A2860" i="30"/>
  <c r="B2859" i="30"/>
  <c r="A2859" i="30"/>
  <c r="B2858" i="30"/>
  <c r="A2858" i="30"/>
  <c r="B2857" i="30"/>
  <c r="A2857" i="30"/>
  <c r="B2856" i="30"/>
  <c r="A2856" i="30"/>
  <c r="B2855" i="30"/>
  <c r="A2855" i="30"/>
  <c r="B2854" i="30"/>
  <c r="A2854" i="30"/>
  <c r="B2853" i="30"/>
  <c r="A2853" i="30"/>
  <c r="B2852" i="30"/>
  <c r="A2852" i="30"/>
  <c r="B2851" i="30"/>
  <c r="A2851" i="30"/>
  <c r="B2850" i="30"/>
  <c r="A2850" i="30"/>
  <c r="B2849" i="30"/>
  <c r="A2849" i="30"/>
  <c r="B2848" i="30"/>
  <c r="A2848" i="30"/>
  <c r="B2847" i="30"/>
  <c r="A2847" i="30"/>
  <c r="B2844" i="30"/>
  <c r="A2844" i="30"/>
  <c r="B2843" i="30"/>
  <c r="A2843" i="30"/>
  <c r="B2842" i="30"/>
  <c r="A2842" i="30"/>
  <c r="B2841" i="30"/>
  <c r="A2841" i="30"/>
  <c r="B2840" i="30"/>
  <c r="A2840" i="30"/>
  <c r="B2839" i="30"/>
  <c r="A2839" i="30"/>
  <c r="B2838" i="30"/>
  <c r="A2838" i="30"/>
  <c r="B2837" i="30"/>
  <c r="A2837" i="30"/>
  <c r="B2836" i="30"/>
  <c r="A2836" i="30"/>
  <c r="B2835" i="30"/>
  <c r="A2835" i="30"/>
  <c r="B2834" i="30"/>
  <c r="A2834" i="30"/>
  <c r="B2833" i="30"/>
  <c r="A2833" i="30"/>
  <c r="B2832" i="30"/>
  <c r="A2832" i="30"/>
  <c r="B2831" i="30"/>
  <c r="A2831" i="30"/>
  <c r="B2830" i="30"/>
  <c r="A2830" i="30"/>
  <c r="B2829" i="30"/>
  <c r="A2829" i="30"/>
  <c r="B2828" i="30"/>
  <c r="A2828" i="30"/>
  <c r="B2827" i="30"/>
  <c r="A2827" i="30"/>
  <c r="B2826" i="30"/>
  <c r="A2826" i="30"/>
  <c r="B2825" i="30"/>
  <c r="A2825" i="30"/>
  <c r="B2824" i="30"/>
  <c r="A2824" i="30"/>
  <c r="B2823" i="30"/>
  <c r="A2823" i="30"/>
  <c r="B2822" i="30"/>
  <c r="A2822" i="30"/>
  <c r="B2821" i="30"/>
  <c r="A2821" i="30"/>
  <c r="B2820" i="30"/>
  <c r="A2820" i="30"/>
  <c r="B2819" i="30"/>
  <c r="A2819" i="30"/>
  <c r="B2818" i="30"/>
  <c r="A2818" i="30"/>
  <c r="B2817" i="30"/>
  <c r="A2817" i="30"/>
  <c r="B2816" i="30"/>
  <c r="A2816" i="30"/>
  <c r="B2815" i="30"/>
  <c r="A2815" i="30"/>
  <c r="B2814" i="30"/>
  <c r="A2814" i="30"/>
  <c r="B2813" i="30"/>
  <c r="A2813" i="30"/>
  <c r="B2812" i="30"/>
  <c r="A2812" i="30"/>
  <c r="B2811" i="30"/>
  <c r="A2811" i="30"/>
  <c r="B2810" i="30"/>
  <c r="A2810" i="30"/>
  <c r="B2809" i="30"/>
  <c r="N2809" i="30" s="1"/>
  <c r="A2809" i="30"/>
  <c r="B2808" i="30"/>
  <c r="N2808" i="30" s="1"/>
  <c r="A2808" i="30"/>
  <c r="B2807" i="30"/>
  <c r="N2807" i="30" s="1"/>
  <c r="A2807" i="30"/>
  <c r="B2806" i="30"/>
  <c r="N2806" i="30" s="1"/>
  <c r="A2806" i="30"/>
  <c r="B2805" i="30"/>
  <c r="N2805" i="30" s="1"/>
  <c r="A2805" i="30"/>
  <c r="B2804" i="30"/>
  <c r="N2804" i="30" s="1"/>
  <c r="A2804" i="30"/>
  <c r="B2803" i="30"/>
  <c r="N2803" i="30" s="1"/>
  <c r="A2803" i="30"/>
  <c r="B2802" i="30"/>
  <c r="N2802" i="30" s="1"/>
  <c r="A2802" i="30"/>
  <c r="B2801" i="30"/>
  <c r="N2801" i="30" s="1"/>
  <c r="A2801" i="30"/>
  <c r="B2800" i="30"/>
  <c r="N2800" i="30" s="1"/>
  <c r="A2800" i="30"/>
  <c r="B2799" i="30"/>
  <c r="N2799" i="30" s="1"/>
  <c r="A2799" i="30"/>
  <c r="B2798" i="30"/>
  <c r="N2798" i="30" s="1"/>
  <c r="A2798" i="30"/>
  <c r="B2797" i="30"/>
  <c r="N2797" i="30" s="1"/>
  <c r="A2797" i="30"/>
  <c r="B2796" i="30"/>
  <c r="N2796" i="30" s="1"/>
  <c r="A2796" i="30"/>
  <c r="B2795" i="30"/>
  <c r="N2795" i="30" s="1"/>
  <c r="A2795" i="30"/>
  <c r="B2794" i="30"/>
  <c r="N2794" i="30" s="1"/>
  <c r="A2794" i="30"/>
  <c r="B2793" i="30"/>
  <c r="N2793" i="30" s="1"/>
  <c r="A2793" i="30"/>
  <c r="B2792" i="30"/>
  <c r="N2792" i="30" s="1"/>
  <c r="A2792" i="30"/>
  <c r="B2791" i="30"/>
  <c r="N2791" i="30" s="1"/>
  <c r="A2791" i="30"/>
  <c r="B2790" i="30"/>
  <c r="N2790" i="30" s="1"/>
  <c r="A2790" i="30"/>
  <c r="B2789" i="30"/>
  <c r="N2789" i="30" s="1"/>
  <c r="A2789" i="30"/>
  <c r="B2788" i="30"/>
  <c r="N2788" i="30" s="1"/>
  <c r="A2788" i="30"/>
  <c r="B2787" i="30"/>
  <c r="N2787" i="30" s="1"/>
  <c r="A2787" i="30"/>
  <c r="B2786" i="30"/>
  <c r="N2786" i="30" s="1"/>
  <c r="A2786" i="30"/>
  <c r="B2785" i="30"/>
  <c r="N2785" i="30" s="1"/>
  <c r="A2785" i="30"/>
  <c r="B2784" i="30"/>
  <c r="N2784" i="30" s="1"/>
  <c r="A2784" i="30"/>
  <c r="B2783" i="30"/>
  <c r="N2783" i="30" s="1"/>
  <c r="A2783" i="30"/>
  <c r="B2782" i="30"/>
  <c r="N2782" i="30" s="1"/>
  <c r="A2782" i="30"/>
  <c r="B2781" i="30"/>
  <c r="N2781" i="30" s="1"/>
  <c r="A2781" i="30"/>
  <c r="B2780" i="30"/>
  <c r="N2780" i="30" s="1"/>
  <c r="A2780" i="30"/>
  <c r="B2779" i="30"/>
  <c r="N2779" i="30" s="1"/>
  <c r="A2779" i="30"/>
  <c r="B2778" i="30"/>
  <c r="N2778" i="30" s="1"/>
  <c r="A2778" i="30"/>
  <c r="B2777" i="30"/>
  <c r="N2777" i="30" s="1"/>
  <c r="A2777" i="30"/>
  <c r="B2776" i="30"/>
  <c r="N2776" i="30" s="1"/>
  <c r="A2776" i="30"/>
  <c r="B2775" i="30"/>
  <c r="A2775" i="30"/>
  <c r="B2774" i="30"/>
  <c r="A2774" i="30"/>
  <c r="B2773" i="30"/>
  <c r="A2773" i="30"/>
  <c r="B2772" i="30"/>
  <c r="N2772" i="30" s="1"/>
  <c r="A2772" i="30"/>
  <c r="B2771" i="30"/>
  <c r="N2771" i="30" s="1"/>
  <c r="A2771" i="30"/>
  <c r="B2770" i="30"/>
  <c r="N2770" i="30" s="1"/>
  <c r="A2770" i="30"/>
  <c r="B2769" i="30"/>
  <c r="N2769" i="30" s="1"/>
  <c r="A2769" i="30"/>
  <c r="B2768" i="30"/>
  <c r="N2768" i="30" s="1"/>
  <c r="A2768" i="30"/>
  <c r="B2767" i="30"/>
  <c r="N2767" i="30" s="1"/>
  <c r="A2767" i="30"/>
  <c r="B2766" i="30"/>
  <c r="N2766" i="30" s="1"/>
  <c r="A2766" i="30"/>
  <c r="B2765" i="30"/>
  <c r="N2765" i="30" s="1"/>
  <c r="A2765" i="30"/>
  <c r="B2764" i="30"/>
  <c r="N2764" i="30" s="1"/>
  <c r="A2764" i="30"/>
  <c r="B2763" i="30"/>
  <c r="N2763" i="30" s="1"/>
  <c r="A2763" i="30"/>
  <c r="B2762" i="30"/>
  <c r="N2762" i="30" s="1"/>
  <c r="A2762" i="30"/>
  <c r="B2761" i="30"/>
  <c r="N2761" i="30" s="1"/>
  <c r="A2761" i="30"/>
  <c r="B2760" i="30"/>
  <c r="N2760" i="30" s="1"/>
  <c r="A2760" i="30"/>
  <c r="B2759" i="30"/>
  <c r="N2759" i="30" s="1"/>
  <c r="A2759" i="30"/>
  <c r="B2758" i="30"/>
  <c r="N2758" i="30" s="1"/>
  <c r="A2758" i="30"/>
  <c r="B2757" i="30"/>
  <c r="N2757" i="30" s="1"/>
  <c r="A2757" i="30"/>
  <c r="B2756" i="30"/>
  <c r="N2756" i="30" s="1"/>
  <c r="A2756" i="30"/>
  <c r="B2755" i="30"/>
  <c r="N2755" i="30" s="1"/>
  <c r="A2755" i="30"/>
  <c r="B2754" i="30"/>
  <c r="N2754" i="30" s="1"/>
  <c r="A2754" i="30"/>
  <c r="B2753" i="30"/>
  <c r="N2753" i="30" s="1"/>
  <c r="A2753" i="30"/>
  <c r="B2752" i="30"/>
  <c r="N2752" i="30" s="1"/>
  <c r="A2752" i="30"/>
  <c r="B2751" i="30"/>
  <c r="N2751" i="30" s="1"/>
  <c r="A2751" i="30"/>
  <c r="B2750" i="30"/>
  <c r="N2750" i="30" s="1"/>
  <c r="A2750" i="30"/>
  <c r="B2749" i="30"/>
  <c r="N2749" i="30" s="1"/>
  <c r="A2749" i="30"/>
  <c r="B2748" i="30"/>
  <c r="N2748" i="30" s="1"/>
  <c r="A2748" i="30"/>
  <c r="B2747" i="30"/>
  <c r="N2747" i="30" s="1"/>
  <c r="A2747" i="30"/>
  <c r="B2746" i="30"/>
  <c r="N2746" i="30" s="1"/>
  <c r="A2746" i="30"/>
  <c r="B2745" i="30"/>
  <c r="N2745" i="30" s="1"/>
  <c r="A2745" i="30"/>
  <c r="B2744" i="30"/>
  <c r="N2744" i="30" s="1"/>
  <c r="A2744" i="30"/>
  <c r="B2743" i="30"/>
  <c r="N2743" i="30" s="1"/>
  <c r="A2743" i="30"/>
  <c r="B2742" i="30"/>
  <c r="N2742" i="30" s="1"/>
  <c r="A2742" i="30"/>
  <c r="B2741" i="30"/>
  <c r="A2741" i="30"/>
  <c r="B2740" i="30"/>
  <c r="A2740" i="30"/>
  <c r="B2739" i="30"/>
  <c r="A2739" i="30"/>
  <c r="B2738" i="30"/>
  <c r="A2738" i="30"/>
  <c r="B2737" i="30"/>
  <c r="A2737" i="30"/>
  <c r="B2736" i="30"/>
  <c r="A2736" i="30"/>
  <c r="B2735" i="30"/>
  <c r="A2735" i="30"/>
  <c r="B2734" i="30"/>
  <c r="A2734" i="30"/>
  <c r="B2733" i="30"/>
  <c r="N2733" i="30" s="1"/>
  <c r="A2733" i="30"/>
  <c r="B2732" i="30"/>
  <c r="N2732" i="30" s="1"/>
  <c r="A2732" i="30"/>
  <c r="B2731" i="30"/>
  <c r="N2731" i="30" s="1"/>
  <c r="A2731" i="30"/>
  <c r="B2730" i="30"/>
  <c r="N2730" i="30" s="1"/>
  <c r="A2730" i="30"/>
  <c r="B2729" i="30"/>
  <c r="N2729" i="30" s="1"/>
  <c r="A2729" i="30"/>
  <c r="B2728" i="30"/>
  <c r="N2728" i="30" s="1"/>
  <c r="A2728" i="30"/>
  <c r="B2727" i="30"/>
  <c r="N2727" i="30" s="1"/>
  <c r="A2727" i="30"/>
  <c r="B2726" i="30"/>
  <c r="N2726" i="30" s="1"/>
  <c r="A2726" i="30"/>
  <c r="B2725" i="30"/>
  <c r="N2725" i="30" s="1"/>
  <c r="A2725" i="30"/>
  <c r="B2724" i="30"/>
  <c r="N2724" i="30" s="1"/>
  <c r="A2724" i="30"/>
  <c r="B2723" i="30"/>
  <c r="N2723" i="30" s="1"/>
  <c r="A2723" i="30"/>
  <c r="B2722" i="30"/>
  <c r="N2722" i="30" s="1"/>
  <c r="A2722" i="30"/>
  <c r="B2721" i="30"/>
  <c r="N2721" i="30" s="1"/>
  <c r="A2721" i="30"/>
  <c r="B2720" i="30"/>
  <c r="N2720" i="30" s="1"/>
  <c r="A2720" i="30"/>
  <c r="B2719" i="30"/>
  <c r="N2719" i="30" s="1"/>
  <c r="A2719" i="30"/>
  <c r="B2718" i="30"/>
  <c r="N2718" i="30" s="1"/>
  <c r="A2718" i="30"/>
  <c r="B2717" i="30"/>
  <c r="N2717" i="30" s="1"/>
  <c r="A2717" i="30"/>
  <c r="B2716" i="30"/>
  <c r="N2716" i="30" s="1"/>
  <c r="A2716" i="30"/>
  <c r="B2715" i="30"/>
  <c r="N2715" i="30" s="1"/>
  <c r="A2715" i="30"/>
  <c r="B2714" i="30"/>
  <c r="N2714" i="30" s="1"/>
  <c r="A2714" i="30"/>
  <c r="B2713" i="30"/>
  <c r="N2713" i="30" s="1"/>
  <c r="A2713" i="30"/>
  <c r="B2712" i="30"/>
  <c r="N2712" i="30" s="1"/>
  <c r="A2712" i="30"/>
  <c r="B2711" i="30"/>
  <c r="N2711" i="30" s="1"/>
  <c r="A2711" i="30"/>
  <c r="B2710" i="30"/>
  <c r="N2710" i="30" s="1"/>
  <c r="A2710" i="30"/>
  <c r="B2709" i="30"/>
  <c r="N2709" i="30" s="1"/>
  <c r="A2709" i="30"/>
  <c r="B2708" i="30"/>
  <c r="N2708" i="30" s="1"/>
  <c r="A2708" i="30"/>
  <c r="B2707" i="30"/>
  <c r="N2707" i="30" s="1"/>
  <c r="A2707" i="30"/>
  <c r="B2706" i="30"/>
  <c r="N2706" i="30" s="1"/>
  <c r="A2706" i="30"/>
  <c r="B2705" i="30"/>
  <c r="N2705" i="30" s="1"/>
  <c r="A2705" i="30"/>
  <c r="B2704" i="30"/>
  <c r="N2704" i="30" s="1"/>
  <c r="A2704" i="30"/>
  <c r="B2703" i="30"/>
  <c r="N2703" i="30" s="1"/>
  <c r="A2703" i="30"/>
  <c r="B2702" i="30"/>
  <c r="N2702" i="30" s="1"/>
  <c r="A2702" i="30"/>
  <c r="B2701" i="30"/>
  <c r="N2701" i="30" s="1"/>
  <c r="A2701" i="30"/>
  <c r="B2700" i="30"/>
  <c r="N2700" i="30" s="1"/>
  <c r="A2700" i="30"/>
  <c r="B2699" i="30"/>
  <c r="N2699" i="30" s="1"/>
  <c r="A2699" i="30"/>
  <c r="B2698" i="30"/>
  <c r="N2698" i="30" s="1"/>
  <c r="A2698" i="30"/>
  <c r="B2697" i="30"/>
  <c r="N2697" i="30" s="1"/>
  <c r="A2697" i="30"/>
  <c r="B2696" i="30"/>
  <c r="N2696" i="30" s="1"/>
  <c r="A2696" i="30"/>
  <c r="B2695" i="30"/>
  <c r="N2695" i="30" s="1"/>
  <c r="A2695" i="30"/>
  <c r="B2694" i="30"/>
  <c r="N2694" i="30" s="1"/>
  <c r="A2694" i="30"/>
  <c r="B2693" i="30"/>
  <c r="N2693" i="30" s="1"/>
  <c r="A2693" i="30"/>
  <c r="B2692" i="30"/>
  <c r="N2692" i="30" s="1"/>
  <c r="A2692" i="30"/>
  <c r="B2691" i="30"/>
  <c r="N2691" i="30" s="1"/>
  <c r="A2691" i="30"/>
  <c r="B2690" i="30"/>
  <c r="N2690" i="30" s="1"/>
  <c r="A2690" i="30"/>
  <c r="B2689" i="30"/>
  <c r="N2689" i="30" s="1"/>
  <c r="A2689" i="30"/>
  <c r="B2688" i="30"/>
  <c r="N2688" i="30" s="1"/>
  <c r="A2688" i="30"/>
  <c r="B2687" i="30"/>
  <c r="N2687" i="30" s="1"/>
  <c r="A2687" i="30"/>
  <c r="B2686" i="30"/>
  <c r="N2686" i="30" s="1"/>
  <c r="A2686" i="30"/>
  <c r="B2685" i="30"/>
  <c r="N2685" i="30" s="1"/>
  <c r="A2685" i="30"/>
  <c r="B2684" i="30"/>
  <c r="N2684" i="30" s="1"/>
  <c r="A2684" i="30"/>
  <c r="B2683" i="30"/>
  <c r="N2683" i="30" s="1"/>
  <c r="A2683" i="30"/>
  <c r="B2682" i="30"/>
  <c r="N2682" i="30" s="1"/>
  <c r="A2682" i="30"/>
  <c r="B2681" i="30"/>
  <c r="N2681" i="30" s="1"/>
  <c r="A2681" i="30"/>
  <c r="B2680" i="30"/>
  <c r="N2680" i="30" s="1"/>
  <c r="A2680" i="30"/>
  <c r="B2679" i="30"/>
  <c r="N2679" i="30" s="1"/>
  <c r="A2679" i="30"/>
  <c r="B2678" i="30"/>
  <c r="N2678" i="30" s="1"/>
  <c r="A2678" i="30"/>
  <c r="B2677" i="30"/>
  <c r="N2677" i="30" s="1"/>
  <c r="A2677" i="30"/>
  <c r="B2676" i="30"/>
  <c r="N2676" i="30" s="1"/>
  <c r="A2676" i="30"/>
  <c r="B2675" i="30"/>
  <c r="N2675" i="30" s="1"/>
  <c r="A2675" i="30"/>
  <c r="B2674" i="30"/>
  <c r="N2674" i="30" s="1"/>
  <c r="A2674" i="30"/>
  <c r="B2673" i="30"/>
  <c r="N2673" i="30" s="1"/>
  <c r="A2673" i="30"/>
  <c r="B2672" i="30"/>
  <c r="N2672" i="30" s="1"/>
  <c r="A2672" i="30"/>
  <c r="B2671" i="30"/>
  <c r="N2671" i="30" s="1"/>
  <c r="A2671" i="30"/>
  <c r="B2670" i="30"/>
  <c r="N2670" i="30" s="1"/>
  <c r="A2670" i="30"/>
  <c r="B2669" i="30"/>
  <c r="N2669" i="30" s="1"/>
  <c r="A2669" i="30"/>
  <c r="B2668" i="30"/>
  <c r="N2668" i="30" s="1"/>
  <c r="A2668" i="30"/>
  <c r="B2667" i="30"/>
  <c r="N2667" i="30" s="1"/>
  <c r="A2667" i="30"/>
  <c r="B2666" i="30"/>
  <c r="A2666" i="30"/>
  <c r="B2665" i="30"/>
  <c r="A2665" i="30"/>
  <c r="B2664" i="30"/>
  <c r="A2664" i="30"/>
  <c r="B2663" i="30"/>
  <c r="A2663" i="30"/>
  <c r="B2662" i="30"/>
  <c r="N2662" i="30" s="1"/>
  <c r="A2662" i="30"/>
  <c r="B2661" i="30"/>
  <c r="N2661" i="30" s="1"/>
  <c r="A2661" i="30"/>
  <c r="B2660" i="30"/>
  <c r="N2660" i="30" s="1"/>
  <c r="A2660" i="30"/>
  <c r="B2659" i="30"/>
  <c r="N2659" i="30" s="1"/>
  <c r="A2659" i="30"/>
  <c r="B2658" i="30"/>
  <c r="N2658" i="30" s="1"/>
  <c r="A2658" i="30"/>
  <c r="B2657" i="30"/>
  <c r="N2657" i="30" s="1"/>
  <c r="A2657" i="30"/>
  <c r="B2656" i="30"/>
  <c r="N2656" i="30" s="1"/>
  <c r="A2656" i="30"/>
  <c r="B2655" i="30"/>
  <c r="N2655" i="30" s="1"/>
  <c r="A2655" i="30"/>
  <c r="B2654" i="30"/>
  <c r="N2654" i="30" s="1"/>
  <c r="A2654" i="30"/>
  <c r="B2653" i="30"/>
  <c r="N2653" i="30" s="1"/>
  <c r="A2653" i="30"/>
  <c r="B2652" i="30"/>
  <c r="N2652" i="30" s="1"/>
  <c r="A2652" i="30"/>
  <c r="B2651" i="30"/>
  <c r="N2651" i="30" s="1"/>
  <c r="A2651" i="30"/>
  <c r="B2650" i="30"/>
  <c r="N2650" i="30" s="1"/>
  <c r="A2650" i="30"/>
  <c r="B2649" i="30"/>
  <c r="N2649" i="30" s="1"/>
  <c r="A2649" i="30"/>
  <c r="B2648" i="30"/>
  <c r="N2648" i="30" s="1"/>
  <c r="A2648" i="30"/>
  <c r="B2647" i="30"/>
  <c r="N2647" i="30" s="1"/>
  <c r="A2647" i="30"/>
  <c r="B2646" i="30"/>
  <c r="N2646" i="30" s="1"/>
  <c r="A2646" i="30"/>
  <c r="B2645" i="30"/>
  <c r="N2645" i="30" s="1"/>
  <c r="A2645" i="30"/>
  <c r="B2644" i="30"/>
  <c r="N2644" i="30" s="1"/>
  <c r="A2644" i="30"/>
  <c r="B2643" i="30"/>
  <c r="N2643" i="30" s="1"/>
  <c r="A2643" i="30"/>
  <c r="B2642" i="30"/>
  <c r="N2642" i="30" s="1"/>
  <c r="A2642" i="30"/>
  <c r="B2641" i="30"/>
  <c r="N2641" i="30" s="1"/>
  <c r="A2641" i="30"/>
  <c r="B2640" i="30"/>
  <c r="N2640" i="30" s="1"/>
  <c r="A2640" i="30"/>
  <c r="B2639" i="30"/>
  <c r="N2639" i="30" s="1"/>
  <c r="A2639" i="30"/>
  <c r="B2638" i="30"/>
  <c r="N2638" i="30" s="1"/>
  <c r="A2638" i="30"/>
  <c r="B2637" i="30"/>
  <c r="N2637" i="30" s="1"/>
  <c r="A2637" i="30"/>
  <c r="B2636" i="30"/>
  <c r="N2636" i="30" s="1"/>
  <c r="A2636" i="30"/>
  <c r="B2635" i="30"/>
  <c r="N2635" i="30" s="1"/>
  <c r="A2635" i="30"/>
  <c r="B2634" i="30"/>
  <c r="N2634" i="30" s="1"/>
  <c r="A2634" i="30"/>
  <c r="B2633" i="30"/>
  <c r="N2633" i="30" s="1"/>
  <c r="A2633" i="30"/>
  <c r="B2632" i="30"/>
  <c r="N2632" i="30" s="1"/>
  <c r="A2632" i="30"/>
  <c r="B2631" i="30"/>
  <c r="N2631" i="30" s="1"/>
  <c r="A2631" i="30"/>
  <c r="B2630" i="30"/>
  <c r="N2630" i="30" s="1"/>
  <c r="A2630" i="30"/>
  <c r="B2629" i="30"/>
  <c r="N2629" i="30" s="1"/>
  <c r="A2629" i="30"/>
  <c r="B2628" i="30"/>
  <c r="N2628" i="30" s="1"/>
  <c r="A2628" i="30"/>
  <c r="B2627" i="30"/>
  <c r="N2627" i="30" s="1"/>
  <c r="A2627" i="30"/>
  <c r="B2626" i="30"/>
  <c r="N2626" i="30" s="1"/>
  <c r="A2626" i="30"/>
  <c r="B2625" i="30"/>
  <c r="N2625" i="30" s="1"/>
  <c r="A2625" i="30"/>
  <c r="B2624" i="30"/>
  <c r="N2624" i="30" s="1"/>
  <c r="A2624" i="30"/>
  <c r="B2623" i="30"/>
  <c r="N2623" i="30" s="1"/>
  <c r="A2623" i="30"/>
  <c r="B2622" i="30"/>
  <c r="N2622" i="30" s="1"/>
  <c r="A2622" i="30"/>
  <c r="B2621" i="30"/>
  <c r="N2621" i="30" s="1"/>
  <c r="A2621" i="30"/>
  <c r="B2620" i="30"/>
  <c r="N2620" i="30" s="1"/>
  <c r="A2620" i="30"/>
  <c r="B2619" i="30"/>
  <c r="N2619" i="30" s="1"/>
  <c r="A2619" i="30"/>
  <c r="B2618" i="30"/>
  <c r="N2618" i="30" s="1"/>
  <c r="A2618" i="30"/>
  <c r="B2617" i="30"/>
  <c r="N2617" i="30" s="1"/>
  <c r="A2617" i="30"/>
  <c r="B2616" i="30"/>
  <c r="N2616" i="30" s="1"/>
  <c r="A2616" i="30"/>
  <c r="B2615" i="30"/>
  <c r="N2615" i="30" s="1"/>
  <c r="A2615" i="30"/>
  <c r="B2614" i="30"/>
  <c r="N2614" i="30" s="1"/>
  <c r="A2614" i="30"/>
  <c r="B2613" i="30"/>
  <c r="N2613" i="30" s="1"/>
  <c r="A2613" i="30"/>
  <c r="B2612" i="30"/>
  <c r="N2612" i="30" s="1"/>
  <c r="A2612" i="30"/>
  <c r="B2611" i="30"/>
  <c r="N2611" i="30" s="1"/>
  <c r="A2611" i="30"/>
  <c r="B2610" i="30"/>
  <c r="N2610" i="30" s="1"/>
  <c r="A2610" i="30"/>
  <c r="B2609" i="30"/>
  <c r="N2609" i="30" s="1"/>
  <c r="A2609" i="30"/>
  <c r="B2608" i="30"/>
  <c r="N2608" i="30" s="1"/>
  <c r="A2608" i="30"/>
  <c r="B2607" i="30"/>
  <c r="N2607" i="30" s="1"/>
  <c r="A2607" i="30"/>
  <c r="B2606" i="30"/>
  <c r="N2606" i="30" s="1"/>
  <c r="A2606" i="30"/>
  <c r="B2605" i="30"/>
  <c r="A2605" i="30"/>
  <c r="B2604" i="30"/>
  <c r="A2604" i="30"/>
  <c r="B2603" i="30"/>
  <c r="A2603" i="30"/>
  <c r="B2602" i="30"/>
  <c r="A2602" i="30"/>
  <c r="B2601" i="30"/>
  <c r="A2601" i="30"/>
  <c r="B2600" i="30"/>
  <c r="N2600" i="30" s="1"/>
  <c r="A2600" i="30"/>
  <c r="B2599" i="30"/>
  <c r="N2599" i="30" s="1"/>
  <c r="A2599" i="30"/>
  <c r="B2598" i="30"/>
  <c r="N2598" i="30" s="1"/>
  <c r="A2598" i="30"/>
  <c r="B2597" i="30"/>
  <c r="N2597" i="30" s="1"/>
  <c r="A2597" i="30"/>
  <c r="B2596" i="30"/>
  <c r="N2596" i="30" s="1"/>
  <c r="A2596" i="30"/>
  <c r="B2595" i="30"/>
  <c r="N2595" i="30" s="1"/>
  <c r="A2595" i="30"/>
  <c r="B2594" i="30"/>
  <c r="N2594" i="30" s="1"/>
  <c r="A2594" i="30"/>
  <c r="B2593" i="30"/>
  <c r="N2593" i="30" s="1"/>
  <c r="A2593" i="30"/>
  <c r="B2592" i="30"/>
  <c r="N2592" i="30" s="1"/>
  <c r="A2592" i="30"/>
  <c r="B2591" i="30"/>
  <c r="N2591" i="30" s="1"/>
  <c r="A2591" i="30"/>
  <c r="B2590" i="30"/>
  <c r="N2590" i="30" s="1"/>
  <c r="A2590" i="30"/>
  <c r="B2589" i="30"/>
  <c r="N2589" i="30" s="1"/>
  <c r="A2589" i="30"/>
  <c r="B2588" i="30"/>
  <c r="N2588" i="30" s="1"/>
  <c r="A2588" i="30"/>
  <c r="B2587" i="30"/>
  <c r="N2587" i="30" s="1"/>
  <c r="A2587" i="30"/>
  <c r="B2586" i="30"/>
  <c r="N2586" i="30" s="1"/>
  <c r="A2586" i="30"/>
  <c r="B2585" i="30"/>
  <c r="N2585" i="30" s="1"/>
  <c r="A2585" i="30"/>
  <c r="B2584" i="30"/>
  <c r="N2584" i="30" s="1"/>
  <c r="A2584" i="30"/>
  <c r="B2583" i="30"/>
  <c r="N2583" i="30" s="1"/>
  <c r="A2583" i="30"/>
  <c r="B2582" i="30"/>
  <c r="N2582" i="30" s="1"/>
  <c r="A2582" i="30"/>
  <c r="B2581" i="30"/>
  <c r="N2581" i="30" s="1"/>
  <c r="A2581" i="30"/>
  <c r="B2580" i="30"/>
  <c r="N2580" i="30" s="1"/>
  <c r="A2580" i="30"/>
  <c r="B2579" i="30"/>
  <c r="N2579" i="30" s="1"/>
  <c r="A2579" i="30"/>
  <c r="B2578" i="30"/>
  <c r="N2578" i="30" s="1"/>
  <c r="A2578" i="30"/>
  <c r="B2577" i="30"/>
  <c r="N2577" i="30" s="1"/>
  <c r="A2577" i="30"/>
  <c r="B2576" i="30"/>
  <c r="N2576" i="30" s="1"/>
  <c r="A2576" i="30"/>
  <c r="B2575" i="30"/>
  <c r="N2575" i="30" s="1"/>
  <c r="A2575" i="30"/>
  <c r="B2574" i="30"/>
  <c r="N2574" i="30" s="1"/>
  <c r="A2574" i="30"/>
  <c r="B2573" i="30"/>
  <c r="N2573" i="30" s="1"/>
  <c r="A2573" i="30"/>
  <c r="B2572" i="30"/>
  <c r="N2572" i="30" s="1"/>
  <c r="A2572" i="30"/>
  <c r="B2571" i="30"/>
  <c r="N2571" i="30" s="1"/>
  <c r="A2571" i="30"/>
  <c r="B2570" i="30"/>
  <c r="N2570" i="30" s="1"/>
  <c r="A2570" i="30"/>
  <c r="B2569" i="30"/>
  <c r="N2569" i="30" s="1"/>
  <c r="A2569" i="30"/>
  <c r="B2568" i="30"/>
  <c r="N2568" i="30" s="1"/>
  <c r="A2568" i="30"/>
  <c r="B2567" i="30"/>
  <c r="N2567" i="30" s="1"/>
  <c r="A2567" i="30"/>
  <c r="B2566" i="30"/>
  <c r="N2566" i="30" s="1"/>
  <c r="A2566" i="30"/>
  <c r="B2565" i="30"/>
  <c r="N2565" i="30" s="1"/>
  <c r="A2565" i="30"/>
  <c r="B2564" i="30"/>
  <c r="N2564" i="30" s="1"/>
  <c r="A2564" i="30"/>
  <c r="B2563" i="30"/>
  <c r="N2563" i="30" s="1"/>
  <c r="A2563" i="30"/>
  <c r="B2562" i="30"/>
  <c r="N2562" i="30" s="1"/>
  <c r="A2562" i="30"/>
  <c r="B2561" i="30"/>
  <c r="N2561" i="30" s="1"/>
  <c r="A2561" i="30"/>
  <c r="B2560" i="30"/>
  <c r="N2560" i="30" s="1"/>
  <c r="A2560" i="30"/>
  <c r="B2559" i="30"/>
  <c r="N2559" i="30" s="1"/>
  <c r="A2559" i="30"/>
  <c r="B2558" i="30"/>
  <c r="N2558" i="30" s="1"/>
  <c r="A2558" i="30"/>
  <c r="B2557" i="30"/>
  <c r="N2557" i="30" s="1"/>
  <c r="A2557" i="30"/>
  <c r="B2556" i="30"/>
  <c r="N2556" i="30" s="1"/>
  <c r="A2556" i="30"/>
  <c r="B2555" i="30"/>
  <c r="N2555" i="30" s="1"/>
  <c r="A2555" i="30"/>
  <c r="B2554" i="30"/>
  <c r="N2554" i="30" s="1"/>
  <c r="A2554" i="30"/>
  <c r="B2553" i="30"/>
  <c r="N2553" i="30" s="1"/>
  <c r="A2553" i="30"/>
  <c r="B2552" i="30"/>
  <c r="N2552" i="30" s="1"/>
  <c r="A2552" i="30"/>
  <c r="B2551" i="30"/>
  <c r="N2551" i="30" s="1"/>
  <c r="A2551" i="30"/>
  <c r="B2550" i="30"/>
  <c r="N2550" i="30" s="1"/>
  <c r="A2550" i="30"/>
  <c r="B2549" i="30"/>
  <c r="N2549" i="30" s="1"/>
  <c r="A2549" i="30"/>
  <c r="B2548" i="30"/>
  <c r="N2548" i="30" s="1"/>
  <c r="A2548" i="30"/>
  <c r="B2547" i="30"/>
  <c r="N2547" i="30" s="1"/>
  <c r="A2547" i="30"/>
  <c r="B2546" i="30"/>
  <c r="N2546" i="30" s="1"/>
  <c r="A2546" i="30"/>
  <c r="B2545" i="30"/>
  <c r="N2545" i="30" s="1"/>
  <c r="A2545" i="30"/>
  <c r="B2544" i="30"/>
  <c r="N2544" i="30" s="1"/>
  <c r="A2544" i="30"/>
  <c r="B2543" i="30"/>
  <c r="N2543" i="30" s="1"/>
  <c r="A2543" i="30"/>
  <c r="B2542" i="30"/>
  <c r="N2542" i="30" s="1"/>
  <c r="A2542" i="30"/>
  <c r="B2541" i="30"/>
  <c r="N2541" i="30" s="1"/>
  <c r="A2541" i="30"/>
  <c r="B2540" i="30"/>
  <c r="N2540" i="30" s="1"/>
  <c r="A2540" i="30"/>
  <c r="B2539" i="30"/>
  <c r="N2539" i="30" s="1"/>
  <c r="A2539" i="30"/>
  <c r="B2538" i="30"/>
  <c r="N2538" i="30" s="1"/>
  <c r="A2538" i="30"/>
  <c r="B2537" i="30"/>
  <c r="N2537" i="30" s="1"/>
  <c r="A2537" i="30"/>
  <c r="B2536" i="30"/>
  <c r="N2536" i="30" s="1"/>
  <c r="A2536" i="30"/>
  <c r="B2535" i="30"/>
  <c r="N2535" i="30" s="1"/>
  <c r="A2535" i="30"/>
  <c r="B2534" i="30"/>
  <c r="N2534" i="30" s="1"/>
  <c r="A2534" i="30"/>
  <c r="B2533" i="30"/>
  <c r="N2533" i="30" s="1"/>
  <c r="A2533" i="30"/>
  <c r="B2532" i="30"/>
  <c r="N2532" i="30" s="1"/>
  <c r="A2532" i="30"/>
  <c r="B2531" i="30"/>
  <c r="N2531" i="30" s="1"/>
  <c r="A2531" i="30"/>
  <c r="B2530" i="30"/>
  <c r="N2530" i="30" s="1"/>
  <c r="A2530" i="30"/>
  <c r="B2529" i="30"/>
  <c r="N2529" i="30" s="1"/>
  <c r="A2529" i="30"/>
  <c r="B2528" i="30"/>
  <c r="N2528" i="30" s="1"/>
  <c r="A2528" i="30"/>
  <c r="B2527" i="30"/>
  <c r="N2527" i="30" s="1"/>
  <c r="A2527" i="30"/>
  <c r="B2526" i="30"/>
  <c r="N2526" i="30" s="1"/>
  <c r="A2526" i="30"/>
  <c r="B2525" i="30"/>
  <c r="N2525" i="30" s="1"/>
  <c r="A2525" i="30"/>
  <c r="B2524" i="30"/>
  <c r="N2524" i="30" s="1"/>
  <c r="A2524" i="30"/>
  <c r="B2523" i="30"/>
  <c r="N2523" i="30" s="1"/>
  <c r="A2523" i="30"/>
  <c r="B2522" i="30"/>
  <c r="N2522" i="30" s="1"/>
  <c r="A2522" i="30"/>
  <c r="B2521" i="30"/>
  <c r="N2521" i="30" s="1"/>
  <c r="A2521" i="30"/>
  <c r="B2520" i="30"/>
  <c r="N2520" i="30" s="1"/>
  <c r="A2520" i="30"/>
  <c r="B2519" i="30"/>
  <c r="N2519" i="30" s="1"/>
  <c r="A2519" i="30"/>
  <c r="B2518" i="30"/>
  <c r="N2518" i="30" s="1"/>
  <c r="A2518" i="30"/>
  <c r="B2517" i="30"/>
  <c r="N2517" i="30" s="1"/>
  <c r="A2517" i="30"/>
  <c r="B2516" i="30"/>
  <c r="N2516" i="30" s="1"/>
  <c r="A2516" i="30"/>
  <c r="B2515" i="30"/>
  <c r="N2515" i="30" s="1"/>
  <c r="A2515" i="30"/>
  <c r="B2514" i="30"/>
  <c r="N2514" i="30" s="1"/>
  <c r="A2514" i="30"/>
  <c r="B2513" i="30"/>
  <c r="N2513" i="30" s="1"/>
  <c r="A2513" i="30"/>
  <c r="B2512" i="30"/>
  <c r="N2512" i="30" s="1"/>
  <c r="A2512" i="30"/>
  <c r="B2511" i="30"/>
  <c r="N2511" i="30" s="1"/>
  <c r="A2511" i="30"/>
  <c r="B2510" i="30"/>
  <c r="N2510" i="30" s="1"/>
  <c r="A2510" i="30"/>
  <c r="B2509" i="30"/>
  <c r="N2509" i="30" s="1"/>
  <c r="A2509" i="30"/>
  <c r="B2508" i="30"/>
  <c r="N2508" i="30" s="1"/>
  <c r="A2508" i="30"/>
  <c r="B2507" i="30"/>
  <c r="N2507" i="30" s="1"/>
  <c r="A2507" i="30"/>
  <c r="B2506" i="30"/>
  <c r="N2506" i="30" s="1"/>
  <c r="A2506" i="30"/>
  <c r="B2505" i="30"/>
  <c r="N2505" i="30" s="1"/>
  <c r="A2505" i="30"/>
  <c r="B2504" i="30"/>
  <c r="N2504" i="30" s="1"/>
  <c r="A2504" i="30"/>
  <c r="B2503" i="30"/>
  <c r="N2503" i="30" s="1"/>
  <c r="A2503" i="30"/>
  <c r="B2502" i="30"/>
  <c r="N2502" i="30" s="1"/>
  <c r="A2502" i="30"/>
  <c r="B2501" i="30"/>
  <c r="N2501" i="30" s="1"/>
  <c r="A2501" i="30"/>
  <c r="B2500" i="30"/>
  <c r="N2500" i="30" s="1"/>
  <c r="A2500" i="30"/>
  <c r="B2499" i="30"/>
  <c r="N2499" i="30" s="1"/>
  <c r="A2499" i="30"/>
  <c r="B2498" i="30"/>
  <c r="N2498" i="30" s="1"/>
  <c r="A2498" i="30"/>
  <c r="B2497" i="30"/>
  <c r="N2497" i="30" s="1"/>
  <c r="A2497" i="30"/>
  <c r="B2496" i="30"/>
  <c r="N2496" i="30" s="1"/>
  <c r="A2496" i="30"/>
  <c r="B2495" i="30"/>
  <c r="N2495" i="30" s="1"/>
  <c r="A2495" i="30"/>
  <c r="B2494" i="30"/>
  <c r="N2494" i="30" s="1"/>
  <c r="A2494" i="30"/>
  <c r="B2493" i="30"/>
  <c r="N2493" i="30" s="1"/>
  <c r="A2493" i="30"/>
  <c r="B2492" i="30"/>
  <c r="N2492" i="30" s="1"/>
  <c r="A2492" i="30"/>
  <c r="B2491" i="30"/>
  <c r="N2491" i="30" s="1"/>
  <c r="A2491" i="30"/>
  <c r="B2490" i="30"/>
  <c r="N2490" i="30" s="1"/>
  <c r="A2490" i="30"/>
  <c r="B2489" i="30"/>
  <c r="N2489" i="30" s="1"/>
  <c r="A2489" i="30"/>
  <c r="B2488" i="30"/>
  <c r="N2488" i="30" s="1"/>
  <c r="A2488" i="30"/>
  <c r="B2487" i="30"/>
  <c r="N2487" i="30" s="1"/>
  <c r="A2487" i="30"/>
  <c r="B2486" i="30"/>
  <c r="N2486" i="30" s="1"/>
  <c r="A2486" i="30"/>
  <c r="B2485" i="30"/>
  <c r="N2485" i="30" s="1"/>
  <c r="A2485" i="30"/>
  <c r="B2484" i="30"/>
  <c r="N2484" i="30" s="1"/>
  <c r="A2484" i="30"/>
  <c r="B2483" i="30"/>
  <c r="N2483" i="30" s="1"/>
  <c r="A2483" i="30"/>
  <c r="B2482" i="30"/>
  <c r="N2482" i="30" s="1"/>
  <c r="A2482" i="30"/>
  <c r="B2481" i="30"/>
  <c r="N2481" i="30" s="1"/>
  <c r="A2481" i="30"/>
  <c r="B2480" i="30"/>
  <c r="N2480" i="30" s="1"/>
  <c r="A2480" i="30"/>
  <c r="B2479" i="30"/>
  <c r="N2479" i="30" s="1"/>
  <c r="A2479" i="30"/>
  <c r="B2478" i="30"/>
  <c r="N2478" i="30" s="1"/>
  <c r="A2478" i="30"/>
  <c r="B2477" i="30"/>
  <c r="N2477" i="30" s="1"/>
  <c r="A2477" i="30"/>
  <c r="B2476" i="30"/>
  <c r="N2476" i="30" s="1"/>
  <c r="A2476" i="30"/>
  <c r="B2475" i="30"/>
  <c r="N2475" i="30" s="1"/>
  <c r="A2475" i="30"/>
  <c r="B2474" i="30"/>
  <c r="N2474" i="30" s="1"/>
  <c r="A2474" i="30"/>
  <c r="B2473" i="30"/>
  <c r="N2473" i="30" s="1"/>
  <c r="A2473" i="30"/>
  <c r="B2472" i="30"/>
  <c r="N2472" i="30" s="1"/>
  <c r="A2472" i="30"/>
  <c r="B2471" i="30"/>
  <c r="N2471" i="30" s="1"/>
  <c r="A2471" i="30"/>
  <c r="B2470" i="30"/>
  <c r="N2470" i="30" s="1"/>
  <c r="A2470" i="30"/>
  <c r="B2469" i="30"/>
  <c r="N2469" i="30" s="1"/>
  <c r="A2469" i="30"/>
  <c r="B2468" i="30"/>
  <c r="N2468" i="30" s="1"/>
  <c r="A2468" i="30"/>
  <c r="B2467" i="30"/>
  <c r="N2467" i="30" s="1"/>
  <c r="A2467" i="30"/>
  <c r="B2466" i="30"/>
  <c r="N2466" i="30" s="1"/>
  <c r="A2466" i="30"/>
  <c r="B2465" i="30"/>
  <c r="N2465" i="30" s="1"/>
  <c r="A2465" i="30"/>
  <c r="B2464" i="30"/>
  <c r="N2464" i="30" s="1"/>
  <c r="A2464" i="30"/>
  <c r="B2463" i="30"/>
  <c r="N2463" i="30" s="1"/>
  <c r="A2463" i="30"/>
  <c r="B2462" i="30"/>
  <c r="N2462" i="30" s="1"/>
  <c r="A2462" i="30"/>
  <c r="B2461" i="30"/>
  <c r="N2461" i="30" s="1"/>
  <c r="A2461" i="30"/>
  <c r="B2460" i="30"/>
  <c r="N2460" i="30" s="1"/>
  <c r="A2460" i="30"/>
  <c r="B2459" i="30"/>
  <c r="N2459" i="30" s="1"/>
  <c r="A2459" i="30"/>
  <c r="B2458" i="30"/>
  <c r="N2458" i="30" s="1"/>
  <c r="A2458" i="30"/>
  <c r="B2457" i="30"/>
  <c r="N2457" i="30" s="1"/>
  <c r="A2457" i="30"/>
  <c r="B2456" i="30"/>
  <c r="N2456" i="30" s="1"/>
  <c r="A2456" i="30"/>
  <c r="B2455" i="30"/>
  <c r="N2455" i="30" s="1"/>
  <c r="A2455" i="30"/>
  <c r="B2454" i="30"/>
  <c r="N2454" i="30" s="1"/>
  <c r="A2454" i="30"/>
  <c r="B2453" i="30"/>
  <c r="N2453" i="30" s="1"/>
  <c r="A2453" i="30"/>
  <c r="B2452" i="30"/>
  <c r="N2452" i="30" s="1"/>
  <c r="A2452" i="30"/>
  <c r="B2451" i="30"/>
  <c r="N2451" i="30" s="1"/>
  <c r="A2451" i="30"/>
  <c r="B2450" i="30"/>
  <c r="N2450" i="30" s="1"/>
  <c r="A2450" i="30"/>
  <c r="B2449" i="30"/>
  <c r="N2449" i="30" s="1"/>
  <c r="A2449" i="30"/>
  <c r="B2448" i="30"/>
  <c r="N2448" i="30" s="1"/>
  <c r="A2448" i="30"/>
  <c r="B2447" i="30"/>
  <c r="N2447" i="30" s="1"/>
  <c r="A2447" i="30"/>
  <c r="B2446" i="30"/>
  <c r="N2446" i="30" s="1"/>
  <c r="A2446" i="30"/>
  <c r="B2445" i="30"/>
  <c r="N2445" i="30" s="1"/>
  <c r="A2445" i="30"/>
  <c r="B2444" i="30"/>
  <c r="N2444" i="30" s="1"/>
  <c r="A2444" i="30"/>
  <c r="B2443" i="30"/>
  <c r="N2443" i="30" s="1"/>
  <c r="A2443" i="30"/>
  <c r="B2442" i="30"/>
  <c r="N2442" i="30" s="1"/>
  <c r="A2442" i="30"/>
  <c r="B2441" i="30"/>
  <c r="N2441" i="30" s="1"/>
  <c r="A2441" i="30"/>
  <c r="B2440" i="30"/>
  <c r="N2440" i="30" s="1"/>
  <c r="A2440" i="30"/>
  <c r="B2439" i="30"/>
  <c r="N2439" i="30" s="1"/>
  <c r="A2439" i="30"/>
  <c r="B2438" i="30"/>
  <c r="N2438" i="30" s="1"/>
  <c r="A2438" i="30"/>
  <c r="B2437" i="30"/>
  <c r="N2437" i="30" s="1"/>
  <c r="A2437" i="30"/>
  <c r="B2436" i="30"/>
  <c r="N2436" i="30" s="1"/>
  <c r="A2436" i="30"/>
  <c r="B2435" i="30"/>
  <c r="N2435" i="30" s="1"/>
  <c r="A2435" i="30"/>
  <c r="B2434" i="30"/>
  <c r="N2434" i="30" s="1"/>
  <c r="A2434" i="30"/>
  <c r="B2433" i="30"/>
  <c r="N2433" i="30" s="1"/>
  <c r="A2433" i="30"/>
  <c r="B2432" i="30"/>
  <c r="N2432" i="30" s="1"/>
  <c r="A2432" i="30"/>
  <c r="B2431" i="30"/>
  <c r="N2431" i="30" s="1"/>
  <c r="A2431" i="30"/>
  <c r="B2430" i="30"/>
  <c r="N2430" i="30" s="1"/>
  <c r="A2430" i="30"/>
  <c r="B2429" i="30"/>
  <c r="N2429" i="30" s="1"/>
  <c r="A2429" i="30"/>
  <c r="B2428" i="30"/>
  <c r="N2428" i="30" s="1"/>
  <c r="A2428" i="30"/>
  <c r="B2427" i="30"/>
  <c r="N2427" i="30" s="1"/>
  <c r="A2427" i="30"/>
  <c r="B2426" i="30"/>
  <c r="N2426" i="30" s="1"/>
  <c r="A2426" i="30"/>
  <c r="B2425" i="30"/>
  <c r="N2425" i="30" s="1"/>
  <c r="A2425" i="30"/>
  <c r="B2424" i="30"/>
  <c r="N2424" i="30" s="1"/>
  <c r="A2424" i="30"/>
  <c r="B2423" i="30"/>
  <c r="N2423" i="30" s="1"/>
  <c r="A2423" i="30"/>
  <c r="B2422" i="30"/>
  <c r="N2422" i="30" s="1"/>
  <c r="A2422" i="30"/>
  <c r="B2421" i="30"/>
  <c r="N2421" i="30" s="1"/>
  <c r="A2421" i="30"/>
  <c r="B2420" i="30"/>
  <c r="N2420" i="30" s="1"/>
  <c r="A2420" i="30"/>
  <c r="B2419" i="30"/>
  <c r="N2419" i="30" s="1"/>
  <c r="A2419" i="30"/>
  <c r="B2418" i="30"/>
  <c r="N2418" i="30" s="1"/>
  <c r="A2418" i="30"/>
  <c r="B2417" i="30"/>
  <c r="N2417" i="30" s="1"/>
  <c r="A2417" i="30"/>
  <c r="B2416" i="30"/>
  <c r="N2416" i="30" s="1"/>
  <c r="A2416" i="30"/>
  <c r="B2415" i="30"/>
  <c r="N2415" i="30" s="1"/>
  <c r="A2415" i="30"/>
  <c r="B2414" i="30"/>
  <c r="N2414" i="30" s="1"/>
  <c r="A2414" i="30"/>
  <c r="B2413" i="30"/>
  <c r="N2413" i="30" s="1"/>
  <c r="A2413" i="30"/>
  <c r="B2412" i="30"/>
  <c r="N2412" i="30" s="1"/>
  <c r="A2412" i="30"/>
  <c r="B2411" i="30"/>
  <c r="N2411" i="30" s="1"/>
  <c r="A2411" i="30"/>
  <c r="B2410" i="30"/>
  <c r="N2410" i="30" s="1"/>
  <c r="A2410" i="30"/>
  <c r="B2409" i="30"/>
  <c r="N2409" i="30" s="1"/>
  <c r="A2409" i="30"/>
  <c r="B2408" i="30"/>
  <c r="N2408" i="30" s="1"/>
  <c r="A2408" i="30"/>
  <c r="B2407" i="30"/>
  <c r="N2407" i="30" s="1"/>
  <c r="A2407" i="30"/>
  <c r="B2406" i="30"/>
  <c r="N2406" i="30" s="1"/>
  <c r="A2406" i="30"/>
  <c r="B2405" i="30"/>
  <c r="N2405" i="30" s="1"/>
  <c r="A2405" i="30"/>
  <c r="B2404" i="30"/>
  <c r="N2404" i="30" s="1"/>
  <c r="A2404" i="30"/>
  <c r="B2403" i="30"/>
  <c r="N2403" i="30" s="1"/>
  <c r="A2403" i="30"/>
  <c r="B2402" i="30"/>
  <c r="N2402" i="30" s="1"/>
  <c r="A2402" i="30"/>
  <c r="B2401" i="30"/>
  <c r="N2401" i="30" s="1"/>
  <c r="A2401" i="30"/>
  <c r="B2400" i="30"/>
  <c r="N2400" i="30" s="1"/>
  <c r="A2400" i="30"/>
  <c r="B2399" i="30"/>
  <c r="N2399" i="30" s="1"/>
  <c r="A2399" i="30"/>
  <c r="B2398" i="30"/>
  <c r="N2398" i="30" s="1"/>
  <c r="A2398" i="30"/>
  <c r="B2397" i="30"/>
  <c r="N2397" i="30" s="1"/>
  <c r="A2397" i="30"/>
  <c r="B2396" i="30"/>
  <c r="N2396" i="30" s="1"/>
  <c r="A2396" i="30"/>
  <c r="B2395" i="30"/>
  <c r="N2395" i="30" s="1"/>
  <c r="A2395" i="30"/>
  <c r="B2394" i="30"/>
  <c r="N2394" i="30" s="1"/>
  <c r="A2394" i="30"/>
  <c r="B2393" i="30"/>
  <c r="N2393" i="30" s="1"/>
  <c r="A2393" i="30"/>
  <c r="B2392" i="30"/>
  <c r="N2392" i="30" s="1"/>
  <c r="A2392" i="30"/>
  <c r="B2391" i="30"/>
  <c r="N2391" i="30" s="1"/>
  <c r="A2391" i="30"/>
  <c r="B2390" i="30"/>
  <c r="N2390" i="30" s="1"/>
  <c r="A2390" i="30"/>
  <c r="B2389" i="30"/>
  <c r="N2389" i="30" s="1"/>
  <c r="A2389" i="30"/>
  <c r="B2388" i="30"/>
  <c r="N2388" i="30" s="1"/>
  <c r="A2388" i="30"/>
  <c r="B2387" i="30"/>
  <c r="N2387" i="30" s="1"/>
  <c r="A2387" i="30"/>
  <c r="B2386" i="30"/>
  <c r="N2386" i="30" s="1"/>
  <c r="A2386" i="30"/>
  <c r="B2385" i="30"/>
  <c r="N2385" i="30" s="1"/>
  <c r="A2385" i="30"/>
  <c r="B2384" i="30"/>
  <c r="N2384" i="30" s="1"/>
  <c r="A2384" i="30"/>
  <c r="B2383" i="30"/>
  <c r="N2383" i="30" s="1"/>
  <c r="A2383" i="30"/>
  <c r="B2382" i="30"/>
  <c r="N2382" i="30" s="1"/>
  <c r="A2382" i="30"/>
  <c r="B2381" i="30"/>
  <c r="N2381" i="30" s="1"/>
  <c r="A2381" i="30"/>
  <c r="B2380" i="30"/>
  <c r="N2380" i="30" s="1"/>
  <c r="A2380" i="30"/>
  <c r="B2379" i="30"/>
  <c r="N2379" i="30" s="1"/>
  <c r="A2379" i="30"/>
  <c r="B2378" i="30"/>
  <c r="N2378" i="30" s="1"/>
  <c r="A2378" i="30"/>
  <c r="B2377" i="30"/>
  <c r="N2377" i="30" s="1"/>
  <c r="A2377" i="30"/>
  <c r="B2376" i="30"/>
  <c r="N2376" i="30" s="1"/>
  <c r="A2376" i="30"/>
  <c r="B2375" i="30"/>
  <c r="N2375" i="30" s="1"/>
  <c r="A2375" i="30"/>
  <c r="B2374" i="30"/>
  <c r="N2374" i="30" s="1"/>
  <c r="A2374" i="30"/>
  <c r="B2373" i="30"/>
  <c r="N2373" i="30" s="1"/>
  <c r="A2373" i="30"/>
  <c r="B2372" i="30"/>
  <c r="N2372" i="30" s="1"/>
  <c r="A2372" i="30"/>
  <c r="B2371" i="30"/>
  <c r="N2371" i="30" s="1"/>
  <c r="A2371" i="30"/>
  <c r="B2370" i="30"/>
  <c r="N2370" i="30" s="1"/>
  <c r="A2370" i="30"/>
  <c r="B2369" i="30"/>
  <c r="N2369" i="30" s="1"/>
  <c r="A2369" i="30"/>
  <c r="B2368" i="30"/>
  <c r="N2368" i="30" s="1"/>
  <c r="A2368" i="30"/>
  <c r="B2367" i="30"/>
  <c r="N2367" i="30" s="1"/>
  <c r="A2367" i="30"/>
  <c r="B2366" i="30"/>
  <c r="N2366" i="30" s="1"/>
  <c r="A2366" i="30"/>
  <c r="B2365" i="30"/>
  <c r="N2365" i="30" s="1"/>
  <c r="A2365" i="30"/>
  <c r="B2364" i="30"/>
  <c r="N2364" i="30" s="1"/>
  <c r="A2364" i="30"/>
  <c r="B2363" i="30"/>
  <c r="N2363" i="30" s="1"/>
  <c r="A2363" i="30"/>
  <c r="B2362" i="30"/>
  <c r="N2362" i="30" s="1"/>
  <c r="A2362" i="30"/>
  <c r="B2361" i="30"/>
  <c r="N2361" i="30" s="1"/>
  <c r="A2361" i="30"/>
  <c r="B2360" i="30"/>
  <c r="N2360" i="30" s="1"/>
  <c r="A2360" i="30"/>
  <c r="B2359" i="30"/>
  <c r="N2359" i="30" s="1"/>
  <c r="A2359" i="30"/>
  <c r="B2358" i="30"/>
  <c r="N2358" i="30" s="1"/>
  <c r="A2358" i="30"/>
  <c r="B2357" i="30"/>
  <c r="N2357" i="30" s="1"/>
  <c r="A2357" i="30"/>
  <c r="B2356" i="30"/>
  <c r="N2356" i="30" s="1"/>
  <c r="A2356" i="30"/>
  <c r="B2355" i="30"/>
  <c r="N2355" i="30" s="1"/>
  <c r="A2355" i="30"/>
  <c r="B2354" i="30"/>
  <c r="N2354" i="30" s="1"/>
  <c r="A2354" i="30"/>
  <c r="B2353" i="30"/>
  <c r="N2353" i="30" s="1"/>
  <c r="A2353" i="30"/>
  <c r="B2352" i="30"/>
  <c r="N2352" i="30" s="1"/>
  <c r="A2352" i="30"/>
  <c r="B2351" i="30"/>
  <c r="N2351" i="30" s="1"/>
  <c r="A2351" i="30"/>
  <c r="B2350" i="30"/>
  <c r="N2350" i="30" s="1"/>
  <c r="A2350" i="30"/>
  <c r="B2349" i="30"/>
  <c r="N2349" i="30" s="1"/>
  <c r="A2349" i="30"/>
  <c r="B2348" i="30"/>
  <c r="N2348" i="30" s="1"/>
  <c r="A2348" i="30"/>
  <c r="B2347" i="30"/>
  <c r="N2347" i="30" s="1"/>
  <c r="A2347" i="30"/>
  <c r="B2346" i="30"/>
  <c r="N2346" i="30" s="1"/>
  <c r="A2346" i="30"/>
  <c r="B2345" i="30"/>
  <c r="N2345" i="30" s="1"/>
  <c r="A2345" i="30"/>
  <c r="B2344" i="30"/>
  <c r="N2344" i="30" s="1"/>
  <c r="A2344" i="30"/>
  <c r="B2343" i="30"/>
  <c r="N2343" i="30" s="1"/>
  <c r="A2343" i="30"/>
  <c r="B2342" i="30"/>
  <c r="N2342" i="30" s="1"/>
  <c r="A2342" i="30"/>
  <c r="B2341" i="30"/>
  <c r="N2341" i="30" s="1"/>
  <c r="A2341" i="30"/>
  <c r="B2340" i="30"/>
  <c r="N2340" i="30" s="1"/>
  <c r="A2340" i="30"/>
  <c r="B2339" i="30"/>
  <c r="N2339" i="30" s="1"/>
  <c r="A2339" i="30"/>
  <c r="B2338" i="30"/>
  <c r="N2338" i="30" s="1"/>
  <c r="A2338" i="30"/>
  <c r="B2337" i="30"/>
  <c r="N2337" i="30" s="1"/>
  <c r="A2337" i="30"/>
  <c r="B2336" i="30"/>
  <c r="N2336" i="30" s="1"/>
  <c r="A2336" i="30"/>
  <c r="B2335" i="30"/>
  <c r="N2335" i="30" s="1"/>
  <c r="A2335" i="30"/>
  <c r="B2334" i="30"/>
  <c r="N2334" i="30" s="1"/>
  <c r="A2334" i="30"/>
  <c r="B2333" i="30"/>
  <c r="N2333" i="30" s="1"/>
  <c r="A2333" i="30"/>
  <c r="B2332" i="30"/>
  <c r="N2332" i="30" s="1"/>
  <c r="A2332" i="30"/>
  <c r="B2331" i="30"/>
  <c r="N2331" i="30" s="1"/>
  <c r="A2331" i="30"/>
  <c r="B2330" i="30"/>
  <c r="N2330" i="30" s="1"/>
  <c r="A2330" i="30"/>
  <c r="B2329" i="30"/>
  <c r="N2329" i="30" s="1"/>
  <c r="A2329" i="30"/>
  <c r="B2328" i="30"/>
  <c r="N2328" i="30" s="1"/>
  <c r="A2328" i="30"/>
  <c r="B2327" i="30"/>
  <c r="N2327" i="30" s="1"/>
  <c r="A2327" i="30"/>
  <c r="B2326" i="30"/>
  <c r="N2326" i="30" s="1"/>
  <c r="A2326" i="30"/>
  <c r="B2325" i="30"/>
  <c r="N2325" i="30" s="1"/>
  <c r="A2325" i="30"/>
  <c r="B2324" i="30"/>
  <c r="N2324" i="30" s="1"/>
  <c r="A2324" i="30"/>
  <c r="B2323" i="30"/>
  <c r="N2323" i="30" s="1"/>
  <c r="A2323" i="30"/>
  <c r="B2322" i="30"/>
  <c r="N2322" i="30" s="1"/>
  <c r="A2322" i="30"/>
  <c r="B2321" i="30"/>
  <c r="N2321" i="30" s="1"/>
  <c r="A2321" i="30"/>
  <c r="B2320" i="30"/>
  <c r="N2320" i="30" s="1"/>
  <c r="A2320" i="30"/>
  <c r="B2319" i="30"/>
  <c r="N2319" i="30" s="1"/>
  <c r="A2319" i="30"/>
  <c r="B2318" i="30"/>
  <c r="N2318" i="30" s="1"/>
  <c r="A2318" i="30"/>
  <c r="B2317" i="30"/>
  <c r="N2317" i="30" s="1"/>
  <c r="A2317" i="30"/>
  <c r="B2316" i="30"/>
  <c r="N2316" i="30" s="1"/>
  <c r="A2316" i="30"/>
  <c r="B2315" i="30"/>
  <c r="N2315" i="30" s="1"/>
  <c r="A2315" i="30"/>
  <c r="B2314" i="30"/>
  <c r="N2314" i="30" s="1"/>
  <c r="A2314" i="30"/>
  <c r="B2313" i="30"/>
  <c r="N2313" i="30" s="1"/>
  <c r="A2313" i="30"/>
  <c r="B2312" i="30"/>
  <c r="N2312" i="30" s="1"/>
  <c r="A2312" i="30"/>
  <c r="B2311" i="30"/>
  <c r="N2311" i="30" s="1"/>
  <c r="A2311" i="30"/>
  <c r="B2310" i="30"/>
  <c r="N2310" i="30" s="1"/>
  <c r="A2310" i="30"/>
  <c r="B2309" i="30"/>
  <c r="N2309" i="30" s="1"/>
  <c r="A2309" i="30"/>
  <c r="B2308" i="30"/>
  <c r="N2308" i="30" s="1"/>
  <c r="A2308" i="30"/>
  <c r="B2307" i="30"/>
  <c r="N2307" i="30" s="1"/>
  <c r="A2307" i="30"/>
  <c r="B2306" i="30"/>
  <c r="N2306" i="30" s="1"/>
  <c r="A2306" i="30"/>
  <c r="B2305" i="30"/>
  <c r="N2305" i="30" s="1"/>
  <c r="A2305" i="30"/>
  <c r="B2304" i="30"/>
  <c r="N2304" i="30" s="1"/>
  <c r="A2304" i="30"/>
  <c r="B2303" i="30"/>
  <c r="N2303" i="30" s="1"/>
  <c r="A2303" i="30"/>
  <c r="B2302" i="30"/>
  <c r="N2302" i="30" s="1"/>
  <c r="A2302" i="30"/>
  <c r="B2301" i="30"/>
  <c r="N2301" i="30" s="1"/>
  <c r="A2301" i="30"/>
  <c r="B2300" i="30"/>
  <c r="N2300" i="30" s="1"/>
  <c r="A2300" i="30"/>
  <c r="B2299" i="30"/>
  <c r="N2299" i="30" s="1"/>
  <c r="A2299" i="30"/>
  <c r="B2298" i="30"/>
  <c r="N2298" i="30" s="1"/>
  <c r="A2298" i="30"/>
  <c r="B2297" i="30"/>
  <c r="N2297" i="30" s="1"/>
  <c r="A2297" i="30"/>
  <c r="B2296" i="30"/>
  <c r="N2296" i="30" s="1"/>
  <c r="A2296" i="30"/>
  <c r="B2295" i="30"/>
  <c r="N2295" i="30" s="1"/>
  <c r="A2295" i="30"/>
  <c r="B2294" i="30"/>
  <c r="N2294" i="30" s="1"/>
  <c r="A2294" i="30"/>
  <c r="B2293" i="30"/>
  <c r="N2293" i="30" s="1"/>
  <c r="A2293" i="30"/>
  <c r="B2292" i="30"/>
  <c r="N2292" i="30" s="1"/>
  <c r="A2292" i="30"/>
  <c r="B2291" i="30"/>
  <c r="N2291" i="30" s="1"/>
  <c r="A2291" i="30"/>
  <c r="B2290" i="30"/>
  <c r="N2290" i="30" s="1"/>
  <c r="A2290" i="30"/>
  <c r="B2289" i="30"/>
  <c r="N2289" i="30" s="1"/>
  <c r="A2289" i="30"/>
  <c r="B2288" i="30"/>
  <c r="N2288" i="30" s="1"/>
  <c r="A2288" i="30"/>
  <c r="B2287" i="30"/>
  <c r="N2287" i="30" s="1"/>
  <c r="A2287" i="30"/>
  <c r="B2286" i="30"/>
  <c r="N2286" i="30" s="1"/>
  <c r="A2286" i="30"/>
  <c r="B2285" i="30"/>
  <c r="N2285" i="30" s="1"/>
  <c r="A2285" i="30"/>
  <c r="B2284" i="30"/>
  <c r="N2284" i="30" s="1"/>
  <c r="A2284" i="30"/>
  <c r="B2283" i="30"/>
  <c r="N2283" i="30" s="1"/>
  <c r="A2283" i="30"/>
  <c r="B2282" i="30"/>
  <c r="N2282" i="30" s="1"/>
  <c r="A2282" i="30"/>
  <c r="B2281" i="30"/>
  <c r="N2281" i="30" s="1"/>
  <c r="A2281" i="30"/>
  <c r="B2280" i="30"/>
  <c r="N2280" i="30" s="1"/>
  <c r="A2280" i="30"/>
  <c r="B2279" i="30"/>
  <c r="N2279" i="30" s="1"/>
  <c r="A2279" i="30"/>
  <c r="B2278" i="30"/>
  <c r="N2278" i="30" s="1"/>
  <c r="A2278" i="30"/>
  <c r="B2277" i="30"/>
  <c r="N2277" i="30" s="1"/>
  <c r="A2277" i="30"/>
  <c r="B2276" i="30"/>
  <c r="N2276" i="30" s="1"/>
  <c r="A2276" i="30"/>
  <c r="B2275" i="30"/>
  <c r="N2275" i="30" s="1"/>
  <c r="A2275" i="30"/>
  <c r="B2274" i="30"/>
  <c r="N2274" i="30" s="1"/>
  <c r="A2274" i="30"/>
  <c r="B2273" i="30"/>
  <c r="N2273" i="30" s="1"/>
  <c r="A2273" i="30"/>
  <c r="B2272" i="30"/>
  <c r="N2272" i="30" s="1"/>
  <c r="A2272" i="30"/>
  <c r="B2271" i="30"/>
  <c r="N2271" i="30" s="1"/>
  <c r="A2271" i="30"/>
  <c r="B2270" i="30"/>
  <c r="N2270" i="30" s="1"/>
  <c r="A2270" i="30"/>
  <c r="B2269" i="30"/>
  <c r="N2269" i="30" s="1"/>
  <c r="A2269" i="30"/>
  <c r="B2268" i="30"/>
  <c r="N2268" i="30" s="1"/>
  <c r="A2268" i="30"/>
  <c r="B2267" i="30"/>
  <c r="N2267" i="30" s="1"/>
  <c r="A2267" i="30"/>
  <c r="B2266" i="30"/>
  <c r="N2266" i="30" s="1"/>
  <c r="A2266" i="30"/>
  <c r="B2265" i="30"/>
  <c r="N2265" i="30" s="1"/>
  <c r="A2265" i="30"/>
  <c r="B2264" i="30"/>
  <c r="N2264" i="30" s="1"/>
  <c r="A2264" i="30"/>
  <c r="B2263" i="30"/>
  <c r="N2263" i="30" s="1"/>
  <c r="A2263" i="30"/>
  <c r="B2262" i="30"/>
  <c r="N2262" i="30" s="1"/>
  <c r="A2262" i="30"/>
  <c r="B2261" i="30"/>
  <c r="N2261" i="30" s="1"/>
  <c r="A2261" i="30"/>
  <c r="B2260" i="30"/>
  <c r="N2260" i="30" s="1"/>
  <c r="A2260" i="30"/>
  <c r="B2259" i="30"/>
  <c r="N2259" i="30" s="1"/>
  <c r="A2259" i="30"/>
  <c r="B2258" i="30"/>
  <c r="N2258" i="30" s="1"/>
  <c r="A2258" i="30"/>
  <c r="B2257" i="30"/>
  <c r="N2257" i="30" s="1"/>
  <c r="A2257" i="30"/>
  <c r="B2256" i="30"/>
  <c r="N2256" i="30" s="1"/>
  <c r="A2256" i="30"/>
  <c r="B2255" i="30"/>
  <c r="N2255" i="30" s="1"/>
  <c r="A2255" i="30"/>
  <c r="B2254" i="30"/>
  <c r="N2254" i="30" s="1"/>
  <c r="A2254" i="30"/>
  <c r="B2253" i="30"/>
  <c r="N2253" i="30" s="1"/>
  <c r="A2253" i="30"/>
  <c r="B2252" i="30"/>
  <c r="N2252" i="30" s="1"/>
  <c r="A2252" i="30"/>
  <c r="B2251" i="30"/>
  <c r="N2251" i="30" s="1"/>
  <c r="A2251" i="30"/>
  <c r="B2250" i="30"/>
  <c r="N2250" i="30" s="1"/>
  <c r="A2250" i="30"/>
  <c r="B2249" i="30"/>
  <c r="N2249" i="30" s="1"/>
  <c r="A2249" i="30"/>
  <c r="B2248" i="30"/>
  <c r="N2248" i="30" s="1"/>
  <c r="A2248" i="30"/>
  <c r="B2247" i="30"/>
  <c r="N2247" i="30" s="1"/>
  <c r="A2247" i="30"/>
  <c r="B2246" i="30"/>
  <c r="N2246" i="30" s="1"/>
  <c r="A2246" i="30"/>
  <c r="B2245" i="30"/>
  <c r="N2245" i="30" s="1"/>
  <c r="A2245" i="30"/>
  <c r="B2244" i="30"/>
  <c r="N2244" i="30" s="1"/>
  <c r="A2244" i="30"/>
  <c r="B2243" i="30"/>
  <c r="N2243" i="30" s="1"/>
  <c r="A2243" i="30"/>
  <c r="B2242" i="30"/>
  <c r="N2242" i="30" s="1"/>
  <c r="A2242" i="30"/>
  <c r="B2241" i="30"/>
  <c r="N2241" i="30" s="1"/>
  <c r="A2241" i="30"/>
  <c r="B2240" i="30"/>
  <c r="N2240" i="30" s="1"/>
  <c r="A2240" i="30"/>
  <c r="B2239" i="30"/>
  <c r="N2239" i="30" s="1"/>
  <c r="A2239" i="30"/>
  <c r="B2238" i="30"/>
  <c r="N2238" i="30" s="1"/>
  <c r="A2238" i="30"/>
  <c r="B2237" i="30"/>
  <c r="N2237" i="30" s="1"/>
  <c r="A2237" i="30"/>
  <c r="B2236" i="30"/>
  <c r="N2236" i="30" s="1"/>
  <c r="A2236" i="30"/>
  <c r="B2235" i="30"/>
  <c r="N2235" i="30" s="1"/>
  <c r="A2235" i="30"/>
  <c r="B2234" i="30"/>
  <c r="N2234" i="30" s="1"/>
  <c r="A2234" i="30"/>
  <c r="B2233" i="30"/>
  <c r="N2233" i="30" s="1"/>
  <c r="A2233" i="30"/>
  <c r="B2232" i="30"/>
  <c r="N2232" i="30" s="1"/>
  <c r="A2232" i="30"/>
  <c r="B2231" i="30"/>
  <c r="N2231" i="30" s="1"/>
  <c r="A2231" i="30"/>
  <c r="B2230" i="30"/>
  <c r="N2230" i="30" s="1"/>
  <c r="A2230" i="30"/>
  <c r="B2229" i="30"/>
  <c r="N2229" i="30" s="1"/>
  <c r="A2229" i="30"/>
  <c r="B2228" i="30"/>
  <c r="N2228" i="30" s="1"/>
  <c r="A2228" i="30"/>
  <c r="B2227" i="30"/>
  <c r="N2227" i="30" s="1"/>
  <c r="A2227" i="30"/>
  <c r="B2226" i="30"/>
  <c r="N2226" i="30" s="1"/>
  <c r="A2226" i="30"/>
  <c r="B2225" i="30"/>
  <c r="N2225" i="30" s="1"/>
  <c r="A2225" i="30"/>
  <c r="B2224" i="30"/>
  <c r="N2224" i="30" s="1"/>
  <c r="A2224" i="30"/>
  <c r="B2223" i="30"/>
  <c r="N2223" i="30" s="1"/>
  <c r="A2223" i="30"/>
  <c r="B2222" i="30"/>
  <c r="N2222" i="30" s="1"/>
  <c r="A2222" i="30"/>
  <c r="B2221" i="30"/>
  <c r="N2221" i="30" s="1"/>
  <c r="A2221" i="30"/>
  <c r="B2220" i="30"/>
  <c r="N2220" i="30" s="1"/>
  <c r="A2220" i="30"/>
  <c r="B2219" i="30"/>
  <c r="N2219" i="30" s="1"/>
  <c r="A2219" i="30"/>
  <c r="B2218" i="30"/>
  <c r="N2218" i="30" s="1"/>
  <c r="A2218" i="30"/>
  <c r="B2217" i="30"/>
  <c r="N2217" i="30" s="1"/>
  <c r="A2217" i="30"/>
  <c r="B2216" i="30"/>
  <c r="N2216" i="30" s="1"/>
  <c r="A2216" i="30"/>
  <c r="B2215" i="30"/>
  <c r="N2215" i="30" s="1"/>
  <c r="A2215" i="30"/>
  <c r="B2214" i="30"/>
  <c r="N2214" i="30" s="1"/>
  <c r="A2214" i="30"/>
  <c r="B2213" i="30"/>
  <c r="N2213" i="30" s="1"/>
  <c r="A2213" i="30"/>
  <c r="B2212" i="30"/>
  <c r="N2212" i="30" s="1"/>
  <c r="A2212" i="30"/>
  <c r="B2211" i="30"/>
  <c r="N2211" i="30" s="1"/>
  <c r="A2211" i="30"/>
  <c r="B2210" i="30"/>
  <c r="N2210" i="30" s="1"/>
  <c r="A2210" i="30"/>
  <c r="B2209" i="30"/>
  <c r="N2209" i="30" s="1"/>
  <c r="A2209" i="30"/>
  <c r="B2208" i="30"/>
  <c r="N2208" i="30" s="1"/>
  <c r="A2208" i="30"/>
  <c r="B2207" i="30"/>
  <c r="N2207" i="30" s="1"/>
  <c r="A2207" i="30"/>
  <c r="B2206" i="30"/>
  <c r="N2206" i="30" s="1"/>
  <c r="A2206" i="30"/>
  <c r="B2205" i="30"/>
  <c r="N2205" i="30" s="1"/>
  <c r="A2205" i="30"/>
  <c r="B2204" i="30"/>
  <c r="N2204" i="30" s="1"/>
  <c r="A2204" i="30"/>
  <c r="B2203" i="30"/>
  <c r="N2203" i="30" s="1"/>
  <c r="A2203" i="30"/>
  <c r="B2202" i="30"/>
  <c r="N2202" i="30" s="1"/>
  <c r="A2202" i="30"/>
  <c r="B2201" i="30"/>
  <c r="N2201" i="30" s="1"/>
  <c r="A2201" i="30"/>
  <c r="B2200" i="30"/>
  <c r="N2200" i="30" s="1"/>
  <c r="A2200" i="30"/>
  <c r="B2199" i="30"/>
  <c r="N2199" i="30" s="1"/>
  <c r="A2199" i="30"/>
  <c r="B2198" i="30"/>
  <c r="N2198" i="30" s="1"/>
  <c r="A2198" i="30"/>
  <c r="B2197" i="30"/>
  <c r="N2197" i="30" s="1"/>
  <c r="A2197" i="30"/>
  <c r="B2196" i="30"/>
  <c r="N2196" i="30" s="1"/>
  <c r="A2196" i="30"/>
  <c r="B2195" i="30"/>
  <c r="N2195" i="30" s="1"/>
  <c r="A2195" i="30"/>
  <c r="B2194" i="30"/>
  <c r="N2194" i="30" s="1"/>
  <c r="A2194" i="30"/>
  <c r="B2193" i="30"/>
  <c r="N2193" i="30" s="1"/>
  <c r="A2193" i="30"/>
  <c r="B2192" i="30"/>
  <c r="N2192" i="30" s="1"/>
  <c r="A2192" i="30"/>
  <c r="B2191" i="30"/>
  <c r="N2191" i="30" s="1"/>
  <c r="A2191" i="30"/>
  <c r="B2190" i="30"/>
  <c r="N2190" i="30" s="1"/>
  <c r="A2190" i="30"/>
  <c r="B2189" i="30"/>
  <c r="N2189" i="30" s="1"/>
  <c r="A2189" i="30"/>
  <c r="B2188" i="30"/>
  <c r="N2188" i="30" s="1"/>
  <c r="A2188" i="30"/>
  <c r="B2187" i="30"/>
  <c r="N2187" i="30" s="1"/>
  <c r="A2187" i="30"/>
  <c r="B2186" i="30"/>
  <c r="N2186" i="30" s="1"/>
  <c r="A2186" i="30"/>
  <c r="B2185" i="30"/>
  <c r="N2185" i="30" s="1"/>
  <c r="A2185" i="30"/>
  <c r="B2184" i="30"/>
  <c r="N2184" i="30" s="1"/>
  <c r="A2184" i="30"/>
  <c r="B2183" i="30"/>
  <c r="N2183" i="30" s="1"/>
  <c r="A2183" i="30"/>
  <c r="B2182" i="30"/>
  <c r="N2182" i="30" s="1"/>
  <c r="A2182" i="30"/>
  <c r="B2181" i="30"/>
  <c r="N2181" i="30" s="1"/>
  <c r="A2181" i="30"/>
  <c r="B2180" i="30"/>
  <c r="N2180" i="30" s="1"/>
  <c r="A2180" i="30"/>
  <c r="B2179" i="30"/>
  <c r="N2179" i="30" s="1"/>
  <c r="A2179" i="30"/>
  <c r="B2178" i="30"/>
  <c r="N2178" i="30" s="1"/>
  <c r="A2178" i="30"/>
  <c r="B2177" i="30"/>
  <c r="N2177" i="30" s="1"/>
  <c r="A2177" i="30"/>
  <c r="B2176" i="30"/>
  <c r="N2176" i="30" s="1"/>
  <c r="A2176" i="30"/>
  <c r="B2175" i="30"/>
  <c r="N2175" i="30" s="1"/>
  <c r="A2175" i="30"/>
  <c r="B2174" i="30"/>
  <c r="N2174" i="30" s="1"/>
  <c r="A2174" i="30"/>
  <c r="B2173" i="30"/>
  <c r="N2173" i="30" s="1"/>
  <c r="A2173" i="30"/>
  <c r="B2172" i="30"/>
  <c r="N2172" i="30" s="1"/>
  <c r="A2172" i="30"/>
  <c r="B2171" i="30"/>
  <c r="N2171" i="30" s="1"/>
  <c r="A2171" i="30"/>
  <c r="B2170" i="30"/>
  <c r="N2170" i="30" s="1"/>
  <c r="A2170" i="30"/>
  <c r="B2169" i="30"/>
  <c r="N2169" i="30" s="1"/>
  <c r="A2169" i="30"/>
  <c r="B2168" i="30"/>
  <c r="N2168" i="30" s="1"/>
  <c r="A2168" i="30"/>
  <c r="B2167" i="30"/>
  <c r="N2167" i="30" s="1"/>
  <c r="A2167" i="30"/>
  <c r="B2166" i="30"/>
  <c r="N2166" i="30" s="1"/>
  <c r="A2166" i="30"/>
  <c r="B2165" i="30"/>
  <c r="N2165" i="30" s="1"/>
  <c r="A2165" i="30"/>
  <c r="B2164" i="30"/>
  <c r="N2164" i="30" s="1"/>
  <c r="A2164" i="30"/>
  <c r="B2163" i="30"/>
  <c r="N2163" i="30" s="1"/>
  <c r="A2163" i="30"/>
  <c r="B2162" i="30"/>
  <c r="N2162" i="30" s="1"/>
  <c r="A2162" i="30"/>
  <c r="B2161" i="30"/>
  <c r="N2161" i="30" s="1"/>
  <c r="A2161" i="30"/>
  <c r="B2160" i="30"/>
  <c r="N2160" i="30" s="1"/>
  <c r="A2160" i="30"/>
  <c r="B2159" i="30"/>
  <c r="N2159" i="30" s="1"/>
  <c r="A2159" i="30"/>
  <c r="B2158" i="30"/>
  <c r="N2158" i="30" s="1"/>
  <c r="A2158" i="30"/>
  <c r="B2157" i="30"/>
  <c r="N2157" i="30" s="1"/>
  <c r="A2157" i="30"/>
  <c r="B2156" i="30"/>
  <c r="N2156" i="30" s="1"/>
  <c r="A2156" i="30"/>
  <c r="B2155" i="30"/>
  <c r="N2155" i="30" s="1"/>
  <c r="A2155" i="30"/>
  <c r="B2154" i="30"/>
  <c r="N2154" i="30" s="1"/>
  <c r="A2154" i="30"/>
  <c r="B2153" i="30"/>
  <c r="N2153" i="30" s="1"/>
  <c r="A2153" i="30"/>
  <c r="B2152" i="30"/>
  <c r="N2152" i="30" s="1"/>
  <c r="A2152" i="30"/>
  <c r="B2151" i="30"/>
  <c r="N2151" i="30" s="1"/>
  <c r="A2151" i="30"/>
  <c r="B2150" i="30"/>
  <c r="N2150" i="30" s="1"/>
  <c r="A2150" i="30"/>
  <c r="B2149" i="30"/>
  <c r="N2149" i="30" s="1"/>
  <c r="A2149" i="30"/>
  <c r="B2148" i="30"/>
  <c r="N2148" i="30" s="1"/>
  <c r="A2148" i="30"/>
  <c r="B2147" i="30"/>
  <c r="N2147" i="30" s="1"/>
  <c r="A2147" i="30"/>
  <c r="B2146" i="30"/>
  <c r="N2146" i="30" s="1"/>
  <c r="A2146" i="30"/>
  <c r="B2145" i="30"/>
  <c r="N2145" i="30" s="1"/>
  <c r="A2145" i="30"/>
  <c r="B2144" i="30"/>
  <c r="N2144" i="30" s="1"/>
  <c r="A2144" i="30"/>
  <c r="B2143" i="30"/>
  <c r="N2143" i="30" s="1"/>
  <c r="A2143" i="30"/>
  <c r="B2142" i="30"/>
  <c r="N2142" i="30" s="1"/>
  <c r="A2142" i="30"/>
  <c r="B2141" i="30"/>
  <c r="N2141" i="30" s="1"/>
  <c r="A2141" i="30"/>
  <c r="B2140" i="30"/>
  <c r="N2140" i="30" s="1"/>
  <c r="A2140" i="30"/>
  <c r="B2139" i="30"/>
  <c r="N2139" i="30" s="1"/>
  <c r="A2139" i="30"/>
  <c r="B2138" i="30"/>
  <c r="N2138" i="30" s="1"/>
  <c r="A2138" i="30"/>
  <c r="B2137" i="30"/>
  <c r="N2137" i="30" s="1"/>
  <c r="A2137" i="30"/>
  <c r="B2136" i="30"/>
  <c r="N2136" i="30" s="1"/>
  <c r="A2136" i="30"/>
  <c r="B2135" i="30"/>
  <c r="N2135" i="30" s="1"/>
  <c r="A2135" i="30"/>
  <c r="B2134" i="30"/>
  <c r="N2134" i="30" s="1"/>
  <c r="A2134" i="30"/>
  <c r="B2133" i="30"/>
  <c r="N2133" i="30" s="1"/>
  <c r="A2133" i="30"/>
  <c r="B2132" i="30"/>
  <c r="N2132" i="30" s="1"/>
  <c r="A2132" i="30"/>
  <c r="B2131" i="30"/>
  <c r="N2131" i="30" s="1"/>
  <c r="A2131" i="30"/>
  <c r="B2130" i="30"/>
  <c r="N2130" i="30" s="1"/>
  <c r="A2130" i="30"/>
  <c r="B2129" i="30"/>
  <c r="N2129" i="30" s="1"/>
  <c r="A2129" i="30"/>
  <c r="B2128" i="30"/>
  <c r="N2128" i="30" s="1"/>
  <c r="A2128" i="30"/>
  <c r="B2127" i="30"/>
  <c r="N2127" i="30" s="1"/>
  <c r="A2127" i="30"/>
  <c r="B2126" i="30"/>
  <c r="N2126" i="30" s="1"/>
  <c r="A2126" i="30"/>
  <c r="B2125" i="30"/>
  <c r="N2125" i="30" s="1"/>
  <c r="A2125" i="30"/>
  <c r="B2124" i="30"/>
  <c r="N2124" i="30" s="1"/>
  <c r="A2124" i="30"/>
  <c r="B2123" i="30"/>
  <c r="N2123" i="30" s="1"/>
  <c r="A2123" i="30"/>
  <c r="B2122" i="30"/>
  <c r="N2122" i="30" s="1"/>
  <c r="A2122" i="30"/>
  <c r="B2121" i="30"/>
  <c r="N2121" i="30" s="1"/>
  <c r="A2121" i="30"/>
  <c r="B2120" i="30"/>
  <c r="N2120" i="30" s="1"/>
  <c r="A2120" i="30"/>
  <c r="B2119" i="30"/>
  <c r="N2119" i="30" s="1"/>
  <c r="A2119" i="30"/>
  <c r="B2118" i="30"/>
  <c r="N2118" i="30" s="1"/>
  <c r="A2118" i="30"/>
  <c r="B2117" i="30"/>
  <c r="N2117" i="30" s="1"/>
  <c r="A2117" i="30"/>
  <c r="B2116" i="30"/>
  <c r="N2116" i="30" s="1"/>
  <c r="A2116" i="30"/>
  <c r="B2114" i="30"/>
  <c r="N2114" i="30" s="1"/>
  <c r="A2114" i="30"/>
  <c r="B2113" i="30"/>
  <c r="N2113" i="30" s="1"/>
  <c r="A2113" i="30"/>
  <c r="B2112" i="30"/>
  <c r="N2112" i="30" s="1"/>
  <c r="A2112" i="30"/>
  <c r="B2111" i="30"/>
  <c r="N2111" i="30" s="1"/>
  <c r="A2111" i="30"/>
  <c r="B2110" i="30"/>
  <c r="N2110" i="30" s="1"/>
  <c r="A2110" i="30"/>
  <c r="B2109" i="30"/>
  <c r="N2109" i="30" s="1"/>
  <c r="A2109" i="30"/>
  <c r="B2108" i="30"/>
  <c r="N2108" i="30" s="1"/>
  <c r="A2108" i="30"/>
  <c r="B2107" i="30"/>
  <c r="N2107" i="30" s="1"/>
  <c r="A2107" i="30"/>
  <c r="B2106" i="30"/>
  <c r="N2106" i="30" s="1"/>
  <c r="A2106" i="30"/>
  <c r="B2105" i="30"/>
  <c r="N2105" i="30" s="1"/>
  <c r="A2105" i="30"/>
  <c r="B2104" i="30"/>
  <c r="N2104" i="30" s="1"/>
  <c r="A2104" i="30"/>
  <c r="B2103" i="30"/>
  <c r="N2103" i="30" s="1"/>
  <c r="A2103" i="30"/>
  <c r="B2102" i="30"/>
  <c r="N2102" i="30" s="1"/>
  <c r="A2102" i="30"/>
  <c r="B2101" i="30"/>
  <c r="N2101" i="30" s="1"/>
  <c r="A2101" i="30"/>
  <c r="B2100" i="30"/>
  <c r="N2100" i="30" s="1"/>
  <c r="A2100" i="30"/>
  <c r="B2099" i="30"/>
  <c r="N2099" i="30" s="1"/>
  <c r="A2099" i="30"/>
  <c r="B2098" i="30"/>
  <c r="N2098" i="30" s="1"/>
  <c r="A2098" i="30"/>
  <c r="B2097" i="30"/>
  <c r="N2097" i="30" s="1"/>
  <c r="A2097" i="30"/>
  <c r="B2096" i="30"/>
  <c r="N2096" i="30" s="1"/>
  <c r="A2096" i="30"/>
  <c r="B2095" i="30"/>
  <c r="N2095" i="30" s="1"/>
  <c r="A2095" i="30"/>
  <c r="B2094" i="30"/>
  <c r="N2094" i="30" s="1"/>
  <c r="A2094" i="30"/>
  <c r="B2093" i="30"/>
  <c r="N2093" i="30" s="1"/>
  <c r="A2093" i="30"/>
  <c r="B2092" i="30"/>
  <c r="N2092" i="30" s="1"/>
  <c r="A2092" i="30"/>
  <c r="B2091" i="30"/>
  <c r="N2091" i="30" s="1"/>
  <c r="A2091" i="30"/>
  <c r="B2090" i="30"/>
  <c r="N2090" i="30" s="1"/>
  <c r="A2090" i="30"/>
  <c r="B2089" i="30"/>
  <c r="N2089" i="30" s="1"/>
  <c r="A2089" i="30"/>
  <c r="B2088" i="30"/>
  <c r="N2088" i="30" s="1"/>
  <c r="A2088" i="30"/>
  <c r="B2087" i="30"/>
  <c r="N2087" i="30" s="1"/>
  <c r="A2087" i="30"/>
  <c r="B2086" i="30"/>
  <c r="N2086" i="30" s="1"/>
  <c r="A2086" i="30"/>
  <c r="B2085" i="30"/>
  <c r="N2085" i="30" s="1"/>
  <c r="A2085" i="30"/>
  <c r="B2084" i="30"/>
  <c r="N2084" i="30" s="1"/>
  <c r="A2084" i="30"/>
  <c r="B2083" i="30"/>
  <c r="N2083" i="30" s="1"/>
  <c r="A2083" i="30"/>
  <c r="B2082" i="30"/>
  <c r="N2082" i="30" s="1"/>
  <c r="A2082" i="30"/>
  <c r="B2081" i="30"/>
  <c r="N2081" i="30" s="1"/>
  <c r="A2081" i="30"/>
  <c r="B2080" i="30"/>
  <c r="N2080" i="30" s="1"/>
  <c r="A2080" i="30"/>
  <c r="B2079" i="30"/>
  <c r="N2079" i="30" s="1"/>
  <c r="A2079" i="30"/>
  <c r="B2078" i="30"/>
  <c r="N2078" i="30" s="1"/>
  <c r="A2078" i="30"/>
  <c r="B2077" i="30"/>
  <c r="N2077" i="30" s="1"/>
  <c r="A2077" i="30"/>
  <c r="B2076" i="30"/>
  <c r="N2076" i="30" s="1"/>
  <c r="A2076" i="30"/>
  <c r="B2075" i="30"/>
  <c r="N2075" i="30" s="1"/>
  <c r="A2075" i="30"/>
  <c r="B2074" i="30"/>
  <c r="N2074" i="30" s="1"/>
  <c r="A2074" i="30"/>
  <c r="B2073" i="30"/>
  <c r="N2073" i="30" s="1"/>
  <c r="A2073" i="30"/>
  <c r="B2072" i="30"/>
  <c r="N2072" i="30" s="1"/>
  <c r="A2072" i="30"/>
  <c r="B2071" i="30"/>
  <c r="N2071" i="30" s="1"/>
  <c r="A2071" i="30"/>
  <c r="B2070" i="30"/>
  <c r="N2070" i="30" s="1"/>
  <c r="A2070" i="30"/>
  <c r="B2069" i="30"/>
  <c r="N2069" i="30" s="1"/>
  <c r="A2069" i="30"/>
  <c r="B2068" i="30"/>
  <c r="N2068" i="30" s="1"/>
  <c r="A2068" i="30"/>
  <c r="B2067" i="30"/>
  <c r="N2067" i="30" s="1"/>
  <c r="A2067" i="30"/>
  <c r="B2066" i="30"/>
  <c r="N2066" i="30" s="1"/>
  <c r="A2066" i="30"/>
  <c r="B2065" i="30"/>
  <c r="N2065" i="30" s="1"/>
  <c r="A2065" i="30"/>
  <c r="B2064" i="30"/>
  <c r="N2064" i="30" s="1"/>
  <c r="A2064" i="30"/>
  <c r="B2063" i="30"/>
  <c r="N2063" i="30" s="1"/>
  <c r="A2063" i="30"/>
  <c r="B2062" i="30"/>
  <c r="N2062" i="30" s="1"/>
  <c r="A2062" i="30"/>
  <c r="B2061" i="30"/>
  <c r="N2061" i="30" s="1"/>
  <c r="A2061" i="30"/>
  <c r="B2060" i="30"/>
  <c r="N2060" i="30" s="1"/>
  <c r="A2060" i="30"/>
  <c r="B2059" i="30"/>
  <c r="A2059" i="30"/>
  <c r="B2058" i="30"/>
  <c r="A2058" i="30"/>
  <c r="B2057" i="30"/>
  <c r="A2057" i="30"/>
  <c r="B2056" i="30"/>
  <c r="A2056" i="30"/>
  <c r="B2055" i="30"/>
  <c r="A2055" i="30"/>
  <c r="B2054" i="30"/>
  <c r="A2054" i="30"/>
  <c r="B2053" i="30"/>
  <c r="A2053" i="30"/>
  <c r="B2052" i="30"/>
  <c r="A2052" i="30"/>
  <c r="B2051" i="30"/>
  <c r="A2051" i="30"/>
  <c r="B2050" i="30"/>
  <c r="A2050" i="30"/>
  <c r="B2049" i="30"/>
  <c r="A2049" i="30"/>
  <c r="B2048" i="30"/>
  <c r="A2048" i="30"/>
  <c r="B2047" i="30"/>
  <c r="A2047" i="30"/>
  <c r="B2046" i="30"/>
  <c r="A2046" i="30"/>
  <c r="B2045" i="30"/>
  <c r="A2045" i="30"/>
  <c r="B2044" i="30"/>
  <c r="A2044" i="30"/>
  <c r="B2043" i="30"/>
  <c r="A2043" i="30"/>
  <c r="B2042" i="30"/>
  <c r="A2042" i="30"/>
  <c r="B2041" i="30"/>
  <c r="A2041" i="30"/>
  <c r="B2040" i="30"/>
  <c r="A2040" i="30"/>
  <c r="B2039" i="30"/>
  <c r="A2039" i="30"/>
  <c r="B2038" i="30"/>
  <c r="A2038" i="30"/>
  <c r="B2037" i="30"/>
  <c r="A2037" i="30"/>
  <c r="B2036" i="30"/>
  <c r="A2036" i="30"/>
  <c r="B2035" i="30"/>
  <c r="A2035" i="30"/>
  <c r="B2034" i="30"/>
  <c r="A2034" i="30"/>
  <c r="B2033" i="30"/>
  <c r="A2033" i="30"/>
  <c r="B2032" i="30"/>
  <c r="A2032" i="30"/>
  <c r="B2031" i="30"/>
  <c r="A2031" i="30"/>
  <c r="B2030" i="30"/>
  <c r="A2030" i="30"/>
  <c r="B2029" i="30"/>
  <c r="A2029" i="30"/>
  <c r="B2028" i="30"/>
  <c r="A2028" i="30"/>
  <c r="B2027" i="30"/>
  <c r="A2027" i="30"/>
  <c r="B2026" i="30"/>
  <c r="A2026" i="30"/>
  <c r="B2025" i="30"/>
  <c r="A2025" i="30"/>
  <c r="B2024" i="30"/>
  <c r="A2024" i="30"/>
  <c r="B2023" i="30"/>
  <c r="A2023" i="30"/>
  <c r="B2022" i="30"/>
  <c r="A2022" i="30"/>
  <c r="B2021" i="30"/>
  <c r="A2021" i="30"/>
  <c r="B2020" i="30"/>
  <c r="A2020" i="30"/>
  <c r="B2019" i="30"/>
  <c r="A2019" i="30"/>
  <c r="B2018" i="30"/>
  <c r="A2018" i="30"/>
  <c r="B2017" i="30"/>
  <c r="A2017" i="30"/>
  <c r="B2016" i="30"/>
  <c r="A2016" i="30"/>
  <c r="B2015" i="30"/>
  <c r="A2015" i="30"/>
  <c r="B2014" i="30"/>
  <c r="A2014" i="30"/>
  <c r="B2013" i="30"/>
  <c r="A2013" i="30"/>
  <c r="B2012" i="30"/>
  <c r="A2012" i="30"/>
  <c r="B2011" i="30"/>
  <c r="A2011" i="30"/>
  <c r="B2010" i="30"/>
  <c r="A2010" i="30"/>
  <c r="B2009" i="30"/>
  <c r="A2009" i="30"/>
  <c r="B2008" i="30"/>
  <c r="A2008" i="30"/>
  <c r="B2007" i="30"/>
  <c r="A2007" i="30"/>
  <c r="B2006" i="30"/>
  <c r="A2006" i="30"/>
  <c r="B2005" i="30"/>
  <c r="A2005" i="30"/>
  <c r="B2004" i="30"/>
  <c r="A2004" i="30"/>
  <c r="B2003" i="30"/>
  <c r="A2003" i="30"/>
  <c r="B2002" i="30"/>
  <c r="A2002" i="30"/>
  <c r="B2001" i="30"/>
  <c r="A2001" i="30"/>
  <c r="B2000" i="30"/>
  <c r="A2000" i="30"/>
  <c r="B1999" i="30"/>
  <c r="A1999" i="30"/>
  <c r="B1998" i="30"/>
  <c r="A1998" i="30"/>
  <c r="B1997" i="30"/>
  <c r="A1997" i="30"/>
  <c r="B1996" i="30"/>
  <c r="A1996" i="30"/>
  <c r="B1995" i="30"/>
  <c r="A1995" i="30"/>
  <c r="B1994" i="30"/>
  <c r="A1994" i="30"/>
  <c r="B1993" i="30"/>
  <c r="A1993" i="30"/>
  <c r="B1992" i="30"/>
  <c r="A1992" i="30"/>
  <c r="B1991" i="30"/>
  <c r="A1991" i="30"/>
  <c r="B1990" i="30"/>
  <c r="A1990" i="30"/>
  <c r="B1989" i="30"/>
  <c r="A1989" i="30"/>
  <c r="B1988" i="30"/>
  <c r="A1988" i="30"/>
  <c r="B1987" i="30"/>
  <c r="A1987" i="30"/>
  <c r="B1986" i="30"/>
  <c r="A1986" i="30"/>
  <c r="B1985" i="30"/>
  <c r="A1985" i="30"/>
  <c r="B1984" i="30"/>
  <c r="A1984" i="30"/>
  <c r="B1983" i="30"/>
  <c r="A1983" i="30"/>
  <c r="B1982" i="30"/>
  <c r="A1982" i="30"/>
  <c r="B1981" i="30"/>
  <c r="A1981" i="30"/>
  <c r="B1980" i="30"/>
  <c r="A1980" i="30"/>
  <c r="B1979" i="30"/>
  <c r="A1979" i="30"/>
  <c r="B1978" i="30"/>
  <c r="A1978" i="30"/>
  <c r="B1977" i="30"/>
  <c r="A1977" i="30"/>
  <c r="B1976" i="30"/>
  <c r="A1976" i="30"/>
  <c r="B1975" i="30"/>
  <c r="A1975" i="30"/>
  <c r="B1974" i="30"/>
  <c r="A1974" i="30"/>
  <c r="B1973" i="30"/>
  <c r="A1973" i="30"/>
  <c r="B1972" i="30"/>
  <c r="A1972" i="30"/>
  <c r="B1971" i="30"/>
  <c r="A1971" i="30"/>
  <c r="B1956" i="30"/>
  <c r="A1956" i="30"/>
  <c r="B1954" i="30"/>
  <c r="A1954" i="30"/>
  <c r="B1953" i="30"/>
  <c r="A1953" i="30"/>
  <c r="B1952" i="30"/>
  <c r="A1952" i="30"/>
  <c r="B1951" i="30"/>
  <c r="A1951" i="30"/>
  <c r="B1950" i="30"/>
  <c r="A1950" i="30"/>
  <c r="B1949" i="30"/>
  <c r="A1949" i="30"/>
  <c r="B1948" i="30"/>
  <c r="A1948" i="30"/>
  <c r="B1947" i="30"/>
  <c r="A1947" i="30"/>
  <c r="B1946" i="30"/>
  <c r="A1946" i="30"/>
  <c r="B1945" i="30"/>
  <c r="A1945" i="30"/>
  <c r="B1944" i="30"/>
  <c r="A1944" i="30"/>
  <c r="B1943" i="30"/>
  <c r="A1943" i="30"/>
  <c r="B1942" i="30"/>
  <c r="A1942" i="30"/>
  <c r="B1941" i="30"/>
  <c r="A1941" i="30"/>
  <c r="B1940" i="30"/>
  <c r="A1940" i="30"/>
  <c r="B1939" i="30"/>
  <c r="A1939" i="30"/>
  <c r="B1938" i="30"/>
  <c r="A1938" i="30"/>
  <c r="B1937" i="30"/>
  <c r="A1937" i="30"/>
  <c r="B1936" i="30"/>
  <c r="A1936" i="30"/>
  <c r="B1935" i="30"/>
  <c r="A1935" i="30"/>
  <c r="B1934" i="30"/>
  <c r="A1934" i="30"/>
  <c r="B1933" i="30"/>
  <c r="A1933" i="30"/>
  <c r="B1932" i="30"/>
  <c r="A1932" i="30"/>
  <c r="B1931" i="30"/>
  <c r="N1931" i="30" s="1"/>
  <c r="A1931" i="30"/>
  <c r="B1930" i="30"/>
  <c r="N1930" i="30" s="1"/>
  <c r="A1930" i="30"/>
  <c r="B1929" i="30"/>
  <c r="N1929" i="30" s="1"/>
  <c r="A1929" i="30"/>
  <c r="B1928" i="30"/>
  <c r="N1928" i="30" s="1"/>
  <c r="A1928" i="30"/>
  <c r="B1927" i="30"/>
  <c r="N1927" i="30" s="1"/>
  <c r="A1927" i="30"/>
  <c r="B1926" i="30"/>
  <c r="N1926" i="30" s="1"/>
  <c r="A1926" i="30"/>
  <c r="B1925" i="30"/>
  <c r="N1925" i="30" s="1"/>
  <c r="A1925" i="30"/>
  <c r="B1924" i="30"/>
  <c r="N1924" i="30" s="1"/>
  <c r="A1924" i="30"/>
  <c r="B1923" i="30"/>
  <c r="A1923" i="30"/>
  <c r="B1922" i="30"/>
  <c r="A1922" i="30"/>
  <c r="B1921" i="30"/>
  <c r="A1921" i="30"/>
  <c r="B1920" i="30"/>
  <c r="A1920" i="30"/>
  <c r="B1919" i="30"/>
  <c r="A1919" i="30"/>
  <c r="B1918" i="30"/>
  <c r="A1918" i="30"/>
  <c r="B1917" i="30"/>
  <c r="A1917" i="30"/>
  <c r="B1916" i="30"/>
  <c r="A1916" i="30"/>
  <c r="B1915" i="30"/>
  <c r="A1915" i="30"/>
  <c r="B1914" i="30"/>
  <c r="A1914" i="30"/>
  <c r="B1913" i="30"/>
  <c r="A1913" i="30"/>
  <c r="B1912" i="30"/>
  <c r="A1912" i="30"/>
  <c r="B1911" i="30"/>
  <c r="A1911" i="30"/>
  <c r="B1910" i="30"/>
  <c r="A1910" i="30"/>
  <c r="B1909" i="30"/>
  <c r="A1909" i="30"/>
  <c r="B1908" i="30"/>
  <c r="A1908" i="30"/>
  <c r="B1907" i="30"/>
  <c r="A1907" i="30"/>
  <c r="B1906" i="30"/>
  <c r="A1906" i="30"/>
  <c r="B1905" i="30"/>
  <c r="N1905" i="30" s="1"/>
  <c r="A1905" i="30"/>
  <c r="B1904" i="30"/>
  <c r="N1904" i="30" s="1"/>
  <c r="A1904" i="30"/>
  <c r="B1903" i="30"/>
  <c r="N1903" i="30" s="1"/>
  <c r="A1903" i="30"/>
  <c r="B1902" i="30"/>
  <c r="N1902" i="30" s="1"/>
  <c r="A1902" i="30"/>
  <c r="B1901" i="30"/>
  <c r="N1901" i="30" s="1"/>
  <c r="A1901" i="30"/>
  <c r="B1900" i="30"/>
  <c r="N1900" i="30" s="1"/>
  <c r="A1900" i="30"/>
  <c r="B1899" i="30"/>
  <c r="N1899" i="30" s="1"/>
  <c r="A1899" i="30"/>
  <c r="B1898" i="30"/>
  <c r="N1898" i="30" s="1"/>
  <c r="A1898" i="30"/>
  <c r="B1897" i="30"/>
  <c r="N1897" i="30" s="1"/>
  <c r="A1897" i="30"/>
  <c r="B1896" i="30"/>
  <c r="N1896" i="30" s="1"/>
  <c r="A1896" i="30"/>
  <c r="B1895" i="30"/>
  <c r="N1895" i="30" s="1"/>
  <c r="A1895" i="30"/>
  <c r="B1894" i="30"/>
  <c r="N1894" i="30" s="1"/>
  <c r="A1894" i="30"/>
  <c r="B1893" i="30"/>
  <c r="N1893" i="30" s="1"/>
  <c r="A1893" i="30"/>
  <c r="B1892" i="30"/>
  <c r="N1892" i="30" s="1"/>
  <c r="A1892" i="30"/>
  <c r="B1891" i="30"/>
  <c r="N1891" i="30" s="1"/>
  <c r="A1891" i="30"/>
  <c r="B1890" i="30"/>
  <c r="N1890" i="30" s="1"/>
  <c r="A1890" i="30"/>
  <c r="B1889" i="30"/>
  <c r="N1889" i="30" s="1"/>
  <c r="A1889" i="30"/>
  <c r="B1888" i="30"/>
  <c r="N1888" i="30" s="1"/>
  <c r="A1888" i="30"/>
  <c r="B1887" i="30"/>
  <c r="N1887" i="30" s="1"/>
  <c r="A1887" i="30"/>
  <c r="B1886" i="30"/>
  <c r="N1886" i="30" s="1"/>
  <c r="A1886" i="30"/>
  <c r="B1885" i="30"/>
  <c r="N1885" i="30" s="1"/>
  <c r="A1885" i="30"/>
  <c r="B1884" i="30"/>
  <c r="N1884" i="30" s="1"/>
  <c r="A1884" i="30"/>
  <c r="B1883" i="30"/>
  <c r="N1883" i="30" s="1"/>
  <c r="A1883" i="30"/>
  <c r="B1882" i="30"/>
  <c r="N1882" i="30" s="1"/>
  <c r="A1882" i="30"/>
  <c r="B1881" i="30"/>
  <c r="N1881" i="30" s="1"/>
  <c r="A1881" i="30"/>
  <c r="B1880" i="30"/>
  <c r="N1880" i="30" s="1"/>
  <c r="A1880" i="30"/>
  <c r="B1879" i="30"/>
  <c r="N1879" i="30" s="1"/>
  <c r="A1879" i="30"/>
  <c r="B1878" i="30"/>
  <c r="N1878" i="30" s="1"/>
  <c r="A1878" i="30"/>
  <c r="B1877" i="30"/>
  <c r="N1877" i="30" s="1"/>
  <c r="A1877" i="30"/>
  <c r="B1876" i="30"/>
  <c r="N1876" i="30" s="1"/>
  <c r="A1876" i="30"/>
  <c r="B1875" i="30"/>
  <c r="N1875" i="30" s="1"/>
  <c r="A1875" i="30"/>
  <c r="B1874" i="30"/>
  <c r="N1874" i="30" s="1"/>
  <c r="A1874" i="30"/>
  <c r="B1873" i="30"/>
  <c r="N1873" i="30" s="1"/>
  <c r="A1873" i="30"/>
  <c r="B1872" i="30"/>
  <c r="N1872" i="30" s="1"/>
  <c r="A1872" i="30"/>
  <c r="B1871" i="30"/>
  <c r="N1871" i="30" s="1"/>
  <c r="A1871" i="30"/>
  <c r="B1870" i="30"/>
  <c r="N1870" i="30" s="1"/>
  <c r="A1870" i="30"/>
  <c r="B1869" i="30"/>
  <c r="N1869" i="30" s="1"/>
  <c r="A1869" i="30"/>
  <c r="B1868" i="30"/>
  <c r="N1868" i="30" s="1"/>
  <c r="A1868" i="30"/>
  <c r="B1867" i="30"/>
  <c r="N1867" i="30" s="1"/>
  <c r="A1867" i="30"/>
  <c r="B1866" i="30"/>
  <c r="N1866" i="30" s="1"/>
  <c r="A1866" i="30"/>
  <c r="B1865" i="30"/>
  <c r="N1865" i="30" s="1"/>
  <c r="A1865" i="30"/>
  <c r="B1864" i="30"/>
  <c r="N1864" i="30" s="1"/>
  <c r="A1864" i="30"/>
  <c r="B1863" i="30"/>
  <c r="N1863" i="30" s="1"/>
  <c r="A1863" i="30"/>
  <c r="B1862" i="30"/>
  <c r="N1862" i="30" s="1"/>
  <c r="A1862" i="30"/>
  <c r="B1861" i="30"/>
  <c r="N1861" i="30" s="1"/>
  <c r="A1861" i="30"/>
  <c r="B1860" i="30"/>
  <c r="N1860" i="30" s="1"/>
  <c r="A1860" i="30"/>
  <c r="B1859" i="30"/>
  <c r="N1859" i="30" s="1"/>
  <c r="A1859" i="30"/>
  <c r="B1858" i="30"/>
  <c r="N1858" i="30" s="1"/>
  <c r="A1858" i="30"/>
  <c r="B1857" i="30"/>
  <c r="N1857" i="30" s="1"/>
  <c r="A1857" i="30"/>
  <c r="B1856" i="30"/>
  <c r="N1856" i="30" s="1"/>
  <c r="A1856" i="30"/>
  <c r="B1855" i="30"/>
  <c r="N1855" i="30" s="1"/>
  <c r="A1855" i="30"/>
  <c r="B1854" i="30"/>
  <c r="N1854" i="30" s="1"/>
  <c r="A1854" i="30"/>
  <c r="B1853" i="30"/>
  <c r="N1853" i="30" s="1"/>
  <c r="A1853" i="30"/>
  <c r="B1852" i="30"/>
  <c r="N1852" i="30" s="1"/>
  <c r="A1852" i="30"/>
  <c r="B1851" i="30"/>
  <c r="N1851" i="30" s="1"/>
  <c r="A1851" i="30"/>
  <c r="B1850" i="30"/>
  <c r="N1850" i="30" s="1"/>
  <c r="A1850" i="30"/>
  <c r="B1849" i="30"/>
  <c r="N1849" i="30" s="1"/>
  <c r="A1849" i="30"/>
  <c r="B1848" i="30"/>
  <c r="N1848" i="30" s="1"/>
  <c r="A1848" i="30"/>
  <c r="B1847" i="30"/>
  <c r="N1847" i="30" s="1"/>
  <c r="A1847" i="30"/>
  <c r="B1846" i="30"/>
  <c r="N1846" i="30" s="1"/>
  <c r="A1846" i="30"/>
  <c r="B1845" i="30"/>
  <c r="N1845" i="30" s="1"/>
  <c r="A1845" i="30"/>
  <c r="B1844" i="30"/>
  <c r="N1844" i="30" s="1"/>
  <c r="A1844" i="30"/>
  <c r="B1843" i="30"/>
  <c r="N1843" i="30" s="1"/>
  <c r="A1843" i="30"/>
  <c r="B1842" i="30"/>
  <c r="N1842" i="30" s="1"/>
  <c r="A1842" i="30"/>
  <c r="B1841" i="30"/>
  <c r="N1841" i="30" s="1"/>
  <c r="A1841" i="30"/>
  <c r="B1840" i="30"/>
  <c r="N1840" i="30" s="1"/>
  <c r="A1840" i="30"/>
  <c r="B1839" i="30"/>
  <c r="N1839" i="30" s="1"/>
  <c r="A1839" i="30"/>
  <c r="B1838" i="30"/>
  <c r="N1838" i="30" s="1"/>
  <c r="A1838" i="30"/>
  <c r="B1837" i="30"/>
  <c r="N1837" i="30" s="1"/>
  <c r="A1837" i="30"/>
  <c r="B1836" i="30"/>
  <c r="N1836" i="30" s="1"/>
  <c r="A1836" i="30"/>
  <c r="B1835" i="30"/>
  <c r="N1835" i="30" s="1"/>
  <c r="A1835" i="30"/>
  <c r="B1834" i="30"/>
  <c r="N1834" i="30" s="1"/>
  <c r="A1834" i="30"/>
  <c r="B1833" i="30"/>
  <c r="N1833" i="30" s="1"/>
  <c r="A1833" i="30"/>
  <c r="B1832" i="30"/>
  <c r="N1832" i="30" s="1"/>
  <c r="A1832" i="30"/>
  <c r="B1831" i="30"/>
  <c r="N1831" i="30" s="1"/>
  <c r="A1831" i="30"/>
  <c r="B1830" i="30"/>
  <c r="N1830" i="30" s="1"/>
  <c r="A1830" i="30"/>
  <c r="B1829" i="30"/>
  <c r="N1829" i="30" s="1"/>
  <c r="A1829" i="30"/>
  <c r="B1828" i="30"/>
  <c r="N1828" i="30" s="1"/>
  <c r="A1828" i="30"/>
  <c r="B1827" i="30"/>
  <c r="N1827" i="30" s="1"/>
  <c r="A1827" i="30"/>
  <c r="B1826" i="30"/>
  <c r="N1826" i="30" s="1"/>
  <c r="A1826" i="30"/>
  <c r="B1825" i="30"/>
  <c r="N1825" i="30" s="1"/>
  <c r="A1825" i="30"/>
  <c r="B1824" i="30"/>
  <c r="N1824" i="30" s="1"/>
  <c r="A1824" i="30"/>
  <c r="B1823" i="30"/>
  <c r="N1823" i="30" s="1"/>
  <c r="A1823" i="30"/>
  <c r="B1822" i="30"/>
  <c r="N1822" i="30" s="1"/>
  <c r="A1822" i="30"/>
  <c r="B1821" i="30"/>
  <c r="N1821" i="30" s="1"/>
  <c r="A1821" i="30"/>
  <c r="B1820" i="30"/>
  <c r="N1820" i="30" s="1"/>
  <c r="A1820" i="30"/>
  <c r="B1819" i="30"/>
  <c r="N1819" i="30" s="1"/>
  <c r="A1819" i="30"/>
  <c r="B1818" i="30"/>
  <c r="N1818" i="30" s="1"/>
  <c r="A1818" i="30"/>
  <c r="B1817" i="30"/>
  <c r="N1817" i="30" s="1"/>
  <c r="A1817" i="30"/>
  <c r="B1816" i="30"/>
  <c r="N1816" i="30" s="1"/>
  <c r="A1816" i="30"/>
  <c r="B1815" i="30"/>
  <c r="N1815" i="30" s="1"/>
  <c r="A1815" i="30"/>
  <c r="B1814" i="30"/>
  <c r="N1814" i="30" s="1"/>
  <c r="A1814" i="30"/>
  <c r="B1813" i="30"/>
  <c r="A1813" i="30"/>
  <c r="B1812" i="30"/>
  <c r="A1812" i="30"/>
  <c r="B1811" i="30"/>
  <c r="A1811" i="30"/>
  <c r="B1810" i="30"/>
  <c r="A1810" i="30"/>
  <c r="B1809" i="30"/>
  <c r="A1809" i="30"/>
  <c r="B1808" i="30"/>
  <c r="A1808" i="30"/>
  <c r="B1807" i="30"/>
  <c r="A1807" i="30"/>
  <c r="B1806" i="30"/>
  <c r="A1806" i="30"/>
  <c r="B1805" i="30"/>
  <c r="A1805" i="30"/>
  <c r="B1804" i="30"/>
  <c r="N1804" i="30" s="1"/>
  <c r="A1804" i="30"/>
  <c r="B1803" i="30"/>
  <c r="N1803" i="30" s="1"/>
  <c r="A1803" i="30"/>
  <c r="B1802" i="30"/>
  <c r="N1802" i="30" s="1"/>
  <c r="A1802" i="30"/>
  <c r="B1801" i="30"/>
  <c r="N1801" i="30" s="1"/>
  <c r="A1801" i="30"/>
  <c r="B1800" i="30"/>
  <c r="N1800" i="30" s="1"/>
  <c r="A1800" i="30"/>
  <c r="B1799" i="30"/>
  <c r="N1799" i="30" s="1"/>
  <c r="A1799" i="30"/>
  <c r="B1798" i="30"/>
  <c r="N1798" i="30" s="1"/>
  <c r="A1798" i="30"/>
  <c r="B1797" i="30"/>
  <c r="N1797" i="30" s="1"/>
  <c r="A1797" i="30"/>
  <c r="B1796" i="30"/>
  <c r="N1796" i="30" s="1"/>
  <c r="A1796" i="30"/>
  <c r="B1795" i="30"/>
  <c r="N1795" i="30" s="1"/>
  <c r="A1795" i="30"/>
  <c r="B1794" i="30"/>
  <c r="N1794" i="30" s="1"/>
  <c r="A1794" i="30"/>
  <c r="B1793" i="30"/>
  <c r="N1793" i="30" s="1"/>
  <c r="A1793" i="30"/>
  <c r="B1792" i="30"/>
  <c r="N1792" i="30" s="1"/>
  <c r="A1792" i="30"/>
  <c r="B1791" i="30"/>
  <c r="N1791" i="30" s="1"/>
  <c r="A1791" i="30"/>
  <c r="B1790" i="30"/>
  <c r="N1790" i="30" s="1"/>
  <c r="A1790" i="30"/>
  <c r="B1789" i="30"/>
  <c r="N1789" i="30" s="1"/>
  <c r="A1789" i="30"/>
  <c r="B1788" i="30"/>
  <c r="N1788" i="30" s="1"/>
  <c r="A1788" i="30"/>
  <c r="B1787" i="30"/>
  <c r="N1787" i="30" s="1"/>
  <c r="A1787" i="30"/>
  <c r="B1786" i="30"/>
  <c r="N1786" i="30" s="1"/>
  <c r="A1786" i="30"/>
  <c r="B1785" i="30"/>
  <c r="N1785" i="30" s="1"/>
  <c r="A1785" i="30"/>
  <c r="B1784" i="30"/>
  <c r="N1784" i="30" s="1"/>
  <c r="A1784" i="30"/>
  <c r="B1783" i="30"/>
  <c r="N1783" i="30" s="1"/>
  <c r="A1783" i="30"/>
  <c r="B1782" i="30"/>
  <c r="N1782" i="30" s="1"/>
  <c r="A1782" i="30"/>
  <c r="B1781" i="30"/>
  <c r="N1781" i="30" s="1"/>
  <c r="A1781" i="30"/>
  <c r="B1780" i="30"/>
  <c r="N1780" i="30" s="1"/>
  <c r="A1780" i="30"/>
  <c r="B1779" i="30"/>
  <c r="N1779" i="30" s="1"/>
  <c r="A1779" i="30"/>
  <c r="B1778" i="30"/>
  <c r="N1778" i="30" s="1"/>
  <c r="A1778" i="30"/>
  <c r="B1777" i="30"/>
  <c r="N1777" i="30" s="1"/>
  <c r="A1777" i="30"/>
  <c r="B1776" i="30"/>
  <c r="N1776" i="30" s="1"/>
  <c r="A1776" i="30"/>
  <c r="B1775" i="30"/>
  <c r="N1775" i="30" s="1"/>
  <c r="A1775" i="30"/>
  <c r="B1774" i="30"/>
  <c r="N1774" i="30" s="1"/>
  <c r="A1774" i="30"/>
  <c r="B1773" i="30"/>
  <c r="N1773" i="30" s="1"/>
  <c r="A1773" i="30"/>
  <c r="B1772" i="30"/>
  <c r="N1772" i="30" s="1"/>
  <c r="A1772" i="30"/>
  <c r="B1771" i="30"/>
  <c r="N1771" i="30" s="1"/>
  <c r="A1771" i="30"/>
  <c r="B1770" i="30"/>
  <c r="N1770" i="30" s="1"/>
  <c r="A1770" i="30"/>
  <c r="B1769" i="30"/>
  <c r="N1769" i="30" s="1"/>
  <c r="A1769" i="30"/>
  <c r="B1768" i="30"/>
  <c r="N1768" i="30" s="1"/>
  <c r="A1768" i="30"/>
  <c r="B1767" i="30"/>
  <c r="N1767" i="30" s="1"/>
  <c r="A1767" i="30"/>
  <c r="B1766" i="30"/>
  <c r="A1766" i="30"/>
  <c r="B1765" i="30"/>
  <c r="A1765" i="30"/>
  <c r="B1764" i="30"/>
  <c r="A1764" i="30"/>
  <c r="B1763" i="30"/>
  <c r="A1763" i="30"/>
  <c r="B1762" i="30"/>
  <c r="A1762" i="30"/>
  <c r="B1761" i="30"/>
  <c r="A1761" i="30"/>
  <c r="B1760" i="30"/>
  <c r="N1760" i="30" s="1"/>
  <c r="A1760" i="30"/>
  <c r="B1759" i="30"/>
  <c r="N1759" i="30" s="1"/>
  <c r="A1759" i="30"/>
  <c r="B1758" i="30"/>
  <c r="N1758" i="30" s="1"/>
  <c r="A1758" i="30"/>
  <c r="B1757" i="30"/>
  <c r="N1757" i="30" s="1"/>
  <c r="A1757" i="30"/>
  <c r="B1756" i="30"/>
  <c r="N1756" i="30" s="1"/>
  <c r="A1756" i="30"/>
  <c r="B1755" i="30"/>
  <c r="N1755" i="30" s="1"/>
  <c r="A1755" i="30"/>
  <c r="B1754" i="30"/>
  <c r="N1754" i="30" s="1"/>
  <c r="A1754" i="30"/>
  <c r="B1753" i="30"/>
  <c r="N1753" i="30" s="1"/>
  <c r="A1753" i="30"/>
  <c r="B1752" i="30"/>
  <c r="N1752" i="30" s="1"/>
  <c r="A1752" i="30"/>
  <c r="B1751" i="30"/>
  <c r="N1751" i="30" s="1"/>
  <c r="A1751" i="30"/>
  <c r="B1750" i="30"/>
  <c r="N1750" i="30" s="1"/>
  <c r="A1750" i="30"/>
  <c r="B1749" i="30"/>
  <c r="N1749" i="30" s="1"/>
  <c r="A1749" i="30"/>
  <c r="B1748" i="30"/>
  <c r="N1748" i="30" s="1"/>
  <c r="A1748" i="30"/>
  <c r="B1747" i="30"/>
  <c r="N1747" i="30" s="1"/>
  <c r="A1747" i="30"/>
  <c r="B1746" i="30"/>
  <c r="N1746" i="30" s="1"/>
  <c r="A1746" i="30"/>
  <c r="B1745" i="30"/>
  <c r="N1745" i="30" s="1"/>
  <c r="A1745" i="30"/>
  <c r="B1744" i="30"/>
  <c r="N1744" i="30" s="1"/>
  <c r="A1744" i="30"/>
  <c r="B1743" i="30"/>
  <c r="N1743" i="30" s="1"/>
  <c r="A1743" i="30"/>
  <c r="B1742" i="30"/>
  <c r="N1742" i="30" s="1"/>
  <c r="A1742" i="30"/>
  <c r="B1741" i="30"/>
  <c r="N1741" i="30" s="1"/>
  <c r="A1741" i="30"/>
  <c r="B1740" i="30"/>
  <c r="N1740" i="30" s="1"/>
  <c r="A1740" i="30"/>
  <c r="B1739" i="30"/>
  <c r="N1739" i="30" s="1"/>
  <c r="A1739" i="30"/>
  <c r="B1738" i="30"/>
  <c r="N1738" i="30" s="1"/>
  <c r="A1738" i="30"/>
  <c r="B1737" i="30"/>
  <c r="N1737" i="30" s="1"/>
  <c r="A1737" i="30"/>
  <c r="B1736" i="30"/>
  <c r="N1736" i="30" s="1"/>
  <c r="A1736" i="30"/>
  <c r="B1735" i="30"/>
  <c r="N1735" i="30" s="1"/>
  <c r="A1735" i="30"/>
  <c r="B1734" i="30"/>
  <c r="N1734" i="30" s="1"/>
  <c r="A1734" i="30"/>
  <c r="B1733" i="30"/>
  <c r="N1733" i="30" s="1"/>
  <c r="A1733" i="30"/>
  <c r="B1732" i="30"/>
  <c r="N1732" i="30" s="1"/>
  <c r="A1732" i="30"/>
  <c r="B1731" i="30"/>
  <c r="N1731" i="30" s="1"/>
  <c r="A1731" i="30"/>
  <c r="B1730" i="30"/>
  <c r="N1730" i="30" s="1"/>
  <c r="A1730" i="30"/>
  <c r="B1729" i="30"/>
  <c r="N1729" i="30" s="1"/>
  <c r="A1729" i="30"/>
  <c r="B1728" i="30"/>
  <c r="N1728" i="30" s="1"/>
  <c r="A1728" i="30"/>
  <c r="B1727" i="30"/>
  <c r="N1727" i="30" s="1"/>
  <c r="A1727" i="30"/>
  <c r="B1726" i="30"/>
  <c r="N1726" i="30" s="1"/>
  <c r="A1726" i="30"/>
  <c r="B1725" i="30"/>
  <c r="N1725" i="30" s="1"/>
  <c r="A1725" i="30"/>
  <c r="B1724" i="30"/>
  <c r="N1724" i="30" s="1"/>
  <c r="A1724" i="30"/>
  <c r="B1723" i="30"/>
  <c r="N1723" i="30" s="1"/>
  <c r="A1723" i="30"/>
  <c r="B1722" i="30"/>
  <c r="N1722" i="30" s="1"/>
  <c r="A1722" i="30"/>
  <c r="B1721" i="30"/>
  <c r="A1721" i="30"/>
  <c r="B1720" i="30"/>
  <c r="A1720" i="30"/>
  <c r="B1719" i="30"/>
  <c r="A1719" i="30"/>
  <c r="B1718" i="30"/>
  <c r="A1718" i="30"/>
  <c r="B1717" i="30"/>
  <c r="A1717" i="30"/>
  <c r="B1716" i="30"/>
  <c r="A1716" i="30"/>
  <c r="B1715" i="30"/>
  <c r="A1715" i="30"/>
  <c r="B1714" i="30"/>
  <c r="A1714" i="30"/>
  <c r="B1713" i="30"/>
  <c r="A1713" i="30"/>
  <c r="B1712" i="30"/>
  <c r="A1712" i="30"/>
  <c r="B1711" i="30"/>
  <c r="A1711" i="30"/>
  <c r="B1710" i="30"/>
  <c r="A1710" i="30"/>
  <c r="B1709" i="30"/>
  <c r="N1709" i="30" s="1"/>
  <c r="A1709" i="30"/>
  <c r="B1708" i="30"/>
  <c r="N1708" i="30" s="1"/>
  <c r="A1708" i="30"/>
  <c r="B1707" i="30"/>
  <c r="N1707" i="30" s="1"/>
  <c r="A1707" i="30"/>
  <c r="B1706" i="30"/>
  <c r="N1706" i="30" s="1"/>
  <c r="A1706" i="30"/>
  <c r="B1705" i="30"/>
  <c r="N1705" i="30" s="1"/>
  <c r="A1705" i="30"/>
  <c r="B1704" i="30"/>
  <c r="N1704" i="30" s="1"/>
  <c r="A1704" i="30"/>
  <c r="B1703" i="30"/>
  <c r="N1703" i="30" s="1"/>
  <c r="A1703" i="30"/>
  <c r="B1702" i="30"/>
  <c r="N1702" i="30" s="1"/>
  <c r="A1702" i="30"/>
  <c r="B1701" i="30"/>
  <c r="A1701" i="30"/>
  <c r="B1700" i="30"/>
  <c r="A1700" i="30"/>
  <c r="B1699" i="30"/>
  <c r="A1699" i="30"/>
  <c r="B1698" i="30"/>
  <c r="A1698" i="30"/>
  <c r="B1697" i="30"/>
  <c r="A1697" i="30"/>
  <c r="B1696" i="30"/>
  <c r="A1696" i="30"/>
  <c r="B1695" i="30"/>
  <c r="N1695" i="30" s="1"/>
  <c r="A1695" i="30"/>
  <c r="B1694" i="30"/>
  <c r="N1694" i="30" s="1"/>
  <c r="A1694" i="30"/>
  <c r="B1693" i="30"/>
  <c r="N1693" i="30" s="1"/>
  <c r="A1693" i="30"/>
  <c r="B1692" i="30"/>
  <c r="N1692" i="30" s="1"/>
  <c r="A1692" i="30"/>
  <c r="B1691" i="30"/>
  <c r="N1691" i="30" s="1"/>
  <c r="A1691" i="30"/>
  <c r="B1690" i="30"/>
  <c r="N1690" i="30" s="1"/>
  <c r="A1690" i="30"/>
  <c r="B1689" i="30"/>
  <c r="N1689" i="30" s="1"/>
  <c r="A1689" i="30"/>
  <c r="B1688" i="30"/>
  <c r="N1688" i="30" s="1"/>
  <c r="A1688" i="30"/>
  <c r="B1687" i="30"/>
  <c r="N1687" i="30" s="1"/>
  <c r="A1687" i="30"/>
  <c r="B1686" i="30"/>
  <c r="N1686" i="30" s="1"/>
  <c r="A1686" i="30"/>
  <c r="B1685" i="30"/>
  <c r="N1685" i="30" s="1"/>
  <c r="A1685" i="30"/>
  <c r="B1684" i="30"/>
  <c r="N1684" i="30" s="1"/>
  <c r="A1684" i="30"/>
  <c r="B1683" i="30"/>
  <c r="N1683" i="30" s="1"/>
  <c r="A1683" i="30"/>
  <c r="B1682" i="30"/>
  <c r="N1682" i="30" s="1"/>
  <c r="A1682" i="30"/>
  <c r="B1681" i="30"/>
  <c r="N1681" i="30" s="1"/>
  <c r="A1681" i="30"/>
  <c r="B1680" i="30"/>
  <c r="N1680" i="30" s="1"/>
  <c r="A1680" i="30"/>
  <c r="B1679" i="30"/>
  <c r="N1679" i="30" s="1"/>
  <c r="A1679" i="30"/>
  <c r="B1678" i="30"/>
  <c r="N1678" i="30" s="1"/>
  <c r="A1678" i="30"/>
  <c r="B1677" i="30"/>
  <c r="N1677" i="30" s="1"/>
  <c r="A1677" i="30"/>
  <c r="B1676" i="30"/>
  <c r="N1676" i="30" s="1"/>
  <c r="A1676" i="30"/>
  <c r="B1675" i="30"/>
  <c r="N1675" i="30" s="1"/>
  <c r="A1675" i="30"/>
  <c r="B1674" i="30"/>
  <c r="N1674" i="30" s="1"/>
  <c r="A1674" i="30"/>
  <c r="B1673" i="30"/>
  <c r="N1673" i="30" s="1"/>
  <c r="A1673" i="30"/>
  <c r="B1672" i="30"/>
  <c r="N1672" i="30" s="1"/>
  <c r="A1672" i="30"/>
  <c r="B1671" i="30"/>
  <c r="N1671" i="30" s="1"/>
  <c r="A1671" i="30"/>
  <c r="B1670" i="30"/>
  <c r="N1670" i="30" s="1"/>
  <c r="A1670" i="30"/>
  <c r="B1669" i="30"/>
  <c r="N1669" i="30" s="1"/>
  <c r="A1669" i="30"/>
  <c r="B1668" i="30"/>
  <c r="N1668" i="30" s="1"/>
  <c r="A1668" i="30"/>
  <c r="B1667" i="30"/>
  <c r="N1667" i="30" s="1"/>
  <c r="A1667" i="30"/>
  <c r="B1666" i="30"/>
  <c r="N1666" i="30" s="1"/>
  <c r="A1666" i="30"/>
  <c r="B1665" i="30"/>
  <c r="N1665" i="30" s="1"/>
  <c r="A1665" i="30"/>
  <c r="B1664" i="30"/>
  <c r="N1664" i="30" s="1"/>
  <c r="A1664" i="30"/>
  <c r="B1663" i="30"/>
  <c r="N1663" i="30" s="1"/>
  <c r="A1663" i="30"/>
  <c r="B1662" i="30"/>
  <c r="N1662" i="30" s="1"/>
  <c r="A1662" i="30"/>
  <c r="B1661" i="30"/>
  <c r="N1661" i="30" s="1"/>
  <c r="A1661" i="30"/>
  <c r="B1660" i="30"/>
  <c r="N1660" i="30" s="1"/>
  <c r="A1660" i="30"/>
  <c r="B1659" i="30"/>
  <c r="N1659" i="30" s="1"/>
  <c r="A1659" i="30"/>
  <c r="B1658" i="30"/>
  <c r="N1658" i="30" s="1"/>
  <c r="A1658" i="30"/>
  <c r="B1657" i="30"/>
  <c r="N1657" i="30" s="1"/>
  <c r="A1657" i="30"/>
  <c r="B1656" i="30"/>
  <c r="A1656" i="30"/>
  <c r="B1655" i="30"/>
  <c r="A1655" i="30"/>
  <c r="B1654" i="30"/>
  <c r="A1654" i="30"/>
  <c r="B1653" i="30"/>
  <c r="A1653" i="30"/>
  <c r="B1652" i="30"/>
  <c r="A1652" i="30"/>
  <c r="B1651" i="30"/>
  <c r="A1651" i="30"/>
  <c r="B1650" i="30"/>
  <c r="A1650" i="30"/>
  <c r="B1649" i="30"/>
  <c r="N1649" i="30" s="1"/>
  <c r="A1649" i="30"/>
  <c r="B1648" i="30"/>
  <c r="N1648" i="30" s="1"/>
  <c r="A1648" i="30"/>
  <c r="B1647" i="30"/>
  <c r="N1647" i="30" s="1"/>
  <c r="A1647" i="30"/>
  <c r="B1646" i="30"/>
  <c r="N1646" i="30" s="1"/>
  <c r="A1646" i="30"/>
  <c r="B1645" i="30"/>
  <c r="N1645" i="30" s="1"/>
  <c r="A1645" i="30"/>
  <c r="B1644" i="30"/>
  <c r="N1644" i="30" s="1"/>
  <c r="A1644" i="30"/>
  <c r="B1643" i="30"/>
  <c r="N1643" i="30" s="1"/>
  <c r="A1643" i="30"/>
  <c r="B1642" i="30"/>
  <c r="N1642" i="30" s="1"/>
  <c r="A1642" i="30"/>
  <c r="B1641" i="30"/>
  <c r="N1641" i="30" s="1"/>
  <c r="A1641" i="30"/>
  <c r="B1640" i="30"/>
  <c r="N1640" i="30" s="1"/>
  <c r="A1640" i="30"/>
  <c r="B1639" i="30"/>
  <c r="N1639" i="30" s="1"/>
  <c r="A1639" i="30"/>
  <c r="B1638" i="30"/>
  <c r="N1638" i="30" s="1"/>
  <c r="A1638" i="30"/>
  <c r="B1637" i="30"/>
  <c r="N1637" i="30" s="1"/>
  <c r="A1637" i="30"/>
  <c r="B1636" i="30"/>
  <c r="N1636" i="30" s="1"/>
  <c r="A1636" i="30"/>
  <c r="B1635" i="30"/>
  <c r="N1635" i="30" s="1"/>
  <c r="A1635" i="30"/>
  <c r="B1634" i="30"/>
  <c r="N1634" i="30" s="1"/>
  <c r="A1634" i="30"/>
  <c r="B1633" i="30"/>
  <c r="N1633" i="30" s="1"/>
  <c r="A1633" i="30"/>
  <c r="B1632" i="30"/>
  <c r="N1632" i="30" s="1"/>
  <c r="A1632" i="30"/>
  <c r="B1631" i="30"/>
  <c r="N1631" i="30" s="1"/>
  <c r="A1631" i="30"/>
  <c r="B1630" i="30"/>
  <c r="N1630" i="30" s="1"/>
  <c r="A1630" i="30"/>
  <c r="B1629" i="30"/>
  <c r="N1629" i="30" s="1"/>
  <c r="A1629" i="30"/>
  <c r="B1628" i="30"/>
  <c r="N1628" i="30" s="1"/>
  <c r="A1628" i="30"/>
  <c r="B1627" i="30"/>
  <c r="N1627" i="30" s="1"/>
  <c r="A1627" i="30"/>
  <c r="B1626" i="30"/>
  <c r="N1626" i="30" s="1"/>
  <c r="A1626" i="30"/>
  <c r="B1625" i="30"/>
  <c r="N1625" i="30" s="1"/>
  <c r="A1625" i="30"/>
  <c r="B1624" i="30"/>
  <c r="A1624" i="30"/>
  <c r="B1623" i="30"/>
  <c r="A1623" i="30"/>
  <c r="B1622" i="30"/>
  <c r="A1622" i="30"/>
  <c r="B1621" i="30"/>
  <c r="N1621" i="30" s="1"/>
  <c r="A1621" i="30"/>
  <c r="B1620" i="30"/>
  <c r="N1620" i="30" s="1"/>
  <c r="A1620" i="30"/>
  <c r="B1619" i="30"/>
  <c r="N1619" i="30" s="1"/>
  <c r="A1619" i="30"/>
  <c r="B1618" i="30"/>
  <c r="N1618" i="30" s="1"/>
  <c r="A1618" i="30"/>
  <c r="B1617" i="30"/>
  <c r="N1617" i="30" s="1"/>
  <c r="A1617" i="30"/>
  <c r="B1616" i="30"/>
  <c r="N1616" i="30" s="1"/>
  <c r="A1616" i="30"/>
  <c r="B1615" i="30"/>
  <c r="N1615" i="30" s="1"/>
  <c r="A1615" i="30"/>
  <c r="B1614" i="30"/>
  <c r="N1614" i="30" s="1"/>
  <c r="A1614" i="30"/>
  <c r="B1613" i="30"/>
  <c r="N1613" i="30" s="1"/>
  <c r="A1613" i="30"/>
  <c r="B1612" i="30"/>
  <c r="N1612" i="30" s="1"/>
  <c r="A1612" i="30"/>
  <c r="B1611" i="30"/>
  <c r="N1611" i="30" s="1"/>
  <c r="A1611" i="30"/>
  <c r="B1610" i="30"/>
  <c r="N1610" i="30" s="1"/>
  <c r="A1610" i="30"/>
  <c r="B1609" i="30"/>
  <c r="N1609" i="30" s="1"/>
  <c r="A1609" i="30"/>
  <c r="B1608" i="30"/>
  <c r="N1608" i="30" s="1"/>
  <c r="A1608" i="30"/>
  <c r="B1607" i="30"/>
  <c r="N1607" i="30" s="1"/>
  <c r="A1607" i="30"/>
  <c r="B1606" i="30"/>
  <c r="N1606" i="30" s="1"/>
  <c r="A1606" i="30"/>
  <c r="B1605" i="30"/>
  <c r="N1605" i="30" s="1"/>
  <c r="A1605" i="30"/>
  <c r="B1604" i="30"/>
  <c r="N1604" i="30" s="1"/>
  <c r="A1604" i="30"/>
  <c r="B1603" i="30"/>
  <c r="N1603" i="30" s="1"/>
  <c r="A1603" i="30"/>
  <c r="B1602" i="30"/>
  <c r="N1602" i="30" s="1"/>
  <c r="A1602" i="30"/>
  <c r="B1601" i="30"/>
  <c r="N1601" i="30" s="1"/>
  <c r="A1601" i="30"/>
  <c r="B1600" i="30"/>
  <c r="N1600" i="30" s="1"/>
  <c r="A1600" i="30"/>
  <c r="B1599" i="30"/>
  <c r="N1599" i="30" s="1"/>
  <c r="A1599" i="30"/>
  <c r="B1598" i="30"/>
  <c r="N1598" i="30" s="1"/>
  <c r="A1598" i="30"/>
  <c r="B1597" i="30"/>
  <c r="N1597" i="30" s="1"/>
  <c r="A1597" i="30"/>
  <c r="B1596" i="30"/>
  <c r="N1596" i="30" s="1"/>
  <c r="A1596" i="30"/>
  <c r="B1595" i="30"/>
  <c r="N1595" i="30" s="1"/>
  <c r="A1595" i="30"/>
  <c r="B1594" i="30"/>
  <c r="N1594" i="30" s="1"/>
  <c r="A1594" i="30"/>
  <c r="B1593" i="30"/>
  <c r="N1593" i="30" s="1"/>
  <c r="A1593" i="30"/>
  <c r="B1592" i="30"/>
  <c r="N1592" i="30" s="1"/>
  <c r="A1592" i="30"/>
  <c r="B1591" i="30"/>
  <c r="N1591" i="30" s="1"/>
  <c r="A1591" i="30"/>
  <c r="B1590" i="30"/>
  <c r="N1590" i="30" s="1"/>
  <c r="A1590" i="30"/>
  <c r="B1589" i="30"/>
  <c r="N1589" i="30" s="1"/>
  <c r="A1589" i="30"/>
  <c r="B1588" i="30"/>
  <c r="N1588" i="30" s="1"/>
  <c r="A1588" i="30"/>
  <c r="B1587" i="30"/>
  <c r="N1587" i="30" s="1"/>
  <c r="A1587" i="30"/>
  <c r="B1586" i="30"/>
  <c r="N1586" i="30" s="1"/>
  <c r="A1586" i="30"/>
  <c r="B1585" i="30"/>
  <c r="N1585" i="30" s="1"/>
  <c r="A1585" i="30"/>
  <c r="B1584" i="30"/>
  <c r="N1584" i="30" s="1"/>
  <c r="A1584" i="30"/>
  <c r="B1583" i="30"/>
  <c r="N1583" i="30" s="1"/>
  <c r="A1583" i="30"/>
  <c r="B1582" i="30"/>
  <c r="N1582" i="30" s="1"/>
  <c r="A1582" i="30"/>
  <c r="B1581" i="30"/>
  <c r="N1581" i="30" s="1"/>
  <c r="A1581" i="30"/>
  <c r="B1580" i="30"/>
  <c r="N1580" i="30" s="1"/>
  <c r="A1580" i="30"/>
  <c r="B1579" i="30"/>
  <c r="N1579" i="30" s="1"/>
  <c r="A1579" i="30"/>
  <c r="B1578" i="30"/>
  <c r="N1578" i="30" s="1"/>
  <c r="A1578" i="30"/>
  <c r="B1577" i="30"/>
  <c r="N1577" i="30" s="1"/>
  <c r="A1577" i="30"/>
  <c r="B1576" i="30"/>
  <c r="N1576" i="30" s="1"/>
  <c r="A1576" i="30"/>
  <c r="B1575" i="30"/>
  <c r="A1575" i="30"/>
  <c r="B1574" i="30"/>
  <c r="A1574" i="30"/>
  <c r="B1573" i="30"/>
  <c r="A1573" i="30"/>
  <c r="B1572" i="30"/>
  <c r="N1572" i="30" s="1"/>
  <c r="A1572" i="30"/>
  <c r="B1571" i="30"/>
  <c r="N1571" i="30" s="1"/>
  <c r="A1571" i="30"/>
  <c r="B1570" i="30"/>
  <c r="N1570" i="30" s="1"/>
  <c r="A1570" i="30"/>
  <c r="B1569" i="30"/>
  <c r="N1569" i="30" s="1"/>
  <c r="A1569" i="30"/>
  <c r="B1568" i="30"/>
  <c r="N1568" i="30" s="1"/>
  <c r="A1568" i="30"/>
  <c r="B1567" i="30"/>
  <c r="N1567" i="30" s="1"/>
  <c r="A1567" i="30"/>
  <c r="B1566" i="30"/>
  <c r="N1566" i="30" s="1"/>
  <c r="A1566" i="30"/>
  <c r="B1565" i="30"/>
  <c r="N1565" i="30" s="1"/>
  <c r="A1565" i="30"/>
  <c r="B1564" i="30"/>
  <c r="N1564" i="30" s="1"/>
  <c r="A1564" i="30"/>
  <c r="B1563" i="30"/>
  <c r="N1563" i="30" s="1"/>
  <c r="A1563" i="30"/>
  <c r="B1562" i="30"/>
  <c r="N1562" i="30" s="1"/>
  <c r="A1562" i="30"/>
  <c r="B1561" i="30"/>
  <c r="N1561" i="30" s="1"/>
  <c r="A1561" i="30"/>
  <c r="B1560" i="30"/>
  <c r="N1560" i="30" s="1"/>
  <c r="A1560" i="30"/>
  <c r="B1559" i="30"/>
  <c r="N1559" i="30" s="1"/>
  <c r="A1559" i="30"/>
  <c r="B1558" i="30"/>
  <c r="N1558" i="30" s="1"/>
  <c r="A1558" i="30"/>
  <c r="B1557" i="30"/>
  <c r="N1557" i="30" s="1"/>
  <c r="A1557" i="30"/>
  <c r="B1556" i="30"/>
  <c r="N1556" i="30" s="1"/>
  <c r="A1556" i="30"/>
  <c r="B1555" i="30"/>
  <c r="N1555" i="30" s="1"/>
  <c r="A1555" i="30"/>
  <c r="B1554" i="30"/>
  <c r="N1554" i="30" s="1"/>
  <c r="A1554" i="30"/>
  <c r="B1553" i="30"/>
  <c r="N1553" i="30" s="1"/>
  <c r="A1553" i="30"/>
  <c r="B1552" i="30"/>
  <c r="N1552" i="30" s="1"/>
  <c r="A1552" i="30"/>
  <c r="B1551" i="30"/>
  <c r="N1551" i="30" s="1"/>
  <c r="A1551" i="30"/>
  <c r="B1550" i="30"/>
  <c r="N1550" i="30" s="1"/>
  <c r="A1550" i="30"/>
  <c r="B1549" i="30"/>
  <c r="N1549" i="30" s="1"/>
  <c r="A1549" i="30"/>
  <c r="B1548" i="30"/>
  <c r="N1548" i="30" s="1"/>
  <c r="A1548" i="30"/>
  <c r="B1547" i="30"/>
  <c r="N1547" i="30" s="1"/>
  <c r="A1547" i="30"/>
  <c r="B1546" i="30"/>
  <c r="N1546" i="30" s="1"/>
  <c r="A1546" i="30"/>
  <c r="B1545" i="30"/>
  <c r="N1545" i="30" s="1"/>
  <c r="A1545" i="30"/>
  <c r="B1544" i="30"/>
  <c r="N1544" i="30" s="1"/>
  <c r="A1544" i="30"/>
  <c r="B1543" i="30"/>
  <c r="N1543" i="30" s="1"/>
  <c r="A1543" i="30"/>
  <c r="B1542" i="30"/>
  <c r="N1542" i="30" s="1"/>
  <c r="A1542" i="30"/>
  <c r="B1541" i="30"/>
  <c r="N1541" i="30" s="1"/>
  <c r="A1541" i="30"/>
  <c r="B1540" i="30"/>
  <c r="N1540" i="30" s="1"/>
  <c r="A1540" i="30"/>
  <c r="B1539" i="30"/>
  <c r="N1539" i="30" s="1"/>
  <c r="A1539" i="30"/>
  <c r="B1538" i="30"/>
  <c r="N1538" i="30" s="1"/>
  <c r="A1538" i="30"/>
  <c r="B1537" i="30"/>
  <c r="N1537" i="30" s="1"/>
  <c r="A1537" i="30"/>
  <c r="B1536" i="30"/>
  <c r="N1536" i="30" s="1"/>
  <c r="A1536" i="30"/>
  <c r="B1535" i="30"/>
  <c r="N1535" i="30" s="1"/>
  <c r="A1535" i="30"/>
  <c r="B1534" i="30"/>
  <c r="N1534" i="30" s="1"/>
  <c r="A1534" i="30"/>
  <c r="B1533" i="30"/>
  <c r="N1533" i="30" s="1"/>
  <c r="A1533" i="30"/>
  <c r="B1532" i="30"/>
  <c r="N1532" i="30" s="1"/>
  <c r="A1532" i="30"/>
  <c r="B1531" i="30"/>
  <c r="N1531" i="30" s="1"/>
  <c r="A1531" i="30"/>
  <c r="B1530" i="30"/>
  <c r="N1530" i="30" s="1"/>
  <c r="A1530" i="30"/>
  <c r="B1529" i="30"/>
  <c r="N1529" i="30" s="1"/>
  <c r="A1529" i="30"/>
  <c r="B1528" i="30"/>
  <c r="N1528" i="30" s="1"/>
  <c r="A1528" i="30"/>
  <c r="B1527" i="30"/>
  <c r="N1527" i="30" s="1"/>
  <c r="A1527" i="30"/>
  <c r="B1526" i="30"/>
  <c r="N1526" i="30" s="1"/>
  <c r="A1526" i="30"/>
  <c r="B1525" i="30"/>
  <c r="N1525" i="30" s="1"/>
  <c r="A1525" i="30"/>
  <c r="B1524" i="30"/>
  <c r="N1524" i="30" s="1"/>
  <c r="A1524" i="30"/>
  <c r="B1523" i="30"/>
  <c r="N1523" i="30" s="1"/>
  <c r="A1523" i="30"/>
  <c r="B1522" i="30"/>
  <c r="N1522" i="30" s="1"/>
  <c r="A1522" i="30"/>
  <c r="B1521" i="30"/>
  <c r="N1521" i="30" s="1"/>
  <c r="A1521" i="30"/>
  <c r="B1520" i="30"/>
  <c r="N1520" i="30" s="1"/>
  <c r="A1520" i="30"/>
  <c r="B1519" i="30"/>
  <c r="N1519" i="30" s="1"/>
  <c r="A1519" i="30"/>
  <c r="B1518" i="30"/>
  <c r="N1518" i="30" s="1"/>
  <c r="A1518" i="30"/>
  <c r="B1517" i="30"/>
  <c r="N1517" i="30" s="1"/>
  <c r="A1517" i="30"/>
  <c r="B1516" i="30"/>
  <c r="N1516" i="30" s="1"/>
  <c r="A1516" i="30"/>
  <c r="B1515" i="30"/>
  <c r="N1515" i="30" s="1"/>
  <c r="A1515" i="30"/>
  <c r="B1514" i="30"/>
  <c r="N1514" i="30" s="1"/>
  <c r="A1514" i="30"/>
  <c r="B1513" i="30"/>
  <c r="N1513" i="30" s="1"/>
  <c r="A1513" i="30"/>
  <c r="B1512" i="30"/>
  <c r="N1512" i="30" s="1"/>
  <c r="A1512" i="30"/>
  <c r="B1511" i="30"/>
  <c r="N1511" i="30" s="1"/>
  <c r="A1511" i="30"/>
  <c r="B1510" i="30"/>
  <c r="N1510" i="30" s="1"/>
  <c r="A1510" i="30"/>
  <c r="B1509" i="30"/>
  <c r="N1509" i="30" s="1"/>
  <c r="A1509" i="30"/>
  <c r="B1508" i="30"/>
  <c r="N1508" i="30" s="1"/>
  <c r="A1508" i="30"/>
  <c r="B1507" i="30"/>
  <c r="N1507" i="30" s="1"/>
  <c r="A1507" i="30"/>
  <c r="B1506" i="30"/>
  <c r="N1506" i="30" s="1"/>
  <c r="A1506" i="30"/>
  <c r="B1505" i="30"/>
  <c r="N1505" i="30" s="1"/>
  <c r="A1505" i="30"/>
  <c r="B1504" i="30"/>
  <c r="N1504" i="30" s="1"/>
  <c r="A1504" i="30"/>
  <c r="B1503" i="30"/>
  <c r="N1503" i="30" s="1"/>
  <c r="A1503" i="30"/>
  <c r="B1502" i="30"/>
  <c r="N1502" i="30" s="1"/>
  <c r="A1502" i="30"/>
  <c r="B1501" i="30"/>
  <c r="N1501" i="30" s="1"/>
  <c r="A1501" i="30"/>
  <c r="B1500" i="30"/>
  <c r="N1500" i="30" s="1"/>
  <c r="A1500" i="30"/>
  <c r="B1499" i="30"/>
  <c r="N1499" i="30" s="1"/>
  <c r="A1499" i="30"/>
  <c r="B1498" i="30"/>
  <c r="N1498" i="30" s="1"/>
  <c r="A1498" i="30"/>
  <c r="B1497" i="30"/>
  <c r="N1497" i="30" s="1"/>
  <c r="A1497" i="30"/>
  <c r="B1496" i="30"/>
  <c r="N1496" i="30" s="1"/>
  <c r="A1496" i="30"/>
  <c r="B1495" i="30"/>
  <c r="N1495" i="30" s="1"/>
  <c r="A1495" i="30"/>
  <c r="B1494" i="30"/>
  <c r="N1494" i="30" s="1"/>
  <c r="A1494" i="30"/>
  <c r="B1493" i="30"/>
  <c r="N1493" i="30" s="1"/>
  <c r="A1493" i="30"/>
  <c r="B1492" i="30"/>
  <c r="N1492" i="30" s="1"/>
  <c r="A1492" i="30"/>
  <c r="B1491" i="30"/>
  <c r="N1491" i="30" s="1"/>
  <c r="A1491" i="30"/>
  <c r="B1490" i="30"/>
  <c r="N1490" i="30" s="1"/>
  <c r="A1490" i="30"/>
  <c r="B1489" i="30"/>
  <c r="N1489" i="30" s="1"/>
  <c r="A1489" i="30"/>
  <c r="B1488" i="30"/>
  <c r="N1488" i="30" s="1"/>
  <c r="A1488" i="30"/>
  <c r="B1487" i="30"/>
  <c r="N1487" i="30" s="1"/>
  <c r="A1487" i="30"/>
  <c r="B1486" i="30"/>
  <c r="N1486" i="30" s="1"/>
  <c r="A1486" i="30"/>
  <c r="B1485" i="30"/>
  <c r="N1485" i="30" s="1"/>
  <c r="A1485" i="30"/>
  <c r="B1484" i="30"/>
  <c r="N1484" i="30" s="1"/>
  <c r="A1484" i="30"/>
  <c r="B1483" i="30"/>
  <c r="N1483" i="30" s="1"/>
  <c r="A1483" i="30"/>
  <c r="B1482" i="30"/>
  <c r="N1482" i="30" s="1"/>
  <c r="A1482" i="30"/>
  <c r="B1481" i="30"/>
  <c r="N1481" i="30" s="1"/>
  <c r="A1481" i="30"/>
  <c r="B1480" i="30"/>
  <c r="N1480" i="30" s="1"/>
  <c r="A1480" i="30"/>
  <c r="B1479" i="30"/>
  <c r="N1479" i="30" s="1"/>
  <c r="A1479" i="30"/>
  <c r="B1478" i="30"/>
  <c r="N1478" i="30" s="1"/>
  <c r="A1478" i="30"/>
  <c r="B1477" i="30"/>
  <c r="N1477" i="30" s="1"/>
  <c r="A1477" i="30"/>
  <c r="B1476" i="30"/>
  <c r="N1476" i="30" s="1"/>
  <c r="A1476" i="30"/>
  <c r="B1475" i="30"/>
  <c r="N1475" i="30" s="1"/>
  <c r="A1475" i="30"/>
  <c r="B1474" i="30"/>
  <c r="N1474" i="30" s="1"/>
  <c r="A1474" i="30"/>
  <c r="B1473" i="30"/>
  <c r="N1473" i="30" s="1"/>
  <c r="A1473" i="30"/>
  <c r="B1472" i="30"/>
  <c r="N1472" i="30" s="1"/>
  <c r="A1472" i="30"/>
  <c r="B1471" i="30"/>
  <c r="N1471" i="30" s="1"/>
  <c r="A1471" i="30"/>
  <c r="B1470" i="30"/>
  <c r="N1470" i="30" s="1"/>
  <c r="A1470" i="30"/>
  <c r="B1469" i="30"/>
  <c r="N1469" i="30" s="1"/>
  <c r="A1469" i="30"/>
  <c r="B1468" i="30"/>
  <c r="N1468" i="30" s="1"/>
  <c r="A1468" i="30"/>
  <c r="B1467" i="30"/>
  <c r="N1467" i="30" s="1"/>
  <c r="A1467" i="30"/>
  <c r="B1466" i="30"/>
  <c r="N1466" i="30" s="1"/>
  <c r="A1466" i="30"/>
  <c r="B1465" i="30"/>
  <c r="N1465" i="30" s="1"/>
  <c r="A1465" i="30"/>
  <c r="B1464" i="30"/>
  <c r="N1464" i="30" s="1"/>
  <c r="A1464" i="30"/>
  <c r="B1463" i="30"/>
  <c r="N1463" i="30" s="1"/>
  <c r="A1463" i="30"/>
  <c r="B1462" i="30"/>
  <c r="N1462" i="30" s="1"/>
  <c r="A1462" i="30"/>
  <c r="B1461" i="30"/>
  <c r="N1461" i="30" s="1"/>
  <c r="A1461" i="30"/>
  <c r="B1460" i="30"/>
  <c r="N1460" i="30" s="1"/>
  <c r="A1460" i="30"/>
  <c r="B1459" i="30"/>
  <c r="N1459" i="30" s="1"/>
  <c r="A1459" i="30"/>
  <c r="B1458" i="30"/>
  <c r="N1458" i="30" s="1"/>
  <c r="A1458" i="30"/>
  <c r="B1457" i="30"/>
  <c r="N1457" i="30" s="1"/>
  <c r="A1457" i="30"/>
  <c r="B1456" i="30"/>
  <c r="N1456" i="30" s="1"/>
  <c r="A1456" i="30"/>
  <c r="B1455" i="30"/>
  <c r="N1455" i="30" s="1"/>
  <c r="A1455" i="30"/>
  <c r="B1454" i="30"/>
  <c r="N1454" i="30" s="1"/>
  <c r="A1454" i="30"/>
  <c r="B1453" i="30"/>
  <c r="N1453" i="30" s="1"/>
  <c r="A1453" i="30"/>
  <c r="B1452" i="30"/>
  <c r="N1452" i="30" s="1"/>
  <c r="A1452" i="30"/>
  <c r="B1451" i="30"/>
  <c r="N1451" i="30" s="1"/>
  <c r="A1451" i="30"/>
  <c r="B1450" i="30"/>
  <c r="N1450" i="30" s="1"/>
  <c r="A1450" i="30"/>
  <c r="B1449" i="30"/>
  <c r="N1449" i="30" s="1"/>
  <c r="A1449" i="30"/>
  <c r="B1448" i="30"/>
  <c r="N1448" i="30" s="1"/>
  <c r="A1448" i="30"/>
  <c r="B1447" i="30"/>
  <c r="N1447" i="30" s="1"/>
  <c r="A1447" i="30"/>
  <c r="B1446" i="30"/>
  <c r="N1446" i="30" s="1"/>
  <c r="A1446" i="30"/>
  <c r="B1445" i="30"/>
  <c r="N1445" i="30" s="1"/>
  <c r="A1445" i="30"/>
  <c r="B1444" i="30"/>
  <c r="N1444" i="30" s="1"/>
  <c r="A1444" i="30"/>
  <c r="B1443" i="30"/>
  <c r="N1443" i="30" s="1"/>
  <c r="A1443" i="30"/>
  <c r="B1442" i="30"/>
  <c r="N1442" i="30" s="1"/>
  <c r="A1442" i="30"/>
  <c r="B1441" i="30"/>
  <c r="N1441" i="30" s="1"/>
  <c r="A1441" i="30"/>
  <c r="B1440" i="30"/>
  <c r="N1440" i="30" s="1"/>
  <c r="A1440" i="30"/>
  <c r="B1439" i="30"/>
  <c r="N1439" i="30" s="1"/>
  <c r="A1439" i="30"/>
  <c r="B1438" i="30"/>
  <c r="N1438" i="30" s="1"/>
  <c r="A1438" i="30"/>
  <c r="B1437" i="30"/>
  <c r="N1437" i="30" s="1"/>
  <c r="A1437" i="30"/>
  <c r="B1436" i="30"/>
  <c r="N1436" i="30" s="1"/>
  <c r="A1436" i="30"/>
  <c r="B1435" i="30"/>
  <c r="N1435" i="30" s="1"/>
  <c r="A1435" i="30"/>
  <c r="B1434" i="30"/>
  <c r="N1434" i="30" s="1"/>
  <c r="A1434" i="30"/>
  <c r="B1433" i="30"/>
  <c r="N1433" i="30" s="1"/>
  <c r="A1433" i="30"/>
  <c r="B1432" i="30"/>
  <c r="N1432" i="30" s="1"/>
  <c r="A1432" i="30"/>
  <c r="B1431" i="30"/>
  <c r="N1431" i="30" s="1"/>
  <c r="A1431" i="30"/>
  <c r="B1430" i="30"/>
  <c r="N1430" i="30" s="1"/>
  <c r="A1430" i="30"/>
  <c r="B1429" i="30"/>
  <c r="N1429" i="30" s="1"/>
  <c r="A1429" i="30"/>
  <c r="B1428" i="30"/>
  <c r="N1428" i="30" s="1"/>
  <c r="A1428" i="30"/>
  <c r="B1427" i="30"/>
  <c r="N1427" i="30" s="1"/>
  <c r="A1427" i="30"/>
  <c r="B1426" i="30"/>
  <c r="N1426" i="30" s="1"/>
  <c r="A1426" i="30"/>
  <c r="B1425" i="30"/>
  <c r="N1425" i="30" s="1"/>
  <c r="A1425" i="30"/>
  <c r="B1424" i="30"/>
  <c r="N1424" i="30" s="1"/>
  <c r="A1424" i="30"/>
  <c r="B1423" i="30"/>
  <c r="N1423" i="30" s="1"/>
  <c r="A1423" i="30"/>
  <c r="B1422" i="30"/>
  <c r="N1422" i="30" s="1"/>
  <c r="A1422" i="30"/>
  <c r="B1421" i="30"/>
  <c r="N1421" i="30" s="1"/>
  <c r="A1421" i="30"/>
  <c r="B1420" i="30"/>
  <c r="N1420" i="30" s="1"/>
  <c r="A1420" i="30"/>
  <c r="B1419" i="30"/>
  <c r="N1419" i="30" s="1"/>
  <c r="A1419" i="30"/>
  <c r="B1418" i="30"/>
  <c r="N1418" i="30" s="1"/>
  <c r="A1418" i="30"/>
  <c r="B1417" i="30"/>
  <c r="N1417" i="30" s="1"/>
  <c r="A1417" i="30"/>
  <c r="B1416" i="30"/>
  <c r="N1416" i="30" s="1"/>
  <c r="A1416" i="30"/>
  <c r="B1415" i="30"/>
  <c r="N1415" i="30" s="1"/>
  <c r="A1415" i="30"/>
  <c r="B1414" i="30"/>
  <c r="N1414" i="30" s="1"/>
  <c r="A1414" i="30"/>
  <c r="B1413" i="30"/>
  <c r="N1413" i="30" s="1"/>
  <c r="A1413" i="30"/>
  <c r="B1412" i="30"/>
  <c r="N1412" i="30" s="1"/>
  <c r="A1412" i="30"/>
  <c r="B1411" i="30"/>
  <c r="N1411" i="30" s="1"/>
  <c r="A1411" i="30"/>
  <c r="B1410" i="30"/>
  <c r="N1410" i="30" s="1"/>
  <c r="A1410" i="30"/>
  <c r="B1409" i="30"/>
  <c r="N1409" i="30" s="1"/>
  <c r="A1409" i="30"/>
  <c r="B1408" i="30"/>
  <c r="N1408" i="30" s="1"/>
  <c r="A1408" i="30"/>
  <c r="B1407" i="30"/>
  <c r="N1407" i="30" s="1"/>
  <c r="A1407" i="30"/>
  <c r="B1406" i="30"/>
  <c r="N1406" i="30" s="1"/>
  <c r="A1406" i="30"/>
  <c r="B1405" i="30"/>
  <c r="N1405" i="30" s="1"/>
  <c r="A1405" i="30"/>
  <c r="B1404" i="30"/>
  <c r="N1404" i="30" s="1"/>
  <c r="A1404" i="30"/>
  <c r="B1403" i="30"/>
  <c r="N1403" i="30" s="1"/>
  <c r="A1403" i="30"/>
  <c r="B1402" i="30"/>
  <c r="N1402" i="30" s="1"/>
  <c r="A1402" i="30"/>
  <c r="B1401" i="30"/>
  <c r="N1401" i="30" s="1"/>
  <c r="A1401" i="30"/>
  <c r="B1400" i="30"/>
  <c r="N1400" i="30" s="1"/>
  <c r="A1400" i="30"/>
  <c r="B1399" i="30"/>
  <c r="N1399" i="30" s="1"/>
  <c r="A1399" i="30"/>
  <c r="B1398" i="30"/>
  <c r="N1398" i="30" s="1"/>
  <c r="A1398" i="30"/>
  <c r="B1397" i="30"/>
  <c r="N1397" i="30" s="1"/>
  <c r="A1397" i="30"/>
  <c r="B1396" i="30"/>
  <c r="N1396" i="30" s="1"/>
  <c r="A1396" i="30"/>
  <c r="B1395" i="30"/>
  <c r="N1395" i="30" s="1"/>
  <c r="A1395" i="30"/>
  <c r="B1394" i="30"/>
  <c r="N1394" i="30" s="1"/>
  <c r="A1394" i="30"/>
  <c r="B1393" i="30"/>
  <c r="N1393" i="30" s="1"/>
  <c r="A1393" i="30"/>
  <c r="B1392" i="30"/>
  <c r="N1392" i="30" s="1"/>
  <c r="A1392" i="30"/>
  <c r="B1391" i="30"/>
  <c r="N1391" i="30" s="1"/>
  <c r="A1391" i="30"/>
  <c r="B1390" i="30"/>
  <c r="N1390" i="30" s="1"/>
  <c r="A1390" i="30"/>
  <c r="B1389" i="30"/>
  <c r="N1389" i="30" s="1"/>
  <c r="A1389" i="30"/>
  <c r="B1388" i="30"/>
  <c r="N1388" i="30" s="1"/>
  <c r="A1388" i="30"/>
  <c r="B1387" i="30"/>
  <c r="N1387" i="30" s="1"/>
  <c r="A1387" i="30"/>
  <c r="B1386" i="30"/>
  <c r="N1386" i="30" s="1"/>
  <c r="A1386" i="30"/>
  <c r="B1385" i="30"/>
  <c r="N1385" i="30" s="1"/>
  <c r="A1385" i="30"/>
  <c r="B1384" i="30"/>
  <c r="N1384" i="30" s="1"/>
  <c r="A1384" i="30"/>
  <c r="B1383" i="30"/>
  <c r="N1383" i="30" s="1"/>
  <c r="A1383" i="30"/>
  <c r="B1382" i="30"/>
  <c r="N1382" i="30" s="1"/>
  <c r="A1382" i="30"/>
  <c r="B1381" i="30"/>
  <c r="N1381" i="30" s="1"/>
  <c r="A1381" i="30"/>
  <c r="B1380" i="30"/>
  <c r="A1380" i="30"/>
  <c r="B1379" i="30"/>
  <c r="A1379" i="30"/>
  <c r="B1378" i="30"/>
  <c r="A1378" i="30"/>
  <c r="B1377" i="30"/>
  <c r="A1377" i="30"/>
  <c r="B1376" i="30"/>
  <c r="A1376" i="30"/>
  <c r="B1375" i="30"/>
  <c r="A1375" i="30"/>
  <c r="B1374" i="30"/>
  <c r="A1374" i="30"/>
  <c r="B1373" i="30"/>
  <c r="A1373" i="30"/>
  <c r="B1372" i="30"/>
  <c r="A1372" i="30"/>
  <c r="B1371" i="30"/>
  <c r="A1371" i="30"/>
  <c r="B1370" i="30"/>
  <c r="A1370" i="30"/>
  <c r="B1369" i="30"/>
  <c r="A1369" i="30"/>
  <c r="B1368" i="30"/>
  <c r="A1368" i="30"/>
  <c r="B1367" i="30"/>
  <c r="N1367" i="30" s="1"/>
  <c r="A1367" i="30"/>
  <c r="B1366" i="30"/>
  <c r="N1366" i="30" s="1"/>
  <c r="A1366" i="30"/>
  <c r="B1365" i="30"/>
  <c r="N1365" i="30" s="1"/>
  <c r="A1365" i="30"/>
  <c r="B1364" i="30"/>
  <c r="N1364" i="30" s="1"/>
  <c r="A1364" i="30"/>
  <c r="B1363" i="30"/>
  <c r="N1363" i="30" s="1"/>
  <c r="A1363" i="30"/>
  <c r="B1362" i="30"/>
  <c r="N1362" i="30" s="1"/>
  <c r="A1362" i="30"/>
  <c r="B1361" i="30"/>
  <c r="N1361" i="30" s="1"/>
  <c r="A1361" i="30"/>
  <c r="B1360" i="30"/>
  <c r="N1360" i="30" s="1"/>
  <c r="A1360" i="30"/>
  <c r="B1359" i="30"/>
  <c r="A1359" i="30"/>
  <c r="B1358" i="30"/>
  <c r="A1358" i="30"/>
  <c r="B1357" i="30"/>
  <c r="A1357" i="30"/>
  <c r="B1356" i="30"/>
  <c r="A1356" i="30"/>
  <c r="B1355" i="30"/>
  <c r="A1355" i="30"/>
  <c r="B1354" i="30"/>
  <c r="A1354" i="30"/>
  <c r="B1353" i="30"/>
  <c r="A1353" i="30"/>
  <c r="B1352" i="30"/>
  <c r="A1352" i="30"/>
  <c r="B1351" i="30"/>
  <c r="A1351" i="30"/>
  <c r="B1350" i="30"/>
  <c r="A1350" i="30"/>
  <c r="B1349" i="30"/>
  <c r="A1349" i="30"/>
  <c r="B1348" i="30"/>
  <c r="A1348" i="30"/>
  <c r="B1347" i="30"/>
  <c r="N1347" i="30" s="1"/>
  <c r="A1347" i="30"/>
  <c r="B1346" i="30"/>
  <c r="N1346" i="30" s="1"/>
  <c r="A1346" i="30"/>
  <c r="B1345" i="30"/>
  <c r="N1345" i="30" s="1"/>
  <c r="A1345" i="30"/>
  <c r="B1344" i="30"/>
  <c r="N1344" i="30" s="1"/>
  <c r="A1344" i="30"/>
  <c r="B1343" i="30"/>
  <c r="N1343" i="30" s="1"/>
  <c r="A1343" i="30"/>
  <c r="B1342" i="30"/>
  <c r="N1342" i="30" s="1"/>
  <c r="A1342" i="30"/>
  <c r="B1341" i="30"/>
  <c r="N1341" i="30" s="1"/>
  <c r="A1341" i="30"/>
  <c r="B1340" i="30"/>
  <c r="N1340" i="30" s="1"/>
  <c r="A1340" i="30"/>
  <c r="B1339" i="30"/>
  <c r="N1339" i="30" s="1"/>
  <c r="A1339" i="30"/>
  <c r="B1338" i="30"/>
  <c r="N1338" i="30" s="1"/>
  <c r="A1338" i="30"/>
  <c r="B1337" i="30"/>
  <c r="N1337" i="30" s="1"/>
  <c r="A1337" i="30"/>
  <c r="B1336" i="30"/>
  <c r="N1336" i="30" s="1"/>
  <c r="A1336" i="30"/>
  <c r="B1335" i="30"/>
  <c r="N1335" i="30" s="1"/>
  <c r="A1335" i="30"/>
  <c r="B1334" i="30"/>
  <c r="N1334" i="30" s="1"/>
  <c r="A1334" i="30"/>
  <c r="B1333" i="30"/>
  <c r="N1333" i="30" s="1"/>
  <c r="A1333" i="30"/>
  <c r="B1332" i="30"/>
  <c r="N1332" i="30" s="1"/>
  <c r="A1332" i="30"/>
  <c r="B1331" i="30"/>
  <c r="N1331" i="30" s="1"/>
  <c r="A1331" i="30"/>
  <c r="B1330" i="30"/>
  <c r="N1330" i="30" s="1"/>
  <c r="A1330" i="30"/>
  <c r="B1329" i="30"/>
  <c r="N1329" i="30" s="1"/>
  <c r="A1329" i="30"/>
  <c r="B1328" i="30"/>
  <c r="N1328" i="30" s="1"/>
  <c r="A1328" i="30"/>
  <c r="B1327" i="30"/>
  <c r="N1327" i="30" s="1"/>
  <c r="A1327" i="30"/>
  <c r="B1326" i="30"/>
  <c r="N1326" i="30" s="1"/>
  <c r="A1326" i="30"/>
  <c r="B1325" i="30"/>
  <c r="N1325" i="30" s="1"/>
  <c r="A1325" i="30"/>
  <c r="B1324" i="30"/>
  <c r="N1324" i="30" s="1"/>
  <c r="A1324" i="30"/>
  <c r="B1323" i="30"/>
  <c r="N1323" i="30" s="1"/>
  <c r="A1323" i="30"/>
  <c r="B1322" i="30"/>
  <c r="N1322" i="30" s="1"/>
  <c r="A1322" i="30"/>
  <c r="B1321" i="30"/>
  <c r="N1321" i="30" s="1"/>
  <c r="A1321" i="30"/>
  <c r="B1320" i="30"/>
  <c r="N1320" i="30" s="1"/>
  <c r="A1320" i="30"/>
  <c r="B1319" i="30"/>
  <c r="N1319" i="30" s="1"/>
  <c r="A1319" i="30"/>
  <c r="B1318" i="30"/>
  <c r="N1318" i="30" s="1"/>
  <c r="A1318" i="30"/>
  <c r="B1317" i="30"/>
  <c r="N1317" i="30" s="1"/>
  <c r="A1317" i="30"/>
  <c r="B1316" i="30"/>
  <c r="N1316" i="30" s="1"/>
  <c r="A1316" i="30"/>
  <c r="B1315" i="30"/>
  <c r="N1315" i="30" s="1"/>
  <c r="A1315" i="30"/>
  <c r="B1314" i="30"/>
  <c r="N1314" i="30" s="1"/>
  <c r="A1314" i="30"/>
  <c r="B1313" i="30"/>
  <c r="N1313" i="30" s="1"/>
  <c r="A1313" i="30"/>
  <c r="B1312" i="30"/>
  <c r="N1312" i="30" s="1"/>
  <c r="A1312" i="30"/>
  <c r="B1311" i="30"/>
  <c r="N1311" i="30" s="1"/>
  <c r="A1311" i="30"/>
  <c r="B1310" i="30"/>
  <c r="N1310" i="30" s="1"/>
  <c r="A1310" i="30"/>
  <c r="B1309" i="30"/>
  <c r="N1309" i="30" s="1"/>
  <c r="A1309" i="30"/>
  <c r="B1308" i="30"/>
  <c r="N1308" i="30" s="1"/>
  <c r="A1308" i="30"/>
  <c r="B1307" i="30"/>
  <c r="N1307" i="30" s="1"/>
  <c r="A1307" i="30"/>
  <c r="B1306" i="30"/>
  <c r="A1306" i="30"/>
  <c r="B1305" i="30"/>
  <c r="A1305" i="30"/>
  <c r="B1304" i="30"/>
  <c r="A1304" i="30"/>
  <c r="B1303" i="30"/>
  <c r="A1303" i="30"/>
  <c r="B1302" i="30"/>
  <c r="A1302" i="30"/>
  <c r="B1301" i="30"/>
  <c r="A1301" i="30"/>
  <c r="B1300" i="30"/>
  <c r="A1300" i="30"/>
  <c r="B1299" i="30"/>
  <c r="N1299" i="30" s="1"/>
  <c r="A1299" i="30"/>
  <c r="B1298" i="30"/>
  <c r="N1298" i="30" s="1"/>
  <c r="A1298" i="30"/>
  <c r="B1297" i="30"/>
  <c r="N1297" i="30" s="1"/>
  <c r="A1297" i="30"/>
  <c r="B1296" i="30"/>
  <c r="N1296" i="30" s="1"/>
  <c r="A1296" i="30"/>
  <c r="B1295" i="30"/>
  <c r="N1295" i="30" s="1"/>
  <c r="A1295" i="30"/>
  <c r="B1294" i="30"/>
  <c r="N1294" i="30" s="1"/>
  <c r="A1294" i="30"/>
  <c r="B1293" i="30"/>
  <c r="N1293" i="30" s="1"/>
  <c r="A1293" i="30"/>
  <c r="B1292" i="30"/>
  <c r="N1292" i="30" s="1"/>
  <c r="A1292" i="30"/>
  <c r="B1291" i="30"/>
  <c r="N1291" i="30" s="1"/>
  <c r="A1291" i="30"/>
  <c r="B1290" i="30"/>
  <c r="N1290" i="30" s="1"/>
  <c r="A1290" i="30"/>
  <c r="B1289" i="30"/>
  <c r="N1289" i="30" s="1"/>
  <c r="A1289" i="30"/>
  <c r="B1288" i="30"/>
  <c r="N1288" i="30" s="1"/>
  <c r="A1288" i="30"/>
  <c r="B1287" i="30"/>
  <c r="N1287" i="30" s="1"/>
  <c r="A1287" i="30"/>
  <c r="B1286" i="30"/>
  <c r="N1286" i="30" s="1"/>
  <c r="A1286" i="30"/>
  <c r="B1285" i="30"/>
  <c r="N1285" i="30" s="1"/>
  <c r="A1285" i="30"/>
  <c r="B1284" i="30"/>
  <c r="N1284" i="30" s="1"/>
  <c r="A1284" i="30"/>
  <c r="B1283" i="30"/>
  <c r="N1283" i="30" s="1"/>
  <c r="A1283" i="30"/>
  <c r="B1282" i="30"/>
  <c r="N1282" i="30" s="1"/>
  <c r="A1282" i="30"/>
  <c r="B1281" i="30"/>
  <c r="N1281" i="30" s="1"/>
  <c r="A1281" i="30"/>
  <c r="B1280" i="30"/>
  <c r="N1280" i="30" s="1"/>
  <c r="A1280" i="30"/>
  <c r="B1279" i="30"/>
  <c r="N1279" i="30" s="1"/>
  <c r="A1279" i="30"/>
  <c r="B1278" i="30"/>
  <c r="N1278" i="30" s="1"/>
  <c r="A1278" i="30"/>
  <c r="B1277" i="30"/>
  <c r="N1277" i="30" s="1"/>
  <c r="A1277" i="30"/>
  <c r="B1276" i="30"/>
  <c r="N1276" i="30" s="1"/>
  <c r="A1276" i="30"/>
  <c r="B1275" i="30"/>
  <c r="N1275" i="30" s="1"/>
  <c r="A1275" i="30"/>
  <c r="B1274" i="30"/>
  <c r="N1274" i="30" s="1"/>
  <c r="A1274" i="30"/>
  <c r="B1273" i="30"/>
  <c r="N1273" i="30" s="1"/>
  <c r="A1273" i="30"/>
  <c r="B1272" i="30"/>
  <c r="N1272" i="30" s="1"/>
  <c r="A1272" i="30"/>
  <c r="B1271" i="30"/>
  <c r="N1271" i="30" s="1"/>
  <c r="A1271" i="30"/>
  <c r="B1270" i="30"/>
  <c r="N1270" i="30" s="1"/>
  <c r="A1270" i="30"/>
  <c r="B1269" i="30"/>
  <c r="N1269" i="30" s="1"/>
  <c r="A1269" i="30"/>
  <c r="B1268" i="30"/>
  <c r="N1268" i="30" s="1"/>
  <c r="A1268" i="30"/>
  <c r="B1267" i="30"/>
  <c r="N1267" i="30" s="1"/>
  <c r="A1267" i="30"/>
  <c r="B1266" i="30"/>
  <c r="N1266" i="30" s="1"/>
  <c r="A1266" i="30"/>
  <c r="B1265" i="30"/>
  <c r="N1265" i="30" s="1"/>
  <c r="A1265" i="30"/>
  <c r="B1264" i="30"/>
  <c r="N1264" i="30" s="1"/>
  <c r="A1264" i="30"/>
  <c r="B1263" i="30"/>
  <c r="N1263" i="30" s="1"/>
  <c r="A1263" i="30"/>
  <c r="B1262" i="30"/>
  <c r="N1262" i="30" s="1"/>
  <c r="A1262" i="30"/>
  <c r="B1261" i="30"/>
  <c r="N1261" i="30" s="1"/>
  <c r="A1261" i="30"/>
  <c r="B1260" i="30"/>
  <c r="N1260" i="30" s="1"/>
  <c r="A1260" i="30"/>
  <c r="B1259" i="30"/>
  <c r="N1259" i="30" s="1"/>
  <c r="A1259" i="30"/>
  <c r="B1258" i="30"/>
  <c r="N1258" i="30" s="1"/>
  <c r="A1258" i="30"/>
  <c r="B1257" i="30"/>
  <c r="N1257" i="30" s="1"/>
  <c r="A1257" i="30"/>
  <c r="B1256" i="30"/>
  <c r="N1256" i="30" s="1"/>
  <c r="A1256" i="30"/>
  <c r="B1255" i="30"/>
  <c r="N1255" i="30" s="1"/>
  <c r="A1255" i="30"/>
  <c r="B1254" i="30"/>
  <c r="N1254" i="30" s="1"/>
  <c r="A1254" i="30"/>
  <c r="B1253" i="30"/>
  <c r="A1253" i="30"/>
  <c r="B1252" i="30"/>
  <c r="A1252" i="30"/>
  <c r="B1251" i="30"/>
  <c r="A1251" i="30"/>
  <c r="B1250" i="30"/>
  <c r="A1250" i="30"/>
  <c r="B1249" i="30"/>
  <c r="A1249" i="30"/>
  <c r="B1248" i="30"/>
  <c r="N1248" i="30" s="1"/>
  <c r="A1248" i="30"/>
  <c r="B1247" i="30"/>
  <c r="N1247" i="30" s="1"/>
  <c r="A1247" i="30"/>
  <c r="B1246" i="30"/>
  <c r="N1246" i="30" s="1"/>
  <c r="A1246" i="30"/>
  <c r="B1245" i="30"/>
  <c r="N1245" i="30" s="1"/>
  <c r="A1245" i="30"/>
  <c r="B1244" i="30"/>
  <c r="N1244" i="30" s="1"/>
  <c r="A1244" i="30"/>
  <c r="B1243" i="30"/>
  <c r="N1243" i="30" s="1"/>
  <c r="A1243" i="30"/>
  <c r="B1242" i="30"/>
  <c r="N1242" i="30" s="1"/>
  <c r="A1242" i="30"/>
  <c r="B1241" i="30"/>
  <c r="N1241" i="30" s="1"/>
  <c r="A1241" i="30"/>
  <c r="B1240" i="30"/>
  <c r="N1240" i="30" s="1"/>
  <c r="A1240" i="30"/>
  <c r="B1239" i="30"/>
  <c r="N1239" i="30" s="1"/>
  <c r="A1239" i="30"/>
  <c r="B1238" i="30"/>
  <c r="N1238" i="30" s="1"/>
  <c r="A1238" i="30"/>
  <c r="B1237" i="30"/>
  <c r="N1237" i="30" s="1"/>
  <c r="A1237" i="30"/>
  <c r="B1236" i="30"/>
  <c r="N1236" i="30" s="1"/>
  <c r="A1236" i="30"/>
  <c r="B1235" i="30"/>
  <c r="N1235" i="30" s="1"/>
  <c r="A1235" i="30"/>
  <c r="B1234" i="30"/>
  <c r="N1234" i="30" s="1"/>
  <c r="A1234" i="30"/>
  <c r="B1233" i="30"/>
  <c r="N1233" i="30" s="1"/>
  <c r="A1233" i="30"/>
  <c r="B1232" i="30"/>
  <c r="N1232" i="30" s="1"/>
  <c r="A1232" i="30"/>
  <c r="B1231" i="30"/>
  <c r="N1231" i="30" s="1"/>
  <c r="A1231" i="30"/>
  <c r="B1230" i="30"/>
  <c r="N1230" i="30" s="1"/>
  <c r="A1230" i="30"/>
  <c r="B1229" i="30"/>
  <c r="N1229" i="30" s="1"/>
  <c r="A1229" i="30"/>
  <c r="B1228" i="30"/>
  <c r="N1228" i="30" s="1"/>
  <c r="A1228" i="30"/>
  <c r="B1227" i="30"/>
  <c r="N1227" i="30" s="1"/>
  <c r="A1227" i="30"/>
  <c r="B1226" i="30"/>
  <c r="N1226" i="30" s="1"/>
  <c r="A1226" i="30"/>
  <c r="B1225" i="30"/>
  <c r="N1225" i="30" s="1"/>
  <c r="A1225" i="30"/>
  <c r="B1224" i="30"/>
  <c r="N1224" i="30" s="1"/>
  <c r="A1224" i="30"/>
  <c r="B1223" i="30"/>
  <c r="N1223" i="30" s="1"/>
  <c r="A1223" i="30"/>
  <c r="B1222" i="30"/>
  <c r="N1222" i="30" s="1"/>
  <c r="A1222" i="30"/>
  <c r="B1221" i="30"/>
  <c r="N1221" i="30" s="1"/>
  <c r="A1221" i="30"/>
  <c r="B1220" i="30"/>
  <c r="N1220" i="30" s="1"/>
  <c r="A1220" i="30"/>
  <c r="B1219" i="30"/>
  <c r="N1219" i="30" s="1"/>
  <c r="A1219" i="30"/>
  <c r="B1218" i="30"/>
  <c r="N1218" i="30" s="1"/>
  <c r="A1218" i="30"/>
  <c r="B1217" i="30"/>
  <c r="N1217" i="30" s="1"/>
  <c r="A1217" i="30"/>
  <c r="B1216" i="30"/>
  <c r="N1216" i="30" s="1"/>
  <c r="A1216" i="30"/>
  <c r="B1215" i="30"/>
  <c r="N1215" i="30" s="1"/>
  <c r="A1215" i="30"/>
  <c r="B1214" i="30"/>
  <c r="N1214" i="30" s="1"/>
  <c r="A1214" i="30"/>
  <c r="B1213" i="30"/>
  <c r="N1213" i="30" s="1"/>
  <c r="A1213" i="30"/>
  <c r="B1212" i="30"/>
  <c r="N1212" i="30" s="1"/>
  <c r="A1212" i="30"/>
  <c r="B1211" i="30"/>
  <c r="N1211" i="30" s="1"/>
  <c r="A1211" i="30"/>
  <c r="B1210" i="30"/>
  <c r="N1210" i="30" s="1"/>
  <c r="A1210" i="30"/>
  <c r="B1209" i="30"/>
  <c r="N1209" i="30" s="1"/>
  <c r="A1209" i="30"/>
  <c r="B1208" i="30"/>
  <c r="N1208" i="30" s="1"/>
  <c r="A1208" i="30"/>
  <c r="B1207" i="30"/>
  <c r="N1207" i="30" s="1"/>
  <c r="A1207" i="30"/>
  <c r="B1206" i="30"/>
  <c r="N1206" i="30" s="1"/>
  <c r="A1206" i="30"/>
  <c r="B1205" i="30"/>
  <c r="N1205" i="30" s="1"/>
  <c r="A1205" i="30"/>
  <c r="B1204" i="30"/>
  <c r="N1204" i="30" s="1"/>
  <c r="A1204" i="30"/>
  <c r="B1203" i="30"/>
  <c r="N1203" i="30" s="1"/>
  <c r="A1203" i="30"/>
  <c r="B1202" i="30"/>
  <c r="A1202" i="30"/>
  <c r="B1201" i="30"/>
  <c r="A1201" i="30"/>
  <c r="B1200" i="30"/>
  <c r="A1200" i="30"/>
  <c r="B1199" i="30"/>
  <c r="A1199" i="30"/>
  <c r="B1198" i="30"/>
  <c r="A1198" i="30"/>
  <c r="B1197" i="30"/>
  <c r="A1197" i="30"/>
  <c r="B1195" i="30"/>
  <c r="A1195" i="30"/>
  <c r="B1194" i="30"/>
  <c r="A1194" i="30"/>
  <c r="B1193" i="30"/>
  <c r="A1193" i="30"/>
  <c r="B1192" i="30"/>
  <c r="A1192" i="30"/>
  <c r="B1191" i="30"/>
  <c r="A1191" i="30"/>
  <c r="B1190" i="30"/>
  <c r="A1190" i="30"/>
  <c r="B1189" i="30"/>
  <c r="A1189" i="30"/>
  <c r="B1188" i="30"/>
  <c r="A1188" i="30"/>
  <c r="B1187" i="30"/>
  <c r="A1187" i="30"/>
  <c r="B1186" i="30"/>
  <c r="N1186" i="30" s="1"/>
  <c r="A1186" i="30"/>
  <c r="B1185" i="30"/>
  <c r="N1185" i="30" s="1"/>
  <c r="A1185" i="30"/>
  <c r="B1184" i="30"/>
  <c r="N1184" i="30" s="1"/>
  <c r="A1184" i="30"/>
  <c r="B1183" i="30"/>
  <c r="N1183" i="30" s="1"/>
  <c r="A1183" i="30"/>
  <c r="B1182" i="30"/>
  <c r="N1182" i="30" s="1"/>
  <c r="A1182" i="30"/>
  <c r="B1181" i="30"/>
  <c r="N1181" i="30" s="1"/>
  <c r="A1181" i="30"/>
  <c r="B1180" i="30"/>
  <c r="N1180" i="30" s="1"/>
  <c r="A1180" i="30"/>
  <c r="B1179" i="30"/>
  <c r="A1179" i="30"/>
  <c r="B1178" i="30"/>
  <c r="N1178" i="30" s="1"/>
  <c r="A1178" i="30"/>
  <c r="B1177" i="30"/>
  <c r="N1177" i="30" s="1"/>
  <c r="A1177" i="30"/>
  <c r="B1176" i="30"/>
  <c r="N1176" i="30" s="1"/>
  <c r="A1176" i="30"/>
  <c r="B1175" i="30"/>
  <c r="N1175" i="30" s="1"/>
  <c r="A1175" i="30"/>
  <c r="B1174" i="30"/>
  <c r="N1174" i="30" s="1"/>
  <c r="A1174" i="30"/>
  <c r="B1173" i="30"/>
  <c r="N1173" i="30" s="1"/>
  <c r="A1173" i="30"/>
  <c r="B1172" i="30"/>
  <c r="N1172" i="30" s="1"/>
  <c r="A1172" i="30"/>
  <c r="B1171" i="30"/>
  <c r="N1171" i="30" s="1"/>
  <c r="A1171" i="30"/>
  <c r="B1170" i="30"/>
  <c r="N1170" i="30" s="1"/>
  <c r="A1170" i="30"/>
  <c r="B1169" i="30"/>
  <c r="N1169" i="30" s="1"/>
  <c r="A1169" i="30"/>
  <c r="B1168" i="30"/>
  <c r="N1168" i="30" s="1"/>
  <c r="A1168" i="30"/>
  <c r="B1167" i="30"/>
  <c r="N1167" i="30" s="1"/>
  <c r="A1167" i="30"/>
  <c r="B1166" i="30"/>
  <c r="N1166" i="30" s="1"/>
  <c r="A1166" i="30"/>
  <c r="B1165" i="30"/>
  <c r="N1165" i="30" s="1"/>
  <c r="A1165" i="30"/>
  <c r="B1164" i="30"/>
  <c r="N1164" i="30" s="1"/>
  <c r="A1164" i="30"/>
  <c r="B1163" i="30"/>
  <c r="N1163" i="30" s="1"/>
  <c r="A1163" i="30"/>
  <c r="B1162" i="30"/>
  <c r="N1162" i="30" s="1"/>
  <c r="A1162" i="30"/>
  <c r="B1161" i="30"/>
  <c r="N1161" i="30" s="1"/>
  <c r="A1161" i="30"/>
  <c r="B1160" i="30"/>
  <c r="N1160" i="30" s="1"/>
  <c r="A1160" i="30"/>
  <c r="B1159" i="30"/>
  <c r="N1159" i="30" s="1"/>
  <c r="A1159" i="30"/>
  <c r="B1158" i="30"/>
  <c r="N1158" i="30" s="1"/>
  <c r="A1158" i="30"/>
  <c r="B1157" i="30"/>
  <c r="N1157" i="30" s="1"/>
  <c r="A1157" i="30"/>
  <c r="B1156" i="30"/>
  <c r="N1156" i="30" s="1"/>
  <c r="A1156" i="30"/>
  <c r="B1155" i="30"/>
  <c r="N1155" i="30" s="1"/>
  <c r="A1155" i="30"/>
  <c r="B1154" i="30"/>
  <c r="N1154" i="30" s="1"/>
  <c r="A1154" i="30"/>
  <c r="B1153" i="30"/>
  <c r="N1153" i="30" s="1"/>
  <c r="A1153" i="30"/>
  <c r="B1152" i="30"/>
  <c r="N1152" i="30" s="1"/>
  <c r="A1152" i="30"/>
  <c r="B1151" i="30"/>
  <c r="N1151" i="30" s="1"/>
  <c r="A1151" i="30"/>
  <c r="B1150" i="30"/>
  <c r="N1150" i="30" s="1"/>
  <c r="A1150" i="30"/>
  <c r="B1149" i="30"/>
  <c r="N1149" i="30" s="1"/>
  <c r="A1149" i="30"/>
  <c r="B1148" i="30"/>
  <c r="N1148" i="30" s="1"/>
  <c r="A1148" i="30"/>
  <c r="B1147" i="30"/>
  <c r="N1147" i="30" s="1"/>
  <c r="A1147" i="30"/>
  <c r="B1146" i="30"/>
  <c r="N1146" i="30" s="1"/>
  <c r="A1146" i="30"/>
  <c r="B1145" i="30"/>
  <c r="N1145" i="30" s="1"/>
  <c r="A1145" i="30"/>
  <c r="B1144" i="30"/>
  <c r="N1144" i="30" s="1"/>
  <c r="A1144" i="30"/>
  <c r="B1143" i="30"/>
  <c r="N1143" i="30" s="1"/>
  <c r="A1143" i="30"/>
  <c r="B1142" i="30"/>
  <c r="N1142" i="30" s="1"/>
  <c r="A1142" i="30"/>
  <c r="B1141" i="30"/>
  <c r="N1141" i="30" s="1"/>
  <c r="A1141" i="30"/>
  <c r="B1140" i="30"/>
  <c r="N1140" i="30" s="1"/>
  <c r="A1140" i="30"/>
  <c r="B1139" i="30"/>
  <c r="N1139" i="30" s="1"/>
  <c r="A1139" i="30"/>
  <c r="B1138" i="30"/>
  <c r="N1138" i="30" s="1"/>
  <c r="A1138" i="30"/>
  <c r="B1137" i="30"/>
  <c r="N1137" i="30" s="1"/>
  <c r="A1137" i="30"/>
  <c r="B1136" i="30"/>
  <c r="A1136" i="30"/>
  <c r="B1135" i="30"/>
  <c r="A1135" i="30"/>
  <c r="B1134" i="30"/>
  <c r="A1134" i="30"/>
  <c r="B1133" i="30"/>
  <c r="A1133" i="30"/>
  <c r="B1132" i="30"/>
  <c r="A1132" i="30"/>
  <c r="B1131" i="30"/>
  <c r="N1131" i="30" s="1"/>
  <c r="A1131" i="30"/>
  <c r="B1130" i="30"/>
  <c r="N1130" i="30" s="1"/>
  <c r="A1130" i="30"/>
  <c r="B1129" i="30"/>
  <c r="N1129" i="30" s="1"/>
  <c r="A1129" i="30"/>
  <c r="B1128" i="30"/>
  <c r="N1128" i="30" s="1"/>
  <c r="A1128" i="30"/>
  <c r="B1127" i="30"/>
  <c r="N1127" i="30" s="1"/>
  <c r="A1127" i="30"/>
  <c r="B1126" i="30"/>
  <c r="N1126" i="30" s="1"/>
  <c r="A1126" i="30"/>
  <c r="B1125" i="30"/>
  <c r="N1125" i="30" s="1"/>
  <c r="A1125" i="30"/>
  <c r="B1124" i="30"/>
  <c r="N1124" i="30" s="1"/>
  <c r="A1124" i="30"/>
  <c r="B1123" i="30"/>
  <c r="N1123" i="30" s="1"/>
  <c r="A1123" i="30"/>
  <c r="B1122" i="30"/>
  <c r="N1122" i="30" s="1"/>
  <c r="A1122" i="30"/>
  <c r="B1121" i="30"/>
  <c r="N1121" i="30" s="1"/>
  <c r="A1121" i="30"/>
  <c r="B1120" i="30"/>
  <c r="N1120" i="30" s="1"/>
  <c r="A1120" i="30"/>
  <c r="B1119" i="30"/>
  <c r="N1119" i="30" s="1"/>
  <c r="A1119" i="30"/>
  <c r="B1118" i="30"/>
  <c r="N1118" i="30" s="1"/>
  <c r="A1118" i="30"/>
  <c r="B1117" i="30"/>
  <c r="N1117" i="30" s="1"/>
  <c r="A1117" i="30"/>
  <c r="B1116" i="30"/>
  <c r="N1116" i="30" s="1"/>
  <c r="A1116" i="30"/>
  <c r="B1115" i="30"/>
  <c r="N1115" i="30" s="1"/>
  <c r="A1115" i="30"/>
  <c r="B1114" i="30"/>
  <c r="N1114" i="30" s="1"/>
  <c r="A1114" i="30"/>
  <c r="B1113" i="30"/>
  <c r="N1113" i="30" s="1"/>
  <c r="A1113" i="30"/>
  <c r="B1112" i="30"/>
  <c r="N1112" i="30" s="1"/>
  <c r="A1112" i="30"/>
  <c r="B1111" i="30"/>
  <c r="N1111" i="30" s="1"/>
  <c r="A1111" i="30"/>
  <c r="B1110" i="30"/>
  <c r="N1110" i="30" s="1"/>
  <c r="A1110" i="30"/>
  <c r="B1109" i="30"/>
  <c r="N1109" i="30" s="1"/>
  <c r="A1109" i="30"/>
  <c r="B1108" i="30"/>
  <c r="N1108" i="30" s="1"/>
  <c r="A1108" i="30"/>
  <c r="B1107" i="30"/>
  <c r="N1107" i="30" s="1"/>
  <c r="A1107" i="30"/>
  <c r="B1106" i="30"/>
  <c r="N1106" i="30" s="1"/>
  <c r="A1106" i="30"/>
  <c r="B1105" i="30"/>
  <c r="N1105" i="30" s="1"/>
  <c r="A1105" i="30"/>
  <c r="B1104" i="30"/>
  <c r="N1104" i="30" s="1"/>
  <c r="A1104" i="30"/>
  <c r="B1103" i="30"/>
  <c r="N1103" i="30" s="1"/>
  <c r="A1103" i="30"/>
  <c r="B1102" i="30"/>
  <c r="N1102" i="30" s="1"/>
  <c r="A1102" i="30"/>
  <c r="B1101" i="30"/>
  <c r="N1101" i="30" s="1"/>
  <c r="A1101" i="30"/>
  <c r="B1100" i="30"/>
  <c r="N1100" i="30" s="1"/>
  <c r="A1100" i="30"/>
  <c r="B1099" i="30"/>
  <c r="N1099" i="30" s="1"/>
  <c r="A1099" i="30"/>
  <c r="B1098" i="30"/>
  <c r="N1098" i="30" s="1"/>
  <c r="A1098" i="30"/>
  <c r="B1097" i="30"/>
  <c r="N1097" i="30" s="1"/>
  <c r="A1097" i="30"/>
  <c r="B1096" i="30"/>
  <c r="N1096" i="30" s="1"/>
  <c r="A1096" i="30"/>
  <c r="B1095" i="30"/>
  <c r="N1095" i="30" s="1"/>
  <c r="A1095" i="30"/>
  <c r="B1094" i="30"/>
  <c r="N1094" i="30" s="1"/>
  <c r="A1094" i="30"/>
  <c r="B1093" i="30"/>
  <c r="N1093" i="30" s="1"/>
  <c r="A1093" i="30"/>
  <c r="B1092" i="30"/>
  <c r="N1092" i="30" s="1"/>
  <c r="A1092" i="30"/>
  <c r="B1091" i="30"/>
  <c r="A1091" i="30"/>
  <c r="B1085" i="30"/>
  <c r="A1085" i="30"/>
  <c r="B1084" i="30"/>
  <c r="A1084" i="30"/>
  <c r="B1083" i="30"/>
  <c r="A1083" i="30"/>
  <c r="B1082" i="30"/>
  <c r="A1082" i="30"/>
  <c r="B1081" i="30"/>
  <c r="A1081" i="30"/>
  <c r="B1080" i="30"/>
  <c r="A1080" i="30"/>
  <c r="B1079" i="30"/>
  <c r="A1079" i="30"/>
  <c r="B1078" i="30"/>
  <c r="A1078" i="30"/>
  <c r="B1077" i="30"/>
  <c r="A1077" i="30"/>
  <c r="B1076" i="30"/>
  <c r="N1076" i="30" s="1"/>
  <c r="A1076" i="30"/>
  <c r="B1075" i="30"/>
  <c r="N1075" i="30" s="1"/>
  <c r="A1075" i="30"/>
  <c r="B1074" i="30"/>
  <c r="N1074" i="30" s="1"/>
  <c r="A1074" i="30"/>
  <c r="B1073" i="30"/>
  <c r="N1073" i="30" s="1"/>
  <c r="A1073" i="30"/>
  <c r="B1072" i="30"/>
  <c r="N1072" i="30" s="1"/>
  <c r="A1072" i="30"/>
  <c r="B1071" i="30"/>
  <c r="N1071" i="30" s="1"/>
  <c r="A1071" i="30"/>
  <c r="B1070" i="30"/>
  <c r="N1070" i="30" s="1"/>
  <c r="A1070" i="30"/>
  <c r="B1069" i="30"/>
  <c r="N1069" i="30" s="1"/>
  <c r="A1069" i="30"/>
  <c r="B1068" i="30"/>
  <c r="N1068" i="30" s="1"/>
  <c r="A1068" i="30"/>
  <c r="B1067" i="30"/>
  <c r="N1067" i="30" s="1"/>
  <c r="A1067" i="30"/>
  <c r="B1066" i="30"/>
  <c r="N1066" i="30" s="1"/>
  <c r="A1066" i="30"/>
  <c r="B1065" i="30"/>
  <c r="N1065" i="30" s="1"/>
  <c r="A1065" i="30"/>
  <c r="B1064" i="30"/>
  <c r="N1064" i="30" s="1"/>
  <c r="A1064" i="30"/>
  <c r="B1063" i="30"/>
  <c r="N1063" i="30" s="1"/>
  <c r="A1063" i="30"/>
  <c r="B1062" i="30"/>
  <c r="N1062" i="30" s="1"/>
  <c r="A1062" i="30"/>
  <c r="B1061" i="30"/>
  <c r="N1061" i="30" s="1"/>
  <c r="A1061" i="30"/>
  <c r="B1060" i="30"/>
  <c r="N1060" i="30" s="1"/>
  <c r="A1060" i="30"/>
  <c r="B1059" i="30"/>
  <c r="N1059" i="30" s="1"/>
  <c r="A1059" i="30"/>
  <c r="B1058" i="30"/>
  <c r="N1058" i="30" s="1"/>
  <c r="A1058" i="30"/>
  <c r="B1057" i="30"/>
  <c r="N1057" i="30" s="1"/>
  <c r="A1057" i="30"/>
  <c r="B1056" i="30"/>
  <c r="N1056" i="30" s="1"/>
  <c r="A1056" i="30"/>
  <c r="B1055" i="30"/>
  <c r="N1055" i="30" s="1"/>
  <c r="A1055" i="30"/>
  <c r="B1054" i="30"/>
  <c r="N1054" i="30" s="1"/>
  <c r="A1054" i="30"/>
  <c r="B1053" i="30"/>
  <c r="N1053" i="30" s="1"/>
  <c r="A1053" i="30"/>
  <c r="B1052" i="30"/>
  <c r="N1052" i="30" s="1"/>
  <c r="A1052" i="30"/>
  <c r="B1051" i="30"/>
  <c r="N1051" i="30" s="1"/>
  <c r="A1051" i="30"/>
  <c r="B1050" i="30"/>
  <c r="N1050" i="30" s="1"/>
  <c r="A1050" i="30"/>
  <c r="B1049" i="30"/>
  <c r="N1049" i="30" s="1"/>
  <c r="A1049" i="30"/>
  <c r="B1048" i="30"/>
  <c r="N1048" i="30" s="1"/>
  <c r="A1048" i="30"/>
  <c r="B1047" i="30"/>
  <c r="N1047" i="30" s="1"/>
  <c r="A1047" i="30"/>
  <c r="B1046" i="30"/>
  <c r="N1046" i="30" s="1"/>
  <c r="A1046" i="30"/>
  <c r="B1045" i="30"/>
  <c r="N1045" i="30" s="1"/>
  <c r="A1045" i="30"/>
  <c r="B1044" i="30"/>
  <c r="N1044" i="30" s="1"/>
  <c r="A1044" i="30"/>
  <c r="B1043" i="30"/>
  <c r="N1043" i="30" s="1"/>
  <c r="A1043" i="30"/>
  <c r="B1042" i="30"/>
  <c r="N1042" i="30" s="1"/>
  <c r="A1042" i="30"/>
  <c r="B1041" i="30"/>
  <c r="N1041" i="30" s="1"/>
  <c r="A1041" i="30"/>
  <c r="B1040" i="30"/>
  <c r="N1040" i="30" s="1"/>
  <c r="A1040" i="30"/>
  <c r="B1039" i="30"/>
  <c r="N1039" i="30" s="1"/>
  <c r="A1039" i="30"/>
  <c r="B1038" i="30"/>
  <c r="N1038" i="30" s="1"/>
  <c r="A1038" i="30"/>
  <c r="B1037" i="30"/>
  <c r="N1037" i="30" s="1"/>
  <c r="A1037" i="30"/>
  <c r="B1036" i="30"/>
  <c r="N1036" i="30" s="1"/>
  <c r="A1036" i="30"/>
  <c r="B1035" i="30"/>
  <c r="N1035" i="30" s="1"/>
  <c r="A1035" i="30"/>
  <c r="B1034" i="30"/>
  <c r="N1034" i="30" s="1"/>
  <c r="A1034" i="30"/>
  <c r="B1033" i="30"/>
  <c r="N1033" i="30" s="1"/>
  <c r="A1033" i="30"/>
  <c r="B1023" i="30"/>
  <c r="A1023" i="30"/>
  <c r="B1022" i="30"/>
  <c r="A1022" i="30"/>
  <c r="B1021" i="30"/>
  <c r="A1021" i="30"/>
  <c r="B1020" i="30"/>
  <c r="A1020" i="30"/>
  <c r="B1019" i="30"/>
  <c r="A1019" i="30"/>
  <c r="B1018" i="30"/>
  <c r="A1018" i="30"/>
  <c r="B1017" i="30"/>
  <c r="A1017" i="30"/>
  <c r="B1016" i="30"/>
  <c r="A1016" i="30"/>
  <c r="B1015" i="30"/>
  <c r="A1015" i="30"/>
  <c r="B1014" i="30"/>
  <c r="A1014" i="30"/>
  <c r="B1013" i="30"/>
  <c r="A1013" i="30"/>
  <c r="B1012" i="30"/>
  <c r="A1012" i="30"/>
  <c r="B1011" i="30"/>
  <c r="A1011" i="30"/>
  <c r="B1010" i="30"/>
  <c r="A1010" i="30"/>
  <c r="B1009" i="30"/>
  <c r="A1009" i="30"/>
  <c r="B1008" i="30"/>
  <c r="A1008" i="30"/>
  <c r="B1007" i="30"/>
  <c r="A1007" i="30"/>
  <c r="B1006" i="30"/>
  <c r="A1006" i="30"/>
  <c r="B1004" i="30"/>
  <c r="A1004" i="30"/>
  <c r="B1003" i="30"/>
  <c r="A1003" i="30"/>
  <c r="B1002" i="30"/>
  <c r="A1002" i="30"/>
  <c r="B1001" i="30"/>
  <c r="A1001" i="30"/>
  <c r="B1000" i="30"/>
  <c r="A1000" i="30"/>
  <c r="B999" i="30"/>
  <c r="A999" i="30"/>
  <c r="B998" i="30"/>
  <c r="N998" i="30" s="1"/>
  <c r="A998" i="30"/>
  <c r="B997" i="30"/>
  <c r="N997" i="30" s="1"/>
  <c r="A997" i="30"/>
  <c r="B996" i="30"/>
  <c r="N996" i="30" s="1"/>
  <c r="A996" i="30"/>
  <c r="B995" i="30"/>
  <c r="N995" i="30" s="1"/>
  <c r="A995" i="30"/>
  <c r="B994" i="30"/>
  <c r="N994" i="30" s="1"/>
  <c r="A994" i="30"/>
  <c r="B993" i="30"/>
  <c r="N993" i="30" s="1"/>
  <c r="A993" i="30"/>
  <c r="B992" i="30"/>
  <c r="A992" i="30"/>
  <c r="B991" i="30"/>
  <c r="A991" i="30"/>
  <c r="B990" i="30"/>
  <c r="A990" i="30"/>
  <c r="B989" i="30"/>
  <c r="N989" i="30" s="1"/>
  <c r="A989" i="30"/>
  <c r="B988" i="30"/>
  <c r="N988" i="30" s="1"/>
  <c r="A988" i="30"/>
  <c r="B987" i="30"/>
  <c r="N987" i="30" s="1"/>
  <c r="A987" i="30"/>
  <c r="B986" i="30"/>
  <c r="N986" i="30" s="1"/>
  <c r="A986" i="30"/>
  <c r="B985" i="30"/>
  <c r="N985" i="30" s="1"/>
  <c r="A985" i="30"/>
  <c r="B984" i="30"/>
  <c r="N984" i="30" s="1"/>
  <c r="A984" i="30"/>
  <c r="B983" i="30"/>
  <c r="N983" i="30" s="1"/>
  <c r="A983" i="30"/>
  <c r="B982" i="30"/>
  <c r="N982" i="30" s="1"/>
  <c r="A982" i="30"/>
  <c r="B981" i="30"/>
  <c r="N981" i="30" s="1"/>
  <c r="A981" i="30"/>
  <c r="B980" i="30"/>
  <c r="N980" i="30" s="1"/>
  <c r="A980" i="30"/>
  <c r="B979" i="30"/>
  <c r="N979" i="30" s="1"/>
  <c r="A979" i="30"/>
  <c r="B978" i="30"/>
  <c r="N978" i="30" s="1"/>
  <c r="A978" i="30"/>
  <c r="B977" i="30"/>
  <c r="N977" i="30" s="1"/>
  <c r="A977" i="30"/>
  <c r="B976" i="30"/>
  <c r="N976" i="30" s="1"/>
  <c r="A976" i="30"/>
  <c r="B975" i="30"/>
  <c r="N975" i="30" s="1"/>
  <c r="A975" i="30"/>
  <c r="B974" i="30"/>
  <c r="N974" i="30" s="1"/>
  <c r="A974" i="30"/>
  <c r="B973" i="30"/>
  <c r="N973" i="30" s="1"/>
  <c r="A973" i="30"/>
  <c r="B972" i="30"/>
  <c r="N972" i="30" s="1"/>
  <c r="A972" i="30"/>
  <c r="B971" i="30"/>
  <c r="N971" i="30" s="1"/>
  <c r="A971" i="30"/>
  <c r="B970" i="30"/>
  <c r="N970" i="30" s="1"/>
  <c r="A970" i="30"/>
  <c r="B969" i="30"/>
  <c r="N969" i="30" s="1"/>
  <c r="A969" i="30"/>
  <c r="B968" i="30"/>
  <c r="N968" i="30" s="1"/>
  <c r="A968" i="30"/>
  <c r="B967" i="30"/>
  <c r="N967" i="30" s="1"/>
  <c r="A967" i="30"/>
  <c r="B966" i="30"/>
  <c r="N966" i="30" s="1"/>
  <c r="A966" i="30"/>
  <c r="B965" i="30"/>
  <c r="N965" i="30" s="1"/>
  <c r="A965" i="30"/>
  <c r="B964" i="30"/>
  <c r="N964" i="30" s="1"/>
  <c r="A964" i="30"/>
  <c r="B963" i="30"/>
  <c r="N963" i="30" s="1"/>
  <c r="A963" i="30"/>
  <c r="B962" i="30"/>
  <c r="N962" i="30" s="1"/>
  <c r="A962" i="30"/>
  <c r="B961" i="30"/>
  <c r="N961" i="30" s="1"/>
  <c r="A961" i="30"/>
  <c r="B960" i="30"/>
  <c r="N960" i="30" s="1"/>
  <c r="A960" i="30"/>
  <c r="B959" i="30"/>
  <c r="N959" i="30" s="1"/>
  <c r="A959" i="30"/>
  <c r="B958" i="30"/>
  <c r="N958" i="30" s="1"/>
  <c r="A958" i="30"/>
  <c r="B957" i="30"/>
  <c r="N957" i="30" s="1"/>
  <c r="A957" i="30"/>
  <c r="B956" i="30"/>
  <c r="N956" i="30" s="1"/>
  <c r="A956" i="30"/>
  <c r="B955" i="30"/>
  <c r="N955" i="30" s="1"/>
  <c r="A955" i="30"/>
  <c r="B954" i="30"/>
  <c r="N954" i="30" s="1"/>
  <c r="A954" i="30"/>
  <c r="B953" i="30"/>
  <c r="N953" i="30" s="1"/>
  <c r="A953" i="30"/>
  <c r="B952" i="30"/>
  <c r="N952" i="30" s="1"/>
  <c r="A952" i="30"/>
  <c r="B951" i="30"/>
  <c r="N951" i="30" s="1"/>
  <c r="A951" i="30"/>
  <c r="B950" i="30"/>
  <c r="N950" i="30" s="1"/>
  <c r="A950" i="30"/>
  <c r="B949" i="30"/>
  <c r="N949" i="30" s="1"/>
  <c r="A949" i="30"/>
  <c r="B948" i="30"/>
  <c r="N948" i="30" s="1"/>
  <c r="A948" i="30"/>
  <c r="B947" i="30"/>
  <c r="A947" i="30"/>
  <c r="B946" i="30"/>
  <c r="A946" i="30"/>
  <c r="B945" i="30"/>
  <c r="N945" i="30" s="1"/>
  <c r="A945" i="30"/>
  <c r="B944" i="30"/>
  <c r="N944" i="30" s="1"/>
  <c r="A944" i="30"/>
  <c r="B943" i="30"/>
  <c r="N943" i="30" s="1"/>
  <c r="A943" i="30"/>
  <c r="B942" i="30"/>
  <c r="N942" i="30" s="1"/>
  <c r="A942" i="30"/>
  <c r="B941" i="30"/>
  <c r="N941" i="30" s="1"/>
  <c r="A941" i="30"/>
  <c r="B940" i="30"/>
  <c r="N940" i="30" s="1"/>
  <c r="A940" i="30"/>
  <c r="B939" i="30"/>
  <c r="N939" i="30" s="1"/>
  <c r="A939" i="30"/>
  <c r="B938" i="30"/>
  <c r="N938" i="30" s="1"/>
  <c r="A938" i="30"/>
  <c r="B937" i="30"/>
  <c r="N937" i="30" s="1"/>
  <c r="A937" i="30"/>
  <c r="B936" i="30"/>
  <c r="N936" i="30" s="1"/>
  <c r="A936" i="30"/>
  <c r="B935" i="30"/>
  <c r="N935" i="30" s="1"/>
  <c r="A935" i="30"/>
  <c r="B934" i="30"/>
  <c r="N934" i="30" s="1"/>
  <c r="A934" i="30"/>
  <c r="B933" i="30"/>
  <c r="N933" i="30" s="1"/>
  <c r="A933" i="30"/>
  <c r="B932" i="30"/>
  <c r="N932" i="30" s="1"/>
  <c r="A932" i="30"/>
  <c r="B931" i="30"/>
  <c r="N931" i="30" s="1"/>
  <c r="A931" i="30"/>
  <c r="B930" i="30"/>
  <c r="N930" i="30" s="1"/>
  <c r="A930" i="30"/>
  <c r="B929" i="30"/>
  <c r="N929" i="30" s="1"/>
  <c r="A929" i="30"/>
  <c r="B928" i="30"/>
  <c r="N928" i="30" s="1"/>
  <c r="A928" i="30"/>
  <c r="B927" i="30"/>
  <c r="N927" i="30" s="1"/>
  <c r="A927" i="30"/>
  <c r="B926" i="30"/>
  <c r="N926" i="30" s="1"/>
  <c r="A926" i="30"/>
  <c r="B925" i="30"/>
  <c r="N925" i="30" s="1"/>
  <c r="A925" i="30"/>
  <c r="B924" i="30"/>
  <c r="N924" i="30" s="1"/>
  <c r="A924" i="30"/>
  <c r="B923" i="30"/>
  <c r="N923" i="30" s="1"/>
  <c r="A923" i="30"/>
  <c r="B922" i="30"/>
  <c r="N922" i="30" s="1"/>
  <c r="A922" i="30"/>
  <c r="B921" i="30"/>
  <c r="N921" i="30" s="1"/>
  <c r="A921" i="30"/>
  <c r="B920" i="30"/>
  <c r="N920" i="30" s="1"/>
  <c r="A920" i="30"/>
  <c r="B919" i="30"/>
  <c r="N919" i="30" s="1"/>
  <c r="A919" i="30"/>
  <c r="B918" i="30"/>
  <c r="N918" i="30" s="1"/>
  <c r="A918" i="30"/>
  <c r="B917" i="30"/>
  <c r="N917" i="30" s="1"/>
  <c r="A917" i="30"/>
  <c r="B916" i="30"/>
  <c r="N916" i="30" s="1"/>
  <c r="A916" i="30"/>
  <c r="B915" i="30"/>
  <c r="N915" i="30" s="1"/>
  <c r="A915" i="30"/>
  <c r="B914" i="30"/>
  <c r="N914" i="30" s="1"/>
  <c r="A914" i="30"/>
  <c r="B913" i="30"/>
  <c r="N913" i="30" s="1"/>
  <c r="A913" i="30"/>
  <c r="B912" i="30"/>
  <c r="N912" i="30" s="1"/>
  <c r="A912" i="30"/>
  <c r="B911" i="30"/>
  <c r="N911" i="30" s="1"/>
  <c r="A911" i="30"/>
  <c r="B910" i="30"/>
  <c r="N910" i="30" s="1"/>
  <c r="A910" i="30"/>
  <c r="B909" i="30"/>
  <c r="N909" i="30" s="1"/>
  <c r="A909" i="30"/>
  <c r="B908" i="30"/>
  <c r="N908" i="30" s="1"/>
  <c r="A908" i="30"/>
  <c r="B907" i="30"/>
  <c r="N907" i="30" s="1"/>
  <c r="A907" i="30"/>
  <c r="B906" i="30"/>
  <c r="N906" i="30" s="1"/>
  <c r="A906" i="30"/>
  <c r="B905" i="30"/>
  <c r="N905" i="30" s="1"/>
  <c r="A905" i="30"/>
  <c r="B904" i="30"/>
  <c r="A904" i="30"/>
  <c r="B903" i="30"/>
  <c r="A903" i="30"/>
  <c r="B902" i="30"/>
  <c r="N902" i="30" s="1"/>
  <c r="A902" i="30"/>
  <c r="B901" i="30"/>
  <c r="N901" i="30" s="1"/>
  <c r="A901" i="30"/>
  <c r="B900" i="30"/>
  <c r="N900" i="30" s="1"/>
  <c r="A900" i="30"/>
  <c r="B899" i="30"/>
  <c r="N899" i="30" s="1"/>
  <c r="A899" i="30"/>
  <c r="B898" i="30"/>
  <c r="N898" i="30" s="1"/>
  <c r="A898" i="30"/>
  <c r="B897" i="30"/>
  <c r="N897" i="30" s="1"/>
  <c r="A897" i="30"/>
  <c r="B896" i="30"/>
  <c r="N896" i="30" s="1"/>
  <c r="A896" i="30"/>
  <c r="B895" i="30"/>
  <c r="N895" i="30" s="1"/>
  <c r="A895" i="30"/>
  <c r="B894" i="30"/>
  <c r="N894" i="30" s="1"/>
  <c r="A894" i="30"/>
  <c r="B893" i="30"/>
  <c r="N893" i="30" s="1"/>
  <c r="A893" i="30"/>
  <c r="B892" i="30"/>
  <c r="N892" i="30" s="1"/>
  <c r="A892" i="30"/>
  <c r="B891" i="30"/>
  <c r="N891" i="30" s="1"/>
  <c r="A891" i="30"/>
  <c r="B890" i="30"/>
  <c r="N890" i="30" s="1"/>
  <c r="A890" i="30"/>
  <c r="B889" i="30"/>
  <c r="N889" i="30" s="1"/>
  <c r="A889" i="30"/>
  <c r="B888" i="30"/>
  <c r="N888" i="30" s="1"/>
  <c r="A888" i="30"/>
  <c r="B887" i="30"/>
  <c r="N887" i="30" s="1"/>
  <c r="A887" i="30"/>
  <c r="B886" i="30"/>
  <c r="N886" i="30" s="1"/>
  <c r="A886" i="30"/>
  <c r="B885" i="30"/>
  <c r="N885" i="30" s="1"/>
  <c r="A885" i="30"/>
  <c r="B884" i="30"/>
  <c r="N884" i="30" s="1"/>
  <c r="A884" i="30"/>
  <c r="B883" i="30"/>
  <c r="N883" i="30" s="1"/>
  <c r="A883" i="30"/>
  <c r="B882" i="30"/>
  <c r="N882" i="30" s="1"/>
  <c r="A882" i="30"/>
  <c r="B881" i="30"/>
  <c r="N881" i="30" s="1"/>
  <c r="A881" i="30"/>
  <c r="B880" i="30"/>
  <c r="N880" i="30" s="1"/>
  <c r="A880" i="30"/>
  <c r="B879" i="30"/>
  <c r="N879" i="30" s="1"/>
  <c r="A879" i="30"/>
  <c r="B878" i="30"/>
  <c r="N878" i="30" s="1"/>
  <c r="A878" i="30"/>
  <c r="B877" i="30"/>
  <c r="N877" i="30" s="1"/>
  <c r="A877" i="30"/>
  <c r="B876" i="30"/>
  <c r="N876" i="30" s="1"/>
  <c r="A876" i="30"/>
  <c r="B875" i="30"/>
  <c r="N875" i="30" s="1"/>
  <c r="A875" i="30"/>
  <c r="B874" i="30"/>
  <c r="N874" i="30" s="1"/>
  <c r="A874" i="30"/>
  <c r="B873" i="30"/>
  <c r="N873" i="30" s="1"/>
  <c r="A873" i="30"/>
  <c r="B872" i="30"/>
  <c r="N872" i="30" s="1"/>
  <c r="A872" i="30"/>
  <c r="B871" i="30"/>
  <c r="N871" i="30" s="1"/>
  <c r="A871" i="30"/>
  <c r="B870" i="30"/>
  <c r="N870" i="30" s="1"/>
  <c r="A870" i="30"/>
  <c r="B869" i="30"/>
  <c r="N869" i="30" s="1"/>
  <c r="A869" i="30"/>
  <c r="B868" i="30"/>
  <c r="N868" i="30" s="1"/>
  <c r="A868" i="30"/>
  <c r="B867" i="30"/>
  <c r="N867" i="30" s="1"/>
  <c r="A867" i="30"/>
  <c r="B866" i="30"/>
  <c r="N866" i="30" s="1"/>
  <c r="A866" i="30"/>
  <c r="B865" i="30"/>
  <c r="N865" i="30" s="1"/>
  <c r="A865" i="30"/>
  <c r="B864" i="30"/>
  <c r="N864" i="30" s="1"/>
  <c r="A864" i="30"/>
  <c r="B863" i="30"/>
  <c r="N863" i="30" s="1"/>
  <c r="A863" i="30"/>
  <c r="B862" i="30"/>
  <c r="N862" i="30" s="1"/>
  <c r="A862" i="30"/>
  <c r="B861" i="30"/>
  <c r="N861" i="30" s="1"/>
  <c r="A861" i="30"/>
  <c r="B860" i="30"/>
  <c r="N860" i="30" s="1"/>
  <c r="A860" i="30"/>
  <c r="B859" i="30"/>
  <c r="N859" i="30" s="1"/>
  <c r="A859" i="30"/>
  <c r="B858" i="30"/>
  <c r="N858" i="30" s="1"/>
  <c r="A858" i="30"/>
  <c r="B857" i="30"/>
  <c r="N857" i="30" s="1"/>
  <c r="A857" i="30"/>
  <c r="B856" i="30"/>
  <c r="N856" i="30" s="1"/>
  <c r="A856" i="30"/>
  <c r="B855" i="30"/>
  <c r="N855" i="30" s="1"/>
  <c r="A855" i="30"/>
  <c r="B854" i="30"/>
  <c r="N854" i="30" s="1"/>
  <c r="A854" i="30"/>
  <c r="B853" i="30"/>
  <c r="N853" i="30" s="1"/>
  <c r="A853" i="30"/>
  <c r="B852" i="30"/>
  <c r="N852" i="30" s="1"/>
  <c r="A852" i="30"/>
  <c r="B851" i="30"/>
  <c r="N851" i="30" s="1"/>
  <c r="A851" i="30"/>
  <c r="B850" i="30"/>
  <c r="N850" i="30" s="1"/>
  <c r="A850" i="30"/>
  <c r="B849" i="30"/>
  <c r="N849" i="30" s="1"/>
  <c r="A849" i="30"/>
  <c r="B848" i="30"/>
  <c r="N848" i="30" s="1"/>
  <c r="A848" i="30"/>
  <c r="B847" i="30"/>
  <c r="N847" i="30" s="1"/>
  <c r="A847" i="30"/>
  <c r="B846" i="30"/>
  <c r="N846" i="30" s="1"/>
  <c r="A846" i="30"/>
  <c r="B845" i="30"/>
  <c r="N845" i="30" s="1"/>
  <c r="A845" i="30"/>
  <c r="B844" i="30"/>
  <c r="N844" i="30" s="1"/>
  <c r="A844" i="30"/>
  <c r="B843" i="30"/>
  <c r="N843" i="30" s="1"/>
  <c r="A843" i="30"/>
  <c r="B842" i="30"/>
  <c r="N842" i="30" s="1"/>
  <c r="A842" i="30"/>
  <c r="B841" i="30"/>
  <c r="N841" i="30" s="1"/>
  <c r="A841" i="30"/>
  <c r="B840" i="30"/>
  <c r="N840" i="30" s="1"/>
  <c r="A840" i="30"/>
  <c r="B839" i="30"/>
  <c r="N839" i="30" s="1"/>
  <c r="A839" i="30"/>
  <c r="B838" i="30"/>
  <c r="N838" i="30" s="1"/>
  <c r="A838" i="30"/>
  <c r="B837" i="30"/>
  <c r="N837" i="30" s="1"/>
  <c r="A837" i="30"/>
  <c r="B836" i="30"/>
  <c r="N836" i="30" s="1"/>
  <c r="A836" i="30"/>
  <c r="B835" i="30"/>
  <c r="N835" i="30" s="1"/>
  <c r="A835" i="30"/>
  <c r="B834" i="30"/>
  <c r="N834" i="30" s="1"/>
  <c r="A834" i="30"/>
  <c r="B833" i="30"/>
  <c r="N833" i="30" s="1"/>
  <c r="A833" i="30"/>
  <c r="B832" i="30"/>
  <c r="N832" i="30" s="1"/>
  <c r="A832" i="30"/>
  <c r="B831" i="30"/>
  <c r="N831" i="30" s="1"/>
  <c r="A831" i="30"/>
  <c r="B830" i="30"/>
  <c r="N830" i="30" s="1"/>
  <c r="A830" i="30"/>
  <c r="B829" i="30"/>
  <c r="N829" i="30" s="1"/>
  <c r="A829" i="30"/>
  <c r="B828" i="30"/>
  <c r="A828" i="30"/>
  <c r="B827" i="30"/>
  <c r="A827" i="30"/>
  <c r="B826" i="30"/>
  <c r="A826" i="30"/>
  <c r="B823" i="30"/>
  <c r="A823" i="30"/>
  <c r="B821" i="30"/>
  <c r="A821" i="30"/>
  <c r="B820" i="30"/>
  <c r="A820" i="30"/>
  <c r="B819" i="30"/>
  <c r="A819" i="30"/>
  <c r="B818" i="30"/>
  <c r="A818" i="30"/>
  <c r="B817" i="30"/>
  <c r="A817" i="30"/>
  <c r="B816" i="30"/>
  <c r="A816" i="30"/>
  <c r="B815" i="30"/>
  <c r="A815" i="30"/>
  <c r="B814" i="30"/>
  <c r="N814" i="30" s="1"/>
  <c r="A814" i="30"/>
  <c r="B813" i="30"/>
  <c r="N813" i="30" s="1"/>
  <c r="A813" i="30"/>
  <c r="B812" i="30"/>
  <c r="N812" i="30" s="1"/>
  <c r="A812" i="30"/>
  <c r="B811" i="30"/>
  <c r="N811" i="30" s="1"/>
  <c r="A811" i="30"/>
  <c r="B810" i="30"/>
  <c r="N810" i="30" s="1"/>
  <c r="A810" i="30"/>
  <c r="B809" i="30"/>
  <c r="N809" i="30" s="1"/>
  <c r="A809" i="30"/>
  <c r="B808" i="30"/>
  <c r="N808" i="30" s="1"/>
  <c r="A808" i="30"/>
  <c r="B807" i="30"/>
  <c r="N807" i="30" s="1"/>
  <c r="A807" i="30"/>
  <c r="B806" i="30"/>
  <c r="N806" i="30" s="1"/>
  <c r="A806" i="30"/>
  <c r="B805" i="30"/>
  <c r="N805" i="30" s="1"/>
  <c r="A805" i="30"/>
  <c r="B804" i="30"/>
  <c r="N804" i="30" s="1"/>
  <c r="A804" i="30"/>
  <c r="B803" i="30"/>
  <c r="N803" i="30" s="1"/>
  <c r="A803" i="30"/>
  <c r="B802" i="30"/>
  <c r="N802" i="30" s="1"/>
  <c r="A802" i="30"/>
  <c r="B801" i="30"/>
  <c r="N801" i="30" s="1"/>
  <c r="A801" i="30"/>
  <c r="B800" i="30"/>
  <c r="N800" i="30" s="1"/>
  <c r="A800" i="30"/>
  <c r="B799" i="30"/>
  <c r="N799" i="30" s="1"/>
  <c r="A799" i="30"/>
  <c r="B798" i="30"/>
  <c r="N798" i="30" s="1"/>
  <c r="A798" i="30"/>
  <c r="B797" i="30"/>
  <c r="N797" i="30" s="1"/>
  <c r="A797" i="30"/>
  <c r="B796" i="30"/>
  <c r="N796" i="30" s="1"/>
  <c r="A796" i="30"/>
  <c r="B795" i="30"/>
  <c r="N795" i="30" s="1"/>
  <c r="A795" i="30"/>
  <c r="B794" i="30"/>
  <c r="N794" i="30" s="1"/>
  <c r="A794" i="30"/>
  <c r="B793" i="30"/>
  <c r="N793" i="30" s="1"/>
  <c r="A793" i="30"/>
  <c r="B792" i="30"/>
  <c r="N792" i="30" s="1"/>
  <c r="A792" i="30"/>
  <c r="B791" i="30"/>
  <c r="N791" i="30" s="1"/>
  <c r="A791" i="30"/>
  <c r="B790" i="30"/>
  <c r="N790" i="30" s="1"/>
  <c r="A790" i="30"/>
  <c r="B789" i="30"/>
  <c r="N789" i="30" s="1"/>
  <c r="A789" i="30"/>
  <c r="B788" i="30"/>
  <c r="N788" i="30" s="1"/>
  <c r="A788" i="30"/>
  <c r="B787" i="30"/>
  <c r="N787" i="30" s="1"/>
  <c r="A787" i="30"/>
  <c r="B786" i="30"/>
  <c r="N786" i="30" s="1"/>
  <c r="A786" i="30"/>
  <c r="B785" i="30"/>
  <c r="N785" i="30" s="1"/>
  <c r="A785" i="30"/>
  <c r="B784" i="30"/>
  <c r="N784" i="30" s="1"/>
  <c r="A784" i="30"/>
  <c r="B783" i="30"/>
  <c r="N783" i="30" s="1"/>
  <c r="A783" i="30"/>
  <c r="B782" i="30"/>
  <c r="N782" i="30" s="1"/>
  <c r="A782" i="30"/>
  <c r="B781" i="30"/>
  <c r="A781" i="30"/>
  <c r="B780" i="30"/>
  <c r="A780" i="30"/>
  <c r="B779" i="30"/>
  <c r="A779" i="30"/>
  <c r="B778" i="30"/>
  <c r="A778" i="30"/>
  <c r="B777" i="30"/>
  <c r="A777" i="30"/>
  <c r="B776" i="30"/>
  <c r="A776" i="30"/>
  <c r="B775" i="30"/>
  <c r="A775" i="30"/>
  <c r="B774" i="30"/>
  <c r="A774" i="30"/>
  <c r="B773" i="30"/>
  <c r="A773" i="30"/>
  <c r="B772" i="30"/>
  <c r="A772" i="30"/>
  <c r="B771" i="30"/>
  <c r="A771" i="30"/>
  <c r="B770" i="30"/>
  <c r="A770" i="30"/>
  <c r="B769" i="30"/>
  <c r="A769" i="30"/>
  <c r="B768" i="30"/>
  <c r="A768" i="30"/>
  <c r="B767" i="30"/>
  <c r="A767" i="30"/>
  <c r="B766" i="30"/>
  <c r="A766" i="30"/>
  <c r="B765" i="30"/>
  <c r="A765" i="30"/>
  <c r="B764" i="30"/>
  <c r="A764" i="30"/>
  <c r="B763" i="30"/>
  <c r="A763" i="30"/>
  <c r="B762" i="30"/>
  <c r="A762" i="30"/>
  <c r="B761" i="30"/>
  <c r="A761" i="30"/>
  <c r="B760" i="30"/>
  <c r="A760" i="30"/>
  <c r="B759" i="30"/>
  <c r="A759" i="30"/>
  <c r="B758" i="30"/>
  <c r="A758" i="30"/>
  <c r="B757" i="30"/>
  <c r="A757" i="30"/>
  <c r="B756" i="30"/>
  <c r="A756" i="30"/>
  <c r="B755" i="30"/>
  <c r="A755" i="30"/>
  <c r="B754" i="30"/>
  <c r="A754" i="30"/>
  <c r="B753" i="30"/>
  <c r="A753" i="30"/>
  <c r="B752" i="30"/>
  <c r="N752" i="30" s="1"/>
  <c r="A752" i="30"/>
  <c r="B751" i="30"/>
  <c r="N751" i="30" s="1"/>
  <c r="A751" i="30"/>
  <c r="B750" i="30"/>
  <c r="N750" i="30" s="1"/>
  <c r="A750" i="30"/>
  <c r="B749" i="30"/>
  <c r="N749" i="30" s="1"/>
  <c r="A749" i="30"/>
  <c r="B748" i="30"/>
  <c r="N748" i="30" s="1"/>
  <c r="A748" i="30"/>
  <c r="B747" i="30"/>
  <c r="N747" i="30" s="1"/>
  <c r="A747" i="30"/>
  <c r="B746" i="30"/>
  <c r="N746" i="30" s="1"/>
  <c r="A746" i="30"/>
  <c r="B745" i="30"/>
  <c r="N745" i="30" s="1"/>
  <c r="A745" i="30"/>
  <c r="B744" i="30"/>
  <c r="N744" i="30" s="1"/>
  <c r="A744" i="30"/>
  <c r="B743" i="30"/>
  <c r="N743" i="30" s="1"/>
  <c r="A743" i="30"/>
  <c r="B742" i="30"/>
  <c r="N742" i="30" s="1"/>
  <c r="A742" i="30"/>
  <c r="B741" i="30"/>
  <c r="N741" i="30" s="1"/>
  <c r="A741" i="30"/>
  <c r="B740" i="30"/>
  <c r="N740" i="30" s="1"/>
  <c r="A740" i="30"/>
  <c r="B739" i="30"/>
  <c r="N739" i="30" s="1"/>
  <c r="A739" i="30"/>
  <c r="B738" i="30"/>
  <c r="N738" i="30" s="1"/>
  <c r="A738" i="30"/>
  <c r="B737" i="30"/>
  <c r="N737" i="30" s="1"/>
  <c r="A737" i="30"/>
  <c r="B736" i="30"/>
  <c r="N736" i="30" s="1"/>
  <c r="A736" i="30"/>
  <c r="B735" i="30"/>
  <c r="N735" i="30" s="1"/>
  <c r="A735" i="30"/>
  <c r="B734" i="30"/>
  <c r="N734" i="30" s="1"/>
  <c r="A734" i="30"/>
  <c r="B733" i="30"/>
  <c r="N733" i="30" s="1"/>
  <c r="A733" i="30"/>
  <c r="B732" i="30"/>
  <c r="N732" i="30" s="1"/>
  <c r="A732" i="30"/>
  <c r="B731" i="30"/>
  <c r="N731" i="30" s="1"/>
  <c r="A731" i="30"/>
  <c r="B730" i="30"/>
  <c r="N730" i="30" s="1"/>
  <c r="A730" i="30"/>
  <c r="B729" i="30"/>
  <c r="N729" i="30" s="1"/>
  <c r="A729" i="30"/>
  <c r="B728" i="30"/>
  <c r="A728" i="30"/>
  <c r="B727" i="30"/>
  <c r="A727" i="30"/>
  <c r="B726" i="30"/>
  <c r="A726" i="30"/>
  <c r="B725" i="30"/>
  <c r="A725" i="30"/>
  <c r="B724" i="30"/>
  <c r="A724" i="30"/>
  <c r="B723" i="30"/>
  <c r="A723" i="30"/>
  <c r="B722" i="30"/>
  <c r="A722" i="30"/>
  <c r="B721" i="30"/>
  <c r="A721" i="30"/>
  <c r="B720" i="30"/>
  <c r="A720" i="30"/>
  <c r="B719" i="30"/>
  <c r="A719" i="30"/>
  <c r="B718" i="30"/>
  <c r="A718" i="30"/>
  <c r="B717" i="30"/>
  <c r="A717" i="30"/>
  <c r="B716" i="30"/>
  <c r="A716" i="30"/>
  <c r="B715" i="30"/>
  <c r="A715" i="30"/>
  <c r="B714" i="30"/>
  <c r="N714" i="30" s="1"/>
  <c r="A714" i="30"/>
  <c r="B713" i="30"/>
  <c r="N713" i="30" s="1"/>
  <c r="A713" i="30"/>
  <c r="B712" i="30"/>
  <c r="A712" i="30"/>
  <c r="B711" i="30"/>
  <c r="A711" i="30"/>
  <c r="B710" i="30"/>
  <c r="A710" i="30"/>
  <c r="B709" i="30"/>
  <c r="N709" i="30" s="1"/>
  <c r="A709" i="30"/>
  <c r="B708" i="30"/>
  <c r="A708" i="30"/>
  <c r="B707" i="30"/>
  <c r="A707" i="30"/>
  <c r="B706" i="30"/>
  <c r="A706" i="30"/>
  <c r="B705" i="30"/>
  <c r="A705" i="30"/>
  <c r="B704" i="30"/>
  <c r="N704" i="30" s="1"/>
  <c r="A704" i="30"/>
  <c r="B703" i="30"/>
  <c r="N703" i="30" s="1"/>
  <c r="A703" i="30"/>
  <c r="B702" i="30"/>
  <c r="A702" i="30"/>
  <c r="B701" i="30"/>
  <c r="A701" i="30"/>
  <c r="B700" i="30"/>
  <c r="N700" i="30" s="1"/>
  <c r="A700" i="30"/>
  <c r="B699" i="30"/>
  <c r="N699" i="30" s="1"/>
  <c r="A699" i="30"/>
  <c r="B698" i="30"/>
  <c r="N698" i="30" s="1"/>
  <c r="A698" i="30"/>
  <c r="B697" i="30"/>
  <c r="A697" i="30"/>
  <c r="B696" i="30"/>
  <c r="A696" i="30"/>
  <c r="B695" i="30"/>
  <c r="A695" i="30"/>
  <c r="B694" i="30"/>
  <c r="A694" i="30"/>
  <c r="B693" i="30"/>
  <c r="A693" i="30"/>
  <c r="B692" i="30"/>
  <c r="A692" i="30"/>
  <c r="B691" i="30"/>
  <c r="A691" i="30"/>
  <c r="B690" i="30"/>
  <c r="A690" i="30"/>
  <c r="B689" i="30"/>
  <c r="A689" i="30"/>
  <c r="B688" i="30"/>
  <c r="A688" i="30"/>
  <c r="B687" i="30"/>
  <c r="A687" i="30"/>
  <c r="B686" i="30"/>
  <c r="A686" i="30"/>
  <c r="B685" i="30"/>
  <c r="A685" i="30"/>
  <c r="B684" i="30"/>
  <c r="A684" i="30"/>
  <c r="B683" i="30"/>
  <c r="A683" i="30"/>
  <c r="B682" i="30"/>
  <c r="A682" i="30"/>
  <c r="B681" i="30"/>
  <c r="A681" i="30"/>
  <c r="B680" i="30"/>
  <c r="A680" i="30"/>
  <c r="B679" i="30"/>
  <c r="A679" i="30"/>
  <c r="B678" i="30"/>
  <c r="A678" i="30"/>
  <c r="B677" i="30"/>
  <c r="A677" i="30"/>
  <c r="B676" i="30"/>
  <c r="A676" i="30"/>
  <c r="B675" i="30"/>
  <c r="A675" i="30"/>
  <c r="B674" i="30"/>
  <c r="A674" i="30"/>
  <c r="B673" i="30"/>
  <c r="A673" i="30"/>
  <c r="B672" i="30"/>
  <c r="A672" i="30"/>
  <c r="B671" i="30"/>
  <c r="A671" i="30"/>
  <c r="B670" i="30"/>
  <c r="A670" i="30"/>
  <c r="B669" i="30"/>
  <c r="N669" i="30" s="1"/>
  <c r="A669" i="30"/>
  <c r="B668" i="30"/>
  <c r="N668" i="30" s="1"/>
  <c r="A668" i="30"/>
  <c r="B667" i="30"/>
  <c r="N667" i="30" s="1"/>
  <c r="A667" i="30"/>
  <c r="B666" i="30"/>
  <c r="N666" i="30" s="1"/>
  <c r="A666" i="30"/>
  <c r="B665" i="30"/>
  <c r="N665" i="30" s="1"/>
  <c r="A665" i="30"/>
  <c r="B664" i="30"/>
  <c r="N664" i="30" s="1"/>
  <c r="A664" i="30"/>
  <c r="B663" i="30"/>
  <c r="N663" i="30" s="1"/>
  <c r="A663" i="30"/>
  <c r="B662" i="30"/>
  <c r="N662" i="30" s="1"/>
  <c r="A662" i="30"/>
  <c r="B661" i="30"/>
  <c r="N661" i="30" s="1"/>
  <c r="A661" i="30"/>
  <c r="B660" i="30"/>
  <c r="N660" i="30" s="1"/>
  <c r="A660" i="30"/>
  <c r="B659" i="30"/>
  <c r="N659" i="30" s="1"/>
  <c r="A659" i="30"/>
  <c r="B658" i="30"/>
  <c r="N658" i="30" s="1"/>
  <c r="A658" i="30"/>
  <c r="B657" i="30"/>
  <c r="N657" i="30" s="1"/>
  <c r="A657" i="30"/>
  <c r="B656" i="30"/>
  <c r="N656" i="30" s="1"/>
  <c r="A656" i="30"/>
  <c r="B655" i="30"/>
  <c r="N655" i="30" s="1"/>
  <c r="A655" i="30"/>
  <c r="B654" i="30"/>
  <c r="N654" i="30" s="1"/>
  <c r="A654" i="30"/>
  <c r="B653" i="30"/>
  <c r="N653" i="30" s="1"/>
  <c r="A653" i="30"/>
  <c r="B652" i="30"/>
  <c r="N652" i="30" s="1"/>
  <c r="A652" i="30"/>
  <c r="B651" i="30"/>
  <c r="N651" i="30" s="1"/>
  <c r="A651" i="30"/>
  <c r="B650" i="30"/>
  <c r="N650" i="30" s="1"/>
  <c r="A650" i="30"/>
  <c r="B649" i="30"/>
  <c r="N649" i="30" s="1"/>
  <c r="A649" i="30"/>
  <c r="B648" i="30"/>
  <c r="A648" i="30"/>
  <c r="B647" i="30"/>
  <c r="A647" i="30"/>
  <c r="B646" i="30"/>
  <c r="A646" i="30"/>
  <c r="B645" i="30"/>
  <c r="A645" i="30"/>
  <c r="B644" i="30"/>
  <c r="A644" i="30"/>
  <c r="B643" i="30"/>
  <c r="A643" i="30"/>
  <c r="B642" i="30"/>
  <c r="A642" i="30"/>
  <c r="B641" i="30"/>
  <c r="N641" i="30" s="1"/>
  <c r="A641" i="30"/>
  <c r="B640" i="30"/>
  <c r="N640" i="30" s="1"/>
  <c r="A640" i="30"/>
  <c r="B639" i="30"/>
  <c r="N639" i="30" s="1"/>
  <c r="A639" i="30"/>
  <c r="B638" i="30"/>
  <c r="N638" i="30" s="1"/>
  <c r="A638" i="30"/>
  <c r="B637" i="30"/>
  <c r="N637" i="30" s="1"/>
  <c r="A637" i="30"/>
  <c r="B636" i="30"/>
  <c r="N636" i="30" s="1"/>
  <c r="A636" i="30"/>
  <c r="B635" i="30"/>
  <c r="N635" i="30" s="1"/>
  <c r="A635" i="30"/>
  <c r="B634" i="30"/>
  <c r="N634" i="30" s="1"/>
  <c r="A634" i="30"/>
  <c r="B633" i="30"/>
  <c r="N633" i="30" s="1"/>
  <c r="A633" i="30"/>
  <c r="B632" i="30"/>
  <c r="N632" i="30" s="1"/>
  <c r="A632" i="30"/>
  <c r="B631" i="30"/>
  <c r="N631" i="30" s="1"/>
  <c r="A631" i="30"/>
  <c r="B630" i="30"/>
  <c r="N630" i="30" s="1"/>
  <c r="A630" i="30"/>
  <c r="B629" i="30"/>
  <c r="N629" i="30" s="1"/>
  <c r="A629" i="30"/>
  <c r="B628" i="30"/>
  <c r="N628" i="30" s="1"/>
  <c r="A628" i="30"/>
  <c r="B627" i="30"/>
  <c r="N627" i="30" s="1"/>
  <c r="A627" i="30"/>
  <c r="B626" i="30"/>
  <c r="N626" i="30" s="1"/>
  <c r="A626" i="30"/>
  <c r="B625" i="30"/>
  <c r="N625" i="30" s="1"/>
  <c r="A625" i="30"/>
  <c r="B624" i="30"/>
  <c r="N624" i="30" s="1"/>
  <c r="A624" i="30"/>
  <c r="B623" i="30"/>
  <c r="N623" i="30" s="1"/>
  <c r="A623" i="30"/>
  <c r="B622" i="30"/>
  <c r="N622" i="30" s="1"/>
  <c r="A622" i="30"/>
  <c r="B621" i="30"/>
  <c r="N621" i="30" s="1"/>
  <c r="A621" i="30"/>
  <c r="B620" i="30"/>
  <c r="N620" i="30" s="1"/>
  <c r="A620" i="30"/>
  <c r="B619" i="30"/>
  <c r="N619" i="30" s="1"/>
  <c r="A619" i="30"/>
  <c r="B618" i="30"/>
  <c r="N618" i="30" s="1"/>
  <c r="A618" i="30"/>
  <c r="B617" i="30"/>
  <c r="N617" i="30" s="1"/>
  <c r="A617" i="30"/>
  <c r="B616" i="30"/>
  <c r="N616" i="30" s="1"/>
  <c r="A616" i="30"/>
  <c r="B615" i="30"/>
  <c r="N615" i="30" s="1"/>
  <c r="A615" i="30"/>
  <c r="B614" i="30"/>
  <c r="N614" i="30" s="1"/>
  <c r="A614" i="30"/>
  <c r="B613" i="30"/>
  <c r="N613" i="30" s="1"/>
  <c r="A613" i="30"/>
  <c r="B612" i="30"/>
  <c r="N612" i="30" s="1"/>
  <c r="A612" i="30"/>
  <c r="B611" i="30"/>
  <c r="N611" i="30" s="1"/>
  <c r="A611" i="30"/>
  <c r="B610" i="30"/>
  <c r="N610" i="30" s="1"/>
  <c r="A610" i="30"/>
  <c r="B609" i="30"/>
  <c r="N609" i="30" s="1"/>
  <c r="A609" i="30"/>
  <c r="B608" i="30"/>
  <c r="N608" i="30" s="1"/>
  <c r="A608" i="30"/>
  <c r="B607" i="30"/>
  <c r="N607" i="30" s="1"/>
  <c r="A607" i="30"/>
  <c r="B606" i="30"/>
  <c r="N606" i="30" s="1"/>
  <c r="A606" i="30"/>
  <c r="B605" i="30"/>
  <c r="N605" i="30" s="1"/>
  <c r="A605" i="30"/>
  <c r="B604" i="30"/>
  <c r="N604" i="30" s="1"/>
  <c r="A604" i="30"/>
  <c r="B603" i="30"/>
  <c r="N603" i="30" s="1"/>
  <c r="A603" i="30"/>
  <c r="B602" i="30"/>
  <c r="N602" i="30" s="1"/>
  <c r="A602" i="30"/>
  <c r="B601" i="30"/>
  <c r="N601" i="30" s="1"/>
  <c r="A601" i="30"/>
  <c r="B600" i="30"/>
  <c r="N600" i="30" s="1"/>
  <c r="A600" i="30"/>
  <c r="B599" i="30"/>
  <c r="N599" i="30" s="1"/>
  <c r="A599" i="30"/>
  <c r="B598" i="30"/>
  <c r="N598" i="30" s="1"/>
  <c r="A598" i="30"/>
  <c r="B597" i="30"/>
  <c r="N597" i="30" s="1"/>
  <c r="A597" i="30"/>
  <c r="B596" i="30"/>
  <c r="N596" i="30" s="1"/>
  <c r="A596" i="30"/>
  <c r="B595" i="30"/>
  <c r="N595" i="30" s="1"/>
  <c r="A595" i="30"/>
  <c r="B594" i="30"/>
  <c r="N594" i="30" s="1"/>
  <c r="A594" i="30"/>
  <c r="B593" i="30"/>
  <c r="N593" i="30" s="1"/>
  <c r="A593" i="30"/>
  <c r="B592" i="30"/>
  <c r="A592" i="30"/>
  <c r="B591" i="30"/>
  <c r="A591" i="30"/>
  <c r="B590" i="30"/>
  <c r="A590" i="30"/>
  <c r="B589" i="30"/>
  <c r="A589" i="30"/>
  <c r="B588" i="30"/>
  <c r="N588" i="30" s="1"/>
  <c r="A588" i="30"/>
  <c r="B587" i="30"/>
  <c r="N587" i="30" s="1"/>
  <c r="A587" i="30"/>
  <c r="B586" i="30"/>
  <c r="N586" i="30" s="1"/>
  <c r="A586" i="30"/>
  <c r="B585" i="30"/>
  <c r="N585" i="30" s="1"/>
  <c r="A585" i="30"/>
  <c r="B584" i="30"/>
  <c r="N584" i="30" s="1"/>
  <c r="A584" i="30"/>
  <c r="B583" i="30"/>
  <c r="N583" i="30" s="1"/>
  <c r="A583" i="30"/>
  <c r="B582" i="30"/>
  <c r="N582" i="30" s="1"/>
  <c r="A582" i="30"/>
  <c r="B581" i="30"/>
  <c r="N581" i="30" s="1"/>
  <c r="A581" i="30"/>
  <c r="B580" i="30"/>
  <c r="N580" i="30" s="1"/>
  <c r="A580" i="30"/>
  <c r="B579" i="30"/>
  <c r="N579" i="30" s="1"/>
  <c r="A579" i="30"/>
  <c r="B578" i="30"/>
  <c r="N578" i="30" s="1"/>
  <c r="A578" i="30"/>
  <c r="B577" i="30"/>
  <c r="N577" i="30" s="1"/>
  <c r="A577" i="30"/>
  <c r="B576" i="30"/>
  <c r="N576" i="30" s="1"/>
  <c r="A576" i="30"/>
  <c r="B575" i="30"/>
  <c r="N575" i="30" s="1"/>
  <c r="A575" i="30"/>
  <c r="B574" i="30"/>
  <c r="N574" i="30" s="1"/>
  <c r="A574" i="30"/>
  <c r="B573" i="30"/>
  <c r="N573" i="30" s="1"/>
  <c r="A573" i="30"/>
  <c r="B572" i="30"/>
  <c r="N572" i="30" s="1"/>
  <c r="A572" i="30"/>
  <c r="B571" i="30"/>
  <c r="N571" i="30" s="1"/>
  <c r="A571" i="30"/>
  <c r="B570" i="30"/>
  <c r="N570" i="30" s="1"/>
  <c r="A570" i="30"/>
  <c r="B569" i="30"/>
  <c r="N569" i="30" s="1"/>
  <c r="A569" i="30"/>
  <c r="B568" i="30"/>
  <c r="N568" i="30" s="1"/>
  <c r="A568" i="30"/>
  <c r="B567" i="30"/>
  <c r="N567" i="30" s="1"/>
  <c r="A567" i="30"/>
  <c r="B566" i="30"/>
  <c r="N566" i="30" s="1"/>
  <c r="A566" i="30"/>
  <c r="B565" i="30"/>
  <c r="N565" i="30" s="1"/>
  <c r="A565" i="30"/>
  <c r="B564" i="30"/>
  <c r="N564" i="30" s="1"/>
  <c r="A564" i="30"/>
  <c r="B563" i="30"/>
  <c r="N563" i="30" s="1"/>
  <c r="A563" i="30"/>
  <c r="B562" i="30"/>
  <c r="N562" i="30" s="1"/>
  <c r="A562" i="30"/>
  <c r="B561" i="30"/>
  <c r="N561" i="30" s="1"/>
  <c r="A561" i="30"/>
  <c r="B560" i="30"/>
  <c r="N560" i="30" s="1"/>
  <c r="A560" i="30"/>
  <c r="B559" i="30"/>
  <c r="N559" i="30" s="1"/>
  <c r="A559" i="30"/>
  <c r="B558" i="30"/>
  <c r="N558" i="30" s="1"/>
  <c r="A558" i="30"/>
  <c r="B557" i="30"/>
  <c r="N557" i="30" s="1"/>
  <c r="A557" i="30"/>
  <c r="B556" i="30"/>
  <c r="N556" i="30" s="1"/>
  <c r="A556" i="30"/>
  <c r="B555" i="30"/>
  <c r="N555" i="30" s="1"/>
  <c r="A555" i="30"/>
  <c r="B554" i="30"/>
  <c r="N554" i="30" s="1"/>
  <c r="A554" i="30"/>
  <c r="B553" i="30"/>
  <c r="N553" i="30" s="1"/>
  <c r="A553" i="30"/>
  <c r="B552" i="30"/>
  <c r="N552" i="30" s="1"/>
  <c r="A552" i="30"/>
  <c r="B551" i="30"/>
  <c r="N551" i="30" s="1"/>
  <c r="A551" i="30"/>
  <c r="B550" i="30"/>
  <c r="N550" i="30" s="1"/>
  <c r="A550" i="30"/>
  <c r="B549" i="30"/>
  <c r="N549" i="30" s="1"/>
  <c r="A549" i="30"/>
  <c r="B548" i="30"/>
  <c r="N548" i="30" s="1"/>
  <c r="A548" i="30"/>
  <c r="B547" i="30"/>
  <c r="N547" i="30" s="1"/>
  <c r="A547" i="30"/>
  <c r="B546" i="30"/>
  <c r="N546" i="30" s="1"/>
  <c r="A546" i="30"/>
  <c r="B545" i="30"/>
  <c r="N545" i="30" s="1"/>
  <c r="A545" i="30"/>
  <c r="B544" i="30"/>
  <c r="N544" i="30" s="1"/>
  <c r="A544" i="30"/>
  <c r="B543" i="30"/>
  <c r="N543" i="30" s="1"/>
  <c r="A543" i="30"/>
  <c r="B542" i="30"/>
  <c r="N542" i="30" s="1"/>
  <c r="A542" i="30"/>
  <c r="B541" i="30"/>
  <c r="N541" i="30" s="1"/>
  <c r="A541" i="30"/>
  <c r="B540" i="30"/>
  <c r="N540" i="30" s="1"/>
  <c r="A540" i="30"/>
  <c r="B539" i="30"/>
  <c r="A539" i="30"/>
  <c r="B538" i="30"/>
  <c r="A538" i="30"/>
  <c r="B537" i="30"/>
  <c r="A537" i="30"/>
  <c r="B536" i="30"/>
  <c r="A536" i="30"/>
  <c r="B535" i="30"/>
  <c r="A535" i="30"/>
  <c r="B534" i="30"/>
  <c r="A534" i="30"/>
  <c r="B533" i="30"/>
  <c r="A533" i="30"/>
  <c r="B532" i="30"/>
  <c r="A532" i="30"/>
  <c r="B531" i="30"/>
  <c r="A531" i="30"/>
  <c r="B530" i="30"/>
  <c r="A530" i="30"/>
  <c r="B529" i="30"/>
  <c r="A529" i="30"/>
  <c r="B528" i="30"/>
  <c r="A528" i="30"/>
  <c r="B527" i="30"/>
  <c r="A527" i="30"/>
  <c r="B526" i="30"/>
  <c r="A526" i="30"/>
  <c r="B525" i="30"/>
  <c r="A525" i="30"/>
  <c r="B524" i="30"/>
  <c r="A524" i="30"/>
  <c r="B523" i="30"/>
  <c r="A523" i="30"/>
  <c r="B522" i="30"/>
  <c r="A522" i="30"/>
  <c r="B521" i="30"/>
  <c r="A521" i="30"/>
  <c r="B520" i="30"/>
  <c r="A520" i="30"/>
  <c r="B519" i="30"/>
  <c r="A519" i="30"/>
  <c r="B518" i="30"/>
  <c r="A518" i="30"/>
  <c r="B517" i="30"/>
  <c r="A517" i="30"/>
  <c r="B516" i="30"/>
  <c r="A516" i="30"/>
  <c r="B515" i="30"/>
  <c r="A515" i="30"/>
  <c r="B514" i="30"/>
  <c r="A514" i="30"/>
  <c r="B513" i="30"/>
  <c r="A513" i="30"/>
  <c r="B512" i="30"/>
  <c r="A512" i="30"/>
  <c r="B511" i="30"/>
  <c r="A511" i="30"/>
  <c r="B510" i="30"/>
  <c r="A510" i="30"/>
  <c r="B509" i="30"/>
  <c r="A509" i="30"/>
  <c r="B508" i="30"/>
  <c r="A508" i="30"/>
  <c r="B507" i="30"/>
  <c r="A507" i="30"/>
  <c r="B506" i="30"/>
  <c r="N506" i="30" s="1"/>
  <c r="A506" i="30"/>
  <c r="B505" i="30"/>
  <c r="N505" i="30" s="1"/>
  <c r="A505" i="30"/>
  <c r="B504" i="30"/>
  <c r="N504" i="30" s="1"/>
  <c r="A504" i="30"/>
  <c r="B503" i="30"/>
  <c r="N503" i="30" s="1"/>
  <c r="A503" i="30"/>
  <c r="B502" i="30"/>
  <c r="N502" i="30" s="1"/>
  <c r="A502" i="30"/>
  <c r="B501" i="30"/>
  <c r="N501" i="30" s="1"/>
  <c r="A501" i="30"/>
  <c r="B500" i="30"/>
  <c r="N500" i="30" s="1"/>
  <c r="A500" i="30"/>
  <c r="B499" i="30"/>
  <c r="N499" i="30" s="1"/>
  <c r="A499" i="30"/>
  <c r="B498" i="30"/>
  <c r="N498" i="30" s="1"/>
  <c r="A498" i="30"/>
  <c r="B497" i="30"/>
  <c r="N497" i="30" s="1"/>
  <c r="A497" i="30"/>
  <c r="B496" i="30"/>
  <c r="N496" i="30" s="1"/>
  <c r="A496" i="30"/>
  <c r="B495" i="30"/>
  <c r="N495" i="30" s="1"/>
  <c r="A495" i="30"/>
  <c r="B494" i="30"/>
  <c r="N494" i="30" s="1"/>
  <c r="A494" i="30"/>
  <c r="B493" i="30"/>
  <c r="N493" i="30" s="1"/>
  <c r="A493" i="30"/>
  <c r="B492" i="30"/>
  <c r="N492" i="30" s="1"/>
  <c r="A492" i="30"/>
  <c r="B491" i="30"/>
  <c r="N491" i="30" s="1"/>
  <c r="A491" i="30"/>
  <c r="B490" i="30"/>
  <c r="A490" i="30"/>
  <c r="B489" i="30"/>
  <c r="A489" i="30"/>
  <c r="B488" i="30"/>
  <c r="A488" i="30"/>
  <c r="B487" i="30"/>
  <c r="A487" i="30"/>
  <c r="B486" i="30"/>
  <c r="A486" i="30"/>
  <c r="B485" i="30"/>
  <c r="A485" i="30"/>
  <c r="B484" i="30"/>
  <c r="A484" i="30"/>
  <c r="B483" i="30"/>
  <c r="A483" i="30"/>
  <c r="B482" i="30"/>
  <c r="A482" i="30"/>
  <c r="B481" i="30"/>
  <c r="A481" i="30"/>
  <c r="B480" i="30"/>
  <c r="A480" i="30"/>
  <c r="B479" i="30"/>
  <c r="A479" i="30"/>
  <c r="B478" i="30"/>
  <c r="A478" i="30"/>
  <c r="B477" i="30"/>
  <c r="A477" i="30"/>
  <c r="B476" i="30"/>
  <c r="A476" i="30"/>
  <c r="B475" i="30"/>
  <c r="N475" i="30" s="1"/>
  <c r="A475" i="30"/>
  <c r="B474" i="30"/>
  <c r="N474" i="30" s="1"/>
  <c r="A474" i="30"/>
  <c r="B473" i="30"/>
  <c r="N473" i="30" s="1"/>
  <c r="A473" i="30"/>
  <c r="B472" i="30"/>
  <c r="N472" i="30" s="1"/>
  <c r="A472" i="30"/>
  <c r="B471" i="30"/>
  <c r="N471" i="30" s="1"/>
  <c r="A471" i="30"/>
  <c r="B470" i="30"/>
  <c r="N470" i="30" s="1"/>
  <c r="A470" i="30"/>
  <c r="B469" i="30"/>
  <c r="N469" i="30" s="1"/>
  <c r="A469" i="30"/>
  <c r="B468" i="30"/>
  <c r="N468" i="30" s="1"/>
  <c r="A468" i="30"/>
  <c r="B467" i="30"/>
  <c r="N467" i="30" s="1"/>
  <c r="A467" i="30"/>
  <c r="B466" i="30"/>
  <c r="N466" i="30" s="1"/>
  <c r="A466" i="30"/>
  <c r="B465" i="30"/>
  <c r="N465" i="30" s="1"/>
  <c r="A465" i="30"/>
  <c r="B464" i="30"/>
  <c r="N464" i="30" s="1"/>
  <c r="A464" i="30"/>
  <c r="B463" i="30"/>
  <c r="N463" i="30" s="1"/>
  <c r="A463" i="30"/>
  <c r="B462" i="30"/>
  <c r="N462" i="30" s="1"/>
  <c r="A462" i="30"/>
  <c r="B461" i="30"/>
  <c r="N461" i="30" s="1"/>
  <c r="A461" i="30"/>
  <c r="B460" i="30"/>
  <c r="N460" i="30" s="1"/>
  <c r="A460" i="30"/>
  <c r="B459" i="30"/>
  <c r="N459" i="30" s="1"/>
  <c r="A459" i="30"/>
  <c r="B458" i="30"/>
  <c r="N458" i="30" s="1"/>
  <c r="A458" i="30"/>
  <c r="B457" i="30"/>
  <c r="N457" i="30" s="1"/>
  <c r="A457" i="30"/>
  <c r="B456" i="30"/>
  <c r="N456" i="30" s="1"/>
  <c r="A456" i="30"/>
  <c r="B455" i="30"/>
  <c r="N455" i="30" s="1"/>
  <c r="A455" i="30"/>
  <c r="B454" i="30"/>
  <c r="N454" i="30" s="1"/>
  <c r="A454" i="30"/>
  <c r="B453" i="30"/>
  <c r="N453" i="30" s="1"/>
  <c r="A453" i="30"/>
  <c r="B452" i="30"/>
  <c r="N452" i="30" s="1"/>
  <c r="A452" i="30"/>
  <c r="B451" i="30"/>
  <c r="N451" i="30" s="1"/>
  <c r="A451" i="30"/>
  <c r="B450" i="30"/>
  <c r="N450" i="30" s="1"/>
  <c r="A450" i="30"/>
  <c r="B449" i="30"/>
  <c r="N449" i="30" s="1"/>
  <c r="A449" i="30"/>
  <c r="B448" i="30"/>
  <c r="N448" i="30" s="1"/>
  <c r="A448" i="30"/>
  <c r="B447" i="30"/>
  <c r="N447" i="30" s="1"/>
  <c r="A447" i="30"/>
  <c r="B446" i="30"/>
  <c r="N446" i="30" s="1"/>
  <c r="A446" i="30"/>
  <c r="B445" i="30"/>
  <c r="N445" i="30" s="1"/>
  <c r="A445" i="30"/>
  <c r="B444" i="30"/>
  <c r="N444" i="30" s="1"/>
  <c r="A444" i="30"/>
  <c r="B443" i="30"/>
  <c r="N443" i="30" s="1"/>
  <c r="A443" i="30"/>
  <c r="B442" i="30"/>
  <c r="N442" i="30" s="1"/>
  <c r="A442" i="30"/>
  <c r="B441" i="30"/>
  <c r="N441" i="30" s="1"/>
  <c r="A441" i="30"/>
  <c r="B440" i="30"/>
  <c r="N440" i="30" s="1"/>
  <c r="A440" i="30"/>
  <c r="B439" i="30"/>
  <c r="N439" i="30" s="1"/>
  <c r="A439" i="30"/>
  <c r="B438" i="30"/>
  <c r="N438" i="30" s="1"/>
  <c r="A438" i="30"/>
  <c r="B437" i="30"/>
  <c r="N437" i="30" s="1"/>
  <c r="A437" i="30"/>
  <c r="B436" i="30"/>
  <c r="N436" i="30" s="1"/>
  <c r="A436" i="30"/>
  <c r="B435" i="30"/>
  <c r="N435" i="30" s="1"/>
  <c r="A435" i="30"/>
  <c r="B434" i="30"/>
  <c r="N434" i="30" s="1"/>
  <c r="A434" i="30"/>
  <c r="B433" i="30"/>
  <c r="N433" i="30" s="1"/>
  <c r="A433" i="30"/>
  <c r="B432" i="30"/>
  <c r="N432" i="30" s="1"/>
  <c r="A432" i="30"/>
  <c r="B431" i="30"/>
  <c r="N431" i="30" s="1"/>
  <c r="A431" i="30"/>
  <c r="B430" i="30"/>
  <c r="N430" i="30" s="1"/>
  <c r="A430" i="30"/>
  <c r="B429" i="30"/>
  <c r="N429" i="30" s="1"/>
  <c r="A429" i="30"/>
  <c r="B428" i="30"/>
  <c r="A428" i="30"/>
  <c r="B427" i="30"/>
  <c r="A427" i="30"/>
  <c r="B426" i="30"/>
  <c r="A426" i="30"/>
  <c r="B425" i="30"/>
  <c r="A425" i="30"/>
  <c r="B424" i="30"/>
  <c r="A424" i="30"/>
  <c r="B423" i="30"/>
  <c r="A423" i="30"/>
  <c r="B422" i="30"/>
  <c r="A422" i="30"/>
  <c r="B421" i="30"/>
  <c r="A421" i="30"/>
  <c r="B420" i="30"/>
  <c r="A420" i="30"/>
  <c r="B419" i="30"/>
  <c r="A419" i="30"/>
  <c r="B418" i="30"/>
  <c r="A418" i="30"/>
  <c r="B417" i="30"/>
  <c r="A417" i="30"/>
  <c r="B416" i="30"/>
  <c r="A416" i="30"/>
  <c r="B415" i="30"/>
  <c r="A415" i="30"/>
  <c r="B414" i="30"/>
  <c r="A414" i="30"/>
  <c r="B413" i="30"/>
  <c r="N413" i="30" s="1"/>
  <c r="A413" i="30"/>
  <c r="B412" i="30"/>
  <c r="N412" i="30" s="1"/>
  <c r="A412" i="30"/>
  <c r="B411" i="30"/>
  <c r="N411" i="30" s="1"/>
  <c r="A411" i="30"/>
  <c r="B410" i="30"/>
  <c r="N410" i="30" s="1"/>
  <c r="A410" i="30"/>
  <c r="B409" i="30"/>
  <c r="N409" i="30" s="1"/>
  <c r="A409" i="30"/>
  <c r="B408" i="30"/>
  <c r="N408" i="30" s="1"/>
  <c r="A408" i="30"/>
  <c r="B407" i="30"/>
  <c r="N407" i="30" s="1"/>
  <c r="A407" i="30"/>
  <c r="B406" i="30"/>
  <c r="N406" i="30" s="1"/>
  <c r="A406" i="30"/>
  <c r="B405" i="30"/>
  <c r="N405" i="30" s="1"/>
  <c r="A405" i="30"/>
  <c r="B404" i="30"/>
  <c r="N404" i="30" s="1"/>
  <c r="A404" i="30"/>
  <c r="B403" i="30"/>
  <c r="N403" i="30" s="1"/>
  <c r="A403" i="30"/>
  <c r="B402" i="30"/>
  <c r="N402" i="30" s="1"/>
  <c r="A402" i="30"/>
  <c r="B401" i="30"/>
  <c r="N401" i="30" s="1"/>
  <c r="A401" i="30"/>
  <c r="B400" i="30"/>
  <c r="N400" i="30" s="1"/>
  <c r="A400" i="30"/>
  <c r="B399" i="30"/>
  <c r="N399" i="30" s="1"/>
  <c r="A399" i="30"/>
  <c r="B398" i="30"/>
  <c r="N398" i="30" s="1"/>
  <c r="A398" i="30"/>
  <c r="B397" i="30"/>
  <c r="N397" i="30" s="1"/>
  <c r="A397" i="30"/>
  <c r="B396" i="30"/>
  <c r="N396" i="30" s="1"/>
  <c r="A396" i="30"/>
  <c r="B395" i="30"/>
  <c r="N395" i="30" s="1"/>
  <c r="A395" i="30"/>
  <c r="B394" i="30"/>
  <c r="N394" i="30" s="1"/>
  <c r="A394" i="30"/>
  <c r="B393" i="30"/>
  <c r="N393" i="30" s="1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N386" i="30" s="1"/>
  <c r="A386" i="30"/>
  <c r="B385" i="30"/>
  <c r="N385" i="30" s="1"/>
  <c r="A385" i="30"/>
  <c r="B384" i="30"/>
  <c r="N384" i="30" s="1"/>
  <c r="A384" i="30"/>
  <c r="B383" i="30"/>
  <c r="N383" i="30" s="1"/>
  <c r="A383" i="30"/>
  <c r="B382" i="30"/>
  <c r="N382" i="30" s="1"/>
  <c r="A382" i="30"/>
  <c r="B381" i="30"/>
  <c r="N381" i="30" s="1"/>
  <c r="A381" i="30"/>
  <c r="B380" i="30"/>
  <c r="N380" i="30" s="1"/>
  <c r="A380" i="30"/>
  <c r="B379" i="30"/>
  <c r="N379" i="30" s="1"/>
  <c r="A379" i="30"/>
  <c r="B378" i="30"/>
  <c r="N378" i="30" s="1"/>
  <c r="A378" i="30"/>
  <c r="B377" i="30"/>
  <c r="N377" i="30" s="1"/>
  <c r="A377" i="30"/>
  <c r="B376" i="30"/>
  <c r="N376" i="30" s="1"/>
  <c r="A376" i="30"/>
  <c r="B375" i="30"/>
  <c r="N375" i="30" s="1"/>
  <c r="A375" i="30"/>
  <c r="B374" i="30"/>
  <c r="N374" i="30" s="1"/>
  <c r="A374" i="30"/>
  <c r="B373" i="30"/>
  <c r="N373" i="30" s="1"/>
  <c r="A373" i="30"/>
  <c r="B372" i="30"/>
  <c r="N372" i="30" s="1"/>
  <c r="A372" i="30"/>
  <c r="B371" i="30"/>
  <c r="N371" i="30" s="1"/>
  <c r="A371" i="30"/>
  <c r="B370" i="30"/>
  <c r="N370" i="30" s="1"/>
  <c r="A370" i="30"/>
  <c r="B369" i="30"/>
  <c r="N369" i="30" s="1"/>
  <c r="A369" i="30"/>
  <c r="B368" i="30"/>
  <c r="N368" i="30" s="1"/>
  <c r="A368" i="30"/>
  <c r="B367" i="30"/>
  <c r="N367" i="30" s="1"/>
  <c r="A367" i="30"/>
  <c r="B366" i="30"/>
  <c r="N366" i="30" s="1"/>
  <c r="A366" i="30"/>
  <c r="B365" i="30"/>
  <c r="N365" i="30" s="1"/>
  <c r="A365" i="30"/>
  <c r="B364" i="30"/>
  <c r="N364" i="30" s="1"/>
  <c r="A364" i="30"/>
  <c r="B363" i="30"/>
  <c r="N363" i="30" s="1"/>
  <c r="A363" i="30"/>
  <c r="B362" i="30"/>
  <c r="N362" i="30" s="1"/>
  <c r="A362" i="30"/>
  <c r="B361" i="30"/>
  <c r="N361" i="30" s="1"/>
  <c r="A361" i="30"/>
  <c r="B360" i="30"/>
  <c r="N360" i="30" s="1"/>
  <c r="A360" i="30"/>
  <c r="B359" i="30"/>
  <c r="N359" i="30" s="1"/>
  <c r="A359" i="30"/>
  <c r="B358" i="30"/>
  <c r="N358" i="30" s="1"/>
  <c r="A358" i="30"/>
  <c r="B357" i="30"/>
  <c r="N357" i="30" s="1"/>
  <c r="A357" i="30"/>
  <c r="B356" i="30"/>
  <c r="N356" i="30" s="1"/>
  <c r="A356" i="30"/>
  <c r="B355" i="30"/>
  <c r="N355" i="30" s="1"/>
  <c r="A355" i="30"/>
  <c r="B354" i="30"/>
  <c r="N354" i="30" s="1"/>
  <c r="A354" i="30"/>
  <c r="B353" i="30"/>
  <c r="N353" i="30" s="1"/>
  <c r="A353" i="30"/>
  <c r="B352" i="30"/>
  <c r="N352" i="30" s="1"/>
  <c r="A352" i="30"/>
  <c r="B351" i="30"/>
  <c r="N351" i="30" s="1"/>
  <c r="A351" i="30"/>
  <c r="B350" i="30"/>
  <c r="N350" i="30" s="1"/>
  <c r="A350" i="30"/>
  <c r="B349" i="30"/>
  <c r="N349" i="30" s="1"/>
  <c r="A349" i="30"/>
  <c r="B348" i="30"/>
  <c r="N348" i="30" s="1"/>
  <c r="A348" i="30"/>
  <c r="B347" i="30"/>
  <c r="N347" i="30" s="1"/>
  <c r="A347" i="30"/>
  <c r="B346" i="30"/>
  <c r="N346" i="30" s="1"/>
  <c r="A346" i="30"/>
  <c r="B345" i="30"/>
  <c r="N345" i="30" s="1"/>
  <c r="A345" i="30"/>
  <c r="B344" i="30"/>
  <c r="N344" i="30" s="1"/>
  <c r="A344" i="30"/>
  <c r="B343" i="30"/>
  <c r="N343" i="30" s="1"/>
  <c r="A343" i="30"/>
  <c r="B342" i="30"/>
  <c r="N342" i="30" s="1"/>
  <c r="A342" i="30"/>
  <c r="B341" i="30"/>
  <c r="N341" i="30" s="1"/>
  <c r="A341" i="30"/>
  <c r="B340" i="30"/>
  <c r="N340" i="30" s="1"/>
  <c r="A340" i="30"/>
  <c r="B339" i="30"/>
  <c r="N339" i="30" s="1"/>
  <c r="A339" i="30"/>
  <c r="B338" i="30"/>
  <c r="N338" i="30" s="1"/>
  <c r="A338" i="30"/>
  <c r="B337" i="30"/>
  <c r="N337" i="30" s="1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B310" i="30"/>
  <c r="A310" i="30"/>
  <c r="B309" i="30"/>
  <c r="A309" i="30"/>
  <c r="B308" i="30"/>
  <c r="A308" i="30"/>
  <c r="B307" i="30"/>
  <c r="A307" i="30"/>
  <c r="B306" i="30"/>
  <c r="A306" i="30"/>
  <c r="B305" i="30"/>
  <c r="A305" i="30"/>
  <c r="B304" i="30"/>
  <c r="A304" i="30"/>
  <c r="B303" i="30"/>
  <c r="A303" i="30"/>
  <c r="B302" i="30"/>
  <c r="A302" i="30"/>
  <c r="B301" i="30"/>
  <c r="A301" i="30"/>
  <c r="B300" i="30"/>
  <c r="A300" i="30"/>
  <c r="B299" i="30"/>
  <c r="A299" i="30"/>
  <c r="B298" i="30"/>
  <c r="A298" i="30"/>
  <c r="B297" i="30"/>
  <c r="A297" i="30"/>
  <c r="B296" i="30"/>
  <c r="A296" i="30"/>
  <c r="B295" i="30"/>
  <c r="A295" i="30"/>
  <c r="B294" i="30"/>
  <c r="A294" i="30"/>
  <c r="B293" i="30"/>
  <c r="A293" i="30"/>
  <c r="B292" i="30"/>
  <c r="A292" i="30"/>
  <c r="B291" i="30"/>
  <c r="A291" i="30"/>
  <c r="B290" i="30"/>
  <c r="N290" i="30" s="1"/>
  <c r="A290" i="30"/>
  <c r="B289" i="30"/>
  <c r="N289" i="30" s="1"/>
  <c r="A289" i="30"/>
  <c r="B288" i="30"/>
  <c r="N288" i="30" s="1"/>
  <c r="A288" i="30"/>
  <c r="B287" i="30"/>
  <c r="N287" i="30" s="1"/>
  <c r="A287" i="30"/>
  <c r="B286" i="30"/>
  <c r="N286" i="30" s="1"/>
  <c r="A286" i="30"/>
  <c r="B285" i="30"/>
  <c r="N285" i="30" s="1"/>
  <c r="A285" i="30"/>
  <c r="B284" i="30"/>
  <c r="N284" i="30" s="1"/>
  <c r="A284" i="30"/>
  <c r="B283" i="30"/>
  <c r="N283" i="30" s="1"/>
  <c r="A283" i="30"/>
  <c r="B282" i="30"/>
  <c r="A282" i="30"/>
  <c r="B281" i="30"/>
  <c r="A281" i="30"/>
  <c r="B280" i="30"/>
  <c r="A280" i="30"/>
  <c r="B279" i="30"/>
  <c r="A279" i="30"/>
  <c r="B278" i="30"/>
  <c r="A278" i="30"/>
  <c r="B277" i="30"/>
  <c r="A277" i="30"/>
  <c r="B276" i="30"/>
  <c r="N276" i="30" s="1"/>
  <c r="A276" i="30"/>
  <c r="B275" i="30"/>
  <c r="N275" i="30" s="1"/>
  <c r="A275" i="30"/>
  <c r="B274" i="30"/>
  <c r="N274" i="30" s="1"/>
  <c r="A274" i="30"/>
  <c r="B273" i="30"/>
  <c r="N273" i="30" s="1"/>
  <c r="A273" i="30"/>
  <c r="B272" i="30"/>
  <c r="N272" i="30" s="1"/>
  <c r="A272" i="30"/>
  <c r="B271" i="30"/>
  <c r="N271" i="30" s="1"/>
  <c r="A271" i="30"/>
  <c r="B270" i="30"/>
  <c r="N270" i="30" s="1"/>
  <c r="A270" i="30"/>
  <c r="B269" i="30"/>
  <c r="N269" i="30" s="1"/>
  <c r="A269" i="30"/>
  <c r="B268" i="30"/>
  <c r="N268" i="30" s="1"/>
  <c r="A268" i="30"/>
  <c r="B267" i="30"/>
  <c r="N267" i="30" s="1"/>
  <c r="A267" i="30"/>
  <c r="B266" i="30"/>
  <c r="N266" i="30" s="1"/>
  <c r="A266" i="30"/>
  <c r="B265" i="30"/>
  <c r="N265" i="30" s="1"/>
  <c r="A265" i="30"/>
  <c r="B264" i="30"/>
  <c r="N264" i="30" s="1"/>
  <c r="A264" i="30"/>
  <c r="B263" i="30"/>
  <c r="N263" i="30" s="1"/>
  <c r="A263" i="30"/>
  <c r="B262" i="30"/>
  <c r="N262" i="30" s="1"/>
  <c r="A262" i="30"/>
  <c r="B261" i="30"/>
  <c r="N261" i="30" s="1"/>
  <c r="A261" i="30"/>
  <c r="B260" i="30"/>
  <c r="N260" i="30" s="1"/>
  <c r="A260" i="30"/>
  <c r="B259" i="30"/>
  <c r="N259" i="30" s="1"/>
  <c r="A259" i="30"/>
  <c r="B258" i="30"/>
  <c r="N258" i="30" s="1"/>
  <c r="A258" i="30"/>
  <c r="B257" i="30"/>
  <c r="N257" i="30" s="1"/>
  <c r="A257" i="30"/>
  <c r="B256" i="30"/>
  <c r="N256" i="30" s="1"/>
  <c r="A256" i="30"/>
  <c r="B255" i="30"/>
  <c r="N255" i="30" s="1"/>
  <c r="A255" i="30"/>
  <c r="B254" i="30"/>
  <c r="N254" i="30" s="1"/>
  <c r="A254" i="30"/>
  <c r="B253" i="30"/>
  <c r="N253" i="30" s="1"/>
  <c r="A253" i="30"/>
  <c r="B252" i="30"/>
  <c r="N252" i="30" s="1"/>
  <c r="A252" i="30"/>
  <c r="B251" i="30"/>
  <c r="N251" i="30" s="1"/>
  <c r="A251" i="30"/>
  <c r="B250" i="30"/>
  <c r="N250" i="30" s="1"/>
  <c r="A250" i="30"/>
  <c r="B249" i="30"/>
  <c r="N249" i="30" s="1"/>
  <c r="A249" i="30"/>
  <c r="B248" i="30"/>
  <c r="N248" i="30" s="1"/>
  <c r="A248" i="30"/>
  <c r="B247" i="30"/>
  <c r="N247" i="30" s="1"/>
  <c r="A247" i="30"/>
  <c r="B246" i="30"/>
  <c r="N246" i="30" s="1"/>
  <c r="A246" i="30"/>
  <c r="B245" i="30"/>
  <c r="N245" i="30" s="1"/>
  <c r="A245" i="30"/>
  <c r="B244" i="30"/>
  <c r="N244" i="30" s="1"/>
  <c r="A244" i="30"/>
  <c r="B243" i="30"/>
  <c r="N243" i="30" s="1"/>
  <c r="A243" i="30"/>
  <c r="B242" i="30"/>
  <c r="N242" i="30" s="1"/>
  <c r="A242" i="30"/>
  <c r="B241" i="30"/>
  <c r="N241" i="30" s="1"/>
  <c r="A241" i="30"/>
  <c r="B240" i="30"/>
  <c r="N240" i="30" s="1"/>
  <c r="A240" i="30"/>
  <c r="B239" i="30"/>
  <c r="N239" i="30" s="1"/>
  <c r="A239" i="30"/>
  <c r="B238" i="30"/>
  <c r="N238" i="30" s="1"/>
  <c r="A238" i="30"/>
  <c r="B237" i="30"/>
  <c r="N237" i="30" s="1"/>
  <c r="A237" i="30"/>
  <c r="B236" i="30"/>
  <c r="N236" i="30" s="1"/>
  <c r="A236" i="30"/>
  <c r="B235" i="30"/>
  <c r="N235" i="30" s="1"/>
  <c r="A235" i="30"/>
  <c r="B234" i="30"/>
  <c r="N234" i="30" s="1"/>
  <c r="A234" i="30"/>
  <c r="B233" i="30"/>
  <c r="N233" i="30" s="1"/>
  <c r="A233" i="30"/>
  <c r="B232" i="30"/>
  <c r="N232" i="30" s="1"/>
  <c r="A232" i="30"/>
  <c r="B231" i="30"/>
  <c r="N231" i="30" s="1"/>
  <c r="A231" i="30"/>
  <c r="B230" i="30"/>
  <c r="N230" i="30" s="1"/>
  <c r="A230" i="30"/>
  <c r="B229" i="30"/>
  <c r="N229" i="30" s="1"/>
  <c r="A229" i="30"/>
  <c r="B228" i="30"/>
  <c r="N228" i="30" s="1"/>
  <c r="A228" i="30"/>
  <c r="B227" i="30"/>
  <c r="N227" i="30" s="1"/>
  <c r="A227" i="30"/>
  <c r="B226" i="30"/>
  <c r="A226" i="30"/>
  <c r="B225" i="30"/>
  <c r="A225" i="30"/>
  <c r="B224" i="30"/>
  <c r="A224" i="30"/>
  <c r="B223" i="30"/>
  <c r="A223" i="30"/>
  <c r="B222" i="30"/>
  <c r="A222" i="30"/>
  <c r="B221" i="30"/>
  <c r="A221" i="30"/>
  <c r="B220" i="30"/>
  <c r="N220" i="30" s="1"/>
  <c r="A220" i="30"/>
  <c r="B219" i="30"/>
  <c r="N219" i="30" s="1"/>
  <c r="A219" i="30"/>
  <c r="B218" i="30"/>
  <c r="N218" i="30" s="1"/>
  <c r="A218" i="30"/>
  <c r="B217" i="30"/>
  <c r="N217" i="30" s="1"/>
  <c r="A217" i="30"/>
  <c r="B216" i="30"/>
  <c r="N216" i="30" s="1"/>
  <c r="A216" i="30"/>
  <c r="B215" i="30"/>
  <c r="N215" i="30" s="1"/>
  <c r="A215" i="30"/>
  <c r="B214" i="30"/>
  <c r="N214" i="30" s="1"/>
  <c r="A214" i="30"/>
  <c r="B213" i="30"/>
  <c r="N213" i="30" s="1"/>
  <c r="A213" i="30"/>
  <c r="B212" i="30"/>
  <c r="N212" i="30" s="1"/>
  <c r="A212" i="30"/>
  <c r="B211" i="30"/>
  <c r="N211" i="30" s="1"/>
  <c r="A211" i="30"/>
  <c r="B210" i="30"/>
  <c r="N210" i="30" s="1"/>
  <c r="A210" i="30"/>
  <c r="B209" i="30"/>
  <c r="N209" i="30" s="1"/>
  <c r="A209" i="30"/>
  <c r="B208" i="30"/>
  <c r="N208" i="30" s="1"/>
  <c r="A208" i="30"/>
  <c r="B207" i="30"/>
  <c r="N207" i="30" s="1"/>
  <c r="A207" i="30"/>
  <c r="B206" i="30"/>
  <c r="N206" i="30" s="1"/>
  <c r="A206" i="30"/>
  <c r="B205" i="30"/>
  <c r="N205" i="30" s="1"/>
  <c r="A205" i="30"/>
  <c r="B204" i="30"/>
  <c r="N204" i="30" s="1"/>
  <c r="A204" i="30"/>
  <c r="B203" i="30"/>
  <c r="N203" i="30" s="1"/>
  <c r="A203" i="30"/>
  <c r="B202" i="30"/>
  <c r="N202" i="30" s="1"/>
  <c r="A202" i="30"/>
  <c r="B201" i="30"/>
  <c r="N201" i="30" s="1"/>
  <c r="A201" i="30"/>
  <c r="B200" i="30"/>
  <c r="N200" i="30" s="1"/>
  <c r="A200" i="30"/>
  <c r="B199" i="30"/>
  <c r="N199" i="30" s="1"/>
  <c r="A199" i="30"/>
  <c r="B198" i="30"/>
  <c r="N198" i="30" s="1"/>
  <c r="A198" i="30"/>
  <c r="B197" i="30"/>
  <c r="N197" i="30" s="1"/>
  <c r="A197" i="30"/>
  <c r="B196" i="30"/>
  <c r="N196" i="30" s="1"/>
  <c r="A196" i="30"/>
  <c r="B195" i="30"/>
  <c r="N195" i="30" s="1"/>
  <c r="A195" i="30"/>
  <c r="B194" i="30"/>
  <c r="N194" i="30" s="1"/>
  <c r="A194" i="30"/>
  <c r="B193" i="30"/>
  <c r="N193" i="30" s="1"/>
  <c r="A193" i="30"/>
  <c r="B192" i="30"/>
  <c r="N192" i="30" s="1"/>
  <c r="A192" i="30"/>
  <c r="B191" i="30"/>
  <c r="N191" i="30" s="1"/>
  <c r="A191" i="30"/>
  <c r="B190" i="30"/>
  <c r="N190" i="30" s="1"/>
  <c r="A190" i="30"/>
  <c r="B189" i="30"/>
  <c r="N189" i="30" s="1"/>
  <c r="A189" i="30"/>
  <c r="B188" i="30"/>
  <c r="N188" i="30" s="1"/>
  <c r="A188" i="30"/>
  <c r="B187" i="30"/>
  <c r="N187" i="30" s="1"/>
  <c r="A187" i="30"/>
  <c r="B186" i="30"/>
  <c r="N186" i="30" s="1"/>
  <c r="A186" i="30"/>
  <c r="B185" i="30"/>
  <c r="N185" i="30" s="1"/>
  <c r="A185" i="30"/>
  <c r="B184" i="30"/>
  <c r="N184" i="30" s="1"/>
  <c r="A184" i="30"/>
  <c r="B183" i="30"/>
  <c r="N183" i="30" s="1"/>
  <c r="A183" i="30"/>
  <c r="B182" i="30"/>
  <c r="N182" i="30" s="1"/>
  <c r="A182" i="30"/>
  <c r="B181" i="30"/>
  <c r="N181" i="30" s="1"/>
  <c r="A181" i="30"/>
  <c r="B180" i="30"/>
  <c r="N180" i="30" s="1"/>
  <c r="A180" i="30"/>
  <c r="B179" i="30"/>
  <c r="N179" i="30" s="1"/>
  <c r="A179" i="30"/>
  <c r="B178" i="30"/>
  <c r="N178" i="30" s="1"/>
  <c r="A178" i="30"/>
  <c r="B177" i="30"/>
  <c r="N177" i="30" s="1"/>
  <c r="A177" i="30"/>
  <c r="B176" i="30"/>
  <c r="N176" i="30" s="1"/>
  <c r="A176" i="30"/>
  <c r="B175" i="30"/>
  <c r="N175" i="30" s="1"/>
  <c r="A175" i="30"/>
  <c r="B174" i="30"/>
  <c r="N174" i="30" s="1"/>
  <c r="A174" i="30"/>
  <c r="B173" i="30"/>
  <c r="N173" i="30" s="1"/>
  <c r="A173" i="30"/>
  <c r="B172" i="30"/>
  <c r="N172" i="30" s="1"/>
  <c r="A172" i="30"/>
  <c r="B171" i="30"/>
  <c r="N171" i="30" s="1"/>
  <c r="A171" i="30"/>
  <c r="B170" i="30"/>
  <c r="A170" i="30"/>
  <c r="B169" i="30"/>
  <c r="A169" i="30"/>
  <c r="B168" i="30"/>
  <c r="A168" i="30"/>
  <c r="B167" i="30"/>
  <c r="A167" i="30"/>
  <c r="B166" i="30"/>
  <c r="A166" i="30"/>
  <c r="B165" i="30"/>
  <c r="A165" i="30"/>
  <c r="B164" i="30"/>
  <c r="A164" i="30"/>
  <c r="B163" i="30"/>
  <c r="A163" i="30"/>
  <c r="B162" i="30"/>
  <c r="A162" i="30"/>
  <c r="B161" i="30"/>
  <c r="A161" i="30"/>
  <c r="B160" i="30"/>
  <c r="A160" i="30"/>
  <c r="B159" i="30"/>
  <c r="A159" i="30"/>
  <c r="B158" i="30"/>
  <c r="A158" i="30"/>
  <c r="B157" i="30"/>
  <c r="A157" i="30"/>
  <c r="B156" i="30"/>
  <c r="A156" i="30"/>
  <c r="B155" i="30"/>
  <c r="A155" i="30"/>
  <c r="B154" i="30"/>
  <c r="A154" i="30"/>
  <c r="B153" i="30"/>
  <c r="A153" i="30"/>
  <c r="B152" i="30"/>
  <c r="A152" i="30"/>
  <c r="B151" i="30"/>
  <c r="A151" i="30"/>
  <c r="B150" i="30"/>
  <c r="A150" i="30"/>
  <c r="B149" i="30"/>
  <c r="A149" i="30"/>
  <c r="B148" i="30"/>
  <c r="A148" i="30"/>
  <c r="B147" i="30"/>
  <c r="A147" i="30"/>
  <c r="B146" i="30"/>
  <c r="A146" i="30"/>
  <c r="B145" i="30"/>
  <c r="A145" i="30"/>
  <c r="B144" i="30"/>
  <c r="A144" i="30"/>
  <c r="B143" i="30"/>
  <c r="A143" i="30"/>
  <c r="B142" i="30"/>
  <c r="A142" i="30"/>
  <c r="B141" i="30"/>
  <c r="N141" i="30" s="1"/>
  <c r="A141" i="30"/>
  <c r="B140" i="30"/>
  <c r="N140" i="30" s="1"/>
  <c r="A140" i="30"/>
  <c r="B139" i="30"/>
  <c r="N139" i="30" s="1"/>
  <c r="A139" i="30"/>
  <c r="B138" i="30"/>
  <c r="N138" i="30" s="1"/>
  <c r="A138" i="30"/>
  <c r="B137" i="30"/>
  <c r="N137" i="30" s="1"/>
  <c r="A137" i="30"/>
  <c r="B136" i="30"/>
  <c r="N136" i="30" s="1"/>
  <c r="A136" i="30"/>
  <c r="B135" i="30"/>
  <c r="N135" i="30" s="1"/>
  <c r="A135" i="30"/>
  <c r="B134" i="30"/>
  <c r="N134" i="30" s="1"/>
  <c r="A134" i="30"/>
  <c r="B133" i="30"/>
  <c r="N133" i="30" s="1"/>
  <c r="A133" i="30"/>
  <c r="B132" i="30"/>
  <c r="N132" i="30" s="1"/>
  <c r="A132" i="30"/>
  <c r="B131" i="30"/>
  <c r="N131" i="30" s="1"/>
  <c r="A131" i="30"/>
  <c r="B130" i="30"/>
  <c r="N130" i="30" s="1"/>
  <c r="A130" i="30"/>
  <c r="B129" i="30"/>
  <c r="N129" i="30" s="1"/>
  <c r="A129" i="30"/>
  <c r="B128" i="30"/>
  <c r="N128" i="30" s="1"/>
  <c r="A128" i="30"/>
  <c r="B127" i="30"/>
  <c r="N127" i="30" s="1"/>
  <c r="A127" i="30"/>
  <c r="B126" i="30"/>
  <c r="N126" i="30" s="1"/>
  <c r="A126" i="30"/>
  <c r="B125" i="30"/>
  <c r="N125" i="30" s="1"/>
  <c r="A125" i="30"/>
  <c r="B124" i="30"/>
  <c r="N124" i="30" s="1"/>
  <c r="A124" i="30"/>
  <c r="B123" i="30"/>
  <c r="N123" i="30" s="1"/>
  <c r="A123" i="30"/>
  <c r="B122" i="30"/>
  <c r="N122" i="30" s="1"/>
  <c r="A122" i="30"/>
  <c r="B121" i="30"/>
  <c r="N121" i="30" s="1"/>
  <c r="A121" i="30"/>
  <c r="B120" i="30"/>
  <c r="N120" i="30" s="1"/>
  <c r="A120" i="30"/>
  <c r="B119" i="30"/>
  <c r="N119" i="30" s="1"/>
  <c r="A119" i="30"/>
  <c r="B118" i="30"/>
  <c r="N118" i="30" s="1"/>
  <c r="A118" i="30"/>
  <c r="B117" i="30"/>
  <c r="N117" i="30" s="1"/>
  <c r="A117" i="30"/>
  <c r="B116" i="30"/>
  <c r="N116" i="30" s="1"/>
  <c r="A116" i="30"/>
  <c r="B115" i="30"/>
  <c r="N115" i="30" s="1"/>
  <c r="A115" i="30"/>
  <c r="B114" i="30"/>
  <c r="N114" i="30" s="1"/>
  <c r="A114" i="30"/>
  <c r="B113" i="30"/>
  <c r="N113" i="30" s="1"/>
  <c r="A113" i="30"/>
  <c r="B112" i="30"/>
  <c r="N112" i="30" s="1"/>
  <c r="A112" i="30"/>
  <c r="B111" i="30"/>
  <c r="N111" i="30" s="1"/>
  <c r="A111" i="30"/>
  <c r="B110" i="30"/>
  <c r="N110" i="30" s="1"/>
  <c r="A110" i="30"/>
  <c r="B109" i="30"/>
  <c r="N109" i="30" s="1"/>
  <c r="A109" i="30"/>
  <c r="B108" i="30"/>
  <c r="N108" i="30" s="1"/>
  <c r="A108" i="30"/>
  <c r="B107" i="30"/>
  <c r="N107" i="30" s="1"/>
  <c r="A107" i="30"/>
  <c r="B106" i="30"/>
  <c r="N106" i="30" s="1"/>
  <c r="A106" i="30"/>
  <c r="B105" i="30"/>
  <c r="N105" i="30" s="1"/>
  <c r="A105" i="30"/>
  <c r="B104" i="30"/>
  <c r="N104" i="30" s="1"/>
  <c r="A104" i="30"/>
  <c r="B103" i="30"/>
  <c r="N103" i="30" s="1"/>
  <c r="A103" i="30"/>
  <c r="B102" i="30"/>
  <c r="N102" i="30" s="1"/>
  <c r="A102" i="30"/>
  <c r="B101" i="30"/>
  <c r="N101" i="30" s="1"/>
  <c r="A101" i="30"/>
  <c r="B100" i="30"/>
  <c r="N100" i="30" s="1"/>
  <c r="A100" i="30"/>
  <c r="B99" i="30"/>
  <c r="N99" i="30" s="1"/>
  <c r="A99" i="30"/>
  <c r="B98" i="30"/>
  <c r="N98" i="30" s="1"/>
  <c r="A98" i="30"/>
  <c r="B97" i="30"/>
  <c r="N97" i="30" s="1"/>
  <c r="A97" i="30"/>
  <c r="B96" i="30"/>
  <c r="N96" i="30" s="1"/>
  <c r="A96" i="30"/>
  <c r="B95" i="30"/>
  <c r="N95" i="30" s="1"/>
  <c r="A95" i="30"/>
  <c r="B94" i="30"/>
  <c r="N94" i="30" s="1"/>
  <c r="A94" i="30"/>
  <c r="B93" i="30"/>
  <c r="N93" i="30" s="1"/>
  <c r="A93" i="30"/>
  <c r="B92" i="30"/>
  <c r="N92" i="30" s="1"/>
  <c r="A92" i="30"/>
  <c r="B91" i="30"/>
  <c r="N91" i="30" s="1"/>
  <c r="A91" i="30"/>
  <c r="B90" i="30"/>
  <c r="N90" i="30" s="1"/>
  <c r="A90" i="30"/>
  <c r="B89" i="30"/>
  <c r="N89" i="30" s="1"/>
  <c r="A89" i="30"/>
  <c r="B88" i="30"/>
  <c r="N88" i="30" s="1"/>
  <c r="A88" i="30"/>
  <c r="B87" i="30"/>
  <c r="N87" i="30" s="1"/>
  <c r="A87" i="30"/>
  <c r="B86" i="30"/>
  <c r="N86" i="30" s="1"/>
  <c r="A86" i="30"/>
  <c r="B85" i="30"/>
  <c r="N85" i="30" s="1"/>
  <c r="A85" i="30"/>
  <c r="B84" i="30"/>
  <c r="N84" i="30" s="1"/>
  <c r="A84" i="30"/>
  <c r="B83" i="30"/>
  <c r="N83" i="30" s="1"/>
  <c r="A83" i="30"/>
  <c r="B82" i="30"/>
  <c r="N82" i="30" s="1"/>
  <c r="A82" i="30"/>
  <c r="B81" i="30"/>
  <c r="N81" i="30" s="1"/>
  <c r="A81" i="30"/>
  <c r="B80" i="30"/>
  <c r="N80" i="30" s="1"/>
  <c r="A80" i="30"/>
  <c r="B79" i="30"/>
  <c r="N79" i="30" s="1"/>
  <c r="A79" i="30"/>
  <c r="B78" i="30"/>
  <c r="N78" i="30" s="1"/>
  <c r="A78" i="30"/>
  <c r="B77" i="30"/>
  <c r="N77" i="30" s="1"/>
  <c r="A77" i="30"/>
  <c r="B76" i="30"/>
  <c r="N76" i="30" s="1"/>
  <c r="A76" i="30"/>
  <c r="B75" i="30"/>
  <c r="N75" i="30" s="1"/>
  <c r="A75" i="30"/>
  <c r="B74" i="30"/>
  <c r="N74" i="30" s="1"/>
  <c r="A74" i="30"/>
  <c r="B73" i="30"/>
  <c r="N73" i="30" s="1"/>
  <c r="A73" i="30"/>
  <c r="B72" i="30"/>
  <c r="N72" i="30" s="1"/>
  <c r="A72" i="30"/>
  <c r="B71" i="30"/>
  <c r="N71" i="30" s="1"/>
  <c r="A71" i="30"/>
  <c r="B70" i="30"/>
  <c r="N70" i="30" s="1"/>
  <c r="A70" i="30"/>
  <c r="B69" i="30"/>
  <c r="N69" i="30" s="1"/>
  <c r="A69" i="30"/>
  <c r="B68" i="30"/>
  <c r="N68" i="30" s="1"/>
  <c r="A68" i="30"/>
  <c r="B67" i="30"/>
  <c r="N67" i="30" s="1"/>
  <c r="A67" i="30"/>
  <c r="B66" i="30"/>
  <c r="N66" i="30" s="1"/>
  <c r="A66" i="30"/>
  <c r="B65" i="30"/>
  <c r="N65" i="30" s="1"/>
  <c r="A65" i="30"/>
  <c r="B64" i="30"/>
  <c r="N64" i="30" s="1"/>
  <c r="A64" i="30"/>
  <c r="B63" i="30"/>
  <c r="N63" i="30" s="1"/>
  <c r="A63" i="30"/>
  <c r="B62" i="30"/>
  <c r="N62" i="30" s="1"/>
  <c r="A62" i="30"/>
  <c r="B61" i="30"/>
  <c r="N61" i="30" s="1"/>
  <c r="A61" i="30"/>
  <c r="B60" i="30"/>
  <c r="N60" i="30" s="1"/>
  <c r="A60" i="30"/>
  <c r="B59" i="30"/>
  <c r="N59" i="30" s="1"/>
  <c r="A59" i="30"/>
  <c r="B58" i="30"/>
  <c r="N58" i="30" s="1"/>
  <c r="A58" i="30"/>
  <c r="B57" i="30"/>
  <c r="N57" i="30" s="1"/>
  <c r="A57" i="30"/>
  <c r="B56" i="30"/>
  <c r="N56" i="30" s="1"/>
  <c r="A56" i="30"/>
  <c r="B55" i="30"/>
  <c r="N55" i="30" s="1"/>
  <c r="A55" i="30"/>
  <c r="B54" i="30"/>
  <c r="N54" i="30" s="1"/>
  <c r="A54" i="30"/>
  <c r="B53" i="30"/>
  <c r="N53" i="30" s="1"/>
  <c r="A53" i="30"/>
  <c r="B52" i="30"/>
  <c r="N52" i="30" s="1"/>
  <c r="A52" i="30"/>
  <c r="B51" i="30"/>
  <c r="N51" i="30" s="1"/>
  <c r="A51" i="30"/>
  <c r="B50" i="30"/>
  <c r="N50" i="30" s="1"/>
  <c r="A50" i="30"/>
  <c r="B49" i="30"/>
  <c r="N49" i="30" s="1"/>
  <c r="A49" i="30"/>
  <c r="B48" i="30"/>
  <c r="N48" i="30" s="1"/>
  <c r="A48" i="30"/>
  <c r="B47" i="30"/>
  <c r="N47" i="30" s="1"/>
  <c r="A47" i="30"/>
  <c r="B46" i="30"/>
  <c r="N46" i="30" s="1"/>
  <c r="A46" i="30"/>
  <c r="B45" i="30"/>
  <c r="N45" i="30" s="1"/>
  <c r="A45" i="30"/>
  <c r="B44" i="30"/>
  <c r="N44" i="30" s="1"/>
  <c r="A44" i="30"/>
  <c r="B43" i="30"/>
  <c r="N43" i="30" s="1"/>
  <c r="A43" i="30"/>
  <c r="B42" i="30"/>
  <c r="N42" i="30" s="1"/>
  <c r="A42" i="30"/>
  <c r="B41" i="30"/>
  <c r="N41" i="30" s="1"/>
  <c r="A41" i="30"/>
  <c r="B40" i="30"/>
  <c r="N40" i="30" s="1"/>
  <c r="A40" i="30"/>
  <c r="B39" i="30"/>
  <c r="N39" i="30" s="1"/>
  <c r="A39" i="30"/>
  <c r="B38" i="30"/>
  <c r="N38" i="30" s="1"/>
  <c r="A38" i="30"/>
  <c r="B37" i="30"/>
  <c r="N37" i="30" s="1"/>
  <c r="A37" i="30"/>
  <c r="B36" i="30"/>
  <c r="N36" i="30" s="1"/>
  <c r="A36" i="30"/>
  <c r="B35" i="30"/>
  <c r="N35" i="30" s="1"/>
  <c r="A35" i="30"/>
  <c r="B34" i="30"/>
  <c r="N34" i="30" s="1"/>
  <c r="A34" i="30"/>
  <c r="B33" i="30"/>
  <c r="N33" i="30" s="1"/>
  <c r="A33" i="30"/>
  <c r="B32" i="30"/>
  <c r="N32" i="30" s="1"/>
  <c r="A32" i="30"/>
  <c r="B31" i="30"/>
  <c r="N31" i="30" s="1"/>
  <c r="A31" i="30"/>
  <c r="B30" i="30"/>
  <c r="N30" i="30" s="1"/>
  <c r="A30" i="30"/>
  <c r="B29" i="30"/>
  <c r="N29" i="30" s="1"/>
  <c r="A29" i="30"/>
  <c r="B28" i="30"/>
  <c r="N28" i="30" s="1"/>
  <c r="A28" i="30"/>
  <c r="B27" i="30"/>
  <c r="N27" i="30" s="1"/>
  <c r="A27" i="30"/>
  <c r="B26" i="30"/>
  <c r="N26" i="30" s="1"/>
  <c r="A26" i="30"/>
  <c r="B25" i="30"/>
  <c r="N25" i="30" s="1"/>
  <c r="A25" i="30"/>
  <c r="B24" i="30"/>
  <c r="N24" i="30" s="1"/>
  <c r="A24" i="30"/>
  <c r="B23" i="30"/>
  <c r="N23" i="30" s="1"/>
  <c r="A23" i="30"/>
  <c r="B22" i="30"/>
  <c r="N22" i="30" s="1"/>
  <c r="A22" i="30"/>
  <c r="B21" i="30"/>
  <c r="N21" i="30" s="1"/>
  <c r="A21" i="30"/>
  <c r="B20" i="30"/>
  <c r="N20" i="30" s="1"/>
  <c r="A20" i="30"/>
  <c r="B19" i="30"/>
  <c r="N19" i="30" s="1"/>
  <c r="A19" i="30"/>
  <c r="B18" i="30"/>
  <c r="N18" i="30" s="1"/>
  <c r="A18" i="30"/>
  <c r="B17" i="30"/>
  <c r="N17" i="30" s="1"/>
  <c r="A17" i="30"/>
  <c r="B16" i="30"/>
  <c r="N16" i="30" s="1"/>
  <c r="A16" i="30"/>
  <c r="B15" i="30"/>
  <c r="N15" i="30" s="1"/>
  <c r="A15" i="30"/>
  <c r="B14" i="30"/>
  <c r="N14" i="30" s="1"/>
  <c r="A14" i="30"/>
  <c r="B13" i="30"/>
  <c r="N13" i="30" s="1"/>
  <c r="A13" i="30"/>
  <c r="B12" i="30"/>
  <c r="N12" i="30" s="1"/>
  <c r="A12" i="30"/>
  <c r="B11" i="30"/>
  <c r="N11" i="30" s="1"/>
  <c r="A11" i="30"/>
  <c r="B10" i="30"/>
  <c r="N10" i="30" s="1"/>
  <c r="A10" i="30"/>
  <c r="B9" i="30"/>
  <c r="N9" i="30" s="1"/>
  <c r="A9" i="30"/>
  <c r="E92" i="28" l="1"/>
  <c r="F92" i="28"/>
  <c r="G92" i="28"/>
  <c r="H92" i="28"/>
  <c r="I92" i="28"/>
  <c r="J92" i="28"/>
  <c r="K92" i="28"/>
  <c r="L92" i="28"/>
  <c r="M92" i="28"/>
  <c r="N92" i="28"/>
  <c r="O92" i="28"/>
  <c r="P92" i="28"/>
  <c r="Q92" i="28"/>
  <c r="R92" i="28"/>
  <c r="S92" i="28"/>
  <c r="T92" i="28"/>
  <c r="D92" i="28"/>
  <c r="E86" i="28"/>
  <c r="F86" i="28"/>
  <c r="G86" i="28"/>
  <c r="H86" i="28"/>
  <c r="I86" i="28"/>
  <c r="J86" i="28"/>
  <c r="K86" i="28"/>
  <c r="L86" i="28"/>
  <c r="M86" i="28"/>
  <c r="N86" i="28"/>
  <c r="O86" i="28"/>
  <c r="P86" i="28"/>
  <c r="Q86" i="28"/>
  <c r="R86" i="28"/>
  <c r="S86" i="28"/>
  <c r="T86" i="28"/>
  <c r="D86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X46" i="28" l="1"/>
  <c r="X56" i="28"/>
  <c r="X40" i="28"/>
  <c r="X30" i="28"/>
  <c r="X62" i="28"/>
  <c r="X22" i="28"/>
  <c r="X42" i="28"/>
  <c r="X38" i="28"/>
  <c r="X10" i="28"/>
  <c r="X54" i="28"/>
  <c r="X14" i="28"/>
  <c r="X24" i="28"/>
  <c r="X70" i="28"/>
  <c r="X64" i="28"/>
  <c r="X71" i="28"/>
  <c r="X50" i="28"/>
  <c r="X58" i="28"/>
  <c r="X66" i="28"/>
  <c r="X16" i="28"/>
  <c r="X32" i="28"/>
  <c r="X48" i="28"/>
  <c r="X18" i="28"/>
  <c r="X26" i="28"/>
  <c r="X34" i="28"/>
  <c r="X12" i="28"/>
  <c r="X20" i="28"/>
  <c r="X28" i="28"/>
  <c r="X36" i="28"/>
  <c r="X44" i="28"/>
  <c r="X52" i="28"/>
  <c r="X60" i="28"/>
  <c r="X68" i="28"/>
  <c r="X9" i="28"/>
  <c r="X11" i="28"/>
  <c r="X13" i="28"/>
  <c r="X15" i="28"/>
  <c r="X17" i="28"/>
  <c r="X19" i="28"/>
  <c r="X21" i="28"/>
  <c r="X23" i="28"/>
  <c r="X25" i="28"/>
  <c r="X27" i="28"/>
  <c r="X29" i="28"/>
  <c r="X31" i="28"/>
  <c r="X33" i="28"/>
  <c r="X35" i="28"/>
  <c r="X37" i="28"/>
  <c r="X39" i="28"/>
  <c r="X41" i="28"/>
  <c r="X43" i="28"/>
  <c r="X45" i="28"/>
  <c r="X47" i="28"/>
  <c r="X49" i="28"/>
  <c r="X51" i="28"/>
  <c r="X53" i="28"/>
  <c r="X55" i="28"/>
  <c r="X57" i="28"/>
  <c r="X59" i="28"/>
  <c r="X61" i="28"/>
  <c r="X63" i="28"/>
  <c r="X65" i="28"/>
  <c r="X67" i="28"/>
  <c r="X69" i="28"/>
  <c r="F4" i="22" l="1"/>
  <c r="F5" i="22"/>
  <c r="F6" i="22"/>
  <c r="F7" i="22"/>
  <c r="F8" i="22"/>
  <c r="F9" i="22"/>
  <c r="F10" i="22"/>
  <c r="F11" i="22"/>
  <c r="F12" i="22"/>
  <c r="F13" i="22"/>
  <c r="F14" i="22"/>
  <c r="F15" i="22"/>
  <c r="F16" i="22"/>
  <c r="F3" i="22"/>
  <c r="L16" i="20" l="1"/>
  <c r="K16" i="20"/>
  <c r="L15" i="19"/>
  <c r="K15" i="19"/>
  <c r="K1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tc={79F92A93-20B6-4D07-B955-86FF5A3BCE7A}</author>
  </authors>
  <commentList>
    <comment ref="C10" authorId="0" shapeId="0" xr:uid="{79F92A93-20B6-4D07-B955-86FF5A3BCE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key값 관리 &amp; 이력과 함께 볼 마켓 정보 (마스터생성 시, KEY로 연결 필요)</t>
      </text>
    </comment>
  </commentList>
</comments>
</file>

<file path=xl/sharedStrings.xml><?xml version="1.0" encoding="utf-8"?>
<sst xmlns="http://schemas.openxmlformats.org/spreadsheetml/2006/main" count="57027" uniqueCount="4861">
  <si>
    <t>Region</t>
    <phoneticPr fontId="2" type="noConversion"/>
  </si>
  <si>
    <t>Country</t>
  </si>
  <si>
    <t>Asia</t>
    <phoneticPr fontId="2" type="noConversion"/>
  </si>
  <si>
    <t>Australia</t>
    <phoneticPr fontId="2" type="noConversion"/>
  </si>
  <si>
    <t>Asia</t>
  </si>
  <si>
    <t>Australia</t>
  </si>
  <si>
    <t>행 레이블</t>
  </si>
  <si>
    <t>Singapore</t>
  </si>
  <si>
    <t>Taiwan</t>
  </si>
  <si>
    <t>Thailand</t>
  </si>
  <si>
    <t>Country</t>
    <phoneticPr fontId="2" type="noConversion"/>
  </si>
  <si>
    <t>Retailers</t>
    <phoneticPr fontId="2" type="noConversion"/>
  </si>
  <si>
    <t>Vietnam</t>
  </si>
  <si>
    <t>NA</t>
    <phoneticPr fontId="2" type="noConversion"/>
  </si>
  <si>
    <t>Europe</t>
  </si>
  <si>
    <t>Europe</t>
    <phoneticPr fontId="2" type="noConversion"/>
  </si>
  <si>
    <t>France</t>
  </si>
  <si>
    <t>LATAM</t>
    <phoneticPr fontId="2" type="noConversion"/>
  </si>
  <si>
    <t>Germany</t>
  </si>
  <si>
    <t>ASIA</t>
    <phoneticPr fontId="2" type="noConversion"/>
  </si>
  <si>
    <t>Italy</t>
  </si>
  <si>
    <t>MEA</t>
    <phoneticPr fontId="2" type="noConversion"/>
  </si>
  <si>
    <t>Netherlands</t>
  </si>
  <si>
    <t>INDIA</t>
    <phoneticPr fontId="2" type="noConversion"/>
  </si>
  <si>
    <t>Spain</t>
  </si>
  <si>
    <t>TTL</t>
    <phoneticPr fontId="2" type="noConversion"/>
  </si>
  <si>
    <t>Sweden</t>
  </si>
  <si>
    <t>UK</t>
  </si>
  <si>
    <t>France</t>
    <phoneticPr fontId="2" type="noConversion"/>
  </si>
  <si>
    <t>India</t>
  </si>
  <si>
    <t>Japan</t>
  </si>
  <si>
    <t>Germany</t>
    <phoneticPr fontId="2" type="noConversion"/>
  </si>
  <si>
    <t>LATAM</t>
  </si>
  <si>
    <t>Brazil</t>
  </si>
  <si>
    <t>Chile</t>
  </si>
  <si>
    <t>Mexico</t>
  </si>
  <si>
    <t>Italy</t>
    <phoneticPr fontId="2" type="noConversion"/>
  </si>
  <si>
    <t>MEA</t>
  </si>
  <si>
    <t>SaudiArabia</t>
  </si>
  <si>
    <t>N.America</t>
  </si>
  <si>
    <t>Canada</t>
  </si>
  <si>
    <t>USA</t>
  </si>
  <si>
    <t>Spain</t>
    <phoneticPr fontId="2" type="noConversion"/>
  </si>
  <si>
    <t>총합계</t>
  </si>
  <si>
    <t>UK</t>
    <phoneticPr fontId="2" type="noConversion"/>
  </si>
  <si>
    <t>Brazil</t>
    <phoneticPr fontId="2" type="noConversion"/>
  </si>
  <si>
    <t>Mexico</t>
    <phoneticPr fontId="2" type="noConversion"/>
  </si>
  <si>
    <t>N.America</t>
    <phoneticPr fontId="2" type="noConversion"/>
  </si>
  <si>
    <t>Canada</t>
    <phoneticPr fontId="2" type="noConversion"/>
  </si>
  <si>
    <t>USA</t>
    <phoneticPr fontId="2" type="noConversion"/>
  </si>
  <si>
    <t>Mapping</t>
    <phoneticPr fontId="2" type="noConversion"/>
  </si>
  <si>
    <t>Australia_Samsung OBS</t>
  </si>
  <si>
    <t>Australia_AMAZON</t>
  </si>
  <si>
    <t>Australia_HARVEYNORMAN</t>
  </si>
  <si>
    <t>Australia_JBHIFI</t>
  </si>
  <si>
    <t>Australia_THEGOODGUYS</t>
  </si>
  <si>
    <t>Singapore_COURTS</t>
  </si>
  <si>
    <t>Singapore_HARVEYNORMAN</t>
  </si>
  <si>
    <t>Singapore_LAZADA</t>
  </si>
  <si>
    <t>Taiwan_MOMOSHOP</t>
  </si>
  <si>
    <t>Taiwan_PCHOME</t>
  </si>
  <si>
    <t>Thailand_HOMEPRO</t>
  </si>
  <si>
    <t>Thailand_LAZADA</t>
  </si>
  <si>
    <t>Thailand_POWERBUY</t>
  </si>
  <si>
    <t>Vietnam_CAOPHONG</t>
  </si>
  <si>
    <t>Vietnam_DIENMAYXANH</t>
  </si>
  <si>
    <t>Vietnam_MEDIAMART</t>
  </si>
  <si>
    <t>France_Samsung OBS</t>
  </si>
  <si>
    <t>France_BOULANGER</t>
  </si>
  <si>
    <t>France_DARTY</t>
  </si>
  <si>
    <t>France_FNAC</t>
  </si>
  <si>
    <t>Germany_Samsung OBS</t>
  </si>
  <si>
    <t>Germany_AMAZON</t>
  </si>
  <si>
    <t>Germany_MEDIAMARKT</t>
  </si>
  <si>
    <t>Germany_OTTO</t>
  </si>
  <si>
    <t>Italy_Samsung OBS</t>
  </si>
  <si>
    <t>Italy_AMAZON</t>
  </si>
  <si>
    <t>Italy_MEDIAWORLD</t>
  </si>
  <si>
    <t>Italy_UNIEURO</t>
  </si>
  <si>
    <t>Netherlands_COOLBLUE</t>
  </si>
  <si>
    <t>Spain_Samsung OBS</t>
  </si>
  <si>
    <t>Spain_AMAZON</t>
  </si>
  <si>
    <t>Spain_ELCORTEINGLES_ELECTRONICA</t>
  </si>
  <si>
    <t>Spain_MEDIAMARKT</t>
  </si>
  <si>
    <t>Sweden_ELGIGANTEN</t>
  </si>
  <si>
    <t>UK_Samsung OBS</t>
  </si>
  <si>
    <t>UK_AMAZON</t>
  </si>
  <si>
    <t>UK_AO</t>
  </si>
  <si>
    <t>UK_CURRYS</t>
  </si>
  <si>
    <t>India_AMAZON_LG</t>
  </si>
  <si>
    <t>India_FLIPKART</t>
  </si>
  <si>
    <t>Japan_AMAZON</t>
  </si>
  <si>
    <t>Brazil_Samsung OBS</t>
  </si>
  <si>
    <t>Brazil_MERCARDOLIVRE</t>
  </si>
  <si>
    <t>Brazil_AMERICANAS</t>
  </si>
  <si>
    <t>Brazil_MAGAZINELUIZA</t>
  </si>
  <si>
    <t>Brazil_AMAZON</t>
  </si>
  <si>
    <t>Brazil_LG OBS</t>
  </si>
  <si>
    <t>Brazil_Pontofrio</t>
  </si>
  <si>
    <t>Chile_FALABELLA</t>
  </si>
  <si>
    <t>Mexico_Samsung OBS</t>
  </si>
  <si>
    <t>Mexico_LIVERPOOL</t>
  </si>
  <si>
    <t>SaudiArabia_EXTRA</t>
  </si>
  <si>
    <t>Canada_Samsung OBS</t>
  </si>
  <si>
    <t>Canada_AMAZON</t>
  </si>
  <si>
    <t>Canada_BESTBUY</t>
  </si>
  <si>
    <t>Canada_COSTCO</t>
  </si>
  <si>
    <t>Canada_HOMEDEPOT</t>
  </si>
  <si>
    <t>Canada_THEBRICK</t>
  </si>
  <si>
    <t>USA_Samsung OBS</t>
  </si>
  <si>
    <t>USA_AMAZON_LG</t>
  </si>
  <si>
    <t>USA_BESTBUY_LG</t>
  </si>
  <si>
    <t>USA_COSTCO_LG</t>
  </si>
  <si>
    <t>감토 중인 Pontofrio, Fastshop 중 택 1 예정</t>
    <phoneticPr fontId="2" type="noConversion"/>
  </si>
  <si>
    <t>Brazil_Fastshop</t>
  </si>
  <si>
    <t>[해영본] '26년 OSM 대상 유통</t>
    <phoneticPr fontId="2" type="noConversion"/>
  </si>
  <si>
    <t>[ 코드 구분 ]</t>
    <phoneticPr fontId="2" type="noConversion"/>
  </si>
  <si>
    <t>* Notes</t>
    <phoneticPr fontId="2" type="noConversion"/>
  </si>
  <si>
    <t>전체 유통 수</t>
    <phoneticPr fontId="2" type="noConversion"/>
  </si>
  <si>
    <t>코드</t>
  </si>
  <si>
    <t>List</t>
  </si>
  <si>
    <t>Search</t>
  </si>
  <si>
    <t>정의</t>
  </si>
  <si>
    <t>  - '26년 신규 개발 유통 : 17개 유통</t>
    <phoneticPr fontId="2" type="noConversion"/>
  </si>
  <si>
    <t>Active</t>
    <phoneticPr fontId="2" type="noConversion"/>
  </si>
  <si>
    <t>* 최종 국가/유통수, US HOMEDEPOT 제외한 숫자임</t>
    <phoneticPr fontId="2" type="noConversion"/>
  </si>
  <si>
    <t>YY</t>
  </si>
  <si>
    <t>O</t>
  </si>
  <si>
    <t>List, Search 모두에서 해당 카테고리 데이터가 존재</t>
  </si>
  <si>
    <t xml:space="preserve">  - 기존 유통 카테고리 추가 개발 유통 : 57개 유통 </t>
    <phoneticPr fontId="2" type="noConversion"/>
  </si>
  <si>
    <t>Upcoming</t>
    <phoneticPr fontId="2" type="noConversion"/>
  </si>
  <si>
    <t>NY</t>
  </si>
  <si>
    <t>X</t>
  </si>
  <si>
    <t>① List 사이트 내 해당 카테고리 확인 불가(메뉴 없음), ② List 사이트에서 데이터는 유입되었으나 다른 카테고리로 분류된 경우(ex. 세탁/건조 일체형 제품 → 세탁기로 분류)</t>
    <phoneticPr fontId="2" type="noConversion"/>
  </si>
  <si>
    <t>  -  US AMAZON 7개 Zipcode 추가</t>
    <phoneticPr fontId="2" type="noConversion"/>
  </si>
  <si>
    <t>YN</t>
  </si>
  <si>
    <t>① 키워드 검색 시 해당 카테고리 데이터가 없는 경우, ② 키워드 검색 시 데이터는 유입되었으나 다른 카테고리로 분류된 경우(ex. 세탁/건조 일체형 제품 → 세탁기로 분류)</t>
    <phoneticPr fontId="2" type="noConversion"/>
  </si>
  <si>
    <t>  -  US HOMEDEPOT은 guarantee 하지 않고 수집</t>
    <phoneticPr fontId="2" type="noConversion"/>
  </si>
  <si>
    <t>Total</t>
    <phoneticPr fontId="2" type="noConversion"/>
  </si>
  <si>
    <t>NN</t>
    <phoneticPr fontId="2" type="noConversion"/>
  </si>
  <si>
    <t>수집 범위로 선정되었으나, List, Search 모두에서 데이터 미수집(ex, 검색 키워드 조회시 결과 없음,  사이트 내 해당 카테고리 확인 불가(메뉴 없음) 등)</t>
    <phoneticPr fontId="2" type="noConversion"/>
  </si>
  <si>
    <t>빈칸</t>
    <phoneticPr fontId="2" type="noConversion"/>
  </si>
  <si>
    <t>수집 범위 아님</t>
    <phoneticPr fontId="2" type="noConversion"/>
  </si>
  <si>
    <t>26년 OSM 추가 국가/유통</t>
    <phoneticPr fontId="2" type="noConversion"/>
  </si>
  <si>
    <t>LG전자 현업 업데이트 필요</t>
    <phoneticPr fontId="2" type="noConversion"/>
  </si>
  <si>
    <r>
      <t>*</t>
    </r>
    <r>
      <rPr>
        <sz val="10"/>
        <color theme="1"/>
        <rFont val="LG스마트체 Regular"/>
        <family val="3"/>
        <charset val="129"/>
      </rPr>
      <t>Start가 실제 유입 날짜 개념, Last updated는 개발 예상일자로 사용됨(이전 부터 유입된 유통은 2025-01-01로 통일됨. start는 데이터가 1건 이상인 경우 표기됨.</t>
    </r>
    <phoneticPr fontId="2" type="noConversion"/>
  </si>
  <si>
    <t>*REG_DATE : '26년 신규 또는 기존에서 카테고리가 추가된경우 일괄적으로 2026-02-28로 표기함, 향후 실제 추가 업데이트시 변경해야함</t>
    <phoneticPr fontId="2" type="noConversion"/>
  </si>
  <si>
    <t>SITE_ID</t>
    <phoneticPr fontId="2" type="noConversion"/>
  </si>
  <si>
    <t>Site Code</t>
    <phoneticPr fontId="2" type="noConversion"/>
  </si>
  <si>
    <t>OBS 여부</t>
    <phoneticPr fontId="2" type="noConversion"/>
  </si>
  <si>
    <t>CDP 대상 여부</t>
    <phoneticPr fontId="2" type="noConversion"/>
  </si>
  <si>
    <t>Online_Store</t>
  </si>
  <si>
    <t>URL</t>
  </si>
  <si>
    <t>Channel Type 1</t>
    <phoneticPr fontId="2" type="noConversion"/>
  </si>
  <si>
    <t>Channel Type 2</t>
    <phoneticPr fontId="2" type="noConversion"/>
  </si>
  <si>
    <t>Status</t>
    <phoneticPr fontId="2" type="noConversion"/>
  </si>
  <si>
    <t>Last updated</t>
    <phoneticPr fontId="2" type="noConversion"/>
  </si>
  <si>
    <t>Start</t>
  </si>
  <si>
    <t>end</t>
  </si>
  <si>
    <t>REF</t>
  </si>
  <si>
    <t>WM</t>
  </si>
  <si>
    <t>TV</t>
  </si>
  <si>
    <t>MNT</t>
  </si>
  <si>
    <t>RAC</t>
  </si>
  <si>
    <t>B/T SPEAKER</t>
  </si>
  <si>
    <t>SOUNDBAR</t>
  </si>
  <si>
    <t>WIRELESS
HEADSET</t>
    <phoneticPr fontId="2" type="noConversion"/>
  </si>
  <si>
    <t>AIR CLEANER</t>
  </si>
  <si>
    <t>CORDLESS STICK 
VACUUM</t>
  </si>
  <si>
    <t>DISHWASHER</t>
  </si>
  <si>
    <t>DRYER</t>
    <phoneticPr fontId="2" type="noConversion"/>
  </si>
  <si>
    <t>LAPTOP</t>
  </si>
  <si>
    <t>LED MASK</t>
  </si>
  <si>
    <t>OVEN</t>
  </si>
  <si>
    <t>STYLER</t>
  </si>
  <si>
    <t>WATER 
PURIFIER</t>
  </si>
  <si>
    <t>Core 제품 수</t>
  </si>
  <si>
    <t>제품 카테고리</t>
  </si>
  <si>
    <t>블록제한 건수</t>
    <phoneticPr fontId="2" type="noConversion"/>
  </si>
  <si>
    <t>비고</t>
    <phoneticPr fontId="2" type="noConversion"/>
  </si>
  <si>
    <t>REG_DATE</t>
    <phoneticPr fontId="55" type="noConversion"/>
  </si>
  <si>
    <t>REGTRNT_ID</t>
    <phoneticPr fontId="55" type="noConversion"/>
  </si>
  <si>
    <t>AU</t>
    <phoneticPr fontId="2" type="noConversion"/>
  </si>
  <si>
    <t>O</t>
    <phoneticPr fontId="2" type="noConversion"/>
  </si>
  <si>
    <t>SS.com</t>
  </si>
  <si>
    <t>https://www.samsung.com/au</t>
    <phoneticPr fontId="2" type="noConversion"/>
  </si>
  <si>
    <t>자사몰</t>
    <phoneticPr fontId="2" type="noConversion"/>
  </si>
  <si>
    <t>OBS</t>
    <phoneticPr fontId="2" type="noConversion"/>
  </si>
  <si>
    <t>YY</t>
    <phoneticPr fontId="74" type="noConversion"/>
  </si>
  <si>
    <t>inae.you</t>
  </si>
  <si>
    <t>LG.com</t>
    <phoneticPr fontId="74" type="noConversion"/>
  </si>
  <si>
    <t>https://www.lg.com/au</t>
    <phoneticPr fontId="2" type="noConversion"/>
  </si>
  <si>
    <t>자사몰</t>
    <phoneticPr fontId="74" type="noConversion"/>
  </si>
  <si>
    <t>26년 추가</t>
    <phoneticPr fontId="74" type="noConversion"/>
  </si>
  <si>
    <t>Active</t>
  </si>
  <si>
    <t>YY</t>
    <phoneticPr fontId="2" type="noConversion"/>
  </si>
  <si>
    <t>AMAZON</t>
    <phoneticPr fontId="2" type="noConversion"/>
  </si>
  <si>
    <t>https://www.amazon.com.au/</t>
  </si>
  <si>
    <t>종합몰/오픈마켓</t>
    <phoneticPr fontId="2" type="noConversion"/>
  </si>
  <si>
    <t>Pure Online</t>
  </si>
  <si>
    <t>NY</t>
    <phoneticPr fontId="74" type="noConversion"/>
  </si>
  <si>
    <t>AU</t>
  </si>
  <si>
    <t>HARVEYNORMAN</t>
  </si>
  <si>
    <t>https://www.harveynorman.com.au/</t>
  </si>
  <si>
    <t>전문몰</t>
    <phoneticPr fontId="2" type="noConversion"/>
  </si>
  <si>
    <t>Hybrid</t>
  </si>
  <si>
    <t>JBHIFI</t>
  </si>
  <si>
    <t>https://www.jbhifi.com.au/</t>
  </si>
  <si>
    <t>전문몰</t>
  </si>
  <si>
    <t>THEGOODGUYS</t>
  </si>
  <si>
    <t>https://www.thegoodguys.com.au/</t>
  </si>
  <si>
    <t>SG</t>
  </si>
  <si>
    <t>COURTS</t>
  </si>
  <si>
    <t>https://www.courts.com.sg/</t>
    <phoneticPr fontId="2" type="noConversion"/>
  </si>
  <si>
    <t>https://www.harveynorman.com.sg</t>
  </si>
  <si>
    <t>LAZADA</t>
  </si>
  <si>
    <t>https://www.lazada.sg/</t>
    <phoneticPr fontId="2" type="noConversion"/>
  </si>
  <si>
    <t>오픈마켓</t>
    <phoneticPr fontId="2" type="noConversion"/>
  </si>
  <si>
    <t>TW</t>
  </si>
  <si>
    <t>MOMOSHOP</t>
  </si>
  <si>
    <t>https://www.momoshop.com.tw/</t>
  </si>
  <si>
    <t>오픈 마켓</t>
    <phoneticPr fontId="2" type="noConversion"/>
  </si>
  <si>
    <t>PCHOME</t>
  </si>
  <si>
    <t>https://24h.pchome.com.tw/</t>
  </si>
  <si>
    <t>종합몰</t>
  </si>
  <si>
    <t>https://www.samsung.com/tw</t>
    <phoneticPr fontId="2" type="noConversion"/>
  </si>
  <si>
    <t>NY</t>
    <phoneticPr fontId="2" type="noConversion"/>
  </si>
  <si>
    <t>https://www.lg.com/tw</t>
    <phoneticPr fontId="2" type="noConversion"/>
  </si>
  <si>
    <t>NN</t>
    <phoneticPr fontId="74" type="noConversion"/>
  </si>
  <si>
    <t>WIRELESS HEADSET 수집 불가</t>
    <phoneticPr fontId="2" type="noConversion"/>
  </si>
  <si>
    <t>TH</t>
  </si>
  <si>
    <t>HOMEPRO</t>
  </si>
  <si>
    <t>https://www.homepro.co.th/</t>
  </si>
  <si>
    <t>POWERBUY</t>
  </si>
  <si>
    <t>https://www.powerbuy.co.th/</t>
  </si>
  <si>
    <t xml:space="preserve">https://www.samsung.com/th </t>
    <phoneticPr fontId="2" type="noConversion"/>
  </si>
  <si>
    <t>https://www.lg.com/th</t>
    <phoneticPr fontId="2" type="noConversion"/>
  </si>
  <si>
    <t>VN</t>
  </si>
  <si>
    <t>CAOPHONG</t>
  </si>
  <si>
    <t>https://dienmaycholon.vn</t>
    <phoneticPr fontId="2" type="noConversion"/>
  </si>
  <si>
    <t>DIENMAYXANH</t>
  </si>
  <si>
    <t>https://www.dienmayxanh.com/</t>
  </si>
  <si>
    <t>MEDIAMART</t>
  </si>
  <si>
    <t>https://mediamart.vn/</t>
  </si>
  <si>
    <t>2025-06-17</t>
  </si>
  <si>
    <t>VN</t>
    <phoneticPr fontId="2" type="noConversion"/>
  </si>
  <si>
    <t xml:space="preserve">https://www.samsung.com/vn </t>
    <phoneticPr fontId="2" type="noConversion"/>
  </si>
  <si>
    <t xml:space="preserve">https://www.lg.com/vn  </t>
    <phoneticPr fontId="2" type="noConversion"/>
  </si>
  <si>
    <t>FR</t>
    <phoneticPr fontId="2" type="noConversion"/>
  </si>
  <si>
    <t>https://www.samsung.com/fr</t>
    <phoneticPr fontId="2" type="noConversion"/>
  </si>
  <si>
    <t>RAC 수집 불가</t>
    <phoneticPr fontId="2" type="noConversion"/>
  </si>
  <si>
    <t>FR</t>
  </si>
  <si>
    <t>BOULANGER</t>
  </si>
  <si>
    <t>https://www.boulanger.com/</t>
  </si>
  <si>
    <t>DARTY</t>
  </si>
  <si>
    <t>https://www.darty.com/</t>
  </si>
  <si>
    <t>FNAC</t>
  </si>
  <si>
    <t>https://www.fnac.com/</t>
  </si>
  <si>
    <t>https://www.lg.com/fr</t>
    <phoneticPr fontId="2" type="noConversion"/>
  </si>
  <si>
    <t>DE</t>
    <phoneticPr fontId="2" type="noConversion"/>
  </si>
  <si>
    <t>https://www.samsung.com/de</t>
    <phoneticPr fontId="2" type="noConversion"/>
  </si>
  <si>
    <t>DE</t>
  </si>
  <si>
    <t>AMAZON</t>
  </si>
  <si>
    <t>https://www.amazon.de/</t>
  </si>
  <si>
    <t>MEDIAMARKT</t>
  </si>
  <si>
    <t>https://www.mediamarkt.de/</t>
    <phoneticPr fontId="2" type="noConversion"/>
  </si>
  <si>
    <t>OTTO</t>
  </si>
  <si>
    <t>https://www.otto.de/</t>
  </si>
  <si>
    <t>https://www.lg.com/de</t>
    <phoneticPr fontId="2" type="noConversion"/>
  </si>
  <si>
    <t>IT</t>
    <phoneticPr fontId="2" type="noConversion"/>
  </si>
  <si>
    <t>https://www.samsung.com/it</t>
    <phoneticPr fontId="2" type="noConversion"/>
  </si>
  <si>
    <t>IT</t>
  </si>
  <si>
    <t>https://www.amazon.it/</t>
  </si>
  <si>
    <t>MEDIAWORLD</t>
  </si>
  <si>
    <t>https://www.mediaworld.it/</t>
  </si>
  <si>
    <t>UNIEURO</t>
  </si>
  <si>
    <t>https://www.unieuro.it/</t>
    <phoneticPr fontId="2" type="noConversion"/>
  </si>
  <si>
    <t>https://www.lg.com/it</t>
    <phoneticPr fontId="2" type="noConversion"/>
  </si>
  <si>
    <t>NL</t>
  </si>
  <si>
    <t>X</t>
    <phoneticPr fontId="2" type="noConversion"/>
  </si>
  <si>
    <t>COOLBLUE</t>
  </si>
  <si>
    <t>https://www.coolblue.nl/</t>
    <phoneticPr fontId="2" type="noConversion"/>
  </si>
  <si>
    <t>YN</t>
    <phoneticPr fontId="2" type="noConversion"/>
  </si>
  <si>
    <t>ES</t>
    <phoneticPr fontId="2" type="noConversion"/>
  </si>
  <si>
    <t>https://www.samsung.com/es</t>
    <phoneticPr fontId="2" type="noConversion"/>
  </si>
  <si>
    <t>ES</t>
  </si>
  <si>
    <t>https://www.amazon.es/</t>
  </si>
  <si>
    <t>ELCORTEINGLES_ELECTRONICA</t>
  </si>
  <si>
    <t>https://www.elcorteingles.es/</t>
  </si>
  <si>
    <t>https://www.mediamarkt.es/</t>
  </si>
  <si>
    <t>https://www.lg.com/es</t>
    <phoneticPr fontId="2" type="noConversion"/>
  </si>
  <si>
    <t>Sweden</t>
    <phoneticPr fontId="2" type="noConversion"/>
  </si>
  <si>
    <t>SE</t>
  </si>
  <si>
    <t>ELGIGANTEN</t>
  </si>
  <si>
    <t>https://www.elgiganten.se/</t>
  </si>
  <si>
    <t>https://www.samsung.com/uk</t>
    <phoneticPr fontId="2" type="noConversion"/>
  </si>
  <si>
    <t>https://www.amazon.co.uk/</t>
  </si>
  <si>
    <t>AO</t>
  </si>
  <si>
    <t>https://www.ao.com/</t>
  </si>
  <si>
    <t>CURRYS</t>
    <phoneticPr fontId="2" type="noConversion"/>
  </si>
  <si>
    <t>https://www.currys.co.uk/</t>
  </si>
  <si>
    <t>https://www.lg.com/uk</t>
    <phoneticPr fontId="2" type="noConversion"/>
  </si>
  <si>
    <t>IN</t>
  </si>
  <si>
    <t>AMAZON_LG</t>
  </si>
  <si>
    <t>www.amazon.in</t>
    <phoneticPr fontId="2" type="noConversion"/>
  </si>
  <si>
    <t>FLIPKART</t>
    <phoneticPr fontId="2" type="noConversion"/>
  </si>
  <si>
    <t>https://www.flipkart.com/</t>
  </si>
  <si>
    <t>JP</t>
  </si>
  <si>
    <t>https://www.amazon.co.jp/</t>
  </si>
  <si>
    <t>BR</t>
    <phoneticPr fontId="2" type="noConversion"/>
  </si>
  <si>
    <t>https://www.samsung.com/br</t>
    <phoneticPr fontId="2" type="noConversion"/>
  </si>
  <si>
    <t>BR</t>
  </si>
  <si>
    <t>MERCADOLIVRE</t>
  </si>
  <si>
    <t>htts://www.mercadolivre.com.br</t>
    <phoneticPr fontId="2" type="noConversion"/>
  </si>
  <si>
    <t>종합몰</t>
    <phoneticPr fontId="2" type="noConversion"/>
  </si>
  <si>
    <t>Pure Online</t>
    <phoneticPr fontId="2" type="noConversion"/>
  </si>
  <si>
    <t>AMERICANAS</t>
    <phoneticPr fontId="2" type="noConversion"/>
  </si>
  <si>
    <t>https://americanas.com.br</t>
    <phoneticPr fontId="2" type="noConversion"/>
  </si>
  <si>
    <t>MAGAZINELUIZA</t>
  </si>
  <si>
    <t>https://www.magazineluiza.com.br/</t>
    <phoneticPr fontId="2" type="noConversion"/>
  </si>
  <si>
    <t>https://www.amazon.com/br</t>
    <phoneticPr fontId="2" type="noConversion"/>
  </si>
  <si>
    <t>LG.com</t>
    <phoneticPr fontId="2" type="noConversion"/>
  </si>
  <si>
    <t>https://www.lg.com/br</t>
    <phoneticPr fontId="2" type="noConversion"/>
  </si>
  <si>
    <t>Dryer 단독없음.</t>
    <phoneticPr fontId="2" type="noConversion"/>
  </si>
  <si>
    <t>FASTSHOP</t>
    <phoneticPr fontId="2" type="noConversion"/>
  </si>
  <si>
    <t>https://site.fastshop.com.br/</t>
    <phoneticPr fontId="2" type="noConversion"/>
  </si>
  <si>
    <t>CL</t>
  </si>
  <si>
    <t>FALABELLA</t>
  </si>
  <si>
    <t>https://www.falabella.com/falabella-cl/</t>
  </si>
  <si>
    <t>MX</t>
    <phoneticPr fontId="2" type="noConversion"/>
  </si>
  <si>
    <t>https://www.samsung,.com/mx</t>
    <phoneticPr fontId="2" type="noConversion"/>
  </si>
  <si>
    <t>MX</t>
  </si>
  <si>
    <t>LIVERPOOL</t>
  </si>
  <si>
    <t>https://liverpool.com.mx</t>
  </si>
  <si>
    <t>https://www.lg.com/mx</t>
    <phoneticPr fontId="2" type="noConversion"/>
  </si>
  <si>
    <t>COPPEL</t>
    <phoneticPr fontId="74" type="noConversion"/>
  </si>
  <si>
    <t>https://www.coppel.com/</t>
    <phoneticPr fontId="2" type="noConversion"/>
  </si>
  <si>
    <t>SEARS</t>
    <phoneticPr fontId="74" type="noConversion"/>
  </si>
  <si>
    <t>https://www.sears.mx</t>
    <phoneticPr fontId="2" type="noConversion"/>
  </si>
  <si>
    <t>SA</t>
  </si>
  <si>
    <t>EXTRA</t>
    <phoneticPr fontId="2" type="noConversion"/>
  </si>
  <si>
    <t>https://www.extra.com/ar-sa/</t>
    <phoneticPr fontId="2" type="noConversion"/>
  </si>
  <si>
    <t>CA</t>
    <phoneticPr fontId="2" type="noConversion"/>
  </si>
  <si>
    <t>https://www.samsung.com/ca</t>
    <phoneticPr fontId="2" type="noConversion"/>
  </si>
  <si>
    <t>일반 RAC 없음</t>
    <phoneticPr fontId="2" type="noConversion"/>
  </si>
  <si>
    <t>CA</t>
  </si>
  <si>
    <t>https://www.amazon.com.ca</t>
  </si>
  <si>
    <t>구1</t>
    <phoneticPr fontId="2" type="noConversion"/>
  </si>
  <si>
    <t>BESTBUY</t>
  </si>
  <si>
    <t>https://www.bestbuy.ca/</t>
  </si>
  <si>
    <t>COSTCO</t>
  </si>
  <si>
    <t>https://www.costco.ca</t>
  </si>
  <si>
    <t>HOMEDEPOT</t>
  </si>
  <si>
    <t>https://homedepot.ca</t>
    <phoneticPr fontId="2" type="noConversion"/>
  </si>
  <si>
    <t>TV 없음</t>
    <phoneticPr fontId="2" type="noConversion"/>
  </si>
  <si>
    <t>THEBRICK</t>
  </si>
  <si>
    <t>https://www.thebrick.com</t>
  </si>
  <si>
    <t>US</t>
    <phoneticPr fontId="2" type="noConversion"/>
  </si>
  <si>
    <t>https://www.samsung.com/us</t>
    <phoneticPr fontId="2" type="noConversion"/>
  </si>
  <si>
    <t>US</t>
  </si>
  <si>
    <t>https://www.amazon.com/</t>
  </si>
  <si>
    <t>구5</t>
    <phoneticPr fontId="2" type="noConversion"/>
  </si>
  <si>
    <t>BESTBUY_LG</t>
  </si>
  <si>
    <t>https://www.bestbuy.com/</t>
  </si>
  <si>
    <t>COSTCO_LG</t>
    <phoneticPr fontId="2" type="noConversion"/>
  </si>
  <si>
    <t>https://www.costco.com/</t>
    <phoneticPr fontId="2" type="noConversion"/>
  </si>
  <si>
    <t>LOWES_LG</t>
    <phoneticPr fontId="74" type="noConversion"/>
  </si>
  <si>
    <t>https://www.lowes.com/</t>
    <phoneticPr fontId="2" type="noConversion"/>
  </si>
  <si>
    <t>HOMEDEPOT_LG</t>
    <phoneticPr fontId="74" type="noConversion"/>
  </si>
  <si>
    <t>https://homedepot.com</t>
    <phoneticPr fontId="2" type="noConversion"/>
  </si>
  <si>
    <t>China</t>
  </si>
  <si>
    <t>CN</t>
  </si>
  <si>
    <t>JD</t>
  </si>
  <si>
    <t>https://jd.com/</t>
  </si>
  <si>
    <t>Inactive</t>
  </si>
  <si>
    <t>Y</t>
  </si>
  <si>
    <t>N</t>
  </si>
  <si>
    <t>HongKong</t>
  </si>
  <si>
    <t>HK</t>
  </si>
  <si>
    <t>FORTRESS</t>
  </si>
  <si>
    <t>https://www.fortress.com.hk/</t>
  </si>
  <si>
    <t>Indonesia</t>
  </si>
  <si>
    <t>ID</t>
  </si>
  <si>
    <t>HARTONO</t>
  </si>
  <si>
    <t>https://myhartono.com/</t>
  </si>
  <si>
    <t>Malaysia</t>
  </si>
  <si>
    <t>MY</t>
  </si>
  <si>
    <t>SENHENG</t>
  </si>
  <si>
    <t>https://www.senheng.com.my/</t>
  </si>
  <si>
    <t>New Zealand</t>
  </si>
  <si>
    <t>NZ</t>
  </si>
  <si>
    <t>https://www.harveynorman.co.nz</t>
  </si>
  <si>
    <t>Philippines</t>
  </si>
  <si>
    <t>PH</t>
  </si>
  <si>
    <t>ABENSON</t>
  </si>
  <si>
    <t>https://www.abenson.com/</t>
  </si>
  <si>
    <t>ANSON</t>
  </si>
  <si>
    <t>https://ansons.ph</t>
  </si>
  <si>
    <t>SHOPEE</t>
  </si>
  <si>
    <t>https://shopee.vn/</t>
  </si>
  <si>
    <t>CIS</t>
  </si>
  <si>
    <t>Belarus</t>
  </si>
  <si>
    <t>BY</t>
  </si>
  <si>
    <t>21VEK</t>
  </si>
  <si>
    <t>https://www.21vek.by/</t>
  </si>
  <si>
    <t>5ELEMENT</t>
  </si>
  <si>
    <t>https://5element.by/</t>
  </si>
  <si>
    <t>SILA</t>
  </si>
  <si>
    <t>https://sila.by/</t>
  </si>
  <si>
    <t>Kazakhstan</t>
  </si>
  <si>
    <t>KZ</t>
  </si>
  <si>
    <t>SULPAK</t>
  </si>
  <si>
    <t>https://www.sulpak.kz/</t>
  </si>
  <si>
    <t>TECHNODOM</t>
  </si>
  <si>
    <t>https://technodom.kz</t>
  </si>
  <si>
    <t>Russia</t>
  </si>
  <si>
    <t>RU</t>
  </si>
  <si>
    <t>HOLODILNIK</t>
  </si>
  <si>
    <t>https://www.holodilnik.ru/</t>
  </si>
  <si>
    <t>OZON</t>
  </si>
  <si>
    <t>https://www.ozon.ru/</t>
  </si>
  <si>
    <t>CITILINK</t>
  </si>
  <si>
    <t>https://www.citilink.ru</t>
  </si>
  <si>
    <t>ELDORADO</t>
  </si>
  <si>
    <t>https://www.eldorado.ru/</t>
  </si>
  <si>
    <t>MVIDEO</t>
  </si>
  <si>
    <t>https://www.mvideo.ru/</t>
  </si>
  <si>
    <t>DNSSHOP</t>
    <phoneticPr fontId="2" type="noConversion"/>
  </si>
  <si>
    <t>https://www.dns-shop.ru/</t>
  </si>
  <si>
    <t>Austria</t>
  </si>
  <si>
    <t>AT</t>
  </si>
  <si>
    <t>https://www.mediamarkt.at/</t>
  </si>
  <si>
    <t>Czech</t>
  </si>
  <si>
    <t>CZ</t>
  </si>
  <si>
    <t>ALZA</t>
  </si>
  <si>
    <t>https://www.alza.cz/</t>
  </si>
  <si>
    <t>Datart</t>
  </si>
  <si>
    <t>https://www.datart.cz/</t>
  </si>
  <si>
    <t>https://www.amazon.fr/</t>
  </si>
  <si>
    <t>SATURN</t>
  </si>
  <si>
    <t>https://www.saturn.de/</t>
  </si>
  <si>
    <t>Hungary</t>
  </si>
  <si>
    <t>HU</t>
  </si>
  <si>
    <t>EURONICS</t>
  </si>
  <si>
    <t>https://www.euronics.hu/</t>
  </si>
  <si>
    <t>Norway</t>
  </si>
  <si>
    <t>NO</t>
  </si>
  <si>
    <t>ELKJOP</t>
  </si>
  <si>
    <t>https://www.elkjop.no/</t>
  </si>
  <si>
    <t>Poland</t>
  </si>
  <si>
    <t>PL</t>
  </si>
  <si>
    <t>EURO-NET</t>
  </si>
  <si>
    <t>https://www.euro.com.pl/</t>
  </si>
  <si>
    <t>MEDIAEXPERT</t>
  </si>
  <si>
    <t>https://www.mediaexpert.pl/</t>
  </si>
  <si>
    <t>https://www.mediamarkt.pl/</t>
  </si>
  <si>
    <t>Portugal</t>
  </si>
  <si>
    <t>PT</t>
  </si>
  <si>
    <t>RADIO POPULAR</t>
  </si>
  <si>
    <t>https://www.radiopopular.pt</t>
  </si>
  <si>
    <t>WORTEN</t>
  </si>
  <si>
    <t>https://www.worten.pt/</t>
  </si>
  <si>
    <t>ARGOS</t>
  </si>
  <si>
    <t>https://argos.co.uk/</t>
  </si>
  <si>
    <t>OBS</t>
  </si>
  <si>
    <t>PARIS</t>
  </si>
  <si>
    <t>https://www.paris.cl/</t>
  </si>
  <si>
    <t>RIPLEY</t>
  </si>
  <si>
    <t>https://simple.ripley.cl/</t>
  </si>
  <si>
    <t>Colombia</t>
  </si>
  <si>
    <t>CO</t>
  </si>
  <si>
    <t>ALKOSTO</t>
  </si>
  <si>
    <t>https://www.alkosto.com/</t>
  </si>
  <si>
    <t>COPPEL_이전</t>
    <phoneticPr fontId="2" type="noConversion"/>
  </si>
  <si>
    <t>https://www.coppel.com/</t>
  </si>
  <si>
    <t>Panama</t>
  </si>
  <si>
    <t>PA</t>
  </si>
  <si>
    <t>PANAFOTO</t>
  </si>
  <si>
    <t>https://www.panafoto.com/</t>
  </si>
  <si>
    <t>Peru</t>
  </si>
  <si>
    <t>PE</t>
  </si>
  <si>
    <t>https://www.falabella.com.pe</t>
  </si>
  <si>
    <t>OECHSLE</t>
  </si>
  <si>
    <t>https://www.oechsle.pe/</t>
  </si>
  <si>
    <t>SouthAfrica</t>
  </si>
  <si>
    <t>ZA</t>
  </si>
  <si>
    <t>HIRSCHS</t>
  </si>
  <si>
    <t>https://www.hirschs.co.za/</t>
  </si>
  <si>
    <t>MAKRO</t>
  </si>
  <si>
    <t>https://www.makro.co.za/</t>
  </si>
  <si>
    <t>Turkiye</t>
  </si>
  <si>
    <t>TR</t>
  </si>
  <si>
    <t>https://www.mediamarkt.com.tr/</t>
  </si>
  <si>
    <t>TEKNOSA</t>
  </si>
  <si>
    <t>https://www.teknosa.com/</t>
  </si>
  <si>
    <t>VATAN</t>
  </si>
  <si>
    <t>https://www.vatanbilgisayar.com/</t>
  </si>
  <si>
    <t>UAE</t>
  </si>
  <si>
    <t>AE</t>
  </si>
  <si>
    <t>https://www.amazon.ae/</t>
  </si>
  <si>
    <t>LULU</t>
  </si>
  <si>
    <t>https://www.luluhypermarket.com/</t>
  </si>
  <si>
    <t>SHARAFDG</t>
  </si>
  <si>
    <t>https://uae.sharafdg.com/</t>
  </si>
  <si>
    <t>LOWES</t>
  </si>
  <si>
    <t>https://www.lowes.ca/</t>
  </si>
  <si>
    <t>RONA</t>
  </si>
  <si>
    <t>https://www.rona.ca/</t>
  </si>
  <si>
    <t>HOMEDEPOT_LG_이전</t>
    <phoneticPr fontId="2" type="noConversion"/>
  </si>
  <si>
    <t>https://homedepot.com</t>
  </si>
  <si>
    <t>LOWES_LG_이전</t>
    <phoneticPr fontId="2" type="noConversion"/>
  </si>
  <si>
    <t>https://www.lowes.com/</t>
  </si>
  <si>
    <t>TARGET</t>
  </si>
  <si>
    <t>https://www.target.com/</t>
  </si>
  <si>
    <t>Denmark</t>
  </si>
  <si>
    <t>DK</t>
  </si>
  <si>
    <t>ELGIGANTEN</t>
    <phoneticPr fontId="2" type="noConversion"/>
  </si>
  <si>
    <t>https://www.elgiganten.dk/</t>
  </si>
  <si>
    <t>Pontofrio</t>
    <phoneticPr fontId="2" type="noConversion"/>
  </si>
  <si>
    <t>http://www.pontofrio.com.br/</t>
    <phoneticPr fontId="2" type="noConversion"/>
  </si>
  <si>
    <t>N/A</t>
    <phoneticPr fontId="2" type="noConversion"/>
  </si>
  <si>
    <t>CAT_FRIDGE_CLCT_YN</t>
  </si>
  <si>
    <t>CAT_WM_CLCT_YN</t>
  </si>
  <si>
    <t>CAT_TV_CLCT_YN</t>
  </si>
  <si>
    <t>CAT_MNT_CLCT_YN</t>
  </si>
  <si>
    <t>CAT_AIRCON_CLCT_YN</t>
  </si>
  <si>
    <t>CAT_BT_SPK_CLCT_YN</t>
  </si>
  <si>
    <t>CAT_SDB_CLCT_YN</t>
  </si>
  <si>
    <t>CAT_WRLSS_HST_CLCT_YN</t>
  </si>
  <si>
    <t>CAT_ACL_CLCT_YN</t>
  </si>
  <si>
    <t>CAT_WRLSS_STCK_VCM_CLCT_YN</t>
    <phoneticPr fontId="2" type="noConversion"/>
  </si>
  <si>
    <t>CAT_DWM_CLCT_YN</t>
  </si>
  <si>
    <t>CAT_DRYER_CLCT_YN</t>
  </si>
  <si>
    <t>CAT_NB_CLCT_YN</t>
  </si>
  <si>
    <t>CAT_LEDM_CLCT_YN</t>
  </si>
  <si>
    <t>CAT_EOV_CLCT_YN</t>
  </si>
  <si>
    <t>CAT_STL_CLCT_YN</t>
  </si>
  <si>
    <t>CAT_WPF_CLCT_YN</t>
  </si>
  <si>
    <t>WIRELESS
HEADSET</t>
  </si>
  <si>
    <t>DRYER</t>
  </si>
  <si>
    <t>CAT_WRLSS_STCK_CLCT_YN</t>
    <phoneticPr fontId="55" type="noConversion"/>
  </si>
  <si>
    <t>CAT_STL_CLCT_YN</t>
    <phoneticPr fontId="55" type="noConversion"/>
  </si>
  <si>
    <t>카테고리냉장고수집여부</t>
  </si>
  <si>
    <t>카테고리세탁기수집여부</t>
  </si>
  <si>
    <t>카테고리TV수집여부</t>
  </si>
  <si>
    <t>카테고리모니터수집여부</t>
  </si>
  <si>
    <t>카테고리에어컨수집여부</t>
  </si>
  <si>
    <t>카테고리블루투스스피커수집여부</t>
  </si>
  <si>
    <t>카테고리사운드바수집여부</t>
  </si>
  <si>
    <t>카테고리무선헤드셋수집여부</t>
  </si>
  <si>
    <t>카테고리공기청정기수집여부</t>
  </si>
  <si>
    <t>카테고리무선스틱청소기수집여부</t>
  </si>
  <si>
    <t>카테고리식기세척기수집여부</t>
  </si>
  <si>
    <t>카테고리건조기수집여부</t>
  </si>
  <si>
    <t>카테고리노트북수집여부</t>
  </si>
  <si>
    <t>카테고리LED마스크수집여부</t>
  </si>
  <si>
    <t>카테고리전기오븐수집여부</t>
  </si>
  <si>
    <t>카테고리스타일러수집여부</t>
    <phoneticPr fontId="55" type="noConversion"/>
  </si>
  <si>
    <t>카테고리정수기수집여부</t>
  </si>
  <si>
    <t>Site Code</t>
  </si>
  <si>
    <t>AU_SS.com</t>
    <phoneticPr fontId="2" type="noConversion"/>
  </si>
  <si>
    <t>AU_AMAZON</t>
  </si>
  <si>
    <t>AU_HARVEYNORMAN</t>
  </si>
  <si>
    <t>AU_JBHIFI</t>
  </si>
  <si>
    <t>AU_THEGOODGUYS</t>
  </si>
  <si>
    <t>SG_COURTS</t>
  </si>
  <si>
    <t>SG_HARVEYNORMAN</t>
  </si>
  <si>
    <t>LG.com</t>
  </si>
  <si>
    <t>SG_LAZADA</t>
  </si>
  <si>
    <t>TW_MOMOSHOP</t>
  </si>
  <si>
    <t>MERCARDOLIVRE</t>
    <phoneticPr fontId="2" type="noConversion"/>
  </si>
  <si>
    <t>TW_PCHOME</t>
  </si>
  <si>
    <t xml:space="preserve">Fast Shop </t>
    <phoneticPr fontId="2" type="noConversion"/>
  </si>
  <si>
    <t>TH_HOMEPRO</t>
  </si>
  <si>
    <t>TH_LAZADA</t>
  </si>
  <si>
    <t>TH_POWERBUY</t>
  </si>
  <si>
    <t>VN_CAOPHONG</t>
  </si>
  <si>
    <t>VN_DIENMAYXANH</t>
  </si>
  <si>
    <t>VN_MEDIAMART</t>
  </si>
  <si>
    <t>FR_SS.com</t>
  </si>
  <si>
    <t>FR_BOULANGER</t>
  </si>
  <si>
    <t>FR_DARTY</t>
  </si>
  <si>
    <t>FR_FNAC</t>
  </si>
  <si>
    <t>DE_SS.com</t>
  </si>
  <si>
    <t>DE_AMAZON</t>
  </si>
  <si>
    <t>DE_MEDIAMARKT</t>
  </si>
  <si>
    <t>DE_OTTO</t>
  </si>
  <si>
    <t>IT_SS.com</t>
  </si>
  <si>
    <t>IT_AMAZON</t>
  </si>
  <si>
    <t>IT_MEDIAWORLD</t>
  </si>
  <si>
    <t>IT_UNIEURO</t>
  </si>
  <si>
    <t>NL_COOLBLUE</t>
  </si>
  <si>
    <t>ES_SS.com</t>
  </si>
  <si>
    <t>ES_AMAZON</t>
  </si>
  <si>
    <t>ES_ELCORTEINGLES_ELECTRONICA</t>
  </si>
  <si>
    <t>FLIPKART</t>
  </si>
  <si>
    <t>ES_MEDIAMARKT</t>
  </si>
  <si>
    <t>SE_ELGIGANTEN</t>
  </si>
  <si>
    <t>UK_SS.com</t>
  </si>
  <si>
    <t>IN_AMAZON_LG</t>
  </si>
  <si>
    <t>IN_FLIPKART</t>
  </si>
  <si>
    <t>JP_AMAZON</t>
  </si>
  <si>
    <t>EXTRA</t>
  </si>
  <si>
    <t>BR_SS.com</t>
  </si>
  <si>
    <t>BR_MERCADOLIVRE</t>
    <phoneticPr fontId="2" type="noConversion"/>
  </si>
  <si>
    <t>BR_AMERICANAS</t>
  </si>
  <si>
    <t>BR_MAGAZINELUIZA</t>
  </si>
  <si>
    <t>BR_AMAZON</t>
  </si>
  <si>
    <t>BR_LG.com</t>
    <phoneticPr fontId="2" type="noConversion"/>
  </si>
  <si>
    <t>BR_Pontofrio</t>
  </si>
  <si>
    <t>BR_Fastshop</t>
  </si>
  <si>
    <t>CL_FALABELLA</t>
  </si>
  <si>
    <t>MX_SS.com</t>
  </si>
  <si>
    <t>MX_LIVERPOOL</t>
  </si>
  <si>
    <t>SA_EXTRA</t>
  </si>
  <si>
    <t>CURRYS</t>
  </si>
  <si>
    <t>CA_SS.com</t>
  </si>
  <si>
    <t>CA_AMAZON</t>
  </si>
  <si>
    <t>CA_BESTBUY</t>
  </si>
  <si>
    <t>CA_COSTCO</t>
  </si>
  <si>
    <t>COSTCO_LG</t>
  </si>
  <si>
    <t>CA_HOMEDEPOT</t>
  </si>
  <si>
    <t>CA_THEBRICK</t>
  </si>
  <si>
    <t>US_SS.com</t>
  </si>
  <si>
    <t>US_AMAZON_LG</t>
  </si>
  <si>
    <t>US_BESTBUY_LG</t>
  </si>
  <si>
    <t>US_COSTCO_LG</t>
  </si>
  <si>
    <t>BR_MERCADOLIVRE</t>
  </si>
  <si>
    <r>
      <rPr>
        <b/>
        <sz val="16"/>
        <rFont val="LG스마트체 Regular"/>
        <family val="3"/>
        <charset val="129"/>
      </rPr>
      <t>마켓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변경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관리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시트</t>
    </r>
    <phoneticPr fontId="2" type="noConversion"/>
  </si>
  <si>
    <r>
      <rPr>
        <b/>
        <sz val="11"/>
        <color theme="1"/>
        <rFont val="LG스마트체 Regular"/>
        <family val="3"/>
        <charset val="129"/>
      </rPr>
      <t>메인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시트</t>
    </r>
    <r>
      <rPr>
        <b/>
        <sz val="11"/>
        <color theme="1"/>
        <rFont val="Arial Narrow"/>
        <family val="2"/>
      </rPr>
      <t xml:space="preserve"> 1) </t>
    </r>
    <r>
      <rPr>
        <b/>
        <sz val="10"/>
        <color theme="1"/>
        <rFont val="Arial Narrow"/>
        <family val="2"/>
      </rPr>
      <t xml:space="preserve">OSM Market Status </t>
    </r>
    <r>
      <rPr>
        <b/>
        <sz val="11"/>
        <color theme="1"/>
        <rFont val="LG스마트체 Regular"/>
        <family val="3"/>
        <charset val="129"/>
      </rPr>
      <t>의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변경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상태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이력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관리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목적</t>
    </r>
    <phoneticPr fontId="2" type="noConversion"/>
  </si>
  <si>
    <r>
      <t xml:space="preserve">- </t>
    </r>
    <r>
      <rPr>
        <sz val="11"/>
        <color theme="1"/>
        <rFont val="LG스마트체 Regular"/>
        <family val="3"/>
        <charset val="129"/>
      </rPr>
      <t>마켓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카테고리의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수집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상태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범위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배경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추척</t>
    </r>
    <phoneticPr fontId="2" type="noConversion"/>
  </si>
  <si>
    <r>
      <t xml:space="preserve">- </t>
    </r>
    <r>
      <rPr>
        <sz val="11"/>
        <color theme="1"/>
        <rFont val="LG스마트체 Regular"/>
        <family val="3"/>
        <charset val="129"/>
      </rPr>
      <t>운영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이슈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발생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시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어떤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시점에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어떤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변경이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있었는지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파악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가능</t>
    </r>
    <phoneticPr fontId="2" type="noConversion"/>
  </si>
  <si>
    <r>
      <rPr>
        <sz val="8"/>
        <color theme="1"/>
        <rFont val="LG스마트체 Regular"/>
        <family val="3"/>
        <charset val="129"/>
      </rPr>
      <t>변화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반영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날짜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기준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기입</t>
    </r>
    <phoneticPr fontId="2" type="noConversion"/>
  </si>
  <si>
    <r>
      <t>*</t>
    </r>
    <r>
      <rPr>
        <sz val="8"/>
        <color theme="1"/>
        <rFont val="LG스마트체 Regular"/>
        <family val="3"/>
        <charset val="129"/>
      </rPr>
      <t>미확정시</t>
    </r>
    <r>
      <rPr>
        <sz val="8"/>
        <color theme="1"/>
        <rFont val="Arial Narrow"/>
        <family val="2"/>
      </rPr>
      <t xml:space="preserve"> </t>
    </r>
    <r>
      <rPr>
        <i/>
        <sz val="9"/>
        <color theme="1"/>
        <rFont val="LG스마트체 Regular"/>
        <family val="3"/>
        <charset val="129"/>
      </rPr>
      <t>예정일</t>
    </r>
    <r>
      <rPr>
        <sz val="8"/>
        <color theme="1"/>
        <rFont val="Arial Narrow"/>
        <family val="2"/>
      </rPr>
      <t>(</t>
    </r>
    <r>
      <rPr>
        <sz val="8"/>
        <color theme="1"/>
        <rFont val="LG스마트체 Regular"/>
        <family val="3"/>
        <charset val="129"/>
      </rPr>
      <t>노랑</t>
    </r>
    <r>
      <rPr>
        <sz val="8"/>
        <color theme="1"/>
        <rFont val="Arial Narrow"/>
        <family val="2"/>
      </rPr>
      <t>)</t>
    </r>
    <phoneticPr fontId="2" type="noConversion"/>
  </si>
  <si>
    <r>
      <rPr>
        <u/>
        <sz val="10"/>
        <color theme="1"/>
        <rFont val="LG스마트체 Regular"/>
        <family val="3"/>
        <charset val="129"/>
      </rPr>
      <t>옆에</t>
    </r>
    <r>
      <rPr>
        <u/>
        <sz val="10"/>
        <color theme="1"/>
        <rFont val="Arial Narrow"/>
        <family val="2"/>
      </rPr>
      <t xml:space="preserve"> </t>
    </r>
    <r>
      <rPr>
        <u/>
        <sz val="10"/>
        <color theme="1"/>
        <rFont val="LG스마트체 Regular"/>
        <family val="3"/>
        <charset val="129"/>
      </rPr>
      <t>붙여지는</t>
    </r>
    <r>
      <rPr>
        <u/>
        <sz val="10"/>
        <color theme="1"/>
        <rFont val="Arial Narrow"/>
        <family val="2"/>
      </rPr>
      <t xml:space="preserve"> </t>
    </r>
    <r>
      <rPr>
        <u/>
        <sz val="10"/>
        <color theme="1"/>
        <rFont val="LG스마트체 Regular"/>
        <family val="3"/>
        <charset val="129"/>
      </rPr>
      <t>구조</t>
    </r>
    <phoneticPr fontId="2" type="noConversion"/>
  </si>
  <si>
    <t>Change Date</t>
    <phoneticPr fontId="2" type="noConversion"/>
  </si>
  <si>
    <t>Change Subject</t>
    <phoneticPr fontId="2" type="noConversion"/>
  </si>
  <si>
    <t>Change Type</t>
    <phoneticPr fontId="2" type="noConversion"/>
  </si>
  <si>
    <t>Category</t>
    <phoneticPr fontId="2" type="noConversion"/>
  </si>
  <si>
    <t>Old Value</t>
    <phoneticPr fontId="2" type="noConversion"/>
  </si>
  <si>
    <t>New Value</t>
    <phoneticPr fontId="2" type="noConversion"/>
  </si>
  <si>
    <t>Notes</t>
    <phoneticPr fontId="2" type="noConversion"/>
  </si>
  <si>
    <t>HongKong_FORTRESS</t>
  </si>
  <si>
    <t>Market</t>
  </si>
  <si>
    <t>Removed</t>
  </si>
  <si>
    <t>N/A</t>
  </si>
  <si>
    <t>Y</t>
    <phoneticPr fontId="2" type="noConversion"/>
  </si>
  <si>
    <t>N</t>
    <phoneticPr fontId="2" type="noConversion"/>
  </si>
  <si>
    <r>
      <rPr>
        <sz val="10"/>
        <color theme="1"/>
        <rFont val="LG스마트체 Regular"/>
        <family val="3"/>
        <charset val="129"/>
      </rPr>
      <t>수집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중단</t>
    </r>
    <r>
      <rPr>
        <sz val="10"/>
        <color theme="1"/>
        <rFont val="Arial Narrow"/>
        <family val="2"/>
      </rPr>
      <t xml:space="preserve"> &amp;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네덜란드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스웨덴</t>
    </r>
    <r>
      <rPr>
        <sz val="10"/>
        <color theme="1"/>
        <rFont val="Arial Narrow"/>
        <family val="2"/>
      </rPr>
      <t xml:space="preserve"> 5</t>
    </r>
    <r>
      <rPr>
        <sz val="10"/>
        <color theme="1"/>
        <rFont val="LG스마트체 Regular"/>
        <family val="3"/>
        <charset val="129"/>
      </rPr>
      <t>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>)</t>
    </r>
    <r>
      <rPr>
        <sz val="10"/>
        <color theme="1"/>
        <rFont val="LG스마트체 Regular"/>
        <family val="3"/>
        <charset val="129"/>
      </rPr>
      <t>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대체</t>
    </r>
    <r>
      <rPr>
        <sz val="10"/>
        <color theme="1"/>
        <rFont val="Arial Narrow"/>
        <family val="2"/>
      </rPr>
      <t xml:space="preserve"> </t>
    </r>
    <phoneticPr fontId="2" type="noConversion"/>
  </si>
  <si>
    <t>Indonesia_HARTONO</t>
  </si>
  <si>
    <t>Malaysia_SENHENG</t>
  </si>
  <si>
    <t>Added</t>
  </si>
  <si>
    <t>https://www.coolblue.nl/</t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</si>
  <si>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기준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수집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재개</t>
    </r>
    <phoneticPr fontId="2" type="noConversion"/>
  </si>
  <si>
    <t>Philippines_ABENSON</t>
  </si>
  <si>
    <t>Philippines_ANSON</t>
  </si>
  <si>
    <t>Category</t>
  </si>
  <si>
    <t>Upcoming</t>
  </si>
  <si>
    <r>
      <rPr>
        <sz val="10"/>
        <color theme="1"/>
        <rFont val="LG스마트체 Regular"/>
        <family val="3"/>
        <charset val="129"/>
      </rPr>
      <t>카테고리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냉장고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세탁기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phoneticPr fontId="2" type="noConversion"/>
  </si>
  <si>
    <t>https://americanas.com.br</t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</si>
  <si>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 xml:space="preserve"> (</t>
    </r>
    <r>
      <rPr>
        <sz val="10"/>
        <color theme="1"/>
        <rFont val="LG스마트체 Regular"/>
        <family val="3"/>
        <charset val="129"/>
      </rPr>
      <t>우선순위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국가</t>
    </r>
    <r>
      <rPr>
        <sz val="10"/>
        <color theme="1"/>
        <rFont val="Arial Narrow"/>
        <family val="2"/>
      </rPr>
      <t xml:space="preserve">) (3/24~4/11 </t>
    </r>
    <r>
      <rPr>
        <sz val="10"/>
        <color theme="1"/>
        <rFont val="LG스마트체 Regular"/>
        <family val="3"/>
        <charset val="129"/>
      </rPr>
      <t>개발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오픈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일자</t>
    </r>
    <r>
      <rPr>
        <sz val="10"/>
        <color theme="1"/>
        <rFont val="Arial Narrow"/>
        <family val="2"/>
      </rPr>
      <t xml:space="preserve"> 4/14)</t>
    </r>
    <phoneticPr fontId="2" type="noConversion"/>
  </si>
  <si>
    <t>Brazil_CASASBAHIA</t>
  </si>
  <si>
    <t>CASASBAHIA</t>
    <phoneticPr fontId="2" type="noConversion"/>
  </si>
  <si>
    <t>https://www.casasbahia.com.br/</t>
    <phoneticPr fontId="2" type="noConversion"/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</si>
  <si>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 xml:space="preserve"> (</t>
    </r>
    <r>
      <rPr>
        <sz val="10"/>
        <color theme="1"/>
        <rFont val="LG스마트체 Regular"/>
        <family val="3"/>
        <charset val="129"/>
      </rPr>
      <t>우선순위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국가</t>
    </r>
    <r>
      <rPr>
        <sz val="10"/>
        <color theme="1"/>
        <rFont val="Arial Narrow"/>
        <family val="2"/>
      </rPr>
      <t xml:space="preserve">) (3/24~4/11 </t>
    </r>
    <r>
      <rPr>
        <sz val="10"/>
        <color theme="1"/>
        <rFont val="LG스마트체 Regular"/>
        <family val="3"/>
        <charset val="129"/>
      </rPr>
      <t>개발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사이트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블락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심화로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오픈일자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연기</t>
    </r>
    <r>
      <rPr>
        <sz val="10"/>
        <color theme="1"/>
        <rFont val="Arial Narrow"/>
        <family val="2"/>
      </rPr>
      <t xml:space="preserve"> 4/14 -&gt; 4/28 -&gt; 5/23)</t>
    </r>
    <phoneticPr fontId="2" type="noConversion"/>
  </si>
  <si>
    <t>Brazil_SS.com</t>
  </si>
  <si>
    <t xml:space="preserve">신규 마켓 추가 : 삼성 OBS (순차적 오픈 : 1차, 개발완료 - 4/16, 사이트 내부 엘리먼트 변경으로 오픈 일정 지연 4/19-&gt; 4/23 ) *브라질, 영국, 독일 삼성 </t>
    <phoneticPr fontId="2" type="noConversion"/>
  </si>
  <si>
    <t>Germany_SS.com</t>
  </si>
  <si>
    <t>신규 마켓 추가 : 삼성 OBS (순차적 오픈 : 1차, 개발완료 - 4/16, 사이트 내부 엘리먼트 변경으로 오픈 일정 지연 4/19-&gt; 4/23) *브라질, 영국, 독일</t>
    <phoneticPr fontId="2" type="noConversion"/>
  </si>
  <si>
    <t>France_SS.com</t>
  </si>
  <si>
    <r>
      <rPr>
        <sz val="9"/>
        <color theme="1"/>
        <rFont val="LG스마트체 Regular"/>
        <family val="3"/>
        <charset val="129"/>
      </rPr>
      <t>신규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마켓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추가</t>
    </r>
    <r>
      <rPr>
        <sz val="9"/>
        <color theme="1"/>
        <rFont val="Arial Narrow"/>
        <family val="2"/>
      </rPr>
      <t xml:space="preserve"> : </t>
    </r>
    <r>
      <rPr>
        <sz val="9"/>
        <color theme="1"/>
        <rFont val="LG스마트체 Regular"/>
        <family val="3"/>
        <charset val="129"/>
      </rPr>
      <t>삼성</t>
    </r>
    <r>
      <rPr>
        <sz val="9"/>
        <color theme="1"/>
        <rFont val="Arial Narrow"/>
        <family val="2"/>
      </rPr>
      <t xml:space="preserve"> OBS (</t>
    </r>
    <r>
      <rPr>
        <sz val="9"/>
        <color theme="1"/>
        <rFont val="LG스마트체 Regular"/>
        <family val="3"/>
        <charset val="129"/>
      </rPr>
      <t>순차적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: 2</t>
    </r>
    <r>
      <rPr>
        <sz val="9"/>
        <color theme="1"/>
        <rFont val="LG스마트체 Regular"/>
        <family val="3"/>
        <charset val="129"/>
      </rPr>
      <t>차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개발완료</t>
    </r>
    <r>
      <rPr>
        <sz val="9"/>
        <color theme="1"/>
        <rFont val="Arial Narrow"/>
        <family val="2"/>
      </rPr>
      <t xml:space="preserve"> - 4/23,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- 4/26) *</t>
    </r>
    <r>
      <rPr>
        <sz val="9"/>
        <color theme="1"/>
        <rFont val="LG스마트체 Regular"/>
        <family val="3"/>
        <charset val="129"/>
      </rPr>
      <t>이탈리아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프랑스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미국</t>
    </r>
    <phoneticPr fontId="2" type="noConversion"/>
  </si>
  <si>
    <t>Italy_SS.com</t>
  </si>
  <si>
    <t>USA_SS.com</t>
  </si>
  <si>
    <t>Australia_SS.com</t>
  </si>
  <si>
    <r>
      <rPr>
        <sz val="9"/>
        <color theme="1"/>
        <rFont val="LG스마트체 Regular"/>
        <family val="3"/>
        <charset val="129"/>
      </rPr>
      <t>신규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마켓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추가</t>
    </r>
    <r>
      <rPr>
        <sz val="9"/>
        <color theme="1"/>
        <rFont val="Arial Narrow"/>
        <family val="2"/>
      </rPr>
      <t xml:space="preserve"> : </t>
    </r>
    <r>
      <rPr>
        <sz val="9"/>
        <color theme="1"/>
        <rFont val="LG스마트체 Regular"/>
        <family val="3"/>
        <charset val="129"/>
      </rPr>
      <t>삼성</t>
    </r>
    <r>
      <rPr>
        <sz val="9"/>
        <color theme="1"/>
        <rFont val="Arial Narrow"/>
        <family val="2"/>
      </rPr>
      <t xml:space="preserve"> OBS (</t>
    </r>
    <r>
      <rPr>
        <sz val="9"/>
        <color theme="1"/>
        <rFont val="LG스마트체 Regular"/>
        <family val="3"/>
        <charset val="129"/>
      </rPr>
      <t>순차적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: 3</t>
    </r>
    <r>
      <rPr>
        <sz val="9"/>
        <color theme="1"/>
        <rFont val="LG스마트체 Regular"/>
        <family val="3"/>
        <charset val="129"/>
      </rPr>
      <t>차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개발완료</t>
    </r>
    <r>
      <rPr>
        <sz val="9"/>
        <color theme="1"/>
        <rFont val="Arial Narrow"/>
        <family val="2"/>
      </rPr>
      <t xml:space="preserve"> - 4/30,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- 5/3) *</t>
    </r>
    <r>
      <rPr>
        <sz val="9"/>
        <color theme="1"/>
        <rFont val="LG스마트체 Regular"/>
        <family val="3"/>
        <charset val="129"/>
      </rPr>
      <t>호주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스페인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캐나다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멕시코</t>
    </r>
    <phoneticPr fontId="2" type="noConversion"/>
  </si>
  <si>
    <t>Canada_SS.com</t>
  </si>
  <si>
    <t>Mexico_SS.com</t>
  </si>
  <si>
    <t>Spain_SS.com</t>
  </si>
  <si>
    <t>Brazil_LG.com</t>
  </si>
  <si>
    <t>신규 마켓 추가:  LG.com (순차적 오픈: 4차, 개발완료-5/15, 오픈-5/19)</t>
  </si>
  <si>
    <t>Brazil_CASASBAHIA</t>
    <phoneticPr fontId="2" type="noConversion"/>
  </si>
  <si>
    <r>
      <rPr>
        <sz val="9"/>
        <color theme="1"/>
        <rFont val="LG스마트체 Regular"/>
        <family val="3"/>
        <charset val="129"/>
      </rPr>
      <t>유통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블락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심화로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타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유통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교체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검토</t>
    </r>
    <r>
      <rPr>
        <sz val="9"/>
        <color theme="1"/>
        <rFont val="Arial Narrow"/>
        <family val="2"/>
      </rPr>
      <t xml:space="preserve"> (Pontofrio, Fastshop)</t>
    </r>
    <phoneticPr fontId="2" type="noConversion"/>
  </si>
  <si>
    <t>INSTANCE</t>
  </si>
  <si>
    <t>ONLINE_STORE</t>
  </si>
  <si>
    <t>CATEGORY_URL</t>
  </si>
  <si>
    <t>https://www.amazon.com/s?k=OVEN&amp;ref=nb_sb_noss</t>
  </si>
  <si>
    <t>Country_code</t>
    <phoneticPr fontId="2" type="noConversion"/>
  </si>
  <si>
    <t>Retailer</t>
    <phoneticPr fontId="2" type="noConversion"/>
  </si>
  <si>
    <t>https://www.amazon.com/s?k=WASHING+MACHINE&amp;crid=2RKUKCWBBROJK&amp;sprefix=cordless+stick+vacuum%2Caps%2C1223&amp;ref=nb_sb_noss</t>
  </si>
  <si>
    <t>Costco</t>
  </si>
  <si>
    <t>https://www.amazon.com/s?k=DRYER&amp;ref=nb_sb_noss</t>
  </si>
  <si>
    <t>https://www.amazon.com/s?rh=n%3A1292115011&amp;fs=true&amp;ref=lp_1292115011_sar</t>
  </si>
  <si>
    <t>Liverpool</t>
  </si>
  <si>
    <t>https://www.amazon.com/s?k=DISH+WASHER&amp;ref=nb_sb_noss</t>
  </si>
  <si>
    <t>https://www.amazon.com/s?k=STYLER&amp;ref=nb_sb_noss</t>
  </si>
  <si>
    <t>Magazine Luiza (MAGALU)</t>
  </si>
  <si>
    <t>https://www.amazon.com/s?k=LAPTOP&amp;ref=nb_sb_noss</t>
  </si>
  <si>
    <t>https://www.amazon.com/s?k=CORDLESS+STICK+VACUUM&amp;ref=nb_sb_noss</t>
  </si>
  <si>
    <t xml:space="preserve">MediaMarkt </t>
  </si>
  <si>
    <t>https://www.amazon.com/s?k=SOUND+BAR&amp;crid=SQ8MLAQ0HQNF&amp;sprefix=washing+machine%2Caps%2C571&amp;ref=nb_sb_noss</t>
  </si>
  <si>
    <t>Media Expert</t>
  </si>
  <si>
    <t>https://www.amazon.com/s?k=TV&amp;crid=31GQEXGQZJAWT&amp;sprefix=tv%2Caps%2C905&amp;ref=nb_sb_noss</t>
  </si>
  <si>
    <t>RTV EURO AGD</t>
  </si>
  <si>
    <t>https://www.amazon.com/s?k=REFRIGERATOR&amp;ref=nb_sb_noss</t>
  </si>
  <si>
    <t>OSM에 없음</t>
  </si>
  <si>
    <t>Czech Republic</t>
  </si>
  <si>
    <t>https://www.amazon.com/s?k=AIR+CONDITIONER&amp;crid=M5SN4DQURQBY&amp;sprefix=dish+washer%2Caps%2C1325&amp;ref=nb_sb_noss</t>
  </si>
  <si>
    <t>Alza</t>
  </si>
  <si>
    <t>https://www.amazon.com/s?k=Bluetooth+Speaker&amp;crid=U27TPKU131&amp;sprefix=bluetooth+speaker%2Caps%2C319&amp;ref=nb_sb_noss_1</t>
  </si>
  <si>
    <t>https://www.amazon.com/s?k=WIRELESS+HEADSET&amp;ref=nb_sb_noss</t>
  </si>
  <si>
    <t>https://www.amazon.com.au/s?rh=n%3A4913312051&amp;fs=true&amp;ref=lp_4913312051_sar</t>
  </si>
  <si>
    <t>Amazon</t>
  </si>
  <si>
    <t>https://www.amazon.com.au/b?node=4913311051&amp;ref=lp_10610313051_ex_n_1</t>
  </si>
  <si>
    <t>COPPEL</t>
  </si>
  <si>
    <t>Otto</t>
  </si>
  <si>
    <t>https://www.amazon.com.au/b?node=4885131051&amp;ref=sr_nr_n_16</t>
  </si>
  <si>
    <t>ELCORTEINGLES (ECI)</t>
  </si>
  <si>
    <t>https://www.amazon.com.au/b?node=5016660051&amp;ref=sr_nr_n_1</t>
  </si>
  <si>
    <t>SEARS</t>
  </si>
  <si>
    <t>https://www.amazon.com.au/b?node=4885705051&amp;ref=sr_nr_n_1</t>
  </si>
  <si>
    <t>https://www.amazon.com.au/b?node=4885355051&amp;ref=sr_nr_n_6</t>
  </si>
  <si>
    <t>https://www.amazon.com.au/s?i=electronics&amp;rh=n%3A4885206051&amp;s=popularity-rank&amp;fs=true&amp;ref=lp_4885206051_sar</t>
  </si>
  <si>
    <t>MediaWorld</t>
  </si>
  <si>
    <t>https://www.amazon.com.br/s?rh=n%3A16243822011&amp;fs=true&amp;ref=lp_16243822011_sar</t>
  </si>
  <si>
    <t>https://www.amazon.com.br/s?rh=n%3A16364756011&amp;fs=true&amp;ref=lp_16364756011_sar</t>
  </si>
  <si>
    <t>https://www.amazon.com.br/s?k=Geladeiras&amp;i=appliances&amp;rh=n%3A16745382011&amp;s=exact-aware-popularity-rank&amp;c=ts&amp;qid=1758106465&amp;ts_id=16745382011&amp;ref=sr_st_exact-aware-popularity-rank&amp;ds=v1%3AcC4FIGd4XuwD8olngIrU9Cp8bklZyA6QSzSNOXLI19w</t>
  </si>
  <si>
    <t>Worten</t>
  </si>
  <si>
    <t>https://www.amazon.com.br/b?node=16745396011&amp;ref=sr_nr_n_2</t>
  </si>
  <si>
    <t>https://www.amazon.com.br/s?i=home&amp;bbn=16191000011&amp;rh=n%3A17124759011&amp;s=popularity-rank&amp;fs=true&amp;ref=lp_17124759011_sar</t>
  </si>
  <si>
    <t>United Kingdom</t>
  </si>
  <si>
    <t>https://www.amazon.com.br/b?node=16244291011&amp;ref=sr_nr_n_4</t>
  </si>
  <si>
    <t>Currys</t>
  </si>
  <si>
    <t>https://www.amazon.com.br/b/?ie=UTF8&amp;node=16243820011&amp;pf_rd_p=8d1ebf88-a3ff-4cdf-942f-1d553c960f9b&amp;pf_rd_r=EQD7Q7A6M57R2XGK03PM&amp;pf_rd_s=br-ce-subnav-flyout-content-4&amp;pf_rd_t=SubnavFlyout&amp;ref_=sn_gfs_co_br-ce-subnav-flyout-content-4_16243820011_3</t>
  </si>
  <si>
    <t>Egypt</t>
  </si>
  <si>
    <t>Cairo Sales</t>
  </si>
  <si>
    <t>https://www.amazon.com.br/s?rh=n%3A16244120011%2Cp_n_feature_browse-bin%3A212335003011&amp;dc&amp;qid=1769224851&amp;rnid=212334997011&amp;ref=sr_nr_p_n_feature_browse-bin_0</t>
  </si>
  <si>
    <t>Sharaf DG</t>
  </si>
  <si>
    <t>https://www.amazon.com.br/b?node=16745397011&amp;ref=sr_nr_n_4</t>
  </si>
  <si>
    <t>Morocco</t>
  </si>
  <si>
    <t>electroplanet</t>
  </si>
  <si>
    <t>https://www.amazon.ca/s?rh=n%3A677246011&amp;fs=true&amp;ref=lp_677246011_sar</t>
  </si>
  <si>
    <t>SA</t>
    <phoneticPr fontId="2" type="noConversion"/>
  </si>
  <si>
    <t>Saudi Arabia</t>
  </si>
  <si>
    <t>eXtra</t>
  </si>
  <si>
    <t>https://www.amazon.ca/s?rh=n%3A677252011&amp;fs=true&amp;ref=lp_677252011_sar</t>
  </si>
  <si>
    <t>Appliance Online</t>
  </si>
  <si>
    <t>https://www.amazon.ca/s?bbn=667823011&amp;rh=n%3A2690978011&amp;fs=true&amp;ref=lp_2690978011_sar</t>
  </si>
  <si>
    <t>Lazada</t>
  </si>
  <si>
    <t>https://www.amazon.ca/s?rh=n%3A17836129011&amp;language=en_CA&amp;brr=1&amp;rd=1</t>
  </si>
  <si>
    <t>https://www.amazon.ca/s?i=kitchen&amp;bbn=2206275011&amp;rh=n%3A6304082011&amp;s=popularity-rank&amp;fs=true&amp;ref=lp_6304082011_sar</t>
  </si>
  <si>
    <t>HOMEDEPOT_LG</t>
  </si>
  <si>
    <t>Momoshop</t>
  </si>
  <si>
    <t>https://www.amazon.ca/s?i=kitchen&amp;rh=n%3A2224054011&amp;s=popularity-rank&amp;fs=true&amp;ref=lp_2224054011_sar</t>
  </si>
  <si>
    <t>LOWES_LG</t>
  </si>
  <si>
    <t>https://www.amazon.ca/s?i=electronics&amp;bbn=667823011&amp;rh=n%3A3379595011&amp;s=popularity-rank&amp;fs=true&amp;ref=lp_3379595011_sar</t>
  </si>
  <si>
    <t>https://www.amazon.ca/s?i=electronics&amp;bbn=667823011&amp;rh=n%3A667823011%2Cn%3A677212011%2Cn%3A677226011%2Cn%3A3379549011&amp;s=popularity-rank&amp;dc&amp;fs=true&amp;ds=v1%3A%2B0kbPkC4%2FkbDRvffXHatP01w1Z4z3uXFbvE6csnRxT0&amp;qid=1768529644&amp;rnid=677226011&amp;ref=sr_nr_n_9</t>
  </si>
  <si>
    <t>https://www.amazon.ca/s?i=electronics&amp;rh=n%3A3379571011&amp;s=popularity-rank&amp;fs=true&amp;ref=lp_3379571011_sar</t>
  </si>
  <si>
    <t>https://www.amazon.de/s?rh=n%3A1197292&amp;fs=true&amp;ref=lp_1197292_sar</t>
  </si>
  <si>
    <t>https://www.amazon.de/s?rh=n%3A429868031&amp;fs=true&amp;ref=lp_429868031_sar</t>
  </si>
  <si>
    <t>https://www.amazon.de/s?i=electronics&amp;bbn=16729008031&amp;rh=n%3A562066%2Cn%3A571760%2Cn%3A589878%2Cn%3A16729008031%2Cn%3A16729009031</t>
  </si>
  <si>
    <t>https://www.amazon.de/s?i=electronics&amp;bbn=1382764031&amp;rh=n%3A562066%2Cn%3A761254%2Cn%3A1382764031%2Cn%3A1382761031&amp;dc&amp;fs=true&amp;ds=v1%3AEo1O5nd6aCk1P%2F5ILROautgC8Nv47rVBKhuCwueuo14</t>
  </si>
  <si>
    <t>https://www.amazon.de/s?i=electronics&amp;bbn=570278&amp;rh=n%3A562066%2Cn%3A17303695031%2Cn%3A570278%2Cn%3A3468591&amp;dc&amp;fs=true</t>
  </si>
  <si>
    <t>https://www.amazon.de/s?rh=n%3A427957031&amp;fs=true&amp;ref=lp_427957031_sar</t>
  </si>
  <si>
    <t>https://www.amazon.de/s?rh=n%3A111544011&amp;fs=true&amp;language=de_DE&amp;currency=EUR&amp;ref=lp_111544011_sar</t>
  </si>
  <si>
    <t>https://www.amazon.de/s?i=appliances&amp;rh=n%3A13528201031&amp;s=popularity-rank&amp;fs=true&amp;ref=lp_13528201031_sar</t>
  </si>
  <si>
    <t>https://www.amazon.de/s?i=appliances&amp;rh=n%3A16075991&amp;s=popularity-rank&amp;fs=true&amp;ref=lp_16075991_sar</t>
  </si>
  <si>
    <t>https://www.amazon.de/b?node=3677547031&amp;ref=sr_nr_n_4</t>
  </si>
  <si>
    <t>https://www.amazon.de/s?i=appliances&amp;rh=n%3A16075981&amp;s=popularity-rank&amp;fs=true&amp;ref=lp_16075981_sar</t>
  </si>
  <si>
    <t>https://www.amazon.es/s?rh=n%3A937992031&amp;fs=true&amp;ref=lp_937992031_sar</t>
  </si>
  <si>
    <t>https://www.amazon.es/s?rh=n%3A938008031&amp;fs=true&amp;ref=lp_938008031_sar</t>
  </si>
  <si>
    <t>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</t>
  </si>
  <si>
    <t>https://www.amazon.es/s?rh=n%3A14565171031&amp;fs=true&amp;ref=lp_14565171031_sar</t>
  </si>
  <si>
    <t>https://www.amazon.es/s?rh=n%3A934359031&amp;fs=true&amp;ref=lp_934359031_sar</t>
  </si>
  <si>
    <t>https://www.amazon.es/s?rh=n%3A14565215031&amp;language=es_ES&amp;brr=1&amp;rd=1</t>
  </si>
  <si>
    <t>https://www.amazon.es/s?rh=n%3A14565205031&amp;language=es_ES&amp;brr=1&amp;rd=1</t>
  </si>
  <si>
    <t>https://www.amazon.es/s?i=electronics&amp;rh=n%3A934056031%2Cp_n_g-1003285868111%3A28233744031&amp;s=popularity-rank&amp;dc&amp;fs=true&amp;ds=v1%3ASE4q2S1LEWLpbv2wPIax96blFfiCyP9byo%2B%2F%2FblgfUk&amp;qid=1768526233&amp;rnid=28233724031&amp;ref=sr_nr_p_n_g-1003285868111_3</t>
  </si>
  <si>
    <t>https://www.amazon.es/s?i=kitchen&amp;rh=n%3A3605953031&amp;s=popularity-rank&amp;fs=true&amp;ref=lp_3605953031_sar</t>
  </si>
  <si>
    <t>https://www.amazon.es/s?rh=n%3A599370031%2Cn%3A665476031%2Cn%3A934241031%2Cn%3A16725713031&amp;dc&amp;qid=1768526599&amp;rnid=934241031&amp;ref=sr_nr_n_8</t>
  </si>
  <si>
    <t>https://www.amazon.es/s?i=electronics&amp;rh=n%3A1384102031&amp;s=popularity-rank&amp;fs=true&amp;ref=lp_1384102031_sar</t>
  </si>
  <si>
    <t>https://www.amazon.es/s?rh=n%3A14565202031&amp;language=es_ES&amp;brr=1&amp;content-id=amzn1.sym.4231e137-7766-4d25-a87a-b95afa1b5964&amp;pd_rd_r=94cedc1b-7d65-4aa1-8ab8-e6a642005817&amp;pd_rd_w=AWRAb&amp;pd_rd_wg=rwBsP&amp;pf_rd_p=4231e137-7766-4d25-a87a-b95afa1b5964&amp;pf_rd_r=W23998ZBSJQ2ZQ19G8GH&amp;rd=1&amp;ref=Oct_d_odnav_14565593031</t>
  </si>
  <si>
    <t>https://www.amazon.in/s?rh=n%3A1380365031&amp;fs=true&amp;ref=lp_1380365031_sar</t>
  </si>
  <si>
    <t>https://www.amazon.in/s?rh=n%3A1380369031&amp;fs=true&amp;ref=lp_1380369031_sar</t>
  </si>
  <si>
    <t>https://www.amazon.in/s?rh=n%3A1389396031&amp;fs=true&amp;ref=lp_1389396031_sar</t>
  </si>
  <si>
    <t>https://www.amazon.in/s?rh=n%3A1375425031&amp;fs=true&amp;ref=lp_1375425031_sar</t>
  </si>
  <si>
    <t>https://www.amazon.in/s?rh=n%3A13773771031&amp;fs=true&amp;ref=lp_13773771031_sar</t>
  </si>
  <si>
    <t>https://www.amazon.in/s?rh=n%3A1389372031&amp;fs=true&amp;ref=lp_1389372031_sar</t>
  </si>
  <si>
    <t>https://www.amazon.in/s?i=kitchen&amp;bbn=3474656031&amp;rh=n%3A976442031%2Cn%3A2083423031%2Cn%3A3474656031%2Cn%3A10545602031&amp;dc&amp;fs=true&amp;ds=v1%3As6ax%2FEXA6mZCM0%2FiYQTtqGsLADwH%2Bb4r3vnkJLa7COY&amp;qid=1672893780&amp;rnid=3474656031&amp;ref=sr_nr_n_2</t>
  </si>
  <si>
    <t>https://www.amazon.in/s?bbn=1388921031&amp;rh=n%3A976419031%2Cn%3A29561348031%2Cn%3A1388921031%2Cn%3A14146389031&amp;dc&amp;qid=1683773932&amp;rnid=1388921031&amp;ref=lp_1388921031_nr_n_0</t>
  </si>
  <si>
    <t>https://www.amazon.in/s?i=kitchen&amp;rh=n%3A1380259031&amp;s=popularity-rank&amp;fs=true&amp;ref=lp_1380259031_sar</t>
  </si>
  <si>
    <t>https://www.amazon.it/s?rh=n%3A14567265031&amp;language=it_IT</t>
  </si>
  <si>
    <t>https://www.amazon.it/s?i=computers&amp;bbn=2706939031&amp;rh=n%3A425916031%2Cn%3A2706939031%2Cn%3A460159031&amp;dc&amp;fs=true&amp;ds=v1%3ANcQ0VdO9bepBIh35Gh0leiaTHrMmO21VGs3i26WF2WA&amp;ref=sr_nr_n_2</t>
  </si>
  <si>
    <t>https://www.amazon.it/s?rh=n%3A460158031&amp;fs=true&amp;ref=lp_460158031_sar</t>
  </si>
  <si>
    <t>https://www.amazon.it/s?rh=n%3A5495940031&amp;fs=true&amp;ref=lp_5495940031_sar</t>
  </si>
  <si>
    <t>https://www.amazon.it/s?rh=n%3A473352031&amp;fs=true&amp;ref=lp_473352031_sar</t>
  </si>
  <si>
    <t>https://www.amazon.it/s?k=forno&amp;rh=n%3A5750400031&amp;dc&amp;ds=v1%3AAvmqtEqWlkQwRwbsbrh7vAFHmWtAl6yK%2Fq%2FLb0DFwOo&amp;qid=1713516281&amp;rnid=1640607031&amp;ref=sr_nr_n_1</t>
  </si>
  <si>
    <t>https://www.amazon.it/s?k=forno&amp;i=appliances&amp;rh=n%3A5750400031%2Cp_n_feature_thirteen_browse-bin%3A14567717031&amp;dc&amp;ds=v1%3AQvjHMgQhZbLHhdv4RM958RhNEKMui0Z13CkiiHITRXA&amp;qid=1713516348&amp;rnid=14567716031&amp;ref=sr_nr_p_n_feature_thirteen_browse-bin_1</t>
  </si>
  <si>
    <t>https://www.amazon.it/s?k=forno&amp;i=appliances&amp;rh=n%3A5750400031%2Cp_n_feature_thirteen_browse-bin%3A14567719031&amp;dc&amp;ds=v1%3Ah%2BZGTKdnmqSwWvYRnFbGrtcuzGEVHeosGFX3DF1SbjY&amp;qid=1713516420&amp;rnid=14567716031&amp;ref=sr_nr_p_n_feature_thirteen_browse-bin_1</t>
  </si>
  <si>
    <t>https://www.amazon.it/s?rh=n%3A16725728031&amp;language=it_IT&amp;brr=1&amp;rd=1</t>
  </si>
  <si>
    <t>https://www.amazon.it/s?i=electronics&amp;rh=n%3A473345031&amp;s=popularity-rank&amp;fs=true&amp;ref=lp_473345031_sar</t>
  </si>
  <si>
    <t>https://www.amazon.it/s?rh=n%3A473365031%2Cp_n_feature_two_browse-bin%3A28233382031&amp;dc&amp;qid=1753749757&amp;rnid=28233364031&amp;ref=sr_nr_p_n_feature_two_browse-bin_3</t>
  </si>
  <si>
    <t>https://www.amazon.it/s?i=kitchen&amp;rh=n%3A3692885031&amp;s=popularity-rank&amp;fs=true&amp;ref=lp_3692885031_sar</t>
  </si>
  <si>
    <t>https://www.amazon.it/s?i=appliances&amp;rh=n%3A5495935031&amp;s=popularity-rank&amp;fs=true&amp;ref=lp_5495935031_sar</t>
  </si>
  <si>
    <t>https://www.amazon.co.jp/s?rh=n%3A2151982051&amp;fs=true&amp;language=en&amp;ref=lp_2151982051_sar</t>
  </si>
  <si>
    <t>https://www.amazon.co.jp/s?rh=n%3A3477491&amp;fs=true&amp;language=en&amp;ref=lp_3477491_sar</t>
  </si>
  <si>
    <t>https://www.amazon.co.jp/s?rh=n%3A85396051&amp;fs=true&amp;language=en&amp;ref=lp_85396051_sar</t>
  </si>
  <si>
    <t>https://www.amazon.co.jp/s?rh=n%3A85417051&amp;fs=true&amp;language=en&amp;ref=lp_85417051_sar</t>
  </si>
  <si>
    <t>https://www.amazon.co.jp/s?bbn=3210981&amp;rh=n%3A6061792051&amp;fs=true&amp;language=en&amp;ref=lp_6061792051_sar</t>
  </si>
  <si>
    <t>https://www.amazon.co.jp/s?rh=n%3A2151981051&amp;fs=true&amp;language=en&amp;ref=lp_2151981051_sar</t>
  </si>
  <si>
    <t>https://www.amazon.co.jp/s?rh=n%3A2272928051&amp;fs=true&amp;ref=lp_2272928051_sar&amp;language=en</t>
  </si>
  <si>
    <t>https://www.amazon.co.jp/s?rh=n%3A16299421&amp;fs=true&amp;ref=lp_16299421_sar</t>
  </si>
  <si>
    <t>https://www.amazon.co.jp/s?i=kitchen&amp;rh=n%3A84823051&amp;s=popularity-rank&amp;fs=true&amp;ref=lp_84823051_sar</t>
  </si>
  <si>
    <t>https://www.amazon.co.jp/s?i=appliances&amp;rh=n%3A16299441&amp;s=popularity-rank&amp;fs=true&amp;ref=lp_16299441_sar</t>
  </si>
  <si>
    <t>https://www.amazon.co.uk/s?bbn=560798&amp;rh=n%3A560864&amp;fs=true&amp;ref=lp_560864_sar</t>
  </si>
  <si>
    <t>https://www.amazon.co.uk/s?rh=n%3A428652031&amp;fs=true&amp;ref=lp_428652031_sar</t>
  </si>
  <si>
    <t>https://www.amazon.co.uk/s?bbn=560798&amp;rh=n%3A16700222031&amp;language=en_GB&amp;_encoding=UTF8</t>
  </si>
  <si>
    <t>https://www.amazon.co.uk/s?bbn=560798&amp;rh=n%3A1591405031&amp;fs=true&amp;ref=lp_1591405031_sar</t>
  </si>
  <si>
    <t>https://www.amazon.co.uk/s?bbn=560798&amp;rh=n%3A4085731&amp;fs=true&amp;ref=lp_4085731_sar</t>
  </si>
  <si>
    <t>https://www.amazon.co.uk/s?rh=n%3A429886031&amp;fs=true&amp;ref=lp_429886031_sar</t>
  </si>
  <si>
    <t>https://www.amazon.co.uk/Washing-Machines-Drying-Home-Appliances/b/ref=dp_bc_3?ie=UTF8&amp;node=3618681</t>
  </si>
  <si>
    <t>https://www.amazon.co.uk/b/ref=dp_bc_3?ie=UTF8&amp;node=13528548031</t>
  </si>
  <si>
    <t>https://www.amazon.co.uk/b?node=10706421&amp;ref=sr_nr_n_5</t>
  </si>
  <si>
    <t>https://www.amazon.co.uk/b?node=1391019031&amp;ref=sr_nr_n_2</t>
  </si>
  <si>
    <t>AMERICANAS</t>
  </si>
  <si>
    <t>https://www.americanas.com.br/eletrodomesticos/geladeira-e-refrigeradores?category-1=eletrodomesticos&amp;category-2=geladeira-e-refrigeradores&amp;fuzzy=0&amp;operator=and&amp;facets=category-1%2Ccategory-2%2Cfuzzy%2Coperator&amp;sort=score_desc&amp;page=0&amp;chave=pfm_hm_tt_2_12_geladeira</t>
  </si>
  <si>
    <t>https://www.americanas.com.br/eletrodomesticos/lava-e-seca?chave=pfm_hm_tt_2_15_lava-e-seca</t>
  </si>
  <si>
    <t>https://www.americanas.com.br/audio-e-video/tv?category-1=audio-e-video&amp;category-2=tv&amp;fuzzy=0&amp;operator=and&amp;facets=category-1%2Ccategory-2%2Cfuzzy%2Coperator&amp;sort=score_desc&amp;page=0&amp;chave=pfm_hm_tt_4_13_televisao</t>
  </si>
  <si>
    <t>https://www.americanas.com.br/computadores-e-informatica?category-1=computadores-e-informatica&amp;fuzzy=0&amp;operator=and&amp;category-3=monitor&amp;facets=category-1%2Cfuzzy%2Coperator%2Ccategory-3&amp;sort=score_desc&amp;page=0&amp;chave=pfm_home_informatica_menu</t>
  </si>
  <si>
    <t>https://www.americanas.com.br/climatizacao?category-1=climatizacao&amp;fuzzy=0&amp;operator=and&amp;category-2=climatizador-de-ar&amp;facets=category-1%2Cfuzzy%2Coperator%2Ccategory-2&amp;sort=score_desc&amp;page=0&amp;chave=pfm_home_clima_menu</t>
  </si>
  <si>
    <t>https://www.americanas.com.br/audio-e-video/caixa-de-som/caixa-bluetooth?category-1=audio-e-video&amp;category-2=caixa-de-som&amp;category-3=caixa-bluetooth&amp;fuzzy=0&amp;operator=and&amp;facets=category-1%2Ccategory-2%2Ccategory-3%2Cfuzzy%2Coperator&amp;sort=score_desc&amp;page=0</t>
  </si>
  <si>
    <t>https://www.americanas.com.br/audio-e-video/home-theater-e-soundbar?category-1=audio-e-video&amp;category-2=home-theater-e-soundbar&amp;fuzzy=0&amp;operator=and&amp;facets=category-1%2Ccategory-2%2Cfuzzy%2Coperator&amp;sort=score_desc&amp;page=0&amp;chave=pfm_hm_tt_4_11_soundbar</t>
  </si>
  <si>
    <t>https://www.americanas.com.br/busca/fone-de-ouvido-bluetooth?q=fones+de+ouvido+bluetooth&amp;fuzzy=0&amp;operator=and&amp;facets=fuzzy%2Coperator&amp;sort=score_desc&amp;page=0&amp;chave=pfm_hm_tt_4_8_fone-de-ouvido-bluetooth</t>
  </si>
  <si>
    <t>https://www.americanas.com.br/eletrodomesticos/secadoras-de-roupas</t>
  </si>
  <si>
    <t>https://www.americanas.com.br/audio-e-video/fone-de-ouvido?category-1=audio-e-video&amp;category-2=fone-de-ouvido&amp;fuzzy=0&amp;operator=and&amp;facets=category-1%2Ccategory-2%2Cfuzzy%2Coperator&amp;sort=score_desc&amp;page=0</t>
  </si>
  <si>
    <t>https://ao.com/l/washing_machines-free_standing/1-9/1/?pagesize=60&amp;page=0</t>
  </si>
  <si>
    <t>https://ao.com/l/washing_machines-built_in/1-9/1/?pagesize=60&amp;page=0</t>
  </si>
  <si>
    <t>https://ao.com/l/washing_machines-10--or--102e5--or--11--or--12--or--14_wash_load/1-4/1/?pagesize=60&amp;page=0</t>
  </si>
  <si>
    <t>https://ao.com/l/washing_machines-7--or--8--or--82e0--or--9--or--92e0_wash_load/1-4/1/?pagesize=60&amp;page=0</t>
  </si>
  <si>
    <t>https://ao.com/l/washing_machines-lg/1-6/1/?pagesize=60&amp;page=0</t>
  </si>
  <si>
    <t>https://ao.com/l/washing_machines-samsung/1-6/1/?pagesize=60&amp;page=0</t>
  </si>
  <si>
    <t>https://ao.com/l/washing_machines-bosch/1-6/1/?pagesize=60&amp;page=0</t>
  </si>
  <si>
    <t>https://ao.com/l/washing_machines-hotpoint/1-6/1/?pagesize=60&amp;page=0</t>
  </si>
  <si>
    <t>https://ao.com/l/washing_machines-229/1-20/1/?pagesize=60&amp;page=0</t>
  </si>
  <si>
    <t>https://ao.com/l/washing_machines-7633/1-20/1/?pagesize=60&amp;page=0</t>
  </si>
  <si>
    <t>https://ao.com/l/washing_machines-samsung-4554/1-6-20/1/?pagesize=60&amp;page=0</t>
  </si>
  <si>
    <t>https://ao.com/l/washing_machines-samsung-8089/1-6-20/1/?pagesize=60&amp;page=0</t>
  </si>
  <si>
    <t>https://ao.com/l/fridges-free_standing/1-9/29-30/?pagesize=60&amp;page=0</t>
  </si>
  <si>
    <t>https://ao.com/l/fridges-free_standing-height_less_than_90_cm/1-9-25/29-30/?pagesize=60&amp;page=0</t>
  </si>
  <si>
    <t>https://ao.com/l/fridges-built_in/1-9/29-30/?pagesize=60&amp;page=0</t>
  </si>
  <si>
    <t>https://ao.com/l/refrigerators-built_under/1-9/29/?pagesize=60&amp;page=0</t>
  </si>
  <si>
    <t>https://ao.com/l/refrigerators-larder/1-35/29/?pagesize=60&amp;page=0</t>
  </si>
  <si>
    <t>https://ao.com/l/tvs-75_inches_and_above/1-91/107-108/?pagesize=60&amp;page=0</t>
  </si>
  <si>
    <t>https://ao.com/l/tvs-65_inches_to_75_inches/1-91/107-108/?pagesize=60&amp;page=0</t>
  </si>
  <si>
    <t>https://ao.com/l/tvs-55_inches_to_64_inches/1-91/107-108/?pagesize=60&amp;page=0</t>
  </si>
  <si>
    <t>https://ao.com/l/tvs-43_inches_to_54_inches/1-91/107-108/?pagesize=60&amp;page=0</t>
  </si>
  <si>
    <t>https://ao.com/l/tvs-32_inches_to_42_inches/1-91/107-108/?pagesize=60&amp;page=0</t>
  </si>
  <si>
    <t>https://ao.com/l/tvs-up_to_31_inches/1-91/107-108/?pagesize=60&amp;page=0</t>
  </si>
  <si>
    <t>https://ao.com/l/tvs-4k_ultra_hd/1-66/107-108/?pagesize=60&amp;page=0</t>
  </si>
  <si>
    <t>https://ao.com/l/tvs-2086/1-92/107-108/?pagesize=60&amp;page=0</t>
  </si>
  <si>
    <t>https://ao.com/l/tvs-qled_screen/1-58/107-108/?pagesize=60&amp;page=0</t>
  </si>
  <si>
    <t>https://ao.com/l/tvs-oled_screen/1-58/107-108/?pagesize=60&amp;page=0</t>
  </si>
  <si>
    <t>https://ao.com/l/tvs-12088/1-20/107-108/?pagesize=60&amp;page=0</t>
  </si>
  <si>
    <t>https://ao.com/l/tvs-samsung/1-6/107-108/?pagesize=60</t>
  </si>
  <si>
    <t>https://ao.com/l/tvs-lg/1-6/107-108/?pagesize=60</t>
  </si>
  <si>
    <t>https://ao.com/l/tvs-sony/1-6/107-108/?pagesize=60</t>
  </si>
  <si>
    <t>https://ao.com/l/tvs/1/107-108/?pagesize=60&amp;page=0</t>
  </si>
  <si>
    <t>https://ao.com/l/wireless_speakers-2172/1-20/107-164-165-166/?pagesize=60&amp;page=0</t>
  </si>
  <si>
    <t>https://ao.com/l/headphones-14809/1-20/107-164-178/?pagesize=60&amp;page=0</t>
  </si>
  <si>
    <t>https://ao.com/l/soundbars/1/107-109-111/?pagesize=60&amp;page=0</t>
  </si>
  <si>
    <t>https://ao.com/l/soundbars-samsung/1-6/107-109-111/?pagesize=60&amp;page=0</t>
  </si>
  <si>
    <t>https://ao.com/l/soundbars-lg/1-6/107-109-111/?pagesize=60&amp;page=0</t>
  </si>
  <si>
    <t>https://ao.com/l/soundbars-bose/1-6/107-109-111/?pagesize=60&amp;page=0</t>
  </si>
  <si>
    <t>https://ao.com/l/home_cinema_and_soundbars-sonos/1-6/107-109/?pagesize=60&amp;page=0</t>
  </si>
  <si>
    <t>https://ao.com/l/full_size_dishwashers/1/21-23&amp;pagesize=60&amp;page=0</t>
  </si>
  <si>
    <t>https://ao.com/l/dishwashers/1/21&amp;pagesize=60&amp;page=0</t>
  </si>
  <si>
    <t>https://ao.com/l/monitors_and_projectors/1/250-257/?pagesize=60&amp;page=0</t>
  </si>
  <si>
    <t>https://ao.com/l/washer_dryers/1/2/?pagesize=60&amp;page=0</t>
    <phoneticPr fontId="2" type="noConversion"/>
  </si>
  <si>
    <t>https://ao.com/l/heating_and_cooling/1/55-143/?pagesize=60&amp;page=0</t>
  </si>
  <si>
    <t>https://www.bestbuy.ca/en-ca/category/refrigerators-freezers/744633</t>
  </si>
  <si>
    <t>https://www.bestbuy.ca/en-ca/category/washing-machines/33931p?icmp=mdot_shopbynav_Washing_Machines</t>
  </si>
  <si>
    <t>https://www.bestbuy.ca/en-ca/category/televisions/21344</t>
  </si>
  <si>
    <t>https://www.bestbuy.ca/en-ca/category/monitors/20367</t>
  </si>
  <si>
    <t>https://www.bestbuy.ca/en-ca/category/portable-bluetooth-speakers/31843</t>
  </si>
  <si>
    <t>https://www.bestbuy.ca/en-ca/category/sound-bars/28817</t>
  </si>
  <si>
    <t>https://www.bestbuy.ca/en-ca/collection/truly-wireless-headphones/37057</t>
  </si>
  <si>
    <t>https://www.bestbuy.ca/en-ca/category/dishwashers/34432</t>
  </si>
  <si>
    <t>https://www.bestbuy.ca/en-ca/category/laptops-macbooks/20352</t>
  </si>
  <si>
    <t>https://www.bestbuy.ca/en-ca/category/wall-ovens/36768?icmp=mdot_shopbynav_Wall_Ovens</t>
  </si>
  <si>
    <t>https://www.bestbuy.ca/en-ca/category/dryers/33932p</t>
  </si>
  <si>
    <t>https://www.bestbuy.ca/en-ca/category/air-conditioners/20199?icmp=mdot_shopbynav_ac</t>
  </si>
  <si>
    <t>https://www.bestbuy.com/site/refrigerators/all-refrigerators/pcmcat367400050001.c?id=pcmcat367400050001</t>
  </si>
  <si>
    <t>https://www.bestbuy.com/site/washers-dryers/all-washers-and-dryers/pcmcat1550600241948.c?id=pcmcat1550600241948</t>
  </si>
  <si>
    <t>https://www.bestbuy.com/site/tvs/all-flat-screen-tvs/abcat0101001.c?id=abcat0101001</t>
  </si>
  <si>
    <t>https://www.bestbuy.com/site/computer-monitors/all-monitors/pcmcat143700050048.c?id=pcmcat143700050048</t>
  </si>
  <si>
    <t>https://www.bestbuy.com/site/audio/portable-speakers-docks-radios/pcmcat310200050004.c?id=pcmcat310200050004</t>
  </si>
  <si>
    <t>https://www.bestbuy.com/site/speakers/sound-bars/abcat0205007.c?id=abcat0205007</t>
  </si>
  <si>
    <t>https://www.bestbuy.com/site/headphones/wireless-headphones/pcmcat331200050015.c?id=pcmcat331200050015</t>
  </si>
  <si>
    <t>https://www.bestbuy.com/site/vacuums-floor-care/handheld-vacuums/abcat0911004.c?id=abcat0911004</t>
  </si>
  <si>
    <t>https://www.bestbuy.com/site/dishwashers/built-in-dishwashers/abcat0905001.c?id=abcat0905001</t>
  </si>
  <si>
    <t>https://www.bestbuy.com/site/washers-dryers/dryers/abcat0910004.c?id=abcat0910004</t>
  </si>
  <si>
    <t>https://www.bestbuy.com/site/wall-ovens/all-wall-ovens/pcmcat1710866489405.c?id=pcmcat1710866489405</t>
  </si>
  <si>
    <t>https://www.bestbuy.com/site/home-appliances/irons-steamers/pcmcat305400050001.c?id=pcmcat305400050001</t>
  </si>
  <si>
    <t>https://www.bestbuy.com/site/heating-cooling-air-quality/air-conditioners/abcat0907001.c?id=abcat0907001</t>
  </si>
  <si>
    <t>https://www.boulanger.com/c/televiseur/_usage~tv20qled</t>
  </si>
  <si>
    <t>https://www.boulanger.com/c/televiseur/_usage~tv20led</t>
  </si>
  <si>
    <t>https://www.boulanger.com/c/televiseur/facettes_television_____resolution~8k</t>
  </si>
  <si>
    <t>https://www.boulanger.com/c/tv-4k</t>
  </si>
  <si>
    <t>https://www.boulanger.com/c/televiseur/facettes_television_____connexion~smart20tv202d20tv20connecte9e</t>
  </si>
  <si>
    <t>https://www.boulanger.com/c/televiseur/tv_connectee_smart_tv_____systeme_d_exploitation~tv20connecte9e20google20tv</t>
  </si>
  <si>
    <t>https://www.boulanger.com/c/televiseur/brand~samsung</t>
  </si>
  <si>
    <t>https://www.boulanger.com/c/televiseur/_etat_produit~reconditionne9</t>
  </si>
  <si>
    <t>https://www.boulanger.com/opeco/op0180autc</t>
  </si>
  <si>
    <t>https://www.boulanger.com/c/televiseur/aggregationtype_facette_technologie_____concatener_oui~and/brand~lg/facette_technologie_____concatener_oui~nanocell</t>
  </si>
  <si>
    <t>https://www.boulanger.com/c/multiroom</t>
  </si>
  <si>
    <t>https://www.boulanger.com/c/barre-de-son/facettes_enceinte_amplifiee_____caisson_basse~caisson20sans2dfil</t>
  </si>
  <si>
    <t>https://www.boulanger.com/c/barre-de-son/aggregationtype_facette_option_barre_de_son_____concatener_oui~and/facette_option_barre_de_son_____concatener_oui~ensemble20multicanal</t>
  </si>
  <si>
    <t>https://www.boulanger.com/c/barre-de-son/aggregationtype_facette_traitement_du_son_barre_de_son_____concatener_oui~and/facette_traitement_du_son_barre_de_son_____concatener_oui~dolby20atmos</t>
  </si>
  <si>
    <t>https://www.boulanger.com/c/barre-de-son/aggregationtype_facette_connectivite_barre_de_son_____concatener_oui~and/facette_connectivite_barre_de_son_____concatener_oui~bluetooth</t>
  </si>
  <si>
    <t>https://www.boulanger.com/c/refrigerateur-avec-congelateur</t>
  </si>
  <si>
    <t>https://www.boulanger.com/c/nav-filtre/refrigerateur?_usage~re9frige9rateur20combine9</t>
  </si>
  <si>
    <t>https://www.boulanger.com/c/refrigerateur-americain</t>
  </si>
  <si>
    <t>https://www.boulanger.com/c/refrigerateur-multi-portes</t>
  </si>
  <si>
    <t>https://www.boulanger.com/c/refrigerateur-encastrable</t>
  </si>
  <si>
    <t>https://www.boulanger.com/c/nav-filtre/refrigerateur?facettes_communes_____basse_consommation~basse20consommation</t>
  </si>
  <si>
    <t>https://www.boulanger.com/c/refrigerateur/_etat_produit~reconditionne9</t>
  </si>
  <si>
    <t>https://www.boulanger.com/c/petit-refrigerateur</t>
  </si>
  <si>
    <t>https://www.boulanger.com/c/refrigerateur-1-porte</t>
  </si>
  <si>
    <t>https://www.boulanger.com/c/lave-linge-top</t>
  </si>
  <si>
    <t>https://www.boulanger.com/c/tous-les-lave-linge-sechants</t>
  </si>
  <si>
    <t>https://www.boulanger.com/c/lave-linge-encastrable</t>
  </si>
  <si>
    <t>https://www.boulanger.com/c/lave-linge-compact</t>
  </si>
  <si>
    <t>https://www.boulanger.com/c/nav-filtre/lave-linge?facettes_communes_____basse_consommation~basse20consommation</t>
  </si>
  <si>
    <t>https://www.boulanger.com/c/mini-machine-a-laver-essoreuse</t>
  </si>
  <si>
    <t>https://www.boulanger.com/c/lave-linge/_etat_produit~reconditionne9</t>
  </si>
  <si>
    <t>https://www.boulanger.com/opeco/op0180aute</t>
  </si>
  <si>
    <t>https://www.boulanger.com/c/lave-linge-pro</t>
  </si>
  <si>
    <t>https://www.boulanger.com/c/accessoire-lave-linge</t>
  </si>
  <si>
    <t>https://www.boulanger.com/c/machine-a-laver-pas-cher</t>
  </si>
  <si>
    <t>https://www.boulanger.com/c/lave-vaisselle-encastrable</t>
  </si>
  <si>
    <t>https://www.boulanger.com/c/lave-vaisselle-45-cm</t>
  </si>
  <si>
    <t>https://www.boulanger.com/c/lave-vaisselle-encastrable-45-cm</t>
  </si>
  <si>
    <t>https://www.boulanger.com/c/lave-vaisselle-compact</t>
  </si>
  <si>
    <t>https://www.boulanger.com/c/nav-filtre/lave-vaisselle?facettes_communes_____basse_consommation~basse20consommation</t>
  </si>
  <si>
    <t>https://www.boulanger.com/c/lave-vaisselle-table-de-cuisson</t>
  </si>
  <si>
    <t>https://www.boulanger.com/c/lave-vaisselle/_etat_produit~reconditionne9</t>
  </si>
  <si>
    <t>https://www.boulanger.com/opeco/op0180autj</t>
  </si>
  <si>
    <t>https://www.boulanger.com/c/lave-vaisselle-pro</t>
  </si>
  <si>
    <t>https://www.boulanger.com/c/accessoire-lave-vaisselle</t>
  </si>
  <si>
    <t>https://www.boulanger.com/c/tous-les-ordinateurs-portables/nouvelles_facettes_ordinateurs_____taille_de_l_ecran~1520pouces20283820cm29</t>
  </si>
  <si>
    <t>https://www.boulanger.com/c/pc-portable-gamer-49965</t>
  </si>
  <si>
    <t>https://www.boulanger.com/c/macbook</t>
  </si>
  <si>
    <t>https://www.boulanger.com/c/chromebook-netbook-ultrabook</t>
  </si>
  <si>
    <t>https://www.boulanger.com/c/ultrabook-ultra-portable</t>
  </si>
  <si>
    <t>https://www.boulanger.com/c/pc-hybride</t>
  </si>
  <si>
    <t>https://www.boulanger.com/c/tous-les-ordinateurs-portables/nouvelles_facettes_ordinateurs_____taille_de_l_ecran~1720pouces20284320cm29</t>
  </si>
  <si>
    <t>https://www.boulanger.com/c/tous-les-ordinateurs-portables/brand~asus</t>
  </si>
  <si>
    <t>https://www.boulanger.com/c/ordinateur-portable-pas-cher</t>
  </si>
  <si>
    <t>https://www.boulanger.com/c/tous-les-ordinateurs-portables/brand~hp</t>
  </si>
  <si>
    <t>https://www.boulanger.com/c/tous-les-ordinateurs-portables/brand~huawei</t>
  </si>
  <si>
    <t>https://www.boulanger.com/c/tous-les-ordinateurs-portables/_etat_produit~reconditionne9</t>
  </si>
  <si>
    <t>https://www.boulanger.com/opeco/op0180autb</t>
  </si>
  <si>
    <t>https://www.boulanger.com/c/four-encastrable</t>
  </si>
  <si>
    <t>https://www.boulanger.com/c/four-encastrable/facettes_four_____nettoyage~pyrolyse</t>
  </si>
  <si>
    <t>https://www.boulanger.com/c/four-encastrable/aggregationtype_facettes_type_de_chaleur_four_____concatener_oui~and/facettes_type_de_chaleur_four_____concatener_oui~chaleur20tournante</t>
  </si>
  <si>
    <t>https://www.boulanger.com/c/four-encastrable/aggregationtype_facettes_type_de_chaleur_four_____concatener_oui~and/facettes_type_de_chaleur_four_____concatener_oui~vapeur</t>
  </si>
  <si>
    <t>https://www.boulanger.com/c/ecouteur</t>
  </si>
  <si>
    <t>https://www.boulanger.com/c/tous-les-casques-audio</t>
  </si>
  <si>
    <t>https://www.boulanger.com/c/ecran-pc-moniteur</t>
  </si>
  <si>
    <t>https://www.boulanger.com/c/lave-linge-hublot</t>
  </si>
  <si>
    <t>https://www.boulanger.com/c/climatiseur</t>
  </si>
  <si>
    <t>https://www.boulanger.com/c/seche-linge-pompe-a-chaleur</t>
  </si>
  <si>
    <t>https://www.boulanger.com/sci/seche+linge+a+condensation</t>
  </si>
  <si>
    <t>https://www.boulanger.com/sci/seche+linge+a+evacuation</t>
  </si>
  <si>
    <t>https://www.boulanger.com/c/nav-filtre/cat-seche-linge?facettes_communes_____basse_consommation~basse20consommation</t>
  </si>
  <si>
    <t>https://www.boulanger.com/c/cat-seche-linge/facettes_seche_linge_____type_de_produit~armoire20se9chante</t>
  </si>
  <si>
    <t>https://www.boulanger.com/c/seche-linge-pro</t>
  </si>
  <si>
    <t>https://www.boulanger.com/c/airpods</t>
  </si>
  <si>
    <t>https://dienmaycholon.com/tivi</t>
  </si>
  <si>
    <t>https://dienmaycholon.com/tu-lanh</t>
  </si>
  <si>
    <t>https://dienmaycholon.com/tu-dong</t>
  </si>
  <si>
    <t>https://dienmaycholon.com/tu-mat</t>
  </si>
  <si>
    <t>https://dienmaycholon.com/tu-uop-ruou</t>
  </si>
  <si>
    <t>https://dienmaycholon.com/may-giat</t>
  </si>
  <si>
    <t>https://dienmaycholon.com/may-say</t>
  </si>
  <si>
    <t>https://dienmaycholon.com/may-giat?t=tu-cham-soc-quan-ao</t>
  </si>
  <si>
    <t>https://dienmaycholon.com/may-lanh</t>
  </si>
  <si>
    <t>https://dienmaycholon.com/may-lanh?t=treo-tuong</t>
  </si>
  <si>
    <t>https://dienmaycholon.com/may-lanh?t=tu-dung</t>
  </si>
  <si>
    <t>https://dienmaycholon.com/may-lanh?t=am-tran</t>
  </si>
  <si>
    <t>https://dienmaycholon.com/may-loc-khong-khi</t>
  </si>
  <si>
    <t>https://dienmaycholon.com/loa-bluetooth</t>
  </si>
  <si>
    <t>https://dienmaycholon.com/loa-thanh-soundbar</t>
  </si>
  <si>
    <t>https://dienmaycholon.com/may-tinh-bang</t>
  </si>
  <si>
    <t>https://dienmaycholon.com/tai-nghe</t>
  </si>
  <si>
    <t>https://dienmaycholon.com/laptop-macbook</t>
  </si>
  <si>
    <t>https://www.coolblue.nl/monitoren/filter</t>
  </si>
  <si>
    <t>https://www.coolblue.nl/wasmachines/filter</t>
  </si>
  <si>
    <t>https://www.coolblue.nl/koelkasten/filter</t>
  </si>
  <si>
    <t>https://www.coolblue.nl/televisies/filter</t>
  </si>
  <si>
    <t>https://www.coolblue.nl/draadloze-speakers/bluetooth-speakers</t>
  </si>
  <si>
    <t>https://www.coolblue.nl/aircos/filter</t>
  </si>
  <si>
    <t>https://www.coolblue.nl/oordopjes/filter</t>
  </si>
  <si>
    <t>https://www.coolblue.nl/hoofdtelefoons/draadloos</t>
  </si>
  <si>
    <t>https://www.coolblue.nl/wasdrogers/filter</t>
  </si>
  <si>
    <t>https://www.coolblue.nl/soundbars/sonos</t>
  </si>
  <si>
    <t>https://www.coolblue.nl/soundbars/samsung</t>
  </si>
  <si>
    <t>https://www.coolblue.nl/soundbars/harman-kardon</t>
  </si>
  <si>
    <t>https://www.coolblue.nl/soundbars/denon</t>
  </si>
  <si>
    <t>https://www.coolblue.nl/soundbars/dolby-atmos-surround-sound</t>
  </si>
  <si>
    <t>https://www.coolblue.nl/soundbars/sony</t>
  </si>
  <si>
    <t>https://www.coolblue.nl/soundbars/bose</t>
  </si>
  <si>
    <t>https://www.coolblue.nl/soundbars/lg</t>
  </si>
  <si>
    <t>https://www.coolblue.nl/soundbarbeugels</t>
  </si>
  <si>
    <t>https://www.coolblue.nl/soundbars/jbl/filter</t>
  </si>
  <si>
    <t>https://www.coolblue.nl/soundbars/filter</t>
  </si>
  <si>
    <t>https://www.coolblue.nl/soundbars/aanbieding</t>
  </si>
  <si>
    <t>https://www.coppel.com/ct/linea-blanca/refrigeradores-congeladores/cat000452?pmNodeId=11404&amp;prNodeId=11419&amp;regionTelcel=9</t>
  </si>
  <si>
    <t>https://www.coppel.com/ct/linea-blanca/lavadoras-secadoras/cat000474?pmNodeId=11404&amp;prNodeId=11419&amp;regionTelcel=9</t>
  </si>
  <si>
    <t>https://www.coppel.com/ct/electronica/tv-video/pantallas/cat000268</t>
  </si>
  <si>
    <t>https://www.coppel.com/ct/electronica/monitores/cat000176?pmNodeId=11404&amp;prNodeId=11419&amp;regionTelcel=9</t>
  </si>
  <si>
    <t>https://www.coppel.com/ct/linea-blanca/aires-acondicionados/cat000416?pmNodeId=11404&amp;prNodeId=11419&amp;regionTelcel=9</t>
  </si>
  <si>
    <t>https://www.coppel.com/ct/electronica/reproductores-portatiles/cat000317?pmNodeId=11404&amp;prNodeId=11419&amp;regionTelcel=9</t>
  </si>
  <si>
    <t>https://www.coppel.com/ct/electronica/barras-sonido/cat000315?pmNodeId=11404&amp;prNodeId=11419&amp;regionTelcel=9</t>
  </si>
  <si>
    <t>https://www.coppel.com/ct/electronica/audifonos-true-wireless/cat000294?pmNodeId=11404&amp;prNodeId=11419&amp;regionTelcel=9</t>
  </si>
  <si>
    <t>https://www.coppel.com/ct/linea-blanca/secadoras-centrifugadoras/cat000476</t>
  </si>
  <si>
    <t>https://www.costco.ca/washers.html</t>
  </si>
  <si>
    <t>https://www.costco.ca/refrigerators.html</t>
  </si>
  <si>
    <t>https://www.costco.ca/dishwashers.html</t>
  </si>
  <si>
    <t>https://www.costco.ca/wall-ovens.html</t>
  </si>
  <si>
    <t>https://www.costco.ca/laptops.html</t>
  </si>
  <si>
    <t>https://www.costco.ca/monitors.html</t>
  </si>
  <si>
    <t>https://www.costco.ca/home-theatre.html</t>
  </si>
  <si>
    <t>https://www.costco.ca/headphones.html</t>
  </si>
  <si>
    <t>https://www.costco.ca/speakers.html</t>
  </si>
  <si>
    <t>https://www.costco.ca/televisions.html</t>
  </si>
  <si>
    <t>https://www.costco.ca/air-conditioners.html</t>
  </si>
  <si>
    <t>https://www.costco.ca/dryers.html</t>
  </si>
  <si>
    <t>https://www.costco.com/vacuums-floor-care.html</t>
  </si>
  <si>
    <t>https://www.costco.com/dishwashers.html?keyword=dishwasher</t>
  </si>
  <si>
    <t>https://www.costco.com/electric-dryers.html</t>
  </si>
  <si>
    <t>https://www.costco.com/wall-ovens.html</t>
  </si>
  <si>
    <t>https://www.costco.com/refrigerators.html?keyword=refrigerators</t>
  </si>
  <si>
    <t>https://www.costco.com/washers.html</t>
  </si>
  <si>
    <t>https://www.costco.com/laptops.html</t>
  </si>
  <si>
    <t>https://www.costco.com/monitors.html</t>
  </si>
  <si>
    <t>https://www.costco.com/speakers.html</t>
  </si>
  <si>
    <t>https://www.costco.com/home-theater-systems.html</t>
  </si>
  <si>
    <t>https://www.costco.com/televisions.html</t>
  </si>
  <si>
    <t>https://www.costco.com/s?dept=All&amp;keyword=styler</t>
  </si>
  <si>
    <t>http://costco.com/headphones.html?connection-type=wireless&amp;deliveryFacetFlag=true&amp;refine=||Connection_Type_attr-Wireless</t>
  </si>
  <si>
    <t>https://www.costco.com/bluetooth-speakers.html</t>
  </si>
  <si>
    <t>https://www.costco.com/air-conditioners.html</t>
  </si>
  <si>
    <t>https://www.courts.com.sg/home-appliances/large-appliances/refrigerators</t>
  </si>
  <si>
    <t>https://www.courts.com.sg/home-appliances/large-appliances/washing-machines</t>
  </si>
  <si>
    <t>https://www.courts.com.sg/tv-entertainment/vision/television</t>
  </si>
  <si>
    <t>https://www.courts.com.sg/tv-entertainment/audio?type1=Portable%20Players%2FSpeakers</t>
  </si>
  <si>
    <t>https://www.courts.com.sg/tv-entertainment/audio?type1=Sound%20Bar</t>
  </si>
  <si>
    <t>https://www.courts.com.sg/computing-mobile/earphones-headphones?features1=Wireless</t>
  </si>
  <si>
    <t>https://www.courts.com.sg/home-appliances/cooling-air-care/air-con</t>
  </si>
  <si>
    <t>https://www.courts.com.sg/home-appliances/small-appliances/vacuum-cleaner</t>
  </si>
  <si>
    <t>https://www.courts.com.sg/home-appliances/large-appliances/dishwashers</t>
  </si>
  <si>
    <t>https://www.courts.com.sg/home-appliances/large-appliances/dryers</t>
  </si>
  <si>
    <t>https://www.courts.com.sg/computing-mobile/monitors-projectors/monitors</t>
  </si>
  <si>
    <t>https://www.currys.co.uk/appliances/refrigeration/fridge-freezers</t>
  </si>
  <si>
    <t>https://www.currys.co.uk/appliances/laundry/washing-machines</t>
  </si>
  <si>
    <t>https://www.currys.co.uk/computing/laptops/laptops</t>
  </si>
  <si>
    <t>https://www.currys.co.uk/computing/computer-monitors/pc-monitors</t>
  </si>
  <si>
    <t>https://www.currys.co.uk/tv-and-audio/televisions/tvs</t>
  </si>
  <si>
    <t>https://www.currys.co.uk/appliances/dishwashers/dishwashers</t>
  </si>
  <si>
    <t>https://www.currys.co.uk/appliances/dishwashers/dishwashers/freestanding-dishwashers</t>
  </si>
  <si>
    <t>https://www.currys.co.uk/tv-and-audio/speakers-and-hi-fi-systems/speakers/portable-bluetooth-speakers</t>
  </si>
  <si>
    <t>https://www.currys.co.uk/tv-and-audio/dvd-blu-ray-and-home-cinema/home-cinema-systems-and-soundbars/sound-bars</t>
  </si>
  <si>
    <t>https://www.currys.co.uk/tv-and-audio/headphones/headphones/wireless-and-bluetooth-headphones</t>
  </si>
  <si>
    <t>https://www.currys.co.uk/appliances/fans-heating-and-air-treatment/heating-and-cooling/air-conditioners</t>
  </si>
  <si>
    <t>https://www.currys.co.uk/appliances/laundry/washer-dryers</t>
  </si>
  <si>
    <t>https://www.currys.co.uk/appliances/laundry/tumble-dryers</t>
  </si>
  <si>
    <t>https://www.darty.com/nav/achat/hifi_video/tous_ecrans_plats/filtre__4k__1680756.html</t>
  </si>
  <si>
    <t>https://www.darty.com/nav/achat/hifi_video/tous_ecrans_plats/oled/index.html</t>
  </si>
  <si>
    <t>https://www.darty.com/nav/achat/hifi_video/tous_ecrans_plats/index.html</t>
  </si>
  <si>
    <t>https://www.darty.com/nav/achat/hifi_video/tous_ecrans_plats/filtre__8k__1680757.html</t>
  </si>
  <si>
    <t>https://www.darty.com/nav/achat/hifi_video/televiseurs-led/grand_ecran_led/index.html</t>
  </si>
  <si>
    <t>https://www.darty.com/nav/extra/list?c=1701537&amp;cat=51053&amp;o=0</t>
  </si>
  <si>
    <t>https://www.darty.com/nav/achat/hifi_video/televiseurs-led/grand_ecran_led/filtre__tv_qled__1692836.html</t>
  </si>
  <si>
    <t>https://www.darty.com/nav/extra/list?c=1701540&amp;fl=1&amp;cat=3&amp;m=PHILI&amp;o=0</t>
  </si>
  <si>
    <t>https://www.darty.com/nav/achat/hifi_video/tous_ecrans_plats/filtre__smart_tv__1689773.html</t>
  </si>
  <si>
    <t>https://www.darty.com/nav/achat/gros_electromenager/refrigerateurs/index.html</t>
  </si>
  <si>
    <t>https://www.darty.com/nav/achat/gros_electromenager/refrigerateur_congelateur/index.html</t>
  </si>
  <si>
    <t>https://www.darty.com/nav/achat/gros_electromenager/refrigerateurs/refrigerateur_armoire/index.html</t>
  </si>
  <si>
    <t>https://www.darty.com/nav/achat/gros_electromenager/refrigerateur_congelateur/refrigerateur_americain/index.html</t>
  </si>
  <si>
    <t>https://www.darty.com/nav/achat/gros_electromenager/refrigerateur_congelateur/refrigerateur_multi-portes/index.html</t>
  </si>
  <si>
    <t>https://www.darty.com/nav/achat/gros_electromenager/refrigerateurs/refrigerateur_sous_plan/index.html</t>
  </si>
  <si>
    <t>https://www.darty.com/nav/achat/gros_electromenager/lave-linge/index.html</t>
  </si>
  <si>
    <t>https://www.darty.com/nav/achat/gros_electromenager/lave-linge/lave_linge_hublot/index.html</t>
  </si>
  <si>
    <t>https://www.darty.com/nav/achat/gros_electromenager/lave-linge/lave_linge_ouverture_dessus/index.html</t>
  </si>
  <si>
    <t>https://www.darty.com/nav/achat/gros_electromenager/lave-linge/lave_linge_sechant/index.html</t>
  </si>
  <si>
    <t>https://www.darty.com/nav/achat/informatique/ecran_informatique/index.html</t>
  </si>
  <si>
    <t>https://www.darty.com/nav/achat/hifi_video/casque_ecouteurs/casque_arceau/filtre__casque_audio_bluetooth__1032485.html</t>
  </si>
  <si>
    <t>https://www.darty.com/nav/achat/hifi_video/casque_ecouteurs/casque_intra-auriculaire/filtre__ecouteurs_bluetooth__1032485.html</t>
  </si>
  <si>
    <t>https://www.darty.com/nav/achat/hifi_video/home_cinema/barre_son/index.html</t>
  </si>
  <si>
    <t>https://www.darty.com/nav/achat/audio_mp3_mp4/enceinte_ipod_ipad_iphone_mp3/index.html</t>
  </si>
  <si>
    <t>https://www.darty.com/nav/achat/gros_electromenager/lave-vaisselle/index.html</t>
  </si>
  <si>
    <t>https://www.darty.com/nav/achat/encastrable/four_classique/four_encastrable/index.html</t>
  </si>
  <si>
    <t>https://www.darty.com/nav/achat/informatique/ordinateur_portable/portable/index.html</t>
  </si>
  <si>
    <t>https://www.darty.com/nav/extra/list?c=1712558&amp;cat=97056&amp;o=0</t>
  </si>
  <si>
    <t>https://www.darty.com/nav/achat/hifi_video/home_cinema/casque_sans_fil/index.html</t>
  </si>
  <si>
    <t>https://www.darty.com/nav/achat/gros_electromenager/climatisation/index.html</t>
  </si>
  <si>
    <t>https://www.darty.com/nav/achat/gros_electromenager/seche-linge/index.html</t>
  </si>
  <si>
    <t>https://www.dienmayxanh.com/tu-lanh</t>
  </si>
  <si>
    <t>https://www.dienmayxanh.com/may-giat</t>
  </si>
  <si>
    <t>https://www.dienmayxanh.com/tivi</t>
  </si>
  <si>
    <t>https://www.dienmayxanh.com/dan-loa-dvd-loa-bluetooth</t>
  </si>
  <si>
    <t>https://www.dienmayxanh.com/dan-loa-dvd-loa-thanh</t>
  </si>
  <si>
    <t>https://www.dienmayxanh.com/tai-nghe?g=bluetooth</t>
  </si>
  <si>
    <t>https://www.dienmayxanh.com/may-lanh</t>
  </si>
  <si>
    <t>https://www.dienmayxanh.com/may-giat-tu-cham-soc-quan-ao</t>
  </si>
  <si>
    <t>https://www.dienmayxanh.com/man-hinh-may-tinh</t>
  </si>
  <si>
    <t>https://www.dienmayxanh.com/may-say-quan-ao</t>
  </si>
  <si>
    <t>https://www.elcorteingles.es/electrodomesticos/lavadoras/</t>
  </si>
  <si>
    <t>https://www.elcorteingles.es/electronica/tv/tv-led/</t>
  </si>
  <si>
    <t>https://www.elcorteingles.es/electronica/tv/tv-oled/</t>
  </si>
  <si>
    <t>https://www.elcorteingles.es/electronica/tv/tv-qled/</t>
  </si>
  <si>
    <t>https://www.elcorteingles.es/electronica/monitores-pc/</t>
  </si>
  <si>
    <t>https://www.elcorteingles.es/electronica/sonido/altavoces-portatiles/altavoces-bluetooth/</t>
  </si>
  <si>
    <t>https://www.elcorteingles.es/electronica/sonido/barras-de-sonido/</t>
  </si>
  <si>
    <t>https://www.elcorteingles.es/electronica/sonido/auriculares/auriculares-bluetooth/</t>
  </si>
  <si>
    <t>https://www.elcorteingles.es/electrodomesticos/lavavajillas/</t>
  </si>
  <si>
    <t>https://www.elcorteingles.es/electrodomesticos/hornos-placas-y-campanas/hornos-de-cocina/</t>
  </si>
  <si>
    <t>https://www.elcorteingles.es/electrodomesticos/aire-acondicionado/split/</t>
  </si>
  <si>
    <t>https://www.elcorteingles.es/electrodomesticos/aire-acondicionado/portatil/</t>
  </si>
  <si>
    <t>https://www.elcorteingles.es/electrodomesticos/aire-acondicionado/cassette/</t>
  </si>
  <si>
    <t>https://www.elcorteingles.es/electrodomesticos/aire-acondicionado/suelo-techo/</t>
  </si>
  <si>
    <t>https://www.elcorteingles.es/electrodomesticos/secadoras-de-ropa/</t>
  </si>
  <si>
    <t>https://www.elcorteingles.es/electrodomesticos/secadoras-de-ropa/secadoras-de-condensacion/</t>
  </si>
  <si>
    <t>https://www.elcorteingles.es/electrodomesticos/secadoras-de-ropa/secadoras-de-evacuacion/</t>
  </si>
  <si>
    <t>https://www.elcorteingles.es/electrodomesticos/secadoras-de-ropa/secadoras-integrables/</t>
  </si>
  <si>
    <t>https://www.elcorteingles.es/electrodomesticos/lavadoras/lavadora-secadora-integrable/</t>
  </si>
  <si>
    <t>https://www.elgiganten.se/vitvaror/tvatt-tork/tvattmaskin</t>
  </si>
  <si>
    <t>https://www.elgiganten.se/vitvaror/tvatt-tork/torktumlare-torkskap</t>
  </si>
  <si>
    <t>https://www.elgiganten.se/tv-ljud-smart-hem/tv-tillbehor/tv</t>
  </si>
  <si>
    <t>https://www.elgiganten.se/tv-ljud-smart-hem/hogtalare-hifi/soundbar</t>
  </si>
  <si>
    <t>https://www.elgiganten.se/tv-ljud-smart-hem/hogtalare-hifi/hogtalare</t>
  </si>
  <si>
    <t>https://www.elgiganten.se/datorer-kontor/skarmar-tillbehor/datorskarm</t>
  </si>
  <si>
    <t>https://www.elgiganten.se/vitvaror/kyl-frys</t>
  </si>
  <si>
    <t>https://www.elgiganten.se/vitvaror/diskmaskin</t>
  </si>
  <si>
    <t>https://www.elgiganten.se/hem-hushall-tradgard/inomhusklimat-uppvarmning/avkylning/luftkonditionering</t>
  </si>
  <si>
    <t>https://www.extra.com/ar-sa/computer/c/3/facet/familyEn:Monitors:familyEn:Projectors?q=:relevance:familyEn:Monitors:familyEn:Projectors:inStock:true&amp;text=&amp;pageSize=96&amp;pg=0&amp;sort=relevance</t>
  </si>
  <si>
    <t>https://www.extra.com/ar-sa/mobiles-tablets/portable-audio/head-phones/c/2-623-5/facet/?q=:relevance:inStock:true&amp;text=&amp;pageSize=96&amp;pg=0&amp;sort=relevance</t>
  </si>
  <si>
    <t>https://www.extra.com/ar-sa/mobiles-tablets/portable-audio/speaker/c/2-623-3?q=:relevance:inStock:true&amp;text=&amp;pageSize=96&amp;pg=0&amp;sort=relevance</t>
  </si>
  <si>
    <t>https://www.extra.com/ar-sa/electronics/home-entertainment/c/1-110/facet/?q=:relevance:inStock:true&amp;text=&amp;pageSize=96&amp;pg=0&amp;sort=priceValueDiscount-desc</t>
  </si>
  <si>
    <t>https://www.extra.com/ar-sa/electronics/television/c/1-109/facet/?q=:relevance:inStock:true&amp;text=&amp;pageSize=96&amp;pg=0&amp;sort=priceValueDiscount-desc</t>
  </si>
  <si>
    <t>https://www.extra.com/ar-sa/white-goods/washing-machines/c/4-403/facet/?q=:relevance:inStock:true&amp;text=&amp;pageSize=96&amp;pg=0&amp;sort=relevance</t>
  </si>
  <si>
    <t>https://www.extra.com/ar-sa/white-goods/refrigerators/c/4-401/facet/?q=:relevance:inStock:true&amp;text=&amp;pageSize=96&amp;pg=0&amp;sort=relevance</t>
  </si>
  <si>
    <t>https://www.extra.com/ar-sa/white-goods/air-conditioner/c/4-402/facet/?q=:relevance:inStock:true&amp;text=&amp;pageSize=96&amp;pg=0&amp;sort=relevance</t>
  </si>
  <si>
    <t>https://www.extra.com/ar-sa/white-goods/dish-washer/c/4-408/facet/</t>
  </si>
  <si>
    <t>https://www.extra.com/ar-sa/white-goods/dryers/c/4-404/facet/?q=%3Arelevance%3AinStock%3Atrue%3Atype%3APRODUCT&amp;text=&amp;pg=1&amp;pageSize=24&amp;sort=relevance</t>
  </si>
  <si>
    <t>https://www.falabella.com/falabella-cl/category/cat3205/Refrigeradores</t>
  </si>
  <si>
    <t>https://www.falabella.com/falabella-cl/category/cat4060/Lavadoras</t>
  </si>
  <si>
    <t>https://www.falabella.com/falabella-cl/category/cat7190148/Smart-TV</t>
  </si>
  <si>
    <t>https://www.falabella.com/falabella-cl/category/cat3171/Parlantes-bluetooth</t>
  </si>
  <si>
    <t>https://www.falabella.com/falabella-cl/category/cat1700004/Soundbar</t>
  </si>
  <si>
    <t>https://www.falabella.com/falabella-cl/category/cat1640002/Audifonos</t>
  </si>
  <si>
    <t>https://www.falabella.com/falabella-cl/category/cat2062/Monitores</t>
  </si>
  <si>
    <t>https://www.falabella.com/falabella-cl/category/CATG12097/Climatizacion</t>
  </si>
  <si>
    <t>https://www.falabella.com/falabella-cl/category/cat2019/Aire-acondicionado</t>
  </si>
  <si>
    <t>https://www.falabella.com/falabella-cl/category/cat4088/Secadora-de-ropa</t>
  </si>
  <si>
    <t>FASTSHOP</t>
  </si>
  <si>
    <t>https://site.fastshop.com.br/eletrodomesticos/Para-sua-lavanderia/Lava---Seca?category-1=eletrodomesticos&amp;category-2=para-sua-lavanderia&amp;category-3=lava---seca&amp;fuzzy=0&amp;operator=and&amp;facets=category-1%2Ccategory-2%2Ccategory-3%2Cfuzzy%2Coperator&amp;sort=score_desc&amp;page=0</t>
  </si>
  <si>
    <t>https://site.fastshop.com.br/eletrodomesticos/Para-sua-lavanderia/Lavadora-de-Roupas?category-1=eletrodomesticos&amp;category-2=para-sua-lavanderia&amp;category-3=lavadora-de-roupas&amp;fuzzy=0&amp;operator=and&amp;facets=category-1%2Ccategory-2%2Ccategory-3%2Cfuzzy%2Coperator&amp;sort=score_desc&amp;page=0</t>
  </si>
  <si>
    <t>https://site.fastshop.com.br/Video/tv?category-1=video&amp;category-2=tv&amp;fuzzy=0&amp;operator=and&amp;facets=category-1%2Ccategory-2%2Cfuzzy%2Coperator&amp;sort=score_desc&amp;page=0</t>
  </si>
  <si>
    <t>https://site.fastshop.com.br/informatica?category-1=informatica&amp;fuzzy=0&amp;operator=and&amp;category-2=monitores&amp;facets=category-1%2Cfuzzy%2Coperator%2Ccategory-2&amp;sort=score_desc&amp;page=0</t>
  </si>
  <si>
    <t>https://site.fastshop.com.br/ar-e-ventilacao/Ar-Condicionado?category-1=ar-e-ventilacao&amp;category-2=ar-condicionado&amp;fuzzy=0&amp;operator=and&amp;facets=category-1%2Ccategory-2%2Cfuzzy%2Coperator&amp;sort=score_desc&amp;page=0</t>
  </si>
  <si>
    <t>https://site.fastshop.com.br/audio/Caixa-de-Som/Caixa-de-Som-Portatil?category-1=audio&amp;category-2=caixa-de-som&amp;category-3=caixa-de-som-portatil&amp;fuzzy=0&amp;operator=and&amp;facets=category-1%2Ccategory-2%2Ccategory-3%2Cfuzzy%2Coperator&amp;sort=score_desc&amp;page=0</t>
  </si>
  <si>
    <t>https://site.fastshop.com.br/audio/Fone-de-Ouvido?category-1=audio&amp;category-2=fone-de-ouvido&amp;fuzzy=0&amp;operator=and&amp;facets=category-1%2Ccategory-2%2Cfuzzy%2Coperator&amp;sort=score_desc&amp;page=0</t>
  </si>
  <si>
    <t>https://site.fastshop.com.br/eletrodomesticos/cozinha?category-1=eletrodomesticos&amp;category-2=cozinha&amp;fuzzy=0&amp;operator=and&amp;category-3=refrigeradores&amp;category-3=refrigerador-side-by-side&amp;category-3=refrigeradores-inverse&amp;facets=category-1%2Ccategory-2%2Cfuzzy%2Coperator%2Ccategory-3&amp;sort=score_desc&amp;page=0</t>
  </si>
  <si>
    <t>https://site.fastshop.com.br/eletrodomesticos/Para-sua-lavanderia/Lava---Seca?category-1=eletrodomesticos&amp;category-2=para-sua-lavanderia&amp;category-3=secadora&amp;fuzzy=0&amp;operator=and&amp;facets=category-1%2Ccategory-2%2Ccategory-3%2Cfuzzy%2Coperator&amp;sort=score_desc&amp;page=0</t>
  </si>
  <si>
    <t>https://site.fastshop.com.br/audio/Soundbar-e-receiver/Soundbar?category-1=audio&amp;category-2=soundbar-e-receiver&amp;category-3=soundbar&amp;fuzzy=0&amp;operator=and&amp;facets=category-1%2Ccategory-2%2Ccategory-3%2Cfuzzy%2Coperator&amp;sort=score_desc&amp;page=0</t>
  </si>
  <si>
    <t>https://www.flipkart.com/televisions/pr?sid=ckf,czl&amp;otracker=categorytree</t>
  </si>
  <si>
    <t>https://www.flipkart.com/refrigerators/single-door~type/pr?sid=j9e,abm,hzg&amp;otracker=categorytree</t>
  </si>
  <si>
    <t>https://www.flipkart.com/refrigerators/double-door~type/pr?sid=j9e,abm,hzg&amp;otracker=categorytree</t>
  </si>
  <si>
    <t>https://www.flipkart.com/refrigerators/triple-door~type/pr?sid=j9e,abm,hzg&amp;otracker=categorytree</t>
  </si>
  <si>
    <t>https://www.flipkart.com/washing-machines/fully-automatic-front-load~function/pr?sid=j9e,abm,8qx&amp;otracker=categorytree</t>
  </si>
  <si>
    <t>https://www.flipkart.com/washing-machines/semi-automatic-top-load~function/pr?sid=j9e,abm,8qx&amp;otracker=categorytree</t>
  </si>
  <si>
    <t>https://www.flipkart.com/washing-machines/fully-automatic-top-load~function/pr?sid=j9e,abm,8qx&amp;otracker=categorytree</t>
  </si>
  <si>
    <t>https://www.flipkart.com/water-purifiers/pr?sid=j9e%2Cabm%2Ci45&amp;otracker=categorytree</t>
  </si>
  <si>
    <t>https://www.flipkart.com/computers/computer-components/monitors/pr?sid=6bo,g0i,9no&amp;otracker=categorytree</t>
  </si>
  <si>
    <t>https://www.flipkart.com/audio-video/speakers/pr?sid=0pm,0o7&amp;p[]=facets.features%255B%255D%3DBluetooth&amp;otracker=categorytree</t>
  </si>
  <si>
    <t>https://www.flipkart.com/audio-video/headset/headphones/pr?sid=0pm,fcn,gc3&amp;p[]=facets.connectivity%255B%255D%3DBluetooth&amp;otracker=categorytree</t>
  </si>
  <si>
    <t>https://www.flipkart.com/audio-video/speakers/pr?sid=0pm,0o7&amp;p[]=facets.rating%255B%255D%3D3%25E2%2598%2585%2B%2526%2Babove&amp;p[]=facets.type%255B%255D%3DSoundbar&amp;otracker=categorytree</t>
  </si>
  <si>
    <t>https://www.flipkart.com/home-kitchen/kitchen-appliances/dish-washers/pr?sid=j9e,m38,58n&amp;otracker=categorytree</t>
  </si>
  <si>
    <t>https://www.flipkart.com/acnewclp-store?otracker=nmenu_sub_TVs%20%26%20Appliances_0_Air%20Conditioners</t>
  </si>
  <si>
    <t>https://www.flipkart.com/search?sid=j9e%2Fabm%2F8qx&amp;otracker=CLP_Filters&amp;p%5B%5D=facets.function_type%255B%255D%3DDryer</t>
  </si>
  <si>
    <t>https://www.fnac.com/Toutes-les-TV/TV-Television/nsh474940/w-4?PageIndex=1&amp;SDM=list</t>
  </si>
  <si>
    <t>https://www.fnac.com/Toutes-les-Barres-de-son/Barre-de-son/nsh475049/w-4?PageIndex=1&amp;SDM=list</t>
  </si>
  <si>
    <t>https://www.fnac.com/Enceinte-Bluetooth-sans-fil/Enceinte-par-usage/nsh450599/w-4?PageIndex=1&amp;SDM=list</t>
  </si>
  <si>
    <t>https://www.fnac.com/Casque-Bluetooth-sans-fil/Casque-par-usage/nsh450503/w-4?PageIndex=1&amp;SDM=list</t>
  </si>
  <si>
    <t>https://www.fnac.com/SearchResult/ResultList.aspx?Search=refrigerator&amp;sft=1&amp;sa=hist</t>
  </si>
  <si>
    <t>https://www.fnac.com/Refrigerateur-Congelateur/Par-type/nsh521525/w-4#bl=Mmpem</t>
  </si>
  <si>
    <t>https://www.fnac.com/Refrigerateur-2-portes/Par-type/nsh501320/w-4#int=S:NonApplicable|Par%20type|501320|NonApplicable|BL2|NonApplicable</t>
  </si>
  <si>
    <t>https://www.fnac.com/Refrigerateurs-Americains/Par-type/nsh501321/w-4#bl=ACPar-typeARBO</t>
  </si>
  <si>
    <t>https://www.fnac.com/LAVAGE/Lave-Linge/sh562189/w-4#int=S:Faites%20votre%20choix%20parmi%20le%20catalogue|Gros%20Electrom%C3%A9nager%20Darty|NonApplicable|NonApplicable|BL1|NonApplicable</t>
  </si>
  <si>
    <t>https://www.fnac.com/Lave-linge-hublot/Par-type/nsh501247/w-4#bl=ACLave-LingeARBO</t>
  </si>
  <si>
    <t>https://www.fnac.com/Lave-linge-top/Par-type/nsh501248/w-4#bl=ACPar-typeARBO</t>
  </si>
  <si>
    <t>https://www.fnac.com/Lave-linge-sechant/Par-type/nsh501250/w-4#bl=ACPar-typeARBO</t>
  </si>
  <si>
    <t>https://www.fnac.com/Tous-les-ecrans-de-PC/Ecrans-de-PC/nsh55527/w-4#bl=AC%C3%89crans-de-PCARBO</t>
  </si>
  <si>
    <t>https://www.fnac.com/Ecrans-de-PC-Incurve/Ecrans-de-PC/nsh445840/w-4#bl=AC%C3%89crans-de-PCARBO</t>
  </si>
  <si>
    <t>https://www.fnac.com/Ecrans-de-PC-4K/Ecrans-de-PC/nsh437035/w-4#bl=AC%C3%89crans-de-PCARBO</t>
  </si>
  <si>
    <t>https://www.fnac.com/Lave-vaisselle-pose-libre/Par-type/nsh501352/w-4#bl=ACLave-vaisselleARBO</t>
  </si>
  <si>
    <t>https://www.fnac.com/Lave-vaisselle-45-cm/Par-type/nsh522676/w-4#bl=ACPar-typeARBO</t>
  </si>
  <si>
    <t>https://www.fnac.com/Lave-vaisselle-60-cm/Par-type/nsh522677/w-4#bl=ACLave-vaisselleARBO</t>
  </si>
  <si>
    <t>https://www.fnac.com/Marques-de-four/Four/nsh565381/w-4#bl=ACFourARBO</t>
  </si>
  <si>
    <t>https://www.fnac.com/Climatiseur/Air-Ventilation/nsh567590/w-4#bl=ACTraitement-de-l%27airARBO</t>
  </si>
  <si>
    <t>https://www.fnac.com/Seche-linge/Equipement-Gros-Electromenager/nsh501266/w-4?PageIndex=1&amp;SDM=list</t>
  </si>
  <si>
    <t>https://www.harveynorman.com.au/tv-blu-ray-home-theatre/tvs-by-type/4k-ultra-hd-tvs</t>
  </si>
  <si>
    <t>https://www.harveynorman.com.au/tv-blu-ray-home-theatre/tvs-by-type/8k-ultra-hd-tvs</t>
  </si>
  <si>
    <t>https://www.harveynorman.com.au/tv-blu-ray-home-theatre/tvs-by-type/qled-lcd-tvs</t>
  </si>
  <si>
    <t>https://www.harveynorman.com.au/tv-blu-ray-home-theatre/tvs-by-type/oled-tvs</t>
  </si>
  <si>
    <t>https://www.harveynorman.com.au/tv-blu-ray-home-theatre/tvs-by-type/led-lcd-tvs</t>
  </si>
  <si>
    <t>https://www.harveynorman.com.au/kitchen-appliances/appliances/fridges</t>
  </si>
  <si>
    <t>https://www.harveynorman.com.au/vacuum-laundry-appliances/washing-machines-dryers/washing-machines</t>
  </si>
  <si>
    <t>https://www.harveynorman.com.au/tv-blu-ray-home-theatre/tvs-by-screen-size/all-tvs</t>
  </si>
  <si>
    <t>https://www.harveynorman.com.au/headphones-audio-music/sound-systems/bluetooth-speakers</t>
  </si>
  <si>
    <t>https://www.harveynorman.com.au/tv-blu-ray-home-theatre/home-theatre-speakers/soundbars</t>
  </si>
  <si>
    <t>https://www.harveynorman.com.au/headphones-audio-music/headphones/wireless-headphones</t>
  </si>
  <si>
    <t>https://www.harveynorman.com.au/vacuum-laundry-appliances/vacuum-cleaners/stick-vacuum-cleaners</t>
  </si>
  <si>
    <t>https://www.harveynorman.com.au/kitchen-appliances/appliances/dishwashers</t>
  </si>
  <si>
    <t>https://www.harveynorman.com.au/vacuum-laundry-appliances/washing-machines-dryers/dryers</t>
  </si>
  <si>
    <t>https://www.harveynorman.com.au/computers-tablets/computers</t>
  </si>
  <si>
    <t>https://www.harveynorman.com.au/heating-cooling-air-treatment/air-conditioning</t>
  </si>
  <si>
    <t>https://www.harveynorman.com.au/computers-tablets/computer-accessories/monitors</t>
  </si>
  <si>
    <t>https://www.harveynorman.com.sg/home-appliances/kitchen-appliances-en/fridges/</t>
  </si>
  <si>
    <t>https://www.harveynorman.com.sg/home-appliances/washing-machines-and-dryers-en/washing-machines-en/</t>
  </si>
  <si>
    <t>https://www.harveynorman.com.sg/tv-and-audio/tvs-en-2/tvs-en-3/</t>
  </si>
  <si>
    <t>https://www.harveynorman.com.sg/computing/computers-en/monitors-en/</t>
  </si>
  <si>
    <t>https://www.harveynorman.com.sg/tv-and-audio/sound-systems/portable-speakers/</t>
  </si>
  <si>
    <t>https://www.harveynorman.com.sg/tv-and-audio/sound-systems/soundbars-en/</t>
  </si>
  <si>
    <t>https://www.harveynorman.com.sg/tv-and-audio/headphones-en/wireless-headphones-en/</t>
  </si>
  <si>
    <t>https://www.harveynorman.com.sg/home-appliances/air-conditioning-en/air-purifiers/</t>
  </si>
  <si>
    <t>https://www.harveynorman.com.sg/home-appliances/vacuum-cleaners-en-2/stick-and-handheld-vacuum-cleaners/</t>
  </si>
  <si>
    <t>https://www.harveynorman.com.sg/home-appliances/kitchen-appliances-en/dishwashers-en/</t>
  </si>
  <si>
    <t>https://www.harveynorman.com.sg/home-appliances/washing-machines-and-dryers-en/dryers-en/</t>
  </si>
  <si>
    <t>https://www.harveynorman.com.sg/computing/computers-en/laptops-en/</t>
  </si>
  <si>
    <t>https://www.harveynorman.com.sg/home-appliances/garment-care-en/garment-steamers/</t>
  </si>
  <si>
    <t>https://www.harveynorman.com.sg/home-appliances/air-conditioning-en/</t>
  </si>
  <si>
    <t>https://www.homedepot.ca/en/home/categories/appliances/refrigerators.html?products=</t>
  </si>
  <si>
    <t>https://www.homedepot.ca/en/home/categories/appliances/washers-and-dryers/washers.html</t>
  </si>
  <si>
    <t>https://www.homedepot.ca/en/home/categories/appliances/heating-cooling-and-air-quality/air-conditioners/wall-air-conditioners.html</t>
  </si>
  <si>
    <t>https://www.homedepot.ca/en/home/categories/appliances/dishwashers.html?products=</t>
  </si>
  <si>
    <t>https://www.homedepot.ca/en/home/categories/appliances/wall-ovens.html</t>
  </si>
  <si>
    <t>https://www.homedepot.ca/en/home/categories/building-materials/electrical/home-electronics-and-communications/home-audio-tv-and-theatre/home-speakers-and-displays/soundbars.html</t>
  </si>
  <si>
    <t>https://www.homedepot.ca/en/home/categories/building-materials/electrical/home-electronics-and-communications/home-audio-tv-and-theatre/home-speakers-and-displays/portable-wireless-and-bluetooth-speakers.html</t>
  </si>
  <si>
    <t>https://www.homedepot.ca/en/home/categories/building-materials/electrical/home-electronics-and-communications/portable-audio/headphones-and-headsets/f/bluetooth/ti9-15gq</t>
  </si>
  <si>
    <t>https://www.homedepot.ca/en/home/categories/appliances/washers-and-dryers/dryers.html</t>
  </si>
  <si>
    <t>https://www.homedepot.com/b/Appliances-Refrigerators/N-5yc1vZc3pi?catStyle=ShowProducts</t>
  </si>
  <si>
    <t>https://www.homedepot.com/b/Appliances-Washers-Dryers-Washing-Machines/N-5yc1vZc3ov</t>
  </si>
  <si>
    <t>https://www.homedepot.com/b/Electronics-TV-Home-Theater-TVs/N-5yc1vZc64h</t>
  </si>
  <si>
    <t>https://www.homedepot.com/b/Electronics-Computer-Laptop-Accessories/N-5yc1vZcdsy</t>
  </si>
  <si>
    <t>https://www.homedepot.com/b/Heating-Venting-Cooling-Air-Conditioners/N-5yc1vZc4me?catStyle=ShowProducts</t>
  </si>
  <si>
    <t>https://www.homedepot.com/b/Electronics-Home-Audio-Sound-Bars/N-5yc1vZc64d</t>
  </si>
  <si>
    <t>https://www.homedepot.com/b/Electronics-Home-Audio-Portable-Speakers/N-5yc1vZ2fkp5b0</t>
  </si>
  <si>
    <t>https://www.homedepot.com/b/Electronics-Home-Audio-Headphones/Bluetooth/N-5yc1vZc64tZ1z0sfgh</t>
  </si>
  <si>
    <t>https://www.homedepot.com/b/Appliances-Floor-Care-Vacuums-Vacuum-Cleaners-Stick-Vacuums/N-5yc1vZbv6x</t>
  </si>
  <si>
    <t>https://www.homedepot.com/b/Appliances-Dishwashers/N-5yc1vZc3po?catStyle=ShowProducts</t>
  </si>
  <si>
    <t>https://www.homedepot.com/b/Appliances-Washers-Dryers-Dryers/N-5yc1vZc3p3</t>
  </si>
  <si>
    <t>https://www.homedepot.com/b/Appliances-Wall-Ovens/N-5yc1vZc3nq?catStyle=ShowProducts</t>
  </si>
  <si>
    <t>https://www.homedepot.com/b/Appliances-Washers-Dryers-Steam-Closets/N-5yc1vZ2fkpdw6</t>
  </si>
  <si>
    <t>https://www.homepro.co.th/c/APP01</t>
  </si>
  <si>
    <t>https://www.homepro.co.th/c/APP0103</t>
  </si>
  <si>
    <t>https://www.homepro.co.th/c/APP0104</t>
  </si>
  <si>
    <t>https://www.homepro.co.th/c/APP0106</t>
  </si>
  <si>
    <t>https://www.homepro.co.th/c/APP0904</t>
  </si>
  <si>
    <t>https://www.homepro.co.th/c/APP0905</t>
  </si>
  <si>
    <t>https://www.homepro.co.th/c/APP09</t>
  </si>
  <si>
    <t>https://www.homepro.co.th/c/APP0907</t>
  </si>
  <si>
    <t>https://www.homepro.co.th/c/APP0906</t>
  </si>
  <si>
    <t>https://www.homepro.co.th/c/APP1301</t>
  </si>
  <si>
    <t>https://www.homepro.co.th/c/APP130301</t>
  </si>
  <si>
    <t>https://www.homepro.co.th/c/APP130303</t>
  </si>
  <si>
    <t>https://www.homepro.co.th/c/APP130304</t>
  </si>
  <si>
    <t>https://www.homepro.co.th/c/APP1303</t>
  </si>
  <si>
    <t>https://www.homepro.co.th/c/APP13</t>
  </si>
  <si>
    <t>https://www.homepro.co.th/c/SMA03</t>
  </si>
  <si>
    <t>https://www.homepro.co.th/c/TVA01</t>
  </si>
  <si>
    <t>https://www.homepro.co.th/c/TVA1804</t>
  </si>
  <si>
    <t>https://www.homepro.co.th/c/TVA0110</t>
  </si>
  <si>
    <t>https://www.homepro.co.th/c/TVA0702</t>
  </si>
  <si>
    <t>https://www.homepro.co.th/c/TVA0703</t>
  </si>
  <si>
    <t>https://www.homepro.co.th/c/TVA0705</t>
  </si>
  <si>
    <t>https://www.homepro.co.th/c/TVA07</t>
  </si>
  <si>
    <t>https://www.homepro.co.th/c/MIG0601</t>
  </si>
  <si>
    <t>https://www.homepro.co.th/c/APP1302</t>
  </si>
  <si>
    <t>https://www.homepro.co.th/c/APP1304</t>
  </si>
  <si>
    <t>https://www.jbhifi.com.au/collections/tvs/4k-ultra-hd-tvs</t>
  </si>
  <si>
    <t>https://www.jbhifi.com.au/collections/tvs/8k-ultra-hd-tvs</t>
  </si>
  <si>
    <t>https://www.jbhifi.com.au/collections/tvs/oled-tvs</t>
  </si>
  <si>
    <t>https://www.jbhifi.com.au/collections/tvs/qled-tvs</t>
  </si>
  <si>
    <t>https://www.jbhifi.com.au/collections/tvs</t>
  </si>
  <si>
    <t>https://www.jbhifi.com.au/collections/home-appliances/french-door-fridges</t>
  </si>
  <si>
    <t>https://www.jbhifi.com.au/collections/home-appliances/bottom-mount-fridges</t>
  </si>
  <si>
    <t>https://www.jbhifi.com.au/collections/home-appliances/top-mount-fridges</t>
  </si>
  <si>
    <t>https://www.jbhifi.com.au/collections/home-appliances/side-by-side-fridges</t>
  </si>
  <si>
    <t>https://www.jbhifi.com.au/collections/connected-fridges</t>
  </si>
  <si>
    <t>https://www.jbhifi.com.au/collections/home-appliances/washing-machines</t>
  </si>
  <si>
    <t>https://www.jbhifi.com.au/collections/home-appliances/front-loader-washing-machines</t>
  </si>
  <si>
    <t>https://www.jbhifi.com.au/collections/home-appliances/top-load-washers</t>
  </si>
  <si>
    <t>https://www.jbhifi.com.au/collections/home-appliances/washer-dryers</t>
  </si>
  <si>
    <t>https://www.jbhifi.com.au/collections/connected-home/smart-laundry</t>
  </si>
  <si>
    <t>https://www.jbhifi.com.au/collections/home-appliances/clothes-dryers</t>
  </si>
  <si>
    <t>https://www.jbhifi.com.au/collections/home-appliances/heat-pump-clothes-dryers</t>
  </si>
  <si>
    <t>https://www.jbhifi.com.au/collections/home-appliances/vented-clothes-dryers</t>
  </si>
  <si>
    <t>https://www.jbhifi.com.au/collections/home-appliances/condenser-clothes-dryers</t>
  </si>
  <si>
    <t>https://www.jbhifi.com.au/collections/home-appliances/dishwashers</t>
  </si>
  <si>
    <t>https://www.jbhifi.com.au/collections/headphones-speakers-audio/portable-bluetooth-speakers</t>
  </si>
  <si>
    <t>https://www.jbhifi.com.au/collections/headphones-speakers-audio/soundbars</t>
  </si>
  <si>
    <t>https://www.jbhifi.com.au/collections/headphones-speakers-audio/wireless-home-speakers</t>
  </si>
  <si>
    <t>https://www.jbhifi.com.au/collections/headphones-speakers-audio/home-theatre-speakers</t>
  </si>
  <si>
    <t>https://www.jbhifi.com.au/collections/games-consoles/gaming-speakers</t>
  </si>
  <si>
    <t>https://www.jbhifi.com.au/collections/headphones-speakers-audio/headphones</t>
  </si>
  <si>
    <t>https://www.jbhifi.com.au/collections/home-appliances/vacuums</t>
  </si>
  <si>
    <t>https://www.jbhifi.com.au/collections/home-appliances/stick-vacuums</t>
  </si>
  <si>
    <t>https://www.jbhifi.com.au/collections/home-appliances/bagless-vacuums</t>
  </si>
  <si>
    <t>https://www.jbhifi.com.au/collections/home-appliances/robotic-vacuums</t>
  </si>
  <si>
    <t>https://www.jbhifi.com.au/collections/home-appliances/steam-cleaners-mops</t>
  </si>
  <si>
    <t>https://www.jbhifi.com.au/collections/home-appliances/cleaning</t>
  </si>
  <si>
    <t>https://www.jbhifi.com.au/collections/computers-tablets/monitors</t>
  </si>
  <si>
    <t>https://www.jbhifi.com.au/collections/computers-tablets/laptops</t>
  </si>
  <si>
    <t>https://www.jbhifi.com.au/collections/home-appliances/air-conditioners</t>
  </si>
  <si>
    <t>https://www.lazada.co.th/shop-refrigerators/?spm=a2o4m.home-th.3887232320.9.2adc2a80sCQIct</t>
  </si>
  <si>
    <t>https://www.lazada.co.th/shop-washing-machines/?spm=a2o4m.searchlistcategory.funnel_filter.d1.6e5b7050ljqXJa</t>
  </si>
  <si>
    <t>https://www.lazada.co.th/shop-dryers/?spm=a2o4m.searchlistcategory.funnel_filter.d5.db9b7050SRZknr</t>
  </si>
  <si>
    <t>https://www.lazada.co.th/tag/digital-television/</t>
  </si>
  <si>
    <t>https://www.lazada.co.th/shop-monitors/?spm=a2o4m.searchlistcategory.funnel_filter.d1.65967050XxpwJN</t>
  </si>
  <si>
    <t>https://www.lazada.co.th/tag/portable-speaker/</t>
  </si>
  <si>
    <t>https://www.lazada.co.th/tag/soundbar-speaker/</t>
  </si>
  <si>
    <t>https://www.lazada.co.th/shop-wireless-earbuds/?spm=a2o4m.searchlistcategory.funnel_filter.d1.57ba7050ep3Xkr</t>
  </si>
  <si>
    <t>https://www.lazada.co.th/catalog/?q=%E0%B9%81%E0%B8%AD%E0%B8%A3%E0%B9%8C&amp;from=hp_categories&amp;src=all_channel</t>
  </si>
  <si>
    <t>https://www.lazada.co.th/catalog/?q=%E0%B9%80%E0%B8%84%E0%B8%A3%E0%B8%B7%E0%B9%88%E0%B8%AD%E0%B8%87%E0%B8%9F%E0%B8%AD%E0%B8%81%E0%B8%AD%E0%B8%B2%E0%B8%81%E0%B8%B2%E0%B8%A8&amp;from=hp_categories&amp;src=all_channel</t>
  </si>
  <si>
    <t>https://www.lazada.co.th/tag/%E0%B9%81%E0%B8%A5%E0%B9%87%E0%B8%9B%E0%B8%97%E0%B9%87%E0%B8%AD%E0%B8%9B/</t>
  </si>
  <si>
    <t>https://www.lazada.co.th/catalog/?spm=a2o4m.searchlist.cate_3_2.5.19ab7721Jb7Kq3&amp;q=Clothes%20Dryers&amp;from=hp_categories&amp;src=all_channel</t>
  </si>
  <si>
    <t>https://www.lazada.sg/shop-smart-tv/?spm=a2o42.searchlistcategory.cate_3_1.2.64936046qFQ1BS</t>
  </si>
  <si>
    <t>https://www.lazada.sg/shop-washing-machines/?spm=a2o42.searchlistcategory.cate_3_4.1.49996046rWqCb3</t>
  </si>
  <si>
    <t>https://www.lazada.sg/shop-refrigerators/?spm=a2o42.searchlistcategory.cate_3_4.3.7d354cfd4ebC4Z</t>
  </si>
  <si>
    <t>https://www.lazada.sg/shop-monitors/?spm=a2o42.searchlistcategory.cate_1_6.1.1da73f876TOmQI</t>
  </si>
  <si>
    <t>https://www.lazada.sg/shop-ce-headphones/?spm=a2o42.searchlistcategory.cate_1_2.1.6e9e7d39sZDMzx</t>
  </si>
  <si>
    <t>https://www.lazada.sg/shop-wireless-earbuds/?spm=a2o42.searchlistcategory.list.i40.f0254f13rOXqI1</t>
  </si>
  <si>
    <t>https://www.lazada.sg/shop-home-soundbars-speakers-&amp;-subwoofers/?spm=a2o42.pdp_revamp.breadcrumb.3.3443209c9W9jNm</t>
  </si>
  <si>
    <t>https://www.lazada.sg/shop-portable-speakers-&amp;-boomboxes/?spm=a2o42.searchlistcategory.cate_1_2.2.a3fd483fDl8cUA</t>
  </si>
  <si>
    <t>https://www.lazada.sg/catalog/?q=Air%20Conditioner&amp;from=hp_categories&amp;src=all_channel</t>
  </si>
  <si>
    <t>https://www.lazada.sg/catalog/?q=Air%20Purifier&amp;from=hp_categories&amp;src=all_channel</t>
  </si>
  <si>
    <t>https://www.lazada.sg/catalog/?from=hp_categories&amp;q=Vacuum%20Cleaner&amp;ppath=40062:4224</t>
  </si>
  <si>
    <t>https://www.lazada.sg/tag/dish-washer/?q=dish%20washer&amp;src=all_channel&amp;catalog_redirect_tag=true</t>
  </si>
  <si>
    <t>https://www.lazada.sg/shop-dryers/?from=hp_categories&amp;q=Laundry+Dryer&amp;service=all_channel</t>
  </si>
  <si>
    <t>https://www.lazada.sg/catalog/?q=Laptops%20%26%20Notebooks&amp;from=hp_categories&amp;src=all_channel</t>
  </si>
  <si>
    <t>https://www.lg.com/au/fridge-freezers/all-fridge-freezers/?ec_model_status_code=Active</t>
  </si>
  <si>
    <t>https://www.lg.com/au/washer-dryers/all-washer-dryers/?ec_model_status_code=Active</t>
  </si>
  <si>
    <t>https://www.lg.com/au/tv-soundbars/oled-tv/?ec_model_status_code=Active</t>
  </si>
  <si>
    <t>https://www.lg.com/au/tv-soundbars/oled-evo-tv/?ec_model_status_code=Active</t>
  </si>
  <si>
    <t>https://www.lg.com/au/tv-soundbars/qned-tv/?ec_model_status_code=Active</t>
  </si>
  <si>
    <t>https://www.lg.com/au/tv-soundbars/nanocell-tv/?ec_model_status_code=Active</t>
  </si>
  <si>
    <t>https://www.lg.com/au/tv-soundbars/uhd-tv/?ec_model_status_code=Active</t>
  </si>
  <si>
    <t>https://www.lg.com/au/tv-soundbars/ultra-big-tv/?ec_model_status_code=Active</t>
  </si>
  <si>
    <t>https://www.lg.com/au/speakers/soundbars/?ec_model_status_code=Active</t>
  </si>
  <si>
    <t>https://www.lg.com/au/speakers/portable-speakers/?ec_model_status_code=Active</t>
  </si>
  <si>
    <t>https://www.lg.com/au/tv-soundbars/all-tv-soundbars/?ec_ft_06513561=65_inch&amp;ec_model_status_code=Active</t>
  </si>
  <si>
    <t>https://www.lg.com/au/tv-soundbars/all-tv-soundbars/?ec_ft_06513561=55_inch&amp;ec_model_status_code=Active</t>
  </si>
  <si>
    <t>https://www.lg.com/au/monitors/all-monitors/?ec_model_status_code=Active</t>
  </si>
  <si>
    <t>https://www.lg.com/au/residential-air-conditioner/all-residential-air-conditioners/?ec_model_status_code=Active</t>
  </si>
  <si>
    <t>https://www.lg.com/au/wireless-earbuds/all-wireless-earbuds/?ec_model_status_code=Active</t>
  </si>
  <si>
    <t>https://www.lg.com/au/washer-dryers/dryers/?ec_model_status_code=Active</t>
  </si>
  <si>
    <t>https://www.lg.com/br/geladeiras/todas-geladeiras/?ec_model_status_code=ACTIVE</t>
  </si>
  <si>
    <t>https://www.lg.com/br/lavanderia/todas-lavadoras/?ec_model_status_code=ACTIVE</t>
  </si>
  <si>
    <t>https://www.lg.com/br/tvs-e-soundbars/oled/?ec_model_status_code=ACTIVE</t>
  </si>
  <si>
    <t>http://lg.com/br/tvs-e-soundbars/oled-evo/?ec_model_status_code=ACTIVE</t>
  </si>
  <si>
    <t>https://www.lg.com/br/tvs-e-soundbars/qned/?ec_model_status_code=ACTIVE&amp;sortCriteria=%40ec_spotlights_order_no+descending%2C%40ec_stock_status+ascending%2C%40ec_model_release_date+descending</t>
  </si>
  <si>
    <t>https://www.lg.com/br/tvs-e-soundbars/nanocell/?ec_model_status_code=ACTIVE</t>
  </si>
  <si>
    <t>https://www.lg.com/br/tvs-e-soundbars/tv-uhd-4k/?ec_model_status_code=ACTIVE</t>
  </si>
  <si>
    <t>https://www.lg.com/br/tvs-e-soundbars/telas-gigantes/?ec_model_status_code=ACTIVE</t>
  </si>
  <si>
    <t>https://www.lg.com/br/tvs-e-soundbars/smart-tvs/?ec_model_status_code=ACTIVE</t>
  </si>
  <si>
    <t>https://www.lg.com/br/tvs-e-soundbars/combos-de-tv/?ec_model_status_code=ACTIVE</t>
  </si>
  <si>
    <t>https://www.lg.com/br/tvs-e-soundbars/tvs-65-polegadas/?ec_model_status_code=ACTIVE</t>
  </si>
  <si>
    <t>https://www.lg.com/br/tvs-e-soundbars/tvs-55-polegadas/?ec_model_status_code=ACTIVE</t>
  </si>
  <si>
    <t>https://www.lg.com/br/monitores/todos-monitores/?ec_model_status_code=ACTIVE</t>
  </si>
  <si>
    <t>https://www.lg.com/br/ar-condicionado-residencial/todos-ares-condicionados/?ec_model_status_code=ACTIVE</t>
  </si>
  <si>
    <t>https://www.lg.com/br/lavanderia/lava-e-seca/?ec_model_status_code=ACTIVE</t>
  </si>
  <si>
    <t>https://www.lg.com/br/audio/todos-audios/?ec_model_status_code=Active</t>
  </si>
  <si>
    <t>https://www.lg.com/br/audio/soundbars/all-soundbars/?ec_model_status_code=Active</t>
  </si>
  <si>
    <t>https://www.lg.com/br/lavanderia/lava-e-seca/?ec_model_status_code=Active</t>
  </si>
  <si>
    <t>https://www.lg.com/de/kuehlschraenke-gefrierschraenke/alle-kuehlschraenke-gefrierschraenke/?ec_model_status_code=Active&amp;sortCriteria=%40ec_spotlights_order_no+descending%2C%40ec_stock_status+ascending%2C%40ec_model_release_date+descending</t>
  </si>
  <si>
    <t>https://www.lg.com/de/waeschepflege/waschmaschinen/?sortCriteria=%40ec_spotlights_order_no+descending%2C%40ec_stock_status+ascending%2C%40ec_model_release_date+descending</t>
  </si>
  <si>
    <t>https://www.lg.com/de/waeschepflege/waschtrockner/?sortCriteria=%40ec_spotlights_order_no+descending%2C%40ec_stock_status+ascending%2C%40ec_model_release_date+descending</t>
  </si>
  <si>
    <t>https://www.lg.com/de/tvs-und-soundbars/alle-tvs-und-soundbars/?ec_model_status_code=Active&amp;sortCriteria=%40ec_spotlights_order_no+descending%2C%40ec_stock_status+ascending%2C%40ec_model_release_date+descending</t>
  </si>
  <si>
    <t>https://www.lg.com/de/monitore/alle-monitore/?ec_model_status_code=Active&amp;sortCriteria=%40ec_spotlights_order_no+descending%2C%40ec_stock_status+ascending%2C%40ec_model_release_date+descending</t>
  </si>
  <si>
    <t>https://www.lg.com/de/klimaanlagen/?ec_model_status_code=Active&amp;sortCriteria=%40ec_spotlights_order_no+descending%2C%40ec_stock_status+ascending%2C%40ec_model_release_date+descending</t>
  </si>
  <si>
    <t>https://www.lg.com/de/lautsprecher/bluetooth-lautsprecher/?ec_model_status_code=Active&amp;sortCriteria=%40ec_spotlights_order_no+descending%2C%40ec_stock_status+ascending%2C%40ec_model_release_date+descending</t>
  </si>
  <si>
    <t>https://www.lg.com/de/lautsprecher/soundbars/?ec_model_status_code=Active&amp;sortCriteria=%40ec_spotlights_order_no+descending%2C%40ec_stock_status+ascending%2C%40ec_model_release_date+descending</t>
  </si>
  <si>
    <t>https://www.lg.com/de/wireless-earbuds/alle-earbuds/?ec_model_status_code=Active&amp;sortCriteria=%40ec_spotlights_order_no+descending%2C%40ec_stock_status+ascending%2C%40ec_model_release_date+descending</t>
  </si>
  <si>
    <t>https://www.lg.com/de/waeschepflege/trockner/?ec_model_status_code=Active&amp;sortCriteria=%40ec_spotlights_order_no+descending%2C%40ec_stock_status+ascending%2C%40ec_model_release_date+descending</t>
  </si>
  <si>
    <t>https://www.lg.com/es/frigorificos/todos-los-frigorificos/?ec_model_status_code=Active</t>
  </si>
  <si>
    <t>https://www.lg.com/es/lavadoras-y-secadoras/todas-las-lavadoras-y-secadoras/?ec_model_status_code=Active</t>
  </si>
  <si>
    <t>https://www.lg.com/es/lavadoras-y-secadoras/secadoras/?ec_model_status_code=Active</t>
  </si>
  <si>
    <t>https://www.lg.com/es/tv-y-barras-de-sonido/lg-signature-oled/?ec_model_status_code=Active</t>
  </si>
  <si>
    <t>https://www.lg.com/es/tv-y-barras-de-sonido/true-wireless-tv/?ec_model_status_code=Active</t>
  </si>
  <si>
    <t>https://www.lg.com/es/tv-y-barras-de-sonido/oled-evo/?ec_model_status_code=Active</t>
  </si>
  <si>
    <t>https://www.lg.com/es/tv-y-barras-de-sonido/oled/?ec_model_status_code=Active</t>
  </si>
  <si>
    <t>https://www.lg.com/es/tv-y-barras-de-sonido/miniled/?ec_model_status_code=Active</t>
  </si>
  <si>
    <t>https://www.lg.com/es/tv-y-barras-de-sonido/qned-evo/?ec_model_status_code=Active</t>
  </si>
  <si>
    <t>https://www.lg.com/es/tv-y-barras-de-sonido/qned/?ec_model_status_code=Active</t>
  </si>
  <si>
    <t>https://www.lg.com/es/tv-y-barras-de-sonido/nanocell/?ec_model_status_code=Active</t>
  </si>
  <si>
    <t>https://www.lg.com/es/tv-y-barras-de-sonido/ultra-hd/?ec_model_status_code=Active</t>
  </si>
  <si>
    <t>https://www.lg.com/es/tv-y-barras-de-sonido/8k-tvs/?ec_model_status_code=Active</t>
  </si>
  <si>
    <t>https://www.lg.com/es/tv-y-barras-de-sonido/tvs-4k/?ec_model_status_code=Active</t>
  </si>
  <si>
    <t>https://www.lg.com/es/tv-y-barras-de-sonido/full-hd/?ec_model_status_code=Active</t>
  </si>
  <si>
    <t>https://www.lg.com/es/monitores/todos-los-monitores/</t>
  </si>
  <si>
    <t>https://www.lg.com/es/altavoces/altavoces-bluetooth/?ec_model_status_code=Active</t>
  </si>
  <si>
    <t>https://www.lg.com/es/barras-de-sonido/todas-las-barras-de-sonido/?ec_model_status_code=Active</t>
  </si>
  <si>
    <t>https://www.lg.com/es/outlet/outlet-climatizacion/?ec_model_status_code=Active</t>
  </si>
  <si>
    <t>https://www.lg.com/es/auriculares-inalambricos/todos-los-auriculares-inalambricos/?ec_model_status_code=Active</t>
  </si>
  <si>
    <t>https://www.lg.com/es/aire-acondicionado-domestico/split-1x1/?ec_model_status_code=Active</t>
  </si>
  <si>
    <t>https://www.lg.com/fr/refrigerateur/tous-les-produits/?ec_model_status_code=Active</t>
  </si>
  <si>
    <t>https://www.lg.com/fr/lavage/tous-les-lavage/?ec_model_status_code=Active</t>
  </si>
  <si>
    <t>https://www.lg.com/fr/lavage/lave-linge-sechant/?ec_model_status_code=Active</t>
  </si>
  <si>
    <t>https://www.lg.com/fr/tv-barres-de-son/oled-evo/?ec_model_status_code=Active</t>
  </si>
  <si>
    <t>https://www.lg.com/fr/tv-barres-de-son/oled/?ec_model_status_code=Active</t>
  </si>
  <si>
    <t>https://www.lg.com/fr/tv-barres-de-son/qned/?ec_model_status_code=Active</t>
  </si>
  <si>
    <t>https://www.lg.com/fr/tv-barres-de-son/nanocell/?ec_model_status_code=Active</t>
  </si>
  <si>
    <t>https://www.lg.com/fr/tv-barres-de-son/grandes-tailles/?ec_model_status_code=Active</t>
  </si>
  <si>
    <t>https://www.lg.com/fr/tv-barres-de-son/4k-uhd-tvs/?ec_model_status_code=Active</t>
  </si>
  <si>
    <t>https://www.lg.com/fr/tv-barres-de-son/smart-tvs/?ec_model_status_code=Active</t>
  </si>
  <si>
    <t>https://www.lg.com/fr/moniteurs/all-monitors/?ec_model_status_code=Active</t>
  </si>
  <si>
    <t>https://www.lg.com/fr/climatiseurs/?ec_model_status_code=Active</t>
  </si>
  <si>
    <t>https://www.lg.com/fr/enceintes-xboom/all-bluetooth-speakers/?ec_model_status_code=Active</t>
  </si>
  <si>
    <t>https://www.lg.com/fr/barres-de-son/?ec_model_status_code=Active</t>
  </si>
  <si>
    <t>https://www.lg.com/fr/ecouteurs-bluetooth/all-wireless-earbuds/?ec_model_status_code=Active</t>
  </si>
  <si>
    <t>https://www.lg.com/it/frigoriferi/Tutti-i-frigoriferi/?ec_model_status_code=Active</t>
  </si>
  <si>
    <t>https://www.lg.com/it/cura-dei-capi/Tutte-le-lavatrici-e-asciugatrici/?ec_model_status_code=Active</t>
  </si>
  <si>
    <t>https://www.lg.com/it/cura-dei-capi/asciugatrici/?ec_model_status_code=Active</t>
  </si>
  <si>
    <t>https://www.lg.com/it/tv-soundbar/oled-evo/?ec_model_status_code=Active</t>
  </si>
  <si>
    <t>https://www.lg.com/it/tv-soundbar/oled/?ec_model_status_code=Active</t>
  </si>
  <si>
    <t>https://www.lg.com/it/tv-soundbar/miniled/?ec_model_status_code=Active</t>
  </si>
  <si>
    <t>https://www.lg.com/it/tv-soundbar/qned-evo/?ec_model_status_code=Active</t>
  </si>
  <si>
    <t>https://www.lg.com/it/tv-soundbar/qned/?ec_model_status_code=Active</t>
  </si>
  <si>
    <t>https://www.lg.com/it/tv-soundbar/nanocell/?ec_model_status_code=Active</t>
  </si>
  <si>
    <t>https://www.lg.com/it/tv-soundbar/tv-oltre-70-pollici/?ec_model_status_code=Active</t>
  </si>
  <si>
    <t>https://www.lg.com/it/tv-soundbar/tv-uhd-4k/?ec_model_status_code=Active</t>
  </si>
  <si>
    <t>https://www.lg.com/it/tv-soundbar/tv-fino-a-32-pollici/?ec_model_status_code=Active</t>
  </si>
  <si>
    <t>https://www.lg.com/it/monitor/tutti-i-monitor/?ec_model_status_code=Active</t>
  </si>
  <si>
    <t>https://www.lg.com/it/audio/casse-bluetooth/all-bluetooth-speakers/?ec_model_status_code=Active</t>
  </si>
  <si>
    <t>https://www.lg.com/it/audio/soundbar/?ec_model_status_code=Active</t>
  </si>
  <si>
    <t>https://www.lg.com/it/condizionatori/monosplit/?ec_model_status_code=Active</t>
  </si>
  <si>
    <t>https://www.lg.com/it/condizionatori/multisplit/?ec_model_status_code=Active</t>
  </si>
  <si>
    <t>https://www.lg.com/it/cuffie-bluetooth/tutte-le-cuffie/?ec_model_status_code=Active</t>
  </si>
  <si>
    <t>https://www.lg.com/mx/refrigeradores/todos-los-refrigeradores/?ec_model_status_code=Active</t>
  </si>
  <si>
    <t>https://www.lg.com/mx/lavadoras-y-secadoras/todas-las-lavadoras-y-secadoras/?ec_model_status_code=Active</t>
  </si>
  <si>
    <t>https://www.lg.com/mx/lavadoras-y-secadoras/lavasecadoras/?ec_model_status_code=Active</t>
  </si>
  <si>
    <t>https://www.lg.com/mx/tv-soundbars/oled-evo/?ec_model_status_code=Active</t>
  </si>
  <si>
    <t>https://www.lg.com/mx/tv-soundbars/oled/?ec_model_status_code=Active</t>
  </si>
  <si>
    <t>https://www.lg.com/mx/tv-soundbars/miniled/?ec_model_status_code=Active</t>
  </si>
  <si>
    <t>https://www.lg.com/mx/tv-soundbars/qned-evo/?ec_model_status_code=Active</t>
  </si>
  <si>
    <t>https://www.lg.com/mx/tv-soundbars/qned/?ec_model_status_code=Active</t>
  </si>
  <si>
    <t>https://www.lg.com/mx/tv-soundbars/nanocell/?ec_model_status_code=Active</t>
  </si>
  <si>
    <t>https://www.lg.com/mx/tv-soundbars/ultra-grandes/?ec_model_status_code=Active</t>
  </si>
  <si>
    <t>https://www.lg.com/mx/tv-soundbars/4k-uhd-tvs/?ec_model_status_code=Active</t>
  </si>
  <si>
    <t>https://www.lg.com/mx/tv-soundbars/smart-tvs/?ec_model_status_code=Active</t>
  </si>
  <si>
    <t>https://www.lg.com/mx/monitores/todos-los-monitores/?ec_model_status_code=Active</t>
  </si>
  <si>
    <t>https://www.lg.com/mx/aire-acondicionado/todos-los-aires-acondicionados/?ec_model_status_code=Active</t>
  </si>
  <si>
    <t>https://www.lg.com/mx/equipos-de-sonido/bocina-bluetooth/?ec_model_status_code=Active</t>
  </si>
  <si>
    <t>https://www.lg.com/mx/soundbars/?ec_model_status_code=Active</t>
  </si>
  <si>
    <t>https://www.lg.com/mx/lavadoras-y-secadoras/secadoras/?ec_model_status_code=Active</t>
  </si>
  <si>
    <t>https://www.lg.com/mx/auriculares-inalambricos/todos-los-audifionos-inalambricos/?ec_model_status_code=Active</t>
  </si>
  <si>
    <t>https://www.lg.com/th/refrigerators/all-refrigerators/?ec_model_status_code=Active</t>
  </si>
  <si>
    <t>https://www.lg.com/th/laundry/all-laundry/?ec_model_status_code=Active</t>
  </si>
  <si>
    <t>https://www.lg.com/th/laundry/dryer/?ec_model_status_code=Active</t>
  </si>
  <si>
    <t>https://www.lg.com/th/tv-soundbars/oled-evo/?ec_model_status_code=Active</t>
  </si>
  <si>
    <t>https://www.lg.com/th/tv-soundbars/oled/?ec_model_status_code=Active</t>
  </si>
  <si>
    <t>https://www.lg.com/th/tv-soundbars/miniled/?ec_model_status_code=Active</t>
  </si>
  <si>
    <t>https://www.lg.com/th/tv-soundbars/qned-evo/?ec_model_status_code=Active</t>
  </si>
  <si>
    <t>https://www.lg.com/th/tv-soundbars/qned/?ec_model_status_code=Active</t>
  </si>
  <si>
    <t>https://www.lg.com/th/tv-soundbars/nanocell/?ec_model_status_code=Active</t>
  </si>
  <si>
    <t>https://www.lg.com/th/tv-soundbars/ultra-big-tvs/?ec_model_status_code=Active</t>
  </si>
  <si>
    <t>https://www.lg.com/th/tv-soundbars/4k-uhd-tvs/?ec_model_status_code=Active</t>
  </si>
  <si>
    <t>https://www.lg.com/th/air-conditioner-inverter/all-air-conditioner/?ec_model_status_code=Active</t>
  </si>
  <si>
    <t>https://www.lg.com/th/speakers/xboom-bluetooth-speaker/?ec_model_status_code=Active</t>
  </si>
  <si>
    <t>https://www.lg.com/th/speakers/soundbars/all-soundbars/?ec_model_status_code=Active</t>
  </si>
  <si>
    <t>https://www.lg.com/th/monitors/all-monitors/?ec_model_status_code=Active</t>
  </si>
  <si>
    <t>https://www.lg.com/tw/refrigerators/all-refrigerators/?ec_model_status_code=Active</t>
  </si>
  <si>
    <t>https://www.lg.com/tw/washer-dryers/all-washer-dryers/?ec_model_status_code=Active</t>
  </si>
  <si>
    <t>https://www.lg.com/tw/washer-dryers/dryers/?ec_model_status_code=Active</t>
  </si>
  <si>
    <t>https://www.lg.com/tw/tv-soundbars/oled-evo/?ec_model_status_code=Active</t>
  </si>
  <si>
    <t>https://www.lg.com/tw/tv-soundbars/oled/?ec_model_status_code=Active</t>
  </si>
  <si>
    <t>https://www.lg.com/tw/tv-soundbars/qned/?ec_model_status_code=Active</t>
  </si>
  <si>
    <t>https://www.lg.com/tw/tv-soundbars/nanocell/?ec_model_status_code=Active</t>
  </si>
  <si>
    <t>https://www.lg.com/tw/tv-soundbars/ultra-big-tvs/?ec_model_status_code=Active</t>
  </si>
  <si>
    <t>https://www.lg.com/tw/tv-soundbars/4k-uhd-tvs/?ec_model_status_code=Active</t>
  </si>
  <si>
    <t>https://www.lg.com/tw/monitors/all-monitors/?ec_model_status_code=Active</t>
  </si>
  <si>
    <t>https://www.lg.com/tw/residential-air-conditioners/all-residential-air-conditioners/?ec_model_status_code=Active</t>
  </si>
  <si>
    <t>https://www.lg.com/tw/speakers/xboom-360/?ec_model_status_code=Active</t>
  </si>
  <si>
    <t>https://www.lg.com/tw/speakers/all-speakers/?ec_model_status_code=Active</t>
  </si>
  <si>
    <t>https://www.lg.com/tw/speakers/all-soundbars/?ec_model_status_code=Active</t>
  </si>
  <si>
    <t>https://www.lg.com/tw/speakers/soundbars/?ec_model_status_code=Active</t>
  </si>
  <si>
    <t>https://www.lg.com/uk/fridge-freezers/all-fridge-freezers/?ec_model_status_code=Active</t>
  </si>
  <si>
    <t>https://www.lg.com/uk/laundry/all-laundry/?ec_model_status_code=Active</t>
  </si>
  <si>
    <t>https://www.lg.com/uk/laundry/tumble-dryers/?ec_model_status_code=Active</t>
  </si>
  <si>
    <t>https://www.lg.com/uk/tvs-soundbars/oled-evo/?ec_model_status_code=Active</t>
  </si>
  <si>
    <t>https://www.lg.com/uk/tvs-soundbars/oled/?ec_model_status_code=Active</t>
  </si>
  <si>
    <t>https://www.lg.com/uk/tvs-soundbars/miniled/?ec_model_status_code=Active</t>
  </si>
  <si>
    <t>https://www.lg.com/uk/tvs-soundbars/qned-evo/?ec_model_status_code=Active</t>
  </si>
  <si>
    <t>https://www.lg.com/uk/tvs-soundbars/qned/?ec_model_status_code=Active</t>
  </si>
  <si>
    <t>https://www.lg.com/uk/tvs-soundbars/nanocell/?ec_model_status_code=Active</t>
  </si>
  <si>
    <t>https://www.lg.com/uk/tvs-soundbars/ultra-big-tvs/?ec_model_status_code=Active</t>
  </si>
  <si>
    <t>https://www.lg.com/uk/tvs-soundbars/4k-uhd-tvs/?ec_model_status_code=Active</t>
  </si>
  <si>
    <t>https://www.lg.com/uk/tvs-soundbars/smart-tvs/?ec_model_status_code=Active</t>
  </si>
  <si>
    <t>https://www.lg.com/uk/monitors/all-monitors/?ec_model_status_code=Active</t>
  </si>
  <si>
    <t>https://www.lg.com/uk/business/hvac/residential-air-conditioner/?ec_model_status_code=Active&amp;sortCriteria=%40ec_spotlights_order_no+descending%2C%40ec_stock_status+ascending%2C%40ec_model_release_date+descending</t>
  </si>
  <si>
    <t>https://www.lg.com/uk/speakers/all-speakers/?ec_model_status_code=Active</t>
  </si>
  <si>
    <t>https://www.lg.com/uk/speakers/all-soundbars/?ec_model_status_code=Active</t>
  </si>
  <si>
    <t>https://www.lg.com/uk/wireless-earbuds/all-wireless-earbuds/?ec_model_status_code=Active</t>
  </si>
  <si>
    <t>https://www.lg.com/vn/tu-lanh/tat-ca-tu-lanh/?ec_model_status_code=Active&amp;sortCriteria=%40ec_spotlights_order_no+descending%2C%40ec_stock_status+ascending%2C%40ec_model_release_date+descending</t>
  </si>
  <si>
    <t>https://www.lg.com/vn/giat-say/tat-ca-may-giat-may-say/?ec_model_status_code=Active&amp;sortCriteria=%40ec_spotlights_order_no+descending%2C%40ec_stock_status+ascending%2C%40ec_model_release_date+descending</t>
  </si>
  <si>
    <t>https://www.lg.com/vn/giat-say/may-say-quan-ao/?ec_model_status_code=Active&amp;sortCriteria=%40ec_spotlights_order_no+descending%2C%40ec_stock_status+ascending%2C%40ec_model_release_date+descending</t>
  </si>
  <si>
    <t>https://www.lg.com/vn/tv-va-loa-thanh/tv-oled-evo/?ec_model_status_code=Active&amp;sortCriteria=%40ec_spotlights_order_no+descending%2C%40ec_stock_status+ascending%2C%40ec_model_release_date+descending</t>
  </si>
  <si>
    <t>https://www.lg.com/vn/tv-va-loa-thanh/tv-oled/?ec_model_status_code=Active&amp;sortCriteria=%40ec_spotlights_order_no+descending%2C%40ec_stock_status+ascending%2C%40ec_model_release_date+descending</t>
  </si>
  <si>
    <t>https://www.lg.com/vn/tv-va-loa-thanh/miniled/?ec_model_status_code=Active&amp;sortCriteria=%40ec_spotlights_order_no+descending%2C%40ec_stock_status+ascending%2C%40ec_model_release_date+descending</t>
  </si>
  <si>
    <t>https://www.lg.com/vn/tv-va-loa-thanh/qned-evo/?ec_model_status_code=Active&amp;sortCriteria=%40ec_spotlights_order_no+descending%2C%40ec_stock_status+ascending%2C%40ec_model_release_date+descending</t>
  </si>
  <si>
    <t>https://www.lg.com/vn/tv-va-loa-thanh/tv-qned/?ec_model_status_code=Active&amp;sortCriteria=%40ec_spotlights_order_no+descending%2C%40ec_stock_status+ascending%2C%40ec_model_release_date+descending</t>
  </si>
  <si>
    <t>https://www.lg.com/vn/tv-va-loa-thanh/tv-nanocell/?ec_model_status_code=Active&amp;sortCriteria=%40ec_spotlights_order_no+descending%2C%40ec_stock_status+ascending%2C%40ec_model_release_date+descending</t>
  </si>
  <si>
    <t>https://www.lg.com/vn/tv-va-loa-thanh/tv-man-hinh-lon/?ec_model_status_code=Active&amp;sortCriteria=%40ec_spotlights_order_no+descending%2C%40ec_stock_status+ascending%2C%40ec_model_release_date+descending</t>
  </si>
  <si>
    <t>https://www.lg.com/vn/tv-va-loa-thanh/tv-8k/?ec_model_status_code=Active&amp;sortCriteria=%40ec_spotlights_order_no+descending%2C%40ec_stock_status+ascending%2C%40ec_model_release_date+descending</t>
  </si>
  <si>
    <t>https://www.lg.com/vn/tv-va-loa-thanh/tv-uhd-4k/?ec_model_status_code=Active&amp;sortCriteria=%40ec_spotlights_order_no+descending%2C%40ec_stock_status+ascending%2C%40ec_model_release_date+descending</t>
  </si>
  <si>
    <t>https://www.lg.com/vn/tv-va-loa-thanh/tv-full-hd/?ec_model_status_code=Active&amp;sortCriteria=%40ec_spotlights_order_no+descending%2C%40ec_stock_status+ascending%2C%40ec_model_release_date+descending</t>
  </si>
  <si>
    <t>https://www.lg.com/vn/dieu-hoa/?ec_model_status_code=Active&amp;sortCriteria=%40ec_spotlights_order_no+descending%2C%40ec_stock_status+ascending%2C%40ec_model_release_date+descending</t>
  </si>
  <si>
    <t>https://www.lg.com/vn/dan-am-thanh/all-bluetooth-speakers/?ec_model_status_code=Active&amp;sortCriteria=%40ec_spotlights_order_no+descending%2C%40ec_stock_status+ascending%2C%40ec_model_release_date+descending</t>
  </si>
  <si>
    <t>https://www.lg.com/vn/dan-am-thanh/all-soundbars/?sortCriteria=%40ec_spotlights_order_no+descending%2C%40ec_stock_status+ascending%2C%40ec_model_release_date+descending</t>
  </si>
  <si>
    <t>https://www.lg.com/vn/tai-nghe-khong-day/tat-ca-tai-nghe-khong-day/?ec_model_status_code=Active&amp;sortCriteria=%40ec_spotlights_order_no+descending%2C%40ec_stock_status+ascending%2C%40ec_model_release_date+descending</t>
  </si>
  <si>
    <t>https://www.lg.com/vn/man-hinh-may-tinh/tat-ca-man-hinh-may-tinh/?ec_model_status_code=Active&amp;sortCriteria=%40ec_spotlights_order_no+descending%2C%40ec_stock_status+ascending%2C%40ec_model_release_date+descending</t>
  </si>
  <si>
    <t>https://www.liverpool.com.mx/tienda/Refrigeradores/N-brZMjM2MI8JJYTY6Systh97%2Fq%2FWwJbMMENK6UD33R3g%3D</t>
  </si>
  <si>
    <t>https://www.liverpool.com.mx/tienda/Lavadoras/N-dfmUlCW8mToD6tz98L83d88KMYsujiHwhBEt41ltWFo%3D</t>
  </si>
  <si>
    <t>https://www.liverpool.com.mx/tienda/Pantallas/N-8jIIbzpWtm1%2B3OnPKtu04ZEopT7kObtj0Sz71hA1hJA%3D</t>
  </si>
  <si>
    <t>https://www.liverpool.com.mx/tienda/Monitores/N-1qOAxik9tvUhe4kBummxobiCggqnayO0%2FV8x82mPxEU%3D</t>
  </si>
  <si>
    <t>https://www.liverpool.com.mx/tienda/aire-acondicionado/catst42866069</t>
  </si>
  <si>
    <t>https://www.liverpool.com.mx/tienda/lavasecadora/catst42843500</t>
  </si>
  <si>
    <t>https://www.liverpool.com.mx/tienda/secadoras/catst42843513</t>
  </si>
  <si>
    <t>https://www.liverpool.com.mx/tienda/aud%C3%ADfonos/catst16778857</t>
  </si>
  <si>
    <t>https://www.liverpool.com.mx/tienda/bocinas/catst16778924</t>
  </si>
  <si>
    <t>https://www.liverpool.com.mx/tienda/barras-de-sonido-y-teatros-en-casa/catst16778939</t>
  </si>
  <si>
    <t>https://www.lowes.com/pl/refrigerators/4294857973</t>
  </si>
  <si>
    <t>https://www.lowes.com/pl/washers-dryers/washing-machines/4294857977</t>
  </si>
  <si>
    <t>https://www.lowes.com/pl/washers-dryers/washing-machines/front-load-washers/4294857975</t>
  </si>
  <si>
    <t>https://www.lowes.com/pl/washers-dryers/washing-machines/pedestal-washers/4294410364</t>
  </si>
  <si>
    <t>https://www.lowes.com/pl/washers-dryers/washing-machines/top-load-washers/4294857976</t>
  </si>
  <si>
    <t>https://www.lowes.com/pl/washers-dryers/washer-dryer-sets/2711977280210</t>
  </si>
  <si>
    <t>https://www.lowes.com/pl/washers-dryers/dryers/4294857980</t>
  </si>
  <si>
    <t>https://www.lowes.com/pl/washers-dryers/dryers/electric-dryers/4294857979</t>
  </si>
  <si>
    <t>https://www.lowes.com/pl/washers-dryers/dryers/gas-dryers/4294791297</t>
  </si>
  <si>
    <t>https://www.lowes.com/pl/electronics/tv-home-theater/tvs/2511177665352</t>
  </si>
  <si>
    <t>https://www.lowes.com/pl/air-conditioners-fans/room-air-conditioners/window-air-conditioners/3788568798</t>
  </si>
  <si>
    <t>https://www.lowes.com/pl/air-conditioners-fans/room-air-conditioners/portable-air-conditioners/2830525945</t>
  </si>
  <si>
    <t>https://www.lowes.com/pl/air-conditioners-fans/central-air-conditioners/4294618087</t>
  </si>
  <si>
    <t>https://www.lowes.com/pl/air-conditioners-fans/room-air-conditioners/wall-air-conditioners/1614509524</t>
  </si>
  <si>
    <t>https://www.lowes.com/pl/electronics/computers-peripherals/monitor/2721216753901-511619976309</t>
  </si>
  <si>
    <t>https://www.lowes.com/pl/electronics/audio/speakers/wireless/2121250443857-4294867045</t>
  </si>
  <si>
    <t>https://www.lowes.com/pl/electronics/audio/sound-bars/2221070979604</t>
  </si>
  <si>
    <t>https://www.lowes.com/pl/electronics/audio/headphones/wireless/2211615169856-4294867045</t>
  </si>
  <si>
    <t>https://www.lowes.com/pl/vacuum-cleaners-floor-care/vacuum-cleaners/stick-vacuums/4294410381</t>
  </si>
  <si>
    <t>https://www.lowes.com/pl/dishwashers/4294857925?goToProdList=true</t>
  </si>
  <si>
    <t>https://www.lowes.com/pl/wall-ovens/4294715808?goToProdList=true</t>
  </si>
  <si>
    <t>https://www.lowes.com/pl/laundry-organization/irons-fabric-care/fabric-steamers/steam-closet/4294753788-911839592465</t>
  </si>
  <si>
    <t>https://www.magazineluiza.com.br/geladeira-refrigerador/eletrodomesticos/s/ed/refr/</t>
  </si>
  <si>
    <t>https://www.magazineluiza.com.br/maquina-de-lavar/eletrodomesticos/s/ed/lava/</t>
  </si>
  <si>
    <t>https://www.magazineluiza.com.br/tvs/tv-e-video/s/et/tves/</t>
  </si>
  <si>
    <t>https://www.magazineluiza.com.br/monitores/informatica/s/in/mlcd/</t>
  </si>
  <si>
    <t>https://www.magazineluiza.com.br/caixa-de-som-bluetooth-portatil/audio/s/ea/easm/</t>
  </si>
  <si>
    <t>https://www.magazineluiza.com.br/soundbar/audio/s/ea/sdbr/</t>
  </si>
  <si>
    <t>https://www.magazineluiza.com.br/headset-bluetooth/audio/s/ea/hebh/</t>
  </si>
  <si>
    <t>https://www.magazineluiza.com.br/ar-condicionado-inverter/ar-e-ventilacao/s/ar/aciv/</t>
  </si>
  <si>
    <t>https://www.magazineluiza.com.br/lava-e-seca/eletrodomesticos/s/ed/ela1/</t>
  </si>
  <si>
    <t>https://www.magazineluiza.com.br/secadora-de-roupas/eletrodomesticos/s/ed/selt/</t>
  </si>
  <si>
    <t>https://www.mediamarkt.de/de/category/k%C3%BChl-gefrierkombinationen-34.html?page=1</t>
  </si>
  <si>
    <t>https://www.mediamarkt.de/de/category/side-by-side-k%C3%BChlschr%C3%A4nke-41.html?page=1</t>
  </si>
  <si>
    <t>https://www.mediamarkt.de/de/category/french-door-ger%C3%A4te-7700.html?page=1</t>
  </si>
  <si>
    <t>https://www.mediamarkt.de/de/category/frontlader-923.html?page=1</t>
  </si>
  <si>
    <t>https://www.mediamarkt.de/de/category/toplader-924.html?page=1</t>
  </si>
  <si>
    <t>https://www.mediamarkt.de/de/category/platzsparende-waschmaschinen-925.html?page=1</t>
  </si>
  <si>
    <t>https://www.mediamarkt.de/de/category/einbau-waschmaschinen-987.html?page=1</t>
  </si>
  <si>
    <t>https://www.mediamarkt.de/de/category/led-lcd-tvs-205.html?page=1</t>
  </si>
  <si>
    <t>https://www.mediamarkt.de/de/category/oled-tvs-898.html?page=1</t>
  </si>
  <si>
    <t>https://www.mediamarkt.de/de/category/smart-tvs-817.html?page=1</t>
  </si>
  <si>
    <t>https://www.mediamarkt.de/de/category/qled-tvs-696.html?page=1</t>
  </si>
  <si>
    <t>https://www.mediamarkt.de/de/category/4k-fernseher-2301.html?page=1</t>
  </si>
  <si>
    <t>https://www.mediamarkt.de/de/category/android-tv-2304.html?page=1</t>
  </si>
  <si>
    <t>https://www.mediamarkt.de/de/category/ambilight-tv-2303.html?page=1</t>
  </si>
  <si>
    <t>https://www.mediamarkt.de/de/category/8k-fernseher-2302.html?page=1</t>
  </si>
  <si>
    <t>https://www.mediamarkt.de/de/category/lifestyle-10896.html?page=1</t>
  </si>
  <si>
    <t>https://www.mediamarkt.de/de/category/qned-tvs-9753.html?page=1</t>
  </si>
  <si>
    <t>https://www.mediamarkt.de/de/category/nanocell-tvs-2890.html?page=1</t>
  </si>
  <si>
    <t>https://www.mediamarkt.de/de/category/tragbare-fernseher-70005.html?page=1</t>
  </si>
  <si>
    <t>https://www.mediamarkt.de/de/category/monitore-408.html?page=1</t>
  </si>
  <si>
    <t>https://www.mediamarkt.de/de/category/true-wireless-kopfh%C3%B6rer-5698.html?page=1</t>
  </si>
  <si>
    <t>https://www.mediamarkt.de/de/category/soundbars-225.html?page=1</t>
  </si>
  <si>
    <t>https://www.mediamarkt.de/de/category/bluetooth-lautsprecher-8022.html?page=1</t>
  </si>
  <si>
    <t>https://www.mediamarkt.de/de/category/herde-back%C3%B6fen-1201.html?page=1</t>
  </si>
  <si>
    <t>https://www.mediamarkt.de/de/category/laptops-notebooks-362.html?page=1</t>
  </si>
  <si>
    <t>https://www.mediamarkt.de/de/category/trockner-4.html?page=1</t>
  </si>
  <si>
    <t>https://www.mediamarkt.de/de/category/klimaanlagen-100.html?page=1</t>
  </si>
  <si>
    <t>https://www.mediamarkt.es/es/category/televisores-399.html</t>
  </si>
  <si>
    <t>https://www.mediamarkt.es/es/category/lavadoras-671.html</t>
  </si>
  <si>
    <t>https://www.mediamarkt.es/es/category/frigor%C3%ADficos-554.html</t>
  </si>
  <si>
    <t>https://www.mediamarkt.es/es/category/monitores-179.html</t>
  </si>
  <si>
    <t>https://www.mediamarkt.es/es/category/altavoces-inal%C3%A1mbricos-462.html</t>
  </si>
  <si>
    <t>https://www.mediamarkt.es/es/category/barras-de-sonido-490.html</t>
  </si>
  <si>
    <t>https://www.mediamarkt.es/es/category/auriculares-inal%C3%A1mbricos-502.html</t>
  </si>
  <si>
    <t>https://www.mediamarkt.es/es/category/aire-acondicionado-784.html</t>
  </si>
  <si>
    <t>https://www.mediamarkt.es/es/category/lavavajillas-660.html</t>
  </si>
  <si>
    <t>https://www.mediamarkt.es/es/category/hornos-598.html</t>
  </si>
  <si>
    <t>https://www.mediamarkt.es/es/category/secadoras-677.html</t>
  </si>
  <si>
    <t>https://mediamart.vn/tu-lanh</t>
  </si>
  <si>
    <t>https://mediamart.vn/may-giat</t>
  </si>
  <si>
    <t>https://mediamart.vn/tivi</t>
  </si>
  <si>
    <t>https://mediamart.vn/man-hinh-may-tinh</t>
  </si>
  <si>
    <t>https://mediamart.vn/loabluetooth</t>
  </si>
  <si>
    <t>https://mediamart.vn/soundbar</t>
  </si>
  <si>
    <t>https://mediamart.vn/tai-nghe-headphone</t>
  </si>
  <si>
    <t>https://mediamart.vn/may-loc-khong-khi</t>
  </si>
  <si>
    <t>https://mediamart.vn/dieu-hoa-nhiet-do</t>
  </si>
  <si>
    <t>https://mediamart.vn/may-say-toc</t>
  </si>
  <si>
    <t>https://mediamart.vn/may-say-quan-ao</t>
  </si>
  <si>
    <t>https://www.mediaworld.it/it/category/tv-ultra-hd-4k-400101.html</t>
  </si>
  <si>
    <t>https://www.mediaworld.it/it/category/tv-led-400102.html</t>
  </si>
  <si>
    <t>https://www.mediaworld.it/it/category/tv-oled-400103.html</t>
  </si>
  <si>
    <t>https://www.mediaworld.it/it/category/tv-8k-400104.html</t>
  </si>
  <si>
    <t>https://www.mediaworld.it/it/category/tv-qled-400105.html</t>
  </si>
  <si>
    <t>https://www.mediaworld.it/it/category/tv-nanocell-400106.html</t>
  </si>
  <si>
    <t>https://www.mediaworld.it/it/category/lavatrici-6001.html</t>
  </si>
  <si>
    <t>https://www.mediaworld.it/it/category/frigoriferi-6004.html</t>
  </si>
  <si>
    <t>https://www.mediaworld.it/it/category/casse-bluetooth-100109.html</t>
  </si>
  <si>
    <t>https://www.mediaworld.it/it/category/soundbar-400702.html</t>
  </si>
  <si>
    <t>https://www.mediaworld.it/it/category/cuffie-wireless-401001.html</t>
  </si>
  <si>
    <t>https://www.mediaworld.it/it/category/asciugatura-6002.html</t>
  </si>
  <si>
    <t>https://www.mediaworld.it/it/category/monitor-200401.html</t>
  </si>
  <si>
    <t>https://www.mediaworld.it/it/category/lavastoviglie-6008.html</t>
  </si>
  <si>
    <t>https://www.mediaworld.it/it/category/cucine-600607.html</t>
  </si>
  <si>
    <t>https://www.mediaworld.it/it/category/forni-da-incasso-600603.html</t>
  </si>
  <si>
    <t>https://www.mediaworld.it/it/category/condizionatori-fissi-mono-600901.html</t>
  </si>
  <si>
    <t>https://www.mediaworld.it/it/category/condizionatori-fissi-dual-600902.html</t>
  </si>
  <si>
    <t>https://www.mediaworld.it/it/category/condizionatori-fissi-trial-600909.html</t>
  </si>
  <si>
    <t>https://lista.mercadolivre.com.br/eletrodomesticos/refrigeracao/geladeiras/geladeira_Desde_0_NoIndex_True</t>
  </si>
  <si>
    <t>https://lista.mercadolivre.com.br/eletrodomesticos/lavadores/maquinas-lavar/maquina-de-lavar_Desde_0_NoIndex_True</t>
  </si>
  <si>
    <t>https://lista.mercadolivre.com.br/informatica/monitores-acessorios/monitores/monitor_Desde_0_NoIndex_True?sb=all_mercadolibre</t>
  </si>
  <si>
    <t>https://lista.mercadolivre.com.br/eletrodomesticos/ar-ventilacao/ares-condicionados/ar-condicionado_Desde_0_NoIndex_True</t>
  </si>
  <si>
    <t>https://lista.mercadolivre.com.br/eletronicos-audio-video/audio/caixa-de-som-bluetooth_Desde_0_NoIndex_True</t>
  </si>
  <si>
    <t>https://lista.mercadolivre.com.br/eletronicos-audio-video/audio/home-theaters/soundbar_Desde_0_NoIndex_True</t>
  </si>
  <si>
    <t>https://lista.mercadolivre.com.br/headphone-bluetooth_Desde_0_NoIndex_True</t>
  </si>
  <si>
    <t>https://lista.mercadolivre.com.br/lavadoras-secadoras-conjugadas_Desde_0_NoIndex_True</t>
  </si>
  <si>
    <t>https://lista.mercadolivre.com.br/eletronicos-audio-video/televisores/tv_Desde_0_NoIndex_True</t>
  </si>
  <si>
    <t>https://lista.mercadolivre.com.br/eletrodomesticos/lavadores/maquinas-secar/maquinas-de-secar_Desde_0_NoIndex_True_de_secar</t>
  </si>
  <si>
    <t>https://www.momoshop.com.tw/category/DgrpCategory.jsp?d_code=2919100479&amp;TOP30=Y&amp;sourcePageType=4</t>
  </si>
  <si>
    <t>https://www.momoshop.com.tw/category/DgrpCategory.jsp?d_code=2919101073&amp;p_orderType=6&amp;showType=chessboardType</t>
  </si>
  <si>
    <t>https://www.momoshop.com.tw/category/DgrpCategory.jsp?d_code=2919100757&amp;p_orderType=6&amp;showType=chessboardType</t>
  </si>
  <si>
    <t>https://www.momoshop.com.tw/category/DgrpCategory.jsp?d_code=2900800085&amp;TOP30=Y&amp;sourcePageType=4</t>
  </si>
  <si>
    <t>https://www.momoshop.com.tw/category/DgrpCategory.jsp?d_code=2905300057&amp;p_orderType=6&amp;showType=chessboardType</t>
  </si>
  <si>
    <t>https://www.momoshop.com.tw/category/DgrpCategory.jsp?d_code=2905300058&amp;p_orderType=6&amp;showType=chessboardType</t>
  </si>
  <si>
    <t>https://www.momoshop.com.tw/category/DgrpCategory.jsp?d_code=2905300060&amp;p_orderType=6&amp;showType=chessboardType</t>
  </si>
  <si>
    <t>https://www.momoshop.com.tw/category/DgrpCategory.jsp?d_code=2905300121&amp;p_orderType=6&amp;showType=chessboardType</t>
  </si>
  <si>
    <t>https://www.momoshop.com.tw/category/DgrpCategory.jsp?d_code=2900900120&amp;TOP30=Y&amp;sourcePageType=4</t>
  </si>
  <si>
    <t>https://www.momoshop.com.tw/category/DgrpCategory.jsp?d_code=2906900002&amp;p_orderType=6&amp;showType=chessboardType</t>
  </si>
  <si>
    <t>https://www.momoshop.com.tw/category/DgrpCategory.jsp?d_code=4201600009&amp;p_orderType=4&amp;showType=chessboardType</t>
  </si>
  <si>
    <t>https://www.momoshop.com.tw/category/DgrpCategory.jsp?d_code=4201600133&amp;p_orderType=4&amp;showType=chessboardType</t>
  </si>
  <si>
    <t>https://www.momoshop.com.tw/category/DgrpCategory.jsp?d_code=2901500025</t>
  </si>
  <si>
    <t>https://www.momoshop.com.tw/category/DgrpCategory.jsp?d_code=4201700090&amp;p_orderType=6&amp;showType=chessboardType</t>
  </si>
  <si>
    <t>https://www.momoshop.com.tw/category/DgrpCategory.jsp?d_code=2901800055&amp;p_orderType=6&amp;showType=chessboardType</t>
  </si>
  <si>
    <t>https://www.momoshop.com.tw/category/DgrpCategory.jsp?d_code=2900400294&amp;p_orderType=6&amp;showType=chessboardType</t>
  </si>
  <si>
    <t>https://www.momoshop.com.tw/category/DgrpCategory.jsp?d_code=2900400293&amp;p_orderType=6&amp;showType=chessboardType</t>
  </si>
  <si>
    <t>https://www.momoshop.com.tw/category/DgrpCategory.jsp?d_code=2907200034&amp;p_orderType=6&amp;showType=chessboardType</t>
  </si>
  <si>
    <t>https://www.momoshop.com.tw/category/DgrpCategory.jsp?d_code=4300100018&amp;TOP30=Y&amp;sourcePageType=4</t>
  </si>
  <si>
    <t>https://www.momoshop.com.tw/category/DgrpCategory.jsp?d_code=2907200042&amp;p_orderType=6&amp;showType=chessboardType</t>
  </si>
  <si>
    <t>https://www.momoshop.com.tw/category/DgrpCategory.jsp?d_code=2902900080&amp;TOP30=Y&amp;sourcePageType=4&amp;mdiv=2902900000-bt_2_096_01-bt_2_096_01_e11&amp;ctype=B</t>
  </si>
  <si>
    <t>https://www.momoshop.com.tw/category/DgrpCategory.jsp?d_code=2905300198&amp;p_orderType=6&amp;_advHas3P=Y</t>
  </si>
  <si>
    <t>https://www.momoshop.com.tw/category/MgrpCategory.jsp?m_code=2905300124&amp;p_orderType=6&amp;_advHas3P=Y</t>
  </si>
  <si>
    <t>https://www.momoshop.com.tw/category/MgrpCategory.jsp?m_code=2905300016&amp;p_orderType=6&amp;_advHas3P=Y</t>
  </si>
  <si>
    <t>https://www.momoshop.com.tw/category/MgrpCategory.jsp?m_code=2905300017&amp;p_orderType=6&amp;_advHas3P=Y</t>
  </si>
  <si>
    <t>https://www.momoshop.com.tw/category/MgrpCategory.jsp?m_code=2905300004&amp;p_orderType=6&amp;_advHas3P=Y</t>
  </si>
  <si>
    <t>https://www.momoshop.com.tw/category/MgrpCategory.jsp?m_code=2905300005&amp;p_orderType=6&amp;_advHas3P=Y</t>
  </si>
  <si>
    <t>https://www.momoshop.com.tw/category/DgrpCategory.jsp?d_code=2900900392&amp;p_orderType=6</t>
  </si>
  <si>
    <t>https://www.momoshop.com.tw/category/DgrpCategory.jsp?d_code=4300500799&amp;p_orderType=6&amp;_advHas3P=Y</t>
  </si>
  <si>
    <t>https://www.momoshop.com.tw/category/DgrpCategory.jsp?d_code=4300500798&amp;p_orderType=6&amp;_advHas3P=Y</t>
  </si>
  <si>
    <t>https://www.momoshop.com.tw/category/DgrpCategory.jsp?d_code=4300500744&amp;p_orderType=6&amp;_advHas3P=Y</t>
  </si>
  <si>
    <t>https://www.momoshop.com.tw/category/DgrpCategory.jsp?d_code=4300500862&amp;p_orderType=6&amp;_advHas3P=Y</t>
  </si>
  <si>
    <t>https://www.momoshop.com.tw/category/DgrpCategory.jsp?d_code=4300500685&amp;p_orderType=6&amp;_advHas3P=Y</t>
  </si>
  <si>
    <t>https://www.momoshop.com.tw/category/DgrpCategory.jsp?d_code=4300500800&amp;p_orderType=6&amp;_advHas3P=Y</t>
  </si>
  <si>
    <t>https://www.momoshop.com.tw/category/DgrpCategory.jsp?d_code=4300500351&amp;p_orderType=6&amp;_advHas3P=Y</t>
  </si>
  <si>
    <t>https://www.momoshop.com.tw/category/DgrpCategory.jsp?d_code=4300500128&amp;p_orderType=6&amp;showType=chessboardType</t>
  </si>
  <si>
    <t>https://www.momoshop.com.tw/category/DgrpCategory.jsp?d_code=4300500229&amp;p_orderType=6&amp;showType=chessboardType</t>
  </si>
  <si>
    <t>https://www.momoshop.com.tw/category/DgrpCategory.jsp?d_code=4300500228&amp;p_orderType=6&amp;showType=chessboardType</t>
  </si>
  <si>
    <t>https://www.momoshop.com.tw/category/DgrpCategory.jsp?d_code=4300500231&amp;p_orderType=6&amp;showType=chessboardType</t>
  </si>
  <si>
    <t>https://www.momoshop.com.tw/category/DgrpCategory.jsp?d_code=4300500439&amp;p_orderType=6&amp;showType=chessboardType</t>
  </si>
  <si>
    <t>https://www.momoshop.com.tw/category/DgrpCategory.jsp?d_code=4300500232&amp;p_orderType=6&amp;showType=chessboardType</t>
  </si>
  <si>
    <t>https://www.momoshop.com.tw/category/DgrpCategory.jsp?d_code=4300500050&amp;p_orderType=6&amp;showType=chessboardType</t>
  </si>
  <si>
    <t>https://www.momoshop.com.tw/category/DgrpCategory.jsp?d_code=4300500230&amp;p_orderType=6&amp;showType=chessboardType</t>
  </si>
  <si>
    <t>https://www.momoshop.com.tw/category/DgrpCategory.jsp?d_code=4300500314&amp;p_orderType=6&amp;showType=chessboardType</t>
  </si>
  <si>
    <t>https://www.momoshop.com.tw/category/DgrpCategory.jsp?d_code=4300500448&amp;p_orderType=6&amp;showType=chessboardType</t>
  </si>
  <si>
    <t>https://www.momoshop.com.tw/category/DgrpCategory.jsp?d_code=4300500418&amp;p_orderType=6&amp;showType=chessboardType</t>
  </si>
  <si>
    <t>https://www.momoshop.com.tw/category/DgrpCategory.jsp?d_code=4300500428&amp;p_orderType=6&amp;showType=chessboardType</t>
  </si>
  <si>
    <t>https://www.momoshop.com.tw/category/DgrpCategory.jsp?d_code=4300500133&amp;p_orderType=6&amp;showType=chessboardType</t>
  </si>
  <si>
    <t>https://www.momoshop.com.tw/category/DgrpCategory.jsp?d_code=4300500626&amp;p_orderType=6&amp;showType=chessboardType</t>
  </si>
  <si>
    <t>https://www.otto.de/haushalt/waschmaschinen/?ansicht=einstieg&amp;</t>
  </si>
  <si>
    <t>https://www.otto.de/technik/laptop/?</t>
  </si>
  <si>
    <t>https://www.otto.de/technik/audio/kopfhoerer/?uebertragungsart=bluetooth&amp;</t>
  </si>
  <si>
    <t>https://www.otto.de/haushalt/kuehlschraenke/?</t>
  </si>
  <si>
    <t>https://www.otto.de/technik/fernseher/?</t>
  </si>
  <si>
    <t>https://www.otto.de/technik/audio/lautsprecher/?uebertragungsart=bluetooth&amp;</t>
  </si>
  <si>
    <t>https://www.otto.de/technik/audio/soundbar/?</t>
  </si>
  <si>
    <t>https://www.otto.de/technik/monitor/</t>
  </si>
  <si>
    <t>https://www.otto.de/haushalt/backoefen/</t>
  </si>
  <si>
    <t>https://www.otto.de/haushalt/klimageraete/</t>
  </si>
  <si>
    <t>https://www.otto.de/haushalt/trockner/</t>
  </si>
  <si>
    <t>https://24h.pchome.com.tw/store/?fq=/R/DPAD/new&amp;style=2</t>
  </si>
  <si>
    <t>https://24h.pchome.com.tw/store/DPADXE?style=2</t>
  </si>
  <si>
    <t>https://24h.pchome.com.tw/store/DPADP8?style=2</t>
  </si>
  <si>
    <t>https://24h.pchome.com.tw/store/DPADXA?style=2</t>
  </si>
  <si>
    <t>https://24h.pchome.com.tw/store/DPADMO?style=2</t>
  </si>
  <si>
    <t>https://24h.pchome.com.tw/store/DPADOZ?style=2</t>
  </si>
  <si>
    <t>https://24h.pchome.com.tw/store/DPADWW?style=2</t>
  </si>
  <si>
    <t>https://24h.pchome.com.tw/store/DPADMD?style=2</t>
  </si>
  <si>
    <t>https://24h.pchome.com.tw/store/DPADOT?style=2</t>
  </si>
  <si>
    <t>https://24h.pchome.com.tw/store/DPADP2?style=2</t>
  </si>
  <si>
    <t>https://24h.pchome.com.tw/store/DPADP3?style=2</t>
  </si>
  <si>
    <t>https://24h.pchome.com.tw/store/DPADU8?style=2</t>
  </si>
  <si>
    <t>https://24h.pchome.com.tw/store/DPADU9?style=2</t>
  </si>
  <si>
    <t>https://24h.pchome.com.tw/store/DPADWM?style=2</t>
  </si>
  <si>
    <t>https://24h.pchome.com.tw/store/DPADX8?style=2</t>
  </si>
  <si>
    <t>https://24h.pchome.com.tw/store/DPADM7?style=2</t>
  </si>
  <si>
    <t>https://24h.pchome.com.tw/store/DPADMX?style=2</t>
  </si>
  <si>
    <t>https://24h.pchome.com.tw/store/DPADTX?style=2</t>
  </si>
  <si>
    <t>https://24h.pchome.com.tw/store/DPADTY?style=2</t>
  </si>
  <si>
    <t>https://24h.pchome.com.tw/store/DPADJU?style=2</t>
  </si>
  <si>
    <t>https://24h.pchome.com.tw/store/DPADTK?style=2</t>
  </si>
  <si>
    <t>https://24h.pchome.com.tw/store/DPAD1M?style=2</t>
  </si>
  <si>
    <t>https://24h.pchome.com.tw/store/DPADGB?style=2</t>
  </si>
  <si>
    <t>https://24h.pchome.com.tw/store/DPADTH?style=2</t>
  </si>
  <si>
    <t>https://24h.pchome.com.tw/store/DPADTJ?style=2</t>
  </si>
  <si>
    <t>https://24h.pchome.com.tw/store/DPADQX?style=2</t>
  </si>
  <si>
    <t>https://24h.pchome.com.tw/store/DPADQK?style=2</t>
  </si>
  <si>
    <t>https://24h.pchome.com.tw/store/DPAD6I?style=2</t>
  </si>
  <si>
    <t>https://24h.pchome.com.tw/store/DPADTL?style=2</t>
  </si>
  <si>
    <t>https://24h.pchome.com.tw/store/DPADIV?style=2</t>
  </si>
  <si>
    <t>https://24h.pchome.com.tw/store/DPADIW?style=2</t>
  </si>
  <si>
    <t>https://24h.pchome.com.tw/store/DPADIX?style=2</t>
  </si>
  <si>
    <t>https://24h.pchome.com.tw/store/DPADIY?style=2</t>
  </si>
  <si>
    <t>https://24h.pchome.com.tw/store/DPADIZ?style=2</t>
  </si>
  <si>
    <t>https://24h.pchome.com.tw/store/DPADJ0?style=2</t>
  </si>
  <si>
    <t>https://24h.pchome.com.tw/store/DPADTN?style=2</t>
  </si>
  <si>
    <t>https://24h.pchome.com.tw/store/DPADEX?style=2</t>
  </si>
  <si>
    <t>https://24h.pchome.com.tw/store/DPADEY?style=2</t>
  </si>
  <si>
    <t>https://24h.pchome.com.tw/store/DPADEZ?style=2</t>
  </si>
  <si>
    <t>https://24h.pchome.com.tw/store/DPADF0?style=2</t>
  </si>
  <si>
    <t>https://24h.pchome.com.tw/store/DPADFT?style=2</t>
  </si>
  <si>
    <t>https://24h.pchome.com.tw/store/DPADUD?style=2</t>
  </si>
  <si>
    <t>https://24h.pchome.com.tw/store/DPADUG?style=2</t>
  </si>
  <si>
    <t>https://24h.pchome.com.tw/store/DPADUE?style=2</t>
  </si>
  <si>
    <t>https://24h.pchome.com.tw/store/DPADUF?style=2</t>
  </si>
  <si>
    <t>https://24h.pchome.com.tw/store/DPADUH?style=2</t>
  </si>
  <si>
    <t>https://24h.pchome.com.tw/store/DPACBV?style=2</t>
  </si>
  <si>
    <t>https://24h.pchome.com.tw/store/DPACC2?style=2</t>
  </si>
  <si>
    <t>https://24h.pchome.com.tw/store/DPACCA?style=2</t>
  </si>
  <si>
    <t>https://24h.pchome.com.tw/store/DPAC8W?style=2</t>
  </si>
  <si>
    <t>https://24h.pchome.com.tw/store/DPACDL?style=2</t>
  </si>
  <si>
    <t>https://24h.pchome.com.tw/store/DPACDG?style=2</t>
  </si>
  <si>
    <t>https://24h.pchome.com.tw/store/DPACDK?style=2</t>
  </si>
  <si>
    <t>https://24h.pchome.com.tw/store/DPACDH?style=2</t>
  </si>
  <si>
    <t>https://24h.pchome.com.tw/store/DPAC9V?style=2</t>
  </si>
  <si>
    <t>https://24h.pchome.com.tw/store/DPAC56?style=2</t>
  </si>
  <si>
    <t>https://24h.pchome.com.tw/store/DPAC6F?style=2</t>
  </si>
  <si>
    <t>https://24h.pchome.com.tw/store/DPAC6G?style=2</t>
  </si>
  <si>
    <t>https://24h.pchome.com.tw/store/DPAC6J?style=2</t>
  </si>
  <si>
    <t>https://24h.pchome.com.tw/store/DPAC6K?style=2</t>
  </si>
  <si>
    <t>https://24h.pchome.com.tw/store/DPAC6I?style=2</t>
  </si>
  <si>
    <t>https://24h.pchome.com.tw/store/DPACDM?style=2</t>
  </si>
  <si>
    <t>https://24h.pchome.com.tw/store/DPAC47?style=2</t>
  </si>
  <si>
    <t>https://24h.pchome.com.tw/store/DPAC40?style=2</t>
  </si>
  <si>
    <t>https://24h.pchome.com.tw/store/DPAC36?style=2</t>
  </si>
  <si>
    <t>https://24h.pchome.com.tw/store/DPAC41?style=2</t>
  </si>
  <si>
    <t>https://24h.pchome.com.tw/store/DPAC37?style=2</t>
  </si>
  <si>
    <t>https://24h.pchome.com.tw/store/DPAC42?style=2</t>
  </si>
  <si>
    <t>https://24h.pchome.com.tw/store/DPAC43?style=2</t>
  </si>
  <si>
    <t>https://24h.pchome.com.tw/store/DPAC44?style=2</t>
  </si>
  <si>
    <t>https://24h.pchome.com.tw/store/DPAC45?style=2</t>
  </si>
  <si>
    <t>https://24h.pchome.com.tw/store/DPACEF?style=2</t>
  </si>
  <si>
    <t>https://24h.pchome.com.tw/store/DPACEG?style=2</t>
  </si>
  <si>
    <t>https://24h.pchome.com.tw/store/DPACEH?style=2</t>
  </si>
  <si>
    <t>https://24h.pchome.com.tw/store/DPACEI?style=2</t>
  </si>
  <si>
    <t>https://24h.pchome.com.tw/store/DPACEJ?style=2</t>
  </si>
  <si>
    <t>https://24h.pchome.com.tw/store/DPACEK?style=2</t>
  </si>
  <si>
    <t>https://24h.pchome.com.tw/store/DPACEL?style=2</t>
  </si>
  <si>
    <t>https://24h.pchome.com.tw/region/DSAB?style=2</t>
  </si>
  <si>
    <t>https://24h.pchome.com.tw/store/DSAB1Z?style=2</t>
  </si>
  <si>
    <t>https://24h.pchome.com.tw/store/DSABLQ?style=2</t>
  </si>
  <si>
    <t>https://24h.pchome.com.tw/store/DSBB03?style=2</t>
  </si>
  <si>
    <t>https://24h.pchome.com.tw/store/DSBB3A?style=2</t>
  </si>
  <si>
    <t>https://24h.pchome.com.tw/store/DSBB35?style=2</t>
  </si>
  <si>
    <t>https://24h.pchome.com.tw/store/DSBB00?style=2</t>
  </si>
  <si>
    <t>https://24h.pchome.com.tw/store/DSBB3F?style=2</t>
  </si>
  <si>
    <t>https://24h.pchome.com.tw/store/DSBB3H?style=2</t>
  </si>
  <si>
    <t>https://24h.pchome.com.tw/store/DSAB30?style=2</t>
  </si>
  <si>
    <t>https://24h.pchome.com.tw/store/DSAB47?style=2</t>
  </si>
  <si>
    <t>https://24h.pchome.com.tw/store/DSAB2Y?style=2</t>
  </si>
  <si>
    <t>https://24h.pchome.com.tw/store/DSAB2X?style=2</t>
  </si>
  <si>
    <t>https://24h.pchome.com.tw/store/DSAB2W?style=2</t>
  </si>
  <si>
    <t>https://24h.pchome.com.tw/store/DSAB2Z?style=2</t>
  </si>
  <si>
    <t>https://24h.pchome.com.tw/store/DSAB2V?style=2</t>
  </si>
  <si>
    <t>https://24h.pchome.com.tw/store/DSAB80?style=2</t>
  </si>
  <si>
    <t>https://24h.pchome.com.tw/store/DSAB3D?style=2</t>
  </si>
  <si>
    <t>https://24h.pchome.com.tw/store/DSAB69?style=2</t>
  </si>
  <si>
    <t>https://24h.pchome.com.tw/store/DSAB3C?style=2</t>
  </si>
  <si>
    <t>https://24h.pchome.com.tw/store/DSAB6N?style=2</t>
  </si>
  <si>
    <t>https://24h.pchome.com.tw/store/DSAB6S?style=2</t>
  </si>
  <si>
    <t>https://24h.pchome.com.tw/store/DSABHI?style=2</t>
  </si>
  <si>
    <t>https://24h.pchome.com.tw/store/DSAB7Y?style=2</t>
  </si>
  <si>
    <t>https://24h.pchome.com.tw/store/DSBB3Q?style=2</t>
  </si>
  <si>
    <t>https://24h.pchome.com.tw/store/DSBB04?style=2</t>
  </si>
  <si>
    <t>https://24h.pchome.com.tw/store/DSBB3G?style=2</t>
  </si>
  <si>
    <t>https://24h.pchome.com.tw/store/DSBB02?style=2</t>
  </si>
  <si>
    <t>https://24h.pchome.com.tw/store/DSBB01?style=2</t>
  </si>
  <si>
    <t>https://24h.pchome.com.tw/store/DSBB05?style=2</t>
  </si>
  <si>
    <t>https://24h.pchome.com.tw/store/DSBB06?style=2</t>
  </si>
  <si>
    <t>https://24h.pchome.com.tw/store/DSBB3U?style=2</t>
  </si>
  <si>
    <t>https://24h.pchome.com.tw/store/DSBB3W?style=2</t>
  </si>
  <si>
    <t>https://24h.pchome.com.tw/store/DSBB07?style=2</t>
  </si>
  <si>
    <t>https://24h.pchome.com.tw/store/DSBB08?style=2</t>
  </si>
  <si>
    <t>https://24h.pchome.com.tw/store/DSBB09?style=2</t>
  </si>
  <si>
    <t>https://24h.pchome.com.tw/store/DSBB14?style=2</t>
  </si>
  <si>
    <t>https://24h.pchome.com.tw/store/DSBB0A?style=2</t>
  </si>
  <si>
    <t>https://24h.pchome.com.tw/store/DSBB0D?style=2</t>
  </si>
  <si>
    <t>https://24h.pchome.com.tw/store/DSBB1A?style=2</t>
  </si>
  <si>
    <t>https://24h.pchome.com.tw/store/DSBB18?style=2</t>
  </si>
  <si>
    <t>https://24h.pchome.com.tw/store/DSBB19?style=2</t>
  </si>
  <si>
    <t>https://24h.pchome.com.tw/store/DSBB0C?style=2</t>
  </si>
  <si>
    <t>https://24h.pchome.com.tw/store/DSBB17?style=2</t>
  </si>
  <si>
    <t>https://24h.pchome.com.tw/store/DSBB0B?style=2</t>
  </si>
  <si>
    <t>https://24h.pchome.com.tw/store/DSBB3T?style=2</t>
  </si>
  <si>
    <t>https://24h.pchome.com.tw/store/DSBB0V?style=2</t>
  </si>
  <si>
    <t>https://24h.pchome.com.tw/store/DSBB12?style=2</t>
  </si>
  <si>
    <t>https://24h.pchome.com.tw/store/DSBB0T?style=2</t>
  </si>
  <si>
    <t>https://24h.pchome.com.tw/store/DSBB1G?style=2</t>
  </si>
  <si>
    <t>https://24h.pchome.com.tw/store/DSBB1I?style=2</t>
  </si>
  <si>
    <t>https://24h.pchome.com.tw/store/DSBB0W?style=2</t>
  </si>
  <si>
    <t>https://24h.pchome.com.tw/store/DSBB0U?style=2</t>
  </si>
  <si>
    <t>https://24h.pchome.com.tw/store/DSBB1H?style=2</t>
  </si>
  <si>
    <t>https://24h.pchome.com.tw/store/DHAALV?style=2</t>
  </si>
  <si>
    <t>https://24h.pchome.com.tw/store/DHAAJE?style=2</t>
  </si>
  <si>
    <t>https://24h.pchome.com.tw/store/DHAAJA?style=2</t>
  </si>
  <si>
    <t>https://24h.pchome.com.tw/store/DHAAJF?style=2</t>
  </si>
  <si>
    <t>https://24h.pchome.com.tw/store/DHAAHX?style=2</t>
  </si>
  <si>
    <t>https://24h.pchome.com.tw/store/DHAAD9?style=2</t>
  </si>
  <si>
    <t>https://24h.pchome.com.tw/store/DHAAJC?style=2</t>
  </si>
  <si>
    <t>https://24h.pchome.com.tw/store/DHAALI?style=2</t>
  </si>
  <si>
    <t>https://24h.pchome.com.tw/store/DHAB9E?style=2</t>
  </si>
  <si>
    <t>https://24h.pchome.com.tw/store/DHAAHC?style=2</t>
  </si>
  <si>
    <t>https://24h.pchome.com.tw/store/DHAY15?style=2</t>
  </si>
  <si>
    <t>https://24h.pchome.com.tw/store/DHAALG?style=2</t>
  </si>
  <si>
    <t>https://24h.pchome.com.tw/store/DHAALF?style=2</t>
  </si>
  <si>
    <t>https://24h.pchome.com.tw/store/DHAALH?style=2</t>
  </si>
  <si>
    <t>https://24h.pchome.com.tw/store/DHAALD?style=2</t>
  </si>
  <si>
    <t>https://24h.pchome.com.tw/store/?fq=/R/DHAA/coupon</t>
  </si>
  <si>
    <t>https://24h.pchome.com.tw/store/DPAIBY?style=2</t>
  </si>
  <si>
    <t>https://24h.pchome.com.tw/store/DPAI8X04?style=2</t>
  </si>
  <si>
    <t>https://24h.pchome.com.tw/store/DPAIC7?style=2</t>
  </si>
  <si>
    <t>https://24h.pchome.com.tw/store/DPAI2Z?style=2</t>
  </si>
  <si>
    <t>https://24h.pchome.com.tw/store/DPAI2J?style=2</t>
  </si>
  <si>
    <t>https://24h.pchome.com.tw/store/DPAI1S?style=2</t>
  </si>
  <si>
    <t>https://24h.pchome.com.tw/store/DPAI4I?style=2</t>
  </si>
  <si>
    <t>https://24h.pchome.com.tw/store/DPAID4?style=2</t>
  </si>
  <si>
    <t>https://24h.pchome.com.tw/store/DPAID2?style=2</t>
  </si>
  <si>
    <t>https://24h.pchome.com.tw/store/DPAIC0?style=2</t>
  </si>
  <si>
    <t>https://24h.pchome.com.tw/store/DPAI3Y?style=2</t>
  </si>
  <si>
    <t>https://24h.pchome.com.tw/store/DPAI2P?style=2</t>
  </si>
  <si>
    <t>https://24h.pchome.com.tw/store/DPAI2R?style=2</t>
  </si>
  <si>
    <t>https://24h.pchome.com.tw/store/DPAI3B?style=2</t>
  </si>
  <si>
    <t>https://24h.pchome.com.tw/store/DPAI28?style=2</t>
  </si>
  <si>
    <t>https://24h.pchome.com.tw/store/DPAI29?style=2</t>
  </si>
  <si>
    <t>https://24h.pchome.com.tw/store/DPAI2A?style=2</t>
  </si>
  <si>
    <t>https://24h.pchome.com.tw/store/DPAI2B?style=2</t>
  </si>
  <si>
    <t>https://24h.pchome.com.tw/store/DPAI2C?style=2</t>
  </si>
  <si>
    <t>https://24h.pchome.com.tw/store/DPAI2D?style=2</t>
  </si>
  <si>
    <t>https://24h.pchome.com.tw/store/DPAI2E?style=2</t>
  </si>
  <si>
    <t>https://24h.pchome.com.tw/store/DPAI48?style=2</t>
  </si>
  <si>
    <t>https://24h.pchome.com.tw/store/DPAIC1?style=2</t>
  </si>
  <si>
    <t>https://24h.pchome.com.tw/store/DPAI2H?style=2</t>
  </si>
  <si>
    <t>https://24h.pchome.com.tw/region/DPAI?style=2</t>
  </si>
  <si>
    <t>https://24h.pchome.com.tw/store/DPAI2Q?style=2</t>
  </si>
  <si>
    <t>https://24h.pchome.com.tw/store/DSAB20?style=2</t>
  </si>
  <si>
    <t>https://24h.pchome.com.tw/store/DSAB33?style=2</t>
  </si>
  <si>
    <t>https://24h.pchome.com.tw/store/DSAB1Q?style=2</t>
  </si>
  <si>
    <t>https://24h.pchome.com.tw/store/DSAB1C?style=2</t>
  </si>
  <si>
    <t>https://24h.pchome.com.tw/store/DSAB86?style=2</t>
  </si>
  <si>
    <t>https://24h.pchome.com.tw/store/DMAU24?style=2</t>
  </si>
  <si>
    <t>https://24h.pchome.com.tw/store/DMAU4D?style=2</t>
  </si>
  <si>
    <t>https://24h.pchome.com.tw/store/DMAU25?style=2</t>
  </si>
  <si>
    <t>https://24h.pchome.com.tw/store/DMAU26?style=2</t>
  </si>
  <si>
    <t>https://24h.pchome.com.tw/store/DCAIAL</t>
  </si>
  <si>
    <t>https://24h.pchome.com.tw/store/DCAIQZ</t>
  </si>
  <si>
    <t>https://24h.pchome.com.tw/store/DYAQF4</t>
  </si>
  <si>
    <t>https://24h.pchome.com.tw/store/DYAQ9D</t>
  </si>
  <si>
    <t>https://24h.pchome.com.tw/store/DYAQBC</t>
  </si>
  <si>
    <t>https://24h.pchome.com.tw/store/DYAQ99</t>
  </si>
  <si>
    <t>https://24h.pchome.com.tw/store/DYAQFA</t>
  </si>
  <si>
    <t>https://24h.pchome.com.tw/store/DYAQ9Q</t>
  </si>
  <si>
    <t>https://24h.pchome.com.tw/category/DPAI51C</t>
  </si>
  <si>
    <t>https://24h.pchome.com.tw/category/DMAX03C</t>
  </si>
  <si>
    <t>https://24h.pchome.com.tw/store/DPAFCP</t>
  </si>
  <si>
    <t>https://24h.pchome.com.tw/store/DPAF98</t>
  </si>
  <si>
    <t>https://24h.pchome.com.tw/store/DPAF90</t>
  </si>
  <si>
    <t>https://24h.pchome.com.tw/store/DPAFC4</t>
  </si>
  <si>
    <t>https://24h.pchome.com.tw/store/DPAFDC</t>
  </si>
  <si>
    <t>https://24h.pchome.com.tw/store/DPAFE9</t>
  </si>
  <si>
    <t>https://24h.pchome.com.tw/store/DPAFG6</t>
  </si>
  <si>
    <t>https://24h.pchome.com.tw/store/DPAFD2</t>
  </si>
  <si>
    <t>https://24h.pchome.com.tw/store/DPAFD1</t>
  </si>
  <si>
    <t>https://24h.pchome.com.tw/store/DPAFGD</t>
  </si>
  <si>
    <t>https://24h.pchome.com.tw/store/DPAFCS</t>
  </si>
  <si>
    <t>https://24h.pchome.com.tw/store/DPAFEX</t>
  </si>
  <si>
    <t>https://24h.pchome.com.tw/store/DPAFDY</t>
  </si>
  <si>
    <t>https://24h.pchome.com.tw/store/DPAFGR</t>
  </si>
  <si>
    <t>https://24h.pchome.com.tw/store/DPAF9R</t>
  </si>
  <si>
    <t>https://24h.pchome.com.tw/store/DPAFGC</t>
  </si>
  <si>
    <t>https://24h.pchome.com.tw/store/DPAFGS</t>
  </si>
  <si>
    <t>https://24h.pchome.com.tw/store/DPAFBJ</t>
  </si>
  <si>
    <t>https://24h.pchome.com.tw/store/DPAFFZ</t>
  </si>
  <si>
    <t>https://24h.pchome.com.tw/store/DPAFCJ</t>
  </si>
  <si>
    <t>https://24h.pchome.com.tw/store/DPAFCK</t>
  </si>
  <si>
    <t>https://24h.pchome.com.tw/store/DPAFGE</t>
  </si>
  <si>
    <t>https://www.powerbuy.co.th/th/category/home-appliance/air-conditioning/floor-ceiling-type</t>
  </si>
  <si>
    <t>https://www.powerbuy.co.th/th/category/computers-and-offices/monitors-and-projectors/monitors</t>
  </si>
  <si>
    <t>https://www.powerbuy.co.th/th/category/home-appliance/washing-machines/dryers</t>
  </si>
  <si>
    <t>https://www.powerbuy.co.th/th/category/small-appliance/air-treatment</t>
  </si>
  <si>
    <t>https://www.powerbuy.co.th/th/category/home-appliance/refrigerators/one-door-refrigerators</t>
  </si>
  <si>
    <t>https://www.powerbuy.co.th/th/category/home-appliance/refrigerators/two-door-refrigerators</t>
  </si>
  <si>
    <t>https://www.powerbuy.co.th/th/category/home-appliance/refrigerators/multi-door-refrigerators</t>
  </si>
  <si>
    <t>https://www.powerbuy.co.th/th/category/home-appliance/refrigerators/side-by-side-refrigerators</t>
  </si>
  <si>
    <t>https://www.powerbuy.co.th/th/category/home-appliance/washing-machines/top-load-1-tub</t>
  </si>
  <si>
    <t>https://www.powerbuy.co.th/th/category/tv-and-entertainment/televisions/led-tv</t>
  </si>
  <si>
    <t>https://www.powerbuy.co.th/th/category/tv-and-entertainment/televisions/oled-tv</t>
  </si>
  <si>
    <t>https://www.powerbuy.co.th/th/category/tv-and-entertainment/televisions/smart-tv-4k</t>
  </si>
  <si>
    <t>https://www.powerbuy.co.th/th/category/tv-and-entertainment/televisions/smart-tv-8k</t>
  </si>
  <si>
    <t>https://www.powerbuy.co.th/th/category/tv-and-entertainment/televisions/lifestyle-tv</t>
  </si>
  <si>
    <t>https://www.powerbuy.co.th/th/category/tv-and-entertainment/televisions/projector-tv</t>
  </si>
  <si>
    <t>https://www.powerbuy.co.th/th/category/tv-and-entertainment/televisions/smart-tv</t>
  </si>
  <si>
    <t>https://www.powerbuy.co.th/th/category/tv-and-entertainment/televisions/uhd-tv</t>
  </si>
  <si>
    <t>https://www.powerbuy.co.th/th/category/tv-and-entertainment/televisions/qled-tv</t>
  </si>
  <si>
    <t>https://www.powerbuy.co.th/th/category/tv-and-entertainment/televisions/qned-tv</t>
  </si>
  <si>
    <t>https://www.powerbuy.co.th/th/category/tv-and-entertainment/televisions/neo-qled-tv</t>
  </si>
  <si>
    <t>https://www.powerbuy.co.th/th/category/tv-and-entertainment/televisions/nanocell-tv</t>
  </si>
  <si>
    <t>https://www.powerbuy.co.th/th/category/tv-and-entertainment/televisions/fhd-tv</t>
  </si>
  <si>
    <t>https://www.powerbuy.co.th/th/category/tv-and-entertainment/speakers/portable-speakers</t>
  </si>
  <si>
    <t>https://www.powerbuy.co.th/th/category/tv-and-entertainment/speakers/separate-speakers-and-subwoofer</t>
  </si>
  <si>
    <t>https://www.powerbuy.co.th/th/category/tv-and-entertainment/speakers/computer-speakers</t>
  </si>
  <si>
    <t>https://www.powerbuy.co.th/th/category/tv-and-entertainment/speakers/large-public-address-speakers</t>
  </si>
  <si>
    <t>https://www.powerbuy.co.th/th/category/tv-and-entertainment/speakers/bluetooth-speakers</t>
  </si>
  <si>
    <t>https://www.powerbuy.co.th/th/category/tv-and-entertainment/home-audio/sound-bars</t>
  </si>
  <si>
    <t>https://www.powerbuy.co.th/th/category/home-appliance/air-conditioning/wall-type</t>
  </si>
  <si>
    <t>https://www.powerbuy.co.th/th/category/home-appliance/washing-machines</t>
  </si>
  <si>
    <t>https://www.powerbuy.co.th/th/category/home-appliance/washing-machines/top-load-2-tubs</t>
  </si>
  <si>
    <t>https://www.powerbuy.co.th/th/category/computers-and-offices/computer-accessories/headset-and-microphones</t>
  </si>
  <si>
    <t>https://www.powerbuy.co.th/th/category/smart-tech-and-gadgets/headphone/on-ear-headphone</t>
  </si>
  <si>
    <t>https://www.powerbuy.co.th/th/category/smart-tech-and-gadgets/headphone/in-ear-headphone</t>
  </si>
  <si>
    <t>https://www.powerbuy.co.th/th/category/smart-tech-and-gadgets/headphone/bluetooth-headphones</t>
  </si>
  <si>
    <t>https://www.samsung.com/au/refrigerators/all-refrigerators/</t>
  </si>
  <si>
    <t>https://www.samsung.com/au/washers-and-dryers/washing-machines/</t>
  </si>
  <si>
    <t>https://www.samsung.com/au/tvs/all-tvs/</t>
  </si>
  <si>
    <t>https://www.samsung.com/au/monitors/all-monitors/</t>
  </si>
  <si>
    <t>https://www.samsung.com/au/washers-and-dryers/dryers/</t>
  </si>
  <si>
    <t>https://www.samsung.com/au/air-conditioners/all-air-conditioners/</t>
  </si>
  <si>
    <t>https://www.samsung.com/au/audio-devices/all-audio-devices/?sound-tower</t>
  </si>
  <si>
    <t>https://www.samsung.com/au/audio-devices/all-audio-devices/</t>
  </si>
  <si>
    <t>https://www.samsung.com/au/audio-sound/all-audio-sound/</t>
  </si>
  <si>
    <t>https://www.samsung.com/br/refrigerators/all-refrigerators/</t>
  </si>
  <si>
    <t>https://www.samsung.com/br/washers-and-dryers/washing-machines/</t>
  </si>
  <si>
    <t>https://www.samsung.com/br/tvs/all-tvs/</t>
  </si>
  <si>
    <t>https://www.samsung.com/br/monitors/all-monitors/</t>
  </si>
  <si>
    <t>https://www.samsung.com/br/washers-and-dryers/dryers/</t>
  </si>
  <si>
    <t>https://www.samsung.com/br/air-conditioners/all-air-conditioners/</t>
  </si>
  <si>
    <t>https://www.samsung.com/br/audio-devices/all-audio-devices/</t>
  </si>
  <si>
    <t>https://www.samsung.com/br/audio-sound/all-audio-sound/</t>
  </si>
  <si>
    <t>https://www.samsung.com/ca/refrigerators/all-refrigerators/</t>
  </si>
  <si>
    <t>https://www.samsung.com/ca/tvs/all-tvs/</t>
  </si>
  <si>
    <t>https://www.samsung.com/ca/monitors/all-monitors/</t>
  </si>
  <si>
    <t>https://www.samsung.com/ca/laundry/dryers/</t>
  </si>
  <si>
    <t>https://www.samsung.com/ca/laundry/all-laundry/</t>
  </si>
  <si>
    <t>https://www.samsung.com/ca/audio-devices/all-audio-devices/?sound-tower</t>
  </si>
  <si>
    <t>https://www.samsung.com/ca/audio-devices/all-audio-devices/</t>
  </si>
  <si>
    <t>https://www.samsung.com/ca/audio-sound/all-audio-sound/</t>
  </si>
  <si>
    <t>https://www.samsung.com/de/refrigerators/all-refrigerators/</t>
  </si>
  <si>
    <t>https://www.samsung.com/de/washers-and-dryers/all-washers-and-dryers/?washing-machines</t>
  </si>
  <si>
    <t>https://www.samsung.com/de/tvs/all-tvs/</t>
  </si>
  <si>
    <t>https://www.samsung.com/de/monitors/all-monitors/</t>
  </si>
  <si>
    <t>https://www.samsung.com/de/washers-and-dryers/dryers/</t>
  </si>
  <si>
    <t>https://www.samsung.com/de/audio-devices/sound-tower/</t>
  </si>
  <si>
    <t>https://www.samsung.com/de/audio-devices/all-audio-devices/</t>
  </si>
  <si>
    <t>https://www.samsung.com/de/audio-sound/all-audio-sound/</t>
  </si>
  <si>
    <t>https://www.samsung.com/es/refrigerators/all-refrigerators/</t>
  </si>
  <si>
    <t>https://www.samsung.com/es/washers-and-dryers/washing-machines/</t>
  </si>
  <si>
    <t>https://www.samsung.com/es/tvs/all-tvs/</t>
  </si>
  <si>
    <t>https://www.samsung.com/es/monitors/all-monitors/</t>
  </si>
  <si>
    <t>https://www.samsung.com/es/washers-and-dryers/dryers/</t>
  </si>
  <si>
    <t>https://www.samsung.com/es/audio-devices/all-audio-devices/?sound-tower</t>
  </si>
  <si>
    <t>https://www.samsung.com/es/audio-devices/all-audio-devices/</t>
  </si>
  <si>
    <t>https://www.samsung.com/es/audio-sound/all-audio-sound/</t>
  </si>
  <si>
    <t>https://www.samsung.com/fr/refrigerators/all-refrigerators/</t>
  </si>
  <si>
    <t>https://www.samsung.com/fr/washers-and-dryers/washing-machines/</t>
  </si>
  <si>
    <t>https://www.samsung.com/fr/tvs/all-tvs/</t>
  </si>
  <si>
    <t>https://www.samsung.com/fr/monitors/all-monitors/</t>
  </si>
  <si>
    <t>https://www.samsung.com/fr/washers-and-dryers/dryers/?tumble-dryers</t>
  </si>
  <si>
    <t>https://www.samsung.com/fr/audio-devices/sound-tower/</t>
  </si>
  <si>
    <t>https://www.samsung.com/fr/audio-devices/all-audio-devices/</t>
  </si>
  <si>
    <t>https://www.samsung.com/fr/audio-sound/all-audio-sound/</t>
  </si>
  <si>
    <t>https://www.samsung.com/it/refrigerators/all-refrigerators/</t>
  </si>
  <si>
    <t>https://www.samsung.com/it/washers-and-dryers/washing-machines/</t>
  </si>
  <si>
    <t>https://www.samsung.com/it/tvs/all-tvs/</t>
  </si>
  <si>
    <t>https://www.samsung.com/it/monitors/all-monitors/</t>
  </si>
  <si>
    <t>https://www.samsung.com/it/washers-and-dryers/dryers/</t>
  </si>
  <si>
    <t>https://www.samsung.com/it/audio-devices/sound-tower/</t>
  </si>
  <si>
    <t>https://www.samsung.com/it/audio-devices/all-audio-devices/</t>
  </si>
  <si>
    <t>https://www.samsung.com/it/audio-sound/all-audio-sound/</t>
  </si>
  <si>
    <t>https://www.samsung.com/mx/refrigerators/all-refrigerators/</t>
  </si>
  <si>
    <t>https://www.samsung.com/mx/washers-and-dryers/washing-machines/</t>
  </si>
  <si>
    <t>https://www.samsung.com/mx/tvs/all-tvs/</t>
  </si>
  <si>
    <t>https://www.samsung.com/mx/monitors/all-monitors/</t>
  </si>
  <si>
    <t>https://www.samsung.com/mx/washers-and-dryers/dryers</t>
  </si>
  <si>
    <t>https://www.samsung.com/mx/air-conditioners/all-air-conditioners/</t>
  </si>
  <si>
    <t>https://www.samsung.com/mx/audio-devices/all-audio-devices/?sound-tower</t>
  </si>
  <si>
    <t>https://www.samsung.com/mx/audio-devices/all-audio-devices/</t>
  </si>
  <si>
    <t>https://www.samsung.com/mx/audio-sound/all-audio-sound/</t>
  </si>
  <si>
    <t>https://www.samsung.com/th/refrigerators/all-refrigerators/</t>
  </si>
  <si>
    <t>https://www.samsung.com/th/washers-and-dryers/all-washers-and-dryers/</t>
  </si>
  <si>
    <t>https://www.samsung.com/th/tvs/all-tvs/</t>
  </si>
  <si>
    <t>https://www.samsung.com/th/monitors/all-monitors/</t>
  </si>
  <si>
    <t>https://www.samsung.com/th/air-conditioners/all-air-conditioners/</t>
  </si>
  <si>
    <t>https://www.samsung.com/th/audio-devices/all-audio-devices/?sound-tower</t>
  </si>
  <si>
    <t>https://www.samsung.com/th/audio-devices/all-audio-devices/</t>
  </si>
  <si>
    <t>https://www.samsung.com/th/audio-sound/all-audio-sound/</t>
  </si>
  <si>
    <t>https://www.samsung.com/th/washers-and-dryers/washing-machines/?tumble-dryers</t>
  </si>
  <si>
    <t>https://www.samsung.com/tw/refrigerators/all-refrigerators/</t>
  </si>
  <si>
    <t>https://www.samsung.com/tw/washers-and-dryers/all-washers-and-dryers/</t>
  </si>
  <si>
    <t>https://www.samsung.com/tw/tvs/all-tvs/</t>
  </si>
  <si>
    <t>https://www.samsung.com/tw/monitors/all-monitors/</t>
  </si>
  <si>
    <t>https://www.samsung.com/tw/audio-devices/all-audio-devices/</t>
  </si>
  <si>
    <t>https://www.samsung.com/tw/audio-sound/all-audio-sound/</t>
  </si>
  <si>
    <t>https://www.samsung.com/tw/washers-and-dryers/dryers/</t>
  </si>
  <si>
    <t>https://www.samsung.com/uk/refrigerators/all-refrigerators/?available-to-order</t>
  </si>
  <si>
    <t>https://www.samsung.com/uk/washers-and-dryers/washing-machines/</t>
  </si>
  <si>
    <t>https://www.samsung.com/uk/tvs/all-tvs/</t>
  </si>
  <si>
    <t>https://www.samsung.com/uk/monitors/all-monitors/</t>
  </si>
  <si>
    <t>https://www.samsung.com/uk/washers-and-dryers/dryers/</t>
  </si>
  <si>
    <t>https://www.samsung.com/uk/audio-devices/all-audio-devices/?sound-tower</t>
  </si>
  <si>
    <t>https://www.samsung.com/uk/audio-devices/all-audio-devices/</t>
  </si>
  <si>
    <t>https://www.samsung.com/uk/audio-sound/all-audio-sound/</t>
  </si>
  <si>
    <t>https://www.samsung.com/us/home-appliances/refrigerators/all-refrigerators/</t>
  </si>
  <si>
    <t>https://www.samsung.com/us/home-appliances/washers/all-washers/</t>
  </si>
  <si>
    <t>https://www.samsung.com/us/televisions-home-theater/tvs/all-tvs/</t>
  </si>
  <si>
    <t>https://www.samsung.com/us/home-appliances/dryers/all-dryers/</t>
  </si>
  <si>
    <t>https://www.samsung.com/us/computing/monitors/all-monitors/</t>
  </si>
  <si>
    <t>https://www.samsung.com/us/televisions-home-theater/home-theater/all-home-theater/?series=Sound+Tower+Party+Audio</t>
  </si>
  <si>
    <t>https://www.samsung.com/us/televisions-home-theater/home-theater/all-home-theater/</t>
  </si>
  <si>
    <t>https://www.samsung.com/us/mobile/audio/all-audio/</t>
  </si>
  <si>
    <t>https://www.samsung.com/vn/refrigerators/all-refrigerators/</t>
  </si>
  <si>
    <t>https://www.samsung.com/vn/washers-and-dryers/all-washers-and-dryers/?washing-machines</t>
  </si>
  <si>
    <t>https://www.samsung.com/vn/tvs/all-tvs/</t>
  </si>
  <si>
    <t>https://www.samsung.com/vn/monitors/all-monitors/</t>
  </si>
  <si>
    <t>https://www.samsung.com/vn/air-conditioners/all-air-conditioners/</t>
  </si>
  <si>
    <t>https://www.samsung.com/vn/audio-devices/all-audio-devices/?sound-tower</t>
  </si>
  <si>
    <t>https://www.samsung.com/vn/audio-devices/all-audio-devices/</t>
  </si>
  <si>
    <t>https://www.samsung.com/vn/audio-sound/all-audio-sound/</t>
  </si>
  <si>
    <t>https://www.samsung.com/vn/washers-and-dryers/all-washers-and-dryers/?tumble-dryers</t>
  </si>
  <si>
    <t>https://www.sears.com.mx/cat/l%C3%ADnea%20blanca%20y%20electrodom%C3%A9sticos/refrigeraci%C3%B3n%20y%20congelaci%C3%B3n/refrigeradores%20y%20frigobares?id=4843</t>
  </si>
  <si>
    <t>https://www.sears.com.mx/cat/l%C3%ADnea%20blanca%20y%20electrodom%C3%A9sticos/lavado%20y%20secado/lavasecadoras%20y%20centros%20de%20lavado?id=10671</t>
  </si>
  <si>
    <t>https://www.sears.com.mx/cat/l%C3%ADnea%20blanca%20y%20electrodom%C3%A9sticos/lavado%20y%20secado/lavadoras?id=10669</t>
  </si>
  <si>
    <t>https://www.sears.com.mx/cat/l%C3%ADnea%20blanca%20y%20electrodom%C3%A9sticos/lavado%20y%20secado/secadoras?id=10670</t>
  </si>
  <si>
    <t>https://www.sears.com.mx/cat/electr%C3%B3nica%20y%20tecnolog%C3%ADa/tv%20y%20video/pantallas?id=15466</t>
  </si>
  <si>
    <t>https://www.sears.com.mx/cat/l%C3%ADnea%20blanca%20y%20electrodom%C3%A9sticos/clima%20y%20ambiente/aires%20acondicionados?id=4542</t>
  </si>
  <si>
    <t>https://www.sears.com.mx/cat/electr%C3%B3nica%20y%20tecnolog%C3%ADa/c%C3%B3mputo%20y%20tabletas/proyectores%20y%20monitores?id=5024</t>
  </si>
  <si>
    <t>https://www.sears.com.mx/cat/electr%C3%B3nica%20y%20tecnolog%C3%ADa/audio/bocinas?id=15107</t>
  </si>
  <si>
    <t>https://www.sears.com.mx/cat/electr%C3%B3nica%20y%20tecnolog%C3%ADa/audio/teatros%20en%20casa%20y%20barras%20de%20sonido?id=4896</t>
  </si>
  <si>
    <t>https://www.sears.com.mx/cat/electr%C3%B3nica%20y%20tecnolog%C3%ADa/audio/aud%C3%ADfonos%20y%20manos%20libres?id=15106</t>
  </si>
  <si>
    <t>https://www.thebrick.com/collections/appliances-kitchen-refrigerators</t>
  </si>
  <si>
    <t>https://www.thebrick.com/collections/appliances-laundry-washers</t>
  </si>
  <si>
    <t>https://www.thebrick.com/collections/appliances-kitchen-dishwashers</t>
  </si>
  <si>
    <t>https://www.thebrick.com/collections/appliances-laundry-dryers</t>
  </si>
  <si>
    <t>https://www.thebrick.com/collections/appliances-kitchen-ranges</t>
  </si>
  <si>
    <t>https://www.thebrick.com/collections/appliances-specialty-appliances?refinementList%5Bproduct_type%5D%5B0%5D=Clothes%20Steamer</t>
  </si>
  <si>
    <t>https://www.thebrick.com/collections/appliances-air-conditioners</t>
  </si>
  <si>
    <t>https://www.thebrick.com/collections/electronics-televisions-and-tv-accessories-televisions</t>
  </si>
  <si>
    <t>https://www.thebrick.com/collections/electronics-televisions-and-tv-accessories-televisions-oled</t>
  </si>
  <si>
    <t>https://www.thebrick.com/collections/electronics-monitors</t>
  </si>
  <si>
    <t>https://www.thebrick.com/collections/electronics-entertainment-speakers-receivers-and-subwoofers-portable</t>
  </si>
  <si>
    <t>https://www.thebrick.com/collections/electronics-home-audio-soundbars</t>
  </si>
  <si>
    <t>https://www.thebrick.com/collections/electronics-entertainment-headphones</t>
  </si>
  <si>
    <t>https://www.thegoodguys.com.au/fridges-and-freezers/refrigerators/top-mount-fridges</t>
  </si>
  <si>
    <t>https://www.thegoodguys.com.au/fridges-and-freezers/refrigerators/bottom-mount-fridges</t>
  </si>
  <si>
    <t>https://www.thegoodguys.com.au/fridges-and-freezers/refrigerators/french-door-fridges</t>
  </si>
  <si>
    <t>https://www.thegoodguys.com.au/fridges-and-freezers/refrigerators/side-by-side-fridges</t>
  </si>
  <si>
    <t>https://www.thegoodguys.com.au/fridges-and-freezers/refrigerators/single-door-fridges</t>
  </si>
  <si>
    <t>https://www.thegoodguys.com.au/fridges-and-freezers/refrigerators/wine-fridges</t>
  </si>
  <si>
    <t>https://www.thegoodguys.com.au/fridges-and-freezers/refrigerators/custom-fridges</t>
  </si>
  <si>
    <t>https://www.thegoodguys.com.au/laundry/washing-machines/front-load-washing-machines</t>
  </si>
  <si>
    <t>https://www.thegoodguys.com.au/laundry/washing-machines/top-load-washing-machines</t>
  </si>
  <si>
    <t>https://www.thegoodguys.com.au/laundry/washing-machines/washer-dryer-combo</t>
  </si>
  <si>
    <t>https://www.thegoodguys.com.au/laundry/washing-machines/auto-dosing-washing-machines</t>
  </si>
  <si>
    <t>https://www.thegoodguys.com.au/laundry/washing-machines/large-washing-machines</t>
  </si>
  <si>
    <t>https://www.thegoodguys.com.au/laundry/washing-machines/medium-washing-machines</t>
  </si>
  <si>
    <t>https://www.thegoodguys.com.au/laundry/washing-machines/small-washing-machines</t>
  </si>
  <si>
    <t>https://www.thegoodguys.com.au/televisions/all-tvs/tvs-over-80-inches</t>
  </si>
  <si>
    <t>https://www.thegoodguys.com.au/televisions/all-tvs/tvs-over-60-inches</t>
  </si>
  <si>
    <t>https://www.thegoodguys.com.au/televisions/all-tvs/tvs-48-to-60-inches</t>
  </si>
  <si>
    <t>https://www.thegoodguys.com.au/televisions/all-tvs/tvs-32-to-47-inches</t>
  </si>
  <si>
    <t>https://www.thegoodguys.com.au/televisions/all-tvs/tvs-under-32-inches</t>
  </si>
  <si>
    <t>https://www.thegoodguys.com.au/televisions/all-tvs/8k-tvs</t>
  </si>
  <si>
    <t>https://www.thegoodguys.com.au/televisions/all-tvs/4k-tvs</t>
  </si>
  <si>
    <t>https://www.thegoodguys.com.au/televisions/all-tvs/led-lcd-tvs</t>
  </si>
  <si>
    <t>https://www.thegoodguys.com.au/televisions/all-tvs/lifestyle-tvs</t>
  </si>
  <si>
    <t>https://www.thegoodguys.com.au/televisions/all-tvs/2023-tvs</t>
  </si>
  <si>
    <t>https://www.thegoodguys.com.au/televisions/oled-tvs/oled-tvs-over-60-inches</t>
  </si>
  <si>
    <t>https://www.thegoodguys.com.au/televisions/oled-tvs/oled-tvs-under-48-inches</t>
  </si>
  <si>
    <t>https://www.thegoodguys.com.au/televisions/oled-tvs/oled-tvs-48-to-60-inches</t>
  </si>
  <si>
    <t>https://www.thegoodguys.com.au/televisions/qled-tvs/65-inch-qled-tvs</t>
  </si>
  <si>
    <t>https://www.thegoodguys.com.au/televisions/qled-tvs/55-inch-qled-tvs</t>
  </si>
  <si>
    <t>https://www.thegoodguys.com.au/televisions/qled-tvs/75-inch-qled-tvs</t>
  </si>
  <si>
    <t>https://www.thegoodguys.com.au/televisions/qled-tvs/85-inch-qled-tvs</t>
  </si>
  <si>
    <t>https://www.thegoodguys.com.au/televisions/ultra-hd-tvs/ultra-hd-tvs-under-48-inches</t>
  </si>
  <si>
    <t>https://www.thegoodguys.com.au/televisions/ultra-hd-tvs/ultra-hd-tvs-48-to-60-inches</t>
  </si>
  <si>
    <t>https://www.thegoodguys.com.au/televisions/ultra-hd-tvs/ultra-hd-tvs-over-60-inches</t>
  </si>
  <si>
    <t>https://www.thegoodguys.com.au/televisions/full-hd-tvs/full-hd-tvs-under-48-inches</t>
  </si>
  <si>
    <t>https://www.thegoodguys.com.au/televisions/hd-tvs/hd-tvs-under-48-inches</t>
  </si>
  <si>
    <t>https://www.thegoodguys.com.au/audio/home-audio/home-wireless-speakers</t>
  </si>
  <si>
    <t>https://www.thegoodguys.com.au/audio/portable-audio/portable-bluetooth-speakers</t>
  </si>
  <si>
    <t>https://www.thegoodguys.com.au/audio/portable-audio/party-speakers</t>
  </si>
  <si>
    <t>https://www.thegoodguys.com.au/audio/home-audio/hi-fi-sound-systems</t>
  </si>
  <si>
    <t>https://www.thegoodguys.com.au/audio/home-audio/sound-bars</t>
  </si>
  <si>
    <t>https://www.thegoodguys.com.au/audio/headphones/true-wireless-earbuds</t>
  </si>
  <si>
    <t>https://www.thegoodguys.com.au/audio/headphones/wired-headphones</t>
  </si>
  <si>
    <t>https://www.thegoodguys.com.au/audio/headphones/wireless-headphones</t>
  </si>
  <si>
    <t>https://www.thegoodguys.com.au/audio/headphones/noise-cancelling-headphones</t>
  </si>
  <si>
    <t>https://www.thegoodguys.com.au/audio/headphones/sports-headphones</t>
  </si>
  <si>
    <t>https://www.thegoodguys.com.au/vacuums-and-cleaners/vacuum-cleaners/stick-vacuums</t>
  </si>
  <si>
    <t>https://www.thegoodguys.com.au/vacuums-and-cleaners/vacuum-cleaners/barrel-vacuums</t>
  </si>
  <si>
    <t>https://www.thegoodguys.com.au/vacuums-and-cleaners/vacuum-cleaners/upright-vacuums</t>
  </si>
  <si>
    <t>https://www.thegoodguys.com.au/vacuums-and-cleaners/vacuum-cleaners/robot-vacuums</t>
  </si>
  <si>
    <t>https://www.thegoodguys.com.au/vacuums-and-cleaners/vacuum-cleaners/handheld-vacuums</t>
  </si>
  <si>
    <t>https://www.thegoodguys.com.au/vacuums-and-cleaners/vacuum-cleaners/bagless-vacuum-cleaners</t>
  </si>
  <si>
    <t>https://www.thegoodguys.com.au/vacuums-and-cleaners/vacuum-cleaners/pet-vacuums</t>
  </si>
  <si>
    <t>https://www.thegoodguys.com.au/vacuums-and-cleaners/vacuum-cleaners/hardwood-floor-vacuums</t>
  </si>
  <si>
    <t>https://www.thegoodguys.com.au/vacuums-and-cleaners/vacuum-cleaners/car-cleaning-vacuums</t>
  </si>
  <si>
    <t>https://www.thegoodguys.com.au/cooking-and-dishwashers/dishwashers/freestanding-dishwashers</t>
  </si>
  <si>
    <t>https://www.thegoodguys.com.au/cooking-and-dishwashers/dishwashers/specialty-dishwashers</t>
  </si>
  <si>
    <t>https://www.thegoodguys.com.au/cooking-and-dishwashers/dishwashers/built-in-dishwashers</t>
  </si>
  <si>
    <t>https://www.thegoodguys.com.au/cooking-and-dishwashers/dishwashers/integrated-dishwashers</t>
  </si>
  <si>
    <t>https://www.thegoodguys.com.au/cooking-and-dishwashers/dishwashers/under-bench-dishwashers</t>
  </si>
  <si>
    <t>https://www.thegoodguys.com.au/cooking-and-dishwashers/dishwashers/drawer-dishwashers</t>
  </si>
  <si>
    <t>https://www.thegoodguys.com.au/laundry/dryers/clothes-dryer</t>
  </si>
  <si>
    <t>https://www.thegoodguys.com.au/laundry/dryers/heat-pump-dryers</t>
  </si>
  <si>
    <t>https://www.thegoodguys.com.au/laundry/dryers/condenser-dryers</t>
  </si>
  <si>
    <t>https://www.thegoodguys.com.au/laundry/dryers/washer-dryer-combos</t>
  </si>
  <si>
    <t>https://www.thegoodguys.com.au/laundry/dryers/large-dryers</t>
  </si>
  <si>
    <t>https://www.thegoodguys.com.au/laundry/dryers/medium-dryers</t>
  </si>
  <si>
    <t>https://www.thegoodguys.com.au/laundry/dryers/small-dryers</t>
  </si>
  <si>
    <t>https://www.thegoodguys.com.au/computers-tablets-and-gaming/monitors/computer-monitors</t>
  </si>
  <si>
    <t>https://www.thegoodguys.com.au/computers-tablets-and-gaming/desktop-and-laptop/laptops</t>
  </si>
  <si>
    <t>https://www.thegoodguys.com.au/computers-tablets-and-gaming/desktop-and-laptop/gaming-laptops</t>
  </si>
  <si>
    <t>https://www.thegoodguys.com.au/computers-tablets-and-gaming/desktop-and-laptop/macbook</t>
  </si>
  <si>
    <t>https://www.thegoodguys.com.au/computers-tablets-and-gaming/desktop-and-laptop/2in1-laptops</t>
  </si>
  <si>
    <t>https://www.thegoodguys.com.au/computers-tablets-and-gaming/desktop-and-laptop/chromebook</t>
  </si>
  <si>
    <t>https://www.thegoodguys.com.au/computers-tablets-and-gaming/desktop-and-laptop/microsoft-surface</t>
  </si>
  <si>
    <t>https://www.thegoodguys.com.au/computers-tablets-and-gaming/desktop-and-laptop/windows-11-desktops-and-laptops</t>
  </si>
  <si>
    <t>https://www.thegoodguys.com.au/computers-tablets-and-gaming/desktop-and-laptop/latest-pcs</t>
  </si>
  <si>
    <t>https://www.thegoodguys.com.au/heating-and-cooling/air-conditioners</t>
  </si>
  <si>
    <t>https://www.unieuro.it/online/Computer-e-Tablet/PC-Desktop-e-Monitor/Monitor</t>
  </si>
  <si>
    <t>https://www.unieuro.it/online/Piccoli-e-Grandi-Elettrodomestici/Grandi-Elettrodomestici/Lavastoviglie</t>
  </si>
  <si>
    <t>https://www.unieuro.it/online/Piccoli-e-Grandi-Elettrodomestici/Grandi-Elettrodomestici/Lavastoviglie-slim</t>
  </si>
  <si>
    <t>https://www.unieuro.it/online/Piccoli-e-Grandi-Elettrodomestici/Elettrodomestici-da-incasso/Lavastoviglie-da-incasso</t>
  </si>
  <si>
    <t>https://www.unieuro.it/online/Piccoli-e-Grandi-Elettrodomestici/Grandi-Elettrodomestici/Cucine/?dFR[categories.lvl3][0]=C7107</t>
  </si>
  <si>
    <t>https://www.unieuro.it/online/Piccoli-e-Grandi-Elettrodomestici/Grandi-Elettrodomestici/Frigoriferi</t>
  </si>
  <si>
    <t>https://www.unieuro.it/online/Piccoli-e-Grandi-Elettrodomestici/Grandi-Elettrodomestici/Lavatrici</t>
  </si>
  <si>
    <t>https://www.unieuro.it/online/Piccoli-e-Grandi-Elettrodomestici/Grandi-Elettrodomestici/Lavatrici-slim</t>
  </si>
  <si>
    <t>https://www.unieuro.it/online/Piccoli-e-Grandi-Elettrodomestici/Grandi-Elettrodomestici/Lavasciuga</t>
  </si>
  <si>
    <t>https://www.unieuro.it/online/TV-DVD-e-Home-Cinema/TV/TV-Led</t>
  </si>
  <si>
    <t>https://www.unieuro.it/online/TV-DVD-e-Home-Cinema/TV/Smart-TV</t>
  </si>
  <si>
    <t>https://www.unieuro.it/online/TV-DVD-e-Home-Cinema/TV/TV-Ultra-HD</t>
  </si>
  <si>
    <t>https://www.unieuro.it/online/TV-DVD-e-Home-Cinema/TV/TV-8K</t>
  </si>
  <si>
    <t>https://www.unieuro.it/online/TV-DVD-e-Home-Cinema/TV/TV-OLED</t>
  </si>
  <si>
    <t>https://www.unieuro.it/online/TV-DVD-e-Home-Cinema/TV/TV-QLED</t>
  </si>
  <si>
    <t>https://www.unieuro.it/online/TV-DVD-e-Home-Cinema/TV/TV-NanoCell</t>
  </si>
  <si>
    <t>https://www.unieuro.it/online/TV-DVD-e-Home-Cinema/TV/Monitor-TV</t>
  </si>
  <si>
    <t>https://www.unieuro.it/online/Audio-Ipod-e-Hi-Fi/Diffusori-Audio-Portatili/Diffusori-Bluetooth</t>
  </si>
  <si>
    <t>https://www.unieuro.it/online/TV-DVD-e-Home-Cinema/Home-cinema/Soundbar</t>
  </si>
  <si>
    <t>https://www.unieuro.it/online/Audio-Ipod-e-Hi-Fi/Cuffie-e-Auricolari/Cuffie</t>
  </si>
  <si>
    <t>https://www.unieuro.it/online/Audio-Ipod-e-Hi-Fi/Cuffie-e-Auricolari/Auricolari</t>
  </si>
  <si>
    <t>https://www.unieuro.it/online/Audio-Ipod-e-Hi-Fi/Cuffie-e-Auricolari/Cuffie-senza-fili</t>
  </si>
  <si>
    <t>https://www.unieuro.it/online/Telefonia-e-Smartphone/Accessori-telefonia/Cuffie-e-Auricolari</t>
  </si>
  <si>
    <t>https://www.unieuro.it/online/Piccoli-e-Grandi-Elettrodomestici/Grandi-Elettrodomestici/Asciugatrici</t>
  </si>
  <si>
    <t>https://www.unieuro.it/online/Piccoli-e-Grandi-Elettrodomestici/Condizionatori-aria/Condizionatori-fissi-monosplit</t>
  </si>
  <si>
    <t>https://www.unieuro.it/online/Piccoli-e-Grandi-Elettrodomestici/Condizionatori-aria/Condizionatori-fissi-dual-split</t>
  </si>
  <si>
    <t>https://www.unieuro.it/online/Piccoli-e-Grandi-Elettrodomestici/Condizionatori-aria/Condizionatori-fissi-trial-split</t>
  </si>
  <si>
    <t>https://www.unieuro.it/online/Piccoli-e-Grandi-Elettrodomestici/Condizionatori-aria/Condizionatori-fissi-senza-unit-esterna</t>
  </si>
  <si>
    <t>https://www.unieuro.it/online/Piccoli-e-Grandi-Elettrodomestici/Condizionatori-aria/Condizionatori-portatili</t>
  </si>
  <si>
    <t>Mapping</t>
  </si>
  <si>
    <t>CATE</t>
  </si>
  <si>
    <t>WIRELESS HEADSET</t>
  </si>
  <si>
    <t>CORDLESS STICK VACUUM</t>
  </si>
  <si>
    <t>https://www.amazon.es/s?k=Bluetooth&amp;i=electronics&amp;rh=n%3A599370031%2Cn%3A928455031%2Cn%3A934033031%2Cn%3A934056031</t>
  </si>
  <si>
    <t>WATER PURIFIER</t>
  </si>
  <si>
    <t>https://www.elgiganten.se/hem-hushall-tradgard/inomhusklimat-uppvarmning/uppvarmning/varmepump</t>
  </si>
  <si>
    <t>https://m.darty.com/m/achat/gros_electromenager/refrigerateurs/index.html</t>
  </si>
  <si>
    <t>https://m.darty.com/m/achat/gros_electromenager/refrigerateur_congelateur/index.html</t>
  </si>
  <si>
    <t>https://m.darty.com/m/achat/gros_electromenager/refrigerateurs/refrigerateur_armoire/index.html</t>
  </si>
  <si>
    <t>https://m.darty.com/m/achat/gros_electromenager/refrigerateur_congelateur/refrigerateur_americain/index.html</t>
  </si>
  <si>
    <t>https://m.darty.com/m/achat/gros_electromenager/refrigerateur_congelateur/refrigerateur_multi-portes/index.html</t>
  </si>
  <si>
    <t>https://m.darty.com/m/achat/gros_electromenager/refrigerateurs/refrigerateur_sous_plan/index.html</t>
  </si>
  <si>
    <t>https://m.darty.com/m/achat/gros_electromenager/lave-linge/index.html</t>
  </si>
  <si>
    <t>https://m.darty.com/m/achat/gros_electromenager/lave-linge/lave_linge_hublot/index.html</t>
  </si>
  <si>
    <t>https://m.darty.com/m/achat/gros_electromenager/lave-linge/lave_linge_ouverture_dessus/index.html</t>
  </si>
  <si>
    <t>https://m.darty.com/m/achat/gros_electromenager/lave-linge/lave_linge_sechant/index.html</t>
  </si>
  <si>
    <t>https://m.darty.com/m/achat/hifi_video/tous_ecrans_plats/filtre__4k__1680756.html</t>
  </si>
  <si>
    <t>https://m.darty.com/m/achat/hifi_video/tous_ecrans_plats/oled/index.html</t>
  </si>
  <si>
    <t>https://m.darty.com/m/achat/hifi_video/tous_ecrans_plats/index.html</t>
  </si>
  <si>
    <t>https://m.darty.com/m/achat/hifi_video/tous_ecrans_plats/filtre__8k__1680757.html</t>
  </si>
  <si>
    <t>https://m.darty.com/m/achat/hifi_video/televiseurs-led/grand_ecran_led/index.html</t>
  </si>
  <si>
    <t>https://m.darty.com/m/nav?c=1701537&amp;cat=51053&amp;o=0</t>
  </si>
  <si>
    <t>https://m.darty.com/m/achat/hifi_video/televiseurs-led/grand_ecran_led/filtre__tv_qled__1692836.html</t>
  </si>
  <si>
    <t>https://m.darty.com/m/nav?c=1701540&amp;fl=1&amp;cat=3&amp;m=PHILI&amp;o=0</t>
  </si>
  <si>
    <t>https://m.darty.com/m/achat/hifi_video/tous_ecrans_plats/filtre__smart_tv__1689773.html</t>
  </si>
  <si>
    <t>https://m.darty.com/m/selection/egp-tv-lifestyle-samsung-megamenu.html</t>
  </si>
  <si>
    <t>https://m.darty.com/m/achat/informatique/ecran_informatique/index.html</t>
  </si>
  <si>
    <t>https://m.darty.com/m/achat/audio_mp3_mp4/enceinte_ipod_ipad_iphone_mp3/index.html</t>
  </si>
  <si>
    <t>https://m.darty.com/m/achat/hifi_video/home_cinema/barre_son/index.html</t>
  </si>
  <si>
    <t>https://m.darty.com/m/achat/hifi_video/casque_ecouteurs/casque_arceau/filtre__casque_audio_bluetooth__1032485.html</t>
  </si>
  <si>
    <t>https://m.darty.com/m/achat/hifi_video/home_cinema/casque_sans_fil/page1.html</t>
  </si>
  <si>
    <t>https://m.darty.com/m/achat/hifi_video/casque_ecouteurs/casque_intra-auriculaire/filtre__ecouteurs_bluetooth__1032485.html</t>
  </si>
  <si>
    <t>https://m.darty.com/m/achat/gros_electromenager/lave-vaisselle/lave_vaisselle/index.html#dartyclic=X_gros-elec_lave-vais</t>
  </si>
  <si>
    <t>https://m.darty.com/m/achat/informatique/ordinateur_portable/portable/index.html</t>
  </si>
  <si>
    <t>https://m.darty.com/m/achat/encastrable/four_classique/four_encastrable/index.html</t>
  </si>
  <si>
    <t>https://www.bestbuy.com/site/ranges-ovens-stoves/wall-ovens/abcat0904004.c?id=abcat0904004</t>
  </si>
  <si>
    <t>https://www.magazineluiza.com.br/maquina-de-lavar-e-pecas/eletrodomesticos/s/ed/lrac/</t>
  </si>
  <si>
    <t xml:space="preserve">B/T SPEAKER  </t>
  </si>
  <si>
    <t>https://www.unieuro.it/online/Piccoli-e-Grandi-Elettrodomestici/Grandi-Elettrodomestici/Cucine</t>
  </si>
  <si>
    <t xml:space="preserve">AIR CLEANER  </t>
  </si>
  <si>
    <t>https://www.powerbuy.co.th/th/category/home-appliance/washing-machines/washers-dryers-2-in-1</t>
  </si>
  <si>
    <t>https://www.powerbuy.co.th/th/category/home-appliance/air-care/wall-type</t>
  </si>
  <si>
    <t xml:space="preserve">RAC  </t>
  </si>
  <si>
    <t xml:space="preserve">STYLER  </t>
  </si>
  <si>
    <t xml:space="preserve">SOUNDBAR  </t>
  </si>
  <si>
    <t xml:space="preserve">TV  </t>
  </si>
  <si>
    <t xml:space="preserve">REF  </t>
  </si>
  <si>
    <t>https://www.boulanger.com/opeco/op0180autf</t>
  </si>
  <si>
    <t xml:space="preserve">WM  </t>
  </si>
  <si>
    <t xml:space="preserve">DISHWASHER  </t>
  </si>
  <si>
    <t xml:space="preserve">LAPTOP  </t>
  </si>
  <si>
    <t xml:space="preserve">OVEN  </t>
  </si>
  <si>
    <t>WATER PURIFIRE</t>
  </si>
  <si>
    <t>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</t>
  </si>
  <si>
    <t>https://www.courts.com.sg/home-appliances/refrigeration/fridge</t>
  </si>
  <si>
    <t>https://www.momoshop.com.tw/category/LgrpCategory.jsp?l_code=2905300000&amp;mdiv=1099600000-bt_0_996_11-&amp;ctype=B</t>
  </si>
  <si>
    <t>https://www.momoshop.com.tw/category/DgrpCategory.jsp?d_code=4300500585&amp;p_orderType=6&amp;showType=chessboardType</t>
  </si>
  <si>
    <t>https://www.momoshop.com.tw/category/DgrpCategory.jsp?d_code=4300500130&amp;p_orderType=6&amp;showType=chessboardType</t>
  </si>
  <si>
    <t>https://www.momoshop.com.tw/category/DgrpCategory.jsp?d_code=4300500569&amp;p_orderType=6&amp;showType=chessboardType</t>
  </si>
  <si>
    <t>https://www.momoshop.com.tw/category/DgrpCategory.jsp?d_code=4300500014&amp;p_orderType=6&amp;showType=chessboardType</t>
  </si>
  <si>
    <t>https://www.momoshop.com.tw/category/DgrpCategory.jsp?d_code=4300500015&amp;p_orderType=6&amp;showType=chessboardType</t>
  </si>
  <si>
    <t>https://www.momoshop.com.tw/category/DgrpCategory.jsp?d_code=4300500163&amp;p_orderType=6&amp;showType=chessboardType</t>
  </si>
  <si>
    <t>https://www.momoshop.com.tw/category/DgrpCategory.jsp?d_code=4300500361&amp;p_orderType=6&amp;showType=chessboardType</t>
  </si>
  <si>
    <t>https://www.momoshop.com.tw/category/DgrpCategory.jsp?d_code=4300500567&amp;p_orderType=6&amp;showType=chessboardType</t>
  </si>
  <si>
    <t>https://www.lazada.sg/shop-smart-tvs/?spm=a2o42.searchlistcategory.cate_3_1.2.64936046qFQ1BS</t>
  </si>
  <si>
    <t>https://www.lazada.sg/shop-home-entertainment-soundbars/?spm=a2o42.searchlist.cate_3_2.1.24967cea4UcPz1</t>
  </si>
  <si>
    <t>https://www.lazada.sg/shop-wireless-and-bluetooth-speakers/?spm=a2o42.searchlistcategory.cate_1_2.2.a3fd483fDl8cUA</t>
  </si>
  <si>
    <t>https://www.lazada.co.th/shop-digital-televisions/?spm=a2o4m.searchlistcategory.cate_3_1.2.3aeb7050me0NTq</t>
  </si>
  <si>
    <t>https://www.lazada.co.th/shop-portable-speakers/?spm=a2o4m.searchlistcategory.cate_2_2.2.65967050XxpwJN</t>
  </si>
  <si>
    <t>https://www.lazada.co.th/shop-soundbar-speakers-home-theater/?spm=a2o4m.searchlist.breadcrumb.4.69c51a09fZyNCw</t>
  </si>
  <si>
    <t>Netherland_COOLBLUE</t>
  </si>
  <si>
    <t>https://www.coolblue.nl/soundbars</t>
  </si>
  <si>
    <t>https://www.mediamarkt.de/de/category/notebooks-zubeh%C3%B6r-345.html?page=1</t>
  </si>
  <si>
    <t>https://www.elcorteingles.es/electrodomesticos/frigorificos-y-congeladores</t>
  </si>
  <si>
    <t>https://www.elcorteingles.es/electrodomesticos/lavadoras</t>
  </si>
  <si>
    <t>https://www.elcorteingles.es/electronica/tv/tv-led</t>
  </si>
  <si>
    <t>https://www.elcorteingles.es/electronica/tv/tv-oled</t>
  </si>
  <si>
    <t>https://www.elcorteingles.es/electronica/tv/tv-qled</t>
  </si>
  <si>
    <t>https://www.elcorteingles.es/electronica/monitores-pc</t>
  </si>
  <si>
    <t>https://www.elcorteingles.es/electronica/sonido/altavoces-portatiles/altavoces-bluetooth</t>
  </si>
  <si>
    <t>https://www.elcorteingles.es/electronica/sonido/barras-de-sonido</t>
  </si>
  <si>
    <t>https://www.elcorteingles.es/electronica/sonido/auriculares/auriculares-bluetooth</t>
  </si>
  <si>
    <t>https://www.elcorteingles.es/electrodomesticos/lavavajillas</t>
  </si>
  <si>
    <t>https://www.elcorteingles.es/electrodomesticos/hornos-placas-y-campanas/hornos-de-cocina</t>
  </si>
  <si>
    <t>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</t>
  </si>
  <si>
    <t>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</t>
  </si>
  <si>
    <r>
      <t xml:space="preserve">● </t>
    </r>
    <r>
      <rPr>
        <u/>
        <sz val="11"/>
        <color theme="1"/>
        <rFont val="LG스마트체 Regular"/>
        <family val="3"/>
        <charset val="129"/>
      </rPr>
      <t>Search keyword</t>
    </r>
  </si>
  <si>
    <t>* Search Keyword의 경우, 법인/사업부 요청에 따라 지역(국가) 기준으로 카테고리당 5개 내외로 선정하여 운영</t>
  </si>
  <si>
    <t xml:space="preserve">   '25년 유통 Scope 확정 시 법인과의 Conference Call이나 메일을 통해 의견 취합하여 수정 진행</t>
  </si>
  <si>
    <t>내부 참고용</t>
    <phoneticPr fontId="2" type="noConversion"/>
  </si>
  <si>
    <t>DB구성시 삭제 해야함</t>
    <phoneticPr fontId="2" type="noConversion"/>
  </si>
  <si>
    <t>정상 수집 확인 결과(5/15 기준, 전체 기간)</t>
    <phoneticPr fontId="2" type="noConversion"/>
  </si>
  <si>
    <t>key</t>
    <phoneticPr fontId="2" type="noConversion"/>
  </si>
  <si>
    <t>SITE_ID</t>
  </si>
  <si>
    <t>CNTRY_CODE</t>
  </si>
  <si>
    <t>SITE_NAME</t>
  </si>
  <si>
    <t>SRCH_KYWD_CAT_NAME</t>
  </si>
  <si>
    <t>ENG_SRCH_KYWD_INFO</t>
  </si>
  <si>
    <t>LOC_SRCH_KYWD_INFO</t>
  </si>
  <si>
    <t>ETC_CNTS</t>
  </si>
  <si>
    <t>REG_DATE</t>
  </si>
  <si>
    <t>REGTRNT_ID</t>
  </si>
  <si>
    <t>match_cnt(local)</t>
    <phoneticPr fontId="2" type="noConversion"/>
  </si>
  <si>
    <t>match_cnt(eng)</t>
    <phoneticPr fontId="2" type="noConversion"/>
  </si>
  <si>
    <t>구분</t>
  </si>
  <si>
    <t>유효 사이트 표기</t>
  </si>
  <si>
    <t>이팝콘 실운영 여부</t>
  </si>
  <si>
    <t>Bluetooth Speaker</t>
    <phoneticPr fontId="2" type="noConversion"/>
  </si>
  <si>
    <t>Portable Speaker</t>
  </si>
  <si>
    <r>
      <rPr>
        <sz val="11"/>
        <color theme="1"/>
        <rFont val="맑은 고딕"/>
        <family val="2"/>
        <charset val="129"/>
      </rPr>
      <t>السماعات</t>
    </r>
  </si>
  <si>
    <t>2025-05-20</t>
  </si>
  <si>
    <t>정상 수집</t>
  </si>
  <si>
    <t>Portable bluetooth speaker</t>
  </si>
  <si>
    <r>
      <rPr>
        <sz val="11"/>
        <color theme="1"/>
        <rFont val="맑은 고딕"/>
        <family val="2"/>
        <charset val="129"/>
      </rPr>
      <t>السماعات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</si>
  <si>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t>Party Speaker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</si>
  <si>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</si>
  <si>
    <t>Wireless speaker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</si>
  <si>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</si>
  <si>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t>Portable Sound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</si>
  <si>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</si>
  <si>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t>Monitor</t>
  </si>
  <si>
    <t>4k monitor</t>
  </si>
  <si>
    <t>gaming monitor</t>
  </si>
  <si>
    <t>monitor</t>
  </si>
  <si>
    <t>uhd monitor</t>
  </si>
  <si>
    <t>ultrawide monitor</t>
  </si>
  <si>
    <t>Refrigerator</t>
  </si>
  <si>
    <t>bottom freezer refrigerator</t>
  </si>
  <si>
    <t>french door refrigerator</t>
  </si>
  <si>
    <t>refrigerator</t>
  </si>
  <si>
    <t>side by side refrigerator</t>
  </si>
  <si>
    <t>side by side fridge</t>
  </si>
  <si>
    <t>top freezer refrigerator</t>
  </si>
  <si>
    <t>Washing Machine</t>
  </si>
  <si>
    <t>front loader</t>
  </si>
  <si>
    <t>front load washer</t>
  </si>
  <si>
    <t>top loader</t>
  </si>
  <si>
    <t>top load washer</t>
  </si>
  <si>
    <t>washer dryer combo</t>
  </si>
  <si>
    <t>washer dryer</t>
  </si>
  <si>
    <t>washing machine</t>
  </si>
  <si>
    <t>Air cleaner</t>
  </si>
  <si>
    <t>Air Cleaner</t>
  </si>
  <si>
    <t>Air Purifier</t>
  </si>
  <si>
    <t>Air cleaner</t>
    <phoneticPr fontId="2" type="noConversion"/>
  </si>
  <si>
    <t>Air Treatment</t>
  </si>
  <si>
    <t>Air Conditioner</t>
  </si>
  <si>
    <t>air conditioner</t>
  </si>
  <si>
    <t>inverter air conditioner</t>
  </si>
  <si>
    <t>portable air conditioner</t>
  </si>
  <si>
    <t>window air conditioner</t>
  </si>
  <si>
    <t>정상 수집(ENG)</t>
  </si>
  <si>
    <t>Freestanding Dishwasher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</si>
  <si>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أطباق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قائمة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بذاتها</t>
    </r>
  </si>
  <si>
    <t>dishwasher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</si>
  <si>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الأواني</t>
    </r>
  </si>
  <si>
    <t>Built in Dish 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</si>
  <si>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صحون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مدمجة</t>
    </r>
  </si>
  <si>
    <t>top freezer refrigerator</t>
    <phoneticPr fontId="2" type="noConversion"/>
  </si>
  <si>
    <t>Sound system</t>
  </si>
  <si>
    <r>
      <rPr>
        <sz val="11"/>
        <color theme="1"/>
        <rFont val="맑은 고딕"/>
        <family val="2"/>
        <charset val="129"/>
      </rPr>
      <t>السماعة</t>
    </r>
  </si>
  <si>
    <t>Soundbars</t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</si>
  <si>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</si>
  <si>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Soundbar</t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</si>
  <si>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</si>
  <si>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Sound bar</t>
  </si>
  <si>
    <t>Sound bars</t>
  </si>
  <si>
    <r>
      <rPr>
        <sz val="11"/>
        <color theme="1"/>
        <rFont val="맑은 고딕"/>
        <family val="2"/>
        <charset val="129"/>
      </rPr>
      <t>نظام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</si>
  <si>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4k TV</t>
  </si>
  <si>
    <t>oled TV</t>
  </si>
  <si>
    <t>oled</t>
  </si>
  <si>
    <t>smart TV</t>
  </si>
  <si>
    <t>smart oled</t>
  </si>
  <si>
    <t>Wireless Headset</t>
  </si>
  <si>
    <t>True wireless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</si>
  <si>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</si>
  <si>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t>Wireless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</si>
  <si>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حقيقة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لاسلكية</t>
    </r>
  </si>
  <si>
    <t>Noise cancelling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</si>
  <si>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اللاسلكية</t>
    </r>
  </si>
  <si>
    <t>Ear 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</si>
  <si>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المبعدة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للضوضاء</t>
    </r>
  </si>
  <si>
    <t>Bluetooth earbuds</t>
  </si>
  <si>
    <r>
      <rPr>
        <sz val="11"/>
        <color theme="1"/>
        <rFont val="Courier New"/>
        <family val="3"/>
        <charset val="178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المبعدة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للضوضاء</t>
    </r>
    <phoneticPr fontId="2" type="noConversion"/>
  </si>
  <si>
    <t>MONITOR</t>
  </si>
  <si>
    <t>4K monitor</t>
  </si>
  <si>
    <t>UHD monitor</t>
  </si>
  <si>
    <t>REFRIGERATOR</t>
  </si>
  <si>
    <t>French-Door-Kühlschrank</t>
  </si>
  <si>
    <t>Kühlschrank</t>
  </si>
  <si>
    <t>Kühlschrank Gefrierfach oben</t>
  </si>
  <si>
    <t>REFRIGERATOR</t>
    <phoneticPr fontId="2" type="noConversion"/>
  </si>
  <si>
    <r>
      <t>K</t>
    </r>
    <r>
      <rPr>
        <sz val="11"/>
        <color theme="1"/>
        <rFont val="Calibri"/>
        <family val="2"/>
      </rPr>
      <t>ü</t>
    </r>
    <r>
      <rPr>
        <sz val="11"/>
        <color theme="1"/>
        <rFont val="LG스마트체 Regular"/>
        <family val="3"/>
        <charset val="129"/>
      </rPr>
      <t>hlschrank Gefrierfach unten</t>
    </r>
    <phoneticPr fontId="2" type="noConversion"/>
  </si>
  <si>
    <t>미수집</t>
  </si>
  <si>
    <t>Side-by-Side-Kühlschrank</t>
  </si>
  <si>
    <t>4K Fernseher</t>
  </si>
  <si>
    <t>Du bist im Fernsehen</t>
  </si>
  <si>
    <t>Fernseher</t>
  </si>
  <si>
    <t>fernseher smart</t>
  </si>
  <si>
    <t>uhd TV</t>
  </si>
  <si>
    <t>uhd fernseher</t>
  </si>
  <si>
    <t>WASHING MACHINE</t>
  </si>
  <si>
    <t>Frontlader-Waschmaschine</t>
  </si>
  <si>
    <t>toplader waschmaschine</t>
  </si>
  <si>
    <t>waschmaschine frontlader</t>
  </si>
  <si>
    <t>Waschmaschinen</t>
  </si>
  <si>
    <t>Waschtrockner</t>
  </si>
  <si>
    <t>Laptop</t>
  </si>
  <si>
    <t>15inch Laptop</t>
  </si>
  <si>
    <t>17inch Laptop</t>
  </si>
  <si>
    <t>i7 laptop</t>
  </si>
  <si>
    <t>Lightweight Laptop</t>
  </si>
  <si>
    <t>Bottom Mount Fridges</t>
  </si>
  <si>
    <t>French Door Fridges</t>
  </si>
  <si>
    <t>fridge</t>
  </si>
  <si>
    <t>Fridges</t>
  </si>
  <si>
    <t>Side by Side Fridges</t>
  </si>
  <si>
    <t>Top Mount Fridges</t>
  </si>
  <si>
    <t>Front Load Washing Machines</t>
  </si>
  <si>
    <t>Top Load Washing Machines</t>
  </si>
  <si>
    <t>Washer Dryer Combos</t>
  </si>
  <si>
    <t>Washing Machines</t>
  </si>
  <si>
    <t>split air conditioner</t>
  </si>
  <si>
    <t>split inverter air conditioner</t>
  </si>
  <si>
    <t>window inverter air conditioner</t>
  </si>
  <si>
    <t>Bluetooth speakers</t>
  </si>
  <si>
    <t>Portable bluetooth speakers</t>
  </si>
  <si>
    <t>Portable speakers</t>
  </si>
  <si>
    <t>Speaker</t>
  </si>
  <si>
    <t>Speakers</t>
  </si>
  <si>
    <t>Sound bars for tv</t>
  </si>
  <si>
    <t>Dryer</t>
  </si>
  <si>
    <t xml:space="preserve">heatpump  </t>
  </si>
  <si>
    <t>heatpump</t>
    <phoneticPr fontId="2" type="noConversion"/>
  </si>
  <si>
    <t>LG Dryer</t>
  </si>
  <si>
    <t>Cordless stick vacuum</t>
  </si>
  <si>
    <t>cordless stick vacuum</t>
  </si>
  <si>
    <t>handstick Vacuum</t>
  </si>
  <si>
    <t>stick vacuum</t>
  </si>
  <si>
    <t>stick vacuum cleaner</t>
  </si>
  <si>
    <t>Dishwasher</t>
  </si>
  <si>
    <t xml:space="preserve">Freestanding Dishwasher </t>
  </si>
  <si>
    <t>LG Dishwasher</t>
  </si>
  <si>
    <t>SS.com</t>
    <phoneticPr fontId="2" type="noConversion"/>
  </si>
  <si>
    <t>tv</t>
  </si>
  <si>
    <t>washing machine</t>
    <phoneticPr fontId="2" type="noConversion"/>
  </si>
  <si>
    <t>THEGOODGUYS</t>
    <phoneticPr fontId="2" type="noConversion"/>
  </si>
  <si>
    <t>Sound bar</t>
    <phoneticPr fontId="2" type="noConversion"/>
  </si>
  <si>
    <t>TV</t>
    <phoneticPr fontId="2" type="noConversion"/>
  </si>
  <si>
    <t>monitor</t>
    <phoneticPr fontId="2" type="noConversion"/>
  </si>
  <si>
    <t>monitor 4k</t>
    <phoneticPr fontId="2" type="noConversion"/>
  </si>
  <si>
    <t>monitor gamer</t>
    <phoneticPr fontId="2" type="noConversion"/>
  </si>
  <si>
    <t>monitor uhd</t>
    <phoneticPr fontId="2" type="noConversion"/>
  </si>
  <si>
    <t>monitor ultrawide</t>
    <phoneticPr fontId="2" type="noConversion"/>
  </si>
  <si>
    <t>TV Monitor</t>
  </si>
  <si>
    <t>TV Monitor</t>
    <phoneticPr fontId="2" type="noConversion"/>
  </si>
  <si>
    <t>4k TV</t>
    <phoneticPr fontId="2" type="noConversion"/>
  </si>
  <si>
    <t>oled TV</t>
    <phoneticPr fontId="2" type="noConversion"/>
  </si>
  <si>
    <t>smart TV</t>
    <phoneticPr fontId="2" type="noConversion"/>
  </si>
  <si>
    <t>TV 4K</t>
    <phoneticPr fontId="2" type="noConversion"/>
  </si>
  <si>
    <t>55 Inch TV</t>
    <phoneticPr fontId="2" type="noConversion"/>
  </si>
  <si>
    <t>TV 55 Polegadas</t>
    <phoneticPr fontId="2" type="noConversion"/>
  </si>
  <si>
    <t>65 Inch TV</t>
    <phoneticPr fontId="2" type="noConversion"/>
  </si>
  <si>
    <t>TV 65 Polegadas</t>
    <phoneticPr fontId="2" type="noConversion"/>
  </si>
  <si>
    <t>uhd TV</t>
    <phoneticPr fontId="2" type="noConversion"/>
  </si>
  <si>
    <t>ar-condicionado</t>
    <phoneticPr fontId="2" type="noConversion"/>
  </si>
  <si>
    <t>monitor gamer</t>
  </si>
  <si>
    <t>geladeira</t>
  </si>
  <si>
    <t>lava e seca</t>
  </si>
  <si>
    <t>máquina de lavar</t>
  </si>
  <si>
    <t>Bluetooth Speaker</t>
  </si>
  <si>
    <t>speakers</t>
  </si>
  <si>
    <t>alto-falante</t>
  </si>
  <si>
    <t>portable speakers</t>
  </si>
  <si>
    <t>alto-falantes portáteis</t>
  </si>
  <si>
    <t>wireless portable speakers</t>
  </si>
  <si>
    <t>alto-falantes portáteis sem fio</t>
  </si>
  <si>
    <t>Acoustic box</t>
  </si>
  <si>
    <t>Caixa acústica</t>
  </si>
  <si>
    <t>bluetooth speaker portable</t>
  </si>
  <si>
    <t>Caixa Bluetooth Portátil</t>
  </si>
  <si>
    <t>Bluetooth speaker</t>
  </si>
  <si>
    <t>Caixa de som</t>
  </si>
  <si>
    <t>Caixa de som bluetooth</t>
  </si>
  <si>
    <t>Caixa de som bluetooth portátil</t>
  </si>
  <si>
    <t>Caixa de som portátil</t>
  </si>
  <si>
    <t>Home Theater</t>
  </si>
  <si>
    <t>Mini System</t>
  </si>
  <si>
    <t>Sound Bar</t>
  </si>
  <si>
    <t>All in One</t>
  </si>
  <si>
    <t>Fone de ouvido</t>
  </si>
  <si>
    <t>secador</t>
  </si>
  <si>
    <t>AC</t>
  </si>
  <si>
    <t>ar condicionado</t>
  </si>
  <si>
    <t>ar condicionado inverter</t>
  </si>
  <si>
    <t>split AC</t>
  </si>
  <si>
    <t>Caixa Bluetooth</t>
  </si>
  <si>
    <t>monitor 4k</t>
  </si>
  <si>
    <t>monitor uhd</t>
  </si>
  <si>
    <t>monitor ultrawide</t>
  </si>
  <si>
    <t>geladeira french door</t>
  </si>
  <si>
    <t>frost free refrigerator</t>
  </si>
  <si>
    <t>geladeira frost free</t>
  </si>
  <si>
    <t>inverse refrigerator</t>
  </si>
  <si>
    <t>geladeira inverse</t>
  </si>
  <si>
    <t>geladeira side by side</t>
  </si>
  <si>
    <t>geladeira top freezer</t>
  </si>
  <si>
    <t xml:space="preserve">TV 4K </t>
  </si>
  <si>
    <t>TV 4K</t>
  </si>
  <si>
    <t>55 Inch TV</t>
  </si>
  <si>
    <t>TV 55 Polegadas</t>
  </si>
  <si>
    <t>65 Inch TV</t>
  </si>
  <si>
    <t>TV 65 Polegadas</t>
  </si>
  <si>
    <t>Washer dryer combo</t>
  </si>
  <si>
    <t>Lava e seca</t>
  </si>
  <si>
    <t>Máquina de lavar</t>
  </si>
  <si>
    <t>ar-condicionado</t>
  </si>
  <si>
    <t>Washing Machine</t>
    <phoneticPr fontId="2" type="noConversion"/>
  </si>
  <si>
    <t>Ultra-light laptop</t>
  </si>
  <si>
    <t>4 door french door refrigerator</t>
  </si>
  <si>
    <t>bottom freezer</t>
  </si>
  <si>
    <t>counter depth refrigerator</t>
  </si>
  <si>
    <t>top freezer</t>
  </si>
  <si>
    <t>washer</t>
  </si>
  <si>
    <t>Air Conditioner</t>
    <phoneticPr fontId="2" type="noConversion"/>
  </si>
  <si>
    <t>Portable speaker</t>
  </si>
  <si>
    <t>Speakers Bluetooth Wireless</t>
  </si>
  <si>
    <t>SOUNDBAR</t>
    <phoneticPr fontId="2" type="noConversion"/>
  </si>
  <si>
    <t>audio</t>
  </si>
  <si>
    <t>sound bar</t>
  </si>
  <si>
    <t>sound system</t>
  </si>
  <si>
    <t>soundbars</t>
  </si>
  <si>
    <t>WIRELESS HEADSET</t>
    <phoneticPr fontId="2" type="noConversion"/>
  </si>
  <si>
    <t>Bluetooth Headphones</t>
  </si>
  <si>
    <t>Earbuds</t>
  </si>
  <si>
    <t>Dryer</t>
    <phoneticPr fontId="2" type="noConversion"/>
  </si>
  <si>
    <t>Electric dryer</t>
  </si>
  <si>
    <t>Gas dryer</t>
  </si>
  <si>
    <t>Built under Dish washer</t>
  </si>
  <si>
    <t>Free standing Dish washer</t>
  </si>
  <si>
    <t>Oven</t>
  </si>
  <si>
    <t>Cooktop</t>
  </si>
  <si>
    <t>electric range</t>
  </si>
  <si>
    <t>gas range</t>
  </si>
  <si>
    <t>Wall Oven</t>
  </si>
  <si>
    <t>Monitor</t>
    <phoneticPr fontId="2" type="noConversion"/>
  </si>
  <si>
    <t>Soundbar</t>
    <phoneticPr fontId="2" type="noConversion"/>
  </si>
  <si>
    <t>기존 monitor 에서 변경함</t>
    <phoneticPr fontId="2" type="noConversion"/>
  </si>
  <si>
    <t>기존 fridge, refrigerator에서 변경함</t>
    <phoneticPr fontId="2" type="noConversion"/>
  </si>
  <si>
    <t>기존 tv 에서 변경함</t>
    <phoneticPr fontId="2" type="noConversion"/>
  </si>
  <si>
    <t>styler</t>
  </si>
  <si>
    <t>clothes steamer/clothing steamer</t>
  </si>
  <si>
    <t>steam closet</t>
  </si>
  <si>
    <t>loud voice speaker</t>
  </si>
  <si>
    <t>alta voz parlante</t>
  </si>
  <si>
    <t>speaker</t>
  </si>
  <si>
    <t>parlante altavoz</t>
  </si>
  <si>
    <t>parlante sonido</t>
  </si>
  <si>
    <t>parlantes</t>
  </si>
  <si>
    <t>sound equipment speaker</t>
  </si>
  <si>
    <t>parlantes equipo de sonido</t>
  </si>
  <si>
    <t>refrigerador</t>
  </si>
  <si>
    <t>refrigerador bottom freezer</t>
  </si>
  <si>
    <t>refrigerador french door</t>
  </si>
  <si>
    <t>No frost refrigerator</t>
  </si>
  <si>
    <t>Refrigerador No frost</t>
  </si>
  <si>
    <t>Refrigerador Side by Side</t>
  </si>
  <si>
    <t>refrigerador top freezer</t>
  </si>
  <si>
    <t>Top mount refrigerator</t>
  </si>
  <si>
    <t>Refrigerador Top Mount</t>
  </si>
  <si>
    <t>side by side</t>
  </si>
  <si>
    <t>stereo</t>
  </si>
  <si>
    <t>equipo de musica</t>
  </si>
  <si>
    <t>soundbar for tv</t>
  </si>
  <si>
    <t>parlantes para tele</t>
  </si>
  <si>
    <t>parlantes para televisor</t>
  </si>
  <si>
    <t>lg soundsystem</t>
  </si>
  <si>
    <t>sistema de sonido lg</t>
  </si>
  <si>
    <t>tv with soundbar</t>
  </si>
  <si>
    <t>tv con parlantes</t>
  </si>
  <si>
    <t>4k tv</t>
  </si>
  <si>
    <t>oled tv</t>
  </si>
  <si>
    <t>smart tv</t>
  </si>
  <si>
    <t>televisor</t>
  </si>
  <si>
    <t>uhd tv</t>
  </si>
  <si>
    <t>lavadora frontal</t>
  </si>
  <si>
    <t>Front load washer</t>
  </si>
  <si>
    <t>lavadora Frontales</t>
  </si>
  <si>
    <t>lavadora superior</t>
  </si>
  <si>
    <t>lavadora y secadora</t>
  </si>
  <si>
    <t>lavadoras</t>
  </si>
  <si>
    <t>headphones</t>
  </si>
  <si>
    <t>audifonos</t>
  </si>
  <si>
    <t>android headphones</t>
  </si>
  <si>
    <t>audifonos android</t>
  </si>
  <si>
    <t>headphones to listen to tv</t>
  </si>
  <si>
    <t>audifonos paraescuchar tv</t>
    <phoneticPr fontId="2" type="noConversion"/>
  </si>
  <si>
    <t>wireless earphone</t>
    <phoneticPr fontId="2" type="noConversion"/>
  </si>
  <si>
    <t>precio deaudifono inalambrico</t>
    <phoneticPr fontId="2" type="noConversion"/>
  </si>
  <si>
    <t>headphone sale</t>
  </si>
  <si>
    <t>venta audifonos</t>
  </si>
  <si>
    <t>4k monitor</t>
    <phoneticPr fontId="2" type="noConversion"/>
  </si>
  <si>
    <t>gaming monitor</t>
    <phoneticPr fontId="2" type="noConversion"/>
  </si>
  <si>
    <t>monitor de juegos</t>
    <phoneticPr fontId="2" type="noConversion"/>
  </si>
  <si>
    <t>uhd monitor</t>
    <phoneticPr fontId="2" type="noConversion"/>
  </si>
  <si>
    <t>ultrawide monitor</t>
    <phoneticPr fontId="2" type="noConversion"/>
  </si>
  <si>
    <t>monitor ultraancho</t>
    <phoneticPr fontId="2" type="noConversion"/>
  </si>
  <si>
    <t>air conditioner</t>
    <phoneticPr fontId="2" type="noConversion"/>
  </si>
  <si>
    <t>acondicionador de aire</t>
    <phoneticPr fontId="2" type="noConversion"/>
  </si>
  <si>
    <t>inverter air conditioner</t>
    <phoneticPr fontId="2" type="noConversion"/>
  </si>
  <si>
    <t>aire acondicionado inversor</t>
    <phoneticPr fontId="2" type="noConversion"/>
  </si>
  <si>
    <t>split air conditioner</t>
    <phoneticPr fontId="2" type="noConversion"/>
  </si>
  <si>
    <t>aire acondicionado split</t>
    <phoneticPr fontId="2" type="noConversion"/>
  </si>
  <si>
    <t>aire acondicionado dividido 대체어로 수정됨</t>
    <phoneticPr fontId="2" type="noConversion"/>
  </si>
  <si>
    <t>split inverter air conditioner</t>
    <phoneticPr fontId="2" type="noConversion"/>
  </si>
  <si>
    <t>aire acondicionado split inverter</t>
    <phoneticPr fontId="2" type="noConversion"/>
  </si>
  <si>
    <t>window air conditioner</t>
    <phoneticPr fontId="2" type="noConversion"/>
  </si>
  <si>
    <t>aire acondicionado de ventana</t>
    <phoneticPr fontId="2" type="noConversion"/>
  </si>
  <si>
    <t>window inverter air conditioner</t>
    <phoneticPr fontId="2" type="noConversion"/>
  </si>
  <si>
    <t>aire acondicionado inversor de ventana</t>
    <phoneticPr fontId="2" type="noConversion"/>
  </si>
  <si>
    <t>secadora</t>
    <phoneticPr fontId="2" type="noConversion"/>
  </si>
  <si>
    <t xml:space="preserve">heatpump  </t>
    <phoneticPr fontId="2" type="noConversion"/>
  </si>
  <si>
    <t>bomba de calor</t>
    <phoneticPr fontId="2" type="noConversion"/>
  </si>
  <si>
    <t>LG Dryer</t>
    <phoneticPr fontId="2" type="noConversion"/>
  </si>
  <si>
    <t>secadora LG</t>
    <phoneticPr fontId="2" type="noConversion"/>
  </si>
  <si>
    <t>Bluetooth reproduktory</t>
  </si>
  <si>
    <t>mluvčí</t>
  </si>
  <si>
    <t>Přenosné bluetooth reproduktory</t>
  </si>
  <si>
    <t>Přenosné reproduktory</t>
  </si>
  <si>
    <t>Řečníci</t>
  </si>
  <si>
    <t>Myčky nádobí</t>
  </si>
  <si>
    <t>Vestavěná myčka nádobí</t>
  </si>
  <si>
    <t>Volně stojící myčka nádobí</t>
  </si>
  <si>
    <t>sušičky</t>
  </si>
  <si>
    <t>american refrigerator</t>
  </si>
  <si>
    <t>Americká chladnička</t>
  </si>
  <si>
    <t>american fridge</t>
  </si>
  <si>
    <t>americká lednice</t>
  </si>
  <si>
    <t>chladnička</t>
  </si>
  <si>
    <t>chladnička s horním mrazákem</t>
  </si>
  <si>
    <t>chladnička s mrazákem dole</t>
  </si>
  <si>
    <t>soundbarům</t>
  </si>
  <si>
    <t>Soundbary</t>
  </si>
  <si>
    <t>TV Sound bar</t>
  </si>
  <si>
    <t>Televize Sound bary</t>
  </si>
  <si>
    <t>TV Soundbar</t>
  </si>
  <si>
    <t>Televize Soundbary</t>
  </si>
  <si>
    <t>zvukový systém</t>
  </si>
  <si>
    <t>Kombinovaná pračka se sušičkou</t>
  </si>
  <si>
    <t>pračka</t>
  </si>
  <si>
    <t>pračka s předním plněním</t>
  </si>
  <si>
    <t>In-ear Wireless earbuds</t>
  </si>
  <si>
    <t>Bezdrátová sluchátka do uší</t>
  </si>
  <si>
    <t>Bluetooth sluchátka</t>
  </si>
  <si>
    <t>sluchátka</t>
  </si>
  <si>
    <t>Sluchátka s potlačením Bezdrátová hluku</t>
  </si>
  <si>
    <t>Wireless sluchátka</t>
  </si>
  <si>
    <t>bluetooth speaker</t>
  </si>
  <si>
    <t>Bluetooth Lautsprecher</t>
  </si>
  <si>
    <t>Lautsprecher</t>
  </si>
  <si>
    <t>tragbare Lautsprecher</t>
  </si>
  <si>
    <t>Tragbarer bluetooth lautsprecher</t>
  </si>
  <si>
    <t>lightweight Laptop</t>
  </si>
  <si>
    <t>leichtes Laptop</t>
  </si>
  <si>
    <t>Notebook</t>
  </si>
  <si>
    <t>Ultrabook</t>
  </si>
  <si>
    <t>21:9 monitore</t>
  </si>
  <si>
    <t>4K monitore</t>
  </si>
  <si>
    <t>gaming monitore</t>
  </si>
  <si>
    <t>Monitor Full HD</t>
  </si>
  <si>
    <t>Monitor Gaming</t>
  </si>
  <si>
    <t>Monitor PC</t>
  </si>
  <si>
    <t>Monitor Ultra HD</t>
  </si>
  <si>
    <t>Monitor Ultra Wide</t>
  </si>
  <si>
    <t>monitore</t>
  </si>
  <si>
    <t>UHD monitore</t>
  </si>
  <si>
    <t>Slide-in Range</t>
  </si>
  <si>
    <t>Einschiebbarer Gasherd</t>
  </si>
  <si>
    <t>Freestanding Oven</t>
  </si>
  <si>
    <t>Freistehender Ofen</t>
  </si>
  <si>
    <t>Kochfeld</t>
  </si>
  <si>
    <t>wand ofen</t>
  </si>
  <si>
    <t>french door kühlschrank</t>
  </si>
  <si>
    <t>Kühlgefrierkombination</t>
  </si>
  <si>
    <t>Kühlschrank side-by-side</t>
  </si>
  <si>
    <t>Soundbar für den Fernseher</t>
  </si>
  <si>
    <t>tv soundbar</t>
  </si>
  <si>
    <t>Frontlader</t>
  </si>
  <si>
    <t>Waschmaschine</t>
  </si>
  <si>
    <t>Bluetooth Kopfhörer</t>
  </si>
  <si>
    <t>In ear headphones</t>
  </si>
  <si>
    <t>In ear Kopfhörer</t>
  </si>
  <si>
    <t>sports headphones</t>
  </si>
  <si>
    <t>Sport Kopfhörer</t>
  </si>
  <si>
    <t>Ohrhörer</t>
  </si>
  <si>
    <t>klimaanlage</t>
    <phoneticPr fontId="2" type="noConversion"/>
  </si>
  <si>
    <t>Tørretumbler</t>
    <phoneticPr fontId="2" type="noConversion"/>
  </si>
  <si>
    <t>UHD monitore</t>
    <phoneticPr fontId="2" type="noConversion"/>
  </si>
  <si>
    <t>카테고리 내 Einschiebbarer Gasherd는 검색 결과 없었음</t>
    <phoneticPr fontId="2" type="noConversion"/>
  </si>
  <si>
    <t>gaming-monitor</t>
  </si>
  <si>
    <t>kühlschrank</t>
  </si>
  <si>
    <t>fernseher</t>
  </si>
  <si>
    <t>waschmaschine</t>
  </si>
  <si>
    <t>waschtrockner</t>
  </si>
  <si>
    <t>Soundbar TV</t>
    <phoneticPr fontId="2" type="noConversion"/>
  </si>
  <si>
    <t>Wireless Headset</t>
    <phoneticPr fontId="2" type="noConversion"/>
  </si>
  <si>
    <t>Bluetooth Headphones</t>
    <phoneticPr fontId="2" type="noConversion"/>
  </si>
  <si>
    <t>Party Speaker</t>
    <phoneticPr fontId="2" type="noConversion"/>
  </si>
  <si>
    <t>Party-Lautsprecher</t>
    <phoneticPr fontId="2" type="noConversion"/>
  </si>
  <si>
    <t>Wireless speaker</t>
    <phoneticPr fontId="2" type="noConversion"/>
  </si>
  <si>
    <t>Kabelloser Lautsprecher</t>
  </si>
  <si>
    <t>tragbare Lautsprecher</t>
    <phoneticPr fontId="2" type="noConversion"/>
  </si>
  <si>
    <t>Bluetooth Kopfhörer</t>
    <phoneticPr fontId="2" type="noConversion"/>
  </si>
  <si>
    <r>
      <t>In ear Kopfh</t>
    </r>
    <r>
      <rPr>
        <sz val="11"/>
        <color theme="1"/>
        <rFont val="Calibri"/>
        <family val="2"/>
      </rPr>
      <t>ö</t>
    </r>
    <r>
      <rPr>
        <sz val="11"/>
        <color theme="1"/>
        <rFont val="LG스마트체 Regular"/>
        <family val="3"/>
        <charset val="129"/>
      </rPr>
      <t>rer</t>
    </r>
    <phoneticPr fontId="2" type="noConversion"/>
  </si>
  <si>
    <t>sports Kopfhörer</t>
    <phoneticPr fontId="2" type="noConversion"/>
  </si>
  <si>
    <t>Ohrhörer</t>
    <phoneticPr fontId="2" type="noConversion"/>
  </si>
  <si>
    <t>DELG.comWireless HeadsetWIRELESS HEADSETEarbuds</t>
  </si>
  <si>
    <t>DE_LG.com</t>
  </si>
  <si>
    <t>Trockner</t>
    <phoneticPr fontId="2" type="noConversion"/>
  </si>
  <si>
    <t>Tørretumbler 대체어로 수정됨</t>
    <phoneticPr fontId="2" type="noConversion"/>
  </si>
  <si>
    <t>Køleskab</t>
  </si>
  <si>
    <t>American refrigerator</t>
  </si>
  <si>
    <t>Amerikanerkøleskab</t>
  </si>
  <si>
    <t>Amerikanerskab</t>
  </si>
  <si>
    <t>French door-Køleskab　</t>
  </si>
  <si>
    <t>Frontbetjent　</t>
  </si>
  <si>
    <t>Kombineret vaskemaskin/tørretumbler　</t>
  </si>
  <si>
    <t>Vaskemaskin</t>
  </si>
  <si>
    <t>Portátil</t>
  </si>
  <si>
    <t>Portátil de 15 pulgadas</t>
  </si>
  <si>
    <t>Portátil de 17 pulgadas</t>
  </si>
  <si>
    <t>Portátil i7</t>
  </si>
  <si>
    <t>Portátil ligero</t>
  </si>
  <si>
    <t>monitores 4K</t>
  </si>
  <si>
    <t>monitores gaming</t>
  </si>
  <si>
    <t>monitores UHD</t>
  </si>
  <si>
    <t>Deslizable Rango Eléctrico</t>
  </si>
  <si>
    <t>Empava Horno eléctrico</t>
  </si>
  <si>
    <t>Estufa</t>
  </si>
  <si>
    <t>Horno independiente</t>
  </si>
  <si>
    <t>multi door refrigerator</t>
  </si>
  <si>
    <t>frigorifico doble puerta</t>
  </si>
  <si>
    <t>frigorífico dos puertas</t>
  </si>
  <si>
    <t>neveras con congelador arriba</t>
  </si>
  <si>
    <t>side by side refrigerator</t>
  </si>
  <si>
    <t>Televisores</t>
    <phoneticPr fontId="2" type="noConversion"/>
  </si>
  <si>
    <t>NanoCell</t>
  </si>
  <si>
    <t>televisores nanocell</t>
  </si>
  <si>
    <t>Televisores OLED</t>
  </si>
  <si>
    <t>FHD</t>
  </si>
  <si>
    <t>Televisores pequeños</t>
  </si>
  <si>
    <t>Televisores UHD</t>
  </si>
  <si>
    <t>cargador frontal</t>
  </si>
  <si>
    <t>lavadora</t>
  </si>
  <si>
    <t>Headphones</t>
  </si>
  <si>
    <t>Auriculares</t>
  </si>
  <si>
    <t>bluetooth headset</t>
  </si>
  <si>
    <t>Auriculares bluetooth</t>
  </si>
  <si>
    <t>Auriculares de botón</t>
  </si>
  <si>
    <t>Auriculares inalámbricos</t>
  </si>
  <si>
    <t>Wireless Earbuds</t>
  </si>
  <si>
    <t>aire acondicionado</t>
  </si>
  <si>
    <t>aire acondicionado inverter</t>
  </si>
  <si>
    <t>aire acondicionado split</t>
  </si>
  <si>
    <t>altavoces</t>
  </si>
  <si>
    <t>altavoces portátiles</t>
  </si>
  <si>
    <t>altavoces portátiles inalámbricos</t>
  </si>
  <si>
    <t>Altavoz bluetooth</t>
  </si>
  <si>
    <t>Altavoz portátil bluetooth</t>
  </si>
  <si>
    <t>barra de sonido</t>
    <phoneticPr fontId="2" type="noConversion"/>
  </si>
  <si>
    <r>
      <t>barra de sonido para televisi</t>
    </r>
    <r>
      <rPr>
        <sz val="11"/>
        <color theme="1"/>
        <rFont val="Calibri"/>
        <family val="2"/>
      </rPr>
      <t>ó</t>
    </r>
    <r>
      <rPr>
        <sz val="11"/>
        <color theme="1"/>
        <rFont val="LG스마트체 Regular"/>
        <family val="3"/>
        <charset val="129"/>
      </rPr>
      <t>n</t>
    </r>
    <phoneticPr fontId="2" type="noConversion"/>
  </si>
  <si>
    <t>barra de sonido de televisión</t>
  </si>
  <si>
    <t>Surround sound system</t>
  </si>
  <si>
    <t>Sistema de sonido envolvente</t>
  </si>
  <si>
    <t>tv sound</t>
  </si>
  <si>
    <t>sonido de tv</t>
    <phoneticPr fontId="2" type="noConversion"/>
  </si>
  <si>
    <t>Secadora</t>
  </si>
  <si>
    <t>Lavavajillas</t>
  </si>
  <si>
    <t>steam dishwasher</t>
  </si>
  <si>
    <t>lavavajillas de vapor</t>
  </si>
  <si>
    <t>QuadWash dishwasher</t>
  </si>
  <si>
    <t>Lavavajillas QuadWash</t>
  </si>
  <si>
    <t>Barra de sonido</t>
  </si>
  <si>
    <t>barra de sonido de tv</t>
  </si>
  <si>
    <t>barra de sonido para tv</t>
  </si>
  <si>
    <t>sonido de tv</t>
  </si>
  <si>
    <t>카테고리 내 Deslizable Rango Eléctrico 는 검색 결과 없었음</t>
    <phoneticPr fontId="2" type="noConversion"/>
  </si>
  <si>
    <t>카테고리 내Empava Horno eléctrico 는 검색 결과 없었음</t>
    <phoneticPr fontId="2" type="noConversion"/>
  </si>
  <si>
    <t>aire acondicionado</t>
    <phoneticPr fontId="2" type="noConversion"/>
  </si>
  <si>
    <t>monitor para juegos</t>
  </si>
  <si>
    <t>frigorífico</t>
  </si>
  <si>
    <t>lavasecadora</t>
  </si>
  <si>
    <t>Surround sound system</t>
    <phoneticPr fontId="2" type="noConversion"/>
  </si>
  <si>
    <t>Sistema de sonido envolvente 대체어로 수정됨</t>
    <phoneticPr fontId="2" type="noConversion"/>
  </si>
  <si>
    <t>enceinte</t>
  </si>
  <si>
    <t>enceinte Bluetooth</t>
  </si>
  <si>
    <t>enceinte Bluetooth portable</t>
  </si>
  <si>
    <t>enceinte portable</t>
  </si>
  <si>
    <t>Enceinte sans fil</t>
  </si>
  <si>
    <t>Dish Washer</t>
  </si>
  <si>
    <t>Lave vaisselle</t>
  </si>
  <si>
    <t>60 cm dish washer</t>
  </si>
  <si>
    <t>Lave vaisselle 60 cm</t>
  </si>
  <si>
    <t>Free Standing dish washer</t>
  </si>
  <si>
    <t>Lave vaisselle Pose Libre</t>
  </si>
  <si>
    <t>Ordinateur portable</t>
  </si>
  <si>
    <t>15 inch Laptop</t>
  </si>
  <si>
    <t>Ordinateur portable 15 pouces</t>
  </si>
  <si>
    <t>17 inch Laptop</t>
  </si>
  <si>
    <t>Ordinateur portable 17 pouces</t>
  </si>
  <si>
    <t>Ordinateur portable i7</t>
  </si>
  <si>
    <t>Ordinateur portable léger</t>
  </si>
  <si>
    <t>PC Monitor</t>
  </si>
  <si>
    <t>Ecran PC</t>
  </si>
  <si>
    <t>Ecran PC 4K</t>
  </si>
  <si>
    <t>Ecran PC Ultrawide</t>
  </si>
  <si>
    <t>Moniteur</t>
  </si>
  <si>
    <t>Moniteur 4K</t>
  </si>
  <si>
    <t>Moniteur Gaming</t>
  </si>
  <si>
    <t>Cuisinière encastrable</t>
  </si>
  <si>
    <t>Four mural</t>
  </si>
  <si>
    <t>Four pose libre</t>
  </si>
  <si>
    <t>Table de cuisson</t>
  </si>
  <si>
    <t>Réfrigéraeur multi-portes</t>
  </si>
  <si>
    <t>Réfrigérateur</t>
  </si>
  <si>
    <t>Réfrigérateur américain</t>
  </si>
  <si>
    <t>Réfrigérateur combiné</t>
  </si>
  <si>
    <t>freezer refrigerator</t>
  </si>
  <si>
    <t>Réfrigérateur congélateur</t>
  </si>
  <si>
    <t>Barre de son</t>
  </si>
  <si>
    <t>bluetooth soundbar</t>
  </si>
  <si>
    <t>barre de son bluetooth</t>
  </si>
  <si>
    <t>barre de son pour tv</t>
  </si>
  <si>
    <t>tv sound bar</t>
  </si>
  <si>
    <t>barre de son tv</t>
  </si>
  <si>
    <t>Smart TV</t>
  </si>
  <si>
    <t>8K TV</t>
  </si>
  <si>
    <t>TV 8K</t>
  </si>
  <si>
    <t>LED TV</t>
  </si>
  <si>
    <t>TV LED</t>
  </si>
  <si>
    <t>TV OLED</t>
  </si>
  <si>
    <t>TV UHD</t>
  </si>
  <si>
    <t>lave-linge</t>
  </si>
  <si>
    <t>Lave-linge hublot</t>
  </si>
  <si>
    <t>Lave-linge séchant</t>
  </si>
  <si>
    <t>écouteurs</t>
  </si>
  <si>
    <t>bluetooth headphones</t>
  </si>
  <si>
    <t>écouteurs bluetooth</t>
  </si>
  <si>
    <t>sports bluetooth earphones</t>
  </si>
  <si>
    <t>écouteurs bluetooth sport</t>
  </si>
  <si>
    <t>écouteurs sans fil</t>
  </si>
  <si>
    <t>climatiseur</t>
    <phoneticPr fontId="2" type="noConversion"/>
  </si>
  <si>
    <t>climatiseur split inverter</t>
    <phoneticPr fontId="2" type="noConversion"/>
  </si>
  <si>
    <t>climatiseur de fenêtre</t>
    <phoneticPr fontId="2" type="noConversion"/>
  </si>
  <si>
    <t>climatiseur inverter de fenêtre</t>
    <phoneticPr fontId="2" type="noConversion"/>
  </si>
  <si>
    <t>séchoir</t>
    <phoneticPr fontId="2" type="noConversion"/>
  </si>
  <si>
    <t>climatiseur inverseur</t>
    <phoneticPr fontId="2" type="noConversion"/>
  </si>
  <si>
    <t>climatiseur split</t>
    <phoneticPr fontId="2" type="noConversion"/>
  </si>
  <si>
    <t>climatiseur inverseur</t>
  </si>
  <si>
    <t>climatiseur split</t>
  </si>
  <si>
    <t>climatiseur split inverter</t>
  </si>
  <si>
    <t>climatiseur de fenêtre</t>
  </si>
  <si>
    <t>climatiseur inverter de fenêtre</t>
  </si>
  <si>
    <t>moniteur</t>
  </si>
  <si>
    <t>moniteur de jeu</t>
  </si>
  <si>
    <t>frigo</t>
  </si>
  <si>
    <t>réfrigérateur</t>
  </si>
  <si>
    <t>téléviseur</t>
  </si>
  <si>
    <t>lave-linge séchant</t>
  </si>
  <si>
    <t>air purifier</t>
  </si>
  <si>
    <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</si>
  <si>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t>portable air purifier</t>
  </si>
  <si>
    <r>
      <t>便</t>
    </r>
    <r>
      <rPr>
        <sz val="11"/>
        <color theme="1"/>
        <rFont val="맑은 고딕"/>
        <family val="2"/>
        <charset val="129"/>
      </rPr>
      <t>攜</t>
    </r>
    <r>
      <rPr>
        <sz val="11"/>
        <color theme="1"/>
        <rFont val="LG스마트체 Regular"/>
        <family val="3"/>
        <charset val="129"/>
      </rP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</si>
  <si>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t>藍牙喇叭</t>
  </si>
  <si>
    <t>無線喇叭</t>
  </si>
  <si>
    <t>portable speaker</t>
  </si>
  <si>
    <t>無線音箱</t>
  </si>
  <si>
    <t>wireless speaker</t>
  </si>
  <si>
    <t>音箱</t>
  </si>
  <si>
    <t>Cordless Stick Vacuum</t>
  </si>
  <si>
    <t>cordless stick vacuum cleaner</t>
  </si>
  <si>
    <t>無線吸塵機</t>
  </si>
  <si>
    <t>vacuum cleaner</t>
  </si>
  <si>
    <t>吸塵機</t>
  </si>
  <si>
    <t>4K 顯示器</t>
  </si>
  <si>
    <t>ultrawide  顯示器</t>
  </si>
  <si>
    <t>遊戲顯示器</t>
  </si>
  <si>
    <t>電競顯示器</t>
  </si>
  <si>
    <t>顯示器</t>
  </si>
  <si>
    <r>
      <t>顯示</t>
    </r>
    <r>
      <rPr>
        <sz val="11"/>
        <color theme="1"/>
        <rFont val="맑은 고딕"/>
        <family val="2"/>
        <charset val="129"/>
      </rPr>
      <t>屏</t>
    </r>
  </si>
  <si>
    <t>雪櫃</t>
  </si>
  <si>
    <t>下置式雙門雪櫃</t>
  </si>
  <si>
    <t>soundbar speaker</t>
  </si>
  <si>
    <t>4K TV</t>
  </si>
  <si>
    <t>4K電視</t>
  </si>
  <si>
    <t>8K</t>
  </si>
  <si>
    <t>8K電視</t>
  </si>
  <si>
    <t>led tv</t>
  </si>
  <si>
    <t>led電視</t>
  </si>
  <si>
    <t>nanocell TV</t>
  </si>
  <si>
    <t>nanocell電視</t>
  </si>
  <si>
    <t>oled電視</t>
  </si>
  <si>
    <t>hd tv</t>
  </si>
  <si>
    <r>
      <t>高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電視</t>
    </r>
  </si>
  <si>
    <t>電視</t>
  </si>
  <si>
    <r>
      <t>超高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電視</t>
    </r>
  </si>
  <si>
    <t>洗衣乾衣機</t>
  </si>
  <si>
    <t>washing machinne</t>
  </si>
  <si>
    <t>洗衣機</t>
  </si>
  <si>
    <t>bluetooth earbuds</t>
  </si>
  <si>
    <t>藍牙耳機</t>
  </si>
  <si>
    <t>wireless earbuds</t>
  </si>
  <si>
    <t>無線耳機</t>
  </si>
  <si>
    <t>earbuds</t>
  </si>
  <si>
    <t>耳機</t>
  </si>
  <si>
    <t>earphone</t>
  </si>
  <si>
    <r>
      <rPr>
        <sz val="11"/>
        <color theme="1"/>
        <rFont val="맑은 고딕"/>
        <family val="2"/>
        <charset val="129"/>
      </rPr>
      <t>真</t>
    </r>
    <r>
      <rPr>
        <sz val="11"/>
        <color theme="1"/>
        <rFont val="LG스마트체 Regular"/>
        <family val="3"/>
        <charset val="129"/>
      </rPr>
      <t>無線藍牙耳機</t>
    </r>
  </si>
  <si>
    <t>true wireless earbuds</t>
  </si>
  <si>
    <r>
      <rPr>
        <sz val="11"/>
        <color theme="1"/>
        <rFont val="맑은 고딕"/>
        <family val="2"/>
        <charset val="129"/>
      </rPr>
      <t>真</t>
    </r>
    <r>
      <rPr>
        <sz val="11"/>
        <color theme="1"/>
        <rFont val="LG스마트체 Regular"/>
        <family val="3"/>
        <charset val="129"/>
      </rPr>
      <t>無線耳機</t>
    </r>
  </si>
  <si>
    <t>gőzös mosogatógép</t>
  </si>
  <si>
    <t>mosogatógép</t>
  </si>
  <si>
    <t>QuadWash™ dishwasher</t>
  </si>
  <si>
    <t>QuadWash™ mosogatógép</t>
  </si>
  <si>
    <t>dryer with DUAL Inverter heatpump</t>
  </si>
  <si>
    <t>DUAL Inverter hőszivattyús szárítógép</t>
  </si>
  <si>
    <t>dryer with heatpump</t>
  </si>
  <si>
    <t>hőszivattyús szárítógép</t>
  </si>
  <si>
    <t>dryer</t>
  </si>
  <si>
    <t>Szárítógép</t>
  </si>
  <si>
    <t>dryer with wifi</t>
  </si>
  <si>
    <t>wifis szárítógép</t>
  </si>
  <si>
    <t>alulfagyasztós hűtőszekrény</t>
  </si>
  <si>
    <t>one-door refigerator</t>
  </si>
  <si>
    <t>egyajtós hűtőszekrény</t>
  </si>
  <si>
    <t>felülfagyasztós hűtőszekrény</t>
  </si>
  <si>
    <t>hűtőszekrény</t>
  </si>
  <si>
    <t xml:space="preserve">multi-door refigerator </t>
  </si>
  <si>
    <t>multi-door hűtőszekrény</t>
  </si>
  <si>
    <t>side by side refrigerators</t>
  </si>
  <si>
    <t>side by side hűtőszekrények</t>
  </si>
  <si>
    <t>többajtós hűtőszekrény</t>
  </si>
  <si>
    <t>Hang projektor</t>
  </si>
  <si>
    <t>Hang projektorok</t>
  </si>
  <si>
    <t>Hangprojektor</t>
  </si>
  <si>
    <t>Hangprojektorok</t>
  </si>
  <si>
    <t>Hangrendszer</t>
  </si>
  <si>
    <t>NanoCell TV</t>
  </si>
  <si>
    <t>nanocell tv</t>
  </si>
  <si>
    <t>okos TV</t>
  </si>
  <si>
    <t xml:space="preserve">OLED TV </t>
  </si>
  <si>
    <t>television</t>
  </si>
  <si>
    <t>televízió</t>
  </si>
  <si>
    <t>tévé</t>
  </si>
  <si>
    <t>ultra hd tv</t>
  </si>
  <si>
    <t>front-loading washing machine</t>
  </si>
  <si>
    <t>elöltöltős mosógép</t>
  </si>
  <si>
    <t>steam washer-dryer</t>
  </si>
  <si>
    <t>gőz mosó-szárítógép</t>
  </si>
  <si>
    <t>steam washing machine</t>
  </si>
  <si>
    <t>gőzmosógép</t>
  </si>
  <si>
    <t>slim washing machine</t>
  </si>
  <si>
    <t>keskeny mosógép</t>
  </si>
  <si>
    <t xml:space="preserve">washer-dryer </t>
  </si>
  <si>
    <t>mosó szárítógép</t>
  </si>
  <si>
    <t>mosógép</t>
  </si>
  <si>
    <t xml:space="preserve">ips monitor </t>
  </si>
  <si>
    <t>ips monitor</t>
  </si>
  <si>
    <t>TV monitor</t>
  </si>
  <si>
    <t>tv monitor</t>
  </si>
  <si>
    <t xml:space="preserve">ultrawide monitor </t>
  </si>
  <si>
    <t>floor standing air conditioner</t>
  </si>
  <si>
    <t>AC floor standing</t>
  </si>
  <si>
    <t>AC inverter</t>
  </si>
  <si>
    <t>speaker bluetooth</t>
  </si>
  <si>
    <t>mini speaker</t>
  </si>
  <si>
    <t>speaker mini</t>
  </si>
  <si>
    <t>speaker nirkabel</t>
  </si>
  <si>
    <t>speaker portabel</t>
  </si>
  <si>
    <t>speaker portable</t>
  </si>
  <si>
    <t>speaker portable </t>
  </si>
  <si>
    <t>kulkas</t>
  </si>
  <si>
    <t>2 doors refrigerator</t>
  </si>
  <si>
    <t>kulkas 2 pintu</t>
  </si>
  <si>
    <t>multi door refrigerator</t>
  </si>
  <si>
    <t>kulkas multi door</t>
  </si>
  <si>
    <t>kulkas side by side</t>
  </si>
  <si>
    <t>sound bar tv</t>
  </si>
  <si>
    <t>soundbar</t>
  </si>
  <si>
    <t>speaker sound bar</t>
  </si>
  <si>
    <t>speaker soundbar</t>
  </si>
  <si>
    <t>UHD TV</t>
  </si>
  <si>
    <t>front load</t>
  </si>
  <si>
    <t>mesin cuci</t>
  </si>
  <si>
    <t>top load</t>
  </si>
  <si>
    <t>twin load</t>
  </si>
  <si>
    <t>twinwash</t>
  </si>
  <si>
    <t>bluetooth earphone</t>
  </si>
  <si>
    <t>earphone bluetooth</t>
  </si>
  <si>
    <t>tws</t>
  </si>
  <si>
    <t>tws　</t>
  </si>
  <si>
    <t>wireless earphone</t>
  </si>
  <si>
    <t>window air conditioner </t>
  </si>
  <si>
    <t>window AC</t>
  </si>
  <si>
    <t>blootooth speekar</t>
  </si>
  <si>
    <t>blootooth speekar portebal</t>
  </si>
  <si>
    <t>portebal speekar</t>
  </si>
  <si>
    <t>vaayarales portebal speekar</t>
  </si>
  <si>
    <t>vaktaon</t>
  </si>
  <si>
    <t>double door refrigerator</t>
  </si>
  <si>
    <t>led TV</t>
  </si>
  <si>
    <t>automatic washing machine</t>
  </si>
  <si>
    <t>front load washing machine</t>
  </si>
  <si>
    <t>semi automatic washing machine</t>
  </si>
  <si>
    <t>top load washing machine</t>
  </si>
  <si>
    <t>Water Purifier</t>
  </si>
  <si>
    <t xml:space="preserve">HOT &amp; COLD Water Purifier </t>
  </si>
  <si>
    <t>HOT &amp; COLD Water Purifier</t>
  </si>
  <si>
    <t>RO Water Purifier</t>
  </si>
  <si>
    <t xml:space="preserve">STS TANK Water Purifier </t>
  </si>
  <si>
    <t>STS TANK Water Purifier</t>
  </si>
  <si>
    <t>UF Water Purifier</t>
  </si>
  <si>
    <t>UV Water Purifier</t>
  </si>
  <si>
    <t>Noise Cancelling Earbuds</t>
  </si>
  <si>
    <t>True Wireless Earbuds</t>
  </si>
  <si>
    <t>Truly Wireless Earbuds</t>
  </si>
  <si>
    <t>Portatile</t>
  </si>
  <si>
    <t>Cucina a gas con scorrimento</t>
  </si>
  <si>
    <t>Forno Da Parete</t>
  </si>
  <si>
    <t>Forno indipendente</t>
  </si>
  <si>
    <t>Piano cottura</t>
  </si>
  <si>
    <t>frigoriferi multidoor</t>
  </si>
  <si>
    <t>frigorifero</t>
  </si>
  <si>
    <t>Frigorifero combinato</t>
  </si>
  <si>
    <t>frigorifero doppia porta</t>
  </si>
  <si>
    <t>frigorifero side by side</t>
  </si>
  <si>
    <t>TV 4k</t>
  </si>
  <si>
    <t>carica frontale</t>
  </si>
  <si>
    <t>lavasciuga</t>
  </si>
  <si>
    <t>lavatrice</t>
  </si>
  <si>
    <t>condizionatore</t>
    <phoneticPr fontId="2" type="noConversion"/>
  </si>
  <si>
    <t>condizionatore inverter</t>
    <phoneticPr fontId="2" type="noConversion"/>
  </si>
  <si>
    <t>condizionatore split</t>
    <phoneticPr fontId="2" type="noConversion"/>
  </si>
  <si>
    <t>climatizzatore split inverter</t>
    <phoneticPr fontId="2" type="noConversion"/>
  </si>
  <si>
    <t>condizionatore da finestra</t>
    <phoneticPr fontId="2" type="noConversion"/>
  </si>
  <si>
    <t>condizionatore inverter da finestra</t>
    <phoneticPr fontId="2" type="noConversion"/>
  </si>
  <si>
    <t>Asciugatrici</t>
  </si>
  <si>
    <t>altoparlante bluetooth</t>
  </si>
  <si>
    <t>Altoparlanti</t>
  </si>
  <si>
    <t>altoparlanti portatil</t>
  </si>
  <si>
    <t>bluetooth speakers</t>
  </si>
  <si>
    <t>casse bluetooth</t>
  </si>
  <si>
    <t>lavastoviglie</t>
  </si>
  <si>
    <t>Lavastoviglie incasso</t>
  </si>
  <si>
    <t>Lavastoviglie libera installazione</t>
  </si>
  <si>
    <t>soundbar per tv</t>
  </si>
  <si>
    <t>soundbar tv</t>
  </si>
  <si>
    <t>Auricolari</t>
  </si>
  <si>
    <t>Auricolari Bluetooth</t>
  </si>
  <si>
    <t>Auricolari wireless</t>
  </si>
  <si>
    <t>Cuffie Bluetooth</t>
  </si>
  <si>
    <t>condizionatore</t>
  </si>
  <si>
    <t>monitor da gaming</t>
  </si>
  <si>
    <t>televisore</t>
  </si>
  <si>
    <t>UNIEURO</t>
    <phoneticPr fontId="2" type="noConversion"/>
  </si>
  <si>
    <t>Cucina a gas con scorrimento</t>
    <phoneticPr fontId="2" type="noConversion"/>
  </si>
  <si>
    <t>Forno Da Parete</t>
    <phoneticPr fontId="2" type="noConversion"/>
  </si>
  <si>
    <t>Forno indipendente</t>
    <phoneticPr fontId="2" type="noConversion"/>
  </si>
  <si>
    <t>Piano cottura</t>
    <phoneticPr fontId="2" type="noConversion"/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</si>
  <si>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</si>
  <si>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</si>
  <si>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t>portable bluetooth speaker</t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</si>
  <si>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</si>
  <si>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</si>
  <si>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</t>
    </r>
  </si>
  <si>
    <t>ip블락으로 수집 누락</t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</si>
  <si>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</si>
  <si>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１5インチ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</si>
  <si>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１７インチ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</si>
  <si>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i7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</si>
  <si>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</si>
  <si>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rPr>
        <sz val="11"/>
        <color theme="1"/>
        <rFont val="맑은 고딕"/>
        <family val="2"/>
        <charset val="129"/>
      </rPr>
      <t>軽</t>
    </r>
    <r>
      <rPr>
        <sz val="11"/>
        <color theme="1"/>
        <rFont val="LG스마트체 Regular"/>
        <family val="3"/>
        <charset val="129"/>
      </rPr>
      <t>量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</si>
  <si>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4Kモニタ</t>
    </r>
    <r>
      <rPr>
        <sz val="11"/>
        <color theme="1"/>
        <rFont val="맑은 고딕"/>
        <family val="2"/>
        <charset val="129"/>
      </rPr>
      <t>ー</t>
    </r>
  </si>
  <si>
    <r>
      <t>ウルトラワイドモニタ</t>
    </r>
    <r>
      <rPr>
        <sz val="11"/>
        <color theme="1"/>
        <rFont val="맑은 고딕"/>
        <family val="2"/>
        <charset val="129"/>
      </rPr>
      <t>ー</t>
    </r>
  </si>
  <si>
    <r>
      <t>ゲ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ミングモニタ</t>
    </r>
    <r>
      <rPr>
        <sz val="11"/>
        <color theme="1"/>
        <rFont val="맑은 고딕"/>
        <family val="2"/>
        <charset val="129"/>
      </rPr>
      <t>ー</t>
    </r>
  </si>
  <si>
    <r>
      <t>モニタ</t>
    </r>
    <r>
      <rPr>
        <sz val="11"/>
        <color theme="1"/>
        <rFont val="맑은 고딕"/>
        <family val="2"/>
        <charset val="129"/>
      </rPr>
      <t>ー</t>
    </r>
  </si>
  <si>
    <r>
      <t>サイドバイサイド冷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</si>
  <si>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フレンチドア冷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</si>
  <si>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冷凍室上側冷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</si>
  <si>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冷凍室下側冷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</si>
  <si>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</si>
  <si>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t>TV Sound Bar</t>
  </si>
  <si>
    <r>
      <t>tv サウンド バ</t>
    </r>
    <r>
      <rPr>
        <sz val="11"/>
        <color theme="1"/>
        <rFont val="맑은 고딕"/>
        <family val="2"/>
        <charset val="129"/>
      </rPr>
      <t>ー</t>
    </r>
  </si>
  <si>
    <r>
      <t>サウンドバ</t>
    </r>
    <r>
      <rPr>
        <sz val="11"/>
        <color theme="1"/>
        <rFont val="맑은 고딕"/>
        <family val="2"/>
        <charset val="129"/>
      </rPr>
      <t>ー</t>
    </r>
  </si>
  <si>
    <t>Sound Bar recommendation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</si>
  <si>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おすすめ</t>
    </r>
  </si>
  <si>
    <t>Sound Bar comparision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</si>
  <si>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比較</t>
    </r>
  </si>
  <si>
    <t>Popular Sound Bar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</si>
  <si>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人</t>
    </r>
    <r>
      <rPr>
        <sz val="11"/>
        <color theme="1"/>
        <rFont val="맑은 고딕"/>
        <family val="2"/>
        <charset val="129"/>
      </rPr>
      <t>気</t>
    </r>
  </si>
  <si>
    <t>4Kテレビ</t>
  </si>
  <si>
    <t>UHDテレビ</t>
  </si>
  <si>
    <r>
      <t>スマ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トテレビ</t>
    </r>
  </si>
  <si>
    <t>テレビ</t>
  </si>
  <si>
    <t>有機ELテレビ</t>
  </si>
  <si>
    <t>上面洗濯機</t>
  </si>
  <si>
    <t>洗濯乾燥機 コンボ</t>
  </si>
  <si>
    <t>洗濯機</t>
  </si>
  <si>
    <t>前面洗濯機</t>
  </si>
  <si>
    <t>bluetooth Earphone</t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</si>
  <si>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スイヤホン</t>
    </r>
  </si>
  <si>
    <t>ワイヤレスイヤホン</t>
  </si>
  <si>
    <t>完全ワイヤレスイヤホン</t>
  </si>
  <si>
    <t>エアコン</t>
    <phoneticPr fontId="2" type="noConversion"/>
  </si>
  <si>
    <t>インバーターエアコン</t>
    <phoneticPr fontId="2" type="noConversion"/>
  </si>
  <si>
    <t>スプリットエアコン</t>
    <phoneticPr fontId="2" type="noConversion"/>
  </si>
  <si>
    <t>スプリットインバーターエアコン</t>
    <phoneticPr fontId="2" type="noConversion"/>
  </si>
  <si>
    <t>窓用エアコン</t>
    <phoneticPr fontId="2" type="noConversion"/>
  </si>
  <si>
    <t>ウィンドウインバーターエアコン</t>
    <phoneticPr fontId="2" type="noConversion"/>
  </si>
  <si>
    <t>ドライヤー</t>
    <phoneticPr fontId="2" type="noConversion"/>
  </si>
  <si>
    <t>ヒートポンプ</t>
    <phoneticPr fontId="2" type="noConversion"/>
  </si>
  <si>
    <t>LGドライヤー</t>
    <phoneticPr fontId="2" type="noConversion"/>
  </si>
  <si>
    <t>инвертерный кондиционер</t>
  </si>
  <si>
    <t>кондиционер</t>
  </si>
  <si>
    <t>bluetooth колонка</t>
  </si>
  <si>
    <t>bluetooth колонка портативті</t>
  </si>
  <si>
    <t>колонка</t>
  </si>
  <si>
    <t>колонка портативті</t>
  </si>
  <si>
    <t>портативті колонка</t>
  </si>
  <si>
    <t>Встроенная посудомоечная машина</t>
  </si>
  <si>
    <t>Отдельностоящая посудомоечная машина</t>
  </si>
  <si>
    <t>посудомоечная машина</t>
  </si>
  <si>
    <t>многодверный холодильник</t>
  </si>
  <si>
    <t>холодильник</t>
  </si>
  <si>
    <t>холодильник с верхней морозильной камерой</t>
  </si>
  <si>
    <t>холодильник с нижней морозильной камерой</t>
  </si>
  <si>
    <t>дыбыс</t>
  </si>
  <si>
    <t>Саундбар</t>
  </si>
  <si>
    <t>система саундбара</t>
  </si>
  <si>
    <t>현재 운영 사이트하는 사이트가 아니며, 전 기간 데이터도 없는 상태임</t>
  </si>
  <si>
    <t>4k телевизор</t>
  </si>
  <si>
    <t>oled телевизор</t>
  </si>
  <si>
    <t>uhd телевизор</t>
  </si>
  <si>
    <t>смарт тв</t>
  </si>
  <si>
    <t>телевизор</t>
  </si>
  <si>
    <t>верхняя загрузка</t>
  </si>
  <si>
    <t>передняя загрузка</t>
  </si>
  <si>
    <t>стиральная машина</t>
  </si>
  <si>
    <t>Стиральная машина с сушкой</t>
  </si>
  <si>
    <t>True wireless Наушники</t>
  </si>
  <si>
    <t>Wireless Наушники</t>
  </si>
  <si>
    <t>Наушники</t>
  </si>
  <si>
    <t>Наушники Вставные</t>
  </si>
  <si>
    <t>Наушники с шумоподавлением</t>
  </si>
  <si>
    <t>mointor ultrawide</t>
  </si>
  <si>
    <t>ultrawide monitor로 수집중</t>
    <phoneticPr fontId="2" type="noConversion"/>
  </si>
  <si>
    <t>4k monitor로 수집중</t>
    <phoneticPr fontId="2" type="noConversion"/>
  </si>
  <si>
    <t>uhd monitor로 수집중</t>
    <phoneticPr fontId="2" type="noConversion"/>
  </si>
  <si>
    <t>French door</t>
  </si>
  <si>
    <t>Instaview</t>
  </si>
  <si>
    <t>Refrigerador</t>
  </si>
  <si>
    <t>refrigerador congelador inferior</t>
  </si>
  <si>
    <t>refrigerador congelador superior</t>
  </si>
  <si>
    <t>refrigerador duplex</t>
  </si>
  <si>
    <t>Refrigeradores</t>
  </si>
  <si>
    <t>refrigerators</t>
  </si>
  <si>
    <t>TV, pantalla</t>
  </si>
  <si>
    <t>lavadora carga frontal</t>
  </si>
  <si>
    <t>lavadora carga superior</t>
  </si>
  <si>
    <t>secadora</t>
  </si>
  <si>
    <t>Washing machine</t>
  </si>
  <si>
    <t>Washing machine carga frontal</t>
  </si>
  <si>
    <t>Washing machine carga superior</t>
  </si>
  <si>
    <t>Portable Speaker</t>
    <phoneticPr fontId="2" type="noConversion"/>
  </si>
  <si>
    <t>altavoz portátil</t>
    <phoneticPr fontId="2" type="noConversion"/>
  </si>
  <si>
    <t>Portable bluetooth speaker</t>
    <phoneticPr fontId="2" type="noConversion"/>
  </si>
  <si>
    <t>altavoz portátil bluetooth</t>
    <phoneticPr fontId="2" type="noConversion"/>
  </si>
  <si>
    <t>orador del partido</t>
    <phoneticPr fontId="2" type="noConversion"/>
  </si>
  <si>
    <t>altavoz inalámbrico</t>
    <phoneticPr fontId="2" type="noConversion"/>
  </si>
  <si>
    <t>Portable Sound</t>
    <phoneticPr fontId="2" type="noConversion"/>
  </si>
  <si>
    <t>sonido portátil</t>
    <phoneticPr fontId="2" type="noConversion"/>
  </si>
  <si>
    <t>Sound system</t>
    <phoneticPr fontId="2" type="noConversion"/>
  </si>
  <si>
    <t>sistema de sonido</t>
    <phoneticPr fontId="2" type="noConversion"/>
  </si>
  <si>
    <t>Soundbars</t>
    <phoneticPr fontId="2" type="noConversion"/>
  </si>
  <si>
    <t>barrasdesonido</t>
    <phoneticPr fontId="2" type="noConversion"/>
  </si>
  <si>
    <t>barradesonido</t>
    <phoneticPr fontId="2" type="noConversion"/>
  </si>
  <si>
    <t>barras de sonido</t>
    <phoneticPr fontId="2" type="noConversion"/>
  </si>
  <si>
    <t>True wireless earbuds</t>
    <phoneticPr fontId="2" type="noConversion"/>
  </si>
  <si>
    <r>
      <t>auriculares verdaderamente inal</t>
    </r>
    <r>
      <rPr>
        <sz val="11"/>
        <color theme="1"/>
        <rFont val="Calibri"/>
        <family val="2"/>
      </rPr>
      <t>á</t>
    </r>
    <r>
      <rPr>
        <sz val="11"/>
        <color theme="1"/>
        <rFont val="LG스마트체 Regular"/>
        <family val="3"/>
        <charset val="129"/>
      </rPr>
      <t>mbricos</t>
    </r>
    <phoneticPr fontId="2" type="noConversion"/>
  </si>
  <si>
    <t>Wireless earbuds</t>
    <phoneticPr fontId="2" type="noConversion"/>
  </si>
  <si>
    <t>auriculares inalámbricos</t>
    <phoneticPr fontId="2" type="noConversion"/>
  </si>
  <si>
    <t>Noise cancelling earbuds</t>
    <phoneticPr fontId="2" type="noConversion"/>
  </si>
  <si>
    <t>auriculares con cancelación de ruido</t>
    <phoneticPr fontId="2" type="noConversion"/>
  </si>
  <si>
    <t>Ear buds</t>
    <phoneticPr fontId="2" type="noConversion"/>
  </si>
  <si>
    <t>auriculares</t>
    <phoneticPr fontId="2" type="noConversion"/>
  </si>
  <si>
    <t>Bluetooth earbuds</t>
    <phoneticPr fontId="2" type="noConversion"/>
  </si>
  <si>
    <t>auriculares bluetooth</t>
    <phoneticPr fontId="2" type="noConversion"/>
  </si>
  <si>
    <t>televisión</t>
  </si>
  <si>
    <t>centro de lavado</t>
    <phoneticPr fontId="2" type="noConversion"/>
  </si>
  <si>
    <t>새로운 예외케이스 발생, 로직 수정 targetDate : 20250709</t>
    <phoneticPr fontId="2" type="noConversion"/>
  </si>
  <si>
    <t>altavoz portátil</t>
  </si>
  <si>
    <t>altavoz portátil bluetooth</t>
  </si>
  <si>
    <t>altavoz inalámbrico</t>
  </si>
  <si>
    <t>sonido portátil</t>
  </si>
  <si>
    <t>sistema de sonido</t>
  </si>
  <si>
    <t>barrasdesonido</t>
  </si>
  <si>
    <t>barradesonido</t>
  </si>
  <si>
    <t>barra de sonido</t>
  </si>
  <si>
    <t>barras de sonido</t>
  </si>
  <si>
    <t>auriculares verdaderamente inalámbricos</t>
  </si>
  <si>
    <t>auriculares inalámbricos</t>
  </si>
  <si>
    <t>auriculares con cancelación de ruido</t>
  </si>
  <si>
    <t>auriculares</t>
  </si>
  <si>
    <t>auriculares bluetooth</t>
  </si>
  <si>
    <t>bomba de calor</t>
  </si>
  <si>
    <t>secadora LG</t>
  </si>
  <si>
    <t>lavadora secadora</t>
    <phoneticPr fontId="2" type="noConversion"/>
  </si>
  <si>
    <t>centro de lavado 대체어로 수정됨</t>
    <phoneticPr fontId="2" type="noConversion"/>
  </si>
  <si>
    <t>MXLG.comWashing Machinewashing machinelavadora</t>
  </si>
  <si>
    <t>MX_LG.com</t>
  </si>
  <si>
    <t>COPPEL</t>
    <phoneticPr fontId="2" type="noConversion"/>
  </si>
  <si>
    <t>Air purifier</t>
  </si>
  <si>
    <t>BLUETOOTH SPEAKER</t>
  </si>
  <si>
    <t>Home speakers</t>
  </si>
  <si>
    <t>Wireless &amp; Bluetooth Speakers</t>
  </si>
  <si>
    <t>Audio system</t>
  </si>
  <si>
    <t>bar bunyi</t>
  </si>
  <si>
    <t>Hi-fi</t>
  </si>
  <si>
    <t>home theater</t>
  </si>
  <si>
    <t>kit teater rumah</t>
  </si>
  <si>
    <t>Tankless Water Purifier</t>
  </si>
  <si>
    <t>True wireless headphones</t>
  </si>
  <si>
    <t>Amerikaanse koelkasten</t>
    <phoneticPr fontId="2" type="noConversion"/>
  </si>
  <si>
    <t>카테고리 내4-deurs Amerikaanse koelkast 는 검색 결과 없었음</t>
    <phoneticPr fontId="2" type="noConversion"/>
  </si>
  <si>
    <t>Koel- vriescombinaties</t>
    <phoneticPr fontId="2" type="noConversion"/>
  </si>
  <si>
    <t>koelkast</t>
  </si>
  <si>
    <t>Soundbar offers</t>
  </si>
  <si>
    <t>Soundbar aanbiedingen</t>
  </si>
  <si>
    <t>긴존 검색어 soundbar voor tv, Surround-geluidssysteem, tv-geluid, tv-soundbar 대체함, coolblue 사이트에서 검색이 안되는 검색어를 수집 가능한 대체해서 재개발 진행함</t>
    <phoneticPr fontId="2" type="noConversion"/>
  </si>
  <si>
    <t>Soundbars with rear speakers</t>
  </si>
  <si>
    <t>Soundbars met achterspeakers</t>
  </si>
  <si>
    <t>Soundbars with subwoofer</t>
  </si>
  <si>
    <t>Soundbars met subwoofer</t>
  </si>
  <si>
    <t>NL</t>
    <phoneticPr fontId="2" type="noConversion"/>
  </si>
  <si>
    <t>OLED TV</t>
  </si>
  <si>
    <t>COOLBLUE</t>
    <phoneticPr fontId="2" type="noConversion"/>
  </si>
  <si>
    <t>Was-droogcombinaties</t>
  </si>
  <si>
    <t>wasmachine</t>
  </si>
  <si>
    <t>wasmachine / Voorlader</t>
  </si>
  <si>
    <t>Warmtepompdrogers</t>
    <phoneticPr fontId="2" type="noConversion"/>
  </si>
  <si>
    <t>warmtepomp 대체어로 수정됨</t>
    <phoneticPr fontId="2" type="noConversion"/>
  </si>
  <si>
    <t>bærbar Bluetooth-høyttaler</t>
  </si>
  <si>
    <t>bærbare høyttalere</t>
  </si>
  <si>
    <t>bluetooth høyttaler</t>
  </si>
  <si>
    <t>høyttalere</t>
  </si>
  <si>
    <t>Frittstående oppvaskmaskin</t>
  </si>
  <si>
    <t>oppvaskmaskin</t>
  </si>
  <si>
    <t>underbygd oppvaskmaskin</t>
  </si>
  <si>
    <t>4k-skjerm</t>
  </si>
  <si>
    <t>spill skjerm</t>
  </si>
  <si>
    <t>UHD-skjerm</t>
  </si>
  <si>
    <t>Ultrabred skjerm</t>
  </si>
  <si>
    <t>bunn fryseskap kjøleskap</t>
  </si>
  <si>
    <t>French Door kjøleskap</t>
  </si>
  <si>
    <t>kjøleskap</t>
  </si>
  <si>
    <t>Side by side kjøleskap</t>
  </si>
  <si>
    <t>lydplanke for tv</t>
  </si>
  <si>
    <t>Surround lydsystem</t>
  </si>
  <si>
    <t>TV lydplanke</t>
  </si>
  <si>
    <t>TV-lyd</t>
  </si>
  <si>
    <t>Frontmatet</t>
  </si>
  <si>
    <t>vaskemaskin</t>
  </si>
  <si>
    <t>vaskemaskin og tørketrommel</t>
  </si>
  <si>
    <t>Bluetooth-hodetelefoner</t>
  </si>
  <si>
    <t>Bluetooth-øreplugger</t>
  </si>
  <si>
    <t>Ørepropper</t>
  </si>
  <si>
    <t>Trådløse ørepropper</t>
  </si>
  <si>
    <t>Stainless Dishwasher</t>
  </si>
  <si>
    <t>condensor dryer</t>
  </si>
  <si>
    <t>heat pump Dryer</t>
  </si>
  <si>
    <t>ice &amp; water refrigerator</t>
  </si>
  <si>
    <t>Matte Black Refrigerator</t>
  </si>
  <si>
    <t>Styler</t>
  </si>
  <si>
    <t>clothing care system</t>
  </si>
  <si>
    <t>aircon</t>
  </si>
  <si>
    <t>inverter aircon</t>
  </si>
  <si>
    <t>split type aircon</t>
  </si>
  <si>
    <t>split type inverter aircon</t>
  </si>
  <si>
    <t>window type aircon</t>
  </si>
  <si>
    <t>window type inverter aircon</t>
  </si>
  <si>
    <t>bottom freezer ref</t>
  </si>
  <si>
    <t>french door ref</t>
  </si>
  <si>
    <t>instaview</t>
  </si>
  <si>
    <t>inverter refrigerator</t>
  </si>
  <si>
    <t>inverter ref</t>
  </si>
  <si>
    <t>side by side ref</t>
  </si>
  <si>
    <t>top freezer ref</t>
  </si>
  <si>
    <t>inverter washing machine</t>
  </si>
  <si>
    <t>Earphones</t>
  </si>
  <si>
    <t>Headphone</t>
  </si>
  <si>
    <t>tws earbuds</t>
  </si>
  <si>
    <t>bezprzewodowe przenośne głośniki</t>
  </si>
  <si>
    <t>głośnik Bluetooth</t>
  </si>
  <si>
    <t>głośniki</t>
  </si>
  <si>
    <t>przenośne głośniki</t>
  </si>
  <si>
    <t>przenośny głośnik bluetooth</t>
  </si>
  <si>
    <t>15-calowy laptop</t>
  </si>
  <si>
    <t>17-calowy laptop</t>
  </si>
  <si>
    <t>Laptop i7</t>
  </si>
  <si>
    <t>Lekki laptop</t>
  </si>
  <si>
    <t>monitor 4K</t>
  </si>
  <si>
    <t>monitor gamingowy</t>
  </si>
  <si>
    <t>monitor UHD</t>
  </si>
  <si>
    <t>lodówka</t>
  </si>
  <si>
    <t>System dźwiękowy</t>
  </si>
  <si>
    <t>telewizor</t>
  </si>
  <si>
    <t>telewizor UHD</t>
  </si>
  <si>
    <t>pralka</t>
  </si>
  <si>
    <t>pralko-suszarka</t>
  </si>
  <si>
    <t>Bezprzewodowe słuchawki</t>
  </si>
  <si>
    <t>Prawdziwie bezprzewodowe słuchawki</t>
  </si>
  <si>
    <t>Słuchawki bezprzewodowe</t>
  </si>
  <si>
    <t>Słuchawki bezprzewodowe Bluetooth</t>
  </si>
  <si>
    <t>Słuchawki bezprzewodowe z redukcją szumów</t>
  </si>
  <si>
    <t>coluna bluetooth</t>
  </si>
  <si>
    <t>coluna bluetooth portatil</t>
  </si>
  <si>
    <t>colunas</t>
  </si>
  <si>
    <t>colunas portáteis</t>
  </si>
  <si>
    <t>colunas sem fios</t>
  </si>
  <si>
    <t>Máquina de lavar louça</t>
  </si>
  <si>
    <t>Máquina de lavar louça encastre</t>
  </si>
  <si>
    <t>máquina de lavar louça independente</t>
  </si>
  <si>
    <t>Fogão</t>
  </si>
  <si>
    <t>Forno deslizante</t>
  </si>
  <si>
    <t>Forno embutir</t>
  </si>
  <si>
    <t>Forno independente</t>
  </si>
  <si>
    <t>frigorifico americano</t>
  </si>
  <si>
    <t>frigorifico com congelador inferior</t>
  </si>
  <si>
    <t>frigorifico com congelador superior</t>
  </si>
  <si>
    <t>frigorifico multidoor</t>
  </si>
  <si>
    <t>frigorifico side by side</t>
  </si>
  <si>
    <t>barra de som da tv</t>
  </si>
  <si>
    <t>barra de som para tv</t>
  </si>
  <si>
    <t>Sistema de som surround</t>
  </si>
  <si>
    <t>som da tv</t>
  </si>
  <si>
    <t>carga frontal</t>
  </si>
  <si>
    <t>máquina de lavar e secar</t>
  </si>
  <si>
    <t>Fones de ouvido</t>
  </si>
  <si>
    <t>Fones de ouvido bluetooth</t>
  </si>
  <si>
    <t>Fones de ouvido sem fio</t>
  </si>
  <si>
    <t>portátil</t>
  </si>
  <si>
    <t>portátil de 15</t>
  </si>
  <si>
    <t>portátil de 17</t>
  </si>
  <si>
    <t>portátil ultra leve</t>
  </si>
  <si>
    <t>monito UHD</t>
  </si>
  <si>
    <t>Monitor 4K</t>
  </si>
  <si>
    <t>monitor gaming</t>
  </si>
  <si>
    <t>Bluetooth-колонки</t>
  </si>
  <si>
    <t>Компьютерные колонки</t>
  </si>
  <si>
    <t>Оратор</t>
  </si>
  <si>
    <t>Портативные колонки</t>
  </si>
  <si>
    <t>Портативные колонки bluetooth</t>
  </si>
  <si>
    <t>cordless vacuum cleaner</t>
  </si>
  <si>
    <t>Беспроводные пылесосы</t>
  </si>
  <si>
    <t>Вертикальный пылесос</t>
  </si>
  <si>
    <t>верхний морозильник</t>
  </si>
  <si>
    <t>нижний морозильник</t>
  </si>
  <si>
    <t>французский холодильник</t>
  </si>
  <si>
    <t>холодильник side by side</t>
  </si>
  <si>
    <t>Звуковая панель</t>
  </si>
  <si>
    <t>Саундбары для ТВ</t>
  </si>
  <si>
    <t>Система объемного звука</t>
  </si>
  <si>
    <t>тв саундбар</t>
  </si>
  <si>
    <t>олед</t>
  </si>
  <si>
    <t>олед тв</t>
  </si>
  <si>
    <t>стиральная машина с сушкой</t>
  </si>
  <si>
    <t>фронтальная загрузка</t>
  </si>
  <si>
    <t>Беспроводные наушники</t>
  </si>
  <si>
    <t>Наушники Bluetooth</t>
  </si>
  <si>
    <t>Ушные вкладыши</t>
  </si>
  <si>
    <t>air cooler</t>
  </si>
  <si>
    <t>бытовой кондиционер</t>
  </si>
  <si>
    <t>инверторный кондиционер</t>
  </si>
  <si>
    <t>сплит система</t>
  </si>
  <si>
    <t>lg styler</t>
  </si>
  <si>
    <t>lg Паровой шкаф</t>
  </si>
  <si>
    <t>Паровой шкаф</t>
  </si>
  <si>
    <r>
      <rPr>
        <sz val="11"/>
        <color theme="1"/>
        <rFont val="맑은 고딕"/>
        <family val="2"/>
        <charset val="129"/>
      </rPr>
      <t>مكيف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</si>
  <si>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الضاغط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العكسي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</si>
  <si>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شباك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</si>
  <si>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</t>
    </r>
  </si>
  <si>
    <t>مكبر الصوت</t>
    <phoneticPr fontId="2" type="noConversion"/>
  </si>
  <si>
    <r>
      <rPr>
        <sz val="11"/>
        <color theme="1"/>
        <rFont val="맑은 고딕"/>
        <family val="2"/>
        <charset val="129"/>
      </rPr>
      <t>بلوتوث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المتكلم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</si>
  <si>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</si>
  <si>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لاسلكية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محمولة</t>
    </r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</si>
  <si>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محمولة</t>
    </r>
  </si>
  <si>
    <r>
      <rPr>
        <sz val="11"/>
        <color theme="1"/>
        <rFont val="맑은 고딕"/>
        <family val="2"/>
        <charset val="129"/>
      </rPr>
      <t>شاشة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</si>
  <si>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الالعاب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</si>
  <si>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عالية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الجودة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</si>
  <si>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عريضة</t>
    </r>
  </si>
  <si>
    <r>
      <rPr>
        <sz val="11"/>
        <color theme="1"/>
        <rFont val="맑은 고딕"/>
        <family val="2"/>
        <charset val="129"/>
      </rPr>
      <t>الفريزر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السفلي</t>
    </r>
  </si>
  <si>
    <r>
      <rPr>
        <sz val="11"/>
        <color theme="1"/>
        <rFont val="맑은 고딕"/>
        <family val="2"/>
        <charset val="129"/>
      </rPr>
      <t>الفريزر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العلوي</t>
    </r>
  </si>
  <si>
    <r>
      <rPr>
        <sz val="11"/>
        <color theme="1"/>
        <rFont val="맑은 고딕"/>
        <family val="2"/>
        <charset val="129"/>
      </rPr>
      <t>ثلاجة</t>
    </r>
  </si>
  <si>
    <r>
      <rPr>
        <sz val="11"/>
        <color theme="1"/>
        <rFont val="맑은 고딕"/>
        <family val="2"/>
        <charset val="129"/>
      </rPr>
      <t>ثلاجة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ذات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بابين</t>
    </r>
  </si>
  <si>
    <r>
      <rPr>
        <sz val="11"/>
        <color theme="1"/>
        <rFont val="맑은 고딕"/>
        <family val="2"/>
        <charset val="129"/>
      </rPr>
      <t>ثلاجة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متعددة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الابواب</t>
    </r>
  </si>
  <si>
    <r>
      <rPr>
        <sz val="11"/>
        <color theme="1"/>
        <rFont val="맑은 고딕"/>
        <family val="2"/>
        <charset val="129"/>
      </rPr>
      <t>ساوند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بار</t>
    </r>
  </si>
  <si>
    <r>
      <rPr>
        <sz val="11"/>
        <color theme="1"/>
        <rFont val="맑은 고딕"/>
        <family val="2"/>
        <charset val="129"/>
      </rPr>
      <t>صوتي</t>
    </r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</si>
  <si>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</si>
  <si>
    <r>
      <rPr>
        <sz val="11"/>
        <color theme="1"/>
        <rFont val="맑은 고딕"/>
        <family val="2"/>
        <charset val="129"/>
      </rPr>
      <t>نظام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صوتي</t>
    </r>
  </si>
  <si>
    <r>
      <rPr>
        <sz val="11"/>
        <color theme="1"/>
        <rFont val="맑은 고딕"/>
        <family val="2"/>
        <charset val="129"/>
      </rPr>
      <t>تلفاز</t>
    </r>
    <r>
      <rPr>
        <sz val="11"/>
        <color theme="1"/>
        <rFont val="LG스마트체 Regular"/>
        <family val="3"/>
        <charset val="129"/>
      </rPr>
      <t xml:space="preserve">  OLED</t>
    </r>
  </si>
  <si>
    <r>
      <rPr>
        <sz val="11"/>
        <color theme="1"/>
        <rFont val="맑은 고딕"/>
        <family val="2"/>
        <charset val="129"/>
      </rPr>
      <t>تلفاز</t>
    </r>
    <r>
      <rPr>
        <sz val="11"/>
        <color theme="1"/>
        <rFont val="LG스마트체 Regular"/>
        <family val="3"/>
        <charset val="129"/>
      </rPr>
      <t xml:space="preserve">  UHD</t>
    </r>
  </si>
  <si>
    <r>
      <rPr>
        <sz val="11"/>
        <color theme="1"/>
        <rFont val="맑은 고딕"/>
        <family val="2"/>
        <charset val="129"/>
      </rPr>
      <t>تلفزيون</t>
    </r>
  </si>
  <si>
    <r>
      <rPr>
        <sz val="11"/>
        <color theme="1"/>
        <rFont val="맑은 고딕"/>
        <family val="2"/>
        <charset val="129"/>
      </rPr>
      <t>تلفزيون</t>
    </r>
    <r>
      <rPr>
        <sz val="11"/>
        <color theme="1"/>
        <rFont val="LG스마트체 Regular"/>
        <family val="3"/>
        <charset val="129"/>
      </rPr>
      <t xml:space="preserve">  4K</t>
    </r>
  </si>
  <si>
    <r>
      <rPr>
        <sz val="11"/>
        <color theme="1"/>
        <rFont val="맑은 고딕"/>
        <family val="2"/>
        <charset val="129"/>
      </rPr>
      <t>تلفزيون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ذكي</t>
    </r>
  </si>
  <si>
    <r>
      <rPr>
        <sz val="11"/>
        <color theme="1"/>
        <rFont val="맑은 고딕"/>
        <family val="2"/>
        <charset val="129"/>
      </rPr>
      <t>تحميل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امامي</t>
    </r>
  </si>
  <si>
    <r>
      <rPr>
        <sz val="11"/>
        <color theme="1"/>
        <rFont val="맑은 고딕"/>
        <family val="2"/>
        <charset val="129"/>
      </rPr>
      <t>تحميل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علوي</t>
    </r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</si>
  <si>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ملابس</t>
    </r>
  </si>
  <si>
    <r>
      <rPr>
        <sz val="11"/>
        <color theme="1"/>
        <rFont val="맑은 고딕"/>
        <family val="2"/>
        <charset val="129"/>
      </rPr>
      <t>غسل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و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تنشيف</t>
    </r>
  </si>
  <si>
    <t>bärbar Bluetooth-högtalare</t>
  </si>
  <si>
    <t>bärbara högtalare</t>
  </si>
  <si>
    <t>Bluetooth-högtalare</t>
  </si>
  <si>
    <t>högtalare</t>
  </si>
  <si>
    <t>trådlösa bärbara högtalare</t>
  </si>
  <si>
    <t>diskmaskin</t>
  </si>
  <si>
    <t>Fristående diskmaskin</t>
  </si>
  <si>
    <t>Inbyggd diskmaskin</t>
  </si>
  <si>
    <t>Torktumlare</t>
  </si>
  <si>
    <t>4K-skärm</t>
  </si>
  <si>
    <t>bildskärm</t>
  </si>
  <si>
    <t>Gaming Monitor</t>
  </si>
  <si>
    <t>UHD-skärm</t>
  </si>
  <si>
    <t>Ultrabred bildskärm</t>
  </si>
  <si>
    <t>French door-Kylskåp</t>
  </si>
  <si>
    <t>Kyl-Frys Kombiskåp – Frys nederst</t>
  </si>
  <si>
    <t>Kyl-Frys Kombiskåp – Frys överst</t>
  </si>
  <si>
    <t>Kylskåp</t>
  </si>
  <si>
    <t>Side-by-Side-Kylskåp</t>
  </si>
  <si>
    <t xml:space="preserve">기존 Barra de sonido에서 변경 </t>
  </si>
  <si>
    <t>TV-soundbar</t>
  </si>
  <si>
    <t xml:space="preserve">기존 barra de sonido de tv에서 변경 </t>
  </si>
  <si>
    <t>Surround sound syst</t>
  </si>
  <si>
    <t>기존 Sistema de sonido envolvente에서 변경</t>
  </si>
  <si>
    <t>기존 sonido de tv에서 변경</t>
  </si>
  <si>
    <t>Frontmatad tvättmaskin</t>
  </si>
  <si>
    <t>Kombinerad tvättmaskin/torktumlare</t>
  </si>
  <si>
    <t>Tvättmaskin</t>
  </si>
  <si>
    <t>Trådlösa hörlurar</t>
  </si>
  <si>
    <t>기존 Audífonos inalámbricos에서 변경</t>
  </si>
  <si>
    <t>Hörlurar</t>
  </si>
  <si>
    <t>기존 Auriculares에서 변경</t>
  </si>
  <si>
    <t>Bluetooth-hörlurar</t>
  </si>
  <si>
    <t>기존 Auriculares bluetooth에서 변경</t>
  </si>
  <si>
    <t>Bluetooth hörlurar</t>
  </si>
  <si>
    <t>Bluetooth öronsnäckor</t>
  </si>
  <si>
    <t>Öronsnäckor</t>
  </si>
  <si>
    <t>Trådlösa öronproppar</t>
  </si>
  <si>
    <t xml:space="preserve">air conditioner                             </t>
    <phoneticPr fontId="2" type="noConversion"/>
  </si>
  <si>
    <t>luftkonditionering</t>
    <phoneticPr fontId="2" type="noConversion"/>
  </si>
  <si>
    <t xml:space="preserve">inverter air conditioner                   </t>
    <phoneticPr fontId="2" type="noConversion"/>
  </si>
  <si>
    <t>inverter luftkonditionering</t>
    <phoneticPr fontId="2" type="noConversion"/>
  </si>
  <si>
    <t xml:space="preserve">portable air conditioner                 </t>
    <phoneticPr fontId="2" type="noConversion"/>
  </si>
  <si>
    <t>portabel luftkonditionering</t>
    <phoneticPr fontId="2" type="noConversion"/>
  </si>
  <si>
    <t>Aircon install</t>
  </si>
  <si>
    <t>portable air conditioner</t>
    <phoneticPr fontId="2" type="noConversion"/>
  </si>
  <si>
    <t>카테고리 내 inverter air conditioner는 검색 결과 없었음</t>
    <phoneticPr fontId="2" type="noConversion"/>
  </si>
  <si>
    <t>smart speaker</t>
  </si>
  <si>
    <t>hand vacuum</t>
  </si>
  <si>
    <t>Handheld Vacuum Cleaner</t>
    <phoneticPr fontId="2" type="noConversion"/>
  </si>
  <si>
    <t>Freestanding dishwasher</t>
  </si>
  <si>
    <t>카테고리 내 Steam dishwasher는 검색 결과 없었음</t>
    <phoneticPr fontId="2" type="noConversion"/>
  </si>
  <si>
    <t>Clothes dryer</t>
  </si>
  <si>
    <t>Clothes dryer</t>
    <phoneticPr fontId="2" type="noConversion"/>
  </si>
  <si>
    <t>카테고리 내 condenser dryer는 검색 결과 없었음</t>
    <phoneticPr fontId="2" type="noConversion"/>
  </si>
  <si>
    <t>Heat pump dryer</t>
  </si>
  <si>
    <t>sound bars</t>
  </si>
  <si>
    <t>sound bars</t>
    <phoneticPr fontId="2" type="noConversion"/>
  </si>
  <si>
    <t>카테고리 내 sound system는 검색 결과 없었음</t>
    <phoneticPr fontId="2" type="noConversion"/>
  </si>
  <si>
    <t>washer dryer</t>
    <phoneticPr fontId="2" type="noConversion"/>
  </si>
  <si>
    <t>카테고리 내 washer dryer는 검색 결과 없었음</t>
    <phoneticPr fontId="2" type="noConversion"/>
  </si>
  <si>
    <t>카테고리 내 top loader는 검색 결과 없었음</t>
    <phoneticPr fontId="2" type="noConversion"/>
  </si>
  <si>
    <t>In-ear headphones</t>
  </si>
  <si>
    <t>In-ear true wireless headphones</t>
  </si>
  <si>
    <t>air cleaner</t>
  </si>
  <si>
    <t>air treatment</t>
  </si>
  <si>
    <t>Steam dishwasher</t>
  </si>
  <si>
    <t>condenser dryer</t>
  </si>
  <si>
    <t>14 in laptop</t>
  </si>
  <si>
    <t>14in laptop</t>
  </si>
  <si>
    <t>15in laptop</t>
  </si>
  <si>
    <t>17in laptop</t>
  </si>
  <si>
    <t>TH</t>
    <phoneticPr fontId="2" type="noConversion"/>
  </si>
  <si>
    <r>
      <rPr>
        <sz val="11"/>
        <color theme="1"/>
        <rFont val="맑은 고딕"/>
        <family val="2"/>
        <charset val="129"/>
      </rPr>
      <t>เครื่องฟอกอากาศ</t>
    </r>
  </si>
  <si>
    <t>TH/HOMEPRO는 원어가 영문으로 치환되어 키워드가 유입됨, 이전이력 알수 없으나 이전 HSAD에서 운영할때 요청이 있었다고 함</t>
    <phoneticPr fontId="2" type="noConversion"/>
  </si>
  <si>
    <r>
      <rPr>
        <sz val="11"/>
        <color theme="1"/>
        <rFont val="맑은 고딕"/>
        <family val="2"/>
        <charset val="129"/>
      </rPr>
      <t>รักษาอากาศ</t>
    </r>
  </si>
  <si>
    <t>แอร์</t>
    <phoneticPr fontId="2" type="noConversion"/>
  </si>
  <si>
    <r>
      <rPr>
        <sz val="11"/>
        <color theme="1"/>
        <rFont val="Tahoma"/>
        <family val="2"/>
      </rPr>
      <t>แอร์</t>
    </r>
    <r>
      <rPr>
        <sz val="11"/>
        <color theme="1"/>
        <rFont val="LG스마트체 Regular"/>
        <family val="3"/>
        <charset val="129"/>
      </rPr>
      <t xml:space="preserve"> inverter</t>
    </r>
    <phoneticPr fontId="2" type="noConversion"/>
  </si>
  <si>
    <t>ลำโพง</t>
    <phoneticPr fontId="2" type="noConversion"/>
  </si>
  <si>
    <t>portable bluetooth speaker</t>
    <phoneticPr fontId="2" type="noConversion"/>
  </si>
  <si>
    <t>ลำโพงบลูทูธแบบพกพา</t>
    <phoneticPr fontId="2" type="noConversion"/>
  </si>
  <si>
    <t>2025-05-29</t>
  </si>
  <si>
    <t>ลำโพงบลูทูธพกพา</t>
    <phoneticPr fontId="2" type="noConversion"/>
  </si>
  <si>
    <t>Portable bluetooth speakers</t>
    <phoneticPr fontId="2" type="noConversion"/>
  </si>
  <si>
    <t>HOMEPRO</t>
    <phoneticPr fontId="2" type="noConversion"/>
  </si>
  <si>
    <t>portable speakers</t>
    <phoneticPr fontId="2" type="noConversion"/>
  </si>
  <si>
    <t>ลำโพงพกพา</t>
    <phoneticPr fontId="2" type="noConversion"/>
  </si>
  <si>
    <r>
      <rPr>
        <sz val="11"/>
        <color theme="1"/>
        <rFont val="맑은 고딕"/>
        <family val="2"/>
        <charset val="129"/>
      </rPr>
      <t>ลำโพงบลูทูธ</t>
    </r>
  </si>
  <si>
    <r>
      <rPr>
        <sz val="11"/>
        <color theme="1"/>
        <rFont val="맑은 고딕"/>
        <family val="2"/>
        <charset val="129"/>
      </rPr>
      <t>ลำโพงพกพา</t>
    </r>
  </si>
  <si>
    <r>
      <rPr>
        <sz val="11"/>
        <color theme="1"/>
        <rFont val="맑은 고딕"/>
        <family val="2"/>
        <charset val="129"/>
      </rPr>
      <t>ตู้เย็น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</si>
  <si>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2 </t>
    </r>
    <r>
      <rPr>
        <sz val="11"/>
        <color theme="1"/>
        <rFont val="맑은 고딕"/>
        <family val="2"/>
        <charset val="129"/>
      </rPr>
      <t>ประตู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</si>
  <si>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Multi Door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</si>
  <si>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side by side</t>
    </r>
  </si>
  <si>
    <r>
      <rPr>
        <sz val="11"/>
        <color theme="1"/>
        <rFont val="맑은 고딕"/>
        <family val="2"/>
        <charset val="129"/>
      </rPr>
      <t>ซาวด์บาร์</t>
    </r>
  </si>
  <si>
    <r>
      <rPr>
        <sz val="11"/>
        <color theme="1"/>
        <rFont val="맑은 고딕"/>
        <family val="2"/>
        <charset val="129"/>
      </rPr>
      <t>ลำโพง</t>
    </r>
    <r>
      <rPr>
        <sz val="11"/>
        <color theme="1"/>
        <rFont val="LG스마트체 Regular"/>
        <family val="3"/>
        <charset val="129"/>
      </rPr>
      <t>soundbar</t>
    </r>
  </si>
  <si>
    <t>sound bar speaker</t>
  </si>
  <si>
    <r>
      <rPr>
        <sz val="11"/>
        <color theme="1"/>
        <rFont val="맑은 고딕"/>
        <family val="2"/>
        <charset val="129"/>
      </rPr>
      <t>ลำโพงซาวด์บาร์</t>
    </r>
  </si>
  <si>
    <t>tv speaker</t>
  </si>
  <si>
    <r>
      <rPr>
        <sz val="11"/>
        <color theme="1"/>
        <rFont val="맑은 고딕"/>
        <family val="2"/>
        <charset val="129"/>
      </rPr>
      <t>ลำโพงทีวี</t>
    </r>
  </si>
  <si>
    <r>
      <t xml:space="preserve">4K </t>
    </r>
    <r>
      <rPr>
        <sz val="11"/>
        <color theme="1"/>
        <rFont val="Tahoma"/>
        <family val="2"/>
      </rPr>
      <t>ทีวี</t>
    </r>
    <phoneticPr fontId="2" type="noConversion"/>
  </si>
  <si>
    <t>OLED TV</t>
    <phoneticPr fontId="2" type="noConversion"/>
  </si>
  <si>
    <r>
      <rPr>
        <sz val="11"/>
        <color theme="1"/>
        <rFont val="맑은 고딕"/>
        <family val="2"/>
        <charset val="129"/>
      </rPr>
      <t>ทีวี</t>
    </r>
  </si>
  <si>
    <r>
      <rPr>
        <sz val="11"/>
        <color theme="1"/>
        <rFont val="맑은 고딕"/>
        <family val="2"/>
        <charset val="129"/>
      </rPr>
      <t>สมาร์ททีวี</t>
    </r>
  </si>
  <si>
    <r>
      <rPr>
        <sz val="11"/>
        <color theme="1"/>
        <rFont val="맑은 고딕"/>
        <family val="2"/>
        <charset val="129"/>
      </rPr>
      <t>เครื่องซักผ้า</t>
    </r>
  </si>
  <si>
    <r>
      <rPr>
        <sz val="11"/>
        <color theme="1"/>
        <rFont val="맑은 고딕"/>
        <family val="2"/>
        <charset val="129"/>
      </rPr>
      <t>เครื่องซักผ้า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ซักอบ</t>
    </r>
  </si>
  <si>
    <r>
      <rPr>
        <sz val="11"/>
        <color theme="1"/>
        <rFont val="맑은 고딕"/>
        <family val="2"/>
        <charset val="129"/>
      </rPr>
      <t>เครื่องซักผ้าฝาบน</t>
    </r>
  </si>
  <si>
    <r>
      <rPr>
        <sz val="11"/>
        <color theme="1"/>
        <rFont val="맑은 고딕"/>
        <family val="2"/>
        <charset val="129"/>
      </rPr>
      <t>เครื่องซักผ้าฝาหน้า</t>
    </r>
  </si>
  <si>
    <r>
      <rPr>
        <sz val="11"/>
        <color theme="1"/>
        <rFont val="맑은 고딕"/>
        <family val="2"/>
        <charset val="129"/>
      </rPr>
      <t>หูฟัง</t>
    </r>
  </si>
  <si>
    <r>
      <rPr>
        <sz val="11"/>
        <color theme="1"/>
        <rFont val="맑은 고딕"/>
        <family val="2"/>
        <charset val="129"/>
      </rPr>
      <t>หูฟังแบบใส่ในหู</t>
    </r>
  </si>
  <si>
    <r>
      <rPr>
        <sz val="11"/>
        <color theme="1"/>
        <rFont val="맑은 고딕"/>
        <family val="2"/>
        <charset val="129"/>
      </rPr>
      <t>หูฟังไร้สาย</t>
    </r>
  </si>
  <si>
    <r>
      <rPr>
        <sz val="11"/>
        <color theme="1"/>
        <rFont val="맑은 고딕"/>
        <family val="2"/>
        <charset val="129"/>
      </rPr>
      <t>หูฟังไร้สายแบบใส่ในหู</t>
    </r>
  </si>
  <si>
    <r>
      <t xml:space="preserve">4k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</si>
  <si>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gaming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</si>
  <si>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uhd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</si>
  <si>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ultrawide </t>
    </r>
    <r>
      <rPr>
        <sz val="11"/>
        <color theme="1"/>
        <rFont val="맑은 고딕"/>
        <family val="2"/>
        <charset val="129"/>
      </rPr>
      <t>จอภาพ</t>
    </r>
  </si>
  <si>
    <r>
      <rPr>
        <sz val="11"/>
        <color theme="1"/>
        <rFont val="맑은 고딕"/>
        <family val="2"/>
        <charset val="129"/>
      </rPr>
      <t>จอภาพ</t>
    </r>
  </si>
  <si>
    <t>เครื่องอบผ้า</t>
    <phoneticPr fontId="2" type="noConversion"/>
  </si>
  <si>
    <t>ปั๊มความร้อน</t>
    <phoneticPr fontId="2" type="noConversion"/>
  </si>
  <si>
    <t>เครื่องอบผ้าแอลจี</t>
    <phoneticPr fontId="2" type="noConversion"/>
  </si>
  <si>
    <t>ลำโพงบลูทูธ</t>
    <phoneticPr fontId="2" type="noConversion"/>
  </si>
  <si>
    <r>
      <rPr>
        <sz val="11"/>
        <color theme="1"/>
        <rFont val="Tahoma"/>
        <family val="3"/>
        <charset val="222"/>
      </rPr>
      <t>ลำโพงบลูทูธพกพา</t>
    </r>
    <r>
      <rPr>
        <sz val="11"/>
        <color theme="1"/>
        <rFont val="Arial Unicode MS"/>
        <family val="3"/>
        <charset val="129"/>
      </rPr>
      <t xml:space="preserve">와 </t>
    </r>
    <r>
      <rPr>
        <sz val="11"/>
        <color theme="1"/>
        <rFont val="Tahoma"/>
        <family val="3"/>
        <charset val="222"/>
      </rPr>
      <t>ลำโพง</t>
    </r>
    <r>
      <rPr>
        <sz val="11"/>
        <color theme="1"/>
        <rFont val="Arial Unicode MS"/>
        <family val="3"/>
        <charset val="129"/>
      </rPr>
      <t xml:space="preserve">는 이전 </t>
    </r>
    <r>
      <rPr>
        <sz val="11"/>
        <color theme="1"/>
        <rFont val="Calibri"/>
        <family val="3"/>
      </rPr>
      <t>HSAD</t>
    </r>
    <r>
      <rPr>
        <sz val="11"/>
        <color theme="1"/>
        <rFont val="Arial Unicode MS"/>
        <family val="3"/>
        <charset val="129"/>
      </rPr>
      <t>부터 삭제된 키워드임 향후 이력용으로 써놓음</t>
    </r>
    <phoneticPr fontId="2" type="noConversion"/>
  </si>
  <si>
    <r>
      <rPr>
        <sz val="11"/>
        <color theme="1"/>
        <rFont val="맑은 고딕"/>
        <family val="2"/>
        <charset val="129"/>
      </rPr>
      <t>ลำโพงบลูทูธแบบพกพา</t>
    </r>
  </si>
  <si>
    <r>
      <t xml:space="preserve">4K </t>
    </r>
    <r>
      <rPr>
        <sz val="11"/>
        <color theme="1"/>
        <rFont val="맑은 고딕"/>
        <family val="2"/>
        <charset val="129"/>
      </rPr>
      <t>ทีวี</t>
    </r>
  </si>
  <si>
    <r>
      <rPr>
        <sz val="11"/>
        <color theme="1"/>
        <rFont val="맑은 고딕"/>
        <family val="2"/>
        <charset val="129"/>
      </rPr>
      <t>แอร์</t>
    </r>
  </si>
  <si>
    <r>
      <rPr>
        <sz val="11"/>
        <color theme="1"/>
        <rFont val="맑은 고딕"/>
        <family val="2"/>
        <charset val="129"/>
      </rPr>
      <t>แอร์</t>
    </r>
    <r>
      <rPr>
        <sz val="11"/>
        <color theme="1"/>
        <rFont val="LG스마트체 Regular"/>
        <family val="3"/>
        <charset val="129"/>
      </rPr>
      <t xml:space="preserve"> inverter</t>
    </r>
  </si>
  <si>
    <r>
      <rPr>
        <sz val="11"/>
        <color theme="1"/>
        <rFont val="맑은 고딕"/>
        <family val="2"/>
        <charset val="129"/>
      </rPr>
      <t>ลำโพง</t>
    </r>
  </si>
  <si>
    <r>
      <rPr>
        <sz val="11"/>
        <color theme="1"/>
        <rFont val="맑은 고딕"/>
        <family val="2"/>
        <charset val="129"/>
      </rPr>
      <t>ลำโพงบลูทูธพกพา</t>
    </r>
  </si>
  <si>
    <t>เครื่องปรับอากาศ</t>
    <phoneticPr fontId="2" type="noConversion"/>
  </si>
  <si>
    <t>เฝ้าสังเกต</t>
    <phoneticPr fontId="2" type="noConversion"/>
  </si>
  <si>
    <t>จอภาพเกม</t>
    <phoneticPr fontId="2" type="noConversion"/>
  </si>
  <si>
    <t>refrigerator</t>
    <phoneticPr fontId="2" type="noConversion"/>
  </si>
  <si>
    <t>ตู้เย็น</t>
    <phoneticPr fontId="2" type="noConversion"/>
  </si>
  <si>
    <t>tv</t>
    <phoneticPr fontId="2" type="noConversion"/>
  </si>
  <si>
    <t>ทีวี</t>
    <phoneticPr fontId="2" type="noConversion"/>
  </si>
  <si>
    <t>เครื่องซักผ้าอบผ้า</t>
    <phoneticPr fontId="2" type="noConversion"/>
  </si>
  <si>
    <t>เครื่องซักผ้า</t>
    <phoneticPr fontId="2" type="noConversion"/>
  </si>
  <si>
    <t>ลำโพง</t>
  </si>
  <si>
    <t>ลำโพงบลูทูธ</t>
  </si>
  <si>
    <t>ลำโพงบลูทูธพกพา</t>
  </si>
  <si>
    <t>ลำโพงพกพา</t>
  </si>
  <si>
    <t>ลำโพงบลูทูธแบบพกพา</t>
  </si>
  <si>
    <t>ซาวด์บาร์</t>
  </si>
  <si>
    <t>ลำโพงsoundbar</t>
  </si>
  <si>
    <t>ลำโพงซาวด์บาร์</t>
  </si>
  <si>
    <t>ลำโพงทีวี</t>
  </si>
  <si>
    <t>หูฟัง</t>
  </si>
  <si>
    <t>หูฟังแบบใส่ในหู</t>
  </si>
  <si>
    <t>หูฟังไร้สาย</t>
  </si>
  <si>
    <t>หูฟังไร้สายแบบใส่ในหู</t>
  </si>
  <si>
    <t>เครื่องอบผ้า</t>
  </si>
  <si>
    <t>ปั๊มความร้อน</t>
  </si>
  <si>
    <t>เครื่องอบผ้าแอลจี</t>
  </si>
  <si>
    <r>
      <rPr>
        <sz val="11"/>
        <color theme="1"/>
        <rFont val="Tahoma"/>
        <family val="3"/>
        <charset val="222"/>
      </rPr>
      <t>เฝ้าสังเกต</t>
    </r>
    <r>
      <rPr>
        <sz val="11"/>
        <color theme="1"/>
        <rFont val="LG스마트체 Regular"/>
        <family val="3"/>
        <charset val="129"/>
      </rPr>
      <t xml:space="preserve"> 대체어로 수정됨</t>
    </r>
    <r>
      <rPr>
        <sz val="11"/>
        <color theme="1"/>
        <rFont val="LG스마트체 Regular"/>
        <family val="3"/>
        <charset val="222"/>
      </rPr>
      <t>(원어 검색 불가, 영문 변경)</t>
    </r>
    <phoneticPr fontId="2" type="noConversion"/>
  </si>
  <si>
    <r>
      <t xml:space="preserve">gaming </t>
    </r>
    <r>
      <rPr>
        <sz val="11"/>
        <color theme="1"/>
        <rFont val="Tahoma"/>
        <family val="3"/>
        <charset val="222"/>
      </rPr>
      <t>จอภาพ</t>
    </r>
    <phoneticPr fontId="2" type="noConversion"/>
  </si>
  <si>
    <r>
      <rPr>
        <sz val="11"/>
        <color theme="1"/>
        <rFont val="Tahoma"/>
        <family val="3"/>
        <charset val="222"/>
      </rPr>
      <t>จอภาพเกม</t>
    </r>
    <r>
      <rPr>
        <sz val="11"/>
        <color theme="1"/>
        <rFont val="LG스마트체 Regular"/>
        <family val="3"/>
        <charset val="129"/>
      </rPr>
      <t xml:space="preserve"> 대체어로 수정됨</t>
    </r>
    <r>
      <rPr>
        <sz val="11"/>
        <color theme="1"/>
        <rFont val="Calibri"/>
        <family val="3"/>
      </rPr>
      <t>(</t>
    </r>
    <r>
      <rPr>
        <sz val="11"/>
        <color theme="1"/>
        <rFont val="LG스마트체 Regular"/>
        <family val="3"/>
        <charset val="222"/>
      </rPr>
      <t>원어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검색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불가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LG스마트체 Regular"/>
        <family val="3"/>
        <charset val="222"/>
      </rPr>
      <t>영문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변경</t>
    </r>
    <r>
      <rPr>
        <sz val="11"/>
        <color theme="1"/>
        <rFont val="Calibri"/>
        <family val="3"/>
      </rPr>
      <t>)</t>
    </r>
    <phoneticPr fontId="2" type="noConversion"/>
  </si>
  <si>
    <t>LG เครื่องอบผ้า</t>
    <phoneticPr fontId="2" type="noConversion"/>
  </si>
  <si>
    <r>
      <rPr>
        <sz val="11"/>
        <color theme="1"/>
        <rFont val="Tahoma"/>
        <family val="3"/>
        <charset val="222"/>
      </rPr>
      <t>เครื่องอบผ้าแอลจี</t>
    </r>
    <r>
      <rPr>
        <sz val="11"/>
        <color theme="1"/>
        <rFont val="LG스마트체 Regular"/>
        <family val="3"/>
        <charset val="129"/>
      </rPr>
      <t xml:space="preserve"> 대체어로 수정됨</t>
    </r>
    <phoneticPr fontId="2" type="noConversion"/>
  </si>
  <si>
    <t>bulaşık makinesi</t>
  </si>
  <si>
    <t>Dahili Bulaşık Makinesi</t>
  </si>
  <si>
    <t>Solo Bulaşık Makinesi</t>
  </si>
  <si>
    <t>alttan donduruculu buzdolabı</t>
  </si>
  <si>
    <t>buzdolabı</t>
  </si>
  <si>
    <t>Buzdolabı Gardrop</t>
  </si>
  <si>
    <t>Gardırop Tipi buzdolabı</t>
  </si>
  <si>
    <t>üstten donduruculu buzdolabı</t>
  </si>
  <si>
    <t>akıllı televizyon</t>
  </si>
  <si>
    <t>televizyon</t>
  </si>
  <si>
    <t>çamaşır makinesi</t>
  </si>
  <si>
    <t>önden yüklemeli</t>
  </si>
  <si>
    <t>yıkama ve kurutma</t>
  </si>
  <si>
    <t>Monitör</t>
  </si>
  <si>
    <t>gaming monitor</t>
  </si>
  <si>
    <t>Oyuncu  monitör</t>
  </si>
  <si>
    <t>TV monitör</t>
  </si>
  <si>
    <t>uhd monitör</t>
  </si>
  <si>
    <t>Ultra Geniş Monitör</t>
  </si>
  <si>
    <t>空氣淨化器</t>
  </si>
  <si>
    <t>空氣處理</t>
  </si>
  <si>
    <r>
      <t>可</t>
    </r>
    <r>
      <rPr>
        <sz val="11"/>
        <color theme="1"/>
        <rFont val="맑은 고딕"/>
        <family val="2"/>
        <charset val="129"/>
      </rPr>
      <t>攜</t>
    </r>
    <r>
      <rPr>
        <sz val="11"/>
        <color theme="1"/>
        <rFont val="LG스마트체 Regular"/>
        <family val="3"/>
        <charset val="129"/>
      </rPr>
      <t>式藍牙喇叭</t>
    </r>
  </si>
  <si>
    <t>cordless vacuum</t>
  </si>
  <si>
    <t>無線吸塵器</t>
  </si>
  <si>
    <t>手持吸塵器</t>
  </si>
  <si>
    <t>直立無線手持吸塵器</t>
  </si>
  <si>
    <t>LG 乾衣機</t>
  </si>
  <si>
    <t>LG heatPump</t>
  </si>
  <si>
    <r>
      <t>LG熱</t>
    </r>
    <r>
      <rPr>
        <sz val="11"/>
        <color theme="1"/>
        <rFont val="맑은 고딕"/>
        <family val="2"/>
        <charset val="129"/>
      </rPr>
      <t>泵</t>
    </r>
  </si>
  <si>
    <t>Dual Inverter</t>
  </si>
  <si>
    <t>雙逆變器</t>
  </si>
  <si>
    <t>HeatPump</t>
  </si>
  <si>
    <r>
      <t>熱</t>
    </r>
    <r>
      <rPr>
        <sz val="11"/>
        <color theme="1"/>
        <rFont val="맑은 고딕"/>
        <family val="2"/>
        <charset val="129"/>
      </rPr>
      <t>泵</t>
    </r>
  </si>
  <si>
    <t>Heatpump Dryer</t>
  </si>
  <si>
    <r>
      <t>熱</t>
    </r>
    <r>
      <rPr>
        <sz val="11"/>
        <color theme="1"/>
        <rFont val="맑은 고딕"/>
        <family val="2"/>
        <charset val="129"/>
      </rPr>
      <t>泵</t>
    </r>
    <r>
      <rPr>
        <sz val="11"/>
        <color theme="1"/>
        <rFont val="LG스마트체 Regular"/>
        <family val="3"/>
        <charset val="129"/>
      </rPr>
      <t>乾衣機</t>
    </r>
  </si>
  <si>
    <t>Ultimate Laundry</t>
  </si>
  <si>
    <t>終極洗衣</t>
  </si>
  <si>
    <t>15吋筆記型電腦</t>
  </si>
  <si>
    <t>17吋筆記型電腦</t>
  </si>
  <si>
    <t>i7 筆記型電腦</t>
  </si>
  <si>
    <t>輕薄筆記型電腦</t>
  </si>
  <si>
    <t>筆記型電腦</t>
  </si>
  <si>
    <t>21:9螢幕</t>
  </si>
  <si>
    <t>4K螢幕</t>
  </si>
  <si>
    <t>電競螢幕</t>
  </si>
  <si>
    <t>螢幕</t>
  </si>
  <si>
    <t>對開冰箱</t>
  </si>
  <si>
    <t>冰箱</t>
  </si>
  <si>
    <t>雙門冰箱</t>
  </si>
  <si>
    <t>STYELER</t>
  </si>
  <si>
    <r>
      <t>蒸氣電子衣</t>
    </r>
    <r>
      <rPr>
        <sz val="11"/>
        <color theme="1"/>
        <rFont val="맑은 고딕"/>
        <family val="2"/>
        <charset val="129"/>
      </rPr>
      <t>櫥</t>
    </r>
  </si>
  <si>
    <t>steam styler</t>
  </si>
  <si>
    <t>4k電視</t>
  </si>
  <si>
    <t>智慧電視</t>
  </si>
  <si>
    <t>滾筒洗衣機</t>
  </si>
  <si>
    <t>洗脫烘</t>
  </si>
  <si>
    <t>直立式洗衣機</t>
  </si>
  <si>
    <t>noise canceling headphones</t>
  </si>
  <si>
    <t>降噪耳機</t>
  </si>
  <si>
    <t>空調</t>
    <phoneticPr fontId="2" type="noConversion"/>
  </si>
  <si>
    <t>變頻空調</t>
    <phoneticPr fontId="2" type="noConversion"/>
  </si>
  <si>
    <t>分離式空調</t>
    <phoneticPr fontId="2" type="noConversion"/>
  </si>
  <si>
    <t>分離式變頻空調</t>
    <phoneticPr fontId="2" type="noConversion"/>
  </si>
  <si>
    <t>窗型空調</t>
    <phoneticPr fontId="2" type="noConversion"/>
  </si>
  <si>
    <t>窗型變頻空調</t>
    <phoneticPr fontId="2" type="noConversion"/>
  </si>
  <si>
    <t>降噪耳機</t>
    <phoneticPr fontId="2" type="noConversion"/>
  </si>
  <si>
    <t>TW</t>
    <phoneticPr fontId="2" type="noConversion"/>
  </si>
  <si>
    <t>顯示器</t>
    <phoneticPr fontId="2" type="noConversion"/>
  </si>
  <si>
    <t>監視器 대체어로 수정됨</t>
    <phoneticPr fontId="2" type="noConversion"/>
  </si>
  <si>
    <r>
      <t>遊</t>
    </r>
    <r>
      <rPr>
        <sz val="11"/>
        <color theme="1"/>
        <rFont val="Gulim"/>
        <family val="3"/>
        <charset val="129"/>
      </rPr>
      <t>戲顯示器</t>
    </r>
    <phoneticPr fontId="2" type="noConversion"/>
  </si>
  <si>
    <t>冰箱</t>
    <phoneticPr fontId="2" type="noConversion"/>
  </si>
  <si>
    <t>電視</t>
    <phoneticPr fontId="2" type="noConversion"/>
  </si>
  <si>
    <t>洗衣機烘乾機</t>
    <phoneticPr fontId="2" type="noConversion"/>
  </si>
  <si>
    <t>洗衣機</t>
    <phoneticPr fontId="2" type="noConversion"/>
  </si>
  <si>
    <t>真無線藍牙耳機</t>
  </si>
  <si>
    <t>LG熱泵</t>
  </si>
  <si>
    <t>熱泵</t>
  </si>
  <si>
    <t>熱泵乾衣機</t>
  </si>
  <si>
    <t>監視器</t>
    <phoneticPr fontId="2" type="noConversion"/>
  </si>
  <si>
    <t>american style fridge freezer</t>
  </si>
  <si>
    <t>fridge freezer</t>
  </si>
  <si>
    <t>multi door fridge freezer</t>
  </si>
  <si>
    <t>soundbar with subwoofer</t>
  </si>
  <si>
    <t>Washer Dryer</t>
  </si>
  <si>
    <t xml:space="preserve">In ear headphones </t>
  </si>
  <si>
    <t>Washer Dryer</t>
    <phoneticPr fontId="2" type="noConversion"/>
  </si>
  <si>
    <t>bluetooth earbuds</t>
    <phoneticPr fontId="2" type="noConversion"/>
  </si>
  <si>
    <t xml:space="preserve">In ear headphones </t>
    <phoneticPr fontId="2" type="noConversion"/>
  </si>
  <si>
    <t>In ear headphones</t>
    <phoneticPr fontId="2" type="noConversion"/>
  </si>
  <si>
    <t>카테고리 내 ultrawide monitor는 검색 결과 없었음</t>
    <phoneticPr fontId="2" type="noConversion"/>
  </si>
  <si>
    <t>UKLG.comWashing Machinewashing machinewashing machine</t>
  </si>
  <si>
    <t>UK_LG.com</t>
  </si>
  <si>
    <t>wall air conditioner</t>
  </si>
  <si>
    <t>handstick vacuum</t>
  </si>
  <si>
    <t>built in front control</t>
  </si>
  <si>
    <t>built in top control</t>
  </si>
  <si>
    <t>Electric Dryer</t>
  </si>
  <si>
    <t>Gas Dryer</t>
  </si>
  <si>
    <t>Steam Dryer</t>
  </si>
  <si>
    <t>Freestanding Range</t>
  </si>
  <si>
    <t>Refrigerador</t>
    <phoneticPr fontId="2" type="noConversion"/>
  </si>
  <si>
    <t>refrigerator congelador inferior</t>
  </si>
  <si>
    <t>refrigerator congelador superior</t>
  </si>
  <si>
    <t>refrigerator duplex</t>
  </si>
  <si>
    <t>Soundbars for tv</t>
  </si>
  <si>
    <t>Carga frontal</t>
    <phoneticPr fontId="2" type="noConversion"/>
  </si>
  <si>
    <t>영문명도 원어기준으로 수집하고 있음</t>
    <phoneticPr fontId="2" type="noConversion"/>
  </si>
  <si>
    <t>carga superior</t>
  </si>
  <si>
    <t>lavadora</t>
    <phoneticPr fontId="2" type="noConversion"/>
  </si>
  <si>
    <t>refrigerator duplex</t>
    <phoneticPr fontId="2" type="noConversion"/>
  </si>
  <si>
    <t>엘리먼트 변경으로 인한 누락</t>
  </si>
  <si>
    <t>해당 키워드는 건수가 적어서 없을때도 있음
영문명도 원어기준으로 수집하고 있음</t>
    <phoneticPr fontId="2" type="noConversion"/>
  </si>
  <si>
    <t>front load washer</t>
    <phoneticPr fontId="2" type="noConversion"/>
  </si>
  <si>
    <t>lavasecadora</t>
    <phoneticPr fontId="2" type="noConversion"/>
  </si>
  <si>
    <t>sound system으로 수집 중</t>
    <phoneticPr fontId="2" type="noConversion"/>
  </si>
  <si>
    <t>top load washer</t>
    <phoneticPr fontId="2" type="noConversion"/>
  </si>
  <si>
    <t>washer dryer combo</t>
    <phoneticPr fontId="2" type="noConversion"/>
  </si>
  <si>
    <t>Carga frontal</t>
  </si>
  <si>
    <t>Soundbars for tv</t>
    <phoneticPr fontId="2" type="noConversion"/>
  </si>
  <si>
    <t>검색 결과 없음</t>
  </si>
  <si>
    <t>CAOPHONG</t>
    <phoneticPr fontId="2" type="noConversion"/>
  </si>
  <si>
    <t>Máy lọc không khí</t>
  </si>
  <si>
    <t>VN/CAOPHONG는 원어가 영문으로 치환되어 키워드가 유입됨, 이전이력 알수 없으나 이전 HSAD에서 운영할때 요청이 있었다고 함</t>
    <phoneticPr fontId="2" type="noConversion"/>
  </si>
  <si>
    <t>Air conditioning</t>
  </si>
  <si>
    <t>Điều hòa không khí</t>
  </si>
  <si>
    <t>máy điều hòa</t>
  </si>
  <si>
    <t>máy điều hòa inverter</t>
  </si>
  <si>
    <t>máy lạnh</t>
  </si>
  <si>
    <t>Loa bluetooth</t>
  </si>
  <si>
    <t>Máy sấy</t>
  </si>
  <si>
    <t>Tủ lạnh</t>
  </si>
  <si>
    <t>tủ lạnh ngăn đá trên</t>
  </si>
  <si>
    <t>Tủ lạnh Side by Side</t>
  </si>
  <si>
    <t>he thong am thanh</t>
    <phoneticPr fontId="2" type="noConversion"/>
  </si>
  <si>
    <t>Loa</t>
  </si>
  <si>
    <t>Soundbar speaker</t>
    <phoneticPr fontId="2" type="noConversion"/>
  </si>
  <si>
    <t>loa thanh am</t>
    <phoneticPr fontId="2" type="noConversion"/>
  </si>
  <si>
    <t>Loa thanh</t>
  </si>
  <si>
    <t>Loa thanh soundbar</t>
  </si>
  <si>
    <t>Tủ hấp</t>
  </si>
  <si>
    <t>tivi 4k</t>
  </si>
  <si>
    <t>smart Tivi</t>
    <phoneticPr fontId="2" type="noConversion"/>
  </si>
  <si>
    <t>TV oled</t>
  </si>
  <si>
    <t>TV uhd</t>
  </si>
  <si>
    <t>máy giặt</t>
  </si>
  <si>
    <t>máy giặt cửa trên</t>
  </si>
  <si>
    <r>
      <t>máy giặt cửa tr</t>
    </r>
    <r>
      <rPr>
        <sz val="11"/>
        <color theme="1"/>
        <rFont val="맑은 고딕"/>
        <family val="2"/>
        <charset val="129"/>
      </rPr>
      <t>ư</t>
    </r>
    <r>
      <rPr>
        <sz val="11"/>
        <color theme="1"/>
        <rFont val="LG스마트체 Regular"/>
        <family val="3"/>
        <charset val="129"/>
      </rPr>
      <t>ớc</t>
    </r>
  </si>
  <si>
    <t>Headset</t>
  </si>
  <si>
    <t>Tai nghe</t>
  </si>
  <si>
    <t>Tai nghe bluetooth</t>
  </si>
  <si>
    <t>Bluetooth headset</t>
  </si>
  <si>
    <t>Tai nghe chống ồn</t>
  </si>
  <si>
    <t>Noise Canceling Headset</t>
  </si>
  <si>
    <t>Tai nghe không dây</t>
  </si>
  <si>
    <t>Wireless headset</t>
  </si>
  <si>
    <t>Tai nghe true wireless</t>
  </si>
  <si>
    <t>True wireless headset</t>
  </si>
  <si>
    <t>Hệ thống loa thanh</t>
  </si>
  <si>
    <t>Soundbar speaker</t>
  </si>
  <si>
    <t>Loa soundbar</t>
  </si>
  <si>
    <t>lg Styler</t>
  </si>
  <si>
    <t>lg Tủ hấp</t>
  </si>
  <si>
    <t>tivi thông minh</t>
  </si>
  <si>
    <t>Màn hình máy tính</t>
  </si>
  <si>
    <r>
      <t>M</t>
    </r>
    <r>
      <rPr>
        <sz val="11"/>
        <color theme="1"/>
        <rFont val="Calibri"/>
        <family val="2"/>
      </rPr>
      <t>á</t>
    </r>
    <r>
      <rPr>
        <sz val="11"/>
        <color theme="1"/>
        <rFont val="LG스마트체 Regular"/>
        <family val="3"/>
        <charset val="129"/>
      </rPr>
      <t>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</t>
    </r>
    <phoneticPr fontId="2" type="noConversion"/>
  </si>
  <si>
    <r>
      <t>b</t>
    </r>
    <r>
      <rPr>
        <sz val="11"/>
        <color theme="1"/>
        <rFont val="Segoe UI"/>
        <family val="3"/>
        <charset val="238"/>
      </rPr>
      <t>ơ</t>
    </r>
    <r>
      <rPr>
        <sz val="11"/>
        <color theme="1"/>
        <rFont val="LG스마트체 Regular"/>
        <family val="3"/>
        <charset val="129"/>
      </rPr>
      <t>m nhi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LG스마트체 Regular"/>
        <family val="3"/>
        <charset val="129"/>
      </rPr>
      <t>t</t>
    </r>
    <phoneticPr fontId="2" type="noConversion"/>
  </si>
  <si>
    <r>
      <t>Máy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 LG</t>
    </r>
    <phoneticPr fontId="2" type="noConversion"/>
  </si>
  <si>
    <t>Máy tính xách tay</t>
  </si>
  <si>
    <r>
      <t>đi</t>
    </r>
    <r>
      <rPr>
        <sz val="11"/>
        <color theme="1"/>
        <rFont val="Calibri"/>
        <family val="3"/>
        <charset val="163"/>
      </rPr>
      <t>ề</t>
    </r>
    <r>
      <rPr>
        <sz val="11"/>
        <color theme="1"/>
        <rFont val="LG스마트체 Regular"/>
        <family val="3"/>
        <charset val="129"/>
      </rPr>
      <t>u h</t>
    </r>
    <r>
      <rPr>
        <sz val="11"/>
        <color theme="1"/>
        <rFont val="Calibri"/>
        <family val="2"/>
      </rPr>
      <t>ò</t>
    </r>
    <r>
      <rPr>
        <sz val="11"/>
        <color theme="1"/>
        <rFont val="LG스마트체 Regular"/>
        <family val="3"/>
        <charset val="129"/>
      </rPr>
      <t>a kh</t>
    </r>
    <r>
      <rPr>
        <sz val="11"/>
        <color theme="1"/>
        <rFont val="Calibri"/>
        <family val="2"/>
      </rPr>
      <t>ô</t>
    </r>
    <r>
      <rPr>
        <sz val="11"/>
        <color theme="1"/>
        <rFont val="LG스마트체 Regular"/>
        <family val="3"/>
        <charset val="129"/>
      </rPr>
      <t>ng kh</t>
    </r>
    <r>
      <rPr>
        <sz val="11"/>
        <color theme="1"/>
        <rFont val="Calibri"/>
        <family val="2"/>
      </rPr>
      <t>í</t>
    </r>
    <phoneticPr fontId="2" type="noConversion"/>
  </si>
  <si>
    <t>màn hình</t>
    <phoneticPr fontId="2" type="noConversion"/>
  </si>
  <si>
    <r>
      <t>màn hình ch</t>
    </r>
    <r>
      <rPr>
        <sz val="11"/>
        <color theme="1"/>
        <rFont val="Segoe UI"/>
        <family val="3"/>
        <charset val="238"/>
      </rPr>
      <t>ơ</t>
    </r>
    <r>
      <rPr>
        <sz val="11"/>
        <color theme="1"/>
        <rFont val="LG스마트체 Regular"/>
        <family val="3"/>
        <charset val="129"/>
      </rPr>
      <t>i game</t>
    </r>
    <phoneticPr fontId="2" type="noConversion"/>
  </si>
  <si>
    <r>
      <t>t</t>
    </r>
    <r>
      <rPr>
        <sz val="11"/>
        <color theme="1"/>
        <rFont val="Calibri"/>
        <family val="3"/>
        <charset val="163"/>
      </rPr>
      <t>ủ</t>
    </r>
    <r>
      <rPr>
        <sz val="11"/>
        <color theme="1"/>
        <rFont val="LG스마트체 Regular"/>
        <family val="3"/>
        <charset val="129"/>
      </rPr>
      <t xml:space="preserve"> l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LG스마트체 Regular"/>
        <family val="3"/>
        <charset val="129"/>
      </rPr>
      <t>nh</t>
    </r>
    <phoneticPr fontId="2" type="noConversion"/>
  </si>
  <si>
    <r>
      <t>máy gi</t>
    </r>
    <r>
      <rPr>
        <sz val="11"/>
        <color theme="1"/>
        <rFont val="Calibri"/>
        <family val="3"/>
        <charset val="163"/>
      </rPr>
      <t>ặ</t>
    </r>
    <r>
      <rPr>
        <sz val="11"/>
        <color theme="1"/>
        <rFont val="LG스마트체 Regular"/>
        <family val="3"/>
        <charset val="129"/>
      </rPr>
      <t>t máy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</t>
    </r>
    <phoneticPr fontId="2" type="noConversion"/>
  </si>
  <si>
    <r>
      <t>máy gi</t>
    </r>
    <r>
      <rPr>
        <sz val="11"/>
        <color theme="1"/>
        <rFont val="Calibri"/>
        <family val="3"/>
        <charset val="163"/>
      </rPr>
      <t>ặ</t>
    </r>
    <r>
      <rPr>
        <sz val="11"/>
        <color theme="1"/>
        <rFont val="LG스마트체 Regular"/>
        <family val="3"/>
        <charset val="129"/>
      </rPr>
      <t>t</t>
    </r>
    <phoneticPr fontId="2" type="noConversion"/>
  </si>
  <si>
    <r>
      <t>Ch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LG스마트체 Regular"/>
        <family val="3"/>
        <charset val="129"/>
      </rPr>
      <t xml:space="preserve">ng </t>
    </r>
    <r>
      <rPr>
        <sz val="11"/>
        <color theme="1"/>
        <rFont val="Calibri"/>
        <family val="3"/>
        <charset val="163"/>
      </rPr>
      <t>ồ</t>
    </r>
    <r>
      <rPr>
        <sz val="11"/>
        <color theme="1"/>
        <rFont val="LG스마트체 Regular"/>
        <family val="3"/>
        <charset val="129"/>
      </rPr>
      <t>n ch</t>
    </r>
    <r>
      <rPr>
        <sz val="11"/>
        <color theme="1"/>
        <rFont val="Calibri"/>
        <family val="3"/>
        <charset val="163"/>
      </rPr>
      <t>ủ</t>
    </r>
    <phoneticPr fontId="2" type="noConversion"/>
  </si>
  <si>
    <r>
      <t>Tai nghe ch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LG스마트체 Regular"/>
        <family val="3"/>
        <charset val="129"/>
      </rPr>
      <t xml:space="preserve">ng </t>
    </r>
    <r>
      <rPr>
        <sz val="11"/>
        <color theme="1"/>
        <rFont val="Calibri"/>
        <family val="3"/>
        <charset val="163"/>
      </rPr>
      <t>ồ</t>
    </r>
    <r>
      <rPr>
        <sz val="11"/>
        <color theme="1"/>
        <rFont val="LG스마트체 Regular"/>
        <family val="3"/>
        <charset val="129"/>
      </rPr>
      <t>n 대체어로 수정됨</t>
    </r>
    <phoneticPr fontId="2" type="noConversion"/>
  </si>
  <si>
    <t>VNLG.comWashing Machinewashing machinemáy giặt</t>
  </si>
  <si>
    <t>VN_LG.com</t>
  </si>
  <si>
    <t>2025-06-05</t>
  </si>
  <si>
    <t>bottom freezer refrigerator</t>
    <phoneticPr fontId="2" type="noConversion"/>
  </si>
  <si>
    <t>geladeira bottom freezer</t>
  </si>
  <si>
    <t>front loader</t>
    <phoneticPr fontId="2" type="noConversion"/>
  </si>
  <si>
    <t>lavadora front load</t>
  </si>
  <si>
    <t>top loader</t>
    <phoneticPr fontId="2" type="noConversion"/>
  </si>
  <si>
    <t>lavadora top load</t>
  </si>
  <si>
    <t>2025-07-10</t>
  </si>
  <si>
    <t>Enceinte portable</t>
    <phoneticPr fontId="2" type="noConversion"/>
  </si>
  <si>
    <t>Enceinte Bluetooth portable</t>
    <phoneticPr fontId="2" type="noConversion"/>
  </si>
  <si>
    <t>Enceinte de fête</t>
    <phoneticPr fontId="2" type="noConversion"/>
  </si>
  <si>
    <t>Son portable</t>
    <phoneticPr fontId="2" type="noConversion"/>
  </si>
  <si>
    <t>séchoir</t>
  </si>
  <si>
    <t>enceinte portable sans fil</t>
  </si>
  <si>
    <t>barre de son de télévision</t>
  </si>
  <si>
    <t>Système de son surround</t>
  </si>
  <si>
    <t>son de la télévision</t>
  </si>
  <si>
    <t>Casque Sans fil</t>
  </si>
  <si>
    <t>Casque</t>
  </si>
  <si>
    <t>Casque Bluetooth</t>
  </si>
  <si>
    <t>مجفف ال جي</t>
    <phoneticPr fontId="2" type="noConversion"/>
  </si>
  <si>
    <t>air treatment</t>
    <phoneticPr fontId="2" type="noConversion"/>
  </si>
  <si>
    <r>
      <rPr>
        <sz val="11"/>
        <color theme="1"/>
        <rFont val="맑은 고딕"/>
        <family val="2"/>
        <charset val="129"/>
      </rPr>
      <t>แล็ปท็อป</t>
    </r>
  </si>
  <si>
    <r>
      <rPr>
        <sz val="11"/>
        <color theme="1"/>
        <rFont val="맑은 고딕"/>
        <family val="2"/>
        <charset val="129"/>
      </rPr>
      <t>แล็ปท็อปน้ําหนักเบา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</si>
  <si>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17 </t>
    </r>
    <r>
      <rPr>
        <sz val="11"/>
        <color theme="1"/>
        <rFont val="맑은 고딕"/>
        <family val="2"/>
        <charset val="129"/>
      </rPr>
      <t>นิ้ว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</si>
  <si>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15 </t>
    </r>
    <r>
      <rPr>
        <sz val="11"/>
        <color theme="1"/>
        <rFont val="맑은 고딕"/>
        <family val="2"/>
        <charset val="129"/>
      </rPr>
      <t>นิ้ว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</si>
  <si>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i7</t>
    </r>
  </si>
  <si>
    <t>入耳式耳機</t>
  </si>
  <si>
    <t>TWS耳機</t>
  </si>
  <si>
    <t>藍牙揚聲器</t>
  </si>
  <si>
    <t>上下門冰箱</t>
  </si>
  <si>
    <t>영문 키워드 없음</t>
    <phoneticPr fontId="2" type="noConversion"/>
  </si>
  <si>
    <t>uhd電視</t>
  </si>
  <si>
    <t>french door refrigerator</t>
    <phoneticPr fontId="2" type="noConversion"/>
  </si>
  <si>
    <t>多門冰箱</t>
  </si>
  <si>
    <t>下門冰箱</t>
  </si>
  <si>
    <t>上門冰箱</t>
  </si>
  <si>
    <t>uhd螢幕</t>
  </si>
  <si>
    <t>藍牙揚聲器</t>
    <phoneticPr fontId="2" type="noConversion"/>
  </si>
  <si>
    <t>may dieu hoa split</t>
    <phoneticPr fontId="2" type="noConversion"/>
  </si>
  <si>
    <t>May Tinh Bang</t>
    <phoneticPr fontId="2" type="noConversion"/>
  </si>
  <si>
    <t>LG Tu Cham Soc Quan Ao Thong Minh</t>
    <phoneticPr fontId="2" type="noConversion"/>
  </si>
  <si>
    <t>man hinh may tinh</t>
  </si>
  <si>
    <t>Caixa Bluetooth</t>
    <phoneticPr fontId="2" type="noConversion"/>
  </si>
  <si>
    <t>Trockner</t>
  </si>
  <si>
    <t>Asciugatrici</t>
    <phoneticPr fontId="2" type="noConversion"/>
  </si>
  <si>
    <t>secador</t>
    <phoneticPr fontId="2" type="noConversion"/>
  </si>
  <si>
    <t>SE</t>
    <phoneticPr fontId="2" type="noConversion"/>
  </si>
  <si>
    <t xml:space="preserve">  air conditioner                              luftkonditionering</t>
  </si>
  <si>
    <t xml:space="preserve">  inverter air conditioner                   inverter luftkonditionering</t>
  </si>
  <si>
    <t xml:space="preserve">  portable air conditioner                  portabel luftkonditionering</t>
  </si>
  <si>
    <t xml:space="preserve">  ELGIGANTEN(SE) 유통 AIR CONDITIONER 관련 키워드 추가 정의 및 개발 요청(11.27 적용 완료)</t>
    <phoneticPr fontId="2" type="noConversion"/>
  </si>
  <si>
    <t xml:space="preserve">             [ 영문 ]                                      [스웨덴어]</t>
  </si>
  <si>
    <t>window inverter air conditioner aire acondicionado inversor de ventana</t>
    <phoneticPr fontId="2" type="noConversion"/>
  </si>
  <si>
    <t>heatpump</t>
  </si>
  <si>
    <t>instance</t>
  </si>
  <si>
    <t>online_store</t>
  </si>
  <si>
    <t>department</t>
  </si>
  <si>
    <t>page</t>
  </si>
  <si>
    <t>media_location</t>
  </si>
  <si>
    <t>url</t>
  </si>
  <si>
    <t>banner_height_in_px</t>
    <phoneticPr fontId="2" type="noConversion"/>
  </si>
  <si>
    <t>banner_width_in_px</t>
    <phoneticPr fontId="2" type="noConversion"/>
  </si>
  <si>
    <r>
      <rPr>
        <sz val="11"/>
        <color theme="1"/>
        <rFont val="LG스마트체 Regular"/>
        <family val="3"/>
        <charset val="129"/>
      </rPr>
      <t>론치구분</t>
    </r>
    <phoneticPr fontId="2" type="noConversion"/>
  </si>
  <si>
    <r>
      <rPr>
        <sz val="11"/>
        <color rgb="FFFF0000"/>
        <rFont val="LG스마트체 Regular"/>
        <family val="3"/>
        <charset val="129"/>
      </rPr>
      <t>파일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출처</t>
    </r>
    <r>
      <rPr>
        <sz val="11"/>
        <color rgb="FFFF0000"/>
        <rFont val="Arial Narrow"/>
        <family val="2"/>
      </rPr>
      <t>: (</t>
    </r>
    <r>
      <rPr>
        <sz val="11"/>
        <color rgb="FFFF0000"/>
        <rFont val="LG스마트체 Regular"/>
        <family val="3"/>
        <charset val="129"/>
      </rPr>
      <t>이팝콘</t>
    </r>
    <r>
      <rPr>
        <sz val="11"/>
        <color rgb="FFFF0000"/>
        <rFont val="Arial Narrow"/>
        <family val="2"/>
      </rPr>
      <t>) Kickoff</t>
    </r>
    <r>
      <rPr>
        <sz val="11"/>
        <color rgb="FFFF0000"/>
        <rFont val="LG스마트체 Regular"/>
        <family val="3"/>
        <charset val="129"/>
      </rPr>
      <t>미팅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시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사전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공유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파일</t>
    </r>
    <r>
      <rPr>
        <sz val="11"/>
        <color rgb="FFFF0000"/>
        <rFont val="Arial Narrow"/>
        <family val="2"/>
      </rPr>
      <t xml:space="preserve"> 
</t>
    </r>
    <r>
      <rPr>
        <sz val="11"/>
        <color rgb="FFFF0000"/>
        <rFont val="LG스마트체 Regular"/>
        <family val="3"/>
        <charset val="129"/>
      </rPr>
      <t>파일명</t>
    </r>
    <r>
      <rPr>
        <sz val="11"/>
        <color rgb="FFFF0000"/>
        <rFont val="Arial Narrow"/>
        <family val="2"/>
      </rPr>
      <t>:  LGEG_2023_Banner_hsad_230313.xlsx</t>
    </r>
    <phoneticPr fontId="2" type="noConversion"/>
  </si>
  <si>
    <t>Audio &amp; Hi Fi</t>
  </si>
  <si>
    <t>Top Banner</t>
  </si>
  <si>
    <t>https://www.amazon.de/gp/browse.html?node=1966060031&amp;ref_=nav_em_T1_0_4_17_4__ah</t>
  </si>
  <si>
    <t>Category Image</t>
  </si>
  <si>
    <t>https://www.amazon.de/s/ref=lp_1966060031_nr_n_2?fst=as%3Aoff&amp;rh=n%3A562066%2Cn%3A%21578112%2Cn%3A%21401384011%2Cn%3A1966060031%2Cn%3A589878&amp;bbn=1966060031&amp;ie=UTF8&amp;qid=1573573681&amp;rnid=1966060031</t>
  </si>
  <si>
    <t>Bathrooms</t>
  </si>
  <si>
    <t>https://www.amazon.de/b/ref=sr_aj?node=10739781&amp;ajr=0</t>
  </si>
  <si>
    <t>Computer</t>
  </si>
  <si>
    <t>https://www.amazon.de/b/ref=sr_aj?node=340843031&amp;ajr=0</t>
  </si>
  <si>
    <t>https://www.amazon.de/Computer-Zubehoer/b/?ie=UTF8&amp;node=340843031&amp;ref_=topnav_storetab_computers</t>
  </si>
  <si>
    <t>Computer accessories</t>
  </si>
  <si>
    <t>Laptops</t>
  </si>
  <si>
    <t>https://www.amazon.de/gp/browse.html?node=427957031&amp;ref_=nav_em__desk_0_2_14_14</t>
  </si>
  <si>
    <t>Elektronik &amp; Foto</t>
  </si>
  <si>
    <t>https://www.amazon.de/s?i=electronics&amp;bbn=562066&amp;rh=n%3A562066&amp;brr=1&amp;qid=1573573741&amp;rd=1&amp;ref=sr_hi_1</t>
  </si>
  <si>
    <t>https://www.amazon.de/b/?node=1197292&amp;ref_=Oct_CateC_761254_0&amp;pf_rd_p=060507e3-dcfe-59e8-8287-1331d0e8bdf4&amp;pf_rd_s=merchandised-search-4&amp;pf_rd_t=101&amp;pf_rd_i=761254&amp;pf_rd_m=A3JWKAKR8XB7XF&amp;pf_rd_r=AE6QYZEP3VBD85RTBDJF&amp;pf_rd_r=AE6QYZEP3VBD85RTBDJF&amp;pf_rd_p=06</t>
  </si>
  <si>
    <t>Food and Drinks</t>
  </si>
  <si>
    <t>Top Carousel</t>
  </si>
  <si>
    <t>https://www.amazon.de/amazon-pantry/b/ref=sd_allcat_prime_pantry?ie=UTF8&amp;node=5787992031</t>
  </si>
  <si>
    <t>Homepage</t>
  </si>
  <si>
    <t>https://www.amazon.de/b?node=5787992031&amp;ref=spkl_3_0_717659647&amp;qid=1456505709&amp;pf_rd_p=717659647&amp;pf_rd_m=A1PA6795UKMFR9&amp;pf_rd_t=301&amp;pf_rd_s=desktop-signpost&amp;pf_rd_r=12VMNBJENW4G1BQ8BFBN&amp;pf_rd_i=Pantry</t>
  </si>
  <si>
    <t>Household</t>
  </si>
  <si>
    <t>https://www.amazon.de/b/ref=DpyCwf2?node=5790360031</t>
  </si>
  <si>
    <t>Monitore</t>
  </si>
  <si>
    <t>https://www.amazon.de/Monitore/b/?ie=UTF8&amp;node=429868031&amp;ref_=sv_computers_8</t>
  </si>
  <si>
    <t>TV, Fernseher &amp; Heimkino</t>
  </si>
  <si>
    <t>https://www.amazon.de/b/?node=761254&amp;ref_=Oct_CateC_562066_2&amp;pf_rd_p=7cc21670-a8b7-5553-b471-b1ef627064a7&amp;pf_rd_s=merchandised-search-4&amp;pf_rd_t=101&amp;pf_rd_i=562066&amp;pf_rd_m=A3JWKAKR8XB7XF&amp;pf_rd_r=0T2RS4SM84F4GF7K9375&amp;pf_rd_r=0T2RS4SM84F4GF7K9375&amp;pf_rd_p=7cc21670-a8b7-5553-b471-b1ef627064a7</t>
  </si>
  <si>
    <t>MediaMarkt</t>
  </si>
  <si>
    <t>Haushaltsgro��geräte</t>
  </si>
  <si>
    <t>Haushaltsgroßgeräte</t>
  </si>
  <si>
    <t>https://www.mediamarkt.de/de/category/_haushaltsgro%C3%9Fger%C3%A4te-662008.html</t>
  </si>
  <si>
    <t>Middle Banner</t>
  </si>
  <si>
    <t>Middle Carousel</t>
  </si>
  <si>
    <t>Kühlen &amp; Gefrieren</t>
  </si>
  <si>
    <t>https://www.mediamarkt.de/de/category/_k%C3%BChlen-gefrieren-459516.html</t>
  </si>
  <si>
    <t>Wäsche</t>
  </si>
  <si>
    <t>https://www.mediamarkt.de/de/category/_w%C3%A4sche-459510.html</t>
  </si>
  <si>
    <t>Brand Image</t>
  </si>
  <si>
    <t>https://www.mediamarkt.de/</t>
  </si>
  <si>
    <t>Kühl-Gefrierkombinationen</t>
  </si>
  <si>
    <t>https://www.mediamarkt.de/de/category/_k%C3%BChl-gefrierkombinationen-459548.html</t>
  </si>
  <si>
    <t>Kühlschränke</t>
  </si>
  <si>
    <t>https://www.mediamarkt.de/de/category/_k%C3%BChlschr%C3%A4nke-463499.html</t>
  </si>
  <si>
    <t>TV &amp; Audio</t>
  </si>
  <si>
    <t>https://www.mediamarkt.de/de/category/_fernseher-460666.html</t>
  </si>
  <si>
    <t>https://www.mediamarkt.de/de/category/_tv-audio-460665.html</t>
  </si>
  <si>
    <t>https://www.mediamarkt.de/de/category/_waschmaschinen-459521.html</t>
  </si>
  <si>
    <t>https://www.mediamarkt.de/de/category/_waschtrockner-459523.html</t>
  </si>
  <si>
    <t>Saturn</t>
  </si>
  <si>
    <t>Audio</t>
  </si>
  <si>
    <t>https://www.saturn.de/de/category/_audio-687009.html</t>
  </si>
  <si>
    <t>https://www.saturn.de/de/category/_lautsprecher-522105.html</t>
  </si>
  <si>
    <t>Lautsprecher, Bluetooth-Lautsprecher</t>
  </si>
  <si>
    <t>https://www.saturn.de/de/category/_bluetooth-lautsprecher-586515.html</t>
  </si>
  <si>
    <t>Haushalt + Garten</t>
  </si>
  <si>
    <t>https://www.saturn.de/de/category/_haushalt-garten-456017.html</t>
  </si>
  <si>
    <t>HAUSHALT + GARTEN</t>
  </si>
  <si>
    <t>Küche</t>
  </si>
  <si>
    <t>https://www.saturn.de/de/category/_k%C3%BCche-475959.html</t>
  </si>
  <si>
    <t>Tv + Beamer</t>
  </si>
  <si>
    <t>https://www.saturn.de/de/category/_fernseher-474967.html</t>
  </si>
  <si>
    <t>Promo Banner</t>
  </si>
  <si>
    <t>Fernseher, Smart TVs</t>
  </si>
  <si>
    <t>https://www.saturn.de/de/category/_tv-beamer-474966.html</t>
  </si>
  <si>
    <t>DK</t>
    <phoneticPr fontId="2" type="noConversion"/>
  </si>
  <si>
    <t>Elkjop</t>
    <phoneticPr fontId="2" type="noConversion"/>
  </si>
  <si>
    <t>Middle Carousel</t>
    <phoneticPr fontId="2" type="noConversion"/>
  </si>
  <si>
    <t>Top Banner</t>
    <phoneticPr fontId="2" type="noConversion"/>
  </si>
  <si>
    <t>Top Carousel</t>
    <phoneticPr fontId="2" type="noConversion"/>
  </si>
  <si>
    <t>Hvidevarer</t>
  </si>
  <si>
    <t>https://www.elgiganten.dk/hvidevarer</t>
  </si>
  <si>
    <t>Køleskabe &amp; Fryseskabe</t>
    <phoneticPr fontId="2" type="noConversion"/>
  </si>
  <si>
    <t>https://www.elgiganten.dk/hvidevarer/koleskabe-fryseskabe</t>
  </si>
  <si>
    <t>Vask &amp; Tør</t>
    <phoneticPr fontId="2" type="noConversion"/>
  </si>
  <si>
    <t>https://www.elgiganten.dk/hvidevarer/vask-tor</t>
  </si>
  <si>
    <t>ELECTRÓNICA</t>
  </si>
  <si>
    <t>https://www.amazon.es/s/ref=s9_acss_bw_h1_CHANGEME_md2_w?node=934056031&amp;pf_rd_m=A1AT7YVPFBWXBL&amp;pf_rd_s=merchandised-search-1&amp;pf_rd_r=27H4ZZXMSGNQTT2FGR2S&amp;pf_rd_t=101&amp;pf_rd_p=dac9584a-f95e-4361-856c-712a7f8f22e4&amp;pf_rd_i=664684031</t>
  </si>
  <si>
    <t>Sponsored Image</t>
  </si>
  <si>
    <t>Informática</t>
  </si>
  <si>
    <t>https://www.amazon.es/s/ref=lp_937992031_ex_n_1?rh=n%3A667049031&amp;bbn=667049031&amp;ie=UTF8&amp;qid=1579594214</t>
  </si>
  <si>
    <t>Portátiles</t>
  </si>
  <si>
    <t>https://www.amazon.es/gp/browse.html?node=938008031&amp;ref_=nav_em_0_2_14_2__lap</t>
  </si>
  <si>
    <t>Right Banner</t>
  </si>
  <si>
    <t>Sponsored Product</t>
  </si>
  <si>
    <t>Sponsored Products</t>
  </si>
  <si>
    <t>Ordinateurs de bureau et Écrans</t>
  </si>
  <si>
    <t>https://www.amazon.fr/gp/browse.html?node=514848031&amp;ref_=nav_em__ord_bur_ecr_0_2_14_4</t>
  </si>
  <si>
    <t>Mediaworld</t>
  </si>
  <si>
    <t>Grandi elettrodomestici</t>
  </si>
  <si>
    <t>Frigoiferi</t>
  </si>
  <si>
    <t>https://www.mediaworld.it/catalogo/grandi-elettrodomestici/frigoriferi</t>
  </si>
  <si>
    <t>Left Banner</t>
  </si>
  <si>
    <t>https://www.mediaworld.it/catalogo/grandi-elettrodomestici</t>
  </si>
  <si>
    <t>Lavatrici</t>
  </si>
  <si>
    <t>https://www.mediaworld.it/catalogo/grandi-elettrodomestici/lavatrici</t>
  </si>
  <si>
    <t>Tv audio e home cinema</t>
  </si>
  <si>
    <t>https://www.mediaworld.it/catalogo/tv-audio-e-home-cinema/audio</t>
  </si>
  <si>
    <t>Casse Bluetooth</t>
  </si>
  <si>
    <t>https://www.mediaworld.it/catalogo/tv-audio-e-home-cinema/audio/casse-bluetooth</t>
  </si>
  <si>
    <t>https://www.mediaworld.it/catalogo/tv-audio-e-home-cinema/tv</t>
  </si>
  <si>
    <t>https://www.mediaworld.it/catalogo/tv-audio-e-home-cinema</t>
  </si>
  <si>
    <t>Coolblue</t>
  </si>
  <si>
    <t>Grote keukenapparatuur</t>
  </si>
  <si>
    <t>https://www.coolblue.nl/grote-keukenapparatuur</t>
  </si>
  <si>
    <t>Koelkasten</t>
  </si>
  <si>
    <t>https://www.coolblue.nl/koelkasten</t>
  </si>
  <si>
    <t>Laptops, desktops &amp; monitoren</t>
  </si>
  <si>
    <t>https://www.coolblue.nl/monitoren</t>
  </si>
  <si>
    <t>Portable audio</t>
  </si>
  <si>
    <t>Draadloze en bluetooth oordopjes</t>
  </si>
  <si>
    <t>https://www.coolblue.nl/oordopjes/draadloos</t>
  </si>
  <si>
    <t>Oordopjes</t>
  </si>
  <si>
    <t>https://www.coolblue.nl/oordopjes</t>
  </si>
  <si>
    <t>Radios &amp; Speakers</t>
  </si>
  <si>
    <t>Draadloze speakers</t>
  </si>
  <si>
    <t>https://www.coolblue.nl/draadloze-speakers</t>
  </si>
  <si>
    <t>https://www.coolblue.nl/radios-speakers</t>
  </si>
  <si>
    <t>Televisies &amp; beamers</t>
  </si>
  <si>
    <t>Televisies</t>
  </si>
  <si>
    <t>https://www.coolblue.nl/televisies</t>
  </si>
  <si>
    <t>Small Banner</t>
  </si>
  <si>
    <t>https://www.coolblue.nl/televisies-beamers</t>
  </si>
  <si>
    <t>Wassen &amp; drogen</t>
  </si>
  <si>
    <t>Was- droogcombinaties</t>
  </si>
  <si>
    <t>https://www.coolblue.nl/was-droogcombinaties</t>
  </si>
  <si>
    <t>Wasmachines</t>
  </si>
  <si>
    <t>https://www.coolblue.nl/wasmachines</t>
  </si>
  <si>
    <t>https://www.coolblue.nl/wassen-drogen</t>
  </si>
  <si>
    <t>Elgiganten</t>
  </si>
  <si>
    <t>https://www.elgiganten.se/catalog/vitvaror/se-torktumlare/torktumlare</t>
  </si>
  <si>
    <t>Kombinerad tvättmaskin med torktumlare</t>
  </si>
  <si>
    <t>https://www.elgiganten.se/catalog/vitvaror/se-tvattmaskin-med-torktumlare/kombinerad-tvattmaskin-med-torktumlare</t>
  </si>
  <si>
    <t>Kyl Frys Kombiskåp</t>
  </si>
  <si>
    <t>https://www.elgiganten.se/catalog/vitvaror/kyl-och-frys/se-kyl-frys-kombiskap/kyl-frys-kombiskap</t>
  </si>
  <si>
    <t>Kyl Frys Side-by-side</t>
  </si>
  <si>
    <t>https://www.elgiganten.se/catalog/vitvaror/kyl-och-frys/se-kyl-frys-side-by-side/kyl-frys-side-by-side</t>
  </si>
  <si>
    <t>Kyl och Frys</t>
  </si>
  <si>
    <t>https://www.elgiganten.se/catalog/vitvaror/se-kyl-frys/kyl-och-frys</t>
  </si>
  <si>
    <t>Kyl-frys French doors</t>
  </si>
  <si>
    <t>https://www.elgiganten.se/catalog/vitvaror/kyl-och-frys/se-kyl-frys-french-doors/kyl-frys-french-doors</t>
  </si>
  <si>
    <t>Ljud &amp; HiFi</t>
  </si>
  <si>
    <t>Högtalare</t>
  </si>
  <si>
    <t>https://www.elgiganten.se/catalog/ljud-hifi/se-hogtalare/hogtalare</t>
  </si>
  <si>
    <t>Högtalare, Bluetooth Högtalare</t>
  </si>
  <si>
    <t>https://www.elgiganten.se/catalog/ljud-hifi/hogtalare/se-bluetooth-hogtalare/bluetooth-hogtalare</t>
  </si>
  <si>
    <t>https://www.elgiganten.se/catalog/se-ljud-hifi/ljud-hifi</t>
  </si>
  <si>
    <t>TV &amp; Bild</t>
  </si>
  <si>
    <t>https://www.elgiganten.se/catalog/tv-bild/se_tv/tv</t>
  </si>
  <si>
    <t>https://www.elgiganten.se/catalog/se-tv-bild/tv-bild</t>
  </si>
  <si>
    <t>Vitaror</t>
  </si>
  <si>
    <t>https://www.elgiganten.se/catalog/vitvaror/kyl-och-frys/se-kylskap/kylskap</t>
  </si>
  <si>
    <t>https://www.elgiganten.se/catalog/vitvaror/se_tvattmaskin/tvattmaskin</t>
  </si>
  <si>
    <t>Bottom Banner</t>
  </si>
  <si>
    <t>https://www.elgiganten.se/catalog/se_vitvaror/vitvaror</t>
  </si>
  <si>
    <t>Baby</t>
  </si>
  <si>
    <t>https://www.amazon.co.uk/Baby-Car-Seats-Prams-Nursery/b/ref=nav_shopall_ba?ie=UTF8&amp;node=59624031</t>
  </si>
  <si>
    <t>Computers &amp; Accessories</t>
  </si>
  <si>
    <t>https://www.amazon.co.uk/s/ref=lp_428652031_ex_n_1?rh=n%3A340831031&amp;bbn=340831031&amp;ie=UTF8&amp;qid=1576220789</t>
  </si>
  <si>
    <t>Monitors</t>
  </si>
  <si>
    <t>https://www.amazon.co.uk/computers-accessories/b/?ie=UTF8&amp;node=340831031&amp;ref_=topnav_storetab_computers</t>
  </si>
  <si>
    <t>Dispensers</t>
  </si>
  <si>
    <t>https://www.amazon.co.uk/b/ref=sr_aj?node=3178500031&amp;ajr=0</t>
  </si>
  <si>
    <t>Electronics &amp; Photo</t>
  </si>
  <si>
    <t>https://www.amazon.co.uk/s/ref=lp_4085831_ex_n_1?rh=n%3A560798&amp;bbn=560798&amp;ie=UTF8&amp;qid=1576220340</t>
  </si>
  <si>
    <t>Home Cinema, TV &amp; Video</t>
  </si>
  <si>
    <t>https://www.amazon.co.uk/s/ref=lp_560798_nr_n_7?fst=as%3Aoff&amp;rh=n%3A560798%2Cn%3A%21560800%2Cn%3A560858&amp;bbn=560800&amp;ie=UTF8&amp;qid=1573568876&amp;rnid=560800</t>
  </si>
  <si>
    <t>Headphones, Earphones &amp; Accessories</t>
  </si>
  <si>
    <t>Headphones &amp; Earphones</t>
  </si>
  <si>
    <t>https://www.amazon.co.uk/gp/browse.html?node=4085731&amp;ref_=nav_em__headphones_0_2_13_5</t>
  </si>
  <si>
    <t>Hi Fi &amp; Home Audio</t>
  </si>
  <si>
    <t>https://www.amazon.co.uk/b/?node=4085831&amp;ref_=Oct_CateC_560798_4085831&amp;pf_rd_p=bbde9d8c-feaa-56b9-bfb6-7f37a57431f7&amp;pf_rd_s=merchandised-search-4&amp;pf_rd_t=101&amp;pf_rd_i=560798&amp;pf_rd_m=A3P5ROKL5A1OLE&amp;pf_rd_r=67DZ3NXXRGD96A739N4S&amp;pf_rd_r=67DZ3NXXRGD96A739N4S&amp;pf_rd_p=bbde9d8c-feaa-56b9-bfb6-7f37a57431f7</t>
  </si>
  <si>
    <t>https://www.amazon.co.uk/b/?node=4085831&amp;ref_=Oct_CateC_560798_4085831&amp;pf_rd_p=bbde9d8c-feaa-56b9-bfb6-7f37a57431f7&amp;pf_rd_s=merchandised-search-4&amp;pf_rd_t=101&amp;pf_rd_i=560798&amp;pf_rd_m=A3P5ROKL5A1OLE&amp;pf_rd_r=67DZ3NXXRGD96A739N4S&amp;pf_rd_r=67DZ3NXXRGD96A739N4S&amp;p</t>
  </si>
  <si>
    <t>Hi-Fi &amp; Home Audio</t>
  </si>
  <si>
    <t>https://www.amazon.co.uk/s/ref=lp_4085831_ex_n_1?rh=n%3A560798%2Cn%3A%21560800%2Cn%3A4085821&amp;bbn=4085821&amp;ie=UTF8&amp;qid=1576220340</t>
  </si>
  <si>
    <t>Home &amp; Kitchen</t>
  </si>
  <si>
    <t>https://www.amazon.co.uk/b/ref=sr_aj?node=11052681&amp;ajr=0</t>
  </si>
  <si>
    <t>https://www.amazon.co.uk/b/?_encoding=UTF8&amp;node=428652031&amp;bbn=560798&amp;ref_=Oct_CateC_949408031_1&amp;pf_rd_p=e1c49cdd-7b8e-57a8-a1b7-51ccb85734ad&amp;pf_rd_s=merchandised-search-4&amp;pf_rd_t=101&amp;pf_rd_i=949408031&amp;pf_rd_m=A3P5ROKL5A1OLE&amp;pf_rd_r=JHSKMGZQ2EZ4JGHH1ZA0&amp;pf</t>
  </si>
  <si>
    <t>TV Store</t>
  </si>
  <si>
    <t>https://www.amazon.co.uk/b/?_encoding=UTF8&amp;node=560864&amp;bbn=560798&amp;ref_=Oct_CateC_560858_0&amp;pf_rd_p=b3f82395-a550-5ae7-9e54-5a39fb76e117&amp;pf_rd_s=merchandised-search-4&amp;pf_rd_t=101&amp;pf_rd_i=560858&amp;pf_rd_m=A3P5ROKL5A1OLE&amp;pf_rd_r=8KWGCVVF37TS90QD9GDD&amp;pf_rd_r=8KWGCVVF37TS90QD9GDD&amp;pf_rd_p=b3f82395-a550-5ae7-9e54-5a39fb76e117</t>
  </si>
  <si>
    <t>https://www.amazon.co.uk/b/?_encoding=UTF8&amp;node=560864&amp;bbn=560798&amp;ref_=Oct_CateC_560858_0&amp;pf_rd_p=b3f82395-a550-5ae7-9e54-5a39fb76e117&amp;pf_rd_s=merchandised-search-4&amp;pf_rd_t=101&amp;pf_rd_i=560858&amp;pf_rd_m=A3P5ROKL5A1OLE&amp;pf_rd_r=8KWGCVVF37TS90QD9GDD&amp;pf_rd_r=8KW</t>
  </si>
  <si>
    <t>Computing</t>
  </si>
  <si>
    <t>https://ao.com/computing/?mmref=computing||Computing|2_0_0</t>
  </si>
  <si>
    <t>Free Standing Washing Machines</t>
  </si>
  <si>
    <t>https://ao.com/l/washing_machines-free_standing/1-9/1/?mmref=laundry|washing_machines|Freestanding%20Washing%20Machines|5_1_1</t>
  </si>
  <si>
    <t>Fridge Freezers</t>
  </si>
  <si>
    <t>Free Standing</t>
  </si>
  <si>
    <t>https://ao.com/l/fridge_freezers-free_standing/1-9/26-28/</t>
  </si>
  <si>
    <t>https://ao.com/cooling/fridge-freezers</t>
  </si>
  <si>
    <t>https://ao.com/cooling/fridges</t>
  </si>
  <si>
    <t>Fridges &amp; Freezers</t>
  </si>
  <si>
    <t>https://ao.com/cooling?mmref=cooling||Fridges%20%26%20Freezers|7_0_0</t>
  </si>
  <si>
    <t>https://ao.com/</t>
  </si>
  <si>
    <t>https://ao.com/computing/laptops</t>
  </si>
  <si>
    <t>Laundry</t>
  </si>
  <si>
    <t>https://ao.com/laundry?a=b&amp;mmref=laundry||Laundry|5_0_0</t>
  </si>
  <si>
    <t>Refridgerators</t>
  </si>
  <si>
    <t>https://ao.com/l/fridges/1/29-30/</t>
  </si>
  <si>
    <t>Sound &amp; Vision</t>
  </si>
  <si>
    <t>TVs</t>
  </si>
  <si>
    <t>https://ao.com/l/tvs/1/107-108/</t>
  </si>
  <si>
    <t>TV &amp; Entertainment</t>
  </si>
  <si>
    <t>https://ao.com/tv-and-entertainment?mmref=tv_entertainment||TV%20%26%20Entertainment|1_0_0</t>
  </si>
  <si>
    <t>https://ao.com/l/american_fridge_freezers/1/26-27/</t>
  </si>
  <si>
    <t>https://ao.com/tv-and-entertainment/tvs?mmref=tv_entertainment|tvs|TVs|1_1_0</t>
  </si>
  <si>
    <t>https://ao.com/laundry/washing-machines</t>
  </si>
  <si>
    <t>Argos</t>
  </si>
  <si>
    <t>https://www.argos.co.uk/</t>
  </si>
  <si>
    <t>Technology</t>
  </si>
  <si>
    <t>Headphones and earphones</t>
  </si>
  <si>
    <t>Side Banner</t>
  </si>
  <si>
    <t>https://www.argos.co.uk/browse/technology/headphones-and-earphones/c:30128/?clickOrigin=header:home:menu:headphones+and+earphones</t>
  </si>
  <si>
    <t>Home Audio, Wireless and Bluetooth speakers</t>
  </si>
  <si>
    <t>https://www.argos.co.uk/browse/technology/c:29949/</t>
  </si>
  <si>
    <t>Laptops &amp; PCS, Desktop computers and all in ones</t>
  </si>
  <si>
    <t>https://www.argos.co.uk/browse/technology/televisions-and-accessories/c:29955/</t>
  </si>
  <si>
    <t>Laptops &amp; PCS, PC Monitors &amp; Stands, Monitors</t>
  </si>
  <si>
    <t>https://www.argos.co.uk/browse/technology/laptops-and-pcs/c:29953/</t>
  </si>
  <si>
    <t>Televisions &amp; Accessories, Televisions</t>
  </si>
  <si>
    <t>https://www.argos.co.uk/browse/technology/laptops-and-pcs/pc-monitors-and-stands/c:30046/</t>
  </si>
  <si>
    <t>Televisions &amp; Accessories, TV aerials, boosters and accessories</t>
  </si>
  <si>
    <t>https://www.argos.co.uk/browse/technology/home-audio/c:29958/</t>
  </si>
  <si>
    <t>TheGoodGuys</t>
  </si>
  <si>
    <t>All TVs</t>
  </si>
  <si>
    <t>https://www.thegoodguys.com.au/televisions/all-tvs</t>
  </si>
  <si>
    <t>Cooking &amp; Dishwashers</t>
  </si>
  <si>
    <t>https://www.thegoodguys.com.au/cooking-and-dishwashers</t>
  </si>
  <si>
    <t>Dishwashers</t>
  </si>
  <si>
    <t>https://www.thegoodguys.com.au/cooking-and-dishwashers/dishwashers</t>
  </si>
  <si>
    <t>Dryers</t>
  </si>
  <si>
    <t>https://www.thegoodguys.com.au/dryers</t>
  </si>
  <si>
    <t>https://www.thegoodguys.com.au/laundry</t>
  </si>
  <si>
    <t>https://www.thegoodguys.com.au/fridges-and-freezers</t>
  </si>
  <si>
    <t>Refrigerators</t>
  </si>
  <si>
    <t>https://www.thegoodguys.com.au/refrigerators</t>
  </si>
  <si>
    <t>RIght Banner</t>
  </si>
  <si>
    <t>https://www.thegoodguys.com.au/washing-machines</t>
  </si>
  <si>
    <t>Televisions</t>
  </si>
  <si>
    <t>https://www.thegoodguys.com.au/televisions</t>
  </si>
  <si>
    <t>Vacuums &amp; Cleaners</t>
  </si>
  <si>
    <t>Stick Vacuums</t>
  </si>
  <si>
    <t>https://www.thegoodguys.com.au/stick-vacuums</t>
  </si>
  <si>
    <t>https://www.thegoodguys.com.au/vacuums-and-cleaners</t>
  </si>
  <si>
    <t>Lowes</t>
  </si>
  <si>
    <t>Appliances</t>
  </si>
  <si>
    <t>https://www.lowes.ca/dept/appliances-a2</t>
  </si>
  <si>
    <t>Shop By Category</t>
  </si>
  <si>
    <t>Alkosto</t>
  </si>
  <si>
    <t>https://www.alkosto.com/audio</t>
  </si>
  <si>
    <t>Computadores y Tablets</t>
  </si>
  <si>
    <t>https://www.alkosto.com/computadores-y-tablets</t>
  </si>
  <si>
    <t>Electrohogar</t>
  </si>
  <si>
    <t>https://www.alkosto.com/electro</t>
  </si>
  <si>
    <t>Monitores</t>
  </si>
  <si>
    <t>https://www.alkosto.com/computadores-y-tablets/monitores</t>
  </si>
  <si>
    <t>Parlantes</t>
  </si>
  <si>
    <t>https://www.alkosto.com/audio/parlantes</t>
  </si>
  <si>
    <t>Televisores</t>
  </si>
  <si>
    <t>https://www.alkosto.com/tv/televisores#lineal</t>
  </si>
  <si>
    <t>TV y Video</t>
  </si>
  <si>
    <t>https://www.alkosto.com/tv</t>
  </si>
  <si>
    <t>https://www.otto.de/technik/audio/</t>
  </si>
  <si>
    <t>https://www.otto.de/technik/fernseher</t>
  </si>
  <si>
    <t>Haushalt</t>
  </si>
  <si>
    <t>https://www.otto.de/haushalt/</t>
  </si>
  <si>
    <t>https://www.otto.de/moebel/?ansicht=einstieg&amp;thema=kueche</t>
  </si>
  <si>
    <t>https://www.otto.de/haushalt/kuehlschraenke/</t>
  </si>
  <si>
    <t>Multimedia</t>
  </si>
  <si>
    <t>https://www.otto.de/technik/fernseher/?ansicht=einstieg</t>
  </si>
  <si>
    <t>https://www.otto.de/technik/laptop/?ansicht=einstieg</t>
  </si>
  <si>
    <t>https://www.otto.de/technik/laptop/</t>
  </si>
  <si>
    <t>https://www.otto.de/technik/audio/lautsprecher/</t>
  </si>
  <si>
    <t>https://www.otto.de/technik/multimedia/</t>
  </si>
  <si>
    <t>Banner Image</t>
  </si>
  <si>
    <t>https://www.otto.de/switch/haushalt/waschmaschinen/?ansicht=einstieg</t>
  </si>
  <si>
    <t>ElCorteIngles_electronica</t>
  </si>
  <si>
    <t>Computers</t>
  </si>
  <si>
    <t>Ordenadores</t>
  </si>
  <si>
    <t>https://www.elcorteingles.es/electronica/ordenadores/?level=6</t>
  </si>
  <si>
    <t>Electrodomésticos</t>
  </si>
  <si>
    <t>https://www.elcorteingles.es/electrodomesticos/?level=1</t>
  </si>
  <si>
    <t>Frigoríficos y Congeladores</t>
  </si>
  <si>
    <t>https://www.elcorteingles.es/electrodomesticos/frigorificos-y-congeladores/?level=6</t>
  </si>
  <si>
    <t>Electrónica</t>
  </si>
  <si>
    <t>AURICULARES</t>
  </si>
  <si>
    <t>https://www.elcorteingles.es/electronica/sonido/auriculares/</t>
  </si>
  <si>
    <t>https://www.elcorteingles.es/electronica/?level=1</t>
  </si>
  <si>
    <t>Sonido</t>
  </si>
  <si>
    <t>https://www.elcorteingles.es/electronica/sonido/?level=4</t>
  </si>
  <si>
    <t>https://www.elcorteingles.es/electronica/tv/?level=6</t>
  </si>
  <si>
    <t>https://www.elcorteingles.es/?nobeta=true</t>
  </si>
  <si>
    <t>https://www.elcorteingles.es/electronica/tv/tv-led/?level=6</t>
  </si>
  <si>
    <t>https://www.elcorteingles.es/electronica/tv/tv-oled/?level=6</t>
  </si>
  <si>
    <t>Altavoces</t>
  </si>
  <si>
    <t>https://www.mediamarkt.es/es/category/_altavoces-701223.html</t>
  </si>
  <si>
    <t>Audio y HiFi</t>
  </si>
  <si>
    <t>https://www.mediamarkt.es/es/category/_audio-y-hifi-701131.html</t>
  </si>
  <si>
    <t>Hogar</t>
  </si>
  <si>
    <t>Climatización y calefacción</t>
  </si>
  <si>
    <t>https://www.mediamarkt.es/es/category/_climatizaci%C3%B3n-y-calefacci%C3%B3n-701134.html</t>
  </si>
  <si>
    <t>Cocina</t>
  </si>
  <si>
    <t>https://www.mediamarkt.es/es/category/_cocina-701132.html</t>
  </si>
  <si>
    <t>https://www.mediamarkt.es/es/category/_hogar-701117.html</t>
  </si>
  <si>
    <t>https://www.mediamarkt.es/?ref=logo_rh</t>
  </si>
  <si>
    <t>https://www.mediamarkt.es/es/category/_inform%C3%A1tica-701127.html</t>
  </si>
  <si>
    <t>Tv y Audio</t>
  </si>
  <si>
    <t>https://www.mediamarkt.es/es/category/_tv-y-audio-701116.html</t>
  </si>
  <si>
    <t>Boulanger</t>
  </si>
  <si>
    <t>Enceintes</t>
  </si>
  <si>
    <t>Bottom Carousel</t>
  </si>
  <si>
    <t>https://www.boulanger.com/c/dock-enceinte</t>
  </si>
  <si>
    <t>Gros électroménager</t>
  </si>
  <si>
    <t>https://www.boulanger.com/c/gros-electro-menager</t>
  </si>
  <si>
    <t>Lave-Linge</t>
  </si>
  <si>
    <t>https://www.boulanger.com/c/lave-linge</t>
  </si>
  <si>
    <t>Side Carousel</t>
  </si>
  <si>
    <t>Lave-Vaisselle</t>
  </si>
  <si>
    <t>https://www.boulanger.com/c/tous-les-lave-vaisselle</t>
  </si>
  <si>
    <t>https://www.boulanger.com/c/refrigerateur</t>
  </si>
  <si>
    <t>Image - Son</t>
  </si>
  <si>
    <t>Ecouteurs</t>
  </si>
  <si>
    <t>Enceinte Sans Fil</t>
  </si>
  <si>
    <t>https://www.boulanger.com/c/enceinte-portable</t>
  </si>
  <si>
    <t>Enceinte Sans Fil, Enceinte Bluetooth</t>
  </si>
  <si>
    <t>https://www.boulanger.com/c/enceinte-portable/_usage~enceinte20bluetooth</t>
  </si>
  <si>
    <t>https://www.boulanger.com/c/image-son</t>
  </si>
  <si>
    <t>Téléviseur</t>
  </si>
  <si>
    <t>https://www.boulanger.com/c/televiseur/_usage~tv20oled</t>
  </si>
  <si>
    <t>https://www.boulanger.com/c/televiseur</t>
  </si>
  <si>
    <t>Informatique - Tablette</t>
  </si>
  <si>
    <t>https://www.boulanger.com/c/ecran-pc-moniteur/facettes_moniteur_pc_____resolution_en_pixels~4k</t>
  </si>
  <si>
    <t>https://www.boulanger.com/c/ecran-pc-moniteur/facettes_moniteur_pc_____utilisation~bureautique</t>
  </si>
  <si>
    <t>https://www.boulanger.com/c/ecran-pc-moniteur/facettes_moniteur_pc_____forme_de_l_ecran~incurve9</t>
  </si>
  <si>
    <t>https://www.boulanger.com/c/moniteur-gamer</t>
  </si>
  <si>
    <t>Lave-vaisselle</t>
  </si>
  <si>
    <t>https://www.boulanger.com/c/lave-vaisselle</t>
  </si>
  <si>
    <t>Darty</t>
  </si>
  <si>
    <t>Audio, HiFi, Casque</t>
  </si>
  <si>
    <t>https://www.darty.com/nav/achat/audio_mp3_mp4/index.html#dartyclic=X_audi-hifi-casq</t>
  </si>
  <si>
    <t>https://www.darty.com/nav/achat/gros_electromenager/index.html#dartyclic=X_gros-elec</t>
  </si>
  <si>
    <t>Lave-linge</t>
  </si>
  <si>
    <t>https://www.darty.com/nav/achat/gros_electromenager/lave-linge/lave_linge_sechant/index.html#dartyclic=X_gros-elec_lave-ling_lave-ling-sech</t>
  </si>
  <si>
    <t>https://www.darty.com/nav/achat/gros_electromenager/lave-vaisselle/lave_vaisselle/filtre__lave_vaisselle_60_cm__1683906.html#dartyclic=X_gros-elec_lave-vais_lave-vais-60-cm</t>
  </si>
  <si>
    <t>https://www.darty.com/nav/achat/gros_electromenager/refrigerateurs/index.html#dartyclic=X_gros-elec_refr</t>
  </si>
  <si>
    <t>https://www.darty.com/nav/achat/gros_electromenager/refrigerateur_congelateur/refrigerateur_americain/index.html#dartyclic=X_gros-elec_refr_refr-amer</t>
  </si>
  <si>
    <t>https://www.darty.com/nav/achat/gros_electromenager/refrigerateur_congelateur/index.html#dartyclic=X_gros-elec_refr_refr-cong</t>
  </si>
  <si>
    <t>Gros électroménager &gt; Lave-linge</t>
  </si>
  <si>
    <t>Lave linge hublot</t>
  </si>
  <si>
    <t>https://www.darty.com/nav/achat/gros_electromenager/lave-linge/lave_linge_hublot/index.html#dartyclic=X_gros-elec_lave-ling_lave-ling-hubl</t>
  </si>
  <si>
    <t>Gros électroménager &gt; Lave-vaisselle</t>
  </si>
  <si>
    <t>https://www.darty.com/nav/achat/gros_electromenager/lave-vaisselle/lave_vaisselle/index.html</t>
  </si>
  <si>
    <t>Gros électroménager &gt; Lave-vaisselle &gt; Lave vaisselle</t>
  </si>
  <si>
    <t>Format du lave vaisselle 60 cm</t>
  </si>
  <si>
    <t>Gros électroménager &gt; Réfrigérateur</t>
  </si>
  <si>
    <t>Réfrigérateur 1 porte</t>
  </si>
  <si>
    <t>https://www.darty.com/nav/achat/gros_electromenager/refrigerateurs/refrigerateur_armoire/index.html?&amp;show_pack=true#dartyclic=X_gros-elec_refr_refr-1-port</t>
  </si>
  <si>
    <t>Gros électroménager &gt; Réfrigérateur congélateur</t>
  </si>
  <si>
    <t>Refrigerateur americain</t>
  </si>
  <si>
    <t>Réfrigérateur multi-portes</t>
  </si>
  <si>
    <t>https://www.darty.com/nav/achat/gros_electromenager/refrigerateur_congelateur/refrigerateur_multi-portes/index.html#dartyclic=X_gros-elec_refr_refr-mult-port</t>
  </si>
  <si>
    <t>TV, Vidéo, Home cinéma</t>
  </si>
  <si>
    <t>https://www.darty.com/nav/achat/hifi_video/televiseurs-led/grand_ecran_led/index.html#dartyclic=X_tv-vide-et-home-cine_tele_tv-led</t>
  </si>
  <si>
    <t>https://www.darty.com/nav/achat/hifi_video/tous_ecrans_plats/index.html#dartyclic=X_tv-vide-et-home-cine_tele_tous-les-tv</t>
  </si>
  <si>
    <t>https://www.darty.com/nav/achat/hifi_video/televiseurs-led/grand_ecran_led/filtre__smart_tv_ou_tv_connectee__367211.html#dartyclic=X_tv-vide-et-home-cine_tele_smar-tv</t>
  </si>
  <si>
    <t>https://www.darty.com/nav/achat/hifi_video/index.html#dartyclic=X_tv-vide-et-home-cine</t>
  </si>
  <si>
    <t>Euronics</t>
  </si>
  <si>
    <t>Háztartási Nagygépek</t>
  </si>
  <si>
    <t>Háztartási nagygépek</t>
  </si>
  <si>
    <t>https://euronics.hu/termekek/haztartasi-nagygepek/c/230000</t>
  </si>
  <si>
    <t>Hűtőszekrény</t>
  </si>
  <si>
    <t>https://euronics.hu/termekek/haztartasi-nagygepek/hutoszekreny/c/232000</t>
  </si>
  <si>
    <t>Mosogatógép</t>
  </si>
  <si>
    <t>https://euronics.hu/termekek/haztartasi-nagygepek/mosogatogep/c/238000</t>
  </si>
  <si>
    <t>Mosógépek</t>
  </si>
  <si>
    <t>https://euronics.hu/termekek/haztartasi-nagygepek/mosogepek/c/233000</t>
  </si>
  <si>
    <t>https://euronics.hu/termekek/haztartasi-nagygepek/szaritogep/c/38</t>
  </si>
  <si>
    <t>Háztartási Nagygépek &gt; Hűtőszekrény</t>
  </si>
  <si>
    <t>Alulfagyasztós kombinált hűtőszekrény</t>
  </si>
  <si>
    <t>https://euronics.hu/termekek/haztartasi-nagygepek/hutoszekreny/alulfagyasztos-kombinalt-hutoszekreny/c/46</t>
  </si>
  <si>
    <t>Egyajtós hűtőszekrény</t>
  </si>
  <si>
    <t>https://euronics.hu/termekek/haztartasi-nagygepek/hutoszekreny/egyajtos-hutoszekreny/c/44</t>
  </si>
  <si>
    <t>Felülfagyasztós kombinált hűtőszekrény</t>
  </si>
  <si>
    <t>https://euronics.hu/termekek/haztartasi-nagygepek/hutoszekreny/felulfagyasztos-kombinalt-hutoszekreny/c/45</t>
  </si>
  <si>
    <t>Mosó- és szárítógép</t>
  </si>
  <si>
    <t>https://euronics.hu/termekek/haztartasi-nagygepek/mosogepek/moso--es-szaritogep/c/37</t>
  </si>
  <si>
    <t>Háztartási Nagygépek &gt; Mosógépek</t>
  </si>
  <si>
    <t>https://euronics.hu/</t>
  </si>
  <si>
    <t>TV, Audio, Videó</t>
  </si>
  <si>
    <t>Televíziók és tartozékok</t>
  </si>
  <si>
    <t>https://euronics.hu/termekek/tv-audio-video/televiziok-es-tartozekok/c/465000</t>
  </si>
  <si>
    <t>https://euronics.hu/termekek/tv-audio-video/c/241000</t>
  </si>
  <si>
    <t>TV, Audio, Videó &gt; Televíziók és tartozékok</t>
  </si>
  <si>
    <t>Televízió (LED TV, OLED TV, QLED TV)</t>
  </si>
  <si>
    <t>https://euronics.hu/termekek/tv-audio-video/televiziok-es-tartozekok/televizio-led-tv-oled-tv-qled-tv/c/281</t>
  </si>
  <si>
    <t>Háztartási nagygép</t>
  </si>
  <si>
    <t>https://www.mediamarkt.hu/hu/category/_h%C3%A1ztart%C3%A1si-nagyg%C3%A9p-725675.html</t>
  </si>
  <si>
    <t>https://www.mediamarkt.hu/hu/category/_h%C5%B1t%C5%91szekr%C3%A9ny-504624.html</t>
  </si>
  <si>
    <t>Mosógép</t>
  </si>
  <si>
    <t>https://www.mediamarkt.hu/hu/category/_mos%C3%B3g%C3%A9p-504636.html</t>
  </si>
  <si>
    <t>Háztartási nagygép &gt; Beépíthet�� eszközök</t>
  </si>
  <si>
    <t>Beépíthető hűtőszekrény</t>
  </si>
  <si>
    <t>https://www.mediamarkt.hu/hu/category/_be%C3%A9p%C3%ADthet%C5%91-h%C5%B1t%C5%91szekr%C3%A9ny-504622.html</t>
  </si>
  <si>
    <t>Háztartási nagygép &gt; Beépíthető eszközök</t>
  </si>
  <si>
    <t>Beépíthető mosógép</t>
  </si>
  <si>
    <t>https://www.mediamarkt.hu/hu/category/_be%C3%A9p%C3%ADthet%C5%91-mos%C3%B3g%C3%A9p-504621.html</t>
  </si>
  <si>
    <t>Háztartási nagygép &gt; H��tőszekrény</t>
  </si>
  <si>
    <t>https://www.mediamarkt.hu/hu/category/_alulfagyaszt%C3%B3s-kombin%C3%A1lt-h%C5%B1t%C5%91szekr%C3%A9ny-504627.html</t>
  </si>
  <si>
    <t>Háztartási nagygép &gt; Hűtőszekrény</t>
  </si>
  <si>
    <t>https://www.mediamarkt.hu/hu/category/_egyajt%C3%B3s-h%C5%B1t%C5%91szekr%C3%A9ny-504625.html</t>
  </si>
  <si>
    <t>https://www.mediamarkt.hu/hu/category/_fel%C3%BClfagyaszt%C3%B3s-kombin%C3%A1lt-h%C5%B1t%C5%91szekr%C3%A9ny-504626.html</t>
  </si>
  <si>
    <t>No frost kombinált hűtőszekrény</t>
  </si>
  <si>
    <t>https://www.mediamarkt.hu/hu/category/_no-frost-kombin%C3%A1lt-h%C5%B1t%C5%91szekr%C3%A9ny-504628.html</t>
  </si>
  <si>
    <t>Háztartási nagygép &gt; Hűtőszekr��ny</t>
  </si>
  <si>
    <t>Háztartási nagygép &gt; Mosógép</t>
  </si>
  <si>
    <t>Elöltöltős keskeny mosógép</t>
  </si>
  <si>
    <t>https://www.mediamarkt.hu/hu/category/_el%C3%B6lt%C3%B6lt%C5%91s-keskeny-mos%C3%B3g%C3%A9p-504637.html</t>
  </si>
  <si>
    <t>Elöltöltős mosógép</t>
  </si>
  <si>
    <t>https://www.mediamarkt.hu/hu/category/_el%C3%B6lt%C3%B6lt%C5%91s-mos%C3%B3g%C3%A9p-504638.html</t>
  </si>
  <si>
    <t>Felültöltős mosógép</t>
  </si>
  <si>
    <t>https://www.mediamarkt.hu/hu/category/_fel%C3%BClt%C3%B6lt%C5%91s-mos%C3%B3g%C3%A9p-504639.html</t>
  </si>
  <si>
    <t>https://www.mediamarkt.hu/hu/category/_mos%C3%B3-%C3%A9s-sz%C3%A1r%C3%ADt%C3%B3g%C3%A9p-504640.html</t>
  </si>
  <si>
    <t>Háztartási nagygép &gt; Mosóg��p</t>
  </si>
  <si>
    <t>https://www.mediamarkt.hu/</t>
  </si>
  <si>
    <t>Számítástechnika &amp; Iroda</t>
  </si>
  <si>
    <t>https://www.mediamarkt.hu/hu/category/_monitor-504822.html</t>
  </si>
  <si>
    <t>https://www.mediamarkt.hu/hu/category/_sz%C3%A1m%C3%ADt%C3%A1stechnika-iroda-504818.html</t>
  </si>
  <si>
    <t>Számítástechnika &amp; Iroda &gt; Monitor</t>
  </si>
  <si>
    <t>Gamer monitor</t>
  </si>
  <si>
    <t>https://www.mediamarkt.hu/hu/category/_gamer-monitor-504860.html</t>
  </si>
  <si>
    <t>LED monitor</t>
  </si>
  <si>
    <t>https://www.mediamarkt.hu/hu/category/_led-monitor-504859.html</t>
  </si>
  <si>
    <t>TV tuneres monitor</t>
  </si>
  <si>
    <t>https://www.mediamarkt.hu/hu/category/_tv-tuneres-monitor-504858.html</t>
  </si>
  <si>
    <t>UHD, QHD, 5K monitorok</t>
  </si>
  <si>
    <t>https://www.mediamarkt.hu/hu/category/_uhd-qhd-5k-monitorok-504862.html</t>
  </si>
  <si>
    <t>Ultrawide monitor</t>
  </si>
  <si>
    <t>https://www.mediamarkt.hu/hu/category/_ultrawide-monitor-504861.html</t>
  </si>
  <si>
    <t>TV &amp; Audió</t>
  </si>
  <si>
    <t>Televízió</t>
  </si>
  <si>
    <t>https://www.mediamarkt.hu/hu/category/_telev%C3%ADzi%C3%B3-505010.html</t>
  </si>
  <si>
    <t>https://www.mediamarkt.hu/hu/category/_tv-audi%C3%B3-505008.html</t>
  </si>
  <si>
    <t>TV &amp; Audió &gt; Televízió</t>
  </si>
  <si>
    <t>4K UHD TV</t>
  </si>
  <si>
    <t>https://www.mediamarkt.hu/hu/category/_4k-uhd-tv-679556.html</t>
  </si>
  <si>
    <t>https://www.mediamarkt.hu/hu/category/_led-tv-505022.html</t>
  </si>
  <si>
    <t>https://www.mediamarkt.hu/hu/category/_nanocell-tv-765211.html</t>
  </si>
  <si>
    <t>https://www.mediamarkt.hu/hu/category/_oled-tv-655509.html</t>
  </si>
  <si>
    <t>QLED 8K/4K TV</t>
  </si>
  <si>
    <t>https://www.mediamarkt.hu/hu/category/_qled-8k-4k-tv-649494.html</t>
  </si>
  <si>
    <t>SMART TV</t>
  </si>
  <si>
    <t>https://www.mediamarkt.hu/hu/category/_smart-tv-679558.html</t>
  </si>
  <si>
    <t>TV fali konzol</t>
  </si>
  <si>
    <t>https://www.mediamarkt.hu/hu/category/_tv-fali-konzol-505025.html</t>
  </si>
  <si>
    <t>TV kellék</t>
  </si>
  <si>
    <t>https://www.mediamarkt.hu/hu/category/_tv-kell%C3%A9k-505024.html</t>
  </si>
  <si>
    <t>Unieuro</t>
  </si>
  <si>
    <t>Audio e Hi Fi</t>
  </si>
  <si>
    <t>https://www.unieuro.it/online/Audio-Ipod-e-Hi-Fi</t>
  </si>
  <si>
    <t>https://www.unieuro.it/online/</t>
  </si>
  <si>
    <t>TV e Home Cinema</t>
  </si>
  <si>
    <t>https://www.unieuro.it/online/TV-DVD-e-Home-Cinema</t>
  </si>
  <si>
    <t>Elkjop</t>
  </si>
  <si>
    <t>Hvitevarer</t>
  </si>
  <si>
    <t>https://www.elkjop.no/catalog/no_hvitevarer/hvitevarer</t>
  </si>
  <si>
    <t>Kjøleskap og fryser</t>
  </si>
  <si>
    <t>https://www.elkjop.no/catalog/hvitevarer/no-kjoleskap-fryser/kjoleskap-og-fryser</t>
  </si>
  <si>
    <t>https://www.elkjop.no/catalog/hvitevarer/no_vaskemaskin/vaskemaskin</t>
  </si>
  <si>
    <t>Kombiskap</t>
  </si>
  <si>
    <t>https://www.elkjop.no/catalog/hvitevarer/kjoleskap-og-fryser/no-kombiskap/kombiskap</t>
  </si>
  <si>
    <t>Lyd &amp; Hi-Fi</t>
  </si>
  <si>
    <t>Høyttalere</t>
  </si>
  <si>
    <t>https://www.elkjop.no/catalog/lyd-hi-fi/no-hoyttalere/hoyttalere</t>
  </si>
  <si>
    <t>https://www.elkjop.no/catalog/no-lyd-hifi/lyd-hi-fi</t>
  </si>
  <si>
    <t>Trådløse &amp; bærbare høyttalere</t>
  </si>
  <si>
    <t>https://www.elkjop.no/catalog/lyd-hi-fi/hoyttalere/no-tradlos-hoyttaler/tradlose-barbare-hoyttalere?SearchParameter=%26%40QueryTerm%3D*%26ContextCategoryUUID%3Dbv6sGQV5zYUAAAFjBqhK.JC2%26discontinued%3D0%26online%3D1%26%40Sort.ViewCount%3D1&amp;PageSize=12&amp;Pr</t>
  </si>
  <si>
    <t>https://www.elkjop.no/catalog/lyd-hi-fi/hoyttalere/no-tradlos-hoyttaler/tradlose-barbare-hoyttalere?SearchParameter=%26%40QueryTerm%3D*%26ContextCategoryUUID%3Dbv6sGQV5zYUAAAFjBqhK.JC2%26discontinued%3D0%26online%3D1%26%40Sort.ViewCount%3D1&amp;PageSize=12&amp;ProductElementCount=&amp;searchResultTab=Products&amp;CategoryName=no-tradlos-hoyttaler&amp;CategoryDomainName=store-elkjop-ProductCatalog#filter-sidebar</t>
  </si>
  <si>
    <t>TV og bilde</t>
  </si>
  <si>
    <t>https://www.elkjop.no/catalog/tv-og-bilde/no-tv/tv</t>
  </si>
  <si>
    <t>https://www.elkjop.no/catalog/no-tv-bilde/tv-og-bilde</t>
  </si>
  <si>
    <t>Abenson</t>
  </si>
  <si>
    <t>Aircon</t>
  </si>
  <si>
    <t>https://www.abenson.com/aircon.html</t>
  </si>
  <si>
    <t>Gadgets</t>
  </si>
  <si>
    <t>https://www.abenson.com/computers-gadget.html</t>
  </si>
  <si>
    <t>Home Appliance</t>
  </si>
  <si>
    <t>https://www.abenson.com/home-appliances.html</t>
  </si>
  <si>
    <t>https://www.abenson.com</t>
  </si>
  <si>
    <t>Television</t>
  </si>
  <si>
    <t>https://www.abenson.com/tv-entertainment.html</t>
  </si>
  <si>
    <t>Euro-net</t>
  </si>
  <si>
    <t>Głośniki przenośne</t>
  </si>
  <si>
    <t>https://www.euro.com.pl/glosniki-przenosne2.bhtml</t>
  </si>
  <si>
    <t>Kolumny i g?o?niki</t>
  </si>
  <si>
    <t>https://www.euro.com.pl/kolumny.bhtml</t>
  </si>
  <si>
    <t>Kolumny i głośniki</t>
  </si>
  <si>
    <t>Komputery i tablety</t>
  </si>
  <si>
    <t>https://www.euro.com.pl/komputery.bhtml</t>
  </si>
  <si>
    <t>Lodówki</t>
  </si>
  <si>
    <t>https://www.euro.com.pl/lodowki.bhtml?link=mainnaviB&amp;main_cat_menu=AGD_duze_Lodowki</t>
  </si>
  <si>
    <t>Lodówki i zamrażarki</t>
  </si>
  <si>
    <t>https://www.euro.com.pl/lodowki-i-zamrazarki.bhtml?link=mainnaviB&amp;main_cat_menu=AGD_duze_Lodowki_i_zamrazarki</t>
  </si>
  <si>
    <t>Monitory LED i LCD</t>
  </si>
  <si>
    <t>https://www.euro.com.pl/monitory-led-i-lcd.bhtml?link=mainnaviB&amp;main_cat_menu=Komputery_i_tablety_Monitory</t>
  </si>
  <si>
    <t>Pralki</t>
  </si>
  <si>
    <t>https://www.euro.com.pl/pralki.bhtml?link=mainnaviB&amp;main_cat_menu=AGD_duze_Pralki</t>
  </si>
  <si>
    <t>Pralki i suszarki</t>
  </si>
  <si>
    <t>https://www.euro.com.pl/pralki-i-suszarki.bhtml?link=mainnaviB&amp;main_cat_menu=AGD_duze_Pralki_i_pralko__suszarki</t>
  </si>
  <si>
    <t>Pralko-suszarki</t>
  </si>
  <si>
    <t>https://www.euro.com.pl/pralko-suszarki.bhtml?link=mainnaviB&amp;main_cat_menu=AGD_duze_Pralkosuszarki</t>
  </si>
  <si>
    <t>Promotions</t>
  </si>
  <si>
    <t>Promotion Banner</t>
  </si>
  <si>
    <t>https://www.euro.com.pl/cms/promocje.bhtml</t>
  </si>
  <si>
    <t>Telewizory</t>
  </si>
  <si>
    <t>https://www.euro.com.pl/telewizory-led-lcd-plazmowe.bhtml?link=mainnaviB&amp;main_cat_menu=TV_i_audio_Telewizory</t>
  </si>
  <si>
    <t>TV, Audio</t>
  </si>
  <si>
    <t>https://www.euro.com.pl/rtv.bhtml?link=mainnaviB&amp;main_cat_menu=TV_i_audio_TV_i_audio</t>
  </si>
  <si>
    <t>AGD</t>
  </si>
  <si>
    <t>https://mediamarkt.pl/agd</t>
  </si>
  <si>
    <t>LODÓWKI I ZAMRAŻARKI</t>
  </si>
  <si>
    <t>https://mediamarkt.pl/agd/lodowki-i-zamrazarki</t>
  </si>
  <si>
    <t>PRALKI I SUSZARKI</t>
  </si>
  <si>
    <t>https://mediamarkt.pl/agd/pralki-i-suszarki</t>
  </si>
  <si>
    <t>Pralki ładowane od frontu</t>
  </si>
  <si>
    <t>https://mediamarkt.pl/agd/pralki-i-suszarki/pralki-ladowane-od-frontu</t>
  </si>
  <si>
    <t>Pralki ładowane od góry</t>
  </si>
  <si>
    <t>https://mediamarkt.pl/agd/pralki-i-suszarki/pralki-ladowane-od-gory</t>
  </si>
  <si>
    <t>https://mediamarkt.pl/komputery-i-tablety</t>
  </si>
  <si>
    <t>RTV i Telewizory</t>
  </si>
  <si>
    <t>Drobny sprzęt Audio i Video</t>
  </si>
  <si>
    <t>https://mediamarkt.pl/rtv-i-telewizory/drobny-sprzet-audio-i-video</t>
  </si>
  <si>
    <t>Głośniki przenośne Bluetooth</t>
  </si>
  <si>
    <t>https://mediamarkt.pl/rtv-i-telewizory/drobny-sprzet-audio-i-video/glosniki-przenosne</t>
  </si>
  <si>
    <t>https://mediamarkt.pl/rtv-i-telewizory</t>
  </si>
  <si>
    <t>https://mediamarkt.pl/rtv-i-telewizory/telewizory</t>
  </si>
  <si>
    <t>Radio Popular</t>
  </si>
  <si>
    <t>Grandes Eletrodomésticos &gt; Máquinas De Roupa</t>
  </si>
  <si>
    <t>Máquina De Lavar Roupa</t>
  </si>
  <si>
    <t>https://www.radiopopular.pt/categoria/maquina-de-lavar-roupa-2/</t>
  </si>
  <si>
    <t>Image Not Found</t>
  </si>
  <si>
    <t>https://www.radiopopular.pt/</t>
  </si>
  <si>
    <t>Informática &gt; Periféricos</t>
  </si>
  <si>
    <t>https://www.radiopopular.pt/categoria/monitor/</t>
  </si>
  <si>
    <t>Som E Imagem</t>
  </si>
  <si>
    <t>https://www.radiopopular.pt/categoria/som-e-imagem</t>
  </si>
  <si>
    <t>Som E Imagem &gt; Imagem</t>
  </si>
  <si>
    <t>https://www.radiopopular.pt/categoria/tv-oled/</t>
  </si>
  <si>
    <t>Clothes Machines</t>
  </si>
  <si>
    <t>https://www.worten.pt/grandes-eletrodomesticos/maquinas-de-roupa/como-escolher-maquinas-roupa</t>
  </si>
  <si>
    <t>https://www.worten.pt/informatica-e-acessorios/computadores/como-escolher-computadores</t>
  </si>
  <si>
    <t>https://www.worten.pt/informatica-e-acessorios</t>
  </si>
  <si>
    <t>https://www.worten.pt/informatica-e-acessorios/computadores/computadores-portateis</t>
  </si>
  <si>
    <t>Large Appliances</t>
  </si>
  <si>
    <t>https://www.worten.pt/grandes-eletrodomesticos</t>
  </si>
  <si>
    <t>Portable sound</t>
  </si>
  <si>
    <t>https://www.worten.pt/tv-video-e-som/som-portatil/como-escolher-som-portatil</t>
  </si>
  <si>
    <t>Portable Speakers</t>
  </si>
  <si>
    <t>https://www.worten.pt/tv-video-e-som/som-portatil/colunas-portateis</t>
  </si>
  <si>
    <t>https://www.worten.pt/grandes-eletrodomesticos/frigorificos/como-escolher-frigorificos</t>
  </si>
  <si>
    <t>TV, Video and Sound</t>
  </si>
  <si>
    <t>https://www.worten.pt/tv-video-e-som</t>
  </si>
  <si>
    <t>https://www.worten.pt/tv-video-e-som/tvs/como-escolher-tvs</t>
  </si>
  <si>
    <t>Washing and Drying Machines</t>
  </si>
  <si>
    <t>https://www.worten.pt/grandes-eletrodomesticos/maquinas-de-roupa/maquinas-de-lavar-e-secar-roupa</t>
  </si>
  <si>
    <t>Washing machines</t>
  </si>
  <si>
    <t>https://www.worten.pt/grandes-eletrodomesticos/maquinas-de-roupa/maquinas-de-lavar-roupa</t>
  </si>
  <si>
    <t>Hirschs</t>
  </si>
  <si>
    <t>https://www.hirschs.co.za/dishwashers</t>
  </si>
  <si>
    <t>https://www.hirschs.co.za/fridges-and-freezers/fridges</t>
  </si>
  <si>
    <t>TV'S</t>
  </si>
  <si>
    <t>https://www.hirschs.co.za/tv-and-entertainment/tv-s</t>
  </si>
  <si>
    <t>Makro</t>
  </si>
  <si>
    <t>Washers &amp; Tumble Dryers</t>
  </si>
  <si>
    <t>https://www.makro.co.za/appliances/washers-tumble-dryers/c/AG</t>
  </si>
  <si>
    <t>Desktop and Monitors</t>
  </si>
  <si>
    <t>https://www.amazon.ae/gp/browse.html?node=15387140031</t>
  </si>
  <si>
    <t>Home Audio &amp; Theater Products</t>
  </si>
  <si>
    <t>Home Speakers</t>
  </si>
  <si>
    <t>https://www.amazon.ae/gp/browse.html?node=12303788031</t>
  </si>
  <si>
    <t>Computers and Accessories</t>
  </si>
  <si>
    <t>https://www.amazon.com.au/s/ref=lp_4913312051_ex_n_1?rh=n%3A4851683051&amp;bbn=4851683051&amp;ie=UTF8&amp;qid=1596005562</t>
  </si>
  <si>
    <t>https://www.amazon.com.au/gp/browse.html?node=4913311051&amp;ref_=nav_em_pc_laptops_0_2_9_3</t>
  </si>
  <si>
    <t>https://www.amazon.com.au/gp/browse.html?node=4913312051&amp;ref_=nav_em_pc_monitors_0_2_9_5</t>
  </si>
  <si>
    <t>HarveyNorman</t>
  </si>
  <si>
    <t>Kitchen Appliances</t>
  </si>
  <si>
    <t>https://www.harveynorman.com.au/kitchen-appliances</t>
  </si>
  <si>
    <t>TV, Blu-ray &amp; Home Theatre</t>
  </si>
  <si>
    <t>https://www.harveynorman.com.au/tv-blu-ray-home-theatre</t>
  </si>
  <si>
    <t>TVs by Screen Size</t>
  </si>
  <si>
    <t>Vacuum &amp; Laundry Appliances</t>
  </si>
  <si>
    <t>https://www.harveynorman.com.au/vacuum-laundry-appliances</t>
  </si>
  <si>
    <t>Vacuum Cleaners</t>
  </si>
  <si>
    <t>Stick Vacuum Cleaners</t>
  </si>
  <si>
    <t>Washing Machines &amp; Dryers</t>
  </si>
  <si>
    <t>JBHiFi</t>
  </si>
  <si>
    <t>All Home Applicances</t>
  </si>
  <si>
    <t>https://www.jbhifi.com.au/collections/home-appliances</t>
  </si>
  <si>
    <t>CasasBahia</t>
  </si>
  <si>
    <t>Áudio</t>
  </si>
  <si>
    <t>https://www.casasbahia.com.br/Audio/?filtro=C3279&amp;nid=201459</t>
  </si>
  <si>
    <t>Caixa De Som Portátil</t>
  </si>
  <si>
    <t>https://www.casasbahia.com.br/c/audio/caixa-de-som-portatil/?filtro=c3279_c261&amp;nid=201459</t>
  </si>
  <si>
    <t>Eletrodomésticos</t>
  </si>
  <si>
    <t>https://www.casasbahia.com.br/eletrodomesticos/?filtro=c13&amp;nid=201463</t>
  </si>
  <si>
    <t>https://www.casasbahia.com.br/</t>
  </si>
  <si>
    <t>Lava E Seca</t>
  </si>
  <si>
    <t>https://www.casasbahia.com.br/c/eletrodomesticos/lava-e-seca/?Filtro=c13_c813&amp;nid=201605</t>
  </si>
  <si>
    <t>Lavadoras</t>
  </si>
  <si>
    <t>https://www.casasbahia.com.br/c/eletrodomesticos/lavadoras/?Filtro=c13_c24&amp;nid=201604</t>
  </si>
  <si>
    <t>https://www.casasbahia.com.br/c/eletrodomesticos/refrigeradores/?Filtro=c13_c14&amp;nid=201602</t>
  </si>
  <si>
    <t>https://www.casasbahia.com.br/c/tv-e-video/televisores/?filtro=c1_c2&amp;nid=201450</t>
  </si>
  <si>
    <t>Tv E Vídeo</t>
  </si>
  <si>
    <t>https://www.casasbahia.com.br/tv-video/?Filtro=C1&amp;nid=201450</t>
  </si>
  <si>
    <t>Baby Care</t>
  </si>
  <si>
    <t>https://www.amazon.ca/b/ref=topnav_storetab_ba?ie=UTF8&amp;node=3561346011</t>
  </si>
  <si>
    <t>Family Care</t>
  </si>
  <si>
    <t>https://www.amazon.ca/gp/family/signup/welcome/</t>
  </si>
  <si>
    <t>Health &amp; Personal Care</t>
  </si>
  <si>
    <t>Shaving &amp; Hair Removal</t>
  </si>
  <si>
    <t>https://www.amazon.ca/s/ref=lp_6205177011_nr_n_8?fst=as%3Aoff&amp;rh=n%3A6205177011%2Cn%3A%216205178011%2Cn%3A6371179011&amp;bbn=6205178011&amp;ie=UTF8&amp;qid=1480514665&amp;rnid=6205178011</t>
  </si>
  <si>
    <t>Home Page</t>
  </si>
  <si>
    <t>https://www.amazon.ca/</t>
  </si>
  <si>
    <t>Personal Care</t>
  </si>
  <si>
    <t>https://www.amazon.ca/Health-Personal-Care/b/ref=nav_shopall_hpc?ie=UTF8&amp;node=6205177011</t>
  </si>
  <si>
    <t>https://www.amazon.ca/b/ref=sv_hpc_5?ie=UTF8&amp;node=6371091011</t>
  </si>
  <si>
    <t>Bestbuy</t>
  </si>
  <si>
    <t>https://www.bestbuy.ca/en-ca/category/appliances/26517</t>
  </si>
  <si>
    <t>Shop by Category</t>
  </si>
  <si>
    <t>Computers &amp; Tablets</t>
  </si>
  <si>
    <t>https://www.bestbuy.ca/en-ca/category/computers-tablets/20001</t>
  </si>
  <si>
    <t>Laptops &amp; Macbooks</t>
  </si>
  <si>
    <t>https://www.bestbuy.ca/en-ca/category/dishwashers/34432?icmp=mdot_shopbynav_dishwashers</t>
  </si>
  <si>
    <t>https://www.bestbuy.ca/en-ca</t>
  </si>
  <si>
    <t>Laundry Appliances</t>
  </si>
  <si>
    <t>https://www.bestbuy.ca/en-ca/category/laundry-appliances/laundryappliances?icmp=mdot_shopbynav_washers_dryers</t>
  </si>
  <si>
    <t>Major Appliances</t>
  </si>
  <si>
    <t>https://www.bestbuy.ca/en-ca/category/major-appliances/11962778</t>
  </si>
  <si>
    <t>https://www.bestbuy.ca/en-ca/category/refrigerators/34424?icmp=mdot_shopbynav_refrigerators</t>
  </si>
  <si>
    <t>https://www.bestbuy.ca/en-ca/category/washing-machines/33931p</t>
  </si>
  <si>
    <t>Ranges, Cooking &amp; Ventilation</t>
  </si>
  <si>
    <t>https://www.bestbuy.ca/en-ca/category/ranges-cooking-ventilation/31224</t>
  </si>
  <si>
    <t>Refrigerators &amp; Freezers</t>
  </si>
  <si>
    <t>TV &amp; Home Theater</t>
  </si>
  <si>
    <t>https://www.bestbuy.ca/en-ca/category/tv-home-theatre/20003</t>
  </si>
  <si>
    <t>Paris</t>
  </si>
  <si>
    <t>Electro</t>
  </si>
  <si>
    <t>https://www.paris.cl/electro/</t>
  </si>
  <si>
    <t>https://www.paris.cl/electro/television/smart-tv/</t>
  </si>
  <si>
    <t>Línea Blanca</t>
  </si>
  <si>
    <t>Lavado y Secado</t>
  </si>
  <si>
    <t>https://www.paris.cl/linea-blanca/lavado-secado/</t>
  </si>
  <si>
    <t>https://www.paris.cl/linea-blanca/</t>
  </si>
  <si>
    <t>Refrigeración</t>
  </si>
  <si>
    <t>https://www.paris.cl/linea-blanca/refrigeracion/</t>
  </si>
  <si>
    <t>Ripley</t>
  </si>
  <si>
    <t>https://simple.ripley.cl/electro/</t>
  </si>
  <si>
    <t>Lavandería</t>
  </si>
  <si>
    <t>https://simple.ripley.cl/tecno/</t>
  </si>
  <si>
    <t>Lavandería, Lavadoras</t>
  </si>
  <si>
    <t>https://simple.ripley.cl/tecno/television/</t>
  </si>
  <si>
    <t>https://simple.ripley.cl/electro/refrigeracion/</t>
  </si>
  <si>
    <t>Refrigeración, Refridgeradores</t>
  </si>
  <si>
    <t>https://simple.ripley.cl/electro/lavanderia/</t>
  </si>
  <si>
    <t>Fortress</t>
  </si>
  <si>
    <r>
      <rPr>
        <sz val="11"/>
        <color theme="1"/>
        <rFont val="LG스마트체 Regular"/>
        <family val="3"/>
        <charset val="129"/>
      </rPr>
      <t>家庭電器</t>
    </r>
  </si>
  <si>
    <t>https://www.fortress.com.hk/zt/shop/home-appliances/air-purifiers/c/57?q=%3A</t>
  </si>
  <si>
    <t>https://www.fortress.com.hk/zt/shop/home-appliances/washing-machines/c/46?q=%3A</t>
  </si>
  <si>
    <t>https://www.fortress.com.hk/zt/shop/home-appliances/lc/13?q=%3A</t>
  </si>
  <si>
    <t>https://www.fortress.com.hk/zt/shop/home-appliances/vacuum-cleaners/c/54?q=%3Anew%3AsupplierFormCategory%3A%E5%90%B8%E5%A1%B5%E6%A9%9F</t>
  </si>
  <si>
    <r>
      <rPr>
        <sz val="11"/>
        <color theme="1"/>
        <rFont val="LG스마트체 Regular"/>
        <family val="3"/>
        <charset val="129"/>
      </rP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</si>
  <si>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r>
      <rPr>
        <sz val="11"/>
        <color theme="1"/>
        <rFont val="LG스마트체 Regular"/>
        <family val="3"/>
        <charset val="129"/>
      </rPr>
      <t>洗衣機</t>
    </r>
  </si>
  <si>
    <r>
      <rPr>
        <sz val="11"/>
        <color theme="1"/>
        <rFont val="LG스마트체 Regular"/>
        <family val="3"/>
        <charset val="129"/>
      </rPr>
      <t>吸塵機</t>
    </r>
  </si>
  <si>
    <r>
      <rPr>
        <sz val="11"/>
        <color theme="1"/>
        <rFont val="LG스마트체 Regular"/>
        <family val="3"/>
        <charset val="129"/>
      </rPr>
      <t>視聽娛樂</t>
    </r>
  </si>
  <si>
    <t>https://www.fortress.com.hk/zt/shop/tv-entertainment/soundbar/c/228?q=%3A</t>
  </si>
  <si>
    <t>https://www.fortress.com.hk/zt/shop/tv-entertainment/earphones-and-headphones/c/21?q=%3A</t>
  </si>
  <si>
    <t>https://www.fortress.com.hk/zt/shop/tv-entertainment/tvs/c/16?q=%3Anew%3AsupplierFormCategory%3A%E9%9B%BB%E8%A6%96</t>
  </si>
  <si>
    <t>https://www.fortress.com.hk/zt/shop/tv-entertainment/lc/10?q=%3A</t>
  </si>
  <si>
    <t>https://www.fortress.com.hk/zt/shop/tv-entertainment/wireless-speakers/c/20?q=%3A</t>
  </si>
  <si>
    <r>
      <rPr>
        <sz val="11"/>
        <color theme="1"/>
        <rFont val="LG스마트체 Regular"/>
        <family val="3"/>
        <charset val="129"/>
      </rPr>
      <t>電視機</t>
    </r>
  </si>
  <si>
    <r>
      <rPr>
        <sz val="11"/>
        <color theme="1"/>
        <rFont val="LG스마트체 Regular"/>
        <family val="3"/>
        <charset val="129"/>
      </rPr>
      <t>視聽娛樂</t>
    </r>
    <r>
      <rPr>
        <sz val="11"/>
        <color theme="1"/>
        <rFont val="Arial Narrow"/>
        <family val="2"/>
      </rPr>
      <t xml:space="preserve"> </t>
    </r>
  </si>
  <si>
    <r>
      <rPr>
        <sz val="11"/>
        <color theme="1"/>
        <rFont val="LG스마트체 Regular"/>
        <family val="3"/>
        <charset val="129"/>
      </rPr>
      <t>電腦資訊</t>
    </r>
  </si>
  <si>
    <t>https://www.fortress.com.hk/zt/shop/computing/lc/12?q=%3A</t>
  </si>
  <si>
    <t>https://www.fortress.com.hk/zt/shop/computing/monitors/c/40?q=%3Anew%3AsupplierFormCategory%3A%E9%A1%AF%E7%A4%BA%E5%99%A8</t>
  </si>
  <si>
    <r>
      <rPr>
        <sz val="11"/>
        <color theme="1"/>
        <rFont val="LG스마트체 Regular"/>
        <family val="3"/>
        <charset val="129"/>
      </rPr>
      <t>顯示器</t>
    </r>
  </si>
  <si>
    <r>
      <rPr>
        <sz val="11"/>
        <color theme="1"/>
        <rFont val="LG스마트체 Regular"/>
        <family val="3"/>
        <charset val="129"/>
      </rPr>
      <t>廚房電器</t>
    </r>
  </si>
  <si>
    <r>
      <rPr>
        <sz val="11"/>
        <color theme="1"/>
        <rFont val="LG스마트체 Regular"/>
        <family val="3"/>
        <charset val="129"/>
      </rPr>
      <t>雪櫃</t>
    </r>
  </si>
  <si>
    <t>https://www.fortress.com.hk/zt/shop/kitchen-appliances/refrigerators/c/62?q=%3Anew%3AsupplierFormCategory%3A%E9%9B%AA%E6%AB%83</t>
  </si>
  <si>
    <t>https://www.fortress.com.hk/zt/shop/kitchen-appliances/lc/14?q=%3A</t>
  </si>
  <si>
    <t>Hartono</t>
  </si>
  <si>
    <t>Audio Video</t>
  </si>
  <si>
    <t>https://myhartono.com/en/audio-video/</t>
  </si>
  <si>
    <t>Home Appliances</t>
  </si>
  <si>
    <t>https://myhartono.com/en/home-appliances/</t>
  </si>
  <si>
    <t>https://myhartono.com/en/</t>
  </si>
  <si>
    <t>White Goods</t>
  </si>
  <si>
    <t>https://myhartono.com/en/white-goods/</t>
  </si>
  <si>
    <t>Amazon_LG</t>
  </si>
  <si>
    <t>https://www.amazon.in/</t>
  </si>
  <si>
    <t>Mobiles,Computers</t>
  </si>
  <si>
    <t>https://www.amazon.in/gp/browse.html?node=1375425031&amp;ref_=nav_em_T1_0_4_NaN_8_sbc_mobcomp_monitors</t>
  </si>
  <si>
    <t>TV,Appliance,Eelctronics</t>
  </si>
  <si>
    <t>Air Conditioners</t>
  </si>
  <si>
    <t>https://www.amazon.in/gp/browse.html?node=3474656031&amp;ref_=nav_em_T1_0_4_NaN_1_sbc_tvelec_ac</t>
  </si>
  <si>
    <t>Kitchen &amp; Home Appliances</t>
  </si>
  <si>
    <t>https://www.amazon.in/gp/browse.html?node=4951860031&amp;ref_=nav_em_T1_0_4_NaN_4_sbc_tvelec_kitchen_appliances</t>
  </si>
  <si>
    <t>https://www.amazon.in/gp/browse.html?node=1380365031&amp;ref_=nav_em_T1_0_4_NaN_2_sbc_tvelec_fridges</t>
  </si>
  <si>
    <t>https://www.amazon.in/gp/browse.html?node=1389396031&amp;ref_=nav_em_T1_0_4_NaN_1_sbc_tvelec_television</t>
  </si>
  <si>
    <t>https://www.amazon.in/gp/browse.html?node=1380369031&amp;ref_=nav_em_T1_0_4_NaN_3_sbc_tvelec_washing_machine</t>
  </si>
  <si>
    <t>Flipkart</t>
  </si>
  <si>
    <t>Televison</t>
  </si>
  <si>
    <t>https://www.flipkart.com/television-store?otracker=nmenu_sub_Electronics_0_Televisions</t>
  </si>
  <si>
    <t>TVs &amp; Appliances</t>
  </si>
  <si>
    <t>https://www.flipkart.com/refrigerator-store?otracker=nmenu_sub_TVs%20%26%20Appliances_0_Refrigerators</t>
  </si>
  <si>
    <t>https://www.flipkart.com/washing-machine-store?otracker=nmenu_sub_TVs%20%26%20Appliances_0_Washing%20Machine</t>
  </si>
  <si>
    <t>https://www.amazon.co.jp/gp/browse.html?language=ja_JP&amp;node=16462081&amp;ref_=nav_em_elec_audio_0_2_13_14</t>
  </si>
  <si>
    <t>Top Home Banner</t>
  </si>
  <si>
    <t>https://www.amazon.co.jp/PC%E6%9C%AC%E4%BD%93-%E3%83%91%E3%82%BD%E3%82%B3%E3%83%B3%E6%9C%AC%E4%BD%93-%E9%80%9A%E8%B2%A9/b/ref=amb_link_s0ZCzsh6OF6HPdrqP9ehSA_4?ie=UTF8&amp;node=2188762051&amp;pf_rd_m=AN1VRQENFRJN5&amp;pf_rd_s=merchandised-search-left-2&amp;pf_rd_r=KK5B79</t>
  </si>
  <si>
    <t>Computer Peripherals</t>
  </si>
  <si>
    <t>Computer peripherals</t>
  </si>
  <si>
    <t>Banner</t>
  </si>
  <si>
    <t>https://www.amazon.co.jp/PC%E5%91%A8%E8%BE%BA%E6%A9%9F%E5%99%A8-%E3%83%91%E3%82%BD%E3%82%B3%E3%83%B3%E5%91%A8%E8%BE%BA%E6%A9%9F%E5%99%A8-%E9%80%9A%E8%B2%A9/b/?ie=UTF8&amp;node=2127209051&amp;ref_=topnav_storetab_computers</t>
  </si>
  <si>
    <t>https://www.amazon.co.jp/s/ref=lp_2151982051_ex_n_1?rh=n%3A2127209051&amp;bbn=2127209051&amp;ie=UTF8&amp;qid=1573625724</t>
  </si>
  <si>
    <t>https://www.amazon.co.jp/s/ref=lp_2188762051_nr_n_1?fst=as%3Aoff&amp;rh=n%3A2127209051%2Cn%3A%212141350051%2Cn%3A%212141376051%2Cn%3A2188762051%2Cn%3A2151981051&amp;bbn=2188762051&amp;ie=UTF8&amp;qid=1573801569&amp;rnid=2188762051</t>
  </si>
  <si>
    <t>PC Parts</t>
  </si>
  <si>
    <t>https://www.amazon.co.jp/PC%E3%83%91%E3%83%BC%E3%83%84-%E3%83%91%E3%82%BD%E3%82%B3%E3%83%B3%E3%83%91%E3%83%BC%E3%83%84-%E9%80%9A%E8%B2%A9/b/?ie=UTF8&amp;node=2151901051&amp;ref_=sv_computers_5</t>
  </si>
  <si>
    <t>Earphones / Headphones</t>
  </si>
  <si>
    <t>https://www.amazon.co.jp/s/ref=lp_16462081_nr_n_0?fst=as%3Aoff&amp;rh=n%3A3210981%2Cn%3A%213210991%2Cn%3A16462081%2Cn%3A3477981&amp;bbn=16462081&amp;ie=UTF8&amp;qid=1599723808&amp;rnid=16462081</t>
  </si>
  <si>
    <t>Home appliances</t>
  </si>
  <si>
    <t>https://www.amazon.co.jp/%E5%AE%B6%E9%9B%BB-%E3%82%AB%E3%83%A1%E3%83%A9-AV%E6%A9%9F%E5%99%A8-%E3%82%AA%E3%83%BC%E3%83%87%E3%82%A3%E3%82%AA%E6%A9%9F%E5%99%A8/b/?ie=UTF8&amp;node=3210981&amp;ref_=topnav_storetab_e</t>
  </si>
  <si>
    <t>Home appliances, cameras, AV equipment</t>
  </si>
  <si>
    <t>Home theater system</t>
  </si>
  <si>
    <t>https://www.amazon.co.jp/b/?node=2795010051&amp;ref_=Oct_CateC_3477381_10&amp;pf_rd_p=71b65e29-6d09-52c4-920b-05fd331d50a3&amp;pf_rd_s=merchandised-search-4&amp;pf_rd_t=101&amp;pf_rd_i=3477381&amp;pf_rd_m=AN1VRQENFRJN5&amp;pf_rd_r=RQFRQ42DPRP1Z7YASEWX&amp;pf_rd_r=RQFRQ42DPRP1Z7YASEWX&amp;pf</t>
  </si>
  <si>
    <t>https://www.amazon.co.jp/?language=ja_JP</t>
  </si>
  <si>
    <t>PC parts</t>
  </si>
  <si>
    <t>https://www.amazon.co.jp/s/ref=lp_16462081_nr_n_2?fst=as%3Aoff&amp;rh=n%3A3210981%2Cn%3A%213210991%2Cn%3A16462081%2Cn%3A171351011&amp;bbn=16462081&amp;ie=UTF8&amp;qid=1599723808&amp;rnid=16462081</t>
  </si>
  <si>
    <t>TV set</t>
  </si>
  <si>
    <t>https://www.amazon.co.jp/b/?node=3477491&amp;ref_=Oct_CateC_3477381_5&amp;pf_rd_p=71b65e29-6d09-52c4-920b-05fd331d50a3&amp;pf_rd_s=merchandised-search-4&amp;pf_rd_t=101&amp;pf_rd_i=3477381&amp;pf_rd_m=AN1VRQENFRJN5&amp;pf_rd_r=216DZMMAHWMKR27TR1TB&amp;pf_rd_r=216DZMMAHWMKR27TR1TB&amp;pf_rd_</t>
  </si>
  <si>
    <t>TV tuner</t>
  </si>
  <si>
    <t>https://www.amazon.co.jp/b/?node=2249542051&amp;ref_=Oct_CateC_3477381_7&amp;pf_rd_p=71b65e29-6d09-52c4-920b-05fd331d50a3&amp;pf_rd_s=merchandised-search-4&amp;pf_rd_t=101&amp;pf_rd_i=3477381&amp;pf_rd_m=AN1VRQENFRJN5&amp;pf_rd_r=RQFRQ42DPRP1Z7YASEWX&amp;pf_rd_r=RQFRQ42DPRP1Z7YASEWX&amp;pf_</t>
  </si>
  <si>
    <t>Technodom</t>
  </si>
  <si>
    <t>https://www.technodom.kz/</t>
  </si>
  <si>
    <t>ТВ, аудио, видео</t>
  </si>
  <si>
    <t>https://www.technodom.kz/televizory_audio_video</t>
  </si>
  <si>
    <t>Coppel</t>
  </si>
  <si>
    <t>https://www.coppel.com/electronica</t>
  </si>
  <si>
    <t>Línea blanca y electrodomésticos</t>
  </si>
  <si>
    <t>https://www.coppel.com/linea-blanca-electrodomesticos</t>
  </si>
  <si>
    <t>Garment Care</t>
  </si>
  <si>
    <t>https://www.harveynorman.co.nz/home-appliances/garment-care/?sli_af[producttype][0]=clothingcaresystem</t>
  </si>
  <si>
    <t>https://www.harveynorman.co.nz/</t>
  </si>
  <si>
    <t>Whiteware</t>
  </si>
  <si>
    <t>https://www.harveynorman.co.nz/whiteware/refrigeration/</t>
  </si>
  <si>
    <t>Fridge Freezers &gt; Bar Fridges</t>
  </si>
  <si>
    <t>https://www.harveynorman.co.nz/whiteware/refrigeration/bar-fridges/</t>
  </si>
  <si>
    <t>Fridge Freezers &gt; Bottom Mount</t>
  </si>
  <si>
    <t>https://www.harveynorman.co.nz/whiteware/refrigeration/bottom-mount/</t>
  </si>
  <si>
    <t>Fridge Freezers &gt; Chest Freezers</t>
  </si>
  <si>
    <t>https://www.harveynorman.co.nz/whiteware/refrigeration/chest-freezers/</t>
  </si>
  <si>
    <t>Fridge Freezers &gt; French Door</t>
  </si>
  <si>
    <t>https://www.harveynorman.co.nz/whiteware/refrigeration/french-door/</t>
  </si>
  <si>
    <t>Fridge Freezers &gt; Integrated</t>
  </si>
  <si>
    <t>https://www.harveynorman.co.nz/whiteware/refrigeration/integrated/</t>
  </si>
  <si>
    <t>Fridge Freezers &gt; Side By Side</t>
  </si>
  <si>
    <t>https://www.harveynorman.co.nz/whiteware/refrigeration/side-by-side/</t>
  </si>
  <si>
    <t>Fridge Freezers &gt; Single Door</t>
  </si>
  <si>
    <t>https://www.harveynorman.co.nz/whiteware/refrigeration/single-door/</t>
  </si>
  <si>
    <t>Fridge Freezers &gt; Top Mount</t>
  </si>
  <si>
    <t>https://www.harveynorman.co.nz/whiteware/refrigeration/top-mount/</t>
  </si>
  <si>
    <t>Fridge Freezers &gt; Vertical Freezers</t>
  </si>
  <si>
    <t>https://www.harveynorman.co.nz/whiteware/refrigeration/vertical-freezers/</t>
  </si>
  <si>
    <t>Kitchen</t>
  </si>
  <si>
    <t>https://www.harveynorman.co.nz/whiteware/kitchen/</t>
  </si>
  <si>
    <t>Kitchen &gt; Dishwashers</t>
  </si>
  <si>
    <t>https://www.harveynorman.co.nz/whiteware/kitchen/dishwashers/</t>
  </si>
  <si>
    <t>https://www.harveynorman.co.nz/whiteware/laundry/</t>
  </si>
  <si>
    <t>Laundry &gt; All Washing Machines</t>
  </si>
  <si>
    <t>https://www.harveynorman.co.nz/whiteware/laundry/all-washing-machines/</t>
  </si>
  <si>
    <t>Laundry &gt; Clothes Dryers</t>
  </si>
  <si>
    <t>https://www.harveynorman.co.nz/whiteware/laundry/clothes-dryers/</t>
  </si>
  <si>
    <t>Laundry &gt; Front Loaders</t>
  </si>
  <si>
    <t>https://www.harveynorman.co.nz/whiteware/laundry/front-loaders/</t>
  </si>
  <si>
    <t>Laundry &gt; Laundry Tubs</t>
  </si>
  <si>
    <t>https://www.harveynorman.co.nz/whiteware/laundry/laundry-tubs/</t>
  </si>
  <si>
    <t>Laundry &gt; Top Loaders</t>
  </si>
  <si>
    <t>https://www.harveynorman.co.nz/whiteware/laundry/top-loaders/</t>
  </si>
  <si>
    <t>https://www.harveynorman.co.nz/whiteware/</t>
  </si>
  <si>
    <t>Electrohogar</t>
    <phoneticPr fontId="2" type="noConversion"/>
  </si>
  <si>
    <t>Refrigeracion</t>
    <phoneticPr fontId="2" type="noConversion"/>
  </si>
  <si>
    <t>https://www.oechsle.pe/electrohogar/refrigeracion</t>
  </si>
  <si>
    <t>https://www.oechsle.pe/electrohogar/lavado</t>
  </si>
  <si>
    <t>Brand Image</t>
    <phoneticPr fontId="2" type="noConversion"/>
  </si>
  <si>
    <t>middle banner</t>
    <phoneticPr fontId="2" type="noConversion"/>
  </si>
  <si>
    <t>https://www.oechsle.pe/</t>
    <phoneticPr fontId="2" type="noConversion"/>
  </si>
  <si>
    <t>Anson</t>
  </si>
  <si>
    <t>https://ansons.ph/</t>
  </si>
  <si>
    <t>Washer &amp; Dryer</t>
  </si>
  <si>
    <t>https://ansons.ph/product-category/washing-machine/twin-wash/</t>
  </si>
  <si>
    <t>Courts</t>
  </si>
  <si>
    <t>https://www.courts.com.sg/computers</t>
  </si>
  <si>
    <t>Cooling &amp; Air Care</t>
  </si>
  <si>
    <t>Air Con</t>
  </si>
  <si>
    <t>https://www.courts.com.sg/home-appliances/large-appliances</t>
  </si>
  <si>
    <t>Refrigeration</t>
  </si>
  <si>
    <t>https://www.courts.com.sg/home-appliances/refrigeration</t>
  </si>
  <si>
    <t>https://www.courts.com.sg/</t>
  </si>
  <si>
    <t>https://www.courts.com.sg/computing-mobile/laptops</t>
  </si>
  <si>
    <t>Fridge</t>
  </si>
  <si>
    <t>Small Appliances</t>
  </si>
  <si>
    <t>Vacuum Cleaner</t>
  </si>
  <si>
    <t>https://www.courts.com.sg/televisions</t>
  </si>
  <si>
    <t>TV &amp; ENTERTAINMANET</t>
  </si>
  <si>
    <t>AUDIO</t>
  </si>
  <si>
    <t>https://www.courts.com.sg/tv-entertainment/audio</t>
  </si>
  <si>
    <t>Vision</t>
  </si>
  <si>
    <t>https://www.courts.com.sg/tv-entertainment/vision</t>
  </si>
  <si>
    <t>Catalogues</t>
  </si>
  <si>
    <t>https://www.harveynorman.com.sg/promotions/catalogues-and-promotions.html?ref=subleadicon</t>
  </si>
  <si>
    <t>https://www.harveynorman.com.sg/categories/computing-en.html</t>
  </si>
  <si>
    <t>https://www.harveynorman.com.sg/</t>
  </si>
  <si>
    <t>https://www.lazada.sg/</t>
  </si>
  <si>
    <t>https://www.lazada.sg/shop-washing-machines/?spm=a2o42.home.cate_3_4.1.654346b52h0yuW</t>
  </si>
  <si>
    <t>Televisions &amp; Videos</t>
  </si>
  <si>
    <t>Digital Televisions</t>
  </si>
  <si>
    <t>Televisions &amp; Videos Banner</t>
  </si>
  <si>
    <t>https://www.lazada.sg/shop-digital-televisions/?spm=a2o42.home.cate_3_1.3.654346b52h0yuW</t>
  </si>
  <si>
    <t>https://www.lazada.sg/shop-consumer-electronics/?spm=a2o42.home.cate_3.1.654346b52h0yuW</t>
  </si>
  <si>
    <t>Homepage Banner</t>
  </si>
  <si>
    <t>https://www.lazada.co.th/</t>
  </si>
  <si>
    <t>Large appliances</t>
  </si>
  <si>
    <t>https://www.lazada.co.th/shop-large-appliances/?spm=a2o4m.home.cate_3.2.1125515fprSp7e</t>
  </si>
  <si>
    <t>Large electrical appliances</t>
  </si>
  <si>
    <t>Large electrical appliances Banner</t>
  </si>
  <si>
    <t>https://www.lazada.co.th/shop-washing-machines/?spm=a2o4m.home.cate_3_2.4.1125515fudlUMt</t>
  </si>
  <si>
    <t>Television and video</t>
  </si>
  <si>
    <t>Television and video Banner</t>
  </si>
  <si>
    <t>https://www.lazada.co.th/shop-consumer-electronics/?spm=a2o4m.home.cate_3.1.1125515fudlUMt</t>
  </si>
  <si>
    <t>Computers &amp; Laptops</t>
    <phoneticPr fontId="2" type="noConversion"/>
  </si>
  <si>
    <t>https://shopee.co.th/Computers-Laptops-cat.11044958</t>
  </si>
  <si>
    <t>Middle Banner</t>
    <phoneticPr fontId="2" type="noConversion"/>
  </si>
  <si>
    <t>https://shopee.co.th/</t>
  </si>
  <si>
    <t>Right Banner</t>
    <phoneticPr fontId="2" type="noConversion"/>
  </si>
  <si>
    <t>Beyaz Eşya</t>
  </si>
  <si>
    <t>https://www.mediamarkt.com.tr/tr/category/_beyaz-e%C5%9Fya-465707.html</t>
  </si>
  <si>
    <t>Ses ve Müzik</t>
  </si>
  <si>
    <t>https://www.mediamarkt.com.tr/tr/category/_ses-ve-m%C3%BCzik-676508.html</t>
  </si>
  <si>
    <t>Tv ve Görüntü</t>
  </si>
  <si>
    <t>https://www.mediamarkt.com.tr/tr/category/_tv-ve-g%C3%B6r%C3%BCnt%C3%BC-678536.html</t>
  </si>
  <si>
    <t>Teknosa</t>
  </si>
  <si>
    <t>https://www.teknosa.com//</t>
  </si>
  <si>
    <t>3C</t>
  </si>
  <si>
    <r>
      <t>LCD</t>
    </r>
    <r>
      <rPr>
        <sz val="11"/>
        <color theme="1"/>
        <rFont val="LG스마트체 Regular"/>
        <family val="3"/>
        <charset val="129"/>
      </rPr>
      <t>螢幕</t>
    </r>
  </si>
  <si>
    <t>Banner 01</t>
  </si>
  <si>
    <t>https://www.momoshop.com.tw/category/LgrpCategory.jsp?l_code=4300500000&amp;mdiv=1099600000-bt_0_996_10-&amp;ctype=B</t>
  </si>
  <si>
    <r>
      <rPr>
        <sz val="11"/>
        <color theme="1"/>
        <rFont val="LG스마트체 Regular"/>
        <family val="3"/>
        <charset val="129"/>
      </rPr>
      <t>耳機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藍牙耳機</t>
    </r>
  </si>
  <si>
    <t>https://www.momoshop.com.tw/category/LgrpCategory.jsp?l_code=1904800000&amp;mdiv=1099600000-bt_0_996_10-&amp;ctype=B</t>
  </si>
  <si>
    <t>Banner 03</t>
  </si>
  <si>
    <t>3C Banner</t>
  </si>
  <si>
    <t>https://www.momoshop.com.tw/main/Main.jsp</t>
  </si>
  <si>
    <t>Central Banner</t>
  </si>
  <si>
    <t>Todays Brand</t>
  </si>
  <si>
    <r>
      <rPr>
        <sz val="11"/>
        <color theme="1"/>
        <rFont val="LG스마트체 Regular"/>
        <family val="3"/>
        <charset val="129"/>
      </rPr>
      <t>家</t>
    </r>
    <r>
      <rPr>
        <sz val="11"/>
        <color theme="1"/>
        <rFont val="맑은 고딕"/>
        <family val="2"/>
        <charset val="129"/>
      </rPr>
      <t>电</t>
    </r>
    <r>
      <rPr>
        <sz val="11"/>
        <color theme="1"/>
        <rFont val="Arial Narrow"/>
        <family val="2"/>
      </rPr>
      <t xml:space="preserve"> Brand</t>
    </r>
  </si>
  <si>
    <t>TWINWash</t>
  </si>
  <si>
    <t>Carousel Right</t>
  </si>
  <si>
    <t>https://www.momoshop.com.tw/category/LgrpCategory.jsp?l_code=2905800000&amp;mdiv=1099600000-bt_0_996_11-&amp;ctype=B</t>
  </si>
  <si>
    <r>
      <rPr>
        <sz val="11"/>
        <color theme="1"/>
        <rFont val="LG스마트체 Regular"/>
        <family val="3"/>
        <charset val="129"/>
      </rPr>
      <t>家電</t>
    </r>
  </si>
  <si>
    <t>Banner 02</t>
  </si>
  <si>
    <t>https://www.momoshop.com.tw/category/LgrpCategory.jsp?l_code=2999900000&amp;mdiv=1099700000-bt_0_957_01-&amp;ctype=B</t>
  </si>
  <si>
    <t>Carousel</t>
  </si>
  <si>
    <r>
      <rPr>
        <sz val="11"/>
        <color theme="1"/>
        <rFont val="LG스마트체 Regular"/>
        <family val="3"/>
        <charset val="129"/>
      </rPr>
      <t>乾衣機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電子衣</t>
    </r>
    <r>
      <rPr>
        <sz val="11"/>
        <color theme="1"/>
        <rFont val="맑은 고딕"/>
        <family val="2"/>
        <charset val="129"/>
      </rPr>
      <t>櫥</t>
    </r>
  </si>
  <si>
    <t>https://www.momoshop.com.tw/category/LgrpCategory.jsp?l_code=2907200000&amp;mdiv=1099600000-bt_0_996_11-&amp;ctype=B</t>
  </si>
  <si>
    <t>Middle Carousel 1</t>
  </si>
  <si>
    <r>
      <rPr>
        <sz val="11"/>
        <color theme="1"/>
        <rFont val="LG스마트체 Regular"/>
        <family val="3"/>
        <charset val="129"/>
      </rPr>
      <t>滾筒洗衣機</t>
    </r>
  </si>
  <si>
    <t>Banner 05</t>
  </si>
  <si>
    <t>Middle Carousel 3</t>
  </si>
  <si>
    <r>
      <rPr>
        <sz val="11"/>
        <color theme="1"/>
        <rFont val="LG스마트체 Regular"/>
        <family val="3"/>
        <charset val="129"/>
      </rPr>
      <t>冰箱</t>
    </r>
  </si>
  <si>
    <t>https://www.momoshop.com.tw/category/LgrpCategory.jsp?l_code=2919100000&amp;mdiv=1099600000-bt_0_996_11-&amp;ctype=B</t>
  </si>
  <si>
    <t>Low Carousel</t>
  </si>
  <si>
    <t>Middle Carousel 4</t>
  </si>
  <si>
    <t>Middle Carousel 5</t>
  </si>
  <si>
    <t>https://www.momoshop.com.tw/category/LgrpCategory.jsp?l_code=2900800000&amp;mdiv=1099600000-bt_0_996_11-&amp;ctype=B&amp;btType=C</t>
  </si>
  <si>
    <t>Middle Carousel 2</t>
  </si>
  <si>
    <r>
      <rPr>
        <sz val="11"/>
        <color theme="1"/>
        <rFont val="LG스마트체 Regular"/>
        <family val="3"/>
        <charset val="129"/>
      </rPr>
      <t>液晶電視</t>
    </r>
  </si>
  <si>
    <t>https://www.momoshop.com.tw/category/LgrpCategory.jsp?l_code=2900900000&amp;mdiv=1099600000-bt_0_996_11-&amp;ctype=B</t>
  </si>
  <si>
    <r>
      <rPr>
        <sz val="11"/>
        <color theme="1"/>
        <rFont val="LG스마트체 Regular"/>
        <family val="3"/>
        <charset val="129"/>
      </rPr>
      <t>音響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家庭劇院</t>
    </r>
  </si>
  <si>
    <t>https://www.momoshop.com.tw/category/LgrpCategory.jsp?l_code=2901500000&amp;mdiv=1099700000-bt_0_997_10-bt_0_997_10_P106_6_e1&amp;ctype=B</t>
  </si>
  <si>
    <r>
      <rPr>
        <sz val="11"/>
        <color theme="1"/>
        <rFont val="LG스마트체 Regular"/>
        <family val="3"/>
        <charset val="129"/>
      </rPr>
      <t>除濕機</t>
    </r>
  </si>
  <si>
    <t>https://www.momoshop.com.tw/category/LgrpCategory.jsp?l_code=2904900000&amp;mdiv=1099600000-bt_0_996_11-&amp;ctype=B</t>
  </si>
  <si>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淨機</t>
    </r>
  </si>
  <si>
    <t>https://www.momoshop.com.tw/category/LgrpCategory.jsp?l_code=2902000000&amp;mdiv=1099600000-bt_0_996_11-&amp;ctype=B</t>
  </si>
  <si>
    <t>Banner 04</t>
  </si>
  <si>
    <r>
      <rPr>
        <sz val="11"/>
        <color theme="1"/>
        <rFont val="LG스마트체 Regular"/>
        <family val="3"/>
        <charset val="129"/>
      </rPr>
      <t>吸塵器</t>
    </r>
  </si>
  <si>
    <t>https://www.momoshop.com.tw/category/LgrpCategory.jsp?l_code=2900400000&amp;mdiv=1099600000-bt_0_996_11-&amp;ctype=B</t>
  </si>
  <si>
    <r>
      <rPr>
        <sz val="11"/>
        <color theme="1"/>
        <rFont val="LG스마트체 Regular"/>
        <family val="3"/>
        <charset val="129"/>
      </rPr>
      <t>大型家電</t>
    </r>
  </si>
  <si>
    <t>https://www.momoshop.com.tw/category/LgrpCategory.jsp?l_code=2905300000&amp;mdiv=1099700000-bt_0_997_10-bt_0_997_10_P101_5_e1&amp;ctype=B</t>
  </si>
  <si>
    <r>
      <rPr>
        <sz val="11"/>
        <color theme="1"/>
        <rFont val="LG스마트체 Regular"/>
        <family val="3"/>
        <charset val="129"/>
      </rPr>
      <t>電競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遊戲</t>
    </r>
  </si>
  <si>
    <r>
      <rPr>
        <sz val="11"/>
        <color theme="1"/>
        <rFont val="LG스마트체 Regular"/>
        <family val="3"/>
        <charset val="129"/>
      </rPr>
      <t>電競</t>
    </r>
    <r>
      <rPr>
        <sz val="11"/>
        <color theme="1"/>
        <rFont val="Arial Narrow"/>
        <family val="2"/>
      </rPr>
      <t>LCD</t>
    </r>
    <r>
      <rPr>
        <sz val="11"/>
        <color theme="1"/>
        <rFont val="LG스마트체 Regular"/>
        <family val="3"/>
        <charset val="129"/>
      </rPr>
      <t>電腦熒幕</t>
    </r>
  </si>
  <si>
    <t>https://www.momoshop.com.tw/category/LgrpCategory.jsp?l_code=4301000000&amp;mdiv=1099700000-bt_0_997_12-bt_0_997_12_P102_4_e1&amp;ctype=B</t>
  </si>
  <si>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週邊</t>
    </r>
  </si>
  <si>
    <t>https://www.momoshop.com.tw/category/LgrpCategory.jsp?l_code=4399900000</t>
  </si>
  <si>
    <r>
      <rPr>
        <sz val="11"/>
        <color theme="1"/>
        <rFont val="LG스마트체 Regular"/>
        <family val="3"/>
        <charset val="129"/>
      </rPr>
      <t>筆記型電腦</t>
    </r>
  </si>
  <si>
    <t>https://www.momoshop.com.tw/category/LgrpCategory.jsp?l_code=4300100000&amp;mdiv=1099600000-bt_0_996_10-&amp;ctype=B</t>
  </si>
  <si>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筆電</t>
    </r>
  </si>
  <si>
    <r>
      <t>LCD</t>
    </r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맑은 고딕"/>
        <family val="2"/>
        <charset val="129"/>
      </rPr>
      <t>屏</t>
    </r>
    <r>
      <rPr>
        <sz val="11"/>
        <color theme="1"/>
        <rFont val="LG스마트체 Regular"/>
        <family val="3"/>
        <charset val="129"/>
      </rPr>
      <t>幕</t>
    </r>
  </si>
  <si>
    <t>https://www.momoshop.com.tw/category/LgrpCategory.jsp?l_code=4300500000&amp;mdiv=1099700000-bt_0_997_12-bt_0_997_12_P101_6_e1&amp;ctype=B</t>
  </si>
  <si>
    <t>HomeDepot_lg</t>
  </si>
  <si>
    <t>https://www.homedepot.com/b/Appliances-Refrigerators/N-5yc1vZc3pi</t>
  </si>
  <si>
    <t>https://www.homedepot.com/b/Appliances-Dishwashers/N-5yc1vZc3po</t>
  </si>
  <si>
    <t>Heating &amp; Cooling</t>
  </si>
  <si>
    <t>Air conditioners</t>
  </si>
  <si>
    <t>https://www.homedepot.com/b/Heating-Venting-Cooling-Air-Conditioners/N-5yc1vZc4me</t>
  </si>
  <si>
    <t>Heating, Venting &amp; Cooling</t>
  </si>
  <si>
    <t>https://www.homedepot.com/b/Heating-Venting-Cooling/N-5yc1vZc4k8?cm_sp=d-flyout-Heating_and_Cooling</t>
  </si>
  <si>
    <t>Home</t>
  </si>
  <si>
    <t>https://www.homedepot.com/b/Appliances/N-5yc1vZbv1w?cm_sp=d-flyout-Appliances</t>
  </si>
  <si>
    <t>https://www.homedepot.com/</t>
  </si>
  <si>
    <t>Smart Appliances</t>
  </si>
  <si>
    <t>https://www.homedepot.com/b/Smart-Home-Smart-Appliances/N-5yc1vZc7c2</t>
  </si>
  <si>
    <t>Smart Home</t>
  </si>
  <si>
    <t>https://www.homedepot.com/b/Smart-Home/N-5yc1vZc1jw</t>
  </si>
  <si>
    <t>Wall Ovens</t>
  </si>
  <si>
    <t>https://www.homedepot.com/b/Appliances-Wall-Ovens/N-5yc1vZc3nq</t>
  </si>
  <si>
    <t>Washers &amp; Dryers</t>
  </si>
  <si>
    <t>https://www.homedepot.com/b/Appliances-Washers-Dryers/N-5yc1vZc3ol</t>
  </si>
  <si>
    <t>DienMayXanh</t>
  </si>
  <si>
    <t>Air conditioner</t>
  </si>
  <si>
    <t>Gia dá¥ng</t>
  </si>
  <si>
    <t>https://www.dienmayxanh.com/gia-dung</t>
  </si>
  <si>
    <t>Gia dụng</t>
  </si>
  <si>
    <t>MÃy sá¥y quá§n Ão</t>
  </si>
  <si>
    <t>Máy sấy quần áo</t>
  </si>
  <si>
    <t>MediaMart</t>
  </si>
  <si>
    <t>See all air conditioner</t>
  </si>
  <si>
    <t>https://mediamart.vn/dieu-hoa-nhiet-do/</t>
  </si>
  <si>
    <t>Wall-mounted air conditioner</t>
  </si>
  <si>
    <t>https://mediamart.vn/gia-dung/</t>
  </si>
  <si>
    <t>Drying weight = &lt;6 Kg</t>
  </si>
  <si>
    <t>https://mediamart.vn/may-say-quan-ao/?loc=6-kg</t>
  </si>
  <si>
    <t>Drying weight = 11 Kg</t>
  </si>
  <si>
    <t>https://mediamart.vn/may-say-quan-ao/?loc=11-kg</t>
  </si>
  <si>
    <t>Drying weight = 7 Kg</t>
  </si>
  <si>
    <t>https://mediamart.vn/may-say-quan-ao/?loc=7-kg</t>
  </si>
  <si>
    <t>Electronics, sound</t>
  </si>
  <si>
    <t>https://mediamart.vn/dien-tu</t>
  </si>
  <si>
    <t>3-door refrigerator</t>
  </si>
  <si>
    <t>https://mediamart.vn/tu-lanh/?loc=3-cua</t>
  </si>
  <si>
    <t>4-door refrigerator</t>
  </si>
  <si>
    <t>https://mediamart.vn/tu-lanh/?loc=4-cua</t>
  </si>
  <si>
    <t>Refrigerator with freezer on</t>
  </si>
  <si>
    <t>https://mediamart.vn/tu-lanh/?loc=ngan-da-tren</t>
  </si>
  <si>
    <t>55-60 inch TV</t>
  </si>
  <si>
    <t>https://mediamart.vn/tivi/?&amp;loc=55-64-inch</t>
  </si>
  <si>
    <t>https://mediamart.vn/tivi/?&amp;loc=8k-uhd</t>
  </si>
  <si>
    <t>https://mediamart.vn/tivi/?loc=led</t>
  </si>
  <si>
    <t>LG OLED TV</t>
  </si>
  <si>
    <t>https://mediamart.vn/tivi/lg/?loc=oled-tv</t>
  </si>
  <si>
    <t>Lifestyle TV</t>
  </si>
  <si>
    <t>https://mediamart.vn/tivi/?&amp;loc=frame-tv</t>
  </si>
  <si>
    <t>Samsung QLED TV</t>
  </si>
  <si>
    <t>https://mediamart.vn/tivi/samsung/?loc=qled-tv</t>
  </si>
  <si>
    <t>Sony OLED TV</t>
  </si>
  <si>
    <t>https://mediamart.vn/tivi/sony/?loc=oled-tv</t>
  </si>
  <si>
    <t>https://mediamart.vn/tivi/</t>
  </si>
  <si>
    <t>Addwash washing machine</t>
  </si>
  <si>
    <t>https://mediamart.vn/may-giat/?&amp;loc=addwash</t>
  </si>
  <si>
    <t>Diagnosis via smartphone</t>
  </si>
  <si>
    <t>https://mediamart.vn/may-giat/?loc=chan-doan-thong-minh-bang-dien-thoai</t>
  </si>
  <si>
    <t>Double cage washing machine</t>
  </si>
  <si>
    <t>https://mediamart.vn/may-giat/?&amp;loc=long-doi</t>
  </si>
  <si>
    <t>Inverter washing machine</t>
  </si>
  <si>
    <t>https://mediamart.vn/may-giat/?loc=may-giat-inverter</t>
  </si>
  <si>
    <t>Timer for washing</t>
  </si>
  <si>
    <t>https://mediamart.vn/may-giat/?loc=hen-gio</t>
  </si>
  <si>
    <t>Shopee</t>
  </si>
  <si>
    <t>Electrical Appliances</t>
  </si>
  <si>
    <t>https://shopee.vn/Thi%E1%BA%BFt-B%E1%BB%8B-%C4%90i%E1%BB%87n-Gia-D%E1%BB%A5ng-cat.2353?officialMall=true&amp;page=0</t>
  </si>
  <si>
    <t>Electronic Device</t>
  </si>
  <si>
    <t>https://shopee.vn/Thi%E1%BA%BFt-B%E1%BB%8B-%C4%90i%E1%BB%87n-T%E1%BB%AD-cat.2365?officialMall=true&amp;page=0</t>
  </si>
  <si>
    <t>NO</t>
    <phoneticPr fontId="2" type="noConversion"/>
  </si>
  <si>
    <r>
      <rPr>
        <b/>
        <sz val="11"/>
        <color theme="1"/>
        <rFont val="LG스마트체 Regular"/>
        <family val="3"/>
        <charset val="129"/>
      </rPr>
      <t>지역설정</t>
    </r>
    <phoneticPr fontId="2" type="noConversion"/>
  </si>
  <si>
    <r>
      <rPr>
        <sz val="8"/>
        <color rgb="FFFF0000"/>
        <rFont val="LG스마트체 Regular"/>
        <family val="3"/>
        <charset val="129"/>
      </rPr>
      <t>출처</t>
    </r>
    <r>
      <rPr>
        <sz val="8"/>
        <color rgb="FFFF0000"/>
        <rFont val="Arial Narrow"/>
        <family val="2"/>
      </rPr>
      <t xml:space="preserve">: (HSAD) HSAD OSM </t>
    </r>
    <r>
      <rPr>
        <sz val="8"/>
        <color rgb="FFFF0000"/>
        <rFont val="LG스마트체 Regular"/>
        <family val="3"/>
        <charset val="129"/>
      </rPr>
      <t>인수인계</t>
    </r>
    <r>
      <rPr>
        <sz val="8"/>
        <color rgb="FFFF0000"/>
        <rFont val="Arial Narrow"/>
        <family val="2"/>
      </rPr>
      <t xml:space="preserve">_0306 </t>
    </r>
    <r>
      <rPr>
        <sz val="8"/>
        <color rgb="FFFF0000"/>
        <rFont val="LG스마트체 Regular"/>
        <family val="3"/>
        <charset val="129"/>
      </rPr>
      <t>문서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내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연결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파일</t>
    </r>
    <r>
      <rPr>
        <sz val="8"/>
        <color rgb="FFFF0000"/>
        <rFont val="Arial Narrow"/>
        <family val="2"/>
      </rPr>
      <t>)</t>
    </r>
    <phoneticPr fontId="2" type="noConversion"/>
  </si>
  <si>
    <t>zipCode: 10001</t>
    <phoneticPr fontId="2" type="noConversion"/>
  </si>
  <si>
    <t>zipCode: M4V 2H7</t>
    <phoneticPr fontId="2" type="noConversion"/>
  </si>
  <si>
    <t>zipCode: 90292, 75231, 10001, 60173</t>
    <phoneticPr fontId="2" type="noConversion"/>
  </si>
  <si>
    <t>location: Phan Rang</t>
  </si>
  <si>
    <t>zipCode: 00199</t>
    <phoneticPr fontId="2" type="noConversion"/>
  </si>
  <si>
    <t>zipCode: 10115</t>
    <phoneticPr fontId="2" type="noConversion"/>
  </si>
  <si>
    <t>zipCode: 28001</t>
    <phoneticPr fontId="2" type="noConversion"/>
  </si>
  <si>
    <t>zipCode: EC1A 2FD</t>
    <phoneticPr fontId="2" type="noConversion"/>
  </si>
  <si>
    <t>location: Magasin</t>
    <phoneticPr fontId="2" type="noConversion"/>
  </si>
  <si>
    <t>zip code: 3032</t>
    <phoneticPr fontId="2" type="noConversion"/>
  </si>
  <si>
    <t>zipCode: 2601 CANBERRA</t>
    <phoneticPr fontId="2" type="noConversion"/>
  </si>
  <si>
    <t>zipCode: 100-0011</t>
    <phoneticPr fontId="2" type="noConversion"/>
  </si>
  <si>
    <t>zipCode: K1A 0A1</t>
    <phoneticPr fontId="2" type="noConversion"/>
  </si>
  <si>
    <t>zipCode: 110001</t>
    <phoneticPr fontId="2" type="noConversion"/>
  </si>
  <si>
    <t>store: Huntington Park #1002</t>
    <phoneticPr fontId="2" type="noConversion"/>
  </si>
  <si>
    <t>zipCode: M6N 5G8</t>
    <phoneticPr fontId="2" type="noConversion"/>
  </si>
  <si>
    <t>location: Hồ Chí Minh</t>
  </si>
  <si>
    <t>store: GERRARD SQUARE #7080</t>
    <phoneticPr fontId="2" type="noConversion"/>
  </si>
  <si>
    <t>zipcode: T5H2S4</t>
    <phoneticPr fontId="2" type="noConversion"/>
  </si>
  <si>
    <t>zipCode: 70070 110</t>
    <phoneticPr fontId="2" type="noConversion"/>
  </si>
  <si>
    <t>기존</t>
    <phoneticPr fontId="2" type="noConversion"/>
  </si>
  <si>
    <t>신규</t>
    <phoneticPr fontId="2" type="noConversion"/>
  </si>
  <si>
    <t>category</t>
  </si>
  <si>
    <r>
      <t xml:space="preserve">rank </t>
    </r>
    <r>
      <rPr>
        <b/>
        <sz val="10"/>
        <color rgb="FF000000"/>
        <rFont val="LG스마트체 Regular"/>
        <family val="3"/>
        <charset val="129"/>
      </rPr>
      <t>제한</t>
    </r>
  </si>
  <si>
    <t>rank 제한</t>
    <phoneticPr fontId="2" type="noConversion"/>
  </si>
  <si>
    <t>search, product_list</t>
  </si>
  <si>
    <t>MEDIAMARKT</t>
    <phoneticPr fontId="2" type="noConversion"/>
  </si>
  <si>
    <t>search</t>
  </si>
  <si>
    <t>DARTY</t>
    <phoneticPr fontId="2" type="noConversion"/>
  </si>
  <si>
    <t>RADIOPOPULAR</t>
  </si>
  <si>
    <t>ELCORTEINGLES_ELECTRONICA</t>
    <phoneticPr fontId="2" type="noConversion"/>
  </si>
  <si>
    <t>MOMOSHOP</t>
    <phoneticPr fontId="2" type="noConversion"/>
  </si>
  <si>
    <t>LAZADA</t>
    <phoneticPr fontId="2" type="noConversion"/>
  </si>
  <si>
    <t>SG</t>
    <phoneticPr fontId="2" type="noConversion"/>
  </si>
  <si>
    <r>
      <rPr>
        <sz val="11"/>
        <color rgb="FF000000"/>
        <rFont val="LG스마트체 Regular"/>
        <family val="3"/>
        <charset val="129"/>
      </rPr>
      <t>통상적으로</t>
    </r>
    <r>
      <rPr>
        <sz val="11"/>
        <color rgb="FF000000"/>
        <rFont val="Arial Narrow"/>
        <family val="2"/>
      </rPr>
      <t xml:space="preserve"> 2,000</t>
    </r>
    <r>
      <rPr>
        <sz val="11"/>
        <color rgb="FF000000"/>
        <rFont val="LG스마트체 Regular"/>
        <family val="3"/>
        <charset val="129"/>
      </rPr>
      <t>위까지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수집하나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일부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유통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중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페이지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내</t>
    </r>
    <r>
      <rPr>
        <sz val="11"/>
        <color rgb="FF000000"/>
        <rFont val="Arial Narrow"/>
        <family val="2"/>
      </rPr>
      <t xml:space="preserve"> 2,000</t>
    </r>
    <r>
      <rPr>
        <sz val="11"/>
        <color rgb="FF000000"/>
        <rFont val="LG스마트체 Regular"/>
        <family val="3"/>
        <charset val="129"/>
      </rPr>
      <t>위까지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노출되지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않는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경우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또는</t>
    </r>
    <r>
      <rPr>
        <sz val="11"/>
        <color rgb="FF00000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동일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순위가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일정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구간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반복</t>
    </r>
    <r>
      <rPr>
        <sz val="11"/>
        <color rgb="FF00B050"/>
        <rFont val="Arial Narrow"/>
        <family val="2"/>
      </rPr>
      <t>*</t>
    </r>
    <r>
      <rPr>
        <sz val="11"/>
        <color rgb="FF000000"/>
        <rFont val="LG스마트체 Regular"/>
        <family val="3"/>
        <charset val="129"/>
      </rPr>
      <t>되는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경우가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있어</t>
    </r>
    <r>
      <rPr>
        <sz val="11"/>
        <color rgb="FF000000"/>
        <rFont val="Arial Narrow"/>
        <family val="2"/>
      </rPr>
      <t xml:space="preserve"> </t>
    </r>
    <phoneticPr fontId="2" type="noConversion"/>
  </si>
  <si>
    <r>
      <rPr>
        <sz val="11"/>
        <color rgb="FF000000"/>
        <rFont val="LG스마트체 Regular"/>
        <family val="3"/>
        <charset val="129"/>
      </rPr>
      <t>해당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유통사에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한에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하기와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같이</t>
    </r>
    <r>
      <rPr>
        <sz val="11"/>
        <color rgb="FF000000"/>
        <rFont val="Arial Narrow"/>
        <family val="2"/>
      </rPr>
      <t xml:space="preserve"> Rank </t>
    </r>
    <r>
      <rPr>
        <sz val="11"/>
        <color rgb="FF000000"/>
        <rFont val="LG스마트체 Regular"/>
        <family val="3"/>
        <charset val="129"/>
      </rPr>
      <t>제한을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두고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데이터를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수집</t>
    </r>
  </si>
  <si>
    <r>
      <t>* 1</t>
    </r>
    <r>
      <rPr>
        <sz val="11"/>
        <color rgb="FF00B050"/>
        <rFont val="LG스마트체 Regular"/>
        <family val="3"/>
        <charset val="129"/>
      </rPr>
      <t>위</t>
    </r>
    <r>
      <rPr>
        <sz val="11"/>
        <color rgb="FF00B050"/>
        <rFont val="Arial Narrow"/>
        <family val="2"/>
      </rPr>
      <t>-1,000</t>
    </r>
    <r>
      <rPr>
        <sz val="11"/>
        <color rgb="FF00B050"/>
        <rFont val="LG스마트체 Regular"/>
        <family val="3"/>
        <charset val="129"/>
      </rPr>
      <t>위의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순위가</t>
    </r>
    <r>
      <rPr>
        <sz val="11"/>
        <color rgb="FF00B050"/>
        <rFont val="Arial Narrow"/>
        <family val="2"/>
      </rPr>
      <t xml:space="preserve"> 101</t>
    </r>
    <r>
      <rPr>
        <sz val="11"/>
        <color rgb="FF00B050"/>
        <rFont val="LG스마트체 Regular"/>
        <family val="3"/>
        <charset val="129"/>
      </rPr>
      <t>위</t>
    </r>
    <r>
      <rPr>
        <sz val="11"/>
        <color rgb="FF00B050"/>
        <rFont val="Arial Narrow"/>
        <family val="2"/>
      </rPr>
      <t>~200</t>
    </r>
    <r>
      <rPr>
        <sz val="11"/>
        <color rgb="FF00B050"/>
        <rFont val="LG스마트체 Regular"/>
        <family val="3"/>
        <charset val="129"/>
      </rPr>
      <t>위와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동일하게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페이징이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되는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현상으로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대체로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무한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스크롤링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지원되는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유통에서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발생</t>
    </r>
    <r>
      <rPr>
        <sz val="11"/>
        <color rgb="FF00B050"/>
        <rFont val="Arial Narrow"/>
        <family val="2"/>
      </rPr>
      <t xml:space="preserve"> </t>
    </r>
  </si>
  <si>
    <t>드롭다운 리스트</t>
    <phoneticPr fontId="2" type="noConversion"/>
  </si>
  <si>
    <t>수집상태</t>
    <phoneticPr fontId="2" type="noConversion"/>
  </si>
  <si>
    <t>CATEGORY</t>
    <phoneticPr fontId="2" type="noConversion"/>
  </si>
  <si>
    <t>수집중</t>
    <phoneticPr fontId="2" type="noConversion"/>
  </si>
  <si>
    <t>Added</t>
    <phoneticPr fontId="2" type="noConversion"/>
  </si>
  <si>
    <t>REF</t>
    <phoneticPr fontId="2" type="noConversion"/>
  </si>
  <si>
    <t>중단</t>
    <phoneticPr fontId="2" type="noConversion"/>
  </si>
  <si>
    <t>Inactive</t>
    <phoneticPr fontId="2" type="noConversion"/>
  </si>
  <si>
    <t>Market</t>
    <phoneticPr fontId="2" type="noConversion"/>
  </si>
  <si>
    <t>Removed</t>
    <phoneticPr fontId="2" type="noConversion"/>
  </si>
  <si>
    <t>WM</t>
    <phoneticPr fontId="2" type="noConversion"/>
  </si>
  <si>
    <t>예정</t>
    <phoneticPr fontId="2" type="noConversion"/>
  </si>
  <si>
    <t>테스트중</t>
    <phoneticPr fontId="2" type="noConversion"/>
  </si>
  <si>
    <t>Testing</t>
    <phoneticPr fontId="2" type="noConversion"/>
  </si>
  <si>
    <t>MNT</t>
    <phoneticPr fontId="2" type="noConversion"/>
  </si>
  <si>
    <t>RAC</t>
    <phoneticPr fontId="2" type="noConversion"/>
  </si>
  <si>
    <t>B/T SPEAKER</t>
    <phoneticPr fontId="2" type="noConversion"/>
  </si>
  <si>
    <t>AIR CLEANER</t>
    <phoneticPr fontId="2" type="noConversion"/>
  </si>
  <si>
    <t>CORDLESS STICK 
VACUUM</t>
    <phoneticPr fontId="2" type="noConversion"/>
  </si>
  <si>
    <t>DISHWASHER</t>
    <phoneticPr fontId="2" type="noConversion"/>
  </si>
  <si>
    <t>LAPTOP</t>
    <phoneticPr fontId="2" type="noConversion"/>
  </si>
  <si>
    <t>LED MASK</t>
    <phoneticPr fontId="2" type="noConversion"/>
  </si>
  <si>
    <t>OVEN</t>
    <phoneticPr fontId="2" type="noConversion"/>
  </si>
  <si>
    <t>STYLER</t>
    <phoneticPr fontId="2" type="noConversion"/>
  </si>
  <si>
    <t>WATER 
PURIFIER</t>
    <phoneticPr fontId="2" type="noConversion"/>
  </si>
  <si>
    <t>25개국 대상 리테일러</t>
    <phoneticPr fontId="2" type="noConversion"/>
  </si>
  <si>
    <t>https://ao.com/l/tumble_dryers/1/17/?pagesize=60&amp;page=0</t>
    <phoneticPr fontId="2" type="noConversion"/>
  </si>
  <si>
    <t>조사내용 일치여부</t>
  </si>
  <si>
    <t>https://www.elcorteingles.es/electrodomesticos/frigorificos-y-congeladores/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</si>
</sst>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9">
    <font>
      <sz val="11"/>
      <color theme="1"/>
      <name val="맑은 고딕"/>
      <family val="2"/>
      <charset val="129"/>
      <scheme val="minor"/>
    </font>
    <font>
      <sz val="11"/>
      <color theme="1"/>
      <name val="Arial Narrow"/>
      <family val="2"/>
    </font>
    <font>
      <sz val="8"/>
      <name val="맑은 고딕"/>
      <family val="2"/>
      <charset val="129"/>
      <scheme val="minor"/>
    </font>
    <font>
      <b/>
      <sz val="16"/>
      <name val="Arial Narrow"/>
      <family val="2"/>
    </font>
    <font>
      <b/>
      <sz val="16"/>
      <name val="LG스마트체 Regular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sz val="9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LG스마트체 Light"/>
      <family val="3"/>
      <charset val="129"/>
    </font>
    <font>
      <sz val="12"/>
      <color theme="1"/>
      <name val="Arial Narrow"/>
      <family val="2"/>
    </font>
    <font>
      <sz val="12"/>
      <color theme="1"/>
      <name val="LG스마트체 Light"/>
      <family val="3"/>
      <charset val="129"/>
    </font>
    <font>
      <b/>
      <sz val="12"/>
      <color theme="1"/>
      <name val="LG스마트체 Light"/>
      <family val="3"/>
      <charset val="129"/>
    </font>
    <font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i/>
      <sz val="9"/>
      <color rgb="FF000000"/>
      <name val="Arial Narrow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Arial Narrow"/>
      <family val="2"/>
    </font>
    <font>
      <sz val="10"/>
      <color theme="1"/>
      <name val="LG스마트체 Regular"/>
      <family val="3"/>
      <charset val="129"/>
    </font>
    <font>
      <b/>
      <sz val="11"/>
      <color rgb="FF00B050"/>
      <name val="Arial Narrow"/>
      <family val="2"/>
    </font>
    <font>
      <sz val="11"/>
      <color rgb="FF00B050"/>
      <name val="LG스마트체 Regular"/>
      <family val="3"/>
      <charset val="129"/>
    </font>
    <font>
      <sz val="11"/>
      <color rgb="FF00B050"/>
      <name val="Arial Narrow"/>
      <family val="2"/>
    </font>
    <font>
      <sz val="11"/>
      <color rgb="FF000000"/>
      <name val="LG스마트체 Regular"/>
      <family val="3"/>
      <charset val="129"/>
    </font>
    <font>
      <sz val="11"/>
      <color rgb="FF000000"/>
      <name val="Arial Narrow"/>
      <family val="2"/>
    </font>
    <font>
      <i/>
      <sz val="9"/>
      <color rgb="FFFF0000"/>
      <name val="Arial Narrow"/>
      <family val="2"/>
    </font>
    <font>
      <sz val="11"/>
      <color theme="1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8"/>
      <color rgb="FFFF000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9"/>
      <color theme="1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  <font>
      <sz val="11"/>
      <color theme="1"/>
      <name val="맑은 고딕"/>
      <family val="2"/>
      <charset val="129"/>
    </font>
    <font>
      <sz val="8"/>
      <color theme="1"/>
      <name val="LG스마트체 Regular"/>
      <family val="3"/>
      <charset val="129"/>
    </font>
    <font>
      <i/>
      <sz val="9"/>
      <color theme="1"/>
      <name val="LG스마트체 Regular"/>
      <family val="3"/>
      <charset val="129"/>
    </font>
    <font>
      <u/>
      <sz val="10"/>
      <color theme="1"/>
      <name val="LG스마트체 Regular"/>
      <family val="3"/>
      <charset val="129"/>
    </font>
    <font>
      <b/>
      <sz val="10"/>
      <color rgb="FF000000"/>
      <name val="Arial Narrow"/>
      <family val="2"/>
    </font>
    <font>
      <sz val="8"/>
      <color rgb="FFFF0000"/>
      <name val="Arial Narrow"/>
      <family val="2"/>
    </font>
    <font>
      <b/>
      <sz val="11"/>
      <color theme="1"/>
      <name val="Arial Narrow"/>
      <family val="2"/>
    </font>
    <font>
      <u/>
      <sz val="9"/>
      <color theme="10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Arial Narrow"/>
      <family val="2"/>
    </font>
    <font>
      <sz val="9.8000000000000007"/>
      <color rgb="FF000000"/>
      <name val="Arial Narrow"/>
      <family val="2"/>
    </font>
    <font>
      <sz val="11"/>
      <color rgb="FF242424"/>
      <name val="Arial Narrow"/>
      <family val="2"/>
    </font>
    <font>
      <sz val="9.8000000000000007"/>
      <color rgb="FF080808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3"/>
      <charset val="129"/>
    </font>
    <font>
      <sz val="11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LG스마트체2.0 Regular"/>
      <family val="3"/>
      <charset val="129"/>
    </font>
    <font>
      <sz val="10"/>
      <color rgb="FF000000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i/>
      <sz val="11"/>
      <color rgb="FFFF0000"/>
      <name val="LG스마트체 Regular"/>
      <family val="3"/>
      <charset val="129"/>
    </font>
    <font>
      <b/>
      <sz val="11"/>
      <name val="LG스마트체 Regular"/>
      <family val="3"/>
      <charset val="129"/>
    </font>
    <font>
      <u/>
      <sz val="11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0" tint="-0.499984740745262"/>
      <name val="LG스마트체 Regular"/>
      <family val="3"/>
      <charset val="129"/>
    </font>
    <font>
      <sz val="10"/>
      <color rgb="FF008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FFFFFF"/>
      <name val="LG스마트체 Regular"/>
      <family val="3"/>
      <charset val="129"/>
    </font>
    <font>
      <b/>
      <sz val="10"/>
      <color theme="1"/>
      <name val="LG스마트체2.0 Regular"/>
      <family val="3"/>
      <charset val="129"/>
    </font>
    <font>
      <sz val="11"/>
      <color theme="1"/>
      <name val="Courier New"/>
      <family val="3"/>
      <charset val="178"/>
    </font>
    <font>
      <sz val="11"/>
      <color theme="1"/>
      <name val="Tahoma"/>
      <family val="2"/>
      <charset val="129"/>
    </font>
    <font>
      <sz val="11"/>
      <color indexed="8"/>
      <name val="LG스마트체 Regular"/>
      <family val="3"/>
      <charset val="129"/>
    </font>
    <font>
      <sz val="8"/>
      <name val="LG스마트체 Regular"/>
      <family val="2"/>
      <charset val="129"/>
    </font>
    <font>
      <sz val="11"/>
      <color theme="1"/>
      <name val="Calibri"/>
      <family val="2"/>
    </font>
    <font>
      <sz val="11"/>
      <color theme="1"/>
      <name val="Arial"/>
      <family val="3"/>
      <charset val="178"/>
    </font>
    <font>
      <sz val="11"/>
      <color theme="1"/>
      <name val="Tahoma"/>
      <family val="3"/>
      <charset val="222"/>
    </font>
    <font>
      <sz val="11"/>
      <color theme="1"/>
      <name val="Gulim"/>
      <family val="3"/>
      <charset val="129"/>
    </font>
    <font>
      <sz val="11"/>
      <color theme="1"/>
      <name val="Calibri"/>
      <family val="3"/>
      <charset val="163"/>
    </font>
    <font>
      <sz val="11"/>
      <color theme="1"/>
      <name val="Segoe UI"/>
      <family val="3"/>
      <charset val="238"/>
    </font>
    <font>
      <b/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theme="1" tint="0.34998626667073579"/>
      <name val="LG스마트체 Regular"/>
      <family val="3"/>
      <charset val="129"/>
    </font>
    <font>
      <u/>
      <sz val="10"/>
      <color theme="10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i/>
      <sz val="10"/>
      <color rgb="FFFF0000"/>
      <name val="LG스마트체 Regular"/>
      <family val="3"/>
      <charset val="129"/>
    </font>
    <font>
      <sz val="11"/>
      <color theme="1"/>
      <name val="LG스마트체 Regular"/>
      <family val="3"/>
      <charset val="222"/>
    </font>
    <font>
      <sz val="11"/>
      <color theme="1"/>
      <name val="LG스마트체 Regular"/>
      <family val="3"/>
    </font>
    <font>
      <sz val="11"/>
      <name val="LG스마트체 Regular"/>
      <family val="3"/>
    </font>
    <font>
      <sz val="11"/>
      <color theme="1"/>
      <name val="Calibri"/>
      <family val="3"/>
    </font>
    <font>
      <sz val="11"/>
      <color theme="1"/>
      <name val="Tahoma"/>
      <family val="2"/>
    </font>
    <font>
      <sz val="11"/>
      <color theme="1"/>
      <name val="LG스마트체 Regular"/>
      <family val="2"/>
      <charset val="129"/>
    </font>
    <font>
      <sz val="11"/>
      <color theme="1"/>
      <name val="Arial Unicode MS"/>
      <family val="3"/>
      <charset val="129"/>
    </font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375623"/>
      <name val="Arial"/>
    </font>
  </fonts>
  <fills count="34">
    <fill>
      <patternFill patternType="none"/>
    </fill>
    <fill>
      <patternFill patternType="gray125"/>
    </fill>
    <fill>
      <patternFill patternType="solid">
        <fgColor theme="1" tint="0.34998626667073579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/>
  </borders>
  <cellStyleXfs count="14">
    <xf numFmtId="0" fontId="0" fillId="0" borderId="0">
      <alignment vertical="center"/>
    </xf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/>
    <xf numFmtId="0" fontId="25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23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0" fontId="95" fillId="0" borderId="0" applyNumberFormat="0" applyFill="0" applyBorder="0" applyAlignment="0" applyProtection="0">
      <alignment vertical="center"/>
    </xf>
  </cellStyleXfs>
  <cellXfs count="33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quotePrefix="1" applyFont="1">
      <alignment vertical="center"/>
    </xf>
    <xf numFmtId="0" fontId="1" fillId="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6" borderId="0" xfId="0" applyFont="1" applyFill="1">
      <alignment vertical="center"/>
    </xf>
    <xf numFmtId="0" fontId="17" fillId="3" borderId="0" xfId="0" applyFont="1" applyFill="1">
      <alignment vertical="center"/>
    </xf>
    <xf numFmtId="0" fontId="17" fillId="3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readingOrder="1"/>
    </xf>
    <xf numFmtId="14" fontId="21" fillId="6" borderId="8" xfId="1" applyNumberFormat="1" applyFont="1" applyFill="1" applyBorder="1" applyAlignment="1">
      <alignment horizontal="center" vertical="center"/>
    </xf>
    <xf numFmtId="0" fontId="9" fillId="0" borderId="8" xfId="1" applyFont="1" applyBorder="1">
      <alignment vertical="center"/>
    </xf>
    <xf numFmtId="0" fontId="17" fillId="0" borderId="8" xfId="0" applyFont="1" applyBorder="1" applyAlignment="1">
      <alignment horizontal="center" vertical="center"/>
    </xf>
    <xf numFmtId="0" fontId="19" fillId="10" borderId="8" xfId="1" quotePrefix="1" applyFont="1" applyFill="1" applyBorder="1" applyAlignment="1">
      <alignment horizontal="center" vertical="center"/>
    </xf>
    <xf numFmtId="0" fontId="19" fillId="6" borderId="8" xfId="1" applyFont="1" applyFill="1" applyBorder="1" applyAlignment="1">
      <alignment horizontal="center" vertical="center"/>
    </xf>
    <xf numFmtId="0" fontId="19" fillId="0" borderId="8" xfId="1" applyFont="1" applyBorder="1">
      <alignment vertical="center"/>
    </xf>
    <xf numFmtId="0" fontId="17" fillId="3" borderId="8" xfId="0" applyFont="1" applyFill="1" applyBorder="1">
      <alignment vertical="center"/>
    </xf>
    <xf numFmtId="0" fontId="42" fillId="17" borderId="7" xfId="0" applyFont="1" applyFill="1" applyBorder="1" applyAlignment="1">
      <alignment horizontal="center" vertical="center" readingOrder="1"/>
    </xf>
    <xf numFmtId="0" fontId="42" fillId="0" borderId="0" xfId="0" applyFont="1" applyAlignment="1">
      <alignment horizontal="center" vertical="center" readingOrder="1"/>
    </xf>
    <xf numFmtId="0" fontId="43" fillId="0" borderId="0" xfId="0" applyFont="1">
      <alignment vertical="center"/>
    </xf>
    <xf numFmtId="0" fontId="19" fillId="0" borderId="7" xfId="0" applyFont="1" applyBorder="1" applyAlignment="1">
      <alignment horizontal="center" vertical="center" readingOrder="1"/>
    </xf>
    <xf numFmtId="0" fontId="19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indent="1" readingOrder="1"/>
    </xf>
    <xf numFmtId="0" fontId="30" fillId="0" borderId="0" xfId="0" applyFont="1" applyAlignment="1">
      <alignment horizontal="left" vertical="center" indent="1" readingOrder="1"/>
    </xf>
    <xf numFmtId="3" fontId="19" fillId="0" borderId="7" xfId="0" applyNumberFormat="1" applyFont="1" applyBorder="1" applyAlignment="1">
      <alignment horizontal="center" vertical="center" readingOrder="1"/>
    </xf>
    <xf numFmtId="3" fontId="19" fillId="0" borderId="0" xfId="0" applyNumberFormat="1" applyFont="1" applyAlignment="1">
      <alignment horizontal="center" vertical="center" readingOrder="1"/>
    </xf>
    <xf numFmtId="0" fontId="4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6" fillId="14" borderId="2" xfId="0" applyFont="1" applyFill="1" applyBorder="1" applyAlignment="1">
      <alignment horizontal="left" vertical="center"/>
    </xf>
    <xf numFmtId="0" fontId="46" fillId="14" borderId="2" xfId="0" applyFont="1" applyFill="1" applyBorder="1">
      <alignment vertical="center"/>
    </xf>
    <xf numFmtId="0" fontId="46" fillId="14" borderId="3" xfId="0" applyFont="1" applyFill="1" applyBorder="1" applyAlignment="1">
      <alignment horizontal="left" vertical="center"/>
    </xf>
    <xf numFmtId="14" fontId="1" fillId="6" borderId="0" xfId="0" applyNumberFormat="1" applyFont="1" applyFill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4" xfId="0" applyFont="1" applyBorder="1">
      <alignment vertical="center"/>
    </xf>
    <xf numFmtId="0" fontId="47" fillId="0" borderId="0" xfId="4" applyFont="1" applyAlignment="1">
      <alignment horizontal="left" vertical="center"/>
    </xf>
    <xf numFmtId="0" fontId="30" fillId="0" borderId="4" xfId="0" applyFont="1" applyBorder="1" applyAlignment="1">
      <alignment vertical="center" wrapText="1"/>
    </xf>
    <xf numFmtId="0" fontId="30" fillId="0" borderId="4" xfId="0" applyFont="1" applyBorder="1" applyAlignment="1">
      <alignment horizontal="left"/>
    </xf>
    <xf numFmtId="0" fontId="30" fillId="0" borderId="4" xfId="0" applyFont="1" applyBorder="1" applyAlignment="1"/>
    <xf numFmtId="0" fontId="30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9" fillId="0" borderId="4" xfId="0" applyFont="1" applyBorder="1">
      <alignment vertical="center"/>
    </xf>
    <xf numFmtId="0" fontId="48" fillId="0" borderId="0" xfId="0" applyFont="1" applyAlignment="1">
      <alignment horizontal="left" vertical="center" wrapText="1"/>
    </xf>
    <xf numFmtId="0" fontId="49" fillId="15" borderId="4" xfId="0" applyFont="1" applyFill="1" applyBorder="1">
      <alignment vertical="center"/>
    </xf>
    <xf numFmtId="0" fontId="49" fillId="0" borderId="0" xfId="0" applyFont="1">
      <alignment vertical="center"/>
    </xf>
    <xf numFmtId="0" fontId="30" fillId="0" borderId="0" xfId="0" applyFont="1" applyAlignment="1"/>
    <xf numFmtId="0" fontId="50" fillId="0" borderId="0" xfId="0" applyFont="1" applyAlignment="1">
      <alignment horizontal="left" vertical="center"/>
    </xf>
    <xf numFmtId="0" fontId="47" fillId="0" borderId="0" xfId="4" applyFont="1" applyAlignment="1"/>
    <xf numFmtId="14" fontId="1" fillId="9" borderId="0" xfId="0" applyNumberFormat="1" applyFont="1" applyFill="1" applyAlignment="1">
      <alignment horizontal="center" vertical="center"/>
    </xf>
    <xf numFmtId="0" fontId="44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left" vertical="center" indent="1"/>
    </xf>
    <xf numFmtId="0" fontId="51" fillId="0" borderId="0" xfId="0" applyFont="1" applyAlignment="1">
      <alignment horizontal="left" vertical="center"/>
    </xf>
    <xf numFmtId="0" fontId="51" fillId="6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8" borderId="8" xfId="0" applyFont="1" applyFill="1" applyBorder="1">
      <alignment vertical="center"/>
    </xf>
    <xf numFmtId="0" fontId="9" fillId="0" borderId="8" xfId="1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2" fillId="3" borderId="0" xfId="0" applyFont="1" applyFill="1">
      <alignment vertical="center"/>
    </xf>
    <xf numFmtId="0" fontId="32" fillId="0" borderId="0" xfId="0" applyFont="1">
      <alignment vertical="center"/>
    </xf>
    <xf numFmtId="0" fontId="58" fillId="3" borderId="0" xfId="0" applyFont="1" applyFill="1">
      <alignment vertical="center"/>
    </xf>
    <xf numFmtId="0" fontId="0" fillId="3" borderId="0" xfId="0" applyFill="1">
      <alignment vertical="center"/>
    </xf>
    <xf numFmtId="0" fontId="19" fillId="18" borderId="7" xfId="0" applyFont="1" applyFill="1" applyBorder="1" applyAlignment="1">
      <alignment horizontal="center" vertical="center" readingOrder="1"/>
    </xf>
    <xf numFmtId="0" fontId="59" fillId="3" borderId="0" xfId="0" applyFont="1" applyFill="1">
      <alignment vertical="center"/>
    </xf>
    <xf numFmtId="3" fontId="19" fillId="18" borderId="7" xfId="0" applyNumberFormat="1" applyFont="1" applyFill="1" applyBorder="1" applyAlignment="1">
      <alignment horizontal="center" vertical="center" readingOrder="1"/>
    </xf>
    <xf numFmtId="0" fontId="53" fillId="3" borderId="0" xfId="0" applyFont="1" applyFill="1">
      <alignment vertical="center"/>
    </xf>
    <xf numFmtId="0" fontId="32" fillId="3" borderId="0" xfId="0" quotePrefix="1" applyFont="1" applyFill="1">
      <alignment vertical="center"/>
    </xf>
    <xf numFmtId="0" fontId="60" fillId="3" borderId="0" xfId="0" applyFont="1" applyFill="1">
      <alignment vertical="center"/>
    </xf>
    <xf numFmtId="0" fontId="53" fillId="12" borderId="0" xfId="0" applyFont="1" applyFill="1">
      <alignment vertical="center"/>
    </xf>
    <xf numFmtId="0" fontId="53" fillId="3" borderId="0" xfId="0" applyFont="1" applyFill="1" applyAlignment="1">
      <alignment horizontal="center" vertical="center"/>
    </xf>
    <xf numFmtId="0" fontId="38" fillId="0" borderId="0" xfId="0" applyFont="1">
      <alignment vertical="center"/>
    </xf>
    <xf numFmtId="0" fontId="53" fillId="6" borderId="0" xfId="0" applyFont="1" applyFill="1">
      <alignment vertical="center"/>
    </xf>
    <xf numFmtId="0" fontId="53" fillId="3" borderId="8" xfId="0" applyFont="1" applyFill="1" applyBorder="1">
      <alignment vertical="center"/>
    </xf>
    <xf numFmtId="0" fontId="32" fillId="0" borderId="8" xfId="0" applyFont="1" applyBorder="1">
      <alignment vertical="center"/>
    </xf>
    <xf numFmtId="0" fontId="73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vertical="center" wrapText="1"/>
    </xf>
    <xf numFmtId="14" fontId="73" fillId="0" borderId="8" xfId="0" applyNumberFormat="1" applyFont="1" applyBorder="1" applyAlignment="1">
      <alignment horizontal="center" vertical="center"/>
    </xf>
    <xf numFmtId="0" fontId="53" fillId="3" borderId="9" xfId="0" applyFont="1" applyFill="1" applyBorder="1">
      <alignment vertical="center"/>
    </xf>
    <xf numFmtId="0" fontId="32" fillId="0" borderId="9" xfId="0" applyFont="1" applyBorder="1">
      <alignment vertical="center"/>
    </xf>
    <xf numFmtId="0" fontId="53" fillId="3" borderId="10" xfId="0" applyFont="1" applyFill="1" applyBorder="1">
      <alignment vertical="center"/>
    </xf>
    <xf numFmtId="0" fontId="53" fillId="3" borderId="11" xfId="0" applyFont="1" applyFill="1" applyBorder="1">
      <alignment vertical="center"/>
    </xf>
    <xf numFmtId="0" fontId="53" fillId="3" borderId="5" xfId="0" applyFont="1" applyFill="1" applyBorder="1">
      <alignment vertical="center"/>
    </xf>
    <xf numFmtId="0" fontId="32" fillId="0" borderId="5" xfId="0" applyFont="1" applyBorder="1">
      <alignment vertical="center"/>
    </xf>
    <xf numFmtId="0" fontId="32" fillId="0" borderId="13" xfId="0" applyFont="1" applyBorder="1">
      <alignment vertical="center"/>
    </xf>
    <xf numFmtId="0" fontId="53" fillId="3" borderId="13" xfId="0" applyFont="1" applyFill="1" applyBorder="1">
      <alignment vertical="center"/>
    </xf>
    <xf numFmtId="0" fontId="32" fillId="0" borderId="6" xfId="0" applyFont="1" applyBorder="1">
      <alignment vertical="center"/>
    </xf>
    <xf numFmtId="0" fontId="73" fillId="0" borderId="6" xfId="0" applyFont="1" applyBorder="1" applyAlignment="1">
      <alignment horizontal="center" vertical="center"/>
    </xf>
    <xf numFmtId="14" fontId="73" fillId="0" borderId="9" xfId="0" applyNumberFormat="1" applyFont="1" applyBorder="1" applyAlignment="1">
      <alignment horizontal="center" vertical="center"/>
    </xf>
    <xf numFmtId="0" fontId="32" fillId="0" borderId="10" xfId="0" applyFont="1" applyBorder="1">
      <alignment vertical="center"/>
    </xf>
    <xf numFmtId="14" fontId="73" fillId="0" borderId="13" xfId="0" applyNumberFormat="1" applyFont="1" applyBorder="1" applyAlignment="1">
      <alignment horizontal="center" vertical="center"/>
    </xf>
    <xf numFmtId="0" fontId="32" fillId="0" borderId="11" xfId="0" applyFont="1" applyBorder="1">
      <alignment vertical="center"/>
    </xf>
    <xf numFmtId="14" fontId="73" fillId="0" borderId="5" xfId="0" applyNumberFormat="1" applyFont="1" applyBorder="1" applyAlignment="1">
      <alignment horizontal="center" vertical="center"/>
    </xf>
    <xf numFmtId="0" fontId="32" fillId="0" borderId="12" xfId="0" applyFont="1" applyBorder="1">
      <alignment vertical="center"/>
    </xf>
    <xf numFmtId="0" fontId="61" fillId="20" borderId="13" xfId="0" applyFont="1" applyFill="1" applyBorder="1" applyAlignment="1">
      <alignment horizontal="center" vertical="center"/>
    </xf>
    <xf numFmtId="0" fontId="61" fillId="12" borderId="13" xfId="0" applyFont="1" applyFill="1" applyBorder="1" applyAlignment="1">
      <alignment horizontal="center" vertical="center"/>
    </xf>
    <xf numFmtId="0" fontId="73" fillId="0" borderId="13" xfId="0" applyFont="1" applyBorder="1" applyAlignment="1">
      <alignment horizontal="center" vertical="center"/>
    </xf>
    <xf numFmtId="0" fontId="53" fillId="6" borderId="13" xfId="0" applyFont="1" applyFill="1" applyBorder="1">
      <alignment vertical="center"/>
    </xf>
    <xf numFmtId="0" fontId="32" fillId="6" borderId="13" xfId="0" applyFont="1" applyFill="1" applyBorder="1">
      <alignment vertical="center"/>
    </xf>
    <xf numFmtId="0" fontId="53" fillId="22" borderId="0" xfId="0" applyFont="1" applyFill="1">
      <alignment vertical="center"/>
    </xf>
    <xf numFmtId="0" fontId="53" fillId="22" borderId="13" xfId="0" applyFont="1" applyFill="1" applyBorder="1">
      <alignment vertical="center"/>
    </xf>
    <xf numFmtId="0" fontId="32" fillId="22" borderId="13" xfId="0" applyFont="1" applyFill="1" applyBorder="1">
      <alignment vertical="center"/>
    </xf>
    <xf numFmtId="0" fontId="53" fillId="9" borderId="0" xfId="0" applyFont="1" applyFill="1">
      <alignment vertical="center"/>
    </xf>
    <xf numFmtId="0" fontId="53" fillId="9" borderId="13" xfId="0" applyFont="1" applyFill="1" applyBorder="1">
      <alignment vertical="center"/>
    </xf>
    <xf numFmtId="0" fontId="32" fillId="9" borderId="13" xfId="0" applyFont="1" applyFill="1" applyBorder="1">
      <alignment vertical="center"/>
    </xf>
    <xf numFmtId="0" fontId="32" fillId="9" borderId="8" xfId="0" applyFont="1" applyFill="1" applyBorder="1">
      <alignment vertical="center"/>
    </xf>
    <xf numFmtId="0" fontId="32" fillId="22" borderId="13" xfId="0" applyFont="1" applyFill="1" applyBorder="1" applyAlignment="1">
      <alignment vertical="center" wrapText="1"/>
    </xf>
    <xf numFmtId="0" fontId="32" fillId="12" borderId="13" xfId="0" applyFont="1" applyFill="1" applyBorder="1">
      <alignment vertical="center"/>
    </xf>
    <xf numFmtId="0" fontId="53" fillId="12" borderId="13" xfId="0" applyFont="1" applyFill="1" applyBorder="1">
      <alignment vertical="center"/>
    </xf>
    <xf numFmtId="0" fontId="32" fillId="9" borderId="0" xfId="0" applyFont="1" applyFill="1">
      <alignment vertical="center"/>
    </xf>
    <xf numFmtId="0" fontId="32" fillId="6" borderId="13" xfId="0" applyFont="1" applyFill="1" applyBorder="1" applyAlignment="1">
      <alignment vertical="center" wrapText="1"/>
    </xf>
    <xf numFmtId="0" fontId="32" fillId="3" borderId="13" xfId="0" applyFont="1" applyFill="1" applyBorder="1">
      <alignment vertical="center"/>
    </xf>
    <xf numFmtId="0" fontId="53" fillId="0" borderId="0" xfId="0" applyFont="1">
      <alignment vertical="center"/>
    </xf>
    <xf numFmtId="0" fontId="76" fillId="0" borderId="13" xfId="0" applyFont="1" applyBorder="1">
      <alignment vertical="center"/>
    </xf>
    <xf numFmtId="0" fontId="77" fillId="22" borderId="13" xfId="0" applyFont="1" applyFill="1" applyBorder="1">
      <alignment vertical="center"/>
    </xf>
    <xf numFmtId="0" fontId="77" fillId="9" borderId="13" xfId="0" applyFont="1" applyFill="1" applyBorder="1">
      <alignment vertical="center"/>
    </xf>
    <xf numFmtId="0" fontId="78" fillId="22" borderId="13" xfId="0" applyFont="1" applyFill="1" applyBorder="1">
      <alignment vertical="center"/>
    </xf>
    <xf numFmtId="0" fontId="76" fillId="22" borderId="13" xfId="0" applyFont="1" applyFill="1" applyBorder="1" applyAlignment="1">
      <alignment horizontal="right" vertical="center"/>
    </xf>
    <xf numFmtId="0" fontId="32" fillId="6" borderId="8" xfId="0" applyFont="1" applyFill="1" applyBorder="1">
      <alignment vertical="center"/>
    </xf>
    <xf numFmtId="0" fontId="32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left" vertical="center"/>
    </xf>
    <xf numFmtId="0" fontId="53" fillId="3" borderId="14" xfId="0" applyFont="1" applyFill="1" applyBorder="1">
      <alignment vertical="center"/>
    </xf>
    <xf numFmtId="0" fontId="53" fillId="9" borderId="8" xfId="0" applyFont="1" applyFill="1" applyBorder="1">
      <alignment vertical="center"/>
    </xf>
    <xf numFmtId="0" fontId="53" fillId="9" borderId="14" xfId="0" applyFont="1" applyFill="1" applyBorder="1">
      <alignment vertical="center"/>
    </xf>
    <xf numFmtId="0" fontId="6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63" fillId="0" borderId="0" xfId="0" applyFont="1">
      <alignment vertical="center"/>
    </xf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0" fontId="83" fillId="0" borderId="0" xfId="0" quotePrefix="1" applyFont="1">
      <alignment vertical="center"/>
    </xf>
    <xf numFmtId="0" fontId="63" fillId="0" borderId="1" xfId="0" applyFont="1" applyBorder="1">
      <alignment vertical="center"/>
    </xf>
    <xf numFmtId="0" fontId="25" fillId="0" borderId="1" xfId="0" applyFont="1" applyBorder="1">
      <alignment vertical="center"/>
    </xf>
    <xf numFmtId="41" fontId="25" fillId="0" borderId="0" xfId="8" applyFont="1" applyAlignment="1">
      <alignment horizontal="center"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25" fillId="11" borderId="0" xfId="0" applyFont="1" applyFill="1">
      <alignment vertical="center"/>
    </xf>
    <xf numFmtId="0" fontId="25" fillId="9" borderId="0" xfId="0" applyFont="1" applyFill="1">
      <alignment vertical="center"/>
    </xf>
    <xf numFmtId="0" fontId="25" fillId="0" borderId="0" xfId="0" quotePrefix="1" applyFont="1">
      <alignment vertical="center"/>
    </xf>
    <xf numFmtId="0" fontId="68" fillId="3" borderId="13" xfId="1" applyFont="1" applyFill="1" applyBorder="1" applyAlignment="1">
      <alignment horizontal="center" vertical="center"/>
    </xf>
    <xf numFmtId="0" fontId="66" fillId="3" borderId="13" xfId="1" applyFont="1" applyFill="1" applyBorder="1" applyAlignment="1">
      <alignment horizontal="center" vertical="center"/>
    </xf>
    <xf numFmtId="14" fontId="66" fillId="3" borderId="13" xfId="1" applyNumberFormat="1" applyFont="1" applyFill="1" applyBorder="1" applyAlignment="1">
      <alignment horizontal="center" vertical="center"/>
    </xf>
    <xf numFmtId="0" fontId="25" fillId="3" borderId="0" xfId="0" applyFont="1" applyFill="1">
      <alignment vertical="center"/>
    </xf>
    <xf numFmtId="0" fontId="68" fillId="9" borderId="13" xfId="6" applyFont="1" applyFill="1" applyBorder="1" applyAlignment="1">
      <alignment horizontal="center" vertical="center"/>
    </xf>
    <xf numFmtId="0" fontId="25" fillId="9" borderId="13" xfId="0" applyFont="1" applyFill="1" applyBorder="1">
      <alignment vertical="center"/>
    </xf>
    <xf numFmtId="0" fontId="25" fillId="9" borderId="13" xfId="6" applyFill="1" applyBorder="1" applyAlignment="1">
      <alignment horizontal="center" vertical="center"/>
    </xf>
    <xf numFmtId="0" fontId="68" fillId="9" borderId="13" xfId="6" applyFont="1" applyFill="1" applyBorder="1">
      <alignment vertical="center"/>
    </xf>
    <xf numFmtId="0" fontId="66" fillId="9" borderId="13" xfId="6" quotePrefix="1" applyFont="1" applyFill="1" applyBorder="1" applyAlignment="1">
      <alignment horizontal="center" vertical="center"/>
    </xf>
    <xf numFmtId="0" fontId="66" fillId="9" borderId="13" xfId="1" applyFont="1" applyFill="1" applyBorder="1" applyAlignment="1">
      <alignment horizontal="center" vertical="center"/>
    </xf>
    <xf numFmtId="14" fontId="66" fillId="9" borderId="13" xfId="1" applyNumberFormat="1" applyFont="1" applyFill="1" applyBorder="1" applyAlignment="1">
      <alignment horizontal="center" vertical="center"/>
    </xf>
    <xf numFmtId="0" fontId="25" fillId="3" borderId="13" xfId="0" applyFont="1" applyFill="1" applyBorder="1">
      <alignment vertical="center"/>
    </xf>
    <xf numFmtId="0" fontId="25" fillId="3" borderId="13" xfId="0" applyFont="1" applyFill="1" applyBorder="1" applyAlignment="1">
      <alignment horizontal="center" vertical="center"/>
    </xf>
    <xf numFmtId="0" fontId="66" fillId="0" borderId="13" xfId="1" applyFont="1" applyBorder="1" applyAlignment="1">
      <alignment horizontal="center" vertical="center"/>
    </xf>
    <xf numFmtId="14" fontId="68" fillId="0" borderId="13" xfId="1" applyNumberFormat="1" applyFont="1" applyBorder="1" applyAlignment="1">
      <alignment horizontal="center" vertical="center"/>
    </xf>
    <xf numFmtId="0" fontId="68" fillId="0" borderId="13" xfId="1" applyFont="1" applyBorder="1" applyAlignment="1">
      <alignment horizontal="center" vertical="center"/>
    </xf>
    <xf numFmtId="14" fontId="25" fillId="0" borderId="0" xfId="0" applyNumberFormat="1" applyFont="1">
      <alignment vertical="center"/>
    </xf>
    <xf numFmtId="0" fontId="66" fillId="9" borderId="13" xfId="6" applyFont="1" applyFill="1" applyBorder="1" applyAlignment="1">
      <alignment horizontal="center" vertical="center"/>
    </xf>
    <xf numFmtId="14" fontId="25" fillId="3" borderId="13" xfId="0" applyNumberFormat="1" applyFont="1" applyFill="1" applyBorder="1" applyAlignment="1">
      <alignment horizontal="center" vertical="center"/>
    </xf>
    <xf numFmtId="0" fontId="68" fillId="9" borderId="8" xfId="6" applyFont="1" applyFill="1" applyBorder="1" applyAlignment="1">
      <alignment horizontal="center" vertical="center"/>
    </xf>
    <xf numFmtId="0" fontId="84" fillId="9" borderId="13" xfId="4" applyFont="1" applyFill="1" applyBorder="1">
      <alignment vertical="center"/>
    </xf>
    <xf numFmtId="0" fontId="25" fillId="0" borderId="13" xfId="0" applyFont="1" applyBorder="1">
      <alignment vertical="center"/>
    </xf>
    <xf numFmtId="14" fontId="68" fillId="3" borderId="13" xfId="1" applyNumberFormat="1" applyFont="1" applyFill="1" applyBorder="1" applyAlignment="1">
      <alignment horizontal="center" vertical="center"/>
    </xf>
    <xf numFmtId="14" fontId="66" fillId="0" borderId="13" xfId="1" applyNumberFormat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85" fillId="0" borderId="13" xfId="0" applyFont="1" applyBorder="1">
      <alignment vertical="center"/>
    </xf>
    <xf numFmtId="14" fontId="86" fillId="0" borderId="13" xfId="1" applyNumberFormat="1" applyFont="1" applyBorder="1" applyAlignment="1">
      <alignment horizontal="center" vertical="center"/>
    </xf>
    <xf numFmtId="0" fontId="68" fillId="0" borderId="8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68" fillId="0" borderId="8" xfId="1" applyFont="1" applyBorder="1">
      <alignment vertical="center"/>
    </xf>
    <xf numFmtId="0" fontId="68" fillId="5" borderId="6" xfId="1" applyFont="1" applyFill="1" applyBorder="1" applyAlignment="1">
      <alignment horizontal="center" vertical="center"/>
    </xf>
    <xf numFmtId="0" fontId="25" fillId="5" borderId="6" xfId="1" applyFont="1" applyFill="1" applyBorder="1" applyAlignment="1">
      <alignment horizontal="center" vertical="center"/>
    </xf>
    <xf numFmtId="0" fontId="68" fillId="5" borderId="6" xfId="1" applyFont="1" applyFill="1" applyBorder="1">
      <alignment vertical="center"/>
    </xf>
    <xf numFmtId="0" fontId="66" fillId="5" borderId="6" xfId="1" applyFont="1" applyFill="1" applyBorder="1" applyAlignment="1">
      <alignment horizontal="center" vertical="center"/>
    </xf>
    <xf numFmtId="14" fontId="68" fillId="5" borderId="6" xfId="1" applyNumberFormat="1" applyFont="1" applyFill="1" applyBorder="1" applyAlignment="1">
      <alignment horizontal="center" vertical="center"/>
    </xf>
    <xf numFmtId="0" fontId="66" fillId="3" borderId="6" xfId="1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16" borderId="1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66" fillId="16" borderId="13" xfId="6" applyFont="1" applyFill="1" applyBorder="1" applyAlignment="1">
      <alignment horizontal="center" vertical="center"/>
    </xf>
    <xf numFmtId="0" fontId="82" fillId="8" borderId="13" xfId="6" applyFont="1" applyFill="1" applyBorder="1" applyAlignment="1">
      <alignment horizontal="center" vertical="center"/>
    </xf>
    <xf numFmtId="0" fontId="82" fillId="16" borderId="13" xfId="6" applyFont="1" applyFill="1" applyBorder="1" applyAlignment="1">
      <alignment horizontal="center" vertical="center"/>
    </xf>
    <xf numFmtId="0" fontId="82" fillId="9" borderId="13" xfId="6" applyFont="1" applyFill="1" applyBorder="1" applyAlignment="1">
      <alignment horizontal="center" vertical="center"/>
    </xf>
    <xf numFmtId="0" fontId="66" fillId="0" borderId="13" xfId="1" applyFont="1" applyBorder="1">
      <alignment vertical="center"/>
    </xf>
    <xf numFmtId="0" fontId="68" fillId="0" borderId="13" xfId="1" applyFont="1" applyBorder="1">
      <alignment vertical="center"/>
    </xf>
    <xf numFmtId="0" fontId="22" fillId="9" borderId="13" xfId="4" applyFill="1" applyBorder="1">
      <alignment vertical="center"/>
    </xf>
    <xf numFmtId="0" fontId="25" fillId="23" borderId="0" xfId="0" applyFont="1" applyFill="1">
      <alignment vertical="center"/>
    </xf>
    <xf numFmtId="0" fontId="22" fillId="0" borderId="8" xfId="4" applyBorder="1">
      <alignment vertical="center"/>
    </xf>
    <xf numFmtId="0" fontId="53" fillId="24" borderId="0" xfId="0" applyFont="1" applyFill="1">
      <alignment vertical="center"/>
    </xf>
    <xf numFmtId="0" fontId="53" fillId="24" borderId="13" xfId="0" applyFont="1" applyFill="1" applyBorder="1">
      <alignment vertical="center"/>
    </xf>
    <xf numFmtId="0" fontId="32" fillId="24" borderId="13" xfId="0" applyFont="1" applyFill="1" applyBorder="1">
      <alignment vertical="center"/>
    </xf>
    <xf numFmtId="0" fontId="32" fillId="24" borderId="18" xfId="0" applyFont="1" applyFill="1" applyBorder="1" applyAlignment="1">
      <alignment vertical="center" wrapText="1"/>
    </xf>
    <xf numFmtId="14" fontId="73" fillId="24" borderId="13" xfId="0" applyNumberFormat="1" applyFont="1" applyFill="1" applyBorder="1" applyAlignment="1">
      <alignment horizontal="center" vertical="center"/>
    </xf>
    <xf numFmtId="0" fontId="32" fillId="24" borderId="8" xfId="0" applyFont="1" applyFill="1" applyBorder="1">
      <alignment vertical="center"/>
    </xf>
    <xf numFmtId="0" fontId="32" fillId="24" borderId="18" xfId="0" applyFont="1" applyFill="1" applyBorder="1">
      <alignment vertical="center"/>
    </xf>
    <xf numFmtId="0" fontId="32" fillId="24" borderId="0" xfId="0" applyFont="1" applyFill="1">
      <alignment vertical="center"/>
    </xf>
    <xf numFmtId="0" fontId="77" fillId="24" borderId="13" xfId="0" applyFont="1" applyFill="1" applyBorder="1">
      <alignment vertical="center"/>
    </xf>
    <xf numFmtId="0" fontId="87" fillId="24" borderId="13" xfId="0" applyFont="1" applyFill="1" applyBorder="1">
      <alignment vertical="center"/>
    </xf>
    <xf numFmtId="0" fontId="32" fillId="0" borderId="0" xfId="0" applyFont="1" applyAlignment="1">
      <alignment horizontal="right" vertical="center"/>
    </xf>
    <xf numFmtId="0" fontId="53" fillId="25" borderId="0" xfId="0" applyFont="1" applyFill="1">
      <alignment vertical="center"/>
    </xf>
    <xf numFmtId="0" fontId="53" fillId="25" borderId="13" xfId="0" applyFont="1" applyFill="1" applyBorder="1">
      <alignment vertical="center"/>
    </xf>
    <xf numFmtId="0" fontId="32" fillId="25" borderId="13" xfId="0" applyFont="1" applyFill="1" applyBorder="1">
      <alignment vertical="center"/>
    </xf>
    <xf numFmtId="0" fontId="73" fillId="25" borderId="13" xfId="0" applyFont="1" applyFill="1" applyBorder="1" applyAlignment="1">
      <alignment horizontal="center" vertical="center"/>
    </xf>
    <xf numFmtId="41" fontId="19" fillId="25" borderId="13" xfId="8" applyFont="1" applyFill="1" applyBorder="1" applyAlignment="1">
      <alignment horizontal="center" vertical="center"/>
    </xf>
    <xf numFmtId="0" fontId="32" fillId="25" borderId="13" xfId="0" applyFont="1" applyFill="1" applyBorder="1" applyAlignment="1">
      <alignment horizontal="center" vertical="center"/>
    </xf>
    <xf numFmtId="0" fontId="32" fillId="25" borderId="0" xfId="0" applyFont="1" applyFill="1">
      <alignment vertical="center"/>
    </xf>
    <xf numFmtId="0" fontId="32" fillId="25" borderId="0" xfId="0" applyFont="1" applyFill="1" applyAlignment="1">
      <alignment horizontal="right" vertical="center"/>
    </xf>
    <xf numFmtId="0" fontId="53" fillId="3" borderId="13" xfId="1" applyFont="1" applyFill="1" applyBorder="1" applyAlignment="1">
      <alignment horizontal="left" vertical="center"/>
    </xf>
    <xf numFmtId="0" fontId="89" fillId="3" borderId="8" xfId="1" applyFont="1" applyFill="1" applyBorder="1" applyAlignment="1">
      <alignment horizontal="left" vertical="center"/>
    </xf>
    <xf numFmtId="0" fontId="88" fillId="3" borderId="13" xfId="1" applyFont="1" applyFill="1" applyBorder="1" applyAlignment="1">
      <alignment horizontal="left" vertical="center"/>
    </xf>
    <xf numFmtId="0" fontId="88" fillId="3" borderId="13" xfId="0" applyFont="1" applyFill="1" applyBorder="1" applyAlignment="1">
      <alignment horizontal="left" vertical="center"/>
    </xf>
    <xf numFmtId="0" fontId="88" fillId="3" borderId="13" xfId="0" applyFont="1" applyFill="1" applyBorder="1" applyAlignment="1">
      <alignment horizontal="left" vertical="center" wrapText="1"/>
    </xf>
    <xf numFmtId="0" fontId="88" fillId="3" borderId="8" xfId="1" applyFont="1" applyFill="1" applyBorder="1" applyAlignment="1">
      <alignment horizontal="left" vertical="center"/>
    </xf>
    <xf numFmtId="0" fontId="25" fillId="8" borderId="0" xfId="0" applyFont="1" applyFill="1">
      <alignment vertical="center"/>
    </xf>
    <xf numFmtId="0" fontId="25" fillId="0" borderId="0" xfId="0" applyFont="1" applyAlignment="1">
      <alignment horizontal="left" vertical="center"/>
    </xf>
    <xf numFmtId="0" fontId="67" fillId="2" borderId="13" xfId="1" applyFont="1" applyFill="1" applyBorder="1" applyAlignment="1">
      <alignment horizontal="center" vertical="center"/>
    </xf>
    <xf numFmtId="18" fontId="67" fillId="2" borderId="13" xfId="1" applyNumberFormat="1" applyFont="1" applyFill="1" applyBorder="1" applyAlignment="1">
      <alignment horizontal="center" vertical="center"/>
    </xf>
    <xf numFmtId="0" fontId="67" fillId="4" borderId="13" xfId="1" applyFont="1" applyFill="1" applyBorder="1" applyAlignment="1">
      <alignment horizontal="center" vertical="center"/>
    </xf>
    <xf numFmtId="0" fontId="67" fillId="19" borderId="13" xfId="1" applyFont="1" applyFill="1" applyBorder="1" applyAlignment="1">
      <alignment horizontal="center" vertical="center"/>
    </xf>
    <xf numFmtId="0" fontId="67" fillId="2" borderId="13" xfId="1" applyFont="1" applyFill="1" applyBorder="1" applyAlignment="1">
      <alignment horizontal="center" vertical="center" wrapText="1"/>
    </xf>
    <xf numFmtId="0" fontId="25" fillId="3" borderId="13" xfId="1" applyFont="1" applyFill="1" applyBorder="1" applyAlignment="1">
      <alignment horizontal="center" vertical="center"/>
    </xf>
    <xf numFmtId="0" fontId="68" fillId="3" borderId="13" xfId="1" applyFont="1" applyFill="1" applyBorder="1">
      <alignment vertical="center"/>
    </xf>
    <xf numFmtId="0" fontId="68" fillId="9" borderId="13" xfId="1" applyFont="1" applyFill="1" applyBorder="1" applyAlignment="1">
      <alignment horizontal="center" vertical="center"/>
    </xf>
    <xf numFmtId="14" fontId="25" fillId="9" borderId="13" xfId="0" applyNumberFormat="1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vertical="center" wrapText="1"/>
    </xf>
    <xf numFmtId="0" fontId="25" fillId="11" borderId="13" xfId="0" applyFont="1" applyFill="1" applyBorder="1">
      <alignment vertical="center"/>
    </xf>
    <xf numFmtId="0" fontId="66" fillId="3" borderId="13" xfId="1" applyFont="1" applyFill="1" applyBorder="1">
      <alignment vertical="center"/>
    </xf>
    <xf numFmtId="0" fontId="84" fillId="3" borderId="13" xfId="4" applyFont="1" applyFill="1" applyBorder="1">
      <alignment vertical="center"/>
    </xf>
    <xf numFmtId="0" fontId="84" fillId="0" borderId="13" xfId="4" applyFont="1" applyBorder="1">
      <alignment vertical="center"/>
    </xf>
    <xf numFmtId="0" fontId="25" fillId="0" borderId="13" xfId="0" applyFont="1" applyBorder="1" applyAlignment="1">
      <alignment horizontal="center" vertical="center"/>
    </xf>
    <xf numFmtId="0" fontId="66" fillId="5" borderId="13" xfId="1" applyFont="1" applyFill="1" applyBorder="1" applyAlignment="1">
      <alignment horizontal="center" vertical="center"/>
    </xf>
    <xf numFmtId="0" fontId="66" fillId="5" borderId="13" xfId="1" applyFont="1" applyFill="1" applyBorder="1">
      <alignment vertical="center"/>
    </xf>
    <xf numFmtId="0" fontId="68" fillId="5" borderId="13" xfId="1" applyFont="1" applyFill="1" applyBorder="1">
      <alignment vertical="center"/>
    </xf>
    <xf numFmtId="0" fontId="68" fillId="5" borderId="13" xfId="1" applyFont="1" applyFill="1" applyBorder="1" applyAlignment="1">
      <alignment horizontal="center" vertical="center"/>
    </xf>
    <xf numFmtId="14" fontId="68" fillId="5" borderId="13" xfId="1" applyNumberFormat="1" applyFont="1" applyFill="1" applyBorder="1" applyAlignment="1">
      <alignment horizontal="center" vertical="center"/>
    </xf>
    <xf numFmtId="0" fontId="22" fillId="0" borderId="13" xfId="4" applyBorder="1">
      <alignment vertical="center"/>
    </xf>
    <xf numFmtId="0" fontId="91" fillId="0" borderId="13" xfId="0" applyFont="1" applyBorder="1">
      <alignment vertical="center"/>
    </xf>
    <xf numFmtId="0" fontId="92" fillId="0" borderId="13" xfId="0" applyFont="1" applyBorder="1">
      <alignment vertical="center"/>
    </xf>
    <xf numFmtId="0" fontId="72" fillId="0" borderId="13" xfId="0" applyFont="1" applyBorder="1">
      <alignment vertical="center"/>
    </xf>
    <xf numFmtId="0" fontId="22" fillId="3" borderId="13" xfId="4" applyFill="1" applyBorder="1">
      <alignment vertical="center"/>
    </xf>
    <xf numFmtId="0" fontId="53" fillId="26" borderId="0" xfId="0" applyFont="1" applyFill="1">
      <alignment vertical="center"/>
    </xf>
    <xf numFmtId="0" fontId="53" fillId="26" borderId="13" xfId="0" applyFont="1" applyFill="1" applyBorder="1">
      <alignment vertical="center"/>
    </xf>
    <xf numFmtId="0" fontId="32" fillId="26" borderId="13" xfId="0" applyFont="1" applyFill="1" applyBorder="1">
      <alignment vertical="center"/>
    </xf>
    <xf numFmtId="0" fontId="25" fillId="27" borderId="0" xfId="0" applyFont="1" applyFill="1">
      <alignment vertical="center"/>
    </xf>
    <xf numFmtId="0" fontId="87" fillId="0" borderId="13" xfId="0" applyFont="1" applyBorder="1">
      <alignment vertical="center"/>
    </xf>
    <xf numFmtId="0" fontId="53" fillId="13" borderId="13" xfId="0" applyFont="1" applyFill="1" applyBorder="1">
      <alignment vertical="center"/>
    </xf>
    <xf numFmtId="0" fontId="23" fillId="28" borderId="0" xfId="10" applyFill="1">
      <alignment vertical="center"/>
    </xf>
    <xf numFmtId="0" fontId="23" fillId="0" borderId="0" xfId="10">
      <alignment vertical="center"/>
    </xf>
    <xf numFmtId="0" fontId="22" fillId="0" borderId="0" xfId="4">
      <alignment vertical="center"/>
    </xf>
    <xf numFmtId="0" fontId="23" fillId="6" borderId="0" xfId="10" applyFill="1">
      <alignment vertical="center"/>
    </xf>
    <xf numFmtId="0" fontId="6" fillId="2" borderId="13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9" borderId="13" xfId="1" applyFont="1" applyFill="1" applyBorder="1" applyAlignment="1">
      <alignment horizontal="center" vertical="center"/>
    </xf>
    <xf numFmtId="0" fontId="8" fillId="9" borderId="13" xfId="1" applyFont="1" applyFill="1" applyBorder="1" applyAlignment="1">
      <alignment horizontal="center" vertical="center"/>
    </xf>
    <xf numFmtId="0" fontId="9" fillId="3" borderId="13" xfId="1" applyFont="1" applyFill="1" applyBorder="1">
      <alignment vertical="center"/>
    </xf>
    <xf numFmtId="0" fontId="9" fillId="0" borderId="13" xfId="1" applyFont="1" applyBorder="1">
      <alignment vertical="center"/>
    </xf>
    <xf numFmtId="0" fontId="9" fillId="9" borderId="13" xfId="1" applyFont="1" applyFill="1" applyBorder="1">
      <alignment vertical="center"/>
    </xf>
    <xf numFmtId="0" fontId="70" fillId="16" borderId="13" xfId="1" applyFont="1" applyFill="1" applyBorder="1" applyAlignment="1">
      <alignment horizontal="center" vertical="center"/>
    </xf>
    <xf numFmtId="0" fontId="53" fillId="0" borderId="13" xfId="9" applyFont="1" applyBorder="1" applyAlignment="1">
      <alignment vertical="center" wrapText="1"/>
    </xf>
    <xf numFmtId="0" fontId="53" fillId="0" borderId="13" xfId="9" applyFont="1" applyBorder="1">
      <alignment vertical="center"/>
    </xf>
    <xf numFmtId="0" fontId="32" fillId="0" borderId="13" xfId="9" applyFont="1" applyBorder="1" applyAlignment="1">
      <alignment vertical="center" wrapText="1"/>
    </xf>
    <xf numFmtId="0" fontId="32" fillId="0" borderId="13" xfId="9" applyFont="1" applyBorder="1">
      <alignment vertical="center"/>
    </xf>
    <xf numFmtId="0" fontId="69" fillId="21" borderId="13" xfId="0" applyFont="1" applyFill="1" applyBorder="1" applyAlignment="1">
      <alignment horizontal="center" vertical="center"/>
    </xf>
    <xf numFmtId="0" fontId="19" fillId="3" borderId="13" xfId="1" applyFont="1" applyFill="1" applyBorder="1" applyAlignment="1">
      <alignment horizontal="center" vertical="center"/>
    </xf>
    <xf numFmtId="0" fontId="29" fillId="0" borderId="13" xfId="0" applyFont="1" applyBorder="1">
      <alignment vertical="center"/>
    </xf>
    <xf numFmtId="0" fontId="29" fillId="0" borderId="13" xfId="0" applyFont="1" applyBorder="1" applyAlignment="1">
      <alignment horizontal="center" vertical="center"/>
    </xf>
    <xf numFmtId="0" fontId="20" fillId="3" borderId="13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14" fontId="9" fillId="0" borderId="13" xfId="1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9" fillId="10" borderId="13" xfId="1" quotePrefix="1" applyFont="1" applyFill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3" xfId="1" applyFont="1" applyBorder="1">
      <alignment vertical="center"/>
    </xf>
    <xf numFmtId="0" fontId="17" fillId="7" borderId="13" xfId="0" applyFont="1" applyFill="1" applyBorder="1">
      <alignment vertical="center"/>
    </xf>
    <xf numFmtId="0" fontId="20" fillId="0" borderId="13" xfId="1" applyFont="1" applyBorder="1" applyAlignment="1">
      <alignment horizontal="center" vertical="center"/>
    </xf>
    <xf numFmtId="0" fontId="20" fillId="0" borderId="13" xfId="1" applyFont="1" applyBorder="1">
      <alignment vertical="center"/>
    </xf>
    <xf numFmtId="0" fontId="17" fillId="0" borderId="13" xfId="0" applyFont="1" applyBorder="1">
      <alignment vertical="center"/>
    </xf>
    <xf numFmtId="0" fontId="17" fillId="11" borderId="13" xfId="0" applyFont="1" applyFill="1" applyBorder="1">
      <alignment vertical="center"/>
    </xf>
    <xf numFmtId="14" fontId="21" fillId="6" borderId="13" xfId="1" applyNumberFormat="1" applyFont="1" applyFill="1" applyBorder="1" applyAlignment="1">
      <alignment horizontal="center" vertical="center"/>
    </xf>
    <xf numFmtId="0" fontId="19" fillId="0" borderId="13" xfId="1" quotePrefix="1" applyFont="1" applyBorder="1" applyAlignment="1">
      <alignment horizontal="center" vertical="center"/>
    </xf>
    <xf numFmtId="0" fontId="20" fillId="6" borderId="13" xfId="1" applyFont="1" applyFill="1" applyBorder="1" applyAlignment="1">
      <alignment horizontal="center" vertical="center"/>
    </xf>
    <xf numFmtId="0" fontId="20" fillId="6" borderId="13" xfId="1" applyFont="1" applyFill="1" applyBorder="1">
      <alignment vertical="center"/>
    </xf>
    <xf numFmtId="0" fontId="19" fillId="6" borderId="13" xfId="1" applyFont="1" applyFill="1" applyBorder="1">
      <alignment vertical="center"/>
    </xf>
    <xf numFmtId="0" fontId="17" fillId="13" borderId="13" xfId="0" applyFont="1" applyFill="1" applyBorder="1">
      <alignment vertical="center"/>
    </xf>
    <xf numFmtId="0" fontId="17" fillId="6" borderId="13" xfId="0" applyFont="1" applyFill="1" applyBorder="1">
      <alignment vertical="center"/>
    </xf>
    <xf numFmtId="0" fontId="17" fillId="9" borderId="13" xfId="0" applyFont="1" applyFill="1" applyBorder="1">
      <alignment vertical="center"/>
    </xf>
    <xf numFmtId="14" fontId="31" fillId="6" borderId="13" xfId="1" applyNumberFormat="1" applyFont="1" applyFill="1" applyBorder="1" applyAlignment="1">
      <alignment horizontal="center" vertical="center"/>
    </xf>
    <xf numFmtId="0" fontId="52" fillId="9" borderId="13" xfId="0" applyFont="1" applyFill="1" applyBorder="1">
      <alignment vertical="center"/>
    </xf>
    <xf numFmtId="0" fontId="19" fillId="6" borderId="13" xfId="1" applyFont="1" applyFill="1" applyBorder="1" applyAlignment="1">
      <alignment horizontal="center" vertical="center"/>
    </xf>
    <xf numFmtId="0" fontId="36" fillId="11" borderId="13" xfId="0" applyFont="1" applyFill="1" applyBorder="1">
      <alignment vertical="center"/>
    </xf>
    <xf numFmtId="0" fontId="17" fillId="3" borderId="13" xfId="0" applyFont="1" applyFill="1" applyBorder="1">
      <alignment vertical="center"/>
    </xf>
    <xf numFmtId="0" fontId="11" fillId="12" borderId="13" xfId="0" applyFont="1" applyFill="1" applyBorder="1">
      <alignment vertical="center"/>
    </xf>
    <xf numFmtId="0" fontId="11" fillId="8" borderId="13" xfId="0" applyFont="1" applyFill="1" applyBorder="1">
      <alignment vertical="center"/>
    </xf>
    <xf numFmtId="0" fontId="11" fillId="18" borderId="13" xfId="0" applyFont="1" applyFill="1" applyBorder="1">
      <alignment vertical="center"/>
    </xf>
    <xf numFmtId="0" fontId="11" fillId="3" borderId="13" xfId="0" applyFont="1" applyFill="1" applyBorder="1">
      <alignment vertical="center"/>
    </xf>
    <xf numFmtId="0" fontId="8" fillId="8" borderId="13" xfId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7" fillId="0" borderId="13" xfId="4" applyFont="1" applyBorder="1" applyAlignment="1">
      <alignment vertical="center" wrapText="1"/>
    </xf>
    <xf numFmtId="0" fontId="1" fillId="16" borderId="13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" fillId="6" borderId="13" xfId="0" applyFont="1" applyFill="1" applyBorder="1" applyAlignment="1">
      <alignment horizontal="center" vertical="center"/>
    </xf>
    <xf numFmtId="0" fontId="45" fillId="0" borderId="13" xfId="4" applyFont="1" applyBorder="1" applyAlignment="1">
      <alignment horizontal="left" vertical="center"/>
    </xf>
    <xf numFmtId="0" fontId="1" fillId="0" borderId="13" xfId="0" applyFont="1" applyBorder="1">
      <alignment vertical="center"/>
    </xf>
    <xf numFmtId="0" fontId="56" fillId="16" borderId="13" xfId="0" applyFont="1" applyFill="1" applyBorder="1" applyAlignment="1">
      <alignment horizontal="center" vertical="center"/>
    </xf>
    <xf numFmtId="0" fontId="57" fillId="3" borderId="13" xfId="1" applyFont="1" applyFill="1" applyBorder="1" applyAlignment="1">
      <alignment horizontal="center" vertical="center"/>
    </xf>
    <xf numFmtId="0" fontId="56" fillId="0" borderId="13" xfId="0" applyFont="1" applyBorder="1">
      <alignment vertical="center"/>
    </xf>
    <xf numFmtId="41" fontId="56" fillId="0" borderId="13" xfId="8" applyFont="1" applyFill="1" applyBorder="1">
      <alignment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16" borderId="1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  <xf numFmtId="0" fontId="96" fillId="29" borderId="19" xfId="0" applyNumberFormat="1" applyFont="1" applyFill="1" applyBorder="1" applyAlignment="1">
      <alignment vertical="center" wrapText="1"/>
    </xf>
    <xf numFmtId="0" fontId="97" fillId="30" borderId="19" xfId="0" applyNumberFormat="1" applyFont="1" applyFill="1" applyBorder="1" applyAlignment="1">
      <alignment vertical="center" wrapText="0"/>
    </xf>
    <xf numFmtId="3" fontId="97" fillId="30" borderId="19" xfId="0" applyNumberFormat="1" applyFont="1" applyFill="1" applyBorder="1" applyAlignment="1">
      <alignment vertical="center" wrapText="0"/>
    </xf>
    <xf numFmtId="0" fontId="97" fillId="31" borderId="19" xfId="0" applyNumberFormat="1" applyFont="1" applyFill="1" applyBorder="1" applyAlignment="1">
      <alignment vertical="center" wrapText="0"/>
    </xf>
    <xf numFmtId="3" fontId="97" fillId="31" borderId="19" xfId="0" applyNumberFormat="1" applyFont="1" applyFill="1" applyBorder="1" applyAlignment="1">
      <alignment vertical="center" wrapText="0"/>
    </xf>
    <xf numFmtId="0" fontId="97" fillId="32" borderId="19" xfId="0" applyNumberFormat="1" applyFont="1" applyFill="1" applyBorder="1" applyAlignment="1">
      <alignment vertical="center" wrapText="0"/>
    </xf>
    <xf numFmtId="0" fontId="98" fillId="33" borderId="19" xfId="0" applyNumberFormat="1" applyFont="1" applyFill="1" applyBorder="1" applyAlignment="1">
      <alignment vertical="center" wrapText="0"/>
    </xf>
  </cellXfs>
  <cellStyles count="14">
    <cellStyle name="쉼표 [0]" xfId="8" builtinId="6"/>
    <cellStyle name="쉼표 [0] 2" xfId="2" xr:uid="{0623765B-EA1D-4191-8906-E63C346F7FD1}"/>
    <cellStyle name="쉼표 [0] 2 3" xfId="11" xr:uid="{AFE04744-3F48-469E-AEE4-EA7D52240736}"/>
    <cellStyle name="표준" xfId="0" builtinId="0"/>
    <cellStyle name="표준 2" xfId="1" xr:uid="{597D3ED7-16F4-4581-B5E3-16A58F0ADF3B}"/>
    <cellStyle name="표준 2 2" xfId="10" xr:uid="{07F41D49-E467-4CD7-A282-60CA27D5D4D7}"/>
    <cellStyle name="표준 2 2 2" xfId="3" xr:uid="{961DEF64-C39A-4ED7-8BCA-A1A22CD91D66}"/>
    <cellStyle name="표준 2 3" xfId="6" xr:uid="{9F00A2D3-A08E-4011-8B1E-DF2D04FC09DF}"/>
    <cellStyle name="표준 3" xfId="9" xr:uid="{C4CE800C-26BB-4279-9E50-7128BF07C1A1}"/>
    <cellStyle name="표준 3 2" xfId="7" xr:uid="{C0BA976E-49AB-40E0-A2F9-D2C8CEA5198C}"/>
    <cellStyle name="표준 4" xfId="12" xr:uid="{6458D112-1BD2-4B27-8EEB-ECB520BC2536}"/>
    <cellStyle name="표준 6" xfId="5" xr:uid="{C0EBF7B7-5E65-4527-9A5C-E90CDE2150D5}"/>
    <cellStyle name="하이퍼링크" xfId="4" builtinId="8"/>
    <cellStyle name="하이퍼링크 2" xfId="13" xr:uid="{BD86834D-32AD-4D0C-82C1-5F3D752C49E5}"/>
  </cellStyles>
  <dxfs count="0"/>
  <tableStyles count="0" defaultTableStyle="TableStyleMedium2" defaultPivotStyle="PivotStyleLight16"/>
  <colors>
    <mruColors>
      <color rgb="FF008000"/>
      <color rgb="FF008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pivotCacheDefinition" Target="pivotCache/pivotCacheDefinition3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pivotCacheDefinition" Target="pivotCache/pivotCacheDefinition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pivotCacheDefinition" Target="pivotCache/pivotCacheDefinition4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392206</xdr:colOff>
      <xdr:row>4</xdr:row>
      <xdr:rowOff>100853</xdr:rowOff>
    </xdr:from>
    <xdr:to>
      <xdr:col>17</xdr:col>
      <xdr:colOff>198813</xdr:colOff>
      <xdr:row>36</xdr:row>
      <xdr:rowOff>169770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CFC1A12-E253-3E2A-6591-2BC2EB35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1154206"/>
          <a:ext cx="8177401" cy="6891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inu_0127\AppData\Local\Microsoft\Windows\INetCache\IE\HI50PMAB\OSM%20Assessment_All_Master_2nd_20180627_d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Archive\OSM%20Assessment_All_Master_2018033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OSM%20Assessment_All_Master_201804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file\&#44277;&#50976;\08_5.LGCNS&#45432;&#53944;&#48513;&#48177;&#50629;(~2004.09)\08.02_CMT&#44288;&#47532;\01.&#54016;&#50629;&#47924;\4.&#44204;&#51201;&#54532;&#47196;&#49464;&#49828;\&#44204;&#51201;&#47784;&#45944;\FP&#44204;&#51201;&#47784;&#45944;(&#49345;&#49464;&#48277;)\FP&#44204;&#51201;&#47784;&#45944;_V1.7(&#52572;&#51333;)_200406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2ro365-my.sharepoint.com/1.%202018_Working/01.%20GMC%20OSM%20&#51221;&#44592;&#51216;&#44160;/99.%20Data/00.%20Finalize/OSM%20Assessment_Banner%20Visibility_All_Master_2018060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OSM%20Assessment_Banner%20Visibility_All_Master_2018041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00.%20Prep\Research%20behavio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3.220\&#49324;&#50629;&#44288;&#47532;\1000.%20Meritz%20Financial%20Group\1100.%20Meritz%20Fire\1400.%20PMO\IT&#54785;&#49888;%20&#49328;&#52636;&#47932;&#44160;&#53664;\1.5&#45800;&#44228;%20&#49688;&#54665;Task\&#54868;&#51116;BSR_AP_&#50976;&#49828;&#52992;&#51060;&#49828;&#51221;&#51032;&#49436;_&#52636;&#47141;&#50857;_&#53685;&#54633;_v0.3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work/RDI/13.%20NHIDP-CD-DS06-&#53580;&#51060;&#48660;&#51221;&#51032;&#49436;_V1.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3.220\&#49324;&#50629;&#44288;&#47532;\Users\sunmikoo\Documents\00%20&#47700;&#47532;&#52768;&#54868;&#51116;\91%20&#49328;&#52636;&#47932;\temp%20(&#50504;&#50868;&#44592;)\&#49345;&#54408;&#49549;&#49457;&#46020;&#52636;(&#51109;&#44592;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0&#45380;\01.&#50629;&#47924;\29.&#54644;&#50689;&#48376;\07.&#52265;&#49688;_&#44060;&#48156;_MI\05.OSM&#45824;&#49345;%20&#50976;&#53685;&#47532;&#49828;&#53944;_&#44288;&#47532;&#50857;\'25&#45380;%20OSM%20&#45824;&#49345;%20&#50976;&#53685;%20&#47532;&#49828;&#53944;_250527_WIP.xlsx" TargetMode="External"/><Relationship Id="rId1" Type="http://schemas.openxmlformats.org/officeDocument/2006/relationships/externalLinkPath" Target="https://lgeteams-my.sharepoint.com/2020&#45380;/01.&#50629;&#47924;/29.&#54644;&#50689;&#48376;/07.&#52265;&#49688;_&#44060;&#48156;_MI/05.OSM&#45824;&#49345;%20&#50976;&#53685;&#47532;&#49828;&#53944;_&#44288;&#47532;&#50857;/'25&#45380;%20OSM%20&#45824;&#49345;%20&#50976;&#53685;%20&#47532;&#49828;&#53944;_250527_WI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0&#45380;\01.&#50629;&#47924;\29.&#54644;&#50689;&#48376;\07.&#52265;&#49688;_&#44060;&#48156;_MI\05.OSM&#45824;&#49345;%20&#50976;&#53685;&#47532;&#49828;&#53944;_&#44288;&#47532;&#50857;\&#49688;&#51665;&#49324;&#51060;&#53944;.&#52852;&#53580;&#44256;&#47532;.&#53412;&#50892;&#46300;%20&#54869;&#51064;_v0.2_&#53412;&#50892;&#46300;%20&#49688;&#51221;&#54632;.xlsx" TargetMode="External"/><Relationship Id="rId1" Type="http://schemas.openxmlformats.org/officeDocument/2006/relationships/externalLinkPath" Target="https://lgeteams-my.sharepoint.com/2020&#45380;/01.&#50629;&#47924;/29.&#54644;&#50689;&#48376;/07.&#52265;&#49688;_&#44060;&#48156;_MI/05.OSM&#45824;&#49345;%20&#50976;&#53685;&#47532;&#49828;&#53944;_&#44288;&#47532;&#50857;/&#49688;&#51665;&#49324;&#51060;&#53944;.&#52852;&#53580;&#44256;&#47532;.&#53412;&#50892;&#46300;%20&#54869;&#51064;_v0.2_&#53412;&#50892;&#46300;%20&#49688;&#51221;&#546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All"/>
      <sheetName val="Search Visibility"/>
      <sheetName val="Banner Visibility"/>
      <sheetName val="Brand Visibility"/>
      <sheetName val="Product Visibility"/>
      <sheetName val="Sales Conversion"/>
      <sheetName val="Brand_All_PV"/>
      <sheetName val="Brand_All"/>
      <sheetName val="Brand Visibiltiy_PV"/>
      <sheetName val="Brand Visibility_Raw"/>
      <sheetName val="Rank_PV"/>
      <sheetName val="Product_PV"/>
      <sheetName val="Product List_Raw"/>
      <sheetName val="Search_PV"/>
      <sheetName val="Search Result Visibility"/>
      <sheetName val="PDP&gt;"/>
      <sheetName val="REF_PV"/>
      <sheetName val="REF"/>
      <sheetName val="WM_PV"/>
      <sheetName val="WM"/>
      <sheetName val="TV_PV"/>
      <sheetName val="TV"/>
      <sheetName val="Monitor_PV"/>
      <sheetName val="Monitor"/>
      <sheetName val="Mobile_PV"/>
      <sheetName val="Mobile"/>
      <sheetName val="List"/>
      <sheetName val="Validation"/>
    </sheetNames>
    <sheetDataSet>
      <sheetData sheetId="0"/>
      <sheetData sheetId="1">
        <row r="4">
          <cell r="J4" t="str">
            <v>Mobile22태국47Power Buy01REF</v>
          </cell>
          <cell r="K4">
            <v>0.1</v>
          </cell>
          <cell r="L4">
            <v>0.17499999999999999</v>
          </cell>
        </row>
        <row r="5">
          <cell r="J5" t="str">
            <v>Mobile22태국47Power Buy02WM</v>
          </cell>
          <cell r="K5">
            <v>0.1864406779661017</v>
          </cell>
          <cell r="L5">
            <v>0.13559322033898305</v>
          </cell>
        </row>
        <row r="6">
          <cell r="J6" t="str">
            <v>Mobile22태국47Power Buy06TV</v>
          </cell>
          <cell r="K6">
            <v>0.23456790123456789</v>
          </cell>
          <cell r="L6">
            <v>0.13580246913580246</v>
          </cell>
        </row>
        <row r="7">
          <cell r="J7" t="str">
            <v>Mobile22태국47Power Buy08Monitor</v>
          </cell>
          <cell r="K7">
            <v>0</v>
          </cell>
          <cell r="L7">
            <v>1</v>
          </cell>
        </row>
        <row r="8">
          <cell r="J8" t="str">
            <v>Mobile18대만43Momo01REF</v>
          </cell>
          <cell r="K8">
            <v>0.11864406779661017</v>
          </cell>
          <cell r="L8">
            <v>5.0847457627118647E-2</v>
          </cell>
        </row>
        <row r="9">
          <cell r="J9" t="str">
            <v>Mobile18대만43Momo02WM</v>
          </cell>
          <cell r="K9">
            <v>0.13698630136986301</v>
          </cell>
          <cell r="L9">
            <v>8.2191780821917804E-2</v>
          </cell>
        </row>
        <row r="10">
          <cell r="J10" t="str">
            <v>Mobile18대만43Momo06TV</v>
          </cell>
          <cell r="K10">
            <v>3.4090909090909088E-2</v>
          </cell>
          <cell r="L10">
            <v>0.11363636363636363</v>
          </cell>
        </row>
        <row r="11">
          <cell r="J11" t="str">
            <v>Mobile18대만43Momo08Monitor</v>
          </cell>
          <cell r="K11">
            <v>0</v>
          </cell>
          <cell r="L11">
            <v>7.6923076923076927E-2</v>
          </cell>
        </row>
        <row r="12">
          <cell r="J12" t="str">
            <v>Mobile18대만43Momo09Mobile</v>
          </cell>
          <cell r="K12">
            <v>0</v>
          </cell>
          <cell r="L12">
            <v>0</v>
          </cell>
        </row>
        <row r="13">
          <cell r="J13" t="str">
            <v>Mobile21인도네시아46Hartono01REF</v>
          </cell>
          <cell r="K13">
            <v>0.04</v>
          </cell>
          <cell r="L13">
            <v>0</v>
          </cell>
        </row>
        <row r="14">
          <cell r="J14" t="str">
            <v>Mobile21인도네시아46Hartono02WM</v>
          </cell>
          <cell r="K14">
            <v>8.6956521739130432E-2</v>
          </cell>
          <cell r="L14">
            <v>0</v>
          </cell>
        </row>
        <row r="15">
          <cell r="J15" t="str">
            <v>Mobile21인도네시아46Hartono06TV</v>
          </cell>
          <cell r="K15">
            <v>0.59701492537313428</v>
          </cell>
          <cell r="L15">
            <v>0.13432835820895522</v>
          </cell>
        </row>
        <row r="16">
          <cell r="J16" t="str">
            <v>Mobile21인도네시아46Hartono08Monitor</v>
          </cell>
          <cell r="K16">
            <v>1</v>
          </cell>
          <cell r="L16">
            <v>0</v>
          </cell>
        </row>
        <row r="17">
          <cell r="J17" t="str">
            <v>Mobile21인도네시아46Hartono09Mobile</v>
          </cell>
          <cell r="K17">
            <v>5.7142857142857141E-2</v>
          </cell>
          <cell r="L17">
            <v>5.7142857142857141E-2</v>
          </cell>
        </row>
        <row r="18">
          <cell r="J18" t="str">
            <v>Mobile19베트남44N/Kim01REF</v>
          </cell>
          <cell r="K18">
            <v>7.8125E-2</v>
          </cell>
          <cell r="L18">
            <v>0.15625</v>
          </cell>
        </row>
        <row r="19">
          <cell r="J19" t="str">
            <v>Mobile19베트남44N/Kim02WM</v>
          </cell>
          <cell r="K19">
            <v>0.23529411764705882</v>
          </cell>
          <cell r="L19">
            <v>0.11764705882352941</v>
          </cell>
        </row>
        <row r="20">
          <cell r="J20" t="str">
            <v>Mobile19베트남44N/Kim06TV</v>
          </cell>
          <cell r="K20">
            <v>6.7567567567567571E-2</v>
          </cell>
          <cell r="L20">
            <v>0.33783783783783783</v>
          </cell>
        </row>
        <row r="21">
          <cell r="J21" t="str">
            <v>Mobile19베트남44N/Kim09Mobile</v>
          </cell>
          <cell r="K21">
            <v>0</v>
          </cell>
          <cell r="L21">
            <v>0</v>
          </cell>
        </row>
        <row r="22">
          <cell r="J22" t="str">
            <v>PC22태국47Power Buy01REF</v>
          </cell>
          <cell r="K22">
            <v>0.1</v>
          </cell>
          <cell r="L22">
            <v>0.17499999999999999</v>
          </cell>
        </row>
        <row r="23">
          <cell r="J23" t="str">
            <v>PC22태국47Power Buy02WM</v>
          </cell>
          <cell r="K23">
            <v>0.1864406779661017</v>
          </cell>
          <cell r="L23">
            <v>0.13559322033898305</v>
          </cell>
        </row>
        <row r="24">
          <cell r="J24" t="str">
            <v>PC22태국47Power Buy06TV</v>
          </cell>
          <cell r="K24">
            <v>0.23456790123456789</v>
          </cell>
          <cell r="L24">
            <v>0.13580246913580246</v>
          </cell>
        </row>
        <row r="25">
          <cell r="J25" t="str">
            <v>PC22태국47Power Buy08Monitor</v>
          </cell>
          <cell r="K25">
            <v>0</v>
          </cell>
          <cell r="L25">
            <v>1</v>
          </cell>
        </row>
        <row r="26">
          <cell r="J26" t="str">
            <v>PC18대만43Momo01REF</v>
          </cell>
          <cell r="K26">
            <v>0.11864406779661017</v>
          </cell>
          <cell r="L26">
            <v>5.0847457627118647E-2</v>
          </cell>
        </row>
        <row r="27">
          <cell r="J27" t="str">
            <v>PC18대만43Momo02WM</v>
          </cell>
          <cell r="K27">
            <v>0.13698630136986301</v>
          </cell>
          <cell r="L27">
            <v>8.2191780821917804E-2</v>
          </cell>
        </row>
        <row r="28">
          <cell r="J28" t="str">
            <v>PC18대만43Momo06TV</v>
          </cell>
          <cell r="K28">
            <v>3.4090909090909088E-2</v>
          </cell>
          <cell r="L28">
            <v>0.11363636363636363</v>
          </cell>
        </row>
        <row r="29">
          <cell r="J29" t="str">
            <v>PC18대만43Momo08Monitor</v>
          </cell>
          <cell r="K29">
            <v>0</v>
          </cell>
          <cell r="L29">
            <v>7.6923076923076927E-2</v>
          </cell>
        </row>
        <row r="30">
          <cell r="J30" t="str">
            <v>PC18대만43Momo09Mobile</v>
          </cell>
          <cell r="K30">
            <v>0</v>
          </cell>
          <cell r="L30">
            <v>0</v>
          </cell>
        </row>
        <row r="31">
          <cell r="J31" t="str">
            <v>PC21인도네시아46Hartono01REF</v>
          </cell>
          <cell r="K31">
            <v>0.04</v>
          </cell>
          <cell r="L31">
            <v>0</v>
          </cell>
        </row>
        <row r="32">
          <cell r="J32" t="str">
            <v>PC21인도네시아46Hartono02WM</v>
          </cell>
          <cell r="K32">
            <v>8.6956521739130432E-2</v>
          </cell>
          <cell r="L32">
            <v>0</v>
          </cell>
        </row>
        <row r="33">
          <cell r="J33" t="str">
            <v>PC21인도네시아46Hartono06TV</v>
          </cell>
          <cell r="K33">
            <v>0.59701492537313428</v>
          </cell>
          <cell r="L33">
            <v>0.13432835820895522</v>
          </cell>
        </row>
        <row r="34">
          <cell r="J34" t="str">
            <v>PC21인도네시아46Hartono08Monitor</v>
          </cell>
          <cell r="K34">
            <v>1</v>
          </cell>
          <cell r="L34">
            <v>0</v>
          </cell>
        </row>
        <row r="35">
          <cell r="J35" t="str">
            <v>PC21인도네시아46Hartono09Mobile</v>
          </cell>
          <cell r="K35">
            <v>5.7142857142857141E-2</v>
          </cell>
          <cell r="L35">
            <v>5.7142857142857141E-2</v>
          </cell>
        </row>
        <row r="36">
          <cell r="J36" t="str">
            <v>PC19베트남44N/Kim01REF</v>
          </cell>
          <cell r="K36">
            <v>7.8125E-2</v>
          </cell>
          <cell r="L36">
            <v>0.15625</v>
          </cell>
        </row>
        <row r="37">
          <cell r="J37" t="str">
            <v>PC19베트남44N/Kim02WM</v>
          </cell>
          <cell r="K37">
            <v>0.23529411764705882</v>
          </cell>
          <cell r="L37">
            <v>0.11764705882352941</v>
          </cell>
        </row>
        <row r="38">
          <cell r="J38" t="str">
            <v>PC19베트남44N/Kim06TV</v>
          </cell>
          <cell r="K38">
            <v>6.7567567567567571E-2</v>
          </cell>
          <cell r="L38">
            <v>0.33783783783783783</v>
          </cell>
        </row>
        <row r="39">
          <cell r="J39" t="str">
            <v>PC19베트남44N/Kim09Mobile</v>
          </cell>
          <cell r="K39">
            <v>0</v>
          </cell>
          <cell r="L39">
            <v>0</v>
          </cell>
        </row>
      </sheetData>
      <sheetData sheetId="2">
        <row r="3">
          <cell r="B3" t="str">
            <v>Mobile18대만43Momo01REF</v>
          </cell>
          <cell r="C3">
            <v>60.87890625</v>
          </cell>
          <cell r="D3">
            <v>0</v>
          </cell>
        </row>
        <row r="4">
          <cell r="B4" t="str">
            <v>Mobile18대만43Momo02WM</v>
          </cell>
          <cell r="C4">
            <v>73.218145131501174</v>
          </cell>
          <cell r="D4">
            <v>39.112765957446804</v>
          </cell>
        </row>
        <row r="5">
          <cell r="B5" t="str">
            <v>Mobile18대만43Momo06TV</v>
          </cell>
          <cell r="C5">
            <v>0</v>
          </cell>
          <cell r="D5">
            <v>45.825126646403234</v>
          </cell>
        </row>
        <row r="6">
          <cell r="B6" t="str">
            <v>Mobile18대만43Momo09Mobile</v>
          </cell>
          <cell r="C6">
            <v>9.0909090909090917</v>
          </cell>
          <cell r="D6">
            <v>84.233833232514243</v>
          </cell>
        </row>
        <row r="7">
          <cell r="B7" t="str">
            <v>Mobile19베트남44N/Kim00ALL</v>
          </cell>
          <cell r="C7">
            <v>0</v>
          </cell>
          <cell r="D7">
            <v>95.238095238095241</v>
          </cell>
        </row>
        <row r="8">
          <cell r="B8" t="str">
            <v>Mobile19베트남44N/Kim01REF</v>
          </cell>
          <cell r="C8">
            <v>61.675925867598416</v>
          </cell>
          <cell r="D8">
            <v>10.059308143547273</v>
          </cell>
        </row>
        <row r="9">
          <cell r="B9" t="str">
            <v>Mobile19베트남44N/Kim02WM</v>
          </cell>
          <cell r="C9">
            <v>52.853960967072382</v>
          </cell>
          <cell r="D9">
            <v>67.666191701177596</v>
          </cell>
        </row>
        <row r="10">
          <cell r="B10" t="str">
            <v>Mobile19베트남44N/Kim06TV</v>
          </cell>
          <cell r="C10">
            <v>74.212227574659636</v>
          </cell>
          <cell r="D10">
            <v>84.687529408996809</v>
          </cell>
        </row>
        <row r="11">
          <cell r="B11" t="str">
            <v>Mobile19베트남44N/Kim09Mobile</v>
          </cell>
          <cell r="C11">
            <v>0</v>
          </cell>
          <cell r="D11">
            <v>79.065891217385627</v>
          </cell>
        </row>
        <row r="12">
          <cell r="B12" t="str">
            <v>Mobile21인도네시아46Hartono06TV</v>
          </cell>
          <cell r="C12">
            <v>85</v>
          </cell>
          <cell r="D12">
            <v>90</v>
          </cell>
        </row>
        <row r="13">
          <cell r="B13" t="str">
            <v>Mobile21인도네시아46Hartono09Mobile</v>
          </cell>
          <cell r="C13">
            <v>69.017857142857139</v>
          </cell>
          <cell r="D13">
            <v>19.5</v>
          </cell>
        </row>
        <row r="14">
          <cell r="B14" t="str">
            <v>Mobile22태국47Power Buy00ALL</v>
          </cell>
          <cell r="C14">
            <v>32.924082829671079</v>
          </cell>
          <cell r="D14">
            <v>18.558781149745091</v>
          </cell>
        </row>
        <row r="15">
          <cell r="B15" t="str">
            <v>PC18대만43Momo01REF</v>
          </cell>
          <cell r="C15">
            <v>33.791875725708245</v>
          </cell>
          <cell r="D15">
            <v>18.7475865916313</v>
          </cell>
        </row>
        <row r="16">
          <cell r="B16" t="str">
            <v>PC18대만43Momo02WM</v>
          </cell>
          <cell r="C16">
            <v>36.09197095636582</v>
          </cell>
          <cell r="D16">
            <v>0</v>
          </cell>
        </row>
        <row r="17">
          <cell r="B17" t="str">
            <v>PC18대만43Momo06TV</v>
          </cell>
          <cell r="C17">
            <v>17.15263289835417</v>
          </cell>
          <cell r="D17">
            <v>26.813706086933465</v>
          </cell>
        </row>
        <row r="18">
          <cell r="B18" t="str">
            <v>PC18대만43Momo08Monitor</v>
          </cell>
          <cell r="C18">
            <v>58.243177113325331</v>
          </cell>
          <cell r="D18">
            <v>0</v>
          </cell>
        </row>
        <row r="19">
          <cell r="B19" t="str">
            <v>PC18대만43Momo09Mobile</v>
          </cell>
          <cell r="C19">
            <v>17.266494249226525</v>
          </cell>
          <cell r="D19">
            <v>56.700742189064833</v>
          </cell>
        </row>
        <row r="20">
          <cell r="B20" t="str">
            <v>PC19베트남44N/Kim00ALL</v>
          </cell>
          <cell r="C20">
            <v>0</v>
          </cell>
          <cell r="D20">
            <v>100</v>
          </cell>
        </row>
        <row r="21">
          <cell r="B21" t="str">
            <v>PC19베트남44N/Kim01REF</v>
          </cell>
          <cell r="C21">
            <v>65.080504659459052</v>
          </cell>
          <cell r="D21">
            <v>21.136002886002888</v>
          </cell>
        </row>
        <row r="22">
          <cell r="B22" t="str">
            <v>PC19베트남44N/Kim02WM</v>
          </cell>
          <cell r="C22">
            <v>82.442727670490569</v>
          </cell>
          <cell r="D22">
            <v>72.990394394469405</v>
          </cell>
        </row>
        <row r="23">
          <cell r="B23" t="str">
            <v>PC19베트남44N/Kim06TV</v>
          </cell>
          <cell r="C23">
            <v>81.411175378044675</v>
          </cell>
          <cell r="D23">
            <v>66.177425078342608</v>
          </cell>
        </row>
        <row r="24">
          <cell r="B24" t="str">
            <v>PC19베트남44N/Kim09Mobile</v>
          </cell>
          <cell r="C24">
            <v>0</v>
          </cell>
          <cell r="D24">
            <v>70.20122978215953</v>
          </cell>
        </row>
        <row r="25">
          <cell r="B25" t="str">
            <v>PC21인도네시아46Hartono01REF</v>
          </cell>
          <cell r="C25">
            <v>67.498443486590034</v>
          </cell>
          <cell r="D25">
            <v>0</v>
          </cell>
        </row>
        <row r="26">
          <cell r="B26" t="str">
            <v>PC21인도네시아46Hartono09Mobile</v>
          </cell>
          <cell r="C26">
            <v>48.298611111111114</v>
          </cell>
          <cell r="D26">
            <v>15.585129310344827</v>
          </cell>
        </row>
        <row r="27">
          <cell r="B27" t="str">
            <v>PC22태국47Power Buy00ALL</v>
          </cell>
          <cell r="C27">
            <v>42.132297795757381</v>
          </cell>
          <cell r="D27">
            <v>28.223573350317068</v>
          </cell>
        </row>
      </sheetData>
      <sheetData sheetId="3">
        <row r="4">
          <cell r="O4" t="str">
            <v>Mobile18대만43Momo01REF</v>
          </cell>
          <cell r="P4">
            <v>60</v>
          </cell>
          <cell r="Q4">
            <v>40</v>
          </cell>
        </row>
        <row r="5">
          <cell r="O5" t="str">
            <v>Mobile18대만43Momo02WM</v>
          </cell>
          <cell r="P5">
            <v>50</v>
          </cell>
          <cell r="Q5">
            <v>36.666666666666664</v>
          </cell>
        </row>
        <row r="6">
          <cell r="O6" t="str">
            <v>Mobile18대만43Momo06TV</v>
          </cell>
          <cell r="P6">
            <v>53.846153846153847</v>
          </cell>
          <cell r="Q6">
            <v>30.76923076923077</v>
          </cell>
        </row>
        <row r="7">
          <cell r="O7" t="str">
            <v>Mobile18대만43Momo08Monitor</v>
          </cell>
          <cell r="P7">
            <v>47.368421052631582</v>
          </cell>
          <cell r="Q7">
            <v>26.315789473684209</v>
          </cell>
        </row>
        <row r="8">
          <cell r="O8" t="str">
            <v>Mobile18대만43Momo09Mobile</v>
          </cell>
          <cell r="P8">
            <v>46.375</v>
          </cell>
          <cell r="Q8">
            <v>78</v>
          </cell>
        </row>
        <row r="9">
          <cell r="O9" t="str">
            <v>Mobile19베트남44N/Kim01REF</v>
          </cell>
          <cell r="P9">
            <v>91.666666666666657</v>
          </cell>
          <cell r="Q9">
            <v>83.333333333333329</v>
          </cell>
        </row>
        <row r="10">
          <cell r="O10" t="str">
            <v>Mobile19베트남44N/Kim02WM</v>
          </cell>
          <cell r="P10">
            <v>90</v>
          </cell>
          <cell r="Q10">
            <v>85</v>
          </cell>
        </row>
        <row r="11">
          <cell r="O11" t="str">
            <v>Mobile19베트남44N/Kim06TV</v>
          </cell>
          <cell r="P11">
            <v>96.428571428571431</v>
          </cell>
          <cell r="Q11">
            <v>100</v>
          </cell>
        </row>
        <row r="12">
          <cell r="O12" t="str">
            <v>Mobile19베트남44N/Kim08Monitor</v>
          </cell>
          <cell r="P12">
            <v>82.142857142857139</v>
          </cell>
          <cell r="Q12">
            <v>78.571428571428569</v>
          </cell>
        </row>
        <row r="13">
          <cell r="O13" t="str">
            <v>Mobile22태국47Power Buy00ALL</v>
          </cell>
          <cell r="P13">
            <v>93.229166666666671</v>
          </cell>
          <cell r="Q13">
            <v>71.875</v>
          </cell>
        </row>
        <row r="14">
          <cell r="O14" t="str">
            <v>Mobile22태국47Power Buy01REF</v>
          </cell>
          <cell r="P14">
            <v>66.666666666666671</v>
          </cell>
          <cell r="Q14">
            <v>33.333333333333336</v>
          </cell>
        </row>
        <row r="15">
          <cell r="O15" t="str">
            <v>Mobile22태국47Power Buy02WM</v>
          </cell>
          <cell r="P15">
            <v>50</v>
          </cell>
          <cell r="Q15">
            <v>33.333333333333336</v>
          </cell>
        </row>
        <row r="16">
          <cell r="O16" t="str">
            <v>Mobile22태국47Power Buy06TV</v>
          </cell>
          <cell r="P16">
            <v>62.5</v>
          </cell>
          <cell r="Q16">
            <v>31.25</v>
          </cell>
        </row>
        <row r="17">
          <cell r="O17" t="str">
            <v>Mobile22태국47Power Buy08Monitor</v>
          </cell>
          <cell r="P17">
            <v>50</v>
          </cell>
          <cell r="Q17">
            <v>25</v>
          </cell>
        </row>
        <row r="18">
          <cell r="O18" t="str">
            <v>Mobile22태국47Power Buy09Mobile</v>
          </cell>
          <cell r="P18">
            <v>0</v>
          </cell>
          <cell r="Q18">
            <v>64.375</v>
          </cell>
        </row>
        <row r="19">
          <cell r="O19" t="str">
            <v>Mobile21인도네시아46Hartono01REF</v>
          </cell>
          <cell r="P19">
            <v>66.666666666666671</v>
          </cell>
          <cell r="Q19">
            <v>33.333333333333336</v>
          </cell>
        </row>
        <row r="20">
          <cell r="O20" t="str">
            <v>Mobile21인도네시아46Hartono02WM</v>
          </cell>
          <cell r="P20">
            <v>57.142857142857146</v>
          </cell>
          <cell r="Q20">
            <v>28.571428571428573</v>
          </cell>
        </row>
        <row r="21">
          <cell r="O21" t="str">
            <v>Mobile21인도네시아46Hartono04MWO</v>
          </cell>
          <cell r="P21">
            <v>60</v>
          </cell>
          <cell r="Q21">
            <v>33.333333333333336</v>
          </cell>
        </row>
        <row r="22">
          <cell r="O22" t="str">
            <v>Mobile21인도네시아46Hartono05AC</v>
          </cell>
          <cell r="P22">
            <v>53.846153846153847</v>
          </cell>
          <cell r="Q22">
            <v>15.384615384615385</v>
          </cell>
        </row>
        <row r="23">
          <cell r="O23" t="str">
            <v>Mobile21인도네시아46Hartono06TV</v>
          </cell>
          <cell r="P23">
            <v>70</v>
          </cell>
          <cell r="Q23">
            <v>40</v>
          </cell>
        </row>
        <row r="24">
          <cell r="O24" t="str">
            <v>Mobile21인도네시아46Hartono07AV</v>
          </cell>
          <cell r="P24">
            <v>87.5</v>
          </cell>
          <cell r="Q24">
            <v>37.5</v>
          </cell>
        </row>
        <row r="25">
          <cell r="O25" t="str">
            <v>Mobile21인도네시아46Hartono08Monitor</v>
          </cell>
          <cell r="P25">
            <v>100</v>
          </cell>
          <cell r="Q25">
            <v>0</v>
          </cell>
        </row>
        <row r="26">
          <cell r="O26" t="str">
            <v>Mobile21인도네시아46Hartono09Mobile</v>
          </cell>
          <cell r="P26">
            <v>53.333333333333336</v>
          </cell>
          <cell r="Q26">
            <v>26.666666666666668</v>
          </cell>
        </row>
        <row r="27">
          <cell r="O27" t="str">
            <v>PC18대만43Momo00ALL</v>
          </cell>
          <cell r="P27">
            <v>0</v>
          </cell>
          <cell r="Q27">
            <v>81.25</v>
          </cell>
        </row>
        <row r="28">
          <cell r="O28" t="str">
            <v>PC18대만43Momo01REF</v>
          </cell>
          <cell r="P28">
            <v>74.583333333333329</v>
          </cell>
          <cell r="Q28">
            <v>20</v>
          </cell>
        </row>
        <row r="29">
          <cell r="O29" t="str">
            <v>PC18대만43Momo02WM</v>
          </cell>
          <cell r="P29">
            <v>89.375</v>
          </cell>
          <cell r="Q29">
            <v>53.75</v>
          </cell>
        </row>
        <row r="30">
          <cell r="O30" t="str">
            <v>PC18대만43Momo06TV</v>
          </cell>
          <cell r="P30">
            <v>88.942307692307693</v>
          </cell>
          <cell r="Q30">
            <v>86.137820512820525</v>
          </cell>
        </row>
        <row r="31">
          <cell r="O31" t="str">
            <v>PC18대만43Momo08Monitor</v>
          </cell>
          <cell r="P31">
            <v>89.743589743589737</v>
          </cell>
          <cell r="Q31">
            <v>69.230769230769226</v>
          </cell>
        </row>
        <row r="32">
          <cell r="O32" t="str">
            <v>PC18대만43Momo09Mobile</v>
          </cell>
          <cell r="P32">
            <v>89.583333333333343</v>
          </cell>
          <cell r="Q32">
            <v>63.416666666666664</v>
          </cell>
        </row>
        <row r="33">
          <cell r="O33" t="str">
            <v>PC19베트남44N/Kim00ALL</v>
          </cell>
          <cell r="P33">
            <v>95.454545454545467</v>
          </cell>
          <cell r="Q33">
            <v>100</v>
          </cell>
        </row>
        <row r="34">
          <cell r="O34" t="str">
            <v>PC19베트남44N/Kim01REF</v>
          </cell>
          <cell r="P34">
            <v>81.060606060606062</v>
          </cell>
          <cell r="Q34">
            <v>66.666666666666671</v>
          </cell>
        </row>
        <row r="35">
          <cell r="O35" t="str">
            <v>PC19베트남44N/Kim02WM</v>
          </cell>
          <cell r="P35">
            <v>77.727272727272734</v>
          </cell>
          <cell r="Q35">
            <v>70</v>
          </cell>
        </row>
        <row r="36">
          <cell r="O36" t="str">
            <v>PC19베트남44N/Kim06TV</v>
          </cell>
          <cell r="P36">
            <v>90.584415584415581</v>
          </cell>
          <cell r="Q36">
            <v>100</v>
          </cell>
        </row>
        <row r="37">
          <cell r="O37" t="str">
            <v>PC19베트남44N/Kim08Monitor</v>
          </cell>
          <cell r="P37">
            <v>62.012987012987018</v>
          </cell>
          <cell r="Q37">
            <v>57.142857142857146</v>
          </cell>
        </row>
        <row r="38">
          <cell r="O38" t="str">
            <v>PC19베트남44N/Kim09Mobile</v>
          </cell>
          <cell r="P38">
            <v>95.454545454545467</v>
          </cell>
          <cell r="Q38">
            <v>100</v>
          </cell>
        </row>
        <row r="39">
          <cell r="O39" t="str">
            <v>PC22태국47Power Buy00ALL</v>
          </cell>
          <cell r="P39">
            <v>93.253968253968267</v>
          </cell>
          <cell r="Q39">
            <v>85.956790123456798</v>
          </cell>
        </row>
        <row r="40">
          <cell r="O40" t="str">
            <v>PC22태국47Power Buy01REF</v>
          </cell>
          <cell r="P40">
            <v>66.666666666666671</v>
          </cell>
          <cell r="Q40">
            <v>33.333333333333336</v>
          </cell>
        </row>
        <row r="41">
          <cell r="O41" t="str">
            <v>PC22태국47Power Buy02WM</v>
          </cell>
          <cell r="P41">
            <v>50</v>
          </cell>
          <cell r="Q41">
            <v>33.333333333333336</v>
          </cell>
        </row>
        <row r="42">
          <cell r="O42" t="str">
            <v>PC22태국47Power Buy06TV</v>
          </cell>
          <cell r="P42">
            <v>62.5</v>
          </cell>
          <cell r="Q42">
            <v>31.25</v>
          </cell>
        </row>
        <row r="43">
          <cell r="O43" t="str">
            <v>PC22태국47Power Buy08Monitor</v>
          </cell>
          <cell r="P43">
            <v>50</v>
          </cell>
          <cell r="Q43">
            <v>25</v>
          </cell>
        </row>
        <row r="44">
          <cell r="O44" t="str">
            <v>PC22태국47Power Buy09Mobile</v>
          </cell>
          <cell r="P44">
            <v>0</v>
          </cell>
          <cell r="Q44">
            <v>71.269841269841265</v>
          </cell>
        </row>
        <row r="45">
          <cell r="O45" t="str">
            <v>PC21인도네시아46Hartono01REF</v>
          </cell>
          <cell r="P45">
            <v>66.666666666666671</v>
          </cell>
          <cell r="Q45">
            <v>33.333333333333336</v>
          </cell>
        </row>
        <row r="46">
          <cell r="O46" t="str">
            <v>PC21인도네시아46Hartono02WM</v>
          </cell>
          <cell r="P46">
            <v>57.142857142857146</v>
          </cell>
          <cell r="Q46">
            <v>28.571428571428573</v>
          </cell>
        </row>
        <row r="47">
          <cell r="O47" t="str">
            <v>PC21인도네시아46Hartono04MWO</v>
          </cell>
          <cell r="P47">
            <v>60</v>
          </cell>
          <cell r="Q47">
            <v>33.333333333333336</v>
          </cell>
        </row>
        <row r="48">
          <cell r="O48" t="str">
            <v>PC21인도네시아46Hartono05AC</v>
          </cell>
          <cell r="P48">
            <v>53.846153846153847</v>
          </cell>
          <cell r="Q48">
            <v>15.384615384615385</v>
          </cell>
        </row>
        <row r="49">
          <cell r="O49" t="str">
            <v>PC21인도네시아46Hartono06TV</v>
          </cell>
          <cell r="P49">
            <v>70</v>
          </cell>
          <cell r="Q49">
            <v>40</v>
          </cell>
        </row>
        <row r="50">
          <cell r="O50" t="str">
            <v>PC21인도네시아46Hartono07AV</v>
          </cell>
          <cell r="P50">
            <v>87.5</v>
          </cell>
          <cell r="Q50">
            <v>37.5</v>
          </cell>
        </row>
        <row r="51">
          <cell r="O51" t="str">
            <v>PC21인도네시아46Hartono08Monitor</v>
          </cell>
          <cell r="P51">
            <v>100</v>
          </cell>
          <cell r="Q51">
            <v>0</v>
          </cell>
        </row>
        <row r="52">
          <cell r="O52" t="str">
            <v>PC21인도네시아46Hartono09Mobile</v>
          </cell>
          <cell r="P52">
            <v>53.333333333333336</v>
          </cell>
          <cell r="Q52">
            <v>26.666666666666668</v>
          </cell>
        </row>
      </sheetData>
      <sheetData sheetId="4">
        <row r="4">
          <cell r="I4" t="str">
            <v>Mobile18대만43Momo01REF</v>
          </cell>
          <cell r="J4">
            <v>0.05</v>
          </cell>
          <cell r="K4">
            <v>0</v>
          </cell>
        </row>
        <row r="5">
          <cell r="I5" t="str">
            <v>Mobile18대만43Momo02WM</v>
          </cell>
          <cell r="J5">
            <v>0.05</v>
          </cell>
          <cell r="K5">
            <v>0</v>
          </cell>
        </row>
        <row r="6">
          <cell r="I6" t="str">
            <v>Mobile18대만43Momo06TV</v>
          </cell>
          <cell r="J6">
            <v>0</v>
          </cell>
          <cell r="K6">
            <v>0</v>
          </cell>
        </row>
        <row r="7">
          <cell r="I7" t="str">
            <v>Mobile18대만43Momo08Monitor</v>
          </cell>
          <cell r="J7">
            <v>0</v>
          </cell>
          <cell r="K7">
            <v>0</v>
          </cell>
        </row>
        <row r="8">
          <cell r="I8" t="str">
            <v>Mobile18대만43Momo09Mobile</v>
          </cell>
          <cell r="J8">
            <v>0.2</v>
          </cell>
          <cell r="K8">
            <v>0</v>
          </cell>
        </row>
        <row r="9">
          <cell r="I9" t="str">
            <v>Mobile21인도네시아46Hartono01REF</v>
          </cell>
          <cell r="J9">
            <v>0</v>
          </cell>
          <cell r="K9">
            <v>0</v>
          </cell>
        </row>
        <row r="10">
          <cell r="I10" t="str">
            <v>Mobile21인도네시아46Hartono02WM</v>
          </cell>
          <cell r="J10">
            <v>0</v>
          </cell>
          <cell r="K10">
            <v>0</v>
          </cell>
        </row>
        <row r="11">
          <cell r="I11" t="str">
            <v>Mobile21인도네시아46Hartono04MWO</v>
          </cell>
          <cell r="J11">
            <v>0.1</v>
          </cell>
          <cell r="K11">
            <v>0</v>
          </cell>
        </row>
        <row r="12">
          <cell r="I12" t="str">
            <v>Mobile21인도네시아46Hartono05AC</v>
          </cell>
          <cell r="J12">
            <v>0.25</v>
          </cell>
          <cell r="K12">
            <v>0</v>
          </cell>
        </row>
        <row r="13">
          <cell r="I13" t="str">
            <v>Mobile21인도네시아46Hartono06TV</v>
          </cell>
          <cell r="J13">
            <v>0.7</v>
          </cell>
          <cell r="K13">
            <v>0</v>
          </cell>
        </row>
        <row r="14">
          <cell r="I14" t="str">
            <v>Mobile21인도네시아46Hartono07AV</v>
          </cell>
          <cell r="J14">
            <v>0.75</v>
          </cell>
          <cell r="K14">
            <v>0.75</v>
          </cell>
        </row>
        <row r="15">
          <cell r="I15" t="str">
            <v>Mobile21인도네시아46Hartono08Monitor</v>
          </cell>
          <cell r="J15">
            <v>1</v>
          </cell>
          <cell r="K15">
            <v>0</v>
          </cell>
        </row>
        <row r="16">
          <cell r="I16" t="str">
            <v>Mobile21인도네시아46Hartono09Mobile</v>
          </cell>
          <cell r="J16">
            <v>0.1</v>
          </cell>
          <cell r="K16">
            <v>0.15</v>
          </cell>
        </row>
        <row r="17">
          <cell r="I17" t="str">
            <v>Mobile22태국47Power Buy01REF</v>
          </cell>
          <cell r="J17">
            <v>0.05</v>
          </cell>
          <cell r="K17">
            <v>0</v>
          </cell>
        </row>
        <row r="18">
          <cell r="I18" t="str">
            <v>Mobile22태국47Power Buy02WM</v>
          </cell>
          <cell r="J18">
            <v>0.25</v>
          </cell>
          <cell r="K18">
            <v>0.15</v>
          </cell>
        </row>
        <row r="19">
          <cell r="I19" t="str">
            <v>Mobile22태국47Power Buy06TV</v>
          </cell>
          <cell r="J19">
            <v>0.15</v>
          </cell>
          <cell r="K19">
            <v>0.3</v>
          </cell>
        </row>
        <row r="20">
          <cell r="I20" t="str">
            <v>Mobile22태국47Power Buy08Monitor</v>
          </cell>
          <cell r="J20">
            <v>0.1111111111111111</v>
          </cell>
          <cell r="K20">
            <v>0.44444444444444442</v>
          </cell>
        </row>
        <row r="21">
          <cell r="I21" t="str">
            <v>Mobile22태국47Power Buy09Mobile</v>
          </cell>
          <cell r="J21">
            <v>0</v>
          </cell>
          <cell r="K21">
            <v>0</v>
          </cell>
        </row>
        <row r="22">
          <cell r="I22" t="str">
            <v>PC18대만43Momo01REF</v>
          </cell>
          <cell r="J22">
            <v>0.05</v>
          </cell>
          <cell r="K22">
            <v>0</v>
          </cell>
        </row>
        <row r="23">
          <cell r="I23" t="str">
            <v>PC18대만43Momo02WM</v>
          </cell>
          <cell r="J23">
            <v>0.05</v>
          </cell>
          <cell r="K23">
            <v>0</v>
          </cell>
        </row>
        <row r="24">
          <cell r="I24" t="str">
            <v>PC18대만43Momo06TV</v>
          </cell>
          <cell r="J24">
            <v>0</v>
          </cell>
          <cell r="K24">
            <v>0</v>
          </cell>
        </row>
        <row r="25">
          <cell r="I25" t="str">
            <v>PC18대만43Momo08Monitor</v>
          </cell>
          <cell r="J25">
            <v>0</v>
          </cell>
          <cell r="K25">
            <v>0</v>
          </cell>
        </row>
        <row r="26">
          <cell r="I26" t="str">
            <v>PC18대만43Momo09Mobile</v>
          </cell>
          <cell r="J26" t="e">
            <v>#VALUE!</v>
          </cell>
          <cell r="K26" t="e">
            <v>#VALUE!</v>
          </cell>
        </row>
        <row r="27">
          <cell r="I27" t="str">
            <v>PC19베트남44N/Kim01REF</v>
          </cell>
          <cell r="J27">
            <v>0.3</v>
          </cell>
          <cell r="K27">
            <v>0</v>
          </cell>
        </row>
        <row r="28">
          <cell r="I28" t="str">
            <v>PC19베트남44N/Kim02WM</v>
          </cell>
          <cell r="J28">
            <v>1</v>
          </cell>
          <cell r="K28">
            <v>0</v>
          </cell>
        </row>
        <row r="29">
          <cell r="I29" t="str">
            <v>PC19베트남44N/Kim06TV</v>
          </cell>
          <cell r="J29">
            <v>0.1</v>
          </cell>
          <cell r="K29">
            <v>0.4</v>
          </cell>
        </row>
        <row r="30">
          <cell r="I30" t="str">
            <v>PC19베트남44N/Kim08Monitor</v>
          </cell>
          <cell r="J30">
            <v>0</v>
          </cell>
          <cell r="K30">
            <v>0.6</v>
          </cell>
        </row>
        <row r="31">
          <cell r="I31" t="str">
            <v>PC21인도네시아46Hartono01REF</v>
          </cell>
          <cell r="J31">
            <v>0</v>
          </cell>
          <cell r="K31">
            <v>0</v>
          </cell>
        </row>
        <row r="32">
          <cell r="I32" t="str">
            <v>PC21인도네시아46Hartono02WM</v>
          </cell>
          <cell r="J32">
            <v>0</v>
          </cell>
          <cell r="K32">
            <v>0</v>
          </cell>
        </row>
        <row r="33">
          <cell r="I33" t="str">
            <v>PC21인도네시아46Hartono04MWO</v>
          </cell>
          <cell r="J33">
            <v>0.1</v>
          </cell>
          <cell r="K33">
            <v>0</v>
          </cell>
        </row>
        <row r="34">
          <cell r="I34" t="str">
            <v>PC21인도네시아46Hartono05AC</v>
          </cell>
          <cell r="J34">
            <v>0.25</v>
          </cell>
          <cell r="K34">
            <v>0</v>
          </cell>
        </row>
        <row r="35">
          <cell r="I35" t="str">
            <v>PC21인도네시아46Hartono06TV</v>
          </cell>
          <cell r="J35">
            <v>0.7</v>
          </cell>
          <cell r="K35">
            <v>0</v>
          </cell>
        </row>
        <row r="36">
          <cell r="I36" t="str">
            <v>PC21인도네시아46Hartono07AV</v>
          </cell>
          <cell r="J36">
            <v>0.75</v>
          </cell>
          <cell r="K36">
            <v>0.75</v>
          </cell>
        </row>
        <row r="37">
          <cell r="I37" t="str">
            <v>PC21인도네시아46Hartono08Monitor</v>
          </cell>
          <cell r="J37">
            <v>1</v>
          </cell>
          <cell r="K37">
            <v>0</v>
          </cell>
        </row>
        <row r="38">
          <cell r="I38" t="str">
            <v>PC21인도네시아46Hartono09Mobile</v>
          </cell>
          <cell r="J38">
            <v>0.1</v>
          </cell>
          <cell r="K38">
            <v>0.15</v>
          </cell>
        </row>
        <row r="39">
          <cell r="I39" t="str">
            <v>PC22태국47Power Buy01REF</v>
          </cell>
          <cell r="J39">
            <v>0.05</v>
          </cell>
          <cell r="K39">
            <v>0</v>
          </cell>
        </row>
        <row r="40">
          <cell r="I40" t="str">
            <v>PC22태국47Power Buy02WM</v>
          </cell>
          <cell r="J40">
            <v>0.25</v>
          </cell>
          <cell r="K40">
            <v>0.15</v>
          </cell>
        </row>
        <row r="41">
          <cell r="I41" t="str">
            <v>PC22태국47Power Buy06TV</v>
          </cell>
          <cell r="J41">
            <v>0.15</v>
          </cell>
          <cell r="K41">
            <v>0.3</v>
          </cell>
        </row>
        <row r="42">
          <cell r="I42" t="str">
            <v>PC22태국47Power Buy08Monitor</v>
          </cell>
          <cell r="J42">
            <v>0.1111111111111111</v>
          </cell>
          <cell r="K42">
            <v>0.44444444444444442</v>
          </cell>
        </row>
        <row r="43">
          <cell r="I43" t="str">
            <v>PC22태국47Power Buy09Mobile</v>
          </cell>
          <cell r="J43">
            <v>0</v>
          </cell>
          <cell r="K43">
            <v>0</v>
          </cell>
        </row>
      </sheetData>
      <sheetData sheetId="5">
        <row r="4">
          <cell r="S4" t="str">
            <v>Mobile18대만43Momo01REF</v>
          </cell>
          <cell r="T4">
            <v>2.1666666666666665</v>
          </cell>
          <cell r="U4">
            <v>3.8333333333333335</v>
          </cell>
          <cell r="V4">
            <v>0.10069444444444443</v>
          </cell>
          <cell r="W4">
            <v>0.1111111111111111</v>
          </cell>
          <cell r="X4">
            <v>4.1666666666666664E-2</v>
          </cell>
          <cell r="Y4">
            <v>0</v>
          </cell>
          <cell r="Z4">
            <v>0</v>
          </cell>
          <cell r="AA4">
            <v>0</v>
          </cell>
          <cell r="AB4" t="str">
            <v>N/A</v>
          </cell>
          <cell r="AC4" t="str">
            <v>N/A</v>
          </cell>
          <cell r="AD4">
            <v>24</v>
          </cell>
          <cell r="AE4">
            <v>6</v>
          </cell>
        </row>
        <row r="5">
          <cell r="S5" t="str">
            <v>Mobile19베트남44N/Kim01REF</v>
          </cell>
          <cell r="T5">
            <v>8.2777777777777786</v>
          </cell>
          <cell r="U5">
            <v>5.8928571428571432</v>
          </cell>
          <cell r="V5">
            <v>0.40740740740740733</v>
          </cell>
          <cell r="W5">
            <v>0.27380952380952384</v>
          </cell>
          <cell r="X5">
            <v>3</v>
          </cell>
          <cell r="Y5">
            <v>2.4642857142857144</v>
          </cell>
          <cell r="Z5">
            <v>0</v>
          </cell>
          <cell r="AA5">
            <v>0</v>
          </cell>
          <cell r="AB5">
            <v>3.9733333333333336</v>
          </cell>
          <cell r="AC5">
            <v>4.5400000000000009</v>
          </cell>
          <cell r="AD5">
            <v>18</v>
          </cell>
          <cell r="AE5">
            <v>28</v>
          </cell>
        </row>
        <row r="6">
          <cell r="S6" t="str">
            <v>Mobile21인도네시아46Hartono01REF</v>
          </cell>
          <cell r="T6">
            <v>6.4444444444444446</v>
          </cell>
          <cell r="U6">
            <v>2.263157894736842</v>
          </cell>
          <cell r="V6">
            <v>0.29012345679012352</v>
          </cell>
          <cell r="W6">
            <v>0.14035087719298253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5</v>
          </cell>
          <cell r="AC6">
            <v>4.5</v>
          </cell>
          <cell r="AD6">
            <v>27</v>
          </cell>
          <cell r="AE6">
            <v>19</v>
          </cell>
        </row>
        <row r="7">
          <cell r="S7" t="str">
            <v>Mobile22태국47Power Buy01REF</v>
          </cell>
          <cell r="T7">
            <v>7.083333333333333</v>
          </cell>
          <cell r="U7">
            <v>4.1578947368421053</v>
          </cell>
          <cell r="V7">
            <v>0.3263888888888889</v>
          </cell>
          <cell r="W7">
            <v>0.20614035087719298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4.2</v>
          </cell>
          <cell r="AC7">
            <v>4.8461538461538458</v>
          </cell>
          <cell r="AD7">
            <v>12</v>
          </cell>
          <cell r="AE7">
            <v>19</v>
          </cell>
        </row>
        <row r="8">
          <cell r="S8" t="str">
            <v>PC18대만43Momo01REF</v>
          </cell>
          <cell r="T8">
            <v>2.1666666666666665</v>
          </cell>
          <cell r="U8">
            <v>3.8</v>
          </cell>
          <cell r="V8">
            <v>0.10069444444444443</v>
          </cell>
          <cell r="W8">
            <v>0.10833333333333332</v>
          </cell>
          <cell r="X8">
            <v>4.1666666666666664E-2</v>
          </cell>
          <cell r="Y8">
            <v>0</v>
          </cell>
          <cell r="Z8">
            <v>0</v>
          </cell>
          <cell r="AA8">
            <v>0</v>
          </cell>
          <cell r="AB8" t="str">
            <v>N/A</v>
          </cell>
          <cell r="AC8" t="str">
            <v>N/A</v>
          </cell>
          <cell r="AD8">
            <v>24</v>
          </cell>
          <cell r="AE8">
            <v>10</v>
          </cell>
        </row>
        <row r="9">
          <cell r="S9" t="str">
            <v>PC19베트남44N/Kim01REF</v>
          </cell>
          <cell r="T9">
            <v>8.2777777777777786</v>
          </cell>
          <cell r="U9">
            <v>5.8928571428571432</v>
          </cell>
          <cell r="V9">
            <v>0.40740740740740733</v>
          </cell>
          <cell r="W9">
            <v>0.27380952380952378</v>
          </cell>
          <cell r="X9">
            <v>3</v>
          </cell>
          <cell r="Y9">
            <v>2.4642857142857144</v>
          </cell>
          <cell r="Z9">
            <v>0</v>
          </cell>
          <cell r="AA9">
            <v>0</v>
          </cell>
          <cell r="AB9">
            <v>3.9733333333333336</v>
          </cell>
          <cell r="AC9">
            <v>4.54</v>
          </cell>
          <cell r="AD9">
            <v>18</v>
          </cell>
          <cell r="AE9">
            <v>28</v>
          </cell>
        </row>
        <row r="10">
          <cell r="S10" t="str">
            <v>PC21인도네시아46Hartono01REF</v>
          </cell>
          <cell r="T10">
            <v>6.4444444444444446</v>
          </cell>
          <cell r="U10">
            <v>2.263157894736842</v>
          </cell>
          <cell r="V10">
            <v>0.29012345679012352</v>
          </cell>
          <cell r="W10">
            <v>0.14035087719298253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</v>
          </cell>
          <cell r="AC10">
            <v>4.5</v>
          </cell>
          <cell r="AD10">
            <v>27</v>
          </cell>
          <cell r="AE10">
            <v>19</v>
          </cell>
        </row>
        <row r="11">
          <cell r="S11" t="str">
            <v>PC22태국47Power Buy01REF</v>
          </cell>
          <cell r="T11">
            <v>7.083333333333333</v>
          </cell>
          <cell r="U11">
            <v>4.1578947368421053</v>
          </cell>
          <cell r="V11">
            <v>0.3263888888888889</v>
          </cell>
          <cell r="W11">
            <v>0.20614035087719298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4.2</v>
          </cell>
          <cell r="AC11">
            <v>4.8461538461538458</v>
          </cell>
          <cell r="AD11">
            <v>12</v>
          </cell>
          <cell r="AE11">
            <v>19</v>
          </cell>
        </row>
        <row r="12">
          <cell r="S12" t="str">
            <v>Mobile18대만43Momo02WM</v>
          </cell>
          <cell r="T12">
            <v>2.641025641025641</v>
          </cell>
          <cell r="U12">
            <v>4.6923076923076925</v>
          </cell>
          <cell r="V12">
            <v>0.1153846153846154</v>
          </cell>
          <cell r="W12">
            <v>8.3333333333333329E-2</v>
          </cell>
          <cell r="X12">
            <v>0.51282051282051277</v>
          </cell>
          <cell r="Y12">
            <v>0</v>
          </cell>
          <cell r="Z12">
            <v>0</v>
          </cell>
          <cell r="AA12">
            <v>0</v>
          </cell>
          <cell r="AB12" t="str">
            <v>N/A</v>
          </cell>
          <cell r="AC12" t="str">
            <v>N/A</v>
          </cell>
          <cell r="AD12">
            <v>39</v>
          </cell>
          <cell r="AE12">
            <v>13</v>
          </cell>
        </row>
        <row r="13">
          <cell r="S13" t="str">
            <v>Mobile19베트남44N/Kim02WM</v>
          </cell>
          <cell r="T13">
            <v>6.32</v>
          </cell>
          <cell r="U13">
            <v>6.52</v>
          </cell>
          <cell r="V13">
            <v>0.31666666666666671</v>
          </cell>
          <cell r="W13">
            <v>0.32</v>
          </cell>
          <cell r="X13">
            <v>2.88</v>
          </cell>
          <cell r="Y13">
            <v>2.88</v>
          </cell>
          <cell r="Z13">
            <v>0.04</v>
          </cell>
          <cell r="AA13">
            <v>0.04</v>
          </cell>
          <cell r="AB13">
            <v>4.5583333333333327</v>
          </cell>
          <cell r="AC13">
            <v>4.5583333333333327</v>
          </cell>
          <cell r="AD13">
            <v>25</v>
          </cell>
          <cell r="AE13">
            <v>25</v>
          </cell>
        </row>
        <row r="14">
          <cell r="S14" t="str">
            <v>Mobile21인도네시아46Hartono02WM</v>
          </cell>
          <cell r="T14">
            <v>5.2333333333333334</v>
          </cell>
          <cell r="U14">
            <v>3</v>
          </cell>
          <cell r="V14">
            <v>0.26111111111111113</v>
          </cell>
          <cell r="W14">
            <v>0.15151515151515152</v>
          </cell>
          <cell r="X14">
            <v>0.16666666666666666</v>
          </cell>
          <cell r="Y14">
            <v>0</v>
          </cell>
          <cell r="Z14">
            <v>0</v>
          </cell>
          <cell r="AA14">
            <v>0</v>
          </cell>
          <cell r="AB14">
            <v>5</v>
          </cell>
          <cell r="AC14">
            <v>4.8</v>
          </cell>
          <cell r="AD14">
            <v>30</v>
          </cell>
          <cell r="AE14">
            <v>11</v>
          </cell>
        </row>
        <row r="15">
          <cell r="S15" t="str">
            <v>Mobile22태국47Power Buy02WM</v>
          </cell>
          <cell r="T15">
            <v>4.1052631578947372</v>
          </cell>
          <cell r="U15">
            <v>4.55</v>
          </cell>
          <cell r="V15">
            <v>0.25877192982456138</v>
          </cell>
          <cell r="W15">
            <v>0.18750000000000006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4.5588235294117645</v>
          </cell>
          <cell r="AC15">
            <v>4</v>
          </cell>
          <cell r="AD15">
            <v>19</v>
          </cell>
          <cell r="AE15">
            <v>20</v>
          </cell>
        </row>
        <row r="16">
          <cell r="S16" t="str">
            <v>PC18대만43Momo02WM</v>
          </cell>
          <cell r="T16">
            <v>2.6486486486486487</v>
          </cell>
          <cell r="U16">
            <v>4.6923076923076925</v>
          </cell>
          <cell r="V16">
            <v>0.11711711711711713</v>
          </cell>
          <cell r="W16">
            <v>8.3333333333333329E-2</v>
          </cell>
          <cell r="X16">
            <v>0.54054054054054057</v>
          </cell>
          <cell r="Y16">
            <v>0</v>
          </cell>
          <cell r="Z16">
            <v>0</v>
          </cell>
          <cell r="AA16">
            <v>0</v>
          </cell>
          <cell r="AB16" t="str">
            <v>N/A</v>
          </cell>
          <cell r="AC16" t="str">
            <v>N/A</v>
          </cell>
          <cell r="AD16">
            <v>37</v>
          </cell>
          <cell r="AE16">
            <v>13</v>
          </cell>
        </row>
        <row r="17">
          <cell r="S17" t="str">
            <v>PC19베트남44N/Kim02WM</v>
          </cell>
          <cell r="T17">
            <v>6.32</v>
          </cell>
          <cell r="U17">
            <v>6.52</v>
          </cell>
          <cell r="V17">
            <v>0.31666666666666671</v>
          </cell>
          <cell r="W17">
            <v>0.32</v>
          </cell>
          <cell r="X17">
            <v>2.88</v>
          </cell>
          <cell r="Y17">
            <v>2.88</v>
          </cell>
          <cell r="Z17">
            <v>0.04</v>
          </cell>
          <cell r="AA17">
            <v>0.04</v>
          </cell>
          <cell r="AB17">
            <v>4.5583333333333327</v>
          </cell>
          <cell r="AC17">
            <v>4.5583333333333327</v>
          </cell>
          <cell r="AD17">
            <v>25</v>
          </cell>
          <cell r="AE17">
            <v>25</v>
          </cell>
        </row>
        <row r="18">
          <cell r="S18" t="str">
            <v>PC21인도네시아46Hartono02WM</v>
          </cell>
          <cell r="T18">
            <v>5.2333333333333334</v>
          </cell>
          <cell r="U18">
            <v>3</v>
          </cell>
          <cell r="V18">
            <v>0.26111111111111113</v>
          </cell>
          <cell r="W18">
            <v>0.15151515151515152</v>
          </cell>
          <cell r="X18">
            <v>0.16666666666666666</v>
          </cell>
          <cell r="Y18">
            <v>0</v>
          </cell>
          <cell r="Z18">
            <v>0</v>
          </cell>
          <cell r="AA18">
            <v>0</v>
          </cell>
          <cell r="AB18">
            <v>5</v>
          </cell>
          <cell r="AC18">
            <v>4.8</v>
          </cell>
          <cell r="AD18">
            <v>30</v>
          </cell>
          <cell r="AE18">
            <v>11</v>
          </cell>
        </row>
        <row r="19">
          <cell r="S19" t="str">
            <v>PC22태국47Power Buy02WM</v>
          </cell>
          <cell r="T19">
            <v>4.1052631578947372</v>
          </cell>
          <cell r="U19">
            <v>4.55</v>
          </cell>
          <cell r="V19">
            <v>0.25877192982456138</v>
          </cell>
          <cell r="W19">
            <v>0.18750000000000006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4.5588235294117645</v>
          </cell>
          <cell r="AC19">
            <v>4</v>
          </cell>
          <cell r="AD19">
            <v>19</v>
          </cell>
          <cell r="AE19">
            <v>20</v>
          </cell>
        </row>
        <row r="20">
          <cell r="S20" t="str">
            <v>Mobile18대만43Momo06TV</v>
          </cell>
          <cell r="T20">
            <v>1.9333333333333333</v>
          </cell>
          <cell r="U20">
            <v>1.8571428571428572</v>
          </cell>
          <cell r="V20">
            <v>8.3333333333333315E-2</v>
          </cell>
          <cell r="W20">
            <v>9.3537414965986401E-2</v>
          </cell>
          <cell r="X20">
            <v>0.53333333333333333</v>
          </cell>
          <cell r="Y20">
            <v>0.14285714285714285</v>
          </cell>
          <cell r="Z20">
            <v>0</v>
          </cell>
          <cell r="AA20">
            <v>0</v>
          </cell>
          <cell r="AB20" t="str">
            <v>N/A</v>
          </cell>
          <cell r="AC20" t="str">
            <v>N/A</v>
          </cell>
          <cell r="AD20">
            <v>15</v>
          </cell>
          <cell r="AE20">
            <v>49</v>
          </cell>
        </row>
        <row r="21">
          <cell r="S21" t="str">
            <v>Mobile19베트남44N/Kim06TV</v>
          </cell>
          <cell r="T21">
            <v>5.3243243243243246</v>
          </cell>
          <cell r="U21">
            <v>6.2820512820512819</v>
          </cell>
          <cell r="V21">
            <v>0.38963963963963955</v>
          </cell>
          <cell r="W21">
            <v>0.36431623931623941</v>
          </cell>
          <cell r="X21">
            <v>2.7567567567567566</v>
          </cell>
          <cell r="Y21">
            <v>1.4615384615384615</v>
          </cell>
          <cell r="Z21">
            <v>0</v>
          </cell>
          <cell r="AA21">
            <v>0</v>
          </cell>
          <cell r="AB21">
            <v>3.6916666666666669</v>
          </cell>
          <cell r="AC21">
            <v>4.4150000000000009</v>
          </cell>
          <cell r="AD21">
            <v>37</v>
          </cell>
          <cell r="AE21">
            <v>78</v>
          </cell>
        </row>
        <row r="22">
          <cell r="S22" t="str">
            <v>Mobile21인도네시아46Hartono06TV</v>
          </cell>
          <cell r="T22">
            <v>5.5666666666666664</v>
          </cell>
          <cell r="U22">
            <v>3.9714285714285715</v>
          </cell>
          <cell r="V22">
            <v>0.35833333333333334</v>
          </cell>
          <cell r="W22">
            <v>0.27380952380952378</v>
          </cell>
          <cell r="X22">
            <v>0</v>
          </cell>
          <cell r="Y22">
            <v>0.25714285714285712</v>
          </cell>
          <cell r="Z22">
            <v>0</v>
          </cell>
          <cell r="AA22">
            <v>0</v>
          </cell>
          <cell r="AB22">
            <v>4.5999999999999996</v>
          </cell>
          <cell r="AC22">
            <v>5</v>
          </cell>
          <cell r="AD22">
            <v>30</v>
          </cell>
          <cell r="AE22">
            <v>35</v>
          </cell>
        </row>
        <row r="23">
          <cell r="S23" t="str">
            <v>Mobile22태국47Power Buy06TV</v>
          </cell>
          <cell r="T23">
            <v>3.8888888888888888</v>
          </cell>
          <cell r="U23">
            <v>3.0384615384615383</v>
          </cell>
          <cell r="V23">
            <v>0.25925925925925913</v>
          </cell>
          <cell r="W23">
            <v>0.2083333333333332</v>
          </cell>
          <cell r="X23">
            <v>0</v>
          </cell>
          <cell r="Y23">
            <v>0.88461538461538458</v>
          </cell>
          <cell r="Z23">
            <v>0</v>
          </cell>
          <cell r="AA23">
            <v>0</v>
          </cell>
          <cell r="AB23">
            <v>4.5555555555555554</v>
          </cell>
          <cell r="AC23">
            <v>4.95</v>
          </cell>
          <cell r="AD23">
            <v>18</v>
          </cell>
          <cell r="AE23">
            <v>26</v>
          </cell>
        </row>
        <row r="24">
          <cell r="S24" t="str">
            <v>PC18대만43Momo06TV</v>
          </cell>
          <cell r="T24">
            <v>1</v>
          </cell>
          <cell r="U24">
            <v>1.7346938775510203</v>
          </cell>
          <cell r="V24">
            <v>8.3333333333333315E-2</v>
          </cell>
          <cell r="W24">
            <v>9.3537414965986401E-2</v>
          </cell>
          <cell r="X24">
            <v>0.4375</v>
          </cell>
          <cell r="Y24">
            <v>0.14285714285714285</v>
          </cell>
          <cell r="Z24">
            <v>0</v>
          </cell>
          <cell r="AA24">
            <v>0</v>
          </cell>
          <cell r="AB24" t="str">
            <v>N/A</v>
          </cell>
          <cell r="AC24" t="str">
            <v>N/A</v>
          </cell>
          <cell r="AD24">
            <v>16</v>
          </cell>
          <cell r="AE24">
            <v>49</v>
          </cell>
        </row>
        <row r="25">
          <cell r="S25" t="str">
            <v>PC19베트남44N/Kim06TV</v>
          </cell>
          <cell r="T25">
            <v>5.3513513513513518</v>
          </cell>
          <cell r="U25">
            <v>6.2820512820512819</v>
          </cell>
          <cell r="V25">
            <v>0.38963963963963955</v>
          </cell>
          <cell r="W25">
            <v>0.36431623931623941</v>
          </cell>
          <cell r="X25">
            <v>2.7567567567567566</v>
          </cell>
          <cell r="Y25">
            <v>1.4615384615384615</v>
          </cell>
          <cell r="Z25">
            <v>0</v>
          </cell>
          <cell r="AA25">
            <v>0</v>
          </cell>
          <cell r="AB25">
            <v>3.6916666666666669</v>
          </cell>
          <cell r="AC25">
            <v>4.4150000000000009</v>
          </cell>
          <cell r="AD25">
            <v>37</v>
          </cell>
          <cell r="AE25">
            <v>78</v>
          </cell>
        </row>
        <row r="26">
          <cell r="S26" t="str">
            <v>PC21인도네시아46Hartono06TV</v>
          </cell>
          <cell r="T26">
            <v>5.5666666666666664</v>
          </cell>
          <cell r="U26">
            <v>3.9714285714285715</v>
          </cell>
          <cell r="V26">
            <v>0.35833333333333334</v>
          </cell>
          <cell r="W26">
            <v>0.27380952380952378</v>
          </cell>
          <cell r="X26">
            <v>0</v>
          </cell>
          <cell r="Y26">
            <v>0.25714285714285712</v>
          </cell>
          <cell r="Z26">
            <v>0</v>
          </cell>
          <cell r="AA26">
            <v>0</v>
          </cell>
          <cell r="AB26">
            <v>4.5999999999999996</v>
          </cell>
          <cell r="AC26">
            <v>5</v>
          </cell>
          <cell r="AD26">
            <v>30</v>
          </cell>
          <cell r="AE26">
            <v>35</v>
          </cell>
        </row>
        <row r="27">
          <cell r="S27" t="str">
            <v>PC22태국47Power Buy06TV</v>
          </cell>
          <cell r="T27">
            <v>3.8888888888888888</v>
          </cell>
          <cell r="U27">
            <v>3.0384615384615383</v>
          </cell>
          <cell r="V27">
            <v>0.25925925925925913</v>
          </cell>
          <cell r="W27">
            <v>0.2083333333333332</v>
          </cell>
          <cell r="X27">
            <v>0</v>
          </cell>
          <cell r="Y27">
            <v>0.88461538461538458</v>
          </cell>
          <cell r="Z27">
            <v>0</v>
          </cell>
          <cell r="AA27">
            <v>0</v>
          </cell>
          <cell r="AB27">
            <v>4.5555555555555554</v>
          </cell>
          <cell r="AC27">
            <v>4.95</v>
          </cell>
          <cell r="AD27">
            <v>18</v>
          </cell>
          <cell r="AE27">
            <v>26</v>
          </cell>
        </row>
        <row r="28">
          <cell r="S28" t="str">
            <v>Mobile18대만43Momo08Monitor</v>
          </cell>
          <cell r="T28">
            <v>1.6976744186046511</v>
          </cell>
          <cell r="U28">
            <v>2.3333333333333335</v>
          </cell>
          <cell r="V28">
            <v>9.4961240310077577E-2</v>
          </cell>
          <cell r="W28">
            <v>0.17777777777777776</v>
          </cell>
          <cell r="X28">
            <v>2.3255813953488372E-2</v>
          </cell>
          <cell r="Y28">
            <v>0.13333333333333333</v>
          </cell>
          <cell r="Z28">
            <v>0</v>
          </cell>
          <cell r="AA28">
            <v>0</v>
          </cell>
          <cell r="AB28" t="str">
            <v>N/A</v>
          </cell>
          <cell r="AC28" t="str">
            <v>N/A</v>
          </cell>
          <cell r="AD28">
            <v>43</v>
          </cell>
          <cell r="AE28">
            <v>15</v>
          </cell>
        </row>
        <row r="29">
          <cell r="S29" t="str">
            <v>Mobile19베트남44N/Kim08Monitor</v>
          </cell>
          <cell r="T29">
            <v>0</v>
          </cell>
          <cell r="U29">
            <v>4.25</v>
          </cell>
          <cell r="V29">
            <v>0</v>
          </cell>
          <cell r="W29">
            <v>0.34375</v>
          </cell>
          <cell r="X29">
            <v>0</v>
          </cell>
          <cell r="Y29">
            <v>2.625</v>
          </cell>
          <cell r="Z29" t="e">
            <v>#DIV/0!</v>
          </cell>
          <cell r="AA29">
            <v>0</v>
          </cell>
          <cell r="AB29">
            <v>0</v>
          </cell>
          <cell r="AC29">
            <v>4.5</v>
          </cell>
          <cell r="AD29">
            <v>0</v>
          </cell>
          <cell r="AE29">
            <v>8</v>
          </cell>
        </row>
        <row r="30">
          <cell r="S30" t="str">
            <v>Mobile21인도네시아46Hartono08Monitor</v>
          </cell>
          <cell r="T30">
            <v>3.625</v>
          </cell>
          <cell r="U30">
            <v>0</v>
          </cell>
          <cell r="V30">
            <v>0.26041666666666669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e">
            <v>#DIV/0!</v>
          </cell>
          <cell r="AB30" t="str">
            <v>N/A</v>
          </cell>
          <cell r="AC30">
            <v>0</v>
          </cell>
          <cell r="AD30">
            <v>8</v>
          </cell>
          <cell r="AE30">
            <v>0</v>
          </cell>
        </row>
        <row r="31">
          <cell r="S31" t="str">
            <v>Mobile22태국47Power Buy08Monitor</v>
          </cell>
          <cell r="T31">
            <v>1</v>
          </cell>
          <cell r="U31">
            <v>1</v>
          </cell>
          <cell r="V31">
            <v>8.3333333333333329E-2</v>
          </cell>
          <cell r="W31">
            <v>8.3333333333333329E-2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</v>
          </cell>
          <cell r="AC31">
            <v>4.666666666666667</v>
          </cell>
          <cell r="AD31">
            <v>6</v>
          </cell>
          <cell r="AE31">
            <v>6</v>
          </cell>
        </row>
        <row r="32">
          <cell r="S32" t="str">
            <v>PC18대만43Momo08Monitor</v>
          </cell>
          <cell r="T32">
            <v>1.75</v>
          </cell>
          <cell r="U32">
            <v>2.3333333333333335</v>
          </cell>
          <cell r="V32">
            <v>9.3750000000000042E-2</v>
          </cell>
          <cell r="W32">
            <v>0.17777777777777776</v>
          </cell>
          <cell r="X32">
            <v>2.0833333333333332E-2</v>
          </cell>
          <cell r="Y32">
            <v>0.13333333333333333</v>
          </cell>
          <cell r="Z32">
            <v>0</v>
          </cell>
          <cell r="AA32">
            <v>0</v>
          </cell>
          <cell r="AB32" t="str">
            <v>N/A</v>
          </cell>
          <cell r="AC32" t="str">
            <v>N/A</v>
          </cell>
          <cell r="AD32">
            <v>48</v>
          </cell>
          <cell r="AE32">
            <v>15</v>
          </cell>
        </row>
        <row r="33">
          <cell r="S33" t="str">
            <v>PC19베트남44N/Kim08Monitor</v>
          </cell>
          <cell r="T33">
            <v>0</v>
          </cell>
          <cell r="U33">
            <v>4.25</v>
          </cell>
          <cell r="V33">
            <v>0</v>
          </cell>
          <cell r="W33">
            <v>0.34375</v>
          </cell>
          <cell r="X33">
            <v>0</v>
          </cell>
          <cell r="Y33">
            <v>2.625</v>
          </cell>
          <cell r="Z33" t="e">
            <v>#DIV/0!</v>
          </cell>
          <cell r="AA33">
            <v>0</v>
          </cell>
          <cell r="AB33">
            <v>0</v>
          </cell>
          <cell r="AC33">
            <v>4.5</v>
          </cell>
          <cell r="AD33">
            <v>0</v>
          </cell>
          <cell r="AE33">
            <v>8</v>
          </cell>
        </row>
        <row r="34">
          <cell r="S34" t="str">
            <v>PC21인도네시아46Hartono08Monitor</v>
          </cell>
          <cell r="T34">
            <v>3.625</v>
          </cell>
          <cell r="U34">
            <v>0</v>
          </cell>
          <cell r="V34">
            <v>0.26041666666666669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e">
            <v>#DIV/0!</v>
          </cell>
          <cell r="AB34" t="str">
            <v>N/A</v>
          </cell>
          <cell r="AC34">
            <v>0</v>
          </cell>
          <cell r="AD34">
            <v>8</v>
          </cell>
          <cell r="AE34">
            <v>0</v>
          </cell>
        </row>
        <row r="35">
          <cell r="S35" t="str">
            <v>PC22태국47Power Buy08Monitor</v>
          </cell>
          <cell r="T35">
            <v>1</v>
          </cell>
          <cell r="U35">
            <v>1</v>
          </cell>
          <cell r="V35">
            <v>8.3333333333333329E-2</v>
          </cell>
          <cell r="W35">
            <v>8.3333333333333329E-2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3</v>
          </cell>
          <cell r="AC35">
            <v>4.666666666666667</v>
          </cell>
          <cell r="AD35">
            <v>6</v>
          </cell>
          <cell r="AE35">
            <v>6</v>
          </cell>
        </row>
        <row r="36">
          <cell r="S36" t="str">
            <v>Mobile18대만43Momo09Mobile</v>
          </cell>
          <cell r="T36">
            <v>3.6666666666666665</v>
          </cell>
          <cell r="U36">
            <v>4.0201342281879198</v>
          </cell>
          <cell r="V36">
            <v>0.15972222222222224</v>
          </cell>
          <cell r="W36">
            <v>9.0604026845637786E-2</v>
          </cell>
          <cell r="X36">
            <v>0.20833333333333334</v>
          </cell>
          <cell r="Y36">
            <v>0.37583892617449666</v>
          </cell>
          <cell r="Z36">
            <v>0</v>
          </cell>
          <cell r="AA36">
            <v>0</v>
          </cell>
          <cell r="AB36" t="str">
            <v>N/A</v>
          </cell>
          <cell r="AC36" t="str">
            <v>N/A</v>
          </cell>
          <cell r="AD36">
            <v>24</v>
          </cell>
          <cell r="AE36">
            <v>149</v>
          </cell>
        </row>
        <row r="37">
          <cell r="S37" t="str">
            <v>Mobile21인도네시아46Hartono09Mobile</v>
          </cell>
          <cell r="T37">
            <v>4</v>
          </cell>
          <cell r="U37">
            <v>5.2790697674418601</v>
          </cell>
          <cell r="V37">
            <v>0.25</v>
          </cell>
          <cell r="W37">
            <v>0.25387596899224818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str">
            <v>N/A</v>
          </cell>
          <cell r="AC37" t="str">
            <v>N/A</v>
          </cell>
          <cell r="AD37">
            <v>2</v>
          </cell>
          <cell r="AE37">
            <v>43</v>
          </cell>
        </row>
        <row r="38">
          <cell r="S38" t="str">
            <v>PC18대만43Momo09Mobile</v>
          </cell>
          <cell r="T38">
            <v>3.6842105263157894</v>
          </cell>
          <cell r="U38">
            <v>4.0526315789473681</v>
          </cell>
          <cell r="V38">
            <v>0.15789473684210525</v>
          </cell>
          <cell r="W38">
            <v>8.9912280701754499E-2</v>
          </cell>
          <cell r="X38">
            <v>0.26315789473684209</v>
          </cell>
          <cell r="Y38">
            <v>0.35526315789473684</v>
          </cell>
          <cell r="Z38">
            <v>0</v>
          </cell>
          <cell r="AA38">
            <v>0</v>
          </cell>
          <cell r="AB38" t="str">
            <v>N/A</v>
          </cell>
          <cell r="AC38" t="str">
            <v>N/A</v>
          </cell>
          <cell r="AD38">
            <v>19</v>
          </cell>
          <cell r="AE38">
            <v>152</v>
          </cell>
        </row>
        <row r="39">
          <cell r="S39" t="str">
            <v>PC21인도네시아46Hartono09Mobile</v>
          </cell>
          <cell r="T39">
            <v>4</v>
          </cell>
          <cell r="U39">
            <v>5.2790697674418601</v>
          </cell>
          <cell r="V39">
            <v>0.25</v>
          </cell>
          <cell r="W39">
            <v>0.25387596899224818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str">
            <v>N/A</v>
          </cell>
          <cell r="AC39" t="str">
            <v>N/A</v>
          </cell>
          <cell r="AD39">
            <v>2</v>
          </cell>
          <cell r="AE39">
            <v>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G"/>
      <sheetName val="PPT_W13"/>
      <sheetName val="PPT2"/>
      <sheetName val="Taiwan"/>
      <sheetName val="Vietnam"/>
      <sheetName val="Indonesia"/>
      <sheetName val="Thailand"/>
      <sheetName val="Score_PV"/>
      <sheetName val="Score_All_lookup"/>
      <sheetName val="Score_Banner"/>
      <sheetName val="Score_Brand"/>
      <sheetName val="Score_Product"/>
      <sheetName val="Score_Search"/>
      <sheetName val="Score_Sales_raw"/>
      <sheetName val="RAW&gt;"/>
      <sheetName val="Banner_PV"/>
      <sheetName val="Banner"/>
      <sheetName val="Brand_All"/>
      <sheetName val="Brand_All_PV"/>
      <sheetName val="Brand_All_raw"/>
      <sheetName val="Brand V_PV"/>
      <sheetName val="Brand V"/>
      <sheetName val="Product_PV"/>
      <sheetName val="Product List"/>
      <sheetName val="Search Result"/>
      <sheetName val="PDP&gt;"/>
      <sheetName val="REF_PV"/>
      <sheetName val="REF"/>
      <sheetName val="WM_PV"/>
      <sheetName val="WM"/>
      <sheetName val="MWO_PV"/>
      <sheetName val="MWO"/>
      <sheetName val="Vacuum_PV"/>
      <sheetName val="Vacuum"/>
      <sheetName val="AC_PV"/>
      <sheetName val="AC"/>
      <sheetName val="TV_PV"/>
      <sheetName val="TV"/>
      <sheetName val="AV_PV"/>
      <sheetName val="AV"/>
      <sheetName val="Home Audio"/>
      <sheetName val="Home Theater"/>
      <sheetName val="Monitor_PV"/>
      <sheetName val="Monitor"/>
      <sheetName val="Mobile_PV"/>
      <sheetName val="Mobile"/>
      <sheetName val="List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F3" t="str">
            <v>Banner Visibility</v>
          </cell>
        </row>
      </sheetData>
      <sheetData sheetId="5">
        <row r="3">
          <cell r="F3" t="str">
            <v>Banner Visibility</v>
          </cell>
        </row>
      </sheetData>
      <sheetData sheetId="6">
        <row r="3">
          <cell r="F3" t="str">
            <v>Banner Visibility</v>
          </cell>
        </row>
      </sheetData>
      <sheetData sheetId="7">
        <row r="3">
          <cell r="F3" t="str">
            <v>Banner Visibility</v>
          </cell>
        </row>
      </sheetData>
      <sheetData sheetId="8" refreshError="1"/>
      <sheetData sheetId="9" refreshError="1"/>
      <sheetData sheetId="10">
        <row r="2">
          <cell r="I2" t="str">
            <v>Key Field</v>
          </cell>
        </row>
        <row r="3">
          <cell r="B3" t="str">
            <v>Banner</v>
          </cell>
          <cell r="C3" t="str">
            <v>W12</v>
          </cell>
          <cell r="D3" t="str">
            <v>12브라질</v>
          </cell>
          <cell r="E3" t="str">
            <v>29Pontofrio</v>
          </cell>
          <cell r="F3" t="str">
            <v>00ALL</v>
          </cell>
          <cell r="G3">
            <v>54.899288783633828</v>
          </cell>
          <cell r="H3">
            <v>57.172016056361102</v>
          </cell>
          <cell r="I3" t="str">
            <v>12브라질29Pontofrio00ALL</v>
          </cell>
          <cell r="J3">
            <v>54.899288783633828</v>
          </cell>
          <cell r="K3">
            <v>57.172016056361102</v>
          </cell>
        </row>
        <row r="4">
          <cell r="I4" t="str">
            <v>12브라질29Pontofrio02WM</v>
          </cell>
        </row>
        <row r="5">
          <cell r="I5" t="str">
            <v>12브라질29Pontofrio05AC</v>
          </cell>
        </row>
        <row r="6">
          <cell r="I6" t="str">
            <v>12브라질29Pontofrio06TV</v>
          </cell>
        </row>
        <row r="7">
          <cell r="I7" t="str">
            <v>12브라질29Pontofrio09Mobile</v>
          </cell>
        </row>
        <row r="8">
          <cell r="I8" t="str">
            <v>12브라질29Pontofrio 요약</v>
          </cell>
        </row>
        <row r="9">
          <cell r="I9" t="str">
            <v>12브라질30Submarino00ALL</v>
          </cell>
        </row>
        <row r="10">
          <cell r="I10" t="str">
            <v>12브라질30Submarino05AC</v>
          </cell>
        </row>
        <row r="11">
          <cell r="I11" t="str">
            <v>12브라질30Submarino06TV</v>
          </cell>
        </row>
        <row r="12">
          <cell r="I12" t="str">
            <v>12브라질30Submarino09Mobile</v>
          </cell>
        </row>
        <row r="13">
          <cell r="I13" t="str">
            <v>12브라질30Submarino 요약</v>
          </cell>
        </row>
        <row r="14">
          <cell r="I14" t="str">
            <v>12브라질31Magazineluiza01REF</v>
          </cell>
        </row>
        <row r="15">
          <cell r="I15" t="str">
            <v>12브라질31Magazineluiza02WM</v>
          </cell>
        </row>
        <row r="16">
          <cell r="I16" t="str">
            <v>12브라질31Magazineluiza05AC</v>
          </cell>
        </row>
        <row r="17">
          <cell r="I17" t="str">
            <v>12브라질31Magazineluiza06TV</v>
          </cell>
        </row>
        <row r="18">
          <cell r="I18" t="str">
            <v>12브라질31Magazineluiza07AV</v>
          </cell>
        </row>
        <row r="19">
          <cell r="I19" t="str">
            <v>12브라질31Magazineluiza08Monitor</v>
          </cell>
        </row>
        <row r="20">
          <cell r="I20" t="str">
            <v>12브라질31Magazineluiza09Mobile</v>
          </cell>
        </row>
        <row r="21">
          <cell r="I21" t="str">
            <v>12브라질31Magazineluiza 요약</v>
          </cell>
        </row>
        <row r="22">
          <cell r="I22" t="str">
            <v>12브라질32Americanas00ALL</v>
          </cell>
        </row>
        <row r="23">
          <cell r="I23" t="str">
            <v>12브라질32Americanas02WM</v>
          </cell>
        </row>
        <row r="24">
          <cell r="I24" t="str">
            <v>12브라질32Americanas04MWO</v>
          </cell>
        </row>
        <row r="25">
          <cell r="I25" t="str">
            <v>12브라질32Americanas05AC</v>
          </cell>
        </row>
        <row r="26">
          <cell r="I26" t="str">
            <v>12브라질32Americanas06TV</v>
          </cell>
        </row>
        <row r="27">
          <cell r="I27" t="str">
            <v>12브라질32Americanas07AV</v>
          </cell>
        </row>
        <row r="28">
          <cell r="I28" t="str">
            <v>12브라질32Americanas08Monitor</v>
          </cell>
        </row>
        <row r="29">
          <cell r="I29" t="str">
            <v>12브라질32Americanas09Mobile</v>
          </cell>
        </row>
        <row r="30">
          <cell r="I30" t="str">
            <v>12브라질32Americanas 요약</v>
          </cell>
        </row>
        <row r="31">
          <cell r="I31" t="str">
            <v>12브라질33Carrefour02WM</v>
          </cell>
        </row>
        <row r="32">
          <cell r="I32" t="str">
            <v>12브라질33Carrefour06TV</v>
          </cell>
        </row>
        <row r="33">
          <cell r="I33" t="str">
            <v>12브라질33Carrefour09Mobile</v>
          </cell>
        </row>
        <row r="34">
          <cell r="I34" t="str">
            <v>12브라질33Carrefour 요약</v>
          </cell>
        </row>
        <row r="35">
          <cell r="I35" t="str">
            <v>12브라질34Casas Bahia00ALL</v>
          </cell>
        </row>
        <row r="36">
          <cell r="I36" t="str">
            <v>12브라질34Casas Bahia04MWO</v>
          </cell>
        </row>
        <row r="37">
          <cell r="I37" t="str">
            <v>12브라질34Casas Bahia05AC</v>
          </cell>
        </row>
        <row r="38">
          <cell r="I38" t="str">
            <v>12브라질34Casas Bahia06TV</v>
          </cell>
        </row>
        <row r="39">
          <cell r="I39" t="str">
            <v>12브라질34Casas Bahia07AV</v>
          </cell>
        </row>
        <row r="40">
          <cell r="I40" t="str">
            <v>12브라질34Casas Bahia08Monitor</v>
          </cell>
        </row>
        <row r="41">
          <cell r="I41" t="str">
            <v>12브라질34Casas Bahia09Mobile</v>
          </cell>
        </row>
        <row r="42">
          <cell r="I42" t="str">
            <v>12브라질34Casas Bahia 요약</v>
          </cell>
        </row>
        <row r="43">
          <cell r="I43" t="str">
            <v>12브라질 요약</v>
          </cell>
        </row>
        <row r="44">
          <cell r="I44" t="str">
            <v>13멕시코35BBY02WM</v>
          </cell>
        </row>
        <row r="45">
          <cell r="I45" t="str">
            <v>13멕시코35BBY06TV</v>
          </cell>
        </row>
        <row r="46">
          <cell r="I46" t="str">
            <v>13멕시코35BBY 요약</v>
          </cell>
        </row>
        <row r="47">
          <cell r="I47" t="str">
            <v>13멕시코36Liverpool01REF</v>
          </cell>
        </row>
        <row r="48">
          <cell r="I48" t="str">
            <v>13멕시코36Liverpool02WM</v>
          </cell>
        </row>
        <row r="49">
          <cell r="I49" t="str">
            <v>13멕시코36Liverpool03Vacuum</v>
          </cell>
        </row>
        <row r="50">
          <cell r="I50" t="str">
            <v>13멕시코36Liverpool04MWO</v>
          </cell>
        </row>
        <row r="51">
          <cell r="I51" t="str">
            <v>13멕시코36Liverpool05AC</v>
          </cell>
        </row>
        <row r="52">
          <cell r="I52" t="str">
            <v>13멕시코36Liverpool06TV</v>
          </cell>
        </row>
        <row r="53">
          <cell r="I53" t="str">
            <v>13멕시코36Liverpool07AV</v>
          </cell>
        </row>
        <row r="54">
          <cell r="I54" t="str">
            <v>13멕시코36Liverpool09Mobile</v>
          </cell>
        </row>
        <row r="55">
          <cell r="I55" t="str">
            <v>13멕시코36Liverpool 요약</v>
          </cell>
        </row>
        <row r="56">
          <cell r="I56" t="str">
            <v>13멕시코 요약</v>
          </cell>
        </row>
        <row r="57">
          <cell r="I57" t="str">
            <v>15페루38Ripley00ALL</v>
          </cell>
        </row>
        <row r="58">
          <cell r="I58" t="str">
            <v>15페루38Ripley06TV</v>
          </cell>
        </row>
        <row r="59">
          <cell r="I59" t="str">
            <v>15페루38Ripley09Mobile</v>
          </cell>
        </row>
        <row r="60">
          <cell r="I60" t="str">
            <v>15페루38Ripley 요약</v>
          </cell>
        </row>
        <row r="61">
          <cell r="I61" t="str">
            <v>15페루 요약</v>
          </cell>
        </row>
        <row r="62">
          <cell r="I62" t="str">
            <v>16칠레39Falabella01REF</v>
          </cell>
        </row>
        <row r="63">
          <cell r="I63" t="str">
            <v>16칠레39Falabella02WM</v>
          </cell>
        </row>
        <row r="64">
          <cell r="I64" t="str">
            <v>16칠레39Falabella06TV</v>
          </cell>
        </row>
        <row r="65">
          <cell r="I65" t="str">
            <v>16칠레39Falabella09Mobile</v>
          </cell>
        </row>
        <row r="66">
          <cell r="I66" t="str">
            <v>16칠레39Falabella 요약</v>
          </cell>
        </row>
        <row r="67">
          <cell r="I67" t="str">
            <v>16칠레 요약</v>
          </cell>
        </row>
        <row r="68">
          <cell r="I68" t="str">
            <v>14콜롬비아Alkosto01REF</v>
          </cell>
        </row>
        <row r="69">
          <cell r="I69" t="str">
            <v>14콜롬비아Alkosto02WM</v>
          </cell>
        </row>
        <row r="70">
          <cell r="I70" t="str">
            <v>14콜롬비아Alkosto06TV</v>
          </cell>
        </row>
        <row r="71">
          <cell r="I71" t="str">
            <v>14콜롬비아Alkosto07AV</v>
          </cell>
        </row>
        <row r="72">
          <cell r="I72" t="str">
            <v>14콜롬비아Alkosto09Mobile</v>
          </cell>
        </row>
        <row r="73">
          <cell r="I73" t="str">
            <v>14콜롬비아Alkosto 요약</v>
          </cell>
        </row>
        <row r="74">
          <cell r="I74" t="str">
            <v>14콜롬비아 요약</v>
          </cell>
        </row>
        <row r="75">
          <cell r="I75" t="str">
            <v>18대만43Momo02WM</v>
          </cell>
        </row>
        <row r="76">
          <cell r="I76" t="str">
            <v>18대만43Momo06TV</v>
          </cell>
        </row>
        <row r="77">
          <cell r="I77" t="str">
            <v>18대만43Momo09Mobile</v>
          </cell>
        </row>
        <row r="78">
          <cell r="I78" t="str">
            <v>18대만43Momo 요약</v>
          </cell>
        </row>
        <row r="79">
          <cell r="I79" t="str">
            <v>18대만 요약</v>
          </cell>
        </row>
        <row r="80">
          <cell r="I80" t="str">
            <v>19베트남44N/Kim01REF</v>
          </cell>
        </row>
        <row r="81">
          <cell r="I81" t="str">
            <v>19베트남44N/Kim02WM</v>
          </cell>
        </row>
        <row r="82">
          <cell r="I82" t="str">
            <v>19베트남44N/Kim04MWO</v>
          </cell>
        </row>
        <row r="83">
          <cell r="I83" t="str">
            <v>19베트남44N/Kim06TV</v>
          </cell>
        </row>
        <row r="84">
          <cell r="I84" t="str">
            <v>19베트남44N/Kim07AV</v>
          </cell>
        </row>
        <row r="85">
          <cell r="I85" t="str">
            <v>19베트남44N/Kim08Monitor</v>
          </cell>
        </row>
        <row r="86">
          <cell r="I86" t="str">
            <v>19베트남44N/Kim09Mobile</v>
          </cell>
        </row>
        <row r="87">
          <cell r="I87" t="str">
            <v>19베트남44N/Kim 요약</v>
          </cell>
        </row>
        <row r="88">
          <cell r="I88" t="str">
            <v>19베트남 요약</v>
          </cell>
        </row>
        <row r="89">
          <cell r="I89" t="str">
            <v>22태국47Power Buy06TV</v>
          </cell>
        </row>
        <row r="90">
          <cell r="I90" t="str">
            <v>22태국47Power Buy 요약</v>
          </cell>
        </row>
        <row r="91">
          <cell r="I91" t="str">
            <v>22태국 요약</v>
          </cell>
        </row>
        <row r="92">
          <cell r="I92" t="str">
            <v>21인도네시아46Hartono09Mobile</v>
          </cell>
        </row>
        <row r="93">
          <cell r="I93" t="str">
            <v>21인도네시아46Hartono 요약</v>
          </cell>
        </row>
      </sheetData>
      <sheetData sheetId="11">
        <row r="2">
          <cell r="H2" t="str">
            <v>Key Field</v>
          </cell>
        </row>
        <row r="3">
          <cell r="B3" t="str">
            <v>Brand</v>
          </cell>
          <cell r="C3" t="str">
            <v>12브라질</v>
          </cell>
          <cell r="D3" t="str">
            <v>29Pontofrio</v>
          </cell>
          <cell r="E3" t="str">
            <v>00ALL</v>
          </cell>
          <cell r="F3">
            <v>78.174603174603163</v>
          </cell>
          <cell r="G3">
            <v>93.650793650793645</v>
          </cell>
          <cell r="H3" t="str">
            <v>12브라질29Pontofrio00ALL</v>
          </cell>
          <cell r="I3">
            <v>78.174603174603163</v>
          </cell>
          <cell r="J3">
            <v>93.650793650793645</v>
          </cell>
        </row>
        <row r="4">
          <cell r="H4" t="str">
            <v>12브라질29Pontofrio02WM</v>
          </cell>
        </row>
        <row r="5">
          <cell r="H5" t="str">
            <v>12브라질29Pontofrio04MWO</v>
          </cell>
        </row>
        <row r="6">
          <cell r="H6" t="str">
            <v>12브라질29Pontofrio05AC</v>
          </cell>
        </row>
        <row r="7">
          <cell r="H7" t="str">
            <v>12브라질29Pontofrio06TV</v>
          </cell>
        </row>
        <row r="8">
          <cell r="H8" t="str">
            <v>12브라질29Pontofrio07AV</v>
          </cell>
        </row>
        <row r="9">
          <cell r="H9" t="str">
            <v>12브라질29Pontofrio08Monitor</v>
          </cell>
        </row>
        <row r="10">
          <cell r="H10" t="str">
            <v>12브라질29Pontofrio09Mobile</v>
          </cell>
        </row>
        <row r="11">
          <cell r="H11" t="str">
            <v>12브라질30Submarino02WM</v>
          </cell>
        </row>
        <row r="12">
          <cell r="H12" t="str">
            <v>12브라질30Submarino04MWO</v>
          </cell>
        </row>
        <row r="13">
          <cell r="H13" t="str">
            <v>12브라질30Submarino05AC</v>
          </cell>
        </row>
        <row r="14">
          <cell r="H14" t="str">
            <v>12브라질30Submarino06TV</v>
          </cell>
        </row>
        <row r="15">
          <cell r="H15" t="str">
            <v>12브라질30Submarino07AV</v>
          </cell>
        </row>
        <row r="16">
          <cell r="H16" t="str">
            <v>12브라질30Submarino08Monitor</v>
          </cell>
        </row>
        <row r="17">
          <cell r="H17" t="str">
            <v>12브라질30Submarino09Mobile</v>
          </cell>
        </row>
        <row r="18">
          <cell r="H18" t="str">
            <v>12브라질31Magazineluiza00ALL</v>
          </cell>
        </row>
        <row r="19">
          <cell r="H19" t="str">
            <v>12브라질31Magazineluiza02WM</v>
          </cell>
        </row>
        <row r="20">
          <cell r="H20" t="str">
            <v>12브라질31Magazineluiza04MWO</v>
          </cell>
        </row>
        <row r="21">
          <cell r="H21" t="str">
            <v>12브라질31Magazineluiza05AC</v>
          </cell>
        </row>
        <row r="22">
          <cell r="H22" t="str">
            <v>12브라질31Magazineluiza06TV</v>
          </cell>
        </row>
        <row r="23">
          <cell r="H23" t="str">
            <v>12브라질31Magazineluiza07AV</v>
          </cell>
        </row>
        <row r="24">
          <cell r="H24" t="str">
            <v>12브라질31Magazineluiza08Monitor</v>
          </cell>
        </row>
        <row r="25">
          <cell r="H25" t="str">
            <v>12브라질31Magazineluiza09Mobile</v>
          </cell>
        </row>
        <row r="26">
          <cell r="H26" t="str">
            <v>12브라질32Americanas02WM</v>
          </cell>
        </row>
        <row r="27">
          <cell r="H27" t="str">
            <v>12브라질32Americanas04MWO</v>
          </cell>
        </row>
        <row r="28">
          <cell r="H28" t="str">
            <v>12브라질32Americanas05AC</v>
          </cell>
        </row>
        <row r="29">
          <cell r="H29" t="str">
            <v>12브라질32Americanas06TV</v>
          </cell>
        </row>
        <row r="30">
          <cell r="H30" t="str">
            <v>12브라질32Americanas07AV</v>
          </cell>
        </row>
        <row r="31">
          <cell r="H31" t="str">
            <v>12브라질32Americanas08Monitor</v>
          </cell>
        </row>
        <row r="32">
          <cell r="H32" t="str">
            <v>12브라질32Americanas09Mobile</v>
          </cell>
        </row>
        <row r="33">
          <cell r="H33" t="str">
            <v>12브라질33Carrefour00ALL</v>
          </cell>
        </row>
        <row r="34">
          <cell r="H34" t="str">
            <v>12브라질33Carrefour02WM</v>
          </cell>
        </row>
        <row r="35">
          <cell r="H35" t="str">
            <v>12브라질33Carrefour04MWO</v>
          </cell>
        </row>
        <row r="36">
          <cell r="H36" t="str">
            <v>12브라질33Carrefour05AC</v>
          </cell>
        </row>
        <row r="37">
          <cell r="H37" t="str">
            <v>12브라질33Carrefour06TV</v>
          </cell>
        </row>
        <row r="38">
          <cell r="H38" t="str">
            <v>12브라질33Carrefour07AV</v>
          </cell>
        </row>
        <row r="39">
          <cell r="H39" t="str">
            <v>12브라질33Carrefour08Monitor</v>
          </cell>
        </row>
        <row r="40">
          <cell r="H40" t="str">
            <v>12브라질33Carrefour09Mobile</v>
          </cell>
        </row>
        <row r="41">
          <cell r="H41" t="str">
            <v>12브라질34Casas Bahia00ALL</v>
          </cell>
        </row>
        <row r="42">
          <cell r="H42" t="str">
            <v>12브라질34Casas Bahia02WM</v>
          </cell>
        </row>
        <row r="43">
          <cell r="H43" t="str">
            <v>12브라질34Casas Bahia04MWO</v>
          </cell>
        </row>
        <row r="44">
          <cell r="H44" t="str">
            <v>12브라질34Casas Bahia05AC</v>
          </cell>
        </row>
        <row r="45">
          <cell r="H45" t="str">
            <v>12브라질34Casas Bahia06TV</v>
          </cell>
        </row>
        <row r="46">
          <cell r="H46" t="str">
            <v>12브라질34Casas Bahia07AV</v>
          </cell>
        </row>
        <row r="47">
          <cell r="H47" t="str">
            <v>12브라질34Casas Bahia08Monitor</v>
          </cell>
        </row>
        <row r="48">
          <cell r="H48" t="str">
            <v>12브라질34Casas Bahia09Mobile</v>
          </cell>
        </row>
        <row r="49">
          <cell r="H49" t="str">
            <v>16칠레39Falabella01REF</v>
          </cell>
        </row>
        <row r="50">
          <cell r="H50" t="str">
            <v>16칠레39Falabella02WM</v>
          </cell>
        </row>
        <row r="51">
          <cell r="H51" t="str">
            <v>16칠레39Falabella05AC</v>
          </cell>
        </row>
        <row r="52">
          <cell r="H52" t="str">
            <v>16칠레39Falabella06TV</v>
          </cell>
        </row>
        <row r="53">
          <cell r="H53" t="str">
            <v>16칠레39Falabella07AV</v>
          </cell>
        </row>
        <row r="54">
          <cell r="H54" t="str">
            <v>16칠레39Falabella08Monitor</v>
          </cell>
        </row>
        <row r="55">
          <cell r="H55" t="str">
            <v>16칠레39Falabella09Mobile</v>
          </cell>
        </row>
        <row r="56">
          <cell r="H56" t="str">
            <v>14콜롬비아Alkosto00ALL</v>
          </cell>
        </row>
        <row r="57">
          <cell r="H57" t="str">
            <v>14콜롬비아Alkosto01REF</v>
          </cell>
        </row>
        <row r="58">
          <cell r="H58" t="str">
            <v>14콜롬비아Alkosto02WM</v>
          </cell>
        </row>
        <row r="59">
          <cell r="H59" t="str">
            <v>14콜롬비아Alkosto04MWO</v>
          </cell>
        </row>
        <row r="60">
          <cell r="H60" t="str">
            <v>14콜롬비아Alkosto05AC</v>
          </cell>
        </row>
        <row r="61">
          <cell r="H61" t="str">
            <v>14콜롬비아Alkosto06TV</v>
          </cell>
        </row>
        <row r="62">
          <cell r="H62" t="str">
            <v>14콜롬비아Alkosto07AV</v>
          </cell>
        </row>
        <row r="63">
          <cell r="H63" t="str">
            <v>14콜롬비아Alkosto08Monitor</v>
          </cell>
        </row>
        <row r="64">
          <cell r="H64" t="str">
            <v>14콜롬비아Alkosto09Mobile</v>
          </cell>
        </row>
        <row r="65">
          <cell r="H65" t="str">
            <v>14콜롬비아Alkosto03Vacuum</v>
          </cell>
        </row>
        <row r="66">
          <cell r="H66" t="str">
            <v>18대만43Momo00ALL</v>
          </cell>
        </row>
        <row r="67">
          <cell r="H67" t="str">
            <v>18대만43Momo01REF</v>
          </cell>
        </row>
        <row r="68">
          <cell r="H68" t="str">
            <v>18대만43Momo02WM</v>
          </cell>
        </row>
        <row r="69">
          <cell r="H69" t="str">
            <v>18대만43Momo05AC</v>
          </cell>
        </row>
        <row r="70">
          <cell r="H70" t="str">
            <v>18대만43Momo06TV</v>
          </cell>
        </row>
        <row r="71">
          <cell r="H71" t="str">
            <v>18대만43Momo07AV</v>
          </cell>
        </row>
        <row r="72">
          <cell r="H72" t="str">
            <v>18대만43Momo08Monitor</v>
          </cell>
        </row>
        <row r="73">
          <cell r="H73" t="str">
            <v>18대만43Momo09Mobile</v>
          </cell>
        </row>
        <row r="74">
          <cell r="H74" t="str">
            <v>18대만43Momo03Vacuum</v>
          </cell>
        </row>
        <row r="75">
          <cell r="H75" t="str">
            <v>18대만43Momo 요약0</v>
          </cell>
        </row>
        <row r="76">
          <cell r="H76" t="str">
            <v>18대만 요약00</v>
          </cell>
        </row>
        <row r="77">
          <cell r="H77" t="str">
            <v>19베트남44N/Kim00ALL</v>
          </cell>
        </row>
        <row r="78">
          <cell r="H78" t="str">
            <v>19베트남44N/Kim01REF</v>
          </cell>
        </row>
        <row r="79">
          <cell r="H79" t="str">
            <v>19베트남44N/Kim02WM</v>
          </cell>
        </row>
        <row r="80">
          <cell r="H80" t="str">
            <v>19베트남44N/Kim04MWO</v>
          </cell>
        </row>
        <row r="81">
          <cell r="H81" t="str">
            <v>19베트남44N/Kim05AC</v>
          </cell>
        </row>
        <row r="82">
          <cell r="H82" t="str">
            <v>19베트남44N/Kim06TV</v>
          </cell>
        </row>
        <row r="83">
          <cell r="H83" t="str">
            <v>19베트남44N/Kim07AV</v>
          </cell>
        </row>
        <row r="84">
          <cell r="H84" t="str">
            <v>19베트남44N/Kim08Monitor</v>
          </cell>
        </row>
        <row r="85">
          <cell r="H85" t="str">
            <v>19베트남44N/Kim09Mobile</v>
          </cell>
        </row>
        <row r="86">
          <cell r="H86" t="str">
            <v>19베트남44N/Kim03Vacuum</v>
          </cell>
        </row>
        <row r="87">
          <cell r="H87" t="str">
            <v>19베트남44N/Kim 요약0</v>
          </cell>
        </row>
        <row r="88">
          <cell r="H88" t="str">
            <v>19베트남 요약00</v>
          </cell>
        </row>
        <row r="89">
          <cell r="H89" t="str">
            <v>21인도네시아46Hartono01REF</v>
          </cell>
        </row>
        <row r="90">
          <cell r="H90" t="str">
            <v>21인도네시아46Hartono02WM</v>
          </cell>
        </row>
        <row r="91">
          <cell r="H91" t="str">
            <v>21인도네시아46Hartono04MWO</v>
          </cell>
        </row>
        <row r="92">
          <cell r="H92" t="str">
            <v>21인도네시아46Hartono05AC</v>
          </cell>
        </row>
        <row r="93">
          <cell r="H93" t="str">
            <v>21인도네시아46Hartono06TV</v>
          </cell>
        </row>
        <row r="94">
          <cell r="H94" t="str">
            <v>21인도네시아46Hartono07AV</v>
          </cell>
        </row>
        <row r="95">
          <cell r="H95" t="str">
            <v>21인도네시아46Hartono08Monitor</v>
          </cell>
        </row>
        <row r="96">
          <cell r="H96" t="str">
            <v>21인도네시아46Hartono09Mobile</v>
          </cell>
        </row>
        <row r="97">
          <cell r="H97" t="str">
            <v>21인도네시아46Hartono03Vacuum</v>
          </cell>
        </row>
        <row r="98">
          <cell r="H98" t="str">
            <v>21인도네시아46Hartono 요약0</v>
          </cell>
        </row>
        <row r="99">
          <cell r="H99" t="str">
            <v>21인도네시아 요약00</v>
          </cell>
        </row>
        <row r="100">
          <cell r="H100" t="str">
            <v>22태국47Power Buy01REF</v>
          </cell>
        </row>
        <row r="101">
          <cell r="H101" t="str">
            <v>22태국47Power Buy02WM</v>
          </cell>
        </row>
        <row r="102">
          <cell r="H102" t="str">
            <v>22태국47Power Buy05AC</v>
          </cell>
        </row>
        <row r="103">
          <cell r="H103" t="str">
            <v>22태국47Power Buy06TV</v>
          </cell>
        </row>
        <row r="104">
          <cell r="H104" t="str">
            <v>22태국47Power Buy07AV</v>
          </cell>
        </row>
        <row r="105">
          <cell r="H105" t="str">
            <v>22태국47Power Buy08Monitor</v>
          </cell>
        </row>
        <row r="106">
          <cell r="H106" t="str">
            <v>22태국47Power Buy03Vacuum</v>
          </cell>
        </row>
      </sheetData>
      <sheetData sheetId="12">
        <row r="2">
          <cell r="H2" t="str">
            <v>Key Field</v>
          </cell>
        </row>
        <row r="3">
          <cell r="B3" t="str">
            <v>Product</v>
          </cell>
          <cell r="C3" t="str">
            <v>12브라질</v>
          </cell>
          <cell r="D3" t="str">
            <v>29Pontofrio</v>
          </cell>
          <cell r="E3" t="str">
            <v>02WM</v>
          </cell>
          <cell r="F3">
            <v>0.15</v>
          </cell>
          <cell r="G3">
            <v>0.30000000000000004</v>
          </cell>
          <cell r="H3" t="str">
            <v>12브라질29Pontofrio02WM</v>
          </cell>
          <cell r="I3">
            <v>0.15</v>
          </cell>
          <cell r="J3">
            <v>0.30000000000000004</v>
          </cell>
        </row>
        <row r="4">
          <cell r="H4" t="str">
            <v>12브라질29Pontofrio04MWO</v>
          </cell>
        </row>
        <row r="5">
          <cell r="H5" t="str">
            <v>12브라질29Pontofrio05AC</v>
          </cell>
        </row>
        <row r="6">
          <cell r="H6" t="str">
            <v>12브라질29Pontofrio06tv</v>
          </cell>
        </row>
        <row r="7">
          <cell r="H7" t="str">
            <v>12브라질29Pontofrio07AV</v>
          </cell>
        </row>
        <row r="8">
          <cell r="H8" t="str">
            <v>12브라질29Pontofrio08Monitor</v>
          </cell>
        </row>
        <row r="9">
          <cell r="H9" t="str">
            <v>12브라질29Pontofrio09Mobile</v>
          </cell>
        </row>
        <row r="10">
          <cell r="H10" t="str">
            <v>12브라질30Submarino02WM</v>
          </cell>
        </row>
        <row r="11">
          <cell r="H11" t="str">
            <v>12브라질30Submarino04MWO</v>
          </cell>
        </row>
        <row r="12">
          <cell r="H12" t="str">
            <v>12브라질30Submarino05AC</v>
          </cell>
        </row>
        <row r="13">
          <cell r="H13" t="str">
            <v>12브라질30Submarino06tv</v>
          </cell>
        </row>
        <row r="14">
          <cell r="H14" t="str">
            <v>12브라질30Submarino07AV</v>
          </cell>
        </row>
        <row r="15">
          <cell r="H15" t="str">
            <v>12브라질30Submarino08Monitor</v>
          </cell>
        </row>
        <row r="16">
          <cell r="H16" t="str">
            <v>12브라질30Submarino09Mobile</v>
          </cell>
        </row>
        <row r="17">
          <cell r="H17" t="str">
            <v>12브라질31Magazineluiza04MWO</v>
          </cell>
        </row>
        <row r="18">
          <cell r="H18" t="str">
            <v>12브라질31Magazineluiza05AC</v>
          </cell>
        </row>
        <row r="19">
          <cell r="H19" t="str">
            <v>12브라질31Magazineluiza06tv</v>
          </cell>
        </row>
        <row r="20">
          <cell r="H20" t="str">
            <v>12브라질31Magazineluiza07AV</v>
          </cell>
        </row>
        <row r="21">
          <cell r="H21" t="str">
            <v>12브라질31Magazineluiza08Monitor</v>
          </cell>
        </row>
        <row r="22">
          <cell r="H22" t="str">
            <v>12브라질31Magazineluiza09Mobile</v>
          </cell>
        </row>
        <row r="23">
          <cell r="H23" t="str">
            <v>12브라질32Americanas02WM</v>
          </cell>
        </row>
        <row r="24">
          <cell r="H24" t="str">
            <v>12브라질32Americanas04MWO</v>
          </cell>
        </row>
        <row r="25">
          <cell r="H25" t="str">
            <v>12브라질32Americanas05AC</v>
          </cell>
        </row>
        <row r="26">
          <cell r="H26" t="str">
            <v>12브라질32Americanas06tv</v>
          </cell>
        </row>
        <row r="27">
          <cell r="H27" t="str">
            <v>12브라질32Americanas07AV</v>
          </cell>
        </row>
        <row r="28">
          <cell r="H28" t="str">
            <v>12브라질32Americanas08Monitor</v>
          </cell>
        </row>
        <row r="29">
          <cell r="H29" t="str">
            <v>12브라질32Americanas09Mobile</v>
          </cell>
        </row>
        <row r="30">
          <cell r="H30" t="str">
            <v>12브라질33Carrefour02WM</v>
          </cell>
        </row>
        <row r="31">
          <cell r="H31" t="str">
            <v>12브라질33Carrefour04MWO</v>
          </cell>
        </row>
        <row r="32">
          <cell r="H32" t="str">
            <v>12브라질33Carrefour05AC</v>
          </cell>
        </row>
        <row r="33">
          <cell r="H33" t="str">
            <v>12브라질33Carrefour06tv</v>
          </cell>
        </row>
        <row r="34">
          <cell r="H34" t="str">
            <v>12브라질33Carrefour07AV</v>
          </cell>
        </row>
        <row r="35">
          <cell r="H35" t="str">
            <v>12브라질33Carrefour08Monitor</v>
          </cell>
        </row>
        <row r="36">
          <cell r="H36" t="str">
            <v>12브라질33Carrefour09Mobile</v>
          </cell>
        </row>
        <row r="37">
          <cell r="H37" t="str">
            <v>12브라질34Casas Bahia02WM</v>
          </cell>
        </row>
        <row r="38">
          <cell r="H38" t="str">
            <v>12브라질34Casas Bahia04MWO</v>
          </cell>
        </row>
        <row r="39">
          <cell r="H39" t="str">
            <v>12브라질34Casas Bahia05AC</v>
          </cell>
        </row>
        <row r="40">
          <cell r="H40" t="str">
            <v>12브라질34Casas Bahia06tv</v>
          </cell>
        </row>
        <row r="41">
          <cell r="H41" t="str">
            <v>12브라질34Casas Bahia07AV</v>
          </cell>
        </row>
        <row r="42">
          <cell r="H42" t="str">
            <v>12브라질34Casas Bahia08Monitor</v>
          </cell>
        </row>
        <row r="43">
          <cell r="H43" t="str">
            <v>12브라질34Casas Bahia09Mobile</v>
          </cell>
        </row>
        <row r="44">
          <cell r="H44" t="str">
            <v>16칠레39Falabella01REF</v>
          </cell>
        </row>
        <row r="45">
          <cell r="H45" t="str">
            <v>16칠레39Falabella02WM</v>
          </cell>
        </row>
        <row r="46">
          <cell r="H46" t="str">
            <v>16칠레39Falabella05AC</v>
          </cell>
        </row>
        <row r="47">
          <cell r="H47" t="str">
            <v>16칠레39Falabella06tv</v>
          </cell>
        </row>
        <row r="48">
          <cell r="H48" t="str">
            <v>16칠레39Falabella07AV</v>
          </cell>
        </row>
        <row r="49">
          <cell r="H49" t="str">
            <v>16칠레39Falabella08Monitor</v>
          </cell>
        </row>
        <row r="50">
          <cell r="H50" t="str">
            <v>16칠레39Falabella09Mobile</v>
          </cell>
        </row>
        <row r="51">
          <cell r="H51" t="str">
            <v>14콜롬비아Alkosto01REF</v>
          </cell>
        </row>
        <row r="52">
          <cell r="H52" t="str">
            <v>14콜롬비아Alkosto02WM</v>
          </cell>
        </row>
        <row r="53">
          <cell r="H53" t="str">
            <v>14콜롬비아Alkosto05AC</v>
          </cell>
        </row>
        <row r="54">
          <cell r="H54" t="str">
            <v>14콜롬비아Alkosto06tv</v>
          </cell>
        </row>
        <row r="55">
          <cell r="H55" t="str">
            <v>14콜롬비아Alkosto07AV</v>
          </cell>
        </row>
        <row r="56">
          <cell r="H56" t="str">
            <v>14콜롬비아Alkosto08Monitor</v>
          </cell>
        </row>
        <row r="57">
          <cell r="H57" t="str">
            <v>14콜롬비아Alkosto09Mobile</v>
          </cell>
        </row>
        <row r="58">
          <cell r="H58" t="str">
            <v>18대만43Momo01REF</v>
          </cell>
        </row>
        <row r="59">
          <cell r="H59" t="str">
            <v>18대만43Momo02WM</v>
          </cell>
        </row>
        <row r="60">
          <cell r="H60" t="str">
            <v>18대만43Momo03Vacuum</v>
          </cell>
        </row>
        <row r="61">
          <cell r="H61" t="str">
            <v>18대만43Momo05AC</v>
          </cell>
        </row>
        <row r="62">
          <cell r="H62" t="str">
            <v>18대만43Momo06tv</v>
          </cell>
        </row>
        <row r="63">
          <cell r="H63" t="str">
            <v>18대만43Momo08Monitor</v>
          </cell>
        </row>
        <row r="64">
          <cell r="H64" t="str">
            <v>18대만43Momo09Mobile</v>
          </cell>
        </row>
        <row r="65">
          <cell r="H65" t="str">
            <v>19베트남44N/Kim01REF</v>
          </cell>
        </row>
        <row r="66">
          <cell r="H66" t="str">
            <v>19베트남44N/Kim02WM</v>
          </cell>
        </row>
        <row r="67">
          <cell r="H67" t="str">
            <v>19베트남44N/Kim03Vacuum</v>
          </cell>
        </row>
        <row r="68">
          <cell r="H68" t="str">
            <v>19베트남44N/Kim04MWO</v>
          </cell>
        </row>
        <row r="69">
          <cell r="H69" t="str">
            <v>19베트남44N/Kim05AC</v>
          </cell>
        </row>
        <row r="70">
          <cell r="H70" t="str">
            <v>19베트남44N/Kim06tv</v>
          </cell>
        </row>
        <row r="71">
          <cell r="H71" t="str">
            <v>19베트남44N/Kim07AV</v>
          </cell>
        </row>
        <row r="72">
          <cell r="H72" t="str">
            <v>19베트남44N/Kim08Monitor</v>
          </cell>
        </row>
        <row r="73">
          <cell r="H73" t="str">
            <v>21인도네시아46Hartono01REF</v>
          </cell>
        </row>
        <row r="74">
          <cell r="H74" t="str">
            <v>21인도네시아46Hartono02WM</v>
          </cell>
        </row>
        <row r="75">
          <cell r="H75" t="str">
            <v>21인도네시아46Hartono03Vacuum</v>
          </cell>
        </row>
        <row r="76">
          <cell r="H76" t="str">
            <v>21인도네시아46Hartono04MWO</v>
          </cell>
        </row>
        <row r="77">
          <cell r="H77" t="str">
            <v>21인도네시아46Hartono05AC</v>
          </cell>
        </row>
        <row r="78">
          <cell r="H78" t="str">
            <v>21인도네시아46Hartono06tv</v>
          </cell>
        </row>
        <row r="79">
          <cell r="H79" t="str">
            <v>21인도네시아46Hartono07AV</v>
          </cell>
        </row>
        <row r="80">
          <cell r="H80" t="str">
            <v>21인도네시아46Hartono08Monitor</v>
          </cell>
        </row>
        <row r="81">
          <cell r="H81" t="str">
            <v>21인도네시아46Hartono09Mobile</v>
          </cell>
        </row>
        <row r="82">
          <cell r="H82" t="str">
            <v>22태국47Power Buy01REF</v>
          </cell>
        </row>
        <row r="83">
          <cell r="H83" t="str">
            <v>22태국47Power Buy02WM</v>
          </cell>
        </row>
        <row r="84">
          <cell r="H84" t="str">
            <v>22태국47Power Buy03Vacuum</v>
          </cell>
        </row>
        <row r="85">
          <cell r="H85" t="str">
            <v>22태국47Power Buy05AC</v>
          </cell>
        </row>
        <row r="86">
          <cell r="H86" t="str">
            <v>22태국47Power Buy06tv</v>
          </cell>
        </row>
        <row r="87">
          <cell r="H87" t="str">
            <v>22태국47Power Buy07AV</v>
          </cell>
        </row>
        <row r="88">
          <cell r="H88" t="str">
            <v>22태국47Power Buy08Monitor</v>
          </cell>
        </row>
      </sheetData>
      <sheetData sheetId="13">
        <row r="2">
          <cell r="H2" t="str">
            <v>Key Field</v>
          </cell>
        </row>
        <row r="3">
          <cell r="B3" t="str">
            <v>Search</v>
          </cell>
          <cell r="C3" t="str">
            <v>12브라질</v>
          </cell>
          <cell r="D3" t="str">
            <v>29Pontofrio</v>
          </cell>
          <cell r="E3" t="str">
            <v>02WM</v>
          </cell>
          <cell r="F3">
            <v>0.22500000000000001</v>
          </cell>
          <cell r="G3">
            <v>0.25</v>
          </cell>
          <cell r="H3" t="str">
            <v>12브라질29Pontofrio02WM</v>
          </cell>
          <cell r="I3">
            <v>0.22500000000000001</v>
          </cell>
          <cell r="J3">
            <v>0.25</v>
          </cell>
        </row>
        <row r="4">
          <cell r="H4" t="str">
            <v>12브라질29Pontofrio04MWO</v>
          </cell>
        </row>
        <row r="5">
          <cell r="H5" t="str">
            <v>12브라질29Pontofrio05AC</v>
          </cell>
        </row>
        <row r="6">
          <cell r="H6" t="str">
            <v>12브라질29Pontofrio06TV</v>
          </cell>
        </row>
        <row r="7">
          <cell r="H7" t="str">
            <v>12브라질29Pontofrio07AV</v>
          </cell>
        </row>
        <row r="8">
          <cell r="H8" t="str">
            <v>12브라질29Pontofrio08Monitor</v>
          </cell>
        </row>
        <row r="9">
          <cell r="H9" t="str">
            <v>12브라질29Pontofrio09Mobile</v>
          </cell>
        </row>
        <row r="10">
          <cell r="H10" t="str">
            <v>12브라질29Pontofrio4MWO</v>
          </cell>
        </row>
        <row r="11">
          <cell r="H11" t="str">
            <v>12브라질30Submarino02WM</v>
          </cell>
        </row>
        <row r="12">
          <cell r="H12" t="str">
            <v>12브라질30Submarino04MWO</v>
          </cell>
        </row>
        <row r="13">
          <cell r="H13" t="str">
            <v>12브라질30Submarino05AC</v>
          </cell>
        </row>
        <row r="14">
          <cell r="H14" t="str">
            <v>12브라질30Submarino06TV</v>
          </cell>
        </row>
        <row r="15">
          <cell r="H15" t="str">
            <v>12브라질30Submarino07AV</v>
          </cell>
        </row>
        <row r="16">
          <cell r="H16" t="str">
            <v>12브라질30Submarino08Monitor</v>
          </cell>
        </row>
        <row r="17">
          <cell r="H17" t="str">
            <v>12브라질30Submarino09Mobile</v>
          </cell>
        </row>
        <row r="18">
          <cell r="H18" t="str">
            <v>12브라질31Magazineluiza02WM</v>
          </cell>
        </row>
        <row r="19">
          <cell r="H19" t="str">
            <v>12브라질31Magazineluiza04MWO</v>
          </cell>
        </row>
        <row r="20">
          <cell r="H20" t="str">
            <v>12브라질31Magazineluiza05AC</v>
          </cell>
        </row>
        <row r="21">
          <cell r="H21" t="str">
            <v>12브라질31Magazineluiza06TV</v>
          </cell>
        </row>
        <row r="22">
          <cell r="H22" t="str">
            <v>12브라질31Magazineluiza07AV</v>
          </cell>
        </row>
        <row r="23">
          <cell r="H23" t="str">
            <v>12브라질31Magazineluiza08Monitor</v>
          </cell>
        </row>
        <row r="24">
          <cell r="H24" t="str">
            <v>12브라질31Magazineluiza09Mobile</v>
          </cell>
        </row>
        <row r="25">
          <cell r="H25" t="str">
            <v>12브라질32Americanas02WM</v>
          </cell>
        </row>
        <row r="26">
          <cell r="H26" t="str">
            <v>12브라질32Americanas04MWO</v>
          </cell>
        </row>
        <row r="27">
          <cell r="H27" t="str">
            <v>12브라질32Americanas05AC</v>
          </cell>
        </row>
        <row r="28">
          <cell r="H28" t="str">
            <v>12브라질32Americanas06TV</v>
          </cell>
        </row>
        <row r="29">
          <cell r="H29" t="str">
            <v>12브라질32Americanas07AV</v>
          </cell>
        </row>
        <row r="30">
          <cell r="H30" t="str">
            <v>12브라질32Americanas08Monitor</v>
          </cell>
        </row>
        <row r="31">
          <cell r="H31" t="str">
            <v>12브라질32Americanas09Mobile</v>
          </cell>
        </row>
        <row r="32">
          <cell r="H32" t="str">
            <v>12브라질33Carrefour02WM</v>
          </cell>
        </row>
        <row r="33">
          <cell r="H33" t="str">
            <v>12브라질33Carrefour04MWO</v>
          </cell>
        </row>
        <row r="34">
          <cell r="H34" t="str">
            <v>12브라질33Carrefour05AC</v>
          </cell>
        </row>
        <row r="35">
          <cell r="H35" t="str">
            <v>12브라질33Carrefour06TV</v>
          </cell>
        </row>
        <row r="36">
          <cell r="H36" t="str">
            <v>12브라질33Carrefour07AV</v>
          </cell>
        </row>
        <row r="37">
          <cell r="H37" t="str">
            <v>12브라질33Carrefour08Monitor</v>
          </cell>
        </row>
        <row r="38">
          <cell r="H38" t="str">
            <v>12브라질33Carrefour09Mobile</v>
          </cell>
        </row>
        <row r="39">
          <cell r="H39" t="str">
            <v>12브라질33Carrefour9Mobile</v>
          </cell>
        </row>
        <row r="40">
          <cell r="H40" t="str">
            <v>12브라질34Casas Bahia04MWO</v>
          </cell>
        </row>
        <row r="41">
          <cell r="H41" t="str">
            <v>12브라질34Casas Bahia05AC</v>
          </cell>
        </row>
        <row r="42">
          <cell r="H42" t="str">
            <v>12브라질34Casas Bahia06TV</v>
          </cell>
        </row>
        <row r="43">
          <cell r="H43" t="str">
            <v>12브라질34Casas Bahia07AV</v>
          </cell>
        </row>
        <row r="44">
          <cell r="H44" t="str">
            <v>12브라질34Casas Bahia08Monitor</v>
          </cell>
        </row>
        <row r="45">
          <cell r="H45" t="str">
            <v>12브라질34Casas Bahia09Mobile</v>
          </cell>
        </row>
        <row r="46">
          <cell r="H46" t="str">
            <v>16칠레39Falabella01REF</v>
          </cell>
        </row>
        <row r="47">
          <cell r="H47" t="str">
            <v>16칠레39Falabella02WM</v>
          </cell>
        </row>
        <row r="48">
          <cell r="H48" t="str">
            <v>16칠레39Falabella03Vacuum</v>
          </cell>
        </row>
        <row r="49">
          <cell r="H49" t="str">
            <v>16칠레39Falabella04MWO</v>
          </cell>
        </row>
        <row r="50">
          <cell r="H50" t="str">
            <v>16칠레39Falabella05AC</v>
          </cell>
        </row>
        <row r="51">
          <cell r="H51" t="str">
            <v>16칠레39Falabella06TV</v>
          </cell>
        </row>
        <row r="52">
          <cell r="H52" t="str">
            <v>16칠레39Falabella07AV</v>
          </cell>
        </row>
        <row r="53">
          <cell r="H53" t="str">
            <v>16칠레39Falabella08Monitor</v>
          </cell>
        </row>
        <row r="54">
          <cell r="H54" t="str">
            <v>16칠레39Falabella09Mobile</v>
          </cell>
        </row>
        <row r="55">
          <cell r="H55" t="str">
            <v>14콜롬비아Alkosto01REF</v>
          </cell>
        </row>
        <row r="56">
          <cell r="H56" t="str">
            <v>14콜롬비아Alkosto02WM</v>
          </cell>
        </row>
        <row r="57">
          <cell r="H57" t="str">
            <v>14콜롬비아Alkosto03Vacuum</v>
          </cell>
        </row>
        <row r="58">
          <cell r="H58" t="str">
            <v>14콜롬비아Alkosto05AC</v>
          </cell>
        </row>
        <row r="59">
          <cell r="H59" t="str">
            <v>14콜롬비아Alkosto06TV</v>
          </cell>
        </row>
        <row r="60">
          <cell r="H60" t="str">
            <v>14콜롬비아Alkosto07AV</v>
          </cell>
        </row>
        <row r="61">
          <cell r="H61" t="str">
            <v>14콜롬비아Alkosto08Monitor</v>
          </cell>
        </row>
        <row r="62">
          <cell r="H62" t="str">
            <v>14콜롬비아Alkosto09Mobile</v>
          </cell>
        </row>
        <row r="63">
          <cell r="H63" t="str">
            <v>18대만43Momo01REF</v>
          </cell>
        </row>
        <row r="64">
          <cell r="H64" t="str">
            <v>18대만43Momo02WM</v>
          </cell>
        </row>
        <row r="65">
          <cell r="H65" t="str">
            <v>18대만43Momo03Vacuum</v>
          </cell>
        </row>
        <row r="66">
          <cell r="H66" t="str">
            <v>18대만43Momo04MWO</v>
          </cell>
        </row>
        <row r="67">
          <cell r="H67" t="str">
            <v>18대만43Momo05AC</v>
          </cell>
        </row>
        <row r="68">
          <cell r="H68" t="str">
            <v>18대만43Momo06TV</v>
          </cell>
        </row>
        <row r="69">
          <cell r="H69" t="str">
            <v>18대만43Momo07AV</v>
          </cell>
        </row>
        <row r="70">
          <cell r="H70" t="str">
            <v>18대만43Momo08Monitor</v>
          </cell>
        </row>
        <row r="71">
          <cell r="H71" t="str">
            <v>18대만43Momo09Mobile</v>
          </cell>
        </row>
        <row r="72">
          <cell r="H72" t="str">
            <v>18대만43Momo 요약0</v>
          </cell>
        </row>
        <row r="73">
          <cell r="H73" t="str">
            <v>18대만 요약00</v>
          </cell>
        </row>
        <row r="74">
          <cell r="H74" t="str">
            <v>19베트남44N/Kim01REF</v>
          </cell>
        </row>
        <row r="75">
          <cell r="H75" t="str">
            <v>19베트남44N/Kim02WM</v>
          </cell>
        </row>
        <row r="76">
          <cell r="H76" t="str">
            <v>19베트남44N/Kim03Vacuum</v>
          </cell>
        </row>
        <row r="77">
          <cell r="H77" t="str">
            <v>19베트남44N/Kim04MWO</v>
          </cell>
        </row>
        <row r="78">
          <cell r="H78" t="str">
            <v>19베트남44N/Kim05AC</v>
          </cell>
        </row>
        <row r="79">
          <cell r="H79" t="str">
            <v>19베트남44N/Kim06TV</v>
          </cell>
        </row>
        <row r="80">
          <cell r="H80" t="str">
            <v>19베트남44N/Kim07AV</v>
          </cell>
        </row>
        <row r="81">
          <cell r="H81" t="str">
            <v>19베트남44N/Kim08Monitor</v>
          </cell>
        </row>
        <row r="82">
          <cell r="H82" t="str">
            <v>19베트남44N/Kim09Mobile</v>
          </cell>
        </row>
        <row r="83">
          <cell r="H83" t="str">
            <v>19베트남44N/Kim 요약0</v>
          </cell>
        </row>
        <row r="84">
          <cell r="H84" t="str">
            <v>19베트남 요약00</v>
          </cell>
        </row>
        <row r="85">
          <cell r="H85" t="str">
            <v>21인도네시아46Hartono01REF</v>
          </cell>
        </row>
        <row r="86">
          <cell r="H86" t="str">
            <v>21인도네시아46Hartono02WM</v>
          </cell>
        </row>
        <row r="87">
          <cell r="H87" t="str">
            <v>21인도네시아46Hartono04MWO</v>
          </cell>
        </row>
        <row r="88">
          <cell r="H88" t="str">
            <v>21인도네시아46Hartono05AC</v>
          </cell>
        </row>
        <row r="89">
          <cell r="H89" t="str">
            <v>21인도네시아46Hartono06TV</v>
          </cell>
        </row>
        <row r="90">
          <cell r="H90" t="str">
            <v>21인도네시아46Hartono07AV</v>
          </cell>
        </row>
        <row r="91">
          <cell r="H91" t="str">
            <v>21인도네시아46Hartono08Monitor</v>
          </cell>
        </row>
        <row r="92">
          <cell r="H92" t="str">
            <v>21인도네시아46Hartono09Mobile</v>
          </cell>
        </row>
        <row r="93">
          <cell r="H93" t="str">
            <v>21인도네시아46Hartono 요약0</v>
          </cell>
        </row>
        <row r="94">
          <cell r="H94" t="str">
            <v>21인도네시아 요약00</v>
          </cell>
        </row>
        <row r="95">
          <cell r="H95" t="str">
            <v>22태국47Power Buy01REF</v>
          </cell>
        </row>
        <row r="96">
          <cell r="H96" t="str">
            <v>22태국47Power Buy02WM</v>
          </cell>
        </row>
        <row r="97">
          <cell r="H97" t="str">
            <v>22태국47Power Buy03Vacuum</v>
          </cell>
        </row>
        <row r="98">
          <cell r="H98" t="str">
            <v>22태국47Power Buy04MWO</v>
          </cell>
        </row>
        <row r="99">
          <cell r="H99" t="str">
            <v>22태국47Power Buy05AC</v>
          </cell>
        </row>
        <row r="100">
          <cell r="H100" t="str">
            <v>22태국47Power Buy06TV</v>
          </cell>
        </row>
        <row r="101">
          <cell r="H101" t="str">
            <v>22태국47Power Buy07AV</v>
          </cell>
        </row>
        <row r="102">
          <cell r="H102" t="str">
            <v>22태국47Power Buy08Monitor</v>
          </cell>
        </row>
        <row r="103">
          <cell r="H103" t="str">
            <v>22태국47Power Buy 요약0</v>
          </cell>
        </row>
        <row r="104">
          <cell r="H104" t="str">
            <v>22태국 요약00</v>
          </cell>
        </row>
      </sheetData>
      <sheetData sheetId="14">
        <row r="3">
          <cell r="Q3" t="str">
            <v>Key Field</v>
          </cell>
        </row>
        <row r="4">
          <cell r="B4" t="str">
            <v>16칠레</v>
          </cell>
          <cell r="C4" t="str">
            <v>39Falabella</v>
          </cell>
          <cell r="D4" t="str">
            <v>01REF</v>
          </cell>
          <cell r="E4">
            <v>21</v>
          </cell>
          <cell r="F4">
            <v>21</v>
          </cell>
          <cell r="G4">
            <v>7.4761904761904763</v>
          </cell>
          <cell r="H4">
            <v>10.571428571428571</v>
          </cell>
          <cell r="I4">
            <v>0.37460317460317449</v>
          </cell>
          <cell r="J4">
            <v>0.43174603174603171</v>
          </cell>
          <cell r="K4">
            <v>0</v>
          </cell>
          <cell r="L4">
            <v>0</v>
          </cell>
          <cell r="M4">
            <v>0</v>
          </cell>
          <cell r="N4">
            <v>2</v>
          </cell>
          <cell r="O4">
            <v>3.9181818181818184</v>
          </cell>
          <cell r="P4">
            <v>4.6947368421052635</v>
          </cell>
          <cell r="Q4" t="str">
            <v>16칠레39Falabella01REF</v>
          </cell>
          <cell r="R4">
            <v>21</v>
          </cell>
          <cell r="S4">
            <v>21</v>
          </cell>
          <cell r="T4">
            <v>7.4761904761904763</v>
          </cell>
          <cell r="U4">
            <v>10.571428571428571</v>
          </cell>
          <cell r="V4">
            <v>0.37460317460317449</v>
          </cell>
          <cell r="W4">
            <v>0.43174603174603171</v>
          </cell>
          <cell r="X4">
            <v>0</v>
          </cell>
          <cell r="Y4">
            <v>0</v>
          </cell>
          <cell r="Z4">
            <v>0</v>
          </cell>
          <cell r="AA4">
            <v>2</v>
          </cell>
          <cell r="AB4">
            <v>3.9181818181818184</v>
          </cell>
          <cell r="AC4">
            <v>4.6947368421052635</v>
          </cell>
        </row>
        <row r="5">
          <cell r="Q5" t="str">
            <v>12브라질29Pontofrio02WM</v>
          </cell>
        </row>
        <row r="6">
          <cell r="Q6" t="str">
            <v>12브라질30Submarino02WM</v>
          </cell>
        </row>
        <row r="7">
          <cell r="Q7" t="str">
            <v>12브라질31Magazineluiza02WM</v>
          </cell>
        </row>
        <row r="8">
          <cell r="Q8" t="str">
            <v>12브라질32Americanas02WM</v>
          </cell>
        </row>
        <row r="9">
          <cell r="Q9" t="str">
            <v>12브라질33Carrefour02WM</v>
          </cell>
        </row>
        <row r="10">
          <cell r="Q10" t="str">
            <v>12브라질34Casas Bahia02WM</v>
          </cell>
        </row>
        <row r="11">
          <cell r="Q11" t="str">
            <v>16칠레39Falabella02WM</v>
          </cell>
        </row>
        <row r="12">
          <cell r="Q12" t="str">
            <v>12브라질29Pontofrio05AC</v>
          </cell>
        </row>
        <row r="13">
          <cell r="Q13" t="str">
            <v>12브라질30Submarino05AC</v>
          </cell>
        </row>
        <row r="14">
          <cell r="Q14" t="str">
            <v>12브라질31Magazineluiza05AC</v>
          </cell>
        </row>
        <row r="15">
          <cell r="Q15" t="str">
            <v>12브라질32Americanas05AC</v>
          </cell>
        </row>
        <row r="16">
          <cell r="Q16" t="str">
            <v>12브라질33Carrefour05AC</v>
          </cell>
        </row>
        <row r="17">
          <cell r="Q17" t="str">
            <v>12브라질34Casas Bahia05AC</v>
          </cell>
        </row>
        <row r="18">
          <cell r="Q18" t="str">
            <v>16칠레39Falabella05AC</v>
          </cell>
        </row>
        <row r="19">
          <cell r="Q19" t="str">
            <v>12브라질29Pontofrio04MWO</v>
          </cell>
        </row>
        <row r="20">
          <cell r="Q20" t="str">
            <v>12브라질30Submarino04MWO</v>
          </cell>
        </row>
        <row r="21">
          <cell r="Q21" t="str">
            <v>12브라질31Magazineluiza04MWO</v>
          </cell>
        </row>
        <row r="22">
          <cell r="Q22" t="str">
            <v>12브라질32Americanas04MWO</v>
          </cell>
        </row>
        <row r="23">
          <cell r="Q23" t="str">
            <v>12브라질33Carrefour04MWO</v>
          </cell>
        </row>
        <row r="24">
          <cell r="Q24" t="str">
            <v>12브라질34Casas Bahia04MWO</v>
          </cell>
        </row>
        <row r="25">
          <cell r="Q25" t="str">
            <v>12브라질29Pontofrio06TV</v>
          </cell>
        </row>
        <row r="26">
          <cell r="Q26" t="str">
            <v>12브라질30Submarino06TV</v>
          </cell>
        </row>
        <row r="27">
          <cell r="Q27" t="str">
            <v>12브라질31Magazineluiza06TV</v>
          </cell>
        </row>
        <row r="28">
          <cell r="Q28" t="str">
            <v>12브라질32Americanas06TV</v>
          </cell>
        </row>
        <row r="29">
          <cell r="Q29" t="str">
            <v>12브라질33Carrefour06TV</v>
          </cell>
        </row>
        <row r="30">
          <cell r="Q30" t="str">
            <v>12브라질34Casas Bahia06TV</v>
          </cell>
        </row>
        <row r="31">
          <cell r="Q31" t="str">
            <v>16칠레39Falabella06TV</v>
          </cell>
        </row>
        <row r="32">
          <cell r="Q32" t="str">
            <v>12브라질17Carrefour07AV</v>
          </cell>
        </row>
        <row r="33">
          <cell r="Q33" t="str">
            <v>12브라질29Pontofrio07AV</v>
          </cell>
        </row>
        <row r="34">
          <cell r="Q34" t="str">
            <v>12브라질30Submarino07AV</v>
          </cell>
        </row>
        <row r="35">
          <cell r="Q35" t="str">
            <v>12브라질31Magazineluiza07AV</v>
          </cell>
        </row>
        <row r="36">
          <cell r="Q36" t="str">
            <v>12브라질32Americanas07AV</v>
          </cell>
        </row>
        <row r="37">
          <cell r="Q37" t="str">
            <v>12브라질33Carrefour07AV</v>
          </cell>
        </row>
        <row r="38">
          <cell r="Q38" t="str">
            <v>12브라질34Casas Bahia07AV</v>
          </cell>
        </row>
        <row r="39">
          <cell r="Q39" t="str">
            <v>16칠레39Falabella07AV</v>
          </cell>
        </row>
        <row r="40">
          <cell r="Q40" t="str">
            <v>12브라질30Submarino08Monitor</v>
          </cell>
        </row>
        <row r="41">
          <cell r="Q41" t="str">
            <v>12브라질29Pontofrio08Monitor</v>
          </cell>
        </row>
        <row r="42">
          <cell r="Q42" t="str">
            <v>12브라질31Magazineluiza08Monitor</v>
          </cell>
        </row>
        <row r="43">
          <cell r="Q43" t="str">
            <v>12브라질34Casas Bahia08Monitor</v>
          </cell>
        </row>
        <row r="44">
          <cell r="Q44" t="str">
            <v>12브라질33Carrefour08Monitor</v>
          </cell>
        </row>
        <row r="45">
          <cell r="Q45" t="str">
            <v>12브라질32Americanas08Monitor</v>
          </cell>
        </row>
        <row r="46">
          <cell r="Q46" t="str">
            <v>16칠레39Falabella08Monitor</v>
          </cell>
        </row>
        <row r="47">
          <cell r="Q47" t="str">
            <v>12브라질30Submarino09Mobile</v>
          </cell>
        </row>
        <row r="48">
          <cell r="Q48" t="str">
            <v>12브라질29Pontofrio09Mobile</v>
          </cell>
        </row>
        <row r="49">
          <cell r="Q49" t="str">
            <v>12브라질31Magazineluiza09Mobile</v>
          </cell>
        </row>
        <row r="50">
          <cell r="Q50" t="str">
            <v>12브라질34Casas Bahia09Mobile</v>
          </cell>
        </row>
        <row r="51">
          <cell r="Q51" t="str">
            <v>12브라질33Carrefour09Mobile</v>
          </cell>
        </row>
        <row r="52">
          <cell r="Q52" t="str">
            <v>12브라질32Americanas09Mobile</v>
          </cell>
        </row>
        <row r="53">
          <cell r="Q53" t="str">
            <v>16칠레39Falabella09Mobile</v>
          </cell>
        </row>
        <row r="54">
          <cell r="Q54" t="str">
            <v>14콜롬비아Alkosto09Mobile</v>
          </cell>
        </row>
        <row r="55">
          <cell r="Q55" t="str">
            <v>14콜롬비아Alkosto07AV</v>
          </cell>
        </row>
        <row r="56">
          <cell r="Q56" t="str">
            <v>14콜롬비아Alkosto06TV</v>
          </cell>
        </row>
        <row r="57">
          <cell r="Q57" t="str">
            <v>14콜롬비아Alkosto05AC</v>
          </cell>
        </row>
        <row r="58">
          <cell r="Q58" t="str">
            <v>14콜롬비아Alkosto02WM</v>
          </cell>
        </row>
        <row r="59">
          <cell r="Q59" t="str">
            <v>14콜롬비아Alkosto01REF</v>
          </cell>
        </row>
        <row r="60">
          <cell r="Q60" t="str">
            <v>18대만43Momo01REF</v>
          </cell>
        </row>
        <row r="61">
          <cell r="Q61" t="str">
            <v>19베트남44N/Kim01REF</v>
          </cell>
        </row>
        <row r="62">
          <cell r="Q62" t="str">
            <v>21인도네시아46Hartono01REF</v>
          </cell>
        </row>
        <row r="63">
          <cell r="Q63" t="str">
            <v>22태국47Power Buy01REF</v>
          </cell>
        </row>
        <row r="64">
          <cell r="Q64" t="str">
            <v>18대만43Momo02WM</v>
          </cell>
        </row>
        <row r="65">
          <cell r="Q65" t="str">
            <v>19베트남44N/Kim02WM</v>
          </cell>
        </row>
        <row r="66">
          <cell r="Q66" t="str">
            <v>21인도네시아46Hartono02WM</v>
          </cell>
        </row>
        <row r="67">
          <cell r="Q67" t="str">
            <v>22태국47Power Buy02WM</v>
          </cell>
        </row>
        <row r="68">
          <cell r="Q68" t="str">
            <v>19베트남44N/Kim04MWO</v>
          </cell>
        </row>
        <row r="69">
          <cell r="Q69" t="str">
            <v>21인도네시아46Hartono04MWO</v>
          </cell>
        </row>
        <row r="70">
          <cell r="Q70" t="str">
            <v>18대만43Momo03Vacuum</v>
          </cell>
        </row>
        <row r="71">
          <cell r="Q71" t="str">
            <v>19베트남44N/Kim03Vacuum</v>
          </cell>
        </row>
        <row r="72">
          <cell r="Q72" t="str">
            <v>22태국47Power Buy03Vacuum</v>
          </cell>
        </row>
        <row r="73">
          <cell r="Q73" t="str">
            <v>18대만43Momo05AC</v>
          </cell>
        </row>
        <row r="74">
          <cell r="Q74" t="str">
            <v>19베트남44N/Kim05AC</v>
          </cell>
        </row>
        <row r="75">
          <cell r="Q75" t="str">
            <v>21인도네시아46Hartono05AC</v>
          </cell>
        </row>
        <row r="76">
          <cell r="Q76" t="str">
            <v>22태국47Power Buy05AC</v>
          </cell>
        </row>
        <row r="77">
          <cell r="Q77" t="str">
            <v>18대만43Momo06TV</v>
          </cell>
        </row>
        <row r="78">
          <cell r="Q78" t="str">
            <v>19베트남44N/Kim06TV</v>
          </cell>
        </row>
        <row r="79">
          <cell r="Q79" t="str">
            <v>21인도네시아46Hartono06TV</v>
          </cell>
        </row>
        <row r="80">
          <cell r="Q80" t="str">
            <v>22태국47Power Buy06TV</v>
          </cell>
        </row>
        <row r="81">
          <cell r="Q81" t="str">
            <v>19베트남44N/Kim07AV</v>
          </cell>
        </row>
        <row r="82">
          <cell r="Q82" t="str">
            <v>21인도네시아46Hartono07AV</v>
          </cell>
        </row>
        <row r="83">
          <cell r="Q83" t="str">
            <v>22태국47Power Buy07AV</v>
          </cell>
        </row>
        <row r="84">
          <cell r="Q84" t="str">
            <v>18대만43Momo08Monitor</v>
          </cell>
        </row>
        <row r="85">
          <cell r="Q85" t="str">
            <v>19베트남44N/Kim08Monitor</v>
          </cell>
        </row>
        <row r="86">
          <cell r="Q86" t="str">
            <v>21인도네시아46Hartono08Monitor</v>
          </cell>
        </row>
        <row r="87">
          <cell r="Q87" t="str">
            <v>22태국47Power Buy08Monitor</v>
          </cell>
        </row>
        <row r="88">
          <cell r="Q88" t="str">
            <v>18대만43Momo09Mobile</v>
          </cell>
        </row>
        <row r="89">
          <cell r="Q89" t="str">
            <v>19베트남44N/Kim09Mobile</v>
          </cell>
        </row>
        <row r="90">
          <cell r="Q90" t="str">
            <v>21인도네시아46Hartono09Mobile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Score_PC_All"/>
      <sheetName val="S_PC_Banner"/>
      <sheetName val="S_PC_Brand"/>
      <sheetName val="S_PC_Product"/>
      <sheetName val="S_PC_Search"/>
      <sheetName val="S_PC_Sales"/>
      <sheetName val="Score_M_All"/>
      <sheetName val="S_M_Banner"/>
      <sheetName val="S_M_Brand"/>
      <sheetName val="S_M_Product"/>
      <sheetName val="S_M_Search"/>
      <sheetName val="S_M_Sales"/>
      <sheetName val="RAW&gt;"/>
      <sheetName val="Banner"/>
      <sheetName val="Brand_All_PC"/>
      <sheetName val="Brand_All_PV"/>
      <sheetName val="Brand_All_raw"/>
      <sheetName val="Brand V_PV"/>
      <sheetName val="Brand V"/>
      <sheetName val="Rank_PV"/>
      <sheetName val="Product_PV"/>
      <sheetName val="Product List"/>
      <sheetName val="Search Result_PC"/>
      <sheetName val="PDP&gt;"/>
      <sheetName val="REF_PV"/>
      <sheetName val="REF"/>
      <sheetName val="WM_PV"/>
      <sheetName val="WM"/>
      <sheetName val="Vacuum_PV"/>
      <sheetName val="Vacuum"/>
      <sheetName val="MWO_PV"/>
      <sheetName val="MWO"/>
      <sheetName val="AC_PV"/>
      <sheetName val="AC"/>
      <sheetName val="TV_PV"/>
      <sheetName val="TV"/>
      <sheetName val="AV_PV"/>
      <sheetName val="AV"/>
      <sheetName val="Home Audio"/>
      <sheetName val="Home Theater"/>
      <sheetName val="Monitor_PV"/>
      <sheetName val="Monitor"/>
      <sheetName val="Mobile_PV"/>
      <sheetName val="Mobile"/>
      <sheetName val="List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I2" t="str">
            <v>Key Field</v>
          </cell>
        </row>
        <row r="3">
          <cell r="I3" t="str">
            <v>01미국01BBY00ALL</v>
          </cell>
        </row>
        <row r="4">
          <cell r="I4" t="str">
            <v>01미국01BBY01REF</v>
          </cell>
        </row>
        <row r="5">
          <cell r="I5" t="str">
            <v>01미국01BBY02WM</v>
          </cell>
        </row>
        <row r="6">
          <cell r="I6" t="str">
            <v>01미국01BBY04MWO</v>
          </cell>
        </row>
        <row r="7">
          <cell r="I7" t="str">
            <v>01미국01BBY05AC</v>
          </cell>
        </row>
        <row r="8">
          <cell r="I8" t="str">
            <v>01미국01BBY06TV</v>
          </cell>
        </row>
        <row r="9">
          <cell r="I9" t="str">
            <v>01미국01BBY07AV</v>
          </cell>
        </row>
        <row r="10">
          <cell r="I10" t="str">
            <v>01미국01BBY08Monitor</v>
          </cell>
        </row>
        <row r="11">
          <cell r="I11" t="str">
            <v>01미국01BBY09Mobile</v>
          </cell>
        </row>
        <row r="12">
          <cell r="I12" t="str">
            <v>01미국02THD01REF</v>
          </cell>
        </row>
        <row r="13">
          <cell r="I13" t="str">
            <v>01미국03Lowe's01REF</v>
          </cell>
        </row>
        <row r="14">
          <cell r="I14" t="str">
            <v>01미국03Lowe's02WM</v>
          </cell>
        </row>
        <row r="15">
          <cell r="I15" t="str">
            <v>01미국04Amazon01REF</v>
          </cell>
        </row>
        <row r="16">
          <cell r="I16" t="str">
            <v>01미국04Amazon02WM</v>
          </cell>
        </row>
        <row r="17">
          <cell r="I17" t="str">
            <v>01미국04Amazon04MWO</v>
          </cell>
        </row>
        <row r="18">
          <cell r="I18" t="str">
            <v>01미국04Amazon05AC</v>
          </cell>
        </row>
        <row r="19">
          <cell r="I19" t="str">
            <v>01미국04Amazon06TV</v>
          </cell>
        </row>
        <row r="20">
          <cell r="I20" t="str">
            <v>01미국04Amazon07AV</v>
          </cell>
        </row>
        <row r="21">
          <cell r="I21" t="str">
            <v>01미국04Amazon08Monitor</v>
          </cell>
        </row>
        <row r="22">
          <cell r="I22" t="str">
            <v>01미국04Amazon09Mobile</v>
          </cell>
        </row>
        <row r="23">
          <cell r="I23" t="str">
            <v>01미국05Costco00ALL</v>
          </cell>
        </row>
        <row r="24">
          <cell r="I24" t="str">
            <v>01미국05Costco01REF</v>
          </cell>
        </row>
        <row r="25">
          <cell r="I25" t="str">
            <v>01미국05Costco02WM</v>
          </cell>
        </row>
        <row r="26">
          <cell r="I26" t="str">
            <v>01미국05Costco06TV</v>
          </cell>
        </row>
        <row r="27">
          <cell r="I27" t="str">
            <v>01미국05Costco07AV</v>
          </cell>
        </row>
        <row r="28">
          <cell r="I28" t="str">
            <v>01미국05Costco09Mobile</v>
          </cell>
        </row>
        <row r="29">
          <cell r="I29" t="str">
            <v>13멕시코36BBY01REF</v>
          </cell>
        </row>
        <row r="30">
          <cell r="I30" t="str">
            <v>13멕시코36BBY02WM</v>
          </cell>
        </row>
        <row r="31">
          <cell r="I31" t="str">
            <v>13멕시코36BBY04MWO</v>
          </cell>
        </row>
        <row r="32">
          <cell r="I32" t="str">
            <v>13멕시코36BBY06TV</v>
          </cell>
        </row>
        <row r="33">
          <cell r="I33" t="str">
            <v>13멕시코36BBY07AV</v>
          </cell>
        </row>
        <row r="34">
          <cell r="I34" t="str">
            <v>13멕시코36BBY09Mobile</v>
          </cell>
        </row>
        <row r="35">
          <cell r="I35" t="str">
            <v>13멕시코37Liverpool01REF</v>
          </cell>
        </row>
        <row r="36">
          <cell r="I36" t="str">
            <v>13멕시코37Liverpool02WM</v>
          </cell>
        </row>
        <row r="37">
          <cell r="I37" t="str">
            <v>13멕시코37Liverpool03Vacuum</v>
          </cell>
        </row>
        <row r="38">
          <cell r="I38" t="str">
            <v>13멕시코37Liverpool04MWO</v>
          </cell>
        </row>
        <row r="39">
          <cell r="I39" t="str">
            <v>13멕시코37Liverpool05AC</v>
          </cell>
        </row>
        <row r="40">
          <cell r="I40" t="str">
            <v>13멕시코37Liverpool06TV</v>
          </cell>
        </row>
        <row r="41">
          <cell r="I41" t="str">
            <v>13멕시코37Liverpool07AV</v>
          </cell>
        </row>
        <row r="42">
          <cell r="I42" t="str">
            <v>13멕시코37Liverpool09Mobile</v>
          </cell>
        </row>
        <row r="43">
          <cell r="I43" t="str">
            <v>17호주41Harvey Norman06TV</v>
          </cell>
        </row>
        <row r="44">
          <cell r="I44" t="str">
            <v>17호주41Harvey Norman07AV</v>
          </cell>
        </row>
        <row r="45">
          <cell r="I45" t="str">
            <v>17호주41Harvey Norman08Monitor</v>
          </cell>
        </row>
        <row r="46">
          <cell r="I46" t="str">
            <v>17호주41Harvey Norman09Mobile</v>
          </cell>
        </row>
        <row r="47">
          <cell r="I47" t="str">
            <v>17호주42GoodGuys00ALL</v>
          </cell>
        </row>
        <row r="48">
          <cell r="I48" t="str">
            <v>17호주42GoodGuys01REF</v>
          </cell>
        </row>
        <row r="49">
          <cell r="I49" t="str">
            <v>17호주42GoodGuys02WM</v>
          </cell>
        </row>
        <row r="50">
          <cell r="I50" t="str">
            <v>17호주42GoodGuys03Vacuum</v>
          </cell>
        </row>
        <row r="51">
          <cell r="I51" t="str">
            <v>17호주42GoodGuys04MWO</v>
          </cell>
        </row>
        <row r="52">
          <cell r="I52" t="str">
            <v>17호주42GoodGuys05AC</v>
          </cell>
        </row>
        <row r="53">
          <cell r="I53" t="str">
            <v>17호주42GoodGuys06TV</v>
          </cell>
        </row>
        <row r="54">
          <cell r="I54" t="str">
            <v>17호주42GoodGuys07AV</v>
          </cell>
        </row>
        <row r="55">
          <cell r="I55" t="str">
            <v>17호주42GoodGuys09Mobile</v>
          </cell>
        </row>
        <row r="56">
          <cell r="I56" t="str">
            <v>18대만43Momo09Mobile</v>
          </cell>
        </row>
        <row r="57">
          <cell r="I57" t="str">
            <v>19베트남44N/Kim06TV</v>
          </cell>
        </row>
        <row r="58">
          <cell r="I58" t="str">
            <v>19베트남44N/Kim09Mobile</v>
          </cell>
        </row>
        <row r="59">
          <cell r="I59" t="str">
            <v>20싱가포르45Gain city06TV</v>
          </cell>
        </row>
        <row r="60">
          <cell r="I60" t="str">
            <v>20싱가포르45Gain city09Mobile</v>
          </cell>
        </row>
        <row r="61">
          <cell r="I61" t="str">
            <v>21인도네시아46Hartono09Mobile</v>
          </cell>
        </row>
        <row r="62">
          <cell r="I62" t="str">
            <v>22태국47Power Buy06TV</v>
          </cell>
        </row>
        <row r="63">
          <cell r="I63" t="str">
            <v>22태국47Power Buy09Mobile</v>
          </cell>
        </row>
        <row r="64">
          <cell r="I64" t="str">
            <v>26남아공53Makro02WM</v>
          </cell>
        </row>
        <row r="65">
          <cell r="I65" t="str">
            <v>26남아공54Hirschs06TV</v>
          </cell>
        </row>
        <row r="66">
          <cell r="I66" t="str">
            <v>26남아공54Hirschs09Mobile</v>
          </cell>
        </row>
        <row r="67">
          <cell r="I67" t="str">
            <v>27UAE55Lulu09Mobile</v>
          </cell>
        </row>
        <row r="68">
          <cell r="I68" t="str">
            <v>28사우디56eXtra00ALL</v>
          </cell>
        </row>
        <row r="69">
          <cell r="I69" t="str">
            <v>28사우디56eXtra02WM</v>
          </cell>
        </row>
        <row r="70">
          <cell r="I70" t="str">
            <v>28사우디56eXtra04MWO</v>
          </cell>
        </row>
        <row r="71">
          <cell r="I71" t="str">
            <v>28사우디56eXtra05AC</v>
          </cell>
        </row>
        <row r="72">
          <cell r="I72" t="str">
            <v>28사우디56eXtra06TV</v>
          </cell>
        </row>
        <row r="73">
          <cell r="I73" t="str">
            <v>28사우디56eXtra07AV</v>
          </cell>
        </row>
        <row r="74">
          <cell r="I74" t="str">
            <v>28사우디56eXtra09Mobile</v>
          </cell>
        </row>
        <row r="75">
          <cell r="I75" t="str">
            <v>32인도61Amazon01REF</v>
          </cell>
        </row>
        <row r="76">
          <cell r="I76" t="str">
            <v>32인도61Amazon02WM</v>
          </cell>
        </row>
        <row r="77">
          <cell r="I77" t="str">
            <v>32인도61Amazon05AC</v>
          </cell>
        </row>
        <row r="78">
          <cell r="I78" t="str">
            <v>32인도61Amazon09Mobile</v>
          </cell>
        </row>
        <row r="79">
          <cell r="I79" t="str">
            <v>26남아공53Makro02WM</v>
          </cell>
        </row>
        <row r="80">
          <cell r="I80" t="str">
            <v>26남아공54Hirschs00ALL</v>
          </cell>
        </row>
        <row r="81">
          <cell r="I81" t="str">
            <v>26남아공54Hirschs06TV</v>
          </cell>
        </row>
        <row r="82">
          <cell r="I82" t="str">
            <v>26남아공54Hirschs06TV</v>
          </cell>
        </row>
        <row r="83">
          <cell r="I83" t="str">
            <v>26남아공54Hirschs09Mobile</v>
          </cell>
        </row>
        <row r="84">
          <cell r="I84" t="str">
            <v>27UAE55Lulu02WM</v>
          </cell>
        </row>
        <row r="85">
          <cell r="I85" t="str">
            <v>27UAE55Lulu09Mobile</v>
          </cell>
        </row>
        <row r="86">
          <cell r="I86" t="str">
            <v>28사우디56eXtra00ALL</v>
          </cell>
        </row>
        <row r="87">
          <cell r="I87" t="str">
            <v>28사우디56eXtra01REF</v>
          </cell>
        </row>
        <row r="88">
          <cell r="I88" t="str">
            <v>28사우디56eXtra02WM</v>
          </cell>
        </row>
        <row r="89">
          <cell r="I89" t="str">
            <v>28사우디56eXtra04MWO</v>
          </cell>
        </row>
        <row r="90">
          <cell r="I90" t="str">
            <v>28사우디56eXtra05AC</v>
          </cell>
        </row>
        <row r="91">
          <cell r="I91" t="str">
            <v>28사우디56eXtra06TV</v>
          </cell>
        </row>
        <row r="92">
          <cell r="I92" t="str">
            <v>28사우디56eXtra07AV</v>
          </cell>
        </row>
        <row r="93">
          <cell r="I93" t="str">
            <v>28사우디56eXtra09Mobile</v>
          </cell>
        </row>
      </sheetData>
      <sheetData sheetId="9">
        <row r="3">
          <cell r="I3" t="str">
            <v>Key Field</v>
          </cell>
        </row>
        <row r="4">
          <cell r="I4" t="str">
            <v>13멕시코36BBY00ALL</v>
          </cell>
        </row>
        <row r="5">
          <cell r="I5" t="str">
            <v>13멕시코36BBY07AV</v>
          </cell>
        </row>
        <row r="6">
          <cell r="I6" t="str">
            <v>13멕시코36BBY09Mobile</v>
          </cell>
        </row>
        <row r="7">
          <cell r="I7" t="str">
            <v>13멕시코36BBY05AC</v>
          </cell>
        </row>
        <row r="8">
          <cell r="I8" t="str">
            <v>13멕시코36BBY06TV</v>
          </cell>
        </row>
        <row r="9">
          <cell r="I9" t="str">
            <v>13멕시코36BBY08Monitor</v>
          </cell>
        </row>
        <row r="10">
          <cell r="I10" t="str">
            <v>13멕시코36BBY01REF</v>
          </cell>
        </row>
        <row r="11">
          <cell r="I11" t="str">
            <v>13멕시코36BBY02WM</v>
          </cell>
        </row>
        <row r="12">
          <cell r="I12" t="str">
            <v>13멕시코36BBY04MWO</v>
          </cell>
        </row>
        <row r="13">
          <cell r="I13" t="str">
            <v>13멕시코37Liverpool00ALL</v>
          </cell>
        </row>
        <row r="14">
          <cell r="I14" t="str">
            <v>13멕시코37Liverpool07AV</v>
          </cell>
        </row>
        <row r="15">
          <cell r="I15" t="str">
            <v>13멕시코37Liverpool09Mobile</v>
          </cell>
        </row>
        <row r="16">
          <cell r="I16" t="str">
            <v>13멕시코37Liverpool05AC</v>
          </cell>
        </row>
        <row r="17">
          <cell r="I17" t="str">
            <v>13멕시코37Liverpool06TV</v>
          </cell>
        </row>
        <row r="18">
          <cell r="I18" t="str">
            <v>13멕시코37Liverpool01REF</v>
          </cell>
        </row>
        <row r="19">
          <cell r="I19" t="str">
            <v>13멕시코37Liverpool02WM</v>
          </cell>
        </row>
        <row r="20">
          <cell r="I20" t="str">
            <v>13멕시코37Liverpool04MWO</v>
          </cell>
        </row>
        <row r="21">
          <cell r="I21" t="str">
            <v>18대만43Momo09Mobile</v>
          </cell>
        </row>
        <row r="22">
          <cell r="I22" t="str">
            <v>18대만43Momo05AC</v>
          </cell>
        </row>
        <row r="23">
          <cell r="I23" t="str">
            <v>18대만43Momo06TV</v>
          </cell>
        </row>
        <row r="24">
          <cell r="I24" t="str">
            <v>18대만43Momo08Monitor</v>
          </cell>
        </row>
        <row r="25">
          <cell r="I25" t="str">
            <v>18대만43Momo01REF</v>
          </cell>
        </row>
        <row r="26">
          <cell r="I26" t="str">
            <v>18대만43Momo02WM</v>
          </cell>
        </row>
        <row r="27">
          <cell r="I27" t="str">
            <v>18대만43Momo03Vacuum</v>
          </cell>
        </row>
        <row r="28">
          <cell r="I28" t="str">
            <v>19베트남44N/Kim07AV</v>
          </cell>
        </row>
        <row r="29">
          <cell r="I29" t="str">
            <v>19베트남44N/Kim09Mobile</v>
          </cell>
        </row>
        <row r="30">
          <cell r="I30" t="str">
            <v>19베트남44N/Kim05AC</v>
          </cell>
        </row>
        <row r="31">
          <cell r="I31" t="str">
            <v>19베트남44N/Kim06TV</v>
          </cell>
        </row>
        <row r="32">
          <cell r="I32" t="str">
            <v>19베트남44N/Kim08Monitor</v>
          </cell>
        </row>
        <row r="33">
          <cell r="I33" t="str">
            <v>19베트남44N/Kim01REF</v>
          </cell>
        </row>
        <row r="34">
          <cell r="I34" t="str">
            <v>19베트남44N/Kim02WM</v>
          </cell>
        </row>
        <row r="35">
          <cell r="I35" t="str">
            <v>19베트남44N/Kim04MWO</v>
          </cell>
        </row>
        <row r="36">
          <cell r="I36" t="str">
            <v>19베트남44N/Kim03Vacuum</v>
          </cell>
        </row>
        <row r="37">
          <cell r="I37" t="str">
            <v>21인도네시아46Hartono07AV</v>
          </cell>
        </row>
        <row r="38">
          <cell r="I38" t="str">
            <v>21인도네시아46Hartono09Mobile</v>
          </cell>
        </row>
        <row r="39">
          <cell r="I39" t="str">
            <v>21인도네시아46Hartono05AC</v>
          </cell>
        </row>
        <row r="40">
          <cell r="I40" t="str">
            <v>21인도네시아46Hartono06TV</v>
          </cell>
        </row>
        <row r="41">
          <cell r="I41" t="str">
            <v>21인도네시아46Hartono08Monitor</v>
          </cell>
        </row>
        <row r="42">
          <cell r="I42" t="str">
            <v>21인도네시아46Hartono01REF</v>
          </cell>
        </row>
        <row r="43">
          <cell r="I43" t="str">
            <v>21인도네시아46Hartono02WM</v>
          </cell>
        </row>
        <row r="44">
          <cell r="I44" t="str">
            <v>21인도네시아46Hartono04MWO</v>
          </cell>
        </row>
        <row r="45">
          <cell r="I45" t="str">
            <v>21인도네시아46Hartono03Vacuum</v>
          </cell>
        </row>
        <row r="46">
          <cell r="I46" t="str">
            <v>17호주41Harvey Norman00ALL</v>
          </cell>
        </row>
        <row r="47">
          <cell r="I47" t="str">
            <v>17호주41Harvey Norman07AV</v>
          </cell>
        </row>
        <row r="48">
          <cell r="I48" t="str">
            <v>17호주41Harvey Norman09Mobile</v>
          </cell>
        </row>
        <row r="49">
          <cell r="I49" t="str">
            <v>17호주41Harvey Norman06TV</v>
          </cell>
        </row>
        <row r="50">
          <cell r="I50" t="str">
            <v>17호주41Harvey Norman08Monitor</v>
          </cell>
        </row>
        <row r="51">
          <cell r="I51" t="str">
            <v>17호주41Harvey Norman01REF</v>
          </cell>
        </row>
        <row r="52">
          <cell r="I52" t="str">
            <v>17호주41Harvey Norman02WM</v>
          </cell>
        </row>
        <row r="53">
          <cell r="I53" t="str">
            <v>17호주41Harvey Norman04MWO</v>
          </cell>
        </row>
        <row r="54">
          <cell r="I54" t="str">
            <v>17호주41Harvey Norman03Vacuum</v>
          </cell>
        </row>
        <row r="55">
          <cell r="I55" t="str">
            <v>17호주42GoodGuys00ALL</v>
          </cell>
        </row>
        <row r="56">
          <cell r="I56" t="str">
            <v>17호주42GoodGuys07AV</v>
          </cell>
        </row>
        <row r="57">
          <cell r="I57" t="str">
            <v>17호주42GoodGuys09Mobile</v>
          </cell>
        </row>
        <row r="58">
          <cell r="I58" t="str">
            <v>17호주42GoodGuys05AC</v>
          </cell>
        </row>
        <row r="59">
          <cell r="I59" t="str">
            <v>17호주42GoodGuys06TV</v>
          </cell>
        </row>
        <row r="60">
          <cell r="I60" t="str">
            <v>17호주42GoodGuys01REF</v>
          </cell>
        </row>
        <row r="61">
          <cell r="I61" t="str">
            <v>17호주42GoodGuys02WM</v>
          </cell>
        </row>
        <row r="62">
          <cell r="I62" t="str">
            <v>17호주42GoodGuys04MWO</v>
          </cell>
        </row>
        <row r="63">
          <cell r="I63" t="str">
            <v>17호주42GoodGuys03Vacuum</v>
          </cell>
        </row>
        <row r="64">
          <cell r="I64" t="str">
            <v>20싱가포르45Gain city07AV</v>
          </cell>
        </row>
        <row r="65">
          <cell r="I65" t="str">
            <v>20싱가포르45Gain city09Mobile</v>
          </cell>
        </row>
        <row r="66">
          <cell r="I66" t="str">
            <v>20싱가포르45Gain city05AC</v>
          </cell>
        </row>
        <row r="67">
          <cell r="I67" t="str">
            <v>20싱가포르45Gain city06TV</v>
          </cell>
        </row>
        <row r="68">
          <cell r="I68" t="str">
            <v>20싱가포르45Gain city08Monitor</v>
          </cell>
        </row>
        <row r="69">
          <cell r="I69" t="str">
            <v>20싱가포르45Gain city01REF</v>
          </cell>
        </row>
        <row r="70">
          <cell r="I70" t="str">
            <v>20싱가포르45Gain city02WM</v>
          </cell>
        </row>
        <row r="71">
          <cell r="I71" t="str">
            <v>20싱가포르45Gain city04MWO</v>
          </cell>
        </row>
        <row r="72">
          <cell r="I72" t="str">
            <v>20싱가포르45Gain city03Vacuum</v>
          </cell>
        </row>
        <row r="73">
          <cell r="I73" t="str">
            <v>23필리핀48Abenson07AV</v>
          </cell>
        </row>
        <row r="74">
          <cell r="I74" t="str">
            <v>23필리핀48Abenson09Mobile</v>
          </cell>
        </row>
        <row r="75">
          <cell r="I75" t="str">
            <v>23필리핀48Abenson05AC</v>
          </cell>
        </row>
        <row r="76">
          <cell r="I76" t="str">
            <v>23필리핀48Abenson06TV</v>
          </cell>
        </row>
        <row r="77">
          <cell r="I77" t="str">
            <v>23필리핀48Abenson01REF</v>
          </cell>
        </row>
        <row r="78">
          <cell r="I78" t="str">
            <v>23필리핀48Abenson02WM</v>
          </cell>
        </row>
        <row r="79">
          <cell r="I79" t="str">
            <v>26남아공54Hirschs00ALL</v>
          </cell>
        </row>
        <row r="80">
          <cell r="I80" t="str">
            <v>27UAE55Lulu07AV</v>
          </cell>
        </row>
        <row r="81">
          <cell r="I81" t="str">
            <v>27UAE55Lulu09Mobile</v>
          </cell>
        </row>
        <row r="82">
          <cell r="I82" t="str">
            <v>27UAE55Lulu05AC</v>
          </cell>
        </row>
        <row r="83">
          <cell r="I83" t="str">
            <v>27UAE55Lulu06TV</v>
          </cell>
        </row>
        <row r="84">
          <cell r="I84" t="str">
            <v>27UAE55Lulu01REF</v>
          </cell>
        </row>
        <row r="85">
          <cell r="I85" t="str">
            <v>27UAE55Lulu02WM</v>
          </cell>
        </row>
        <row r="86">
          <cell r="I86" t="str">
            <v>27UAE55Lulu04MWO</v>
          </cell>
        </row>
        <row r="87">
          <cell r="I87" t="str">
            <v>27UAE55Lulu03Vacuum</v>
          </cell>
        </row>
        <row r="88">
          <cell r="I88" t="str">
            <v>22태국47Power Buy00ALL</v>
          </cell>
        </row>
        <row r="89">
          <cell r="I89" t="str">
            <v>22태국47Power Buy07AV</v>
          </cell>
        </row>
        <row r="90">
          <cell r="I90" t="str">
            <v>22태국47Power Buy05AC</v>
          </cell>
        </row>
        <row r="91">
          <cell r="I91" t="str">
            <v>22태국47Power Buy06TV</v>
          </cell>
        </row>
        <row r="92">
          <cell r="I92" t="str">
            <v>22태국47Power Buy08Monitor</v>
          </cell>
        </row>
        <row r="93">
          <cell r="I93" t="str">
            <v>22태국47Power Buy01REF</v>
          </cell>
        </row>
        <row r="94">
          <cell r="I94" t="str">
            <v>22태국47Power Buy02WM</v>
          </cell>
        </row>
        <row r="95">
          <cell r="I95" t="str">
            <v>22태국47Power Buy03Vacuum</v>
          </cell>
        </row>
        <row r="96">
          <cell r="I96" t="str">
            <v>28사우디56eXtra00ALL</v>
          </cell>
        </row>
        <row r="97">
          <cell r="I97" t="str">
            <v>28사우디56eXtra01REF</v>
          </cell>
        </row>
        <row r="98">
          <cell r="I98" t="str">
            <v>28사우디56eXtra02WM</v>
          </cell>
        </row>
        <row r="99">
          <cell r="I99" t="str">
            <v>28사우디56eXtra03Vacuum</v>
          </cell>
        </row>
        <row r="100">
          <cell r="I100" t="str">
            <v>28사우디56eXtra04MWO</v>
          </cell>
        </row>
        <row r="101">
          <cell r="I101" t="str">
            <v>28사우디56eXtra05AC</v>
          </cell>
        </row>
        <row r="102">
          <cell r="I102" t="str">
            <v>28사우디56eXtra06TV</v>
          </cell>
        </row>
        <row r="103">
          <cell r="I103" t="str">
            <v>28사우디56eXtra07AV</v>
          </cell>
        </row>
        <row r="104">
          <cell r="I104" t="str">
            <v>28사우디56eXtra09Mobile</v>
          </cell>
        </row>
      </sheetData>
      <sheetData sheetId="10">
        <row r="2">
          <cell r="H2" t="str">
            <v>Key Field</v>
          </cell>
        </row>
        <row r="3">
          <cell r="H3" t="str">
            <v>13멕시코36BBY01REF</v>
          </cell>
        </row>
        <row r="4">
          <cell r="H4" t="str">
            <v>13멕시코36BBY02WM</v>
          </cell>
        </row>
        <row r="5">
          <cell r="H5" t="str">
            <v>13멕시코36BBY04MWO</v>
          </cell>
        </row>
        <row r="6">
          <cell r="H6" t="str">
            <v>13멕시코36BBY05AC</v>
          </cell>
        </row>
        <row r="7">
          <cell r="H7" t="str">
            <v>13멕시코36BBY06tv</v>
          </cell>
        </row>
        <row r="8">
          <cell r="H8" t="str">
            <v>13멕시코36BBY07AV</v>
          </cell>
        </row>
        <row r="9">
          <cell r="H9" t="str">
            <v>13멕시코36BBY08Monitor</v>
          </cell>
        </row>
        <row r="10">
          <cell r="H10" t="str">
            <v>13멕시코36BBY09Mobile</v>
          </cell>
        </row>
        <row r="11">
          <cell r="H11" t="str">
            <v>13멕시코37Liverpool01REF</v>
          </cell>
        </row>
        <row r="12">
          <cell r="H12" t="str">
            <v>13멕시코37Liverpool02WM</v>
          </cell>
        </row>
        <row r="13">
          <cell r="H13" t="str">
            <v>13멕시코37Liverpool04MWO</v>
          </cell>
        </row>
        <row r="14">
          <cell r="H14" t="str">
            <v>13멕시코37Liverpool05AC</v>
          </cell>
        </row>
        <row r="15">
          <cell r="H15" t="str">
            <v>13멕시코37Liverpool06tv</v>
          </cell>
        </row>
        <row r="16">
          <cell r="H16" t="str">
            <v>13멕시코37Liverpool07AV</v>
          </cell>
        </row>
        <row r="17">
          <cell r="H17" t="str">
            <v>13멕시코37Liverpool09Mobile</v>
          </cell>
        </row>
        <row r="18">
          <cell r="H18" t="str">
            <v>17호주41Harvey Norman01REF</v>
          </cell>
        </row>
        <row r="19">
          <cell r="H19" t="str">
            <v>17호주41Harvey Norman02WM</v>
          </cell>
        </row>
        <row r="20">
          <cell r="H20" t="str">
            <v>17호주41Harvey Norman03Vacuum</v>
          </cell>
        </row>
        <row r="21">
          <cell r="H21" t="str">
            <v>17호주41Harvey Norman04MWO</v>
          </cell>
        </row>
        <row r="22">
          <cell r="H22" t="str">
            <v>17호주41Harvey Norman06tv</v>
          </cell>
        </row>
        <row r="23">
          <cell r="H23" t="str">
            <v>17호주41Harvey Norman07AV</v>
          </cell>
        </row>
        <row r="24">
          <cell r="H24" t="str">
            <v>17호주41Harvey Norman08Monitor</v>
          </cell>
        </row>
        <row r="25">
          <cell r="H25" t="str">
            <v>17호주41Harvey Norman09Mobile</v>
          </cell>
        </row>
        <row r="26">
          <cell r="H26" t="str">
            <v>17호주42GoodGuys01REF</v>
          </cell>
        </row>
        <row r="27">
          <cell r="H27" t="str">
            <v>17호주42GoodGuys02WM</v>
          </cell>
        </row>
        <row r="28">
          <cell r="H28" t="str">
            <v>17호주42GoodGuys03Vacuum</v>
          </cell>
        </row>
        <row r="29">
          <cell r="H29" t="str">
            <v>17호주42GoodGuys04MWO</v>
          </cell>
        </row>
        <row r="30">
          <cell r="H30" t="str">
            <v>17호주42GoodGuys05AC</v>
          </cell>
        </row>
        <row r="31">
          <cell r="H31" t="str">
            <v>17호주42GoodGuys06tv</v>
          </cell>
        </row>
        <row r="32">
          <cell r="H32" t="str">
            <v>17호주42GoodGuys07AV</v>
          </cell>
        </row>
        <row r="33">
          <cell r="H33" t="str">
            <v>18대만43Momo01REF</v>
          </cell>
        </row>
        <row r="34">
          <cell r="H34" t="str">
            <v>18대만43Momo02WM</v>
          </cell>
        </row>
        <row r="35">
          <cell r="H35" t="str">
            <v>18대만43Momo03Vacuum</v>
          </cell>
        </row>
        <row r="36">
          <cell r="H36" t="str">
            <v>18대만43Momo05AC</v>
          </cell>
        </row>
        <row r="37">
          <cell r="H37" t="str">
            <v>18대만43Momo06tv</v>
          </cell>
        </row>
        <row r="38">
          <cell r="H38" t="str">
            <v>18대만43Momo08Monitor</v>
          </cell>
        </row>
        <row r="39">
          <cell r="H39" t="str">
            <v>18대만43Momo09Mobile</v>
          </cell>
        </row>
        <row r="40">
          <cell r="H40" t="str">
            <v>19베트남44N/Kim01REF</v>
          </cell>
        </row>
        <row r="41">
          <cell r="H41" t="str">
            <v>19베트남44N/Kim02WM</v>
          </cell>
        </row>
        <row r="42">
          <cell r="H42" t="str">
            <v>19베트남44N/Kim03Vacuum</v>
          </cell>
        </row>
        <row r="43">
          <cell r="H43" t="str">
            <v>19베트남44N/Kim04MWO</v>
          </cell>
        </row>
        <row r="44">
          <cell r="H44" t="str">
            <v>19베트남44N/Kim05AC</v>
          </cell>
        </row>
        <row r="45">
          <cell r="H45" t="str">
            <v>19베트남44N/Kim06tv</v>
          </cell>
        </row>
        <row r="46">
          <cell r="H46" t="str">
            <v>19베트남44N/Kim07AV</v>
          </cell>
        </row>
        <row r="47">
          <cell r="H47" t="str">
            <v>19베트남44N/Kim08Monitor</v>
          </cell>
        </row>
        <row r="48">
          <cell r="H48" t="str">
            <v>20싱가포르45Gain city01REF</v>
          </cell>
        </row>
        <row r="49">
          <cell r="H49" t="str">
            <v>20싱가포르45Gain city02WM</v>
          </cell>
        </row>
        <row r="50">
          <cell r="H50" t="str">
            <v>20싱가포르45Gain city03Vacuum</v>
          </cell>
        </row>
        <row r="51">
          <cell r="H51" t="str">
            <v>20싱가포르45Gain city04MWO</v>
          </cell>
        </row>
        <row r="52">
          <cell r="H52" t="str">
            <v>20싱가포르45Gain city05AC</v>
          </cell>
        </row>
        <row r="53">
          <cell r="H53" t="str">
            <v>20싱가포르45Gain city06tv</v>
          </cell>
        </row>
        <row r="54">
          <cell r="H54" t="str">
            <v>20싱가포르45Gain city07AV</v>
          </cell>
        </row>
        <row r="55">
          <cell r="H55" t="str">
            <v>20싱가포르45Gain city08Monitor</v>
          </cell>
        </row>
        <row r="56">
          <cell r="H56" t="str">
            <v>21인도네시아46Hartono01REF</v>
          </cell>
        </row>
        <row r="57">
          <cell r="H57" t="str">
            <v>21인도네시아46Hartono02WM</v>
          </cell>
        </row>
        <row r="58">
          <cell r="H58" t="str">
            <v>21인도네시아46Hartono03Vacuum</v>
          </cell>
        </row>
        <row r="59">
          <cell r="H59" t="str">
            <v>21인도네시아46Hartono04MWO</v>
          </cell>
        </row>
        <row r="60">
          <cell r="H60" t="str">
            <v>21인도네시아46Hartono05AC</v>
          </cell>
        </row>
        <row r="61">
          <cell r="H61" t="str">
            <v>21인도네시아46Hartono06tv</v>
          </cell>
        </row>
        <row r="62">
          <cell r="H62" t="str">
            <v>21인도네시아46Hartono07AV</v>
          </cell>
        </row>
        <row r="63">
          <cell r="H63" t="str">
            <v>21인도네시아46Hartono08Monitor</v>
          </cell>
        </row>
        <row r="64">
          <cell r="H64" t="str">
            <v>21인도네시아46Hartono09Mobile</v>
          </cell>
        </row>
        <row r="65">
          <cell r="H65" t="str">
            <v>23필리핀48Abenson01REF</v>
          </cell>
        </row>
        <row r="66">
          <cell r="H66" t="str">
            <v>23필리핀48Abenson02WM</v>
          </cell>
        </row>
        <row r="67">
          <cell r="H67" t="str">
            <v>23필리핀48Abenson05AC</v>
          </cell>
        </row>
        <row r="68">
          <cell r="H68" t="str">
            <v>23필리핀48Abenson06tv</v>
          </cell>
        </row>
        <row r="69">
          <cell r="H69" t="str">
            <v>23필리핀48Abenson07AV</v>
          </cell>
        </row>
        <row r="70">
          <cell r="H70" t="str">
            <v>23필리핀48Abenson09Mobile</v>
          </cell>
        </row>
        <row r="71">
          <cell r="H71" t="str">
            <v>26남아공53Makro01REF</v>
          </cell>
        </row>
        <row r="72">
          <cell r="H72" t="str">
            <v>26남아공53Makro02WM</v>
          </cell>
        </row>
        <row r="73">
          <cell r="H73" t="str">
            <v>26남아공53Makro03Vacuum</v>
          </cell>
        </row>
        <row r="74">
          <cell r="H74" t="str">
            <v>26남아공53Makro04MWO</v>
          </cell>
        </row>
        <row r="75">
          <cell r="H75" t="str">
            <v>26남아공53Makro05AC</v>
          </cell>
        </row>
        <row r="76">
          <cell r="H76" t="str">
            <v>26남아공53Makro06tv</v>
          </cell>
        </row>
        <row r="77">
          <cell r="H77" t="str">
            <v>26남아공53Makro07AV</v>
          </cell>
        </row>
        <row r="78">
          <cell r="H78" t="str">
            <v>26남아공53Makro08Monitor</v>
          </cell>
        </row>
        <row r="79">
          <cell r="H79" t="str">
            <v>26남아공53Makro09Mobile</v>
          </cell>
        </row>
        <row r="80">
          <cell r="H80" t="str">
            <v>26남아공54Hirschs01REF</v>
          </cell>
        </row>
        <row r="81">
          <cell r="H81" t="str">
            <v>26남아공54Hirschs02WM</v>
          </cell>
        </row>
        <row r="82">
          <cell r="H82" t="str">
            <v>26남아공54Hirschs03Vacuum</v>
          </cell>
        </row>
        <row r="83">
          <cell r="H83" t="str">
            <v>26남아공54Hirschs04MWO</v>
          </cell>
        </row>
        <row r="84">
          <cell r="H84" t="str">
            <v>26남아공54Hirschs05AC</v>
          </cell>
        </row>
        <row r="85">
          <cell r="H85" t="str">
            <v>26남아공54Hirschs06tv</v>
          </cell>
        </row>
        <row r="86">
          <cell r="H86" t="str">
            <v>26남아공54Hirschs07AV</v>
          </cell>
        </row>
        <row r="87">
          <cell r="H87" t="str">
            <v>26남아공54Hirschs09Mobile</v>
          </cell>
        </row>
        <row r="88">
          <cell r="H88" t="str">
            <v>27UAE55Lulu01REF</v>
          </cell>
        </row>
        <row r="89">
          <cell r="H89" t="str">
            <v>27UAE55Lulu02WM</v>
          </cell>
        </row>
        <row r="90">
          <cell r="H90" t="str">
            <v>27UAE55Lulu03Vacuum</v>
          </cell>
        </row>
        <row r="91">
          <cell r="H91" t="str">
            <v>27UAE55Lulu04MWO</v>
          </cell>
        </row>
        <row r="92">
          <cell r="H92" t="str">
            <v>27UAE55Lulu05AC</v>
          </cell>
        </row>
        <row r="93">
          <cell r="H93" t="str">
            <v>27UAE55Lulu06tv</v>
          </cell>
        </row>
        <row r="94">
          <cell r="H94" t="str">
            <v>27UAE55Lulu07AV</v>
          </cell>
        </row>
        <row r="95">
          <cell r="H95" t="str">
            <v>27UAE55Lulu09Mobile</v>
          </cell>
        </row>
        <row r="96">
          <cell r="H96" t="str">
            <v>22태국47Power Buy01REF</v>
          </cell>
        </row>
        <row r="97">
          <cell r="H97" t="str">
            <v>22태국47Power Buy02WM</v>
          </cell>
        </row>
        <row r="98">
          <cell r="H98" t="str">
            <v>22태국47Power Buy03Vacuum</v>
          </cell>
        </row>
        <row r="99">
          <cell r="H99" t="str">
            <v>22태국47Power Buy05AC</v>
          </cell>
        </row>
        <row r="100">
          <cell r="H100" t="str">
            <v>22태국47Power Buy06tv</v>
          </cell>
        </row>
        <row r="101">
          <cell r="H101" t="str">
            <v>22태국47Power Buy07AV</v>
          </cell>
        </row>
        <row r="102">
          <cell r="H102" t="str">
            <v>22태국47Power Buy08Monitor</v>
          </cell>
        </row>
        <row r="103">
          <cell r="H103" t="str">
            <v>28사우디56eXtra01REF</v>
          </cell>
        </row>
        <row r="104">
          <cell r="H104" t="str">
            <v>28사우디56eXtra02WM</v>
          </cell>
        </row>
        <row r="105">
          <cell r="H105" t="str">
            <v>28사우디56eXtra04MWO</v>
          </cell>
        </row>
        <row r="106">
          <cell r="H106" t="str">
            <v>28사우디56eXtra05AC</v>
          </cell>
        </row>
        <row r="107">
          <cell r="H107" t="str">
            <v>28사우디56eXtra06tv</v>
          </cell>
        </row>
        <row r="108">
          <cell r="H108" t="str">
            <v>28사우디56eXtra07AV</v>
          </cell>
        </row>
        <row r="109">
          <cell r="H109" t="str">
            <v>28사우디56eXtra09Mobile</v>
          </cell>
        </row>
      </sheetData>
      <sheetData sheetId="11">
        <row r="2">
          <cell r="J2" t="str">
            <v>Key Field</v>
          </cell>
        </row>
        <row r="3">
          <cell r="J3" t="str">
            <v>13멕시코36BBY01REF</v>
          </cell>
        </row>
        <row r="4">
          <cell r="J4" t="str">
            <v>13멕시코36BBY02WM</v>
          </cell>
        </row>
        <row r="5">
          <cell r="J5" t="str">
            <v>13멕시코36BBY03Vacuum</v>
          </cell>
        </row>
        <row r="6">
          <cell r="J6" t="str">
            <v>13멕시코36BBY04MWO</v>
          </cell>
        </row>
        <row r="7">
          <cell r="J7" t="str">
            <v>13멕시코36BBY05AC</v>
          </cell>
        </row>
        <row r="8">
          <cell r="J8" t="str">
            <v>13멕시코36BBY06TV</v>
          </cell>
        </row>
        <row r="9">
          <cell r="J9" t="str">
            <v>13멕시코36BBY07AV</v>
          </cell>
        </row>
        <row r="10">
          <cell r="J10" t="str">
            <v>13멕시코36BBY08Monitor</v>
          </cell>
        </row>
        <row r="11">
          <cell r="J11" t="str">
            <v>13멕시코36BBY09Mobile</v>
          </cell>
        </row>
        <row r="12">
          <cell r="J12" t="str">
            <v>13멕시코37Liverpool01REF</v>
          </cell>
        </row>
        <row r="13">
          <cell r="J13" t="str">
            <v>13멕시코37Liverpool02WM</v>
          </cell>
        </row>
        <row r="14">
          <cell r="J14" t="str">
            <v>13멕시코37Liverpool03Vacuum</v>
          </cell>
        </row>
        <row r="15">
          <cell r="J15" t="str">
            <v>13멕시코37Liverpool04MWO</v>
          </cell>
        </row>
        <row r="16">
          <cell r="J16" t="str">
            <v>13멕시코37Liverpool05AC</v>
          </cell>
        </row>
        <row r="17">
          <cell r="J17" t="str">
            <v>13멕시코37Liverpool06TV</v>
          </cell>
        </row>
        <row r="18">
          <cell r="J18" t="str">
            <v>13멕시코37Liverpool07AV</v>
          </cell>
        </row>
        <row r="19">
          <cell r="J19" t="str">
            <v>13멕시코37Liverpool08Monitor</v>
          </cell>
        </row>
        <row r="20">
          <cell r="J20" t="str">
            <v>13멕시코37Liverpool09Mobile</v>
          </cell>
        </row>
        <row r="21">
          <cell r="J21" t="str">
            <v>17호주41Harvey Norman01REF</v>
          </cell>
        </row>
        <row r="22">
          <cell r="J22" t="str">
            <v>17호주41Harvey Norman02WM</v>
          </cell>
        </row>
        <row r="23">
          <cell r="J23" t="str">
            <v>17호주41Harvey Norman03Vacuum</v>
          </cell>
        </row>
        <row r="24">
          <cell r="J24" t="str">
            <v>17호주41Harvey Norman04MWO</v>
          </cell>
        </row>
        <row r="25">
          <cell r="J25" t="str">
            <v>17호주41Harvey Norman05AC</v>
          </cell>
        </row>
        <row r="26">
          <cell r="J26" t="str">
            <v>17호주41Harvey Norman06TV</v>
          </cell>
        </row>
        <row r="27">
          <cell r="J27" t="str">
            <v>17호주41Harvey Norman07AV</v>
          </cell>
        </row>
        <row r="28">
          <cell r="J28" t="str">
            <v>17호주41Harvey Norman08Monitor</v>
          </cell>
        </row>
        <row r="29">
          <cell r="J29" t="str">
            <v>17호주41Harvey Norman09Mobile</v>
          </cell>
        </row>
        <row r="30">
          <cell r="J30" t="str">
            <v>17호주42GoodGuys01REF</v>
          </cell>
        </row>
        <row r="31">
          <cell r="J31" t="str">
            <v>17호주42GoodGuys02WM</v>
          </cell>
        </row>
        <row r="32">
          <cell r="J32" t="str">
            <v>17호주42GoodGuys03Vacuum</v>
          </cell>
        </row>
        <row r="33">
          <cell r="J33" t="str">
            <v>17호주42GoodGuys04MWO</v>
          </cell>
        </row>
        <row r="34">
          <cell r="J34" t="str">
            <v>17호주42GoodGuys05AC</v>
          </cell>
        </row>
        <row r="35">
          <cell r="J35" t="str">
            <v>17호주42GoodGuys06TV</v>
          </cell>
        </row>
        <row r="36">
          <cell r="J36" t="str">
            <v>17호주42GoodGuys07AV</v>
          </cell>
        </row>
        <row r="37">
          <cell r="J37" t="str">
            <v>17호주42GoodGuys08Monitor</v>
          </cell>
        </row>
        <row r="38">
          <cell r="J38" t="str">
            <v>17호주42GoodGuys09Mobile</v>
          </cell>
        </row>
        <row r="39">
          <cell r="J39" t="str">
            <v>18대만43Momo01REF</v>
          </cell>
        </row>
        <row r="40">
          <cell r="J40" t="str">
            <v>18대만43Momo02WM</v>
          </cell>
        </row>
        <row r="41">
          <cell r="J41" t="str">
            <v>18대만43Momo03Vacuum</v>
          </cell>
        </row>
        <row r="42">
          <cell r="J42" t="str">
            <v>18대만43Momo04MWO</v>
          </cell>
        </row>
        <row r="43">
          <cell r="J43" t="str">
            <v>18대만43Momo06TV</v>
          </cell>
        </row>
        <row r="44">
          <cell r="J44" t="str">
            <v>18대만43Momo07AV</v>
          </cell>
        </row>
        <row r="45">
          <cell r="J45" t="str">
            <v>18대만43Momo08Monitor</v>
          </cell>
        </row>
        <row r="46">
          <cell r="J46" t="str">
            <v>18대만43Momo09Mobile</v>
          </cell>
        </row>
        <row r="47">
          <cell r="J47" t="str">
            <v>19베트남44N/Kim01REF</v>
          </cell>
        </row>
        <row r="48">
          <cell r="J48" t="str">
            <v>19베트남44N/Kim02WM</v>
          </cell>
        </row>
        <row r="49">
          <cell r="J49" t="str">
            <v>19베트남44N/Kim03Vacuum</v>
          </cell>
        </row>
        <row r="50">
          <cell r="J50" t="str">
            <v>19베트남44N/Kim04MWO</v>
          </cell>
        </row>
        <row r="51">
          <cell r="J51" t="str">
            <v>19베트남44N/Kim05AC</v>
          </cell>
        </row>
        <row r="52">
          <cell r="J52" t="str">
            <v>19베트남44N/Kim06TV</v>
          </cell>
        </row>
        <row r="53">
          <cell r="J53" t="str">
            <v>19베트남44N/Kim07AV</v>
          </cell>
        </row>
        <row r="54">
          <cell r="J54" t="str">
            <v>19베트남44N/Kim08Monitor</v>
          </cell>
        </row>
        <row r="55">
          <cell r="J55" t="str">
            <v>19베트남44N/Kim09Mobile</v>
          </cell>
        </row>
        <row r="56">
          <cell r="J56" t="str">
            <v>20싱가포르45Gain city01REF</v>
          </cell>
        </row>
        <row r="57">
          <cell r="J57" t="str">
            <v>20싱가포르45Gain city02WM</v>
          </cell>
        </row>
        <row r="58">
          <cell r="J58" t="str">
            <v>20싱가포르45Gain city03Vacuum</v>
          </cell>
        </row>
        <row r="59">
          <cell r="J59" t="str">
            <v>20싱가포르45Gain city04MWO</v>
          </cell>
        </row>
        <row r="60">
          <cell r="J60" t="str">
            <v>20싱가포르45Gain city05AC</v>
          </cell>
        </row>
        <row r="61">
          <cell r="J61" t="str">
            <v>20싱가포르45Gain city07AV</v>
          </cell>
        </row>
        <row r="62">
          <cell r="J62" t="str">
            <v>20싱가포르45Gain city08Monitor</v>
          </cell>
        </row>
        <row r="63">
          <cell r="J63" t="str">
            <v>21인도네시아46Hartono01REF</v>
          </cell>
        </row>
        <row r="64">
          <cell r="J64" t="str">
            <v>21인도네시아46Hartono02WM</v>
          </cell>
        </row>
        <row r="65">
          <cell r="J65" t="str">
            <v>21인도네시아46Hartono04MWO</v>
          </cell>
        </row>
        <row r="66">
          <cell r="J66" t="str">
            <v>21인도네시아46Hartono05AC</v>
          </cell>
        </row>
        <row r="67">
          <cell r="J67" t="str">
            <v>21인도네시아46Hartono06TV</v>
          </cell>
        </row>
        <row r="68">
          <cell r="J68" t="str">
            <v>21인도네시아46Hartono07AV</v>
          </cell>
        </row>
        <row r="69">
          <cell r="J69" t="str">
            <v>21인도네시아46Hartono08Monitor</v>
          </cell>
        </row>
        <row r="70">
          <cell r="J70" t="str">
            <v>21인도네시아46Hartono09Mobile</v>
          </cell>
        </row>
        <row r="71">
          <cell r="J71" t="str">
            <v>22태국47Power Buy01REF</v>
          </cell>
        </row>
        <row r="72">
          <cell r="J72" t="str">
            <v>22태국47Power Buy02WM</v>
          </cell>
        </row>
        <row r="73">
          <cell r="J73" t="str">
            <v>22태국47Power Buy03Vacuum</v>
          </cell>
        </row>
        <row r="74">
          <cell r="J74" t="str">
            <v>22태국47Power Buy04MWO</v>
          </cell>
        </row>
        <row r="75">
          <cell r="J75" t="str">
            <v>22태국47Power Buy05AC</v>
          </cell>
        </row>
        <row r="76">
          <cell r="J76" t="str">
            <v>22태국47Power Buy06TV</v>
          </cell>
        </row>
        <row r="77">
          <cell r="J77" t="str">
            <v>22태국47Power Buy07AV</v>
          </cell>
        </row>
        <row r="78">
          <cell r="J78" t="str">
            <v>22태국47Power Buy08Monitor</v>
          </cell>
        </row>
        <row r="79">
          <cell r="J79" t="str">
            <v>23필리핀48Abenson01REF</v>
          </cell>
        </row>
        <row r="80">
          <cell r="J80" t="str">
            <v>23필리핀48Abenson02WM</v>
          </cell>
        </row>
        <row r="81">
          <cell r="J81" t="str">
            <v>23필리핀48Abenson03Vacuum</v>
          </cell>
        </row>
        <row r="82">
          <cell r="J82" t="str">
            <v>23필리핀48Abenson04MWO</v>
          </cell>
        </row>
        <row r="83">
          <cell r="J83" t="str">
            <v>23필리핀48Abenson05AC</v>
          </cell>
        </row>
        <row r="84">
          <cell r="J84" t="str">
            <v>23필리핀48Abenson06TV</v>
          </cell>
        </row>
        <row r="85">
          <cell r="J85" t="str">
            <v>23필리핀48Abenson07AV</v>
          </cell>
        </row>
        <row r="86">
          <cell r="J86" t="str">
            <v>23필리핀48Abenson08Monitor</v>
          </cell>
        </row>
        <row r="87">
          <cell r="J87" t="str">
            <v>23필리핀48Abenson09Mobile</v>
          </cell>
        </row>
        <row r="88">
          <cell r="J88" t="str">
            <v>26남아공53Makro01REF</v>
          </cell>
        </row>
        <row r="89">
          <cell r="J89" t="str">
            <v>26남아공53Makro02WM</v>
          </cell>
        </row>
        <row r="90">
          <cell r="J90" t="str">
            <v>26남아공53Makro03Vacuum</v>
          </cell>
        </row>
        <row r="91">
          <cell r="J91" t="str">
            <v>26남아공53Makro04MWO</v>
          </cell>
        </row>
        <row r="92">
          <cell r="J92" t="str">
            <v>26남아공53Makro05AC</v>
          </cell>
        </row>
        <row r="93">
          <cell r="J93" t="str">
            <v>26남아공53Makro06TV</v>
          </cell>
        </row>
        <row r="94">
          <cell r="J94" t="str">
            <v>26남아공53Makro07AV</v>
          </cell>
        </row>
        <row r="95">
          <cell r="J95" t="str">
            <v>26남아공53Makro08Monitor</v>
          </cell>
        </row>
        <row r="96">
          <cell r="J96" t="str">
            <v>26남아공53Makro09Mobile</v>
          </cell>
        </row>
        <row r="97">
          <cell r="J97" t="str">
            <v>26남아공54Hirschs01REF</v>
          </cell>
        </row>
        <row r="98">
          <cell r="J98" t="str">
            <v>26남아공54Hirschs02WM</v>
          </cell>
        </row>
        <row r="99">
          <cell r="J99" t="str">
            <v>26남아공54Hirschs03Vacuum</v>
          </cell>
        </row>
        <row r="100">
          <cell r="J100" t="str">
            <v>26남아공54Hirschs04MWO</v>
          </cell>
        </row>
        <row r="101">
          <cell r="J101" t="str">
            <v>26남아공54Hirschs05AC</v>
          </cell>
        </row>
        <row r="102">
          <cell r="J102" t="str">
            <v>26남아공54Hirschs06TV</v>
          </cell>
        </row>
        <row r="103">
          <cell r="J103" t="str">
            <v>26남아공54Hirschs07AV</v>
          </cell>
        </row>
        <row r="104">
          <cell r="J104" t="str">
            <v>26남아공54Hirschs09Mobile</v>
          </cell>
        </row>
        <row r="105">
          <cell r="J105" t="str">
            <v>27UAE55Lulu01REF</v>
          </cell>
        </row>
        <row r="106">
          <cell r="J106" t="str">
            <v>27UAE55Lulu02WM</v>
          </cell>
        </row>
        <row r="107">
          <cell r="J107" t="str">
            <v>27UAE55Lulu03Vacuum</v>
          </cell>
        </row>
        <row r="108">
          <cell r="J108" t="str">
            <v>27UAE55Lulu04MWO</v>
          </cell>
        </row>
        <row r="109">
          <cell r="J109" t="str">
            <v>27UAE55Lulu05AC</v>
          </cell>
        </row>
        <row r="110">
          <cell r="J110" t="str">
            <v>27UAE55Lulu06TV</v>
          </cell>
        </row>
        <row r="111">
          <cell r="J111" t="str">
            <v>27UAE55Lulu07AV</v>
          </cell>
        </row>
        <row r="112">
          <cell r="J112" t="str">
            <v>27UAE55Lulu09Mobile</v>
          </cell>
        </row>
        <row r="113">
          <cell r="J113" t="str">
            <v>28사우디56eXtra01REF</v>
          </cell>
        </row>
        <row r="114">
          <cell r="J114" t="str">
            <v>28사우디56eXtra02WM</v>
          </cell>
        </row>
        <row r="115">
          <cell r="J115" t="str">
            <v>28사우디56eXtra03Vacuum</v>
          </cell>
        </row>
        <row r="116">
          <cell r="J116" t="str">
            <v>28사우디56eXtra04MWO</v>
          </cell>
        </row>
        <row r="117">
          <cell r="J117" t="str">
            <v>28사우디56eXtra05AC</v>
          </cell>
        </row>
        <row r="118">
          <cell r="J118" t="str">
            <v>28사우디56eXtra07AV</v>
          </cell>
        </row>
        <row r="119">
          <cell r="J119" t="str">
            <v>28사우디56eXtra09Mobile</v>
          </cell>
        </row>
      </sheetData>
      <sheetData sheetId="12">
        <row r="3">
          <cell r="S3" t="str">
            <v>Key Field</v>
          </cell>
        </row>
        <row r="4">
          <cell r="S4" t="str">
            <v>13멕시코36BBY01REF</v>
          </cell>
        </row>
        <row r="5">
          <cell r="S5" t="str">
            <v>13멕시코37Liverpool01REF</v>
          </cell>
        </row>
        <row r="6">
          <cell r="S6" t="str">
            <v>17호주41Harvey Norman01REF</v>
          </cell>
        </row>
        <row r="7">
          <cell r="S7" t="str">
            <v>17호주42GoodGuys01REF</v>
          </cell>
        </row>
        <row r="8">
          <cell r="S8" t="str">
            <v>18대만43Momo01REF</v>
          </cell>
        </row>
        <row r="9">
          <cell r="S9" t="str">
            <v>19베트남44N/Kim01REF</v>
          </cell>
        </row>
        <row r="10">
          <cell r="S10" t="str">
            <v>20싱가포르45Gain city01REF</v>
          </cell>
        </row>
        <row r="11">
          <cell r="S11" t="str">
            <v>21인도네시아46Hartono01REF</v>
          </cell>
        </row>
        <row r="12">
          <cell r="S12" t="str">
            <v>22태국47Power Buy01REF</v>
          </cell>
        </row>
        <row r="13">
          <cell r="S13" t="str">
            <v>23필리핀48Abenson01REF</v>
          </cell>
        </row>
        <row r="14">
          <cell r="S14" t="str">
            <v>13멕시코36BBY02WM</v>
          </cell>
        </row>
        <row r="15">
          <cell r="S15" t="str">
            <v>13멕시코37Liverpool02WM</v>
          </cell>
        </row>
        <row r="16">
          <cell r="S16" t="str">
            <v>17호주41Harvey Norman02WM</v>
          </cell>
        </row>
        <row r="17">
          <cell r="S17" t="str">
            <v>17호주42GoodGuys02WM</v>
          </cell>
        </row>
        <row r="18">
          <cell r="S18" t="str">
            <v>18대만43Momo02WM</v>
          </cell>
        </row>
        <row r="19">
          <cell r="S19" t="str">
            <v>19베트남44N/Kim02WM</v>
          </cell>
        </row>
        <row r="20">
          <cell r="S20" t="str">
            <v>20싱가포르45Gain city02WM</v>
          </cell>
        </row>
        <row r="21">
          <cell r="S21" t="str">
            <v>21인도네시아46Hartono02WM</v>
          </cell>
        </row>
        <row r="22">
          <cell r="S22" t="str">
            <v>22태국47Power Buy02WM</v>
          </cell>
        </row>
        <row r="23">
          <cell r="S23" t="str">
            <v>23필리핀48Abenson02WM</v>
          </cell>
        </row>
        <row r="24">
          <cell r="S24" t="str">
            <v>13멕시코36BBY04MWO</v>
          </cell>
        </row>
        <row r="25">
          <cell r="S25" t="str">
            <v>13멕시코37Liverpool04MWO</v>
          </cell>
        </row>
        <row r="26">
          <cell r="S26" t="str">
            <v>17호주41Harvey Norman04MWO</v>
          </cell>
        </row>
        <row r="27">
          <cell r="S27" t="str">
            <v>17호주42GoodGuys04MWO</v>
          </cell>
        </row>
        <row r="28">
          <cell r="S28" t="str">
            <v>19베트남44N/Kim04MWO</v>
          </cell>
        </row>
        <row r="29">
          <cell r="S29" t="str">
            <v>20싱가포르45Gain city04MWO</v>
          </cell>
        </row>
        <row r="30">
          <cell r="S30" t="str">
            <v>21인도네시아46Hartono04MWO</v>
          </cell>
        </row>
        <row r="31">
          <cell r="S31" t="str">
            <v>17호주41Harvey Norman03Vacuum</v>
          </cell>
        </row>
        <row r="32">
          <cell r="S32" t="str">
            <v>17호주42GoodGuys03Vacuum</v>
          </cell>
        </row>
        <row r="33">
          <cell r="S33" t="str">
            <v>18대만43Momo03Vacuum</v>
          </cell>
        </row>
        <row r="34">
          <cell r="S34" t="str">
            <v>19베트남44N/Kim03Vacuum</v>
          </cell>
        </row>
        <row r="35">
          <cell r="S35" t="str">
            <v>20싱가포르45Gain city03Vacuum</v>
          </cell>
        </row>
        <row r="36">
          <cell r="S36" t="str">
            <v>22태국47Power Buy03Vacuum</v>
          </cell>
        </row>
        <row r="37">
          <cell r="S37" t="str">
            <v>13멕시코36BBY05AC</v>
          </cell>
        </row>
        <row r="38">
          <cell r="S38" t="str">
            <v>13멕시코37Liverpool05AC</v>
          </cell>
        </row>
        <row r="39">
          <cell r="S39" t="str">
            <v>17호주42GoodGuys05AC</v>
          </cell>
        </row>
        <row r="40">
          <cell r="S40" t="str">
            <v>18대만43Momo05AC</v>
          </cell>
        </row>
        <row r="41">
          <cell r="S41" t="str">
            <v>19베트남44N/Kim05AC</v>
          </cell>
        </row>
        <row r="42">
          <cell r="S42" t="str">
            <v>20싱가포르45Gain city05AC</v>
          </cell>
        </row>
        <row r="43">
          <cell r="S43" t="str">
            <v>21인도네시아46Hartono05AC</v>
          </cell>
        </row>
        <row r="44">
          <cell r="S44" t="str">
            <v>22태국47Power Buy05AC</v>
          </cell>
        </row>
        <row r="45">
          <cell r="S45" t="str">
            <v>23필리핀48Abenson05AC</v>
          </cell>
        </row>
        <row r="46">
          <cell r="S46" t="str">
            <v>13멕시코36BBY06TV</v>
          </cell>
        </row>
        <row r="47">
          <cell r="S47" t="str">
            <v>13멕시코37Liverpool06TV</v>
          </cell>
        </row>
        <row r="48">
          <cell r="S48" t="str">
            <v>16칠레39Falabella06TV</v>
          </cell>
        </row>
        <row r="49">
          <cell r="S49" t="str">
            <v>17호주41Harvey Norman06TV</v>
          </cell>
        </row>
        <row r="50">
          <cell r="S50" t="str">
            <v>17호주42GoodGuys06TV</v>
          </cell>
        </row>
        <row r="51">
          <cell r="S51" t="str">
            <v>18대만43Momo06TV</v>
          </cell>
        </row>
        <row r="52">
          <cell r="S52" t="str">
            <v>19베트남44N/Kim06TV</v>
          </cell>
        </row>
        <row r="53">
          <cell r="S53" t="str">
            <v>20싱가포르45Gain city06TV</v>
          </cell>
        </row>
        <row r="54">
          <cell r="S54" t="str">
            <v>21인도네시아46Hartono06TV</v>
          </cell>
        </row>
        <row r="55">
          <cell r="S55" t="str">
            <v>22태국47Power Buy06TV</v>
          </cell>
        </row>
        <row r="56">
          <cell r="S56" t="str">
            <v>23필리핀48Abenson06TV</v>
          </cell>
        </row>
        <row r="57">
          <cell r="S57" t="str">
            <v>13멕시코36BBY07AV</v>
          </cell>
        </row>
        <row r="58">
          <cell r="S58" t="str">
            <v>13멕시코37Liverpool07AV</v>
          </cell>
        </row>
        <row r="59">
          <cell r="S59" t="str">
            <v>17호주41Harvey Norman07AV</v>
          </cell>
        </row>
        <row r="60">
          <cell r="S60" t="str">
            <v>17호주42GoodGuys07AV</v>
          </cell>
        </row>
        <row r="61">
          <cell r="S61" t="str">
            <v>19베트남44N/Kim07AV</v>
          </cell>
        </row>
        <row r="62">
          <cell r="S62" t="str">
            <v>20싱가포르45Gain city07AV</v>
          </cell>
        </row>
        <row r="63">
          <cell r="S63" t="str">
            <v>21인도네시아46Hartono07AV</v>
          </cell>
        </row>
        <row r="64">
          <cell r="S64" t="str">
            <v>22태국47Power Buy07AV</v>
          </cell>
        </row>
        <row r="65">
          <cell r="S65" t="str">
            <v>23필리핀48Abenson07AV</v>
          </cell>
        </row>
        <row r="66">
          <cell r="S66" t="str">
            <v>13멕시코36BBY08Monitor</v>
          </cell>
        </row>
        <row r="67">
          <cell r="S67" t="str">
            <v>17호주41Harvey Norman08Monitor</v>
          </cell>
        </row>
        <row r="68">
          <cell r="S68" t="str">
            <v>17호주42GoodGuys08Monitor</v>
          </cell>
        </row>
        <row r="69">
          <cell r="S69" t="str">
            <v>18대만43Momo08Monitor</v>
          </cell>
        </row>
        <row r="70">
          <cell r="S70" t="str">
            <v>19베트남44N/Kim08Monitor</v>
          </cell>
        </row>
        <row r="71">
          <cell r="S71" t="str">
            <v>20싱가포르45Gain city08Monitor</v>
          </cell>
        </row>
        <row r="72">
          <cell r="S72" t="str">
            <v>21인도네시아46Hartono08Monitor</v>
          </cell>
        </row>
        <row r="73">
          <cell r="S73" t="str">
            <v>22태국47Power Buy08Monitor</v>
          </cell>
        </row>
        <row r="74">
          <cell r="S74" t="str">
            <v>13멕시코36BBY09Mobile</v>
          </cell>
        </row>
        <row r="75">
          <cell r="S75" t="str">
            <v>13멕시코37Liverpool09Mobile</v>
          </cell>
        </row>
        <row r="76">
          <cell r="S76" t="str">
            <v>17호주41Harvey Norman09Mobile</v>
          </cell>
        </row>
        <row r="77">
          <cell r="S77" t="str">
            <v>18대만43Momo09Mobile</v>
          </cell>
        </row>
        <row r="78">
          <cell r="S78" t="str">
            <v>19베트남44N/Kim09Mobile</v>
          </cell>
        </row>
        <row r="79">
          <cell r="S79" t="str">
            <v>21인도네시아46Hartono09Mobile</v>
          </cell>
        </row>
        <row r="80">
          <cell r="S80" t="str">
            <v>23필리핀48Abenson09Mobile</v>
          </cell>
        </row>
        <row r="81">
          <cell r="S81" t="str">
            <v>26남아공53Makro01REF</v>
          </cell>
        </row>
        <row r="82">
          <cell r="S82" t="str">
            <v>26남아공54Hirschs01REF</v>
          </cell>
        </row>
        <row r="83">
          <cell r="S83" t="str">
            <v>27UAE55Lulu01REF</v>
          </cell>
        </row>
        <row r="84">
          <cell r="S84" t="str">
            <v>26남아공53Makro02WM</v>
          </cell>
        </row>
        <row r="85">
          <cell r="S85" t="str">
            <v>26남아공54Hirschs02WM</v>
          </cell>
        </row>
        <row r="86">
          <cell r="S86" t="str">
            <v>27UAE55Lulu02WM</v>
          </cell>
        </row>
        <row r="87">
          <cell r="S87" t="str">
            <v>26남아공53Makro04MWO</v>
          </cell>
        </row>
        <row r="88">
          <cell r="S88" t="str">
            <v>26남아공54Hirschs04MWO</v>
          </cell>
        </row>
        <row r="89">
          <cell r="S89" t="str">
            <v>27UAE55Lulu04MWO</v>
          </cell>
        </row>
        <row r="90">
          <cell r="S90" t="str">
            <v>26남아공54Hirschs05AC</v>
          </cell>
        </row>
        <row r="91">
          <cell r="S91" t="str">
            <v>27UAE55Lulu05AC</v>
          </cell>
        </row>
        <row r="92">
          <cell r="S92" t="str">
            <v>26남아공53Makro06TV</v>
          </cell>
        </row>
        <row r="93">
          <cell r="S93" t="str">
            <v>26남아공54Hirschs06TV</v>
          </cell>
        </row>
        <row r="94">
          <cell r="S94" t="str">
            <v>27UAE55Lulu06TV</v>
          </cell>
        </row>
        <row r="95">
          <cell r="S95" t="str">
            <v>26남아공53Makro07AV</v>
          </cell>
        </row>
        <row r="96">
          <cell r="S96" t="str">
            <v>26남아공54Hirschs07AV</v>
          </cell>
        </row>
        <row r="97">
          <cell r="S97" t="str">
            <v>27UAE55Lulu07AV</v>
          </cell>
        </row>
        <row r="98">
          <cell r="S98" t="str">
            <v>26남아공53Makro08Monitor</v>
          </cell>
        </row>
        <row r="99">
          <cell r="S99" t="str">
            <v>27UAE55Lulu09Mobile</v>
          </cell>
        </row>
        <row r="100">
          <cell r="S100" t="str">
            <v>28사우디56eXtra01REF</v>
          </cell>
        </row>
        <row r="101">
          <cell r="S101" t="str">
            <v>28사우디56eXtra02WM</v>
          </cell>
        </row>
        <row r="102">
          <cell r="S102" t="str">
            <v>28사우디56eXtra04MWO</v>
          </cell>
        </row>
        <row r="103">
          <cell r="S103" t="str">
            <v>28사우디56eXtra05AC</v>
          </cell>
        </row>
        <row r="104">
          <cell r="S104" t="str">
            <v>28사우디56eXtra06TV</v>
          </cell>
        </row>
        <row r="105">
          <cell r="S105" t="str">
            <v>28사우디56eXtra07AV</v>
          </cell>
        </row>
        <row r="106">
          <cell r="S106" t="str">
            <v>28사우디56eXtra09Mobile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/>
      <sheetData sheetId="45" refreshError="1"/>
      <sheetData sheetId="46">
        <row r="15">
          <cell r="N15" t="str">
            <v>00All</v>
          </cell>
        </row>
        <row r="16">
          <cell r="N16" t="str">
            <v>01REF</v>
          </cell>
        </row>
        <row r="17">
          <cell r="N17" t="str">
            <v>02WM</v>
          </cell>
        </row>
        <row r="18">
          <cell r="N18" t="str">
            <v>06TV</v>
          </cell>
        </row>
        <row r="19">
          <cell r="N19" t="str">
            <v>08Monitor</v>
          </cell>
        </row>
        <row r="20">
          <cell r="N20" t="str">
            <v>09Mobile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견적990322"/>
      <sheetName val="20관리비율"/>
      <sheetName val="I一般比"/>
      <sheetName val="전기일위대가"/>
      <sheetName val="Pivot"/>
      <sheetName val="인건비"/>
      <sheetName val="소모품-기타"/>
      <sheetName val="10월 홍순은"/>
      <sheetName val="Cost_File"/>
      <sheetName val="소비자가"/>
      <sheetName val="Page 1A - Proposal Strategy "/>
      <sheetName val="인건-측정"/>
      <sheetName val="보안장비 리소스5월"/>
      <sheetName val="COMPAQ-LIST"/>
      <sheetName val="노임"/>
      <sheetName val="USIM Wallet 3사향-서비스GW"/>
      <sheetName val="U+앱 마켓(랭킹&amp;기능개선)_일반"/>
      <sheetName val="한계원가"/>
      <sheetName val="(자가망)일위대가표"/>
      <sheetName val="첨부2.v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5. COST SCHEDULE PER EXPENSE"/>
      <sheetName val="WK10  Monthly NIS"/>
      <sheetName val="WK4  Cap Bal Det"/>
      <sheetName val="WK3  Mgt Rep CF"/>
      <sheetName val="WK5  Monthly Bill-Exp Inputs"/>
      <sheetName val="WK1  Mgt Rep NIS"/>
      <sheetName val="Page 1A - Proposal Strategy "/>
      <sheetName val="Pivot by Function"/>
      <sheetName val="Pivot by Month"/>
      <sheetName val="전압강하계산"/>
      <sheetName val="2F 회의실견적(5_14 일대)"/>
      <sheetName val="04"/>
      <sheetName val="15"/>
      <sheetName val="물량산출근거"/>
      <sheetName val="계산근거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Validation"/>
      <sheetName val="Validation"/>
      <sheetName val="Sheet2"/>
      <sheetName val="Summary"/>
      <sheetName val="Chart_US"/>
      <sheetName val="Refined_V"/>
      <sheetName val="Refined_PV (5)"/>
      <sheetName val="Refined_PV (4)"/>
      <sheetName val="Refined_PV (3)"/>
      <sheetName val="Refined_PV (2)"/>
      <sheetName val="Refined_PV"/>
      <sheetName val="Refined"/>
      <sheetName val="Raw_PV"/>
      <sheetName val="Raw_PV_JP"/>
      <sheetName val="Banner Visibility_raw"/>
      <sheetName val="Raw_PV_Scoring"/>
      <sheetName val="Asia_Score"/>
      <sheetName val="FINAL SCORE"/>
      <sheetName val="W22 Scoring"/>
      <sheetName val="List"/>
      <sheetName val="Mexico_Summary"/>
      <sheetName val="Data_Validation"/>
      <sheetName val="Data Vail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Mobile</v>
          </cell>
          <cell r="B4" t="str">
            <v>미국</v>
          </cell>
          <cell r="C4" t="str">
            <v>01미국</v>
          </cell>
          <cell r="D4">
            <v>32.156327220704902</v>
          </cell>
          <cell r="E4">
            <v>69.336367282754836</v>
          </cell>
          <cell r="F4">
            <v>51.425008240074369</v>
          </cell>
          <cell r="G4">
            <v>34.870174097666627</v>
          </cell>
          <cell r="H4">
            <v>34.555122462208026</v>
          </cell>
          <cell r="I4">
            <v>51.236493644067799</v>
          </cell>
          <cell r="J4">
            <v>59.877102770750213</v>
          </cell>
          <cell r="K4">
            <v>73.14153998989579</v>
          </cell>
          <cell r="L4">
            <v>61.029886805830465</v>
          </cell>
          <cell r="M4">
            <v>65.822440821907975</v>
          </cell>
          <cell r="N4">
            <v>53.532861432505989</v>
          </cell>
          <cell r="O4">
            <v>65.89584721811012</v>
          </cell>
          <cell r="P4">
            <v>38.357689422656009</v>
          </cell>
          <cell r="Q4">
            <v>58.231089881081836</v>
          </cell>
          <cell r="R4">
            <v>41.419609932934257</v>
          </cell>
          <cell r="S4">
            <v>72.690905436040097</v>
          </cell>
          <cell r="T4">
            <v>56.301368168655962</v>
          </cell>
          <cell r="U4">
            <v>80.297100759526103</v>
          </cell>
          <cell r="V4">
            <v>56.618299239761257</v>
          </cell>
          <cell r="W4">
            <v>69.076469317758594</v>
          </cell>
          <cell r="X4">
            <v>47.452724780448889</v>
          </cell>
          <cell r="Y4">
            <v>76.150722341990971</v>
          </cell>
          <cell r="Z4">
            <v>55.343668964333737</v>
          </cell>
          <cell r="AA4">
            <v>78.427183804900167</v>
          </cell>
        </row>
        <row r="18">
          <cell r="A18" t="str">
            <v>PC</v>
          </cell>
          <cell r="B18" t="str">
            <v>미국</v>
          </cell>
          <cell r="C18" t="str">
            <v>01미국</v>
          </cell>
          <cell r="D18">
            <v>39.008237344562566</v>
          </cell>
          <cell r="E18">
            <v>54.506401963594023</v>
          </cell>
          <cell r="F18">
            <v>57.229081228745336</v>
          </cell>
          <cell r="G18">
            <v>49.481263652953942</v>
          </cell>
          <cell r="H18">
            <v>39.222700785923038</v>
          </cell>
          <cell r="I18">
            <v>50.701296416158598</v>
          </cell>
          <cell r="J18">
            <v>60.775186287184731</v>
          </cell>
          <cell r="K18">
            <v>59.67216397481927</v>
          </cell>
          <cell r="L18">
            <v>55.550040479325432</v>
          </cell>
          <cell r="M18">
            <v>63.516194782204288</v>
          </cell>
          <cell r="N18">
            <v>49.985449113286762</v>
          </cell>
          <cell r="O18">
            <v>59.093219742414057</v>
          </cell>
          <cell r="P18">
            <v>47.212450145810948</v>
          </cell>
          <cell r="Q18">
            <v>58.885764814187915</v>
          </cell>
          <cell r="R18">
            <v>49.816770126136724</v>
          </cell>
          <cell r="S18">
            <v>71.40641331914</v>
          </cell>
          <cell r="T18">
            <v>52.717334177464259</v>
          </cell>
          <cell r="U18">
            <v>70.98235208948617</v>
          </cell>
          <cell r="V18">
            <v>55.628696193838856</v>
          </cell>
          <cell r="W18">
            <v>72.014160320801466</v>
          </cell>
          <cell r="X18">
            <v>51.955328611892178</v>
          </cell>
          <cell r="Y18">
            <v>76.326129286017675</v>
          </cell>
          <cell r="Z18">
            <v>55.472370012943543</v>
          </cell>
          <cell r="AA18">
            <v>77.208074095422276</v>
          </cell>
        </row>
        <row r="55">
          <cell r="A55" t="str">
            <v>Platform</v>
          </cell>
          <cell r="B55" t="str">
            <v>Product Category</v>
          </cell>
          <cell r="D55" t="str">
            <v>평균 : W11_LG</v>
          </cell>
          <cell r="E55" t="str">
            <v>평균 : W11_SS</v>
          </cell>
          <cell r="F55" t="str">
            <v>평균 : W12_LG</v>
          </cell>
          <cell r="G55" t="str">
            <v>평균 : W12_SS</v>
          </cell>
          <cell r="H55" t="str">
            <v>평균 : W13_LG</v>
          </cell>
          <cell r="I55" t="str">
            <v>평균 : W13_SS</v>
          </cell>
          <cell r="J55" t="str">
            <v>평균 : W14_LG</v>
          </cell>
          <cell r="K55" t="str">
            <v>평균 : W14_SS</v>
          </cell>
          <cell r="L55" t="str">
            <v>평균 : W15_LG</v>
          </cell>
          <cell r="M55" t="str">
            <v>평균 : W15_SS</v>
          </cell>
          <cell r="N55" t="str">
            <v>평균 : W16_LG</v>
          </cell>
          <cell r="O55" t="str">
            <v>평균 : W16_SS</v>
          </cell>
          <cell r="P55" t="str">
            <v>평균 : W17_LG</v>
          </cell>
          <cell r="Q55" t="str">
            <v>평균 : W17_SS</v>
          </cell>
          <cell r="R55" t="str">
            <v>평균 : W18_LG</v>
          </cell>
          <cell r="S55" t="str">
            <v>평균 : W18_SS</v>
          </cell>
          <cell r="T55" t="str">
            <v>평균 : W19_LG</v>
          </cell>
          <cell r="U55" t="str">
            <v>평균 : W19_SS</v>
          </cell>
          <cell r="V55" t="str">
            <v>평균 : W20_LG</v>
          </cell>
          <cell r="W55" t="str">
            <v>평균 : W20_SS</v>
          </cell>
          <cell r="X55" t="str">
            <v>평균 : W21_LG</v>
          </cell>
          <cell r="Y55" t="str">
            <v>평균 : W21_SS</v>
          </cell>
          <cell r="Z55" t="str">
            <v>평균 : W22_LG</v>
          </cell>
          <cell r="AA55" t="str">
            <v>평균 : W22_SS</v>
          </cell>
        </row>
        <row r="56">
          <cell r="B56" t="str">
            <v>Multiple Products</v>
          </cell>
        </row>
        <row r="62">
          <cell r="B62" t="str">
            <v>Multiple Products</v>
          </cell>
        </row>
        <row r="71">
          <cell r="A71" t="str">
            <v>Platform</v>
          </cell>
          <cell r="B71" t="str">
            <v>Type</v>
          </cell>
          <cell r="D71" t="str">
            <v>평균 : W11_LG</v>
          </cell>
          <cell r="E71" t="str">
            <v>평균 : W11_SS</v>
          </cell>
          <cell r="F71" t="str">
            <v>평균 : W12_LG</v>
          </cell>
          <cell r="G71" t="str">
            <v>평균 : W12_SS</v>
          </cell>
          <cell r="H71" t="str">
            <v>평균 : W13_LG</v>
          </cell>
          <cell r="I71" t="str">
            <v>평균 : W13_SS</v>
          </cell>
          <cell r="J71" t="str">
            <v>평균 : W14_LG</v>
          </cell>
          <cell r="K71" t="str">
            <v>평균 : W14_SS</v>
          </cell>
          <cell r="L71" t="str">
            <v>평균 : W15_LG</v>
          </cell>
          <cell r="M71" t="str">
            <v>평균 : W15_SS</v>
          </cell>
          <cell r="N71" t="str">
            <v>평균 : W16_LG</v>
          </cell>
          <cell r="O71" t="str">
            <v>평균 : W16_SS</v>
          </cell>
          <cell r="P71" t="str">
            <v>평균 : W17_LG</v>
          </cell>
          <cell r="Q71" t="str">
            <v>평균 : W17_SS</v>
          </cell>
          <cell r="R71" t="str">
            <v>평균 : W18_LG</v>
          </cell>
          <cell r="S71" t="str">
            <v>평균 : W18_SS</v>
          </cell>
          <cell r="T71" t="str">
            <v>평균 : W19_LG</v>
          </cell>
          <cell r="U71" t="str">
            <v>평균 : W19_SS</v>
          </cell>
          <cell r="V71" t="str">
            <v>평균 : W20_LG</v>
          </cell>
          <cell r="W71" t="str">
            <v>평균 : W20_SS</v>
          </cell>
          <cell r="X71" t="str">
            <v>평균 : W21_LG</v>
          </cell>
          <cell r="Y71" t="str">
            <v>평균 : W21_SS</v>
          </cell>
          <cell r="Z71" t="str">
            <v>평균 : W22_LG</v>
          </cell>
          <cell r="AA71" t="str">
            <v>평균 : W22_SS</v>
          </cell>
        </row>
        <row r="72">
          <cell r="B72" t="str">
            <v>Category</v>
          </cell>
        </row>
        <row r="75">
          <cell r="B75" t="str">
            <v>Category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fined_V"/>
      <sheetName val="Refined_PV (3)"/>
      <sheetName val="Refined_PV (2)"/>
      <sheetName val="Refined_PV"/>
      <sheetName val="Refined"/>
      <sheetName val="Raw_PV"/>
      <sheetName val="Banner Visibility_raw"/>
      <sheetName val="Scoring"/>
      <sheetName val="W16 Scoring"/>
      <sheetName val="List"/>
      <sheetName val="Validation"/>
    </sheetNames>
    <sheetDataSet>
      <sheetData sheetId="0" refreshError="1"/>
      <sheetData sheetId="1">
        <row r="3">
          <cell r="A3" t="str">
            <v>Mobile</v>
          </cell>
        </row>
      </sheetData>
      <sheetData sheetId="2" refreshError="1"/>
      <sheetData sheetId="3" refreshError="1"/>
      <sheetData sheetId="4" refreshError="1"/>
      <sheetData sheetId="5">
        <row r="3">
          <cell r="B3" t="str">
            <v>Platform</v>
          </cell>
          <cell r="C3" t="str">
            <v>Country</v>
          </cell>
          <cell r="D3" t="str">
            <v>Retailer</v>
          </cell>
          <cell r="E3" t="str">
            <v>Product Category</v>
          </cell>
          <cell r="F3" t="str">
            <v>Type</v>
          </cell>
          <cell r="G3" t="str">
            <v>LG</v>
          </cell>
          <cell r="H3" t="str">
            <v>SS</v>
          </cell>
          <cell r="I3" t="str">
            <v>LG</v>
          </cell>
          <cell r="J3" t="str">
            <v>SS</v>
          </cell>
          <cell r="K3" t="str">
            <v>LG</v>
          </cell>
          <cell r="L3" t="str">
            <v>SS</v>
          </cell>
          <cell r="M3" t="str">
            <v>LG</v>
          </cell>
          <cell r="N3" t="str">
            <v>SS</v>
          </cell>
          <cell r="O3" t="str">
            <v>LG</v>
          </cell>
          <cell r="P3" t="str">
            <v>SS</v>
          </cell>
          <cell r="Q3" t="str">
            <v>LG</v>
          </cell>
          <cell r="R3" t="str">
            <v>SS</v>
          </cell>
          <cell r="T3" t="str">
            <v>Platform</v>
          </cell>
          <cell r="U3" t="str">
            <v>Country</v>
          </cell>
          <cell r="V3" t="str">
            <v>Retailer</v>
          </cell>
          <cell r="W3" t="str">
            <v>Product Category</v>
          </cell>
          <cell r="X3" t="str">
            <v>Type</v>
          </cell>
          <cell r="Y3" t="str">
            <v>W11_LG</v>
          </cell>
          <cell r="Z3" t="str">
            <v>W11_SS</v>
          </cell>
          <cell r="AA3" t="str">
            <v>W12_LG</v>
          </cell>
          <cell r="AB3" t="str">
            <v>W12_SS</v>
          </cell>
          <cell r="AC3" t="str">
            <v>W13_LG</v>
          </cell>
          <cell r="AD3" t="str">
            <v>W13_SS</v>
          </cell>
          <cell r="AE3" t="str">
            <v>W14_LG</v>
          </cell>
          <cell r="AF3" t="str">
            <v>W14_SS</v>
          </cell>
          <cell r="AG3" t="str">
            <v>W15_LG</v>
          </cell>
          <cell r="AH3" t="str">
            <v>W15_SS</v>
          </cell>
          <cell r="AI3" t="str">
            <v>W16_LG</v>
          </cell>
          <cell r="AJ3" t="str">
            <v>W16_SS</v>
          </cell>
          <cell r="AK3" t="str">
            <v>W16_LG_Cuml</v>
          </cell>
          <cell r="AL3" t="str">
            <v>W16_SS_Cuml</v>
          </cell>
        </row>
        <row r="4">
          <cell r="T4" t="str">
            <v>PC</v>
          </cell>
        </row>
        <row r="5">
          <cell r="T5" t="str">
            <v>PC</v>
          </cell>
        </row>
        <row r="6">
          <cell r="T6" t="str">
            <v>PC</v>
          </cell>
        </row>
        <row r="7">
          <cell r="T7" t="str">
            <v>PC</v>
          </cell>
        </row>
        <row r="8">
          <cell r="T8" t="str">
            <v>PC</v>
          </cell>
        </row>
        <row r="9">
          <cell r="T9" t="str">
            <v>PC</v>
          </cell>
        </row>
        <row r="10">
          <cell r="T10" t="str">
            <v>PC</v>
          </cell>
        </row>
        <row r="11">
          <cell r="T11" t="str">
            <v>PC</v>
          </cell>
        </row>
        <row r="12">
          <cell r="T12" t="str">
            <v>PC</v>
          </cell>
        </row>
        <row r="13">
          <cell r="T13" t="str">
            <v>PC</v>
          </cell>
        </row>
        <row r="14">
          <cell r="T14" t="str">
            <v>PC</v>
          </cell>
        </row>
        <row r="15">
          <cell r="T15" t="str">
            <v>PC</v>
          </cell>
        </row>
        <row r="16">
          <cell r="T16" t="str">
            <v>PC</v>
          </cell>
        </row>
        <row r="17">
          <cell r="T17" t="str">
            <v>PC</v>
          </cell>
        </row>
        <row r="18">
          <cell r="T18" t="str">
            <v>PC</v>
          </cell>
        </row>
        <row r="19">
          <cell r="T19" t="str">
            <v>PC</v>
          </cell>
        </row>
        <row r="20">
          <cell r="T20" t="str">
            <v>PC</v>
          </cell>
        </row>
        <row r="21">
          <cell r="T21" t="str">
            <v>PC</v>
          </cell>
        </row>
        <row r="22">
          <cell r="T22" t="str">
            <v>PC</v>
          </cell>
        </row>
        <row r="23">
          <cell r="T23" t="str">
            <v>PC</v>
          </cell>
        </row>
        <row r="24">
          <cell r="T24" t="str">
            <v>PC</v>
          </cell>
        </row>
        <row r="25">
          <cell r="T25" t="str">
            <v>PC</v>
          </cell>
        </row>
        <row r="26">
          <cell r="T26" t="str">
            <v>PC</v>
          </cell>
        </row>
        <row r="27">
          <cell r="T27" t="str">
            <v>PC</v>
          </cell>
        </row>
        <row r="28">
          <cell r="T28" t="str">
            <v>PC</v>
          </cell>
        </row>
        <row r="29">
          <cell r="T29" t="str">
            <v>PC</v>
          </cell>
        </row>
        <row r="30">
          <cell r="T30" t="str">
            <v>PC</v>
          </cell>
        </row>
        <row r="31">
          <cell r="T31" t="str">
            <v>PC</v>
          </cell>
        </row>
        <row r="32">
          <cell r="T32" t="str">
            <v>PC</v>
          </cell>
        </row>
        <row r="33">
          <cell r="T33" t="str">
            <v>PC</v>
          </cell>
        </row>
        <row r="34">
          <cell r="T34" t="str">
            <v>PC</v>
          </cell>
        </row>
        <row r="35">
          <cell r="T35" t="str">
            <v>PC</v>
          </cell>
        </row>
        <row r="36">
          <cell r="T36" t="str">
            <v>PC</v>
          </cell>
        </row>
        <row r="37">
          <cell r="T37" t="str">
            <v>PC</v>
          </cell>
        </row>
        <row r="38">
          <cell r="T38" t="str">
            <v>PC</v>
          </cell>
        </row>
        <row r="39">
          <cell r="T39" t="str">
            <v>PC</v>
          </cell>
        </row>
        <row r="40">
          <cell r="T40" t="str">
            <v>PC</v>
          </cell>
        </row>
        <row r="41">
          <cell r="T41" t="str">
            <v>PC</v>
          </cell>
        </row>
        <row r="42">
          <cell r="T42" t="str">
            <v>PC</v>
          </cell>
        </row>
        <row r="43">
          <cell r="T43" t="str">
            <v>PC</v>
          </cell>
        </row>
        <row r="44">
          <cell r="T44" t="str">
            <v>PC</v>
          </cell>
        </row>
        <row r="45">
          <cell r="T45" t="str">
            <v>PC</v>
          </cell>
        </row>
        <row r="46">
          <cell r="T46" t="str">
            <v>PC</v>
          </cell>
        </row>
        <row r="47">
          <cell r="T47" t="str">
            <v>PC</v>
          </cell>
        </row>
        <row r="48">
          <cell r="T48" t="str">
            <v>PC</v>
          </cell>
        </row>
        <row r="49">
          <cell r="T49" t="str">
            <v>PC</v>
          </cell>
        </row>
        <row r="50">
          <cell r="T50" t="str">
            <v>PC</v>
          </cell>
        </row>
        <row r="51">
          <cell r="T51" t="str">
            <v>PC</v>
          </cell>
        </row>
        <row r="52">
          <cell r="T52" t="str">
            <v>PC</v>
          </cell>
        </row>
        <row r="53">
          <cell r="T53" t="str">
            <v>PC</v>
          </cell>
        </row>
        <row r="54">
          <cell r="T54" t="str">
            <v>PC</v>
          </cell>
        </row>
        <row r="55">
          <cell r="T55" t="str">
            <v>PC</v>
          </cell>
        </row>
        <row r="56">
          <cell r="T56" t="str">
            <v>PC</v>
          </cell>
        </row>
        <row r="57">
          <cell r="T57" t="str">
            <v>PC</v>
          </cell>
        </row>
        <row r="58">
          <cell r="T58" t="str">
            <v>PC</v>
          </cell>
        </row>
        <row r="59">
          <cell r="T59" t="str">
            <v>PC</v>
          </cell>
        </row>
        <row r="60">
          <cell r="T60" t="str">
            <v>PC</v>
          </cell>
        </row>
        <row r="61">
          <cell r="T61" t="str">
            <v>PC</v>
          </cell>
        </row>
        <row r="62">
          <cell r="T62" t="str">
            <v>PC</v>
          </cell>
        </row>
        <row r="63">
          <cell r="T63" t="str">
            <v>PC</v>
          </cell>
        </row>
        <row r="64">
          <cell r="T64" t="str">
            <v>PC</v>
          </cell>
        </row>
        <row r="65">
          <cell r="T65" t="str">
            <v>PC</v>
          </cell>
        </row>
        <row r="66">
          <cell r="T66" t="str">
            <v>PC</v>
          </cell>
        </row>
        <row r="67">
          <cell r="T67" t="str">
            <v>PC</v>
          </cell>
        </row>
        <row r="68">
          <cell r="T68" t="str">
            <v>PC</v>
          </cell>
        </row>
        <row r="69">
          <cell r="T69" t="str">
            <v>PC</v>
          </cell>
        </row>
        <row r="70">
          <cell r="T70" t="str">
            <v>PC</v>
          </cell>
        </row>
        <row r="71">
          <cell r="T71" t="str">
            <v>PC</v>
          </cell>
        </row>
        <row r="72">
          <cell r="T72" t="str">
            <v>PC</v>
          </cell>
        </row>
        <row r="73">
          <cell r="T73" t="str">
            <v>PC</v>
          </cell>
        </row>
        <row r="74">
          <cell r="T74" t="str">
            <v>PC</v>
          </cell>
        </row>
        <row r="75">
          <cell r="T75" t="str">
            <v>PC</v>
          </cell>
        </row>
        <row r="76">
          <cell r="T76" t="str">
            <v>PC</v>
          </cell>
        </row>
        <row r="77">
          <cell r="T77" t="str">
            <v>PC</v>
          </cell>
        </row>
        <row r="78">
          <cell r="T78" t="str">
            <v>PC</v>
          </cell>
        </row>
        <row r="79">
          <cell r="T79" t="str">
            <v>PC</v>
          </cell>
        </row>
        <row r="80">
          <cell r="T80" t="str">
            <v>PC</v>
          </cell>
        </row>
        <row r="81">
          <cell r="T81" t="str">
            <v>PC</v>
          </cell>
        </row>
        <row r="82">
          <cell r="T82" t="str">
            <v>PC</v>
          </cell>
        </row>
        <row r="83">
          <cell r="T83" t="str">
            <v>PC</v>
          </cell>
        </row>
        <row r="84">
          <cell r="T84" t="str">
            <v>PC</v>
          </cell>
        </row>
        <row r="85">
          <cell r="T85" t="str">
            <v>PC</v>
          </cell>
        </row>
        <row r="86">
          <cell r="T86" t="str">
            <v>PC</v>
          </cell>
        </row>
        <row r="87">
          <cell r="T87" t="str">
            <v>PC</v>
          </cell>
        </row>
        <row r="88">
          <cell r="T88" t="str">
            <v>PC</v>
          </cell>
        </row>
        <row r="89">
          <cell r="T89" t="str">
            <v>PC</v>
          </cell>
        </row>
        <row r="90">
          <cell r="T90" t="str">
            <v>PC</v>
          </cell>
        </row>
        <row r="91">
          <cell r="T91" t="str">
            <v>PC</v>
          </cell>
        </row>
        <row r="92">
          <cell r="T92" t="str">
            <v>PC</v>
          </cell>
        </row>
        <row r="93">
          <cell r="T93" t="str">
            <v>PC</v>
          </cell>
        </row>
        <row r="94">
          <cell r="T94" t="str">
            <v>PC</v>
          </cell>
        </row>
        <row r="95">
          <cell r="T95" t="str">
            <v>PC</v>
          </cell>
        </row>
        <row r="96">
          <cell r="T96" t="str">
            <v>PC</v>
          </cell>
        </row>
        <row r="97">
          <cell r="T97" t="str">
            <v>PC</v>
          </cell>
        </row>
        <row r="98">
          <cell r="T98" t="str">
            <v>PC</v>
          </cell>
        </row>
        <row r="99">
          <cell r="T99" t="str">
            <v>PC</v>
          </cell>
        </row>
        <row r="100">
          <cell r="T100" t="str">
            <v>PC</v>
          </cell>
        </row>
        <row r="101">
          <cell r="T101" t="str">
            <v>PC</v>
          </cell>
        </row>
        <row r="102">
          <cell r="T102" t="str">
            <v>PC</v>
          </cell>
        </row>
        <row r="103">
          <cell r="T103" t="str">
            <v>PC</v>
          </cell>
        </row>
        <row r="104">
          <cell r="T104" t="str">
            <v>PC</v>
          </cell>
        </row>
        <row r="105">
          <cell r="T105" t="str">
            <v>PC</v>
          </cell>
        </row>
        <row r="106">
          <cell r="T106" t="str">
            <v>PC</v>
          </cell>
        </row>
        <row r="107">
          <cell r="T107" t="str">
            <v>PC</v>
          </cell>
        </row>
        <row r="108">
          <cell r="T108" t="str">
            <v>PC</v>
          </cell>
        </row>
        <row r="109">
          <cell r="T109" t="str">
            <v>PC</v>
          </cell>
        </row>
        <row r="110">
          <cell r="T110" t="str">
            <v>PC</v>
          </cell>
        </row>
        <row r="111">
          <cell r="T111" t="str">
            <v>PC</v>
          </cell>
        </row>
        <row r="112">
          <cell r="T112" t="str">
            <v>PC</v>
          </cell>
        </row>
        <row r="113">
          <cell r="T113" t="str">
            <v>PC</v>
          </cell>
        </row>
        <row r="114">
          <cell r="T114" t="str">
            <v>PC</v>
          </cell>
        </row>
        <row r="115">
          <cell r="T115" t="str">
            <v>PC</v>
          </cell>
        </row>
        <row r="116">
          <cell r="T116" t="str">
            <v>PC</v>
          </cell>
        </row>
        <row r="117">
          <cell r="T117" t="str">
            <v>PC</v>
          </cell>
        </row>
        <row r="118">
          <cell r="T118" t="str">
            <v>PC</v>
          </cell>
        </row>
        <row r="119">
          <cell r="T119" t="str">
            <v>PC</v>
          </cell>
        </row>
        <row r="120">
          <cell r="T120" t="str">
            <v>PC</v>
          </cell>
        </row>
        <row r="121">
          <cell r="T121" t="str">
            <v>PC</v>
          </cell>
        </row>
        <row r="122">
          <cell r="T122" t="str">
            <v>PC</v>
          </cell>
        </row>
        <row r="123">
          <cell r="T123" t="str">
            <v>PC</v>
          </cell>
        </row>
        <row r="124">
          <cell r="T124" t="str">
            <v>PC</v>
          </cell>
        </row>
        <row r="125">
          <cell r="T125" t="str">
            <v>PC</v>
          </cell>
        </row>
        <row r="126">
          <cell r="T126" t="str">
            <v>PC</v>
          </cell>
        </row>
        <row r="127">
          <cell r="T127" t="str">
            <v>PC</v>
          </cell>
        </row>
        <row r="128">
          <cell r="T128" t="str">
            <v>PC</v>
          </cell>
        </row>
        <row r="129">
          <cell r="T129" t="str">
            <v>PC</v>
          </cell>
        </row>
        <row r="130">
          <cell r="T130" t="str">
            <v>PC</v>
          </cell>
        </row>
        <row r="131">
          <cell r="T131" t="str">
            <v>PC</v>
          </cell>
        </row>
        <row r="132">
          <cell r="T132" t="str">
            <v>PC</v>
          </cell>
        </row>
        <row r="133">
          <cell r="T133" t="str">
            <v>PC</v>
          </cell>
        </row>
        <row r="134">
          <cell r="T134" t="str">
            <v>PC</v>
          </cell>
        </row>
        <row r="135">
          <cell r="T135" t="str">
            <v>PC</v>
          </cell>
        </row>
        <row r="136">
          <cell r="T136" t="str">
            <v>PC</v>
          </cell>
        </row>
        <row r="137">
          <cell r="T137" t="str">
            <v>PC</v>
          </cell>
        </row>
        <row r="138">
          <cell r="T138" t="str">
            <v>PC</v>
          </cell>
        </row>
        <row r="139">
          <cell r="T139" t="str">
            <v>PC</v>
          </cell>
        </row>
        <row r="140">
          <cell r="T140" t="str">
            <v>PC</v>
          </cell>
        </row>
        <row r="141">
          <cell r="T141" t="str">
            <v>PC</v>
          </cell>
        </row>
        <row r="142">
          <cell r="T142" t="str">
            <v>PC</v>
          </cell>
        </row>
        <row r="143">
          <cell r="T143" t="str">
            <v>PC</v>
          </cell>
        </row>
        <row r="144">
          <cell r="T144" t="str">
            <v>PC</v>
          </cell>
        </row>
        <row r="145">
          <cell r="T145" t="str">
            <v>PC</v>
          </cell>
        </row>
        <row r="146">
          <cell r="T146" t="str">
            <v>PC</v>
          </cell>
        </row>
        <row r="147">
          <cell r="T147" t="str">
            <v>PC</v>
          </cell>
        </row>
        <row r="148">
          <cell r="T148" t="str">
            <v>PC</v>
          </cell>
        </row>
        <row r="149">
          <cell r="T149" t="str">
            <v>PC</v>
          </cell>
        </row>
        <row r="150">
          <cell r="T150" t="str">
            <v>PC</v>
          </cell>
        </row>
        <row r="151">
          <cell r="T151" t="str">
            <v>PC</v>
          </cell>
        </row>
        <row r="152">
          <cell r="T152" t="str">
            <v>PC</v>
          </cell>
        </row>
        <row r="153">
          <cell r="T153" t="str">
            <v>PC</v>
          </cell>
        </row>
        <row r="154">
          <cell r="T154" t="str">
            <v>PC</v>
          </cell>
        </row>
        <row r="155">
          <cell r="T155" t="str">
            <v>PC</v>
          </cell>
        </row>
        <row r="156">
          <cell r="T156" t="str">
            <v>PC</v>
          </cell>
        </row>
        <row r="157">
          <cell r="T157" t="str">
            <v>PC</v>
          </cell>
        </row>
        <row r="158">
          <cell r="T158" t="str">
            <v>PC</v>
          </cell>
        </row>
        <row r="159">
          <cell r="T159" t="str">
            <v>PC</v>
          </cell>
        </row>
        <row r="160">
          <cell r="T160" t="str">
            <v>PC</v>
          </cell>
        </row>
        <row r="161">
          <cell r="T161" t="str">
            <v>PC</v>
          </cell>
        </row>
        <row r="162">
          <cell r="T162" t="str">
            <v>PC</v>
          </cell>
        </row>
        <row r="163">
          <cell r="T163" t="str">
            <v>PC</v>
          </cell>
        </row>
        <row r="164">
          <cell r="T164" t="str">
            <v>PC</v>
          </cell>
        </row>
        <row r="165">
          <cell r="T165" t="str">
            <v>PC</v>
          </cell>
        </row>
        <row r="166">
          <cell r="T166" t="str">
            <v>PC</v>
          </cell>
        </row>
        <row r="167">
          <cell r="T167" t="str">
            <v>PC</v>
          </cell>
        </row>
        <row r="168">
          <cell r="T168" t="str">
            <v>PC</v>
          </cell>
        </row>
        <row r="169">
          <cell r="T169" t="str">
            <v>PC</v>
          </cell>
        </row>
        <row r="170">
          <cell r="T170" t="str">
            <v>PC</v>
          </cell>
        </row>
        <row r="171">
          <cell r="T171" t="str">
            <v>PC</v>
          </cell>
        </row>
        <row r="172">
          <cell r="T172" t="str">
            <v>PC</v>
          </cell>
        </row>
        <row r="173">
          <cell r="T173" t="str">
            <v>PC</v>
          </cell>
        </row>
        <row r="174">
          <cell r="T174" t="str">
            <v>PC</v>
          </cell>
        </row>
        <row r="175">
          <cell r="T175" t="str">
            <v>PC</v>
          </cell>
        </row>
        <row r="176">
          <cell r="T176" t="str">
            <v>PC</v>
          </cell>
        </row>
        <row r="177">
          <cell r="T177" t="str">
            <v>PC</v>
          </cell>
        </row>
        <row r="178">
          <cell r="T178" t="str">
            <v>PC</v>
          </cell>
        </row>
        <row r="179">
          <cell r="T179" t="str">
            <v>PC</v>
          </cell>
        </row>
        <row r="180">
          <cell r="T180" t="str">
            <v>PC</v>
          </cell>
        </row>
        <row r="181">
          <cell r="T181" t="str">
            <v>PC</v>
          </cell>
        </row>
        <row r="182">
          <cell r="T182" t="str">
            <v>PC</v>
          </cell>
        </row>
        <row r="183">
          <cell r="T183" t="str">
            <v>PC</v>
          </cell>
        </row>
        <row r="184">
          <cell r="T184" t="str">
            <v>PC</v>
          </cell>
        </row>
        <row r="185">
          <cell r="T185" t="str">
            <v>PC</v>
          </cell>
        </row>
        <row r="186">
          <cell r="T186" t="str">
            <v>PC</v>
          </cell>
        </row>
        <row r="187">
          <cell r="T187" t="str">
            <v>PC</v>
          </cell>
        </row>
        <row r="188">
          <cell r="T188" t="str">
            <v>PC</v>
          </cell>
        </row>
        <row r="189">
          <cell r="T189" t="str">
            <v>PC</v>
          </cell>
        </row>
        <row r="190">
          <cell r="T190" t="str">
            <v>PC</v>
          </cell>
        </row>
        <row r="191">
          <cell r="T191" t="str">
            <v>PC</v>
          </cell>
        </row>
        <row r="192">
          <cell r="T192" t="str">
            <v>PC</v>
          </cell>
        </row>
        <row r="193">
          <cell r="T193" t="str">
            <v>PC</v>
          </cell>
        </row>
        <row r="194">
          <cell r="T194" t="str">
            <v>PC</v>
          </cell>
        </row>
        <row r="195">
          <cell r="T195" t="str">
            <v>PC</v>
          </cell>
        </row>
        <row r="196">
          <cell r="T196" t="str">
            <v>PC</v>
          </cell>
        </row>
        <row r="197">
          <cell r="T197" t="str">
            <v>PC</v>
          </cell>
        </row>
        <row r="198">
          <cell r="T198" t="str">
            <v>PC</v>
          </cell>
        </row>
        <row r="199">
          <cell r="T199" t="str">
            <v>PC</v>
          </cell>
        </row>
        <row r="200">
          <cell r="T200" t="str">
            <v>PC</v>
          </cell>
        </row>
        <row r="201">
          <cell r="T201" t="str">
            <v>PC</v>
          </cell>
        </row>
        <row r="202">
          <cell r="T202" t="str">
            <v>PC</v>
          </cell>
        </row>
        <row r="203">
          <cell r="T203" t="str">
            <v>PC</v>
          </cell>
        </row>
        <row r="204">
          <cell r="T204" t="str">
            <v>PC</v>
          </cell>
        </row>
        <row r="205">
          <cell r="T205" t="str">
            <v>PC</v>
          </cell>
        </row>
        <row r="206">
          <cell r="T206" t="str">
            <v>PC</v>
          </cell>
        </row>
        <row r="207">
          <cell r="T207" t="str">
            <v>PC</v>
          </cell>
        </row>
        <row r="208">
          <cell r="T208" t="str">
            <v>PC</v>
          </cell>
        </row>
        <row r="209">
          <cell r="T209" t="str">
            <v>PC</v>
          </cell>
        </row>
        <row r="210">
          <cell r="T210" t="str">
            <v>PC</v>
          </cell>
        </row>
        <row r="211">
          <cell r="T211" t="str">
            <v>PC</v>
          </cell>
        </row>
        <row r="212">
          <cell r="T212" t="str">
            <v>PC</v>
          </cell>
        </row>
        <row r="213">
          <cell r="T213" t="str">
            <v>PC</v>
          </cell>
        </row>
        <row r="214">
          <cell r="T214" t="str">
            <v>PC</v>
          </cell>
        </row>
        <row r="215">
          <cell r="T215" t="str">
            <v>PC</v>
          </cell>
        </row>
        <row r="216">
          <cell r="T216" t="str">
            <v>PC</v>
          </cell>
        </row>
        <row r="217">
          <cell r="T217" t="str">
            <v>PC</v>
          </cell>
        </row>
        <row r="218">
          <cell r="T218" t="str">
            <v>PC</v>
          </cell>
        </row>
        <row r="219">
          <cell r="T219" t="str">
            <v>PC</v>
          </cell>
        </row>
        <row r="220">
          <cell r="T220" t="str">
            <v>PC</v>
          </cell>
        </row>
        <row r="221">
          <cell r="T221" t="str">
            <v>PC</v>
          </cell>
        </row>
        <row r="222">
          <cell r="T222" t="str">
            <v>PC</v>
          </cell>
        </row>
        <row r="223">
          <cell r="T223" t="str">
            <v>PC</v>
          </cell>
        </row>
        <row r="224">
          <cell r="T224" t="str">
            <v>PC</v>
          </cell>
        </row>
        <row r="225">
          <cell r="T225" t="str">
            <v>PC</v>
          </cell>
        </row>
        <row r="226">
          <cell r="T226" t="str">
            <v>PC</v>
          </cell>
        </row>
        <row r="227">
          <cell r="T227" t="str">
            <v>PC</v>
          </cell>
        </row>
        <row r="228">
          <cell r="T228" t="str">
            <v>PC</v>
          </cell>
        </row>
        <row r="229">
          <cell r="T229" t="str">
            <v>PC</v>
          </cell>
        </row>
        <row r="230">
          <cell r="T230" t="str">
            <v>PC</v>
          </cell>
        </row>
        <row r="231">
          <cell r="T231" t="str">
            <v>PC</v>
          </cell>
        </row>
        <row r="232">
          <cell r="T232" t="str">
            <v>PC</v>
          </cell>
        </row>
        <row r="233">
          <cell r="T233" t="str">
            <v>PC</v>
          </cell>
        </row>
        <row r="234">
          <cell r="T234" t="str">
            <v>PC</v>
          </cell>
        </row>
        <row r="235">
          <cell r="T235" t="str">
            <v>PC</v>
          </cell>
        </row>
        <row r="236">
          <cell r="T236" t="str">
            <v>PC</v>
          </cell>
        </row>
        <row r="237">
          <cell r="T237" t="str">
            <v>PC</v>
          </cell>
        </row>
        <row r="238">
          <cell r="T238" t="str">
            <v>PC</v>
          </cell>
        </row>
        <row r="239">
          <cell r="T239" t="str">
            <v>PC</v>
          </cell>
        </row>
        <row r="240">
          <cell r="T240" t="str">
            <v>PC</v>
          </cell>
        </row>
        <row r="241">
          <cell r="T241" t="str">
            <v>PC</v>
          </cell>
        </row>
        <row r="242">
          <cell r="T242" t="str">
            <v>PC</v>
          </cell>
        </row>
        <row r="243">
          <cell r="T243" t="str">
            <v>PC</v>
          </cell>
        </row>
        <row r="244">
          <cell r="T244" t="str">
            <v>PC</v>
          </cell>
        </row>
        <row r="245">
          <cell r="T245" t="str">
            <v>PC</v>
          </cell>
        </row>
        <row r="246">
          <cell r="T246" t="str">
            <v>PC</v>
          </cell>
        </row>
        <row r="247">
          <cell r="T247" t="str">
            <v>PC</v>
          </cell>
        </row>
        <row r="248">
          <cell r="T248" t="str">
            <v>PC</v>
          </cell>
        </row>
        <row r="249">
          <cell r="T249" t="str">
            <v>PC</v>
          </cell>
        </row>
        <row r="250">
          <cell r="T250" t="str">
            <v>PC</v>
          </cell>
        </row>
        <row r="251">
          <cell r="T251" t="str">
            <v>PC</v>
          </cell>
        </row>
        <row r="252">
          <cell r="T252" t="str">
            <v>PC</v>
          </cell>
        </row>
        <row r="253">
          <cell r="T253" t="str">
            <v>PC</v>
          </cell>
        </row>
        <row r="254">
          <cell r="T254" t="str">
            <v>PC</v>
          </cell>
        </row>
        <row r="255">
          <cell r="T255" t="str">
            <v>PC</v>
          </cell>
        </row>
        <row r="256">
          <cell r="T256" t="str">
            <v>PC</v>
          </cell>
        </row>
        <row r="257">
          <cell r="T257" t="str">
            <v>PC</v>
          </cell>
        </row>
        <row r="258">
          <cell r="T258" t="str">
            <v>PC</v>
          </cell>
        </row>
        <row r="259">
          <cell r="T259" t="str">
            <v>PC</v>
          </cell>
        </row>
        <row r="260">
          <cell r="T260" t="str">
            <v>PC</v>
          </cell>
        </row>
        <row r="261">
          <cell r="T261" t="str">
            <v>PC</v>
          </cell>
        </row>
        <row r="262">
          <cell r="T262" t="str">
            <v>PC</v>
          </cell>
        </row>
        <row r="263">
          <cell r="T263" t="str">
            <v>PC</v>
          </cell>
        </row>
        <row r="264">
          <cell r="T264" t="str">
            <v>PC</v>
          </cell>
        </row>
        <row r="265">
          <cell r="T265" t="str">
            <v>PC</v>
          </cell>
        </row>
        <row r="266">
          <cell r="T266" t="str">
            <v>PC</v>
          </cell>
        </row>
        <row r="267">
          <cell r="T267" t="str">
            <v>PC</v>
          </cell>
        </row>
        <row r="268">
          <cell r="T268" t="str">
            <v>PC</v>
          </cell>
        </row>
        <row r="269">
          <cell r="T269" t="str">
            <v>PC</v>
          </cell>
        </row>
        <row r="270">
          <cell r="T270" t="str">
            <v>PC</v>
          </cell>
        </row>
        <row r="271">
          <cell r="T271" t="str">
            <v>PC</v>
          </cell>
        </row>
        <row r="272">
          <cell r="T272" t="str">
            <v>PC</v>
          </cell>
        </row>
        <row r="273">
          <cell r="T273" t="str">
            <v>PC</v>
          </cell>
        </row>
        <row r="274">
          <cell r="T274" t="str">
            <v>PC</v>
          </cell>
        </row>
        <row r="275">
          <cell r="T275" t="str">
            <v>PC</v>
          </cell>
        </row>
        <row r="276">
          <cell r="T276" t="str">
            <v>PC</v>
          </cell>
        </row>
        <row r="277">
          <cell r="T277" t="str">
            <v>PC</v>
          </cell>
        </row>
        <row r="278">
          <cell r="T278" t="str">
            <v>PC</v>
          </cell>
        </row>
        <row r="279">
          <cell r="T279" t="str">
            <v>PC</v>
          </cell>
        </row>
        <row r="280">
          <cell r="T280" t="str">
            <v>PC</v>
          </cell>
        </row>
        <row r="281">
          <cell r="T281" t="str">
            <v>PC</v>
          </cell>
        </row>
        <row r="282">
          <cell r="T282" t="str">
            <v>PC</v>
          </cell>
        </row>
        <row r="283">
          <cell r="T283" t="str">
            <v>PC</v>
          </cell>
        </row>
        <row r="284">
          <cell r="T284" t="str">
            <v>PC</v>
          </cell>
        </row>
        <row r="285">
          <cell r="T285" t="str">
            <v>PC</v>
          </cell>
        </row>
        <row r="286">
          <cell r="T286" t="str">
            <v>PC</v>
          </cell>
        </row>
        <row r="287">
          <cell r="T287" t="str">
            <v>PC</v>
          </cell>
        </row>
        <row r="288">
          <cell r="T288" t="str">
            <v>PC</v>
          </cell>
        </row>
        <row r="289">
          <cell r="T289" t="str">
            <v>PC</v>
          </cell>
        </row>
        <row r="290">
          <cell r="T290" t="str">
            <v>PC</v>
          </cell>
        </row>
        <row r="291">
          <cell r="T291" t="str">
            <v>PC</v>
          </cell>
        </row>
        <row r="292">
          <cell r="T292" t="str">
            <v>PC</v>
          </cell>
        </row>
        <row r="293">
          <cell r="T293" t="str">
            <v>PC</v>
          </cell>
        </row>
        <row r="294">
          <cell r="T294" t="str">
            <v>PC</v>
          </cell>
        </row>
        <row r="295">
          <cell r="T295" t="str">
            <v>PC</v>
          </cell>
        </row>
        <row r="296">
          <cell r="T296" t="str">
            <v>PC</v>
          </cell>
        </row>
        <row r="297">
          <cell r="T297" t="str">
            <v>PC</v>
          </cell>
        </row>
        <row r="298">
          <cell r="T298" t="str">
            <v>PC</v>
          </cell>
        </row>
        <row r="299">
          <cell r="T299" t="str">
            <v>PC</v>
          </cell>
        </row>
        <row r="300">
          <cell r="T300" t="str">
            <v>PC</v>
          </cell>
        </row>
        <row r="301">
          <cell r="T301" t="str">
            <v>PC</v>
          </cell>
        </row>
        <row r="302">
          <cell r="T302" t="str">
            <v>PC</v>
          </cell>
        </row>
        <row r="303">
          <cell r="T303" t="str">
            <v>PC</v>
          </cell>
        </row>
        <row r="304">
          <cell r="T304" t="str">
            <v>PC</v>
          </cell>
        </row>
        <row r="305">
          <cell r="T305" t="str">
            <v>PC</v>
          </cell>
        </row>
        <row r="306">
          <cell r="T306" t="str">
            <v>PC</v>
          </cell>
        </row>
        <row r="307">
          <cell r="T307" t="str">
            <v>PC</v>
          </cell>
        </row>
        <row r="308">
          <cell r="T308" t="str">
            <v>PC</v>
          </cell>
        </row>
        <row r="309">
          <cell r="T309" t="str">
            <v>PC</v>
          </cell>
        </row>
        <row r="310">
          <cell r="T310" t="str">
            <v>PC</v>
          </cell>
        </row>
        <row r="311">
          <cell r="T311" t="str">
            <v>PC</v>
          </cell>
        </row>
        <row r="312">
          <cell r="T312" t="str">
            <v>PC</v>
          </cell>
        </row>
        <row r="313">
          <cell r="T313" t="str">
            <v>PC</v>
          </cell>
        </row>
        <row r="314">
          <cell r="T314" t="str">
            <v>PC</v>
          </cell>
        </row>
        <row r="315">
          <cell r="T315" t="str">
            <v>PC</v>
          </cell>
        </row>
        <row r="316">
          <cell r="T316" t="str">
            <v>PC</v>
          </cell>
        </row>
        <row r="317">
          <cell r="T317" t="str">
            <v>PC</v>
          </cell>
        </row>
        <row r="318">
          <cell r="T318" t="str">
            <v>PC</v>
          </cell>
        </row>
        <row r="319">
          <cell r="T319" t="str">
            <v>PC</v>
          </cell>
        </row>
        <row r="320">
          <cell r="T320" t="str">
            <v>PC</v>
          </cell>
        </row>
        <row r="321">
          <cell r="T321" t="str">
            <v>PC</v>
          </cell>
        </row>
        <row r="322">
          <cell r="T322" t="str">
            <v>PC</v>
          </cell>
        </row>
        <row r="323">
          <cell r="T323" t="str">
            <v>PC</v>
          </cell>
        </row>
        <row r="324">
          <cell r="T324" t="str">
            <v>PC</v>
          </cell>
        </row>
        <row r="325">
          <cell r="T325" t="str">
            <v>PC</v>
          </cell>
        </row>
        <row r="326">
          <cell r="T326" t="str">
            <v>PC</v>
          </cell>
        </row>
        <row r="327">
          <cell r="T327" t="str">
            <v>PC</v>
          </cell>
        </row>
        <row r="328">
          <cell r="T328" t="str">
            <v>PC</v>
          </cell>
        </row>
        <row r="329">
          <cell r="T329" t="str">
            <v>PC</v>
          </cell>
        </row>
        <row r="330">
          <cell r="T330" t="str">
            <v>PC</v>
          </cell>
        </row>
        <row r="331">
          <cell r="T331" t="str">
            <v>PC</v>
          </cell>
        </row>
        <row r="332">
          <cell r="T332" t="str">
            <v>PC</v>
          </cell>
        </row>
        <row r="333">
          <cell r="T333" t="str">
            <v>PC</v>
          </cell>
        </row>
        <row r="334">
          <cell r="T334" t="str">
            <v>PC</v>
          </cell>
        </row>
        <row r="335">
          <cell r="T335" t="str">
            <v>PC</v>
          </cell>
        </row>
        <row r="336">
          <cell r="T336" t="str">
            <v>PC</v>
          </cell>
        </row>
        <row r="337">
          <cell r="T337" t="str">
            <v>PC</v>
          </cell>
        </row>
        <row r="338">
          <cell r="T338" t="str">
            <v>PC</v>
          </cell>
        </row>
        <row r="339">
          <cell r="T339" t="str">
            <v>PC</v>
          </cell>
        </row>
        <row r="340">
          <cell r="T340" t="str">
            <v>PC</v>
          </cell>
        </row>
        <row r="341">
          <cell r="T341" t="str">
            <v>PC</v>
          </cell>
        </row>
        <row r="342">
          <cell r="T342" t="str">
            <v>PC</v>
          </cell>
        </row>
        <row r="343">
          <cell r="T343" t="str">
            <v>PC</v>
          </cell>
        </row>
        <row r="344">
          <cell r="T344" t="str">
            <v>PC</v>
          </cell>
        </row>
        <row r="345">
          <cell r="T345" t="str">
            <v>PC</v>
          </cell>
        </row>
        <row r="346">
          <cell r="T346" t="str">
            <v>PC</v>
          </cell>
        </row>
        <row r="347">
          <cell r="T347" t="str">
            <v>PC</v>
          </cell>
        </row>
        <row r="348">
          <cell r="T348" t="str">
            <v>PC</v>
          </cell>
        </row>
        <row r="349">
          <cell r="T349" t="str">
            <v>PC</v>
          </cell>
        </row>
        <row r="350">
          <cell r="T350" t="str">
            <v>PC</v>
          </cell>
        </row>
        <row r="351">
          <cell r="T351" t="str">
            <v>PC</v>
          </cell>
        </row>
        <row r="352">
          <cell r="T352" t="str">
            <v>PC</v>
          </cell>
        </row>
        <row r="353">
          <cell r="T353" t="str">
            <v>PC</v>
          </cell>
        </row>
        <row r="354">
          <cell r="T354" t="str">
            <v>PC</v>
          </cell>
        </row>
        <row r="355">
          <cell r="T355" t="str">
            <v>PC</v>
          </cell>
        </row>
        <row r="356">
          <cell r="T356" t="str">
            <v>PC</v>
          </cell>
        </row>
        <row r="357">
          <cell r="T357" t="str">
            <v>PC</v>
          </cell>
        </row>
        <row r="358">
          <cell r="T358" t="str">
            <v>PC</v>
          </cell>
        </row>
        <row r="359">
          <cell r="T359" t="str">
            <v>PC</v>
          </cell>
        </row>
        <row r="360">
          <cell r="T360" t="str">
            <v>PC</v>
          </cell>
        </row>
        <row r="361">
          <cell r="T361" t="str">
            <v>PC</v>
          </cell>
        </row>
        <row r="362">
          <cell r="T362" t="str">
            <v>PC</v>
          </cell>
        </row>
        <row r="363">
          <cell r="T363" t="str">
            <v>PC</v>
          </cell>
        </row>
        <row r="364">
          <cell r="T364" t="str">
            <v>PC</v>
          </cell>
        </row>
        <row r="365">
          <cell r="T365" t="str">
            <v>PC</v>
          </cell>
        </row>
        <row r="366">
          <cell r="T366" t="str">
            <v>PC</v>
          </cell>
        </row>
        <row r="367">
          <cell r="T367" t="str">
            <v>PC</v>
          </cell>
        </row>
        <row r="368">
          <cell r="T368" t="str">
            <v>PC</v>
          </cell>
        </row>
        <row r="369">
          <cell r="T369" t="str">
            <v>PC</v>
          </cell>
        </row>
        <row r="370">
          <cell r="T370" t="str">
            <v>PC</v>
          </cell>
        </row>
        <row r="371">
          <cell r="T371" t="str">
            <v>PC</v>
          </cell>
        </row>
        <row r="372">
          <cell r="T372" t="str">
            <v>PC</v>
          </cell>
        </row>
        <row r="373">
          <cell r="T373" t="str">
            <v>PC</v>
          </cell>
        </row>
        <row r="374">
          <cell r="T374" t="str">
            <v>PC</v>
          </cell>
        </row>
        <row r="375">
          <cell r="T375" t="str">
            <v>PC</v>
          </cell>
        </row>
        <row r="376">
          <cell r="T376" t="str">
            <v>PC</v>
          </cell>
        </row>
        <row r="377">
          <cell r="T377" t="str">
            <v>PC</v>
          </cell>
        </row>
        <row r="378">
          <cell r="T378" t="str">
            <v>PC</v>
          </cell>
        </row>
        <row r="379">
          <cell r="T379" t="str">
            <v>PC</v>
          </cell>
        </row>
        <row r="380">
          <cell r="T380" t="str">
            <v>PC</v>
          </cell>
        </row>
        <row r="381">
          <cell r="T381" t="str">
            <v>PC</v>
          </cell>
        </row>
        <row r="382">
          <cell r="T382" t="str">
            <v>PC</v>
          </cell>
        </row>
        <row r="383">
          <cell r="T383" t="str">
            <v>PC</v>
          </cell>
        </row>
        <row r="384">
          <cell r="T384" t="str">
            <v>PC</v>
          </cell>
        </row>
        <row r="385">
          <cell r="T385" t="str">
            <v>PC</v>
          </cell>
        </row>
        <row r="386">
          <cell r="T386" t="str">
            <v>PC</v>
          </cell>
        </row>
        <row r="387">
          <cell r="T387" t="str">
            <v>PC</v>
          </cell>
        </row>
        <row r="388">
          <cell r="T388" t="str">
            <v>PC</v>
          </cell>
        </row>
        <row r="389">
          <cell r="T389" t="str">
            <v>PC</v>
          </cell>
        </row>
        <row r="390">
          <cell r="T390" t="str">
            <v>PC</v>
          </cell>
        </row>
        <row r="391">
          <cell r="T391" t="str">
            <v>PC</v>
          </cell>
        </row>
        <row r="392">
          <cell r="T392" t="str">
            <v>PC</v>
          </cell>
        </row>
        <row r="393">
          <cell r="T393" t="str">
            <v>PC</v>
          </cell>
        </row>
        <row r="394">
          <cell r="T394" t="str">
            <v>PC</v>
          </cell>
        </row>
        <row r="395">
          <cell r="T395" t="str">
            <v>PC</v>
          </cell>
        </row>
        <row r="396">
          <cell r="T396" t="str">
            <v>PC</v>
          </cell>
        </row>
        <row r="397">
          <cell r="T397" t="str">
            <v>PC</v>
          </cell>
        </row>
        <row r="398">
          <cell r="T398" t="str">
            <v>PC</v>
          </cell>
        </row>
        <row r="399">
          <cell r="T399" t="str">
            <v>PC</v>
          </cell>
        </row>
        <row r="400">
          <cell r="T400" t="str">
            <v>PC</v>
          </cell>
        </row>
        <row r="401">
          <cell r="T401" t="str">
            <v>PC</v>
          </cell>
        </row>
        <row r="402">
          <cell r="T402" t="str">
            <v>PC</v>
          </cell>
        </row>
        <row r="403">
          <cell r="T403" t="str">
            <v>PC</v>
          </cell>
        </row>
        <row r="404">
          <cell r="T404" t="str">
            <v>PC</v>
          </cell>
        </row>
        <row r="405">
          <cell r="T405" t="str">
            <v>PC</v>
          </cell>
        </row>
        <row r="406">
          <cell r="T406" t="str">
            <v>PC</v>
          </cell>
        </row>
        <row r="407">
          <cell r="T407" t="str">
            <v>PC</v>
          </cell>
        </row>
        <row r="408">
          <cell r="T408" t="str">
            <v>PC</v>
          </cell>
        </row>
        <row r="409">
          <cell r="T409" t="str">
            <v>PC</v>
          </cell>
        </row>
        <row r="410">
          <cell r="T410" t="str">
            <v>PC</v>
          </cell>
        </row>
        <row r="411">
          <cell r="T411" t="str">
            <v>PC</v>
          </cell>
        </row>
        <row r="412">
          <cell r="T412" t="str">
            <v>PC</v>
          </cell>
        </row>
        <row r="413">
          <cell r="T413" t="str">
            <v>PC</v>
          </cell>
        </row>
        <row r="414">
          <cell r="T414" t="str">
            <v>PC</v>
          </cell>
        </row>
        <row r="415">
          <cell r="T415" t="str">
            <v>PC</v>
          </cell>
        </row>
        <row r="416">
          <cell r="T416" t="str">
            <v>PC</v>
          </cell>
        </row>
        <row r="417">
          <cell r="T417" t="str">
            <v>PC</v>
          </cell>
        </row>
        <row r="418">
          <cell r="T418" t="str">
            <v>PC</v>
          </cell>
        </row>
        <row r="419">
          <cell r="T419" t="str">
            <v>PC</v>
          </cell>
        </row>
        <row r="420">
          <cell r="T420" t="str">
            <v>PC</v>
          </cell>
        </row>
        <row r="421">
          <cell r="T421" t="str">
            <v>PC</v>
          </cell>
        </row>
        <row r="422">
          <cell r="T422" t="str">
            <v>PC</v>
          </cell>
        </row>
        <row r="423">
          <cell r="T423" t="str">
            <v>PC</v>
          </cell>
        </row>
        <row r="424">
          <cell r="T424" t="str">
            <v>PC</v>
          </cell>
        </row>
        <row r="425">
          <cell r="T425" t="str">
            <v>PC</v>
          </cell>
        </row>
        <row r="426">
          <cell r="T426" t="str">
            <v>PC</v>
          </cell>
        </row>
        <row r="427">
          <cell r="T427" t="str">
            <v>PC</v>
          </cell>
        </row>
        <row r="428">
          <cell r="T428" t="str">
            <v>PC</v>
          </cell>
        </row>
        <row r="429">
          <cell r="T429" t="str">
            <v>PC</v>
          </cell>
        </row>
        <row r="430">
          <cell r="T430" t="str">
            <v>PC</v>
          </cell>
        </row>
        <row r="431">
          <cell r="T431" t="str">
            <v>PC</v>
          </cell>
        </row>
        <row r="432">
          <cell r="T432" t="str">
            <v>PC</v>
          </cell>
        </row>
        <row r="433">
          <cell r="T433" t="str">
            <v>PC</v>
          </cell>
        </row>
        <row r="434">
          <cell r="T434" t="str">
            <v>PC</v>
          </cell>
        </row>
        <row r="435">
          <cell r="T435" t="str">
            <v>PC</v>
          </cell>
        </row>
        <row r="436">
          <cell r="T436" t="str">
            <v>PC</v>
          </cell>
        </row>
        <row r="437">
          <cell r="T437" t="str">
            <v>PC</v>
          </cell>
        </row>
        <row r="438">
          <cell r="T438" t="str">
            <v>PC</v>
          </cell>
        </row>
        <row r="439">
          <cell r="T439" t="str">
            <v>PC</v>
          </cell>
        </row>
        <row r="440">
          <cell r="T440" t="str">
            <v>PC</v>
          </cell>
        </row>
        <row r="441">
          <cell r="T441" t="str">
            <v>PC</v>
          </cell>
        </row>
        <row r="442">
          <cell r="T442" t="str">
            <v>PC</v>
          </cell>
        </row>
        <row r="443">
          <cell r="T443" t="str">
            <v>PC</v>
          </cell>
        </row>
        <row r="444">
          <cell r="T444" t="str">
            <v>PC</v>
          </cell>
        </row>
        <row r="445">
          <cell r="T445" t="str">
            <v>PC</v>
          </cell>
        </row>
        <row r="446">
          <cell r="T446" t="str">
            <v>PC</v>
          </cell>
        </row>
        <row r="447">
          <cell r="T447" t="str">
            <v>PC</v>
          </cell>
        </row>
        <row r="448">
          <cell r="T448" t="str">
            <v>PC</v>
          </cell>
        </row>
        <row r="449">
          <cell r="T449" t="str">
            <v>PC</v>
          </cell>
        </row>
        <row r="450">
          <cell r="T450" t="str">
            <v>PC</v>
          </cell>
        </row>
        <row r="451">
          <cell r="T451" t="str">
            <v>PC</v>
          </cell>
        </row>
        <row r="452">
          <cell r="T452" t="str">
            <v>PC</v>
          </cell>
        </row>
        <row r="453">
          <cell r="T453" t="str">
            <v>PC</v>
          </cell>
        </row>
        <row r="454">
          <cell r="T454" t="str">
            <v>PC</v>
          </cell>
        </row>
        <row r="455">
          <cell r="T455" t="str">
            <v>PC</v>
          </cell>
        </row>
        <row r="456">
          <cell r="T456" t="str">
            <v>PC</v>
          </cell>
        </row>
        <row r="457">
          <cell r="T457" t="str">
            <v>PC</v>
          </cell>
        </row>
        <row r="458">
          <cell r="T458" t="str">
            <v>PC</v>
          </cell>
        </row>
        <row r="459">
          <cell r="T459" t="str">
            <v>PC</v>
          </cell>
        </row>
        <row r="460">
          <cell r="T460" t="str">
            <v>PC</v>
          </cell>
        </row>
        <row r="461">
          <cell r="T461" t="str">
            <v>PC</v>
          </cell>
        </row>
        <row r="462">
          <cell r="T462" t="str">
            <v>PC</v>
          </cell>
        </row>
        <row r="463">
          <cell r="T463" t="str">
            <v>PC</v>
          </cell>
        </row>
        <row r="464">
          <cell r="T464" t="str">
            <v>PC</v>
          </cell>
        </row>
        <row r="465">
          <cell r="T465" t="str">
            <v>PC</v>
          </cell>
        </row>
        <row r="466">
          <cell r="T466" t="str">
            <v>PC</v>
          </cell>
        </row>
        <row r="467">
          <cell r="T467" t="str">
            <v>PC</v>
          </cell>
        </row>
        <row r="468">
          <cell r="T468" t="str">
            <v>PC</v>
          </cell>
        </row>
        <row r="469">
          <cell r="T469" t="str">
            <v>PC</v>
          </cell>
        </row>
        <row r="470">
          <cell r="T470" t="str">
            <v>PC</v>
          </cell>
        </row>
        <row r="471">
          <cell r="T471" t="str">
            <v>PC</v>
          </cell>
        </row>
        <row r="472">
          <cell r="T472" t="str">
            <v>PC</v>
          </cell>
        </row>
        <row r="473">
          <cell r="T473" t="str">
            <v>PC</v>
          </cell>
        </row>
        <row r="474">
          <cell r="T474" t="str">
            <v>PC</v>
          </cell>
        </row>
        <row r="475">
          <cell r="T475" t="str">
            <v>PC</v>
          </cell>
        </row>
        <row r="476">
          <cell r="T476" t="str">
            <v>PC</v>
          </cell>
        </row>
        <row r="477">
          <cell r="T477" t="str">
            <v>PC</v>
          </cell>
        </row>
        <row r="478">
          <cell r="T478" t="str">
            <v>PC</v>
          </cell>
        </row>
        <row r="479">
          <cell r="T479" t="str">
            <v>PC</v>
          </cell>
        </row>
        <row r="480">
          <cell r="T480" t="str">
            <v>PC</v>
          </cell>
        </row>
        <row r="481">
          <cell r="T481" t="str">
            <v>PC</v>
          </cell>
        </row>
        <row r="482">
          <cell r="T482" t="str">
            <v>PC</v>
          </cell>
        </row>
        <row r="483">
          <cell r="T483" t="str">
            <v>PC</v>
          </cell>
        </row>
        <row r="484">
          <cell r="T484" t="str">
            <v>PC</v>
          </cell>
        </row>
        <row r="485">
          <cell r="T485" t="str">
            <v>PC</v>
          </cell>
        </row>
        <row r="486">
          <cell r="T486" t="str">
            <v>PC</v>
          </cell>
        </row>
        <row r="487">
          <cell r="T487" t="str">
            <v>PC</v>
          </cell>
        </row>
        <row r="488">
          <cell r="T488" t="str">
            <v>PC</v>
          </cell>
        </row>
        <row r="489">
          <cell r="T489" t="str">
            <v>PC</v>
          </cell>
        </row>
        <row r="490">
          <cell r="T490" t="str">
            <v>PC</v>
          </cell>
        </row>
        <row r="491">
          <cell r="T491" t="str">
            <v>PC</v>
          </cell>
        </row>
        <row r="492">
          <cell r="T492" t="str">
            <v>PC</v>
          </cell>
        </row>
        <row r="493">
          <cell r="T493" t="str">
            <v>PC</v>
          </cell>
        </row>
        <row r="494">
          <cell r="T494" t="str">
            <v>PC</v>
          </cell>
        </row>
        <row r="495">
          <cell r="T495" t="str">
            <v>PC</v>
          </cell>
        </row>
        <row r="496">
          <cell r="T496" t="str">
            <v>PC</v>
          </cell>
        </row>
        <row r="497">
          <cell r="T497" t="str">
            <v>PC</v>
          </cell>
        </row>
        <row r="498">
          <cell r="T498" t="str">
            <v>PC</v>
          </cell>
        </row>
        <row r="499">
          <cell r="T499" t="str">
            <v>PC</v>
          </cell>
        </row>
        <row r="500">
          <cell r="T500" t="str">
            <v>PC</v>
          </cell>
        </row>
        <row r="501">
          <cell r="T501" t="str">
            <v>PC</v>
          </cell>
        </row>
        <row r="502">
          <cell r="T502" t="str">
            <v>PC</v>
          </cell>
        </row>
        <row r="503">
          <cell r="T503" t="str">
            <v>PC</v>
          </cell>
        </row>
        <row r="504">
          <cell r="T504" t="str">
            <v>PC</v>
          </cell>
        </row>
        <row r="505">
          <cell r="T505" t="str">
            <v>PC</v>
          </cell>
        </row>
        <row r="506">
          <cell r="T506" t="str">
            <v>PC</v>
          </cell>
        </row>
        <row r="507">
          <cell r="T507" t="str">
            <v>PC</v>
          </cell>
        </row>
        <row r="508">
          <cell r="T508" t="str">
            <v>PC</v>
          </cell>
        </row>
        <row r="509">
          <cell r="T509" t="str">
            <v>PC</v>
          </cell>
        </row>
        <row r="510">
          <cell r="T510" t="str">
            <v>PC</v>
          </cell>
        </row>
        <row r="511">
          <cell r="T511" t="str">
            <v>PC</v>
          </cell>
        </row>
        <row r="512">
          <cell r="T512" t="str">
            <v>PC</v>
          </cell>
        </row>
        <row r="513">
          <cell r="T513" t="str">
            <v>PC</v>
          </cell>
        </row>
        <row r="514">
          <cell r="T514" t="str">
            <v>PC</v>
          </cell>
        </row>
        <row r="515">
          <cell r="T515" t="str">
            <v>PC</v>
          </cell>
        </row>
        <row r="516">
          <cell r="T516" t="str">
            <v>PC</v>
          </cell>
        </row>
        <row r="517">
          <cell r="T517" t="str">
            <v>PC</v>
          </cell>
        </row>
        <row r="518">
          <cell r="T518" t="str">
            <v>PC</v>
          </cell>
        </row>
        <row r="519">
          <cell r="T519" t="str">
            <v>PC</v>
          </cell>
        </row>
        <row r="520">
          <cell r="T520" t="str">
            <v>PC</v>
          </cell>
        </row>
        <row r="521">
          <cell r="T521" t="str">
            <v>PC</v>
          </cell>
        </row>
        <row r="522">
          <cell r="T522" t="str">
            <v>PC</v>
          </cell>
        </row>
        <row r="523">
          <cell r="T523" t="str">
            <v>PC</v>
          </cell>
        </row>
        <row r="524">
          <cell r="T524" t="str">
            <v>PC</v>
          </cell>
        </row>
        <row r="525">
          <cell r="T525" t="str">
            <v>PC</v>
          </cell>
        </row>
        <row r="526">
          <cell r="T526" t="str">
            <v>PC</v>
          </cell>
        </row>
        <row r="527">
          <cell r="T527" t="str">
            <v>PC</v>
          </cell>
        </row>
        <row r="528">
          <cell r="T528" t="str">
            <v>PC</v>
          </cell>
        </row>
        <row r="529">
          <cell r="T529" t="str">
            <v>PC</v>
          </cell>
        </row>
        <row r="530">
          <cell r="T530" t="str">
            <v>PC</v>
          </cell>
        </row>
        <row r="531">
          <cell r="T531" t="str">
            <v>PC</v>
          </cell>
        </row>
        <row r="532">
          <cell r="T532" t="str">
            <v>PC</v>
          </cell>
        </row>
        <row r="533">
          <cell r="T533" t="str">
            <v>PC</v>
          </cell>
        </row>
        <row r="534">
          <cell r="T534" t="str">
            <v>PC</v>
          </cell>
        </row>
        <row r="535">
          <cell r="T535" t="str">
            <v>PC</v>
          </cell>
        </row>
        <row r="536">
          <cell r="T536" t="str">
            <v>PC</v>
          </cell>
        </row>
        <row r="537">
          <cell r="T537" t="str">
            <v>PC</v>
          </cell>
        </row>
        <row r="538">
          <cell r="T538" t="str">
            <v>PC</v>
          </cell>
        </row>
        <row r="539">
          <cell r="T539" t="str">
            <v>PC</v>
          </cell>
        </row>
        <row r="540">
          <cell r="T540" t="str">
            <v>PC</v>
          </cell>
        </row>
        <row r="541">
          <cell r="T541" t="str">
            <v>PC</v>
          </cell>
        </row>
        <row r="542">
          <cell r="T542" t="str">
            <v>PC</v>
          </cell>
        </row>
        <row r="543">
          <cell r="T543" t="str">
            <v>PC</v>
          </cell>
        </row>
        <row r="544">
          <cell r="T544" t="str">
            <v>PC</v>
          </cell>
        </row>
        <row r="545">
          <cell r="T545" t="str">
            <v>PC</v>
          </cell>
        </row>
        <row r="546">
          <cell r="T546" t="str">
            <v>PC</v>
          </cell>
        </row>
        <row r="547">
          <cell r="T547" t="str">
            <v>PC</v>
          </cell>
        </row>
        <row r="548">
          <cell r="T548" t="str">
            <v>PC</v>
          </cell>
        </row>
        <row r="549">
          <cell r="T549" t="str">
            <v>PC</v>
          </cell>
        </row>
        <row r="550">
          <cell r="T550" t="str">
            <v>PC</v>
          </cell>
        </row>
        <row r="551">
          <cell r="T551" t="str">
            <v>PC</v>
          </cell>
        </row>
        <row r="552">
          <cell r="T552" t="str">
            <v>PC</v>
          </cell>
        </row>
        <row r="553">
          <cell r="T553" t="str">
            <v>PC</v>
          </cell>
        </row>
        <row r="554">
          <cell r="T554" t="str">
            <v>PC</v>
          </cell>
        </row>
        <row r="555">
          <cell r="T555" t="str">
            <v>PC</v>
          </cell>
        </row>
        <row r="556">
          <cell r="T556" t="str">
            <v>PC</v>
          </cell>
        </row>
        <row r="557">
          <cell r="T557" t="str">
            <v>PC</v>
          </cell>
        </row>
        <row r="558">
          <cell r="T558" t="str">
            <v>PC</v>
          </cell>
        </row>
        <row r="559">
          <cell r="T559" t="str">
            <v>PC</v>
          </cell>
        </row>
        <row r="560">
          <cell r="T560" t="str">
            <v>PC</v>
          </cell>
        </row>
        <row r="561">
          <cell r="T561" t="str">
            <v>PC</v>
          </cell>
        </row>
        <row r="562">
          <cell r="T562" t="str">
            <v>PC</v>
          </cell>
        </row>
        <row r="563">
          <cell r="T563" t="str">
            <v>PC</v>
          </cell>
        </row>
        <row r="564">
          <cell r="T564" t="str">
            <v>PC</v>
          </cell>
        </row>
        <row r="565">
          <cell r="T565" t="str">
            <v>PC</v>
          </cell>
        </row>
        <row r="566">
          <cell r="T566" t="str">
            <v>PC</v>
          </cell>
        </row>
        <row r="567">
          <cell r="T567" t="str">
            <v>PC</v>
          </cell>
        </row>
        <row r="568">
          <cell r="T568" t="str">
            <v>PC</v>
          </cell>
        </row>
        <row r="569">
          <cell r="T569" t="str">
            <v>PC</v>
          </cell>
        </row>
        <row r="570">
          <cell r="T570" t="str">
            <v>PC</v>
          </cell>
        </row>
        <row r="571">
          <cell r="T571" t="str">
            <v>PC</v>
          </cell>
        </row>
        <row r="572">
          <cell r="T572" t="str">
            <v>PC</v>
          </cell>
        </row>
        <row r="573">
          <cell r="T573" t="str">
            <v>PC</v>
          </cell>
        </row>
        <row r="574">
          <cell r="T574" t="str">
            <v>PC</v>
          </cell>
        </row>
        <row r="575">
          <cell r="T575" t="str">
            <v>PC</v>
          </cell>
        </row>
        <row r="576">
          <cell r="T576" t="str">
            <v>PC</v>
          </cell>
        </row>
        <row r="577">
          <cell r="T577" t="str">
            <v>PC</v>
          </cell>
        </row>
        <row r="578">
          <cell r="T578" t="str">
            <v>PC</v>
          </cell>
        </row>
        <row r="579">
          <cell r="T579" t="str">
            <v>PC</v>
          </cell>
        </row>
        <row r="580">
          <cell r="T580" t="str">
            <v>PC</v>
          </cell>
        </row>
        <row r="581">
          <cell r="T581" t="str">
            <v>PC</v>
          </cell>
        </row>
        <row r="582">
          <cell r="T582" t="str">
            <v>PC</v>
          </cell>
        </row>
        <row r="583">
          <cell r="T583" t="str">
            <v>PC</v>
          </cell>
        </row>
        <row r="584">
          <cell r="T584" t="str">
            <v>PC</v>
          </cell>
        </row>
        <row r="585">
          <cell r="T585" t="str">
            <v>PC</v>
          </cell>
        </row>
        <row r="586">
          <cell r="T586" t="str">
            <v>PC</v>
          </cell>
        </row>
        <row r="587">
          <cell r="T587" t="str">
            <v>PC</v>
          </cell>
        </row>
        <row r="588">
          <cell r="T588" t="str">
            <v>PC</v>
          </cell>
        </row>
        <row r="589">
          <cell r="T589" t="str">
            <v>PC</v>
          </cell>
        </row>
        <row r="590">
          <cell r="T590" t="str">
            <v>PC</v>
          </cell>
        </row>
        <row r="591">
          <cell r="T591" t="str">
            <v>PC</v>
          </cell>
        </row>
        <row r="592">
          <cell r="T592" t="str">
            <v>PC</v>
          </cell>
        </row>
        <row r="593">
          <cell r="T593" t="str">
            <v>PC</v>
          </cell>
        </row>
        <row r="594">
          <cell r="T594" t="str">
            <v>PC</v>
          </cell>
        </row>
        <row r="595">
          <cell r="T595" t="str">
            <v>PC</v>
          </cell>
        </row>
        <row r="596">
          <cell r="T596" t="str">
            <v>PC</v>
          </cell>
        </row>
        <row r="597">
          <cell r="T597" t="str">
            <v>PC</v>
          </cell>
        </row>
        <row r="598">
          <cell r="T598" t="str">
            <v>PC</v>
          </cell>
        </row>
        <row r="599">
          <cell r="T599" t="str">
            <v>PC</v>
          </cell>
        </row>
        <row r="600">
          <cell r="T600" t="str">
            <v>PC</v>
          </cell>
        </row>
        <row r="601">
          <cell r="T601" t="str">
            <v>PC</v>
          </cell>
        </row>
        <row r="602">
          <cell r="T602" t="str">
            <v>PC</v>
          </cell>
        </row>
        <row r="603">
          <cell r="T603" t="str">
            <v>PC</v>
          </cell>
        </row>
        <row r="604">
          <cell r="T604" t="str">
            <v>PC</v>
          </cell>
        </row>
        <row r="605">
          <cell r="T605" t="str">
            <v>PC</v>
          </cell>
        </row>
        <row r="606">
          <cell r="T606" t="str">
            <v>PC</v>
          </cell>
        </row>
        <row r="607">
          <cell r="T607" t="str">
            <v>PC</v>
          </cell>
        </row>
        <row r="608">
          <cell r="T608" t="str">
            <v>PC</v>
          </cell>
        </row>
        <row r="609">
          <cell r="T609" t="str">
            <v>PC</v>
          </cell>
        </row>
        <row r="610">
          <cell r="T610" t="str">
            <v>PC</v>
          </cell>
        </row>
        <row r="611">
          <cell r="T611" t="str">
            <v>PC</v>
          </cell>
        </row>
        <row r="612">
          <cell r="T612" t="str">
            <v>PC</v>
          </cell>
        </row>
        <row r="613">
          <cell r="T613" t="str">
            <v>PC</v>
          </cell>
        </row>
        <row r="614">
          <cell r="T614" t="str">
            <v>PC</v>
          </cell>
        </row>
        <row r="615">
          <cell r="T615" t="str">
            <v>PC</v>
          </cell>
        </row>
        <row r="616">
          <cell r="T616" t="str">
            <v>PC</v>
          </cell>
        </row>
        <row r="617">
          <cell r="T617" t="str">
            <v>PC</v>
          </cell>
        </row>
        <row r="618">
          <cell r="T618" t="str">
            <v>PC</v>
          </cell>
        </row>
        <row r="619">
          <cell r="T619" t="str">
            <v>PC</v>
          </cell>
        </row>
        <row r="620">
          <cell r="T620" t="str">
            <v>PC</v>
          </cell>
        </row>
        <row r="621">
          <cell r="T621" t="str">
            <v>PC</v>
          </cell>
        </row>
        <row r="622">
          <cell r="T622" t="str">
            <v>PC</v>
          </cell>
        </row>
        <row r="623">
          <cell r="T623" t="str">
            <v>PC</v>
          </cell>
        </row>
        <row r="624">
          <cell r="T624" t="str">
            <v>PC</v>
          </cell>
        </row>
        <row r="625">
          <cell r="T625" t="str">
            <v>PC</v>
          </cell>
        </row>
        <row r="626">
          <cell r="T626" t="str">
            <v>PC</v>
          </cell>
        </row>
        <row r="627">
          <cell r="T627" t="str">
            <v>PC</v>
          </cell>
        </row>
        <row r="628">
          <cell r="T628" t="str">
            <v>PC</v>
          </cell>
        </row>
        <row r="629">
          <cell r="T629" t="str">
            <v>PC</v>
          </cell>
        </row>
        <row r="630">
          <cell r="T630" t="str">
            <v>PC</v>
          </cell>
        </row>
        <row r="631">
          <cell r="T631" t="str">
            <v>PC</v>
          </cell>
        </row>
        <row r="632">
          <cell r="T632" t="str">
            <v>PC</v>
          </cell>
        </row>
        <row r="633">
          <cell r="T633" t="str">
            <v>PC</v>
          </cell>
        </row>
        <row r="634">
          <cell r="T634" t="str">
            <v>PC</v>
          </cell>
        </row>
        <row r="635">
          <cell r="T635" t="str">
            <v>PC</v>
          </cell>
        </row>
        <row r="636">
          <cell r="T636" t="str">
            <v>PC</v>
          </cell>
        </row>
        <row r="637">
          <cell r="T637" t="str">
            <v>PC</v>
          </cell>
        </row>
        <row r="638">
          <cell r="T638" t="str">
            <v>PC</v>
          </cell>
        </row>
        <row r="639">
          <cell r="T639" t="str">
            <v>PC</v>
          </cell>
        </row>
        <row r="640">
          <cell r="T640" t="str">
            <v>PC</v>
          </cell>
        </row>
        <row r="641">
          <cell r="T641" t="str">
            <v>PC</v>
          </cell>
        </row>
        <row r="642">
          <cell r="T642" t="str">
            <v>PC</v>
          </cell>
        </row>
        <row r="643">
          <cell r="T643" t="str">
            <v>PC</v>
          </cell>
        </row>
        <row r="644">
          <cell r="T644" t="str">
            <v>PC</v>
          </cell>
        </row>
        <row r="645">
          <cell r="T645" t="str">
            <v>PC</v>
          </cell>
        </row>
        <row r="646">
          <cell r="T646" t="str">
            <v>PC</v>
          </cell>
        </row>
        <row r="647">
          <cell r="T647" t="str">
            <v>PC</v>
          </cell>
        </row>
        <row r="648">
          <cell r="T648" t="str">
            <v>PC</v>
          </cell>
        </row>
        <row r="649">
          <cell r="T649" t="str">
            <v>PC</v>
          </cell>
        </row>
        <row r="650">
          <cell r="T650" t="str">
            <v>PC</v>
          </cell>
        </row>
        <row r="651">
          <cell r="T651" t="str">
            <v>PC</v>
          </cell>
        </row>
        <row r="652">
          <cell r="T652" t="str">
            <v>PC</v>
          </cell>
        </row>
        <row r="653">
          <cell r="T653" t="str">
            <v>PC</v>
          </cell>
        </row>
        <row r="654">
          <cell r="T654" t="str">
            <v>PC</v>
          </cell>
        </row>
        <row r="655">
          <cell r="T655" t="str">
            <v>PC</v>
          </cell>
        </row>
        <row r="656">
          <cell r="T656" t="str">
            <v>PC</v>
          </cell>
        </row>
        <row r="657">
          <cell r="T657" t="str">
            <v>PC</v>
          </cell>
        </row>
        <row r="658">
          <cell r="T658" t="str">
            <v>PC</v>
          </cell>
        </row>
        <row r="659">
          <cell r="T659" t="str">
            <v>PC</v>
          </cell>
        </row>
        <row r="660">
          <cell r="T660" t="str">
            <v>PC</v>
          </cell>
        </row>
        <row r="661">
          <cell r="T661" t="str">
            <v>PC</v>
          </cell>
        </row>
        <row r="662">
          <cell r="T662" t="str">
            <v>PC</v>
          </cell>
        </row>
        <row r="663">
          <cell r="T663" t="str">
            <v>PC</v>
          </cell>
        </row>
        <row r="664">
          <cell r="T664" t="str">
            <v>PC</v>
          </cell>
        </row>
        <row r="665">
          <cell r="T665" t="str">
            <v>PC</v>
          </cell>
        </row>
        <row r="666">
          <cell r="T666" t="str">
            <v>PC</v>
          </cell>
        </row>
        <row r="667">
          <cell r="T667" t="str">
            <v>PC</v>
          </cell>
        </row>
        <row r="668">
          <cell r="T668" t="str">
            <v>PC</v>
          </cell>
        </row>
        <row r="669">
          <cell r="T669" t="str">
            <v>PC</v>
          </cell>
        </row>
        <row r="670">
          <cell r="T670" t="str">
            <v>PC</v>
          </cell>
        </row>
        <row r="671">
          <cell r="T671" t="str">
            <v>PC</v>
          </cell>
        </row>
        <row r="672">
          <cell r="T672" t="str">
            <v>PC</v>
          </cell>
        </row>
        <row r="673">
          <cell r="T673" t="str">
            <v>PC</v>
          </cell>
        </row>
        <row r="674">
          <cell r="T674" t="str">
            <v>PC</v>
          </cell>
        </row>
        <row r="675">
          <cell r="T675" t="str">
            <v>PC</v>
          </cell>
        </row>
        <row r="676">
          <cell r="T676" t="str">
            <v>PC</v>
          </cell>
        </row>
        <row r="677">
          <cell r="T677" t="str">
            <v>PC</v>
          </cell>
        </row>
        <row r="678">
          <cell r="T678" t="str">
            <v>PC</v>
          </cell>
        </row>
        <row r="679">
          <cell r="T679" t="str">
            <v>PC</v>
          </cell>
        </row>
        <row r="680">
          <cell r="T680" t="str">
            <v>PC</v>
          </cell>
        </row>
        <row r="681">
          <cell r="T681" t="str">
            <v>PC</v>
          </cell>
        </row>
        <row r="682">
          <cell r="T682" t="str">
            <v>PC</v>
          </cell>
        </row>
        <row r="683">
          <cell r="T683" t="str">
            <v>PC</v>
          </cell>
        </row>
        <row r="684">
          <cell r="T684" t="str">
            <v>PC</v>
          </cell>
        </row>
        <row r="685">
          <cell r="T685" t="str">
            <v>PC</v>
          </cell>
        </row>
        <row r="686">
          <cell r="T686" t="str">
            <v>PC</v>
          </cell>
        </row>
        <row r="687">
          <cell r="T687" t="str">
            <v>PC</v>
          </cell>
        </row>
        <row r="688">
          <cell r="T688" t="str">
            <v>PC</v>
          </cell>
        </row>
        <row r="689">
          <cell r="T689" t="str">
            <v>PC</v>
          </cell>
        </row>
        <row r="690">
          <cell r="T690" t="str">
            <v>PC</v>
          </cell>
        </row>
        <row r="691">
          <cell r="T691" t="str">
            <v>PC</v>
          </cell>
        </row>
        <row r="692">
          <cell r="T692" t="str">
            <v>PC</v>
          </cell>
        </row>
        <row r="693">
          <cell r="T693" t="str">
            <v>PC</v>
          </cell>
        </row>
        <row r="694">
          <cell r="T694" t="str">
            <v>PC</v>
          </cell>
        </row>
        <row r="695">
          <cell r="T695" t="str">
            <v>PC</v>
          </cell>
        </row>
        <row r="696">
          <cell r="T696" t="str">
            <v>PC</v>
          </cell>
        </row>
        <row r="697">
          <cell r="T697" t="str">
            <v>PC</v>
          </cell>
        </row>
        <row r="698">
          <cell r="T698" t="str">
            <v>PC</v>
          </cell>
        </row>
        <row r="699">
          <cell r="T699" t="str">
            <v>PC</v>
          </cell>
        </row>
        <row r="700">
          <cell r="T700" t="str">
            <v>PC</v>
          </cell>
        </row>
        <row r="701">
          <cell r="T701" t="str">
            <v>PC</v>
          </cell>
        </row>
        <row r="702">
          <cell r="T702" t="str">
            <v>PC</v>
          </cell>
        </row>
        <row r="703">
          <cell r="T703" t="str">
            <v>PC</v>
          </cell>
        </row>
        <row r="704">
          <cell r="T704" t="str">
            <v>PC</v>
          </cell>
        </row>
        <row r="705">
          <cell r="T705" t="str">
            <v>PC</v>
          </cell>
        </row>
        <row r="706">
          <cell r="T706" t="str">
            <v>PC</v>
          </cell>
        </row>
        <row r="707">
          <cell r="T707" t="str">
            <v>PC</v>
          </cell>
        </row>
        <row r="708">
          <cell r="T708" t="str">
            <v>PC</v>
          </cell>
        </row>
        <row r="709">
          <cell r="T709" t="str">
            <v>PC</v>
          </cell>
        </row>
        <row r="710">
          <cell r="T710" t="str">
            <v>PC</v>
          </cell>
        </row>
        <row r="711">
          <cell r="T711" t="str">
            <v>PC</v>
          </cell>
        </row>
        <row r="712">
          <cell r="T712" t="str">
            <v>PC</v>
          </cell>
        </row>
        <row r="713">
          <cell r="T713" t="str">
            <v>Mobile</v>
          </cell>
        </row>
        <row r="714">
          <cell r="T714" t="str">
            <v>Mobile</v>
          </cell>
        </row>
        <row r="715">
          <cell r="T715" t="str">
            <v>Mobile</v>
          </cell>
        </row>
        <row r="716">
          <cell r="T716" t="str">
            <v>Mobile</v>
          </cell>
        </row>
        <row r="717">
          <cell r="T717" t="str">
            <v>Mobile</v>
          </cell>
        </row>
        <row r="718">
          <cell r="T718" t="str">
            <v>Mobile</v>
          </cell>
        </row>
        <row r="719">
          <cell r="T719" t="str">
            <v>Mobile</v>
          </cell>
        </row>
        <row r="720">
          <cell r="T720" t="str">
            <v>Mobile</v>
          </cell>
        </row>
        <row r="721">
          <cell r="T721" t="str">
            <v>Mobile</v>
          </cell>
        </row>
        <row r="722">
          <cell r="T722" t="str">
            <v>Mobile</v>
          </cell>
        </row>
        <row r="723">
          <cell r="T723" t="str">
            <v>Mobile</v>
          </cell>
        </row>
        <row r="724">
          <cell r="T724" t="str">
            <v>Mobile</v>
          </cell>
        </row>
        <row r="725">
          <cell r="T725" t="str">
            <v>Mobile</v>
          </cell>
        </row>
        <row r="726">
          <cell r="T726" t="str">
            <v>Mobile</v>
          </cell>
        </row>
        <row r="727">
          <cell r="T727" t="str">
            <v>Mobile</v>
          </cell>
        </row>
        <row r="728">
          <cell r="T728" t="str">
            <v>Mobile</v>
          </cell>
        </row>
        <row r="729">
          <cell r="T729" t="str">
            <v>Mobile</v>
          </cell>
        </row>
        <row r="730">
          <cell r="T730" t="str">
            <v>Mobile</v>
          </cell>
        </row>
        <row r="731">
          <cell r="T731" t="str">
            <v>Mobile</v>
          </cell>
        </row>
        <row r="732">
          <cell r="T732" t="str">
            <v>Mobile</v>
          </cell>
        </row>
        <row r="733">
          <cell r="T733" t="str">
            <v>Mobile</v>
          </cell>
        </row>
        <row r="734">
          <cell r="T734" t="str">
            <v>Mobile</v>
          </cell>
        </row>
        <row r="735">
          <cell r="T735" t="str">
            <v>Mobile</v>
          </cell>
        </row>
        <row r="736">
          <cell r="T736" t="str">
            <v>Mobile</v>
          </cell>
        </row>
        <row r="737">
          <cell r="T737" t="str">
            <v>Mobile</v>
          </cell>
        </row>
        <row r="738">
          <cell r="T738" t="str">
            <v>Mobile</v>
          </cell>
        </row>
        <row r="739">
          <cell r="T739" t="str">
            <v>Mobile</v>
          </cell>
        </row>
        <row r="740">
          <cell r="T740" t="str">
            <v>Mobile</v>
          </cell>
        </row>
        <row r="741">
          <cell r="T741" t="str">
            <v>Mobile</v>
          </cell>
        </row>
        <row r="742">
          <cell r="T742" t="str">
            <v>Mobile</v>
          </cell>
        </row>
        <row r="743">
          <cell r="T743" t="str">
            <v>Mobile</v>
          </cell>
        </row>
        <row r="744">
          <cell r="T744" t="str">
            <v>Mobile</v>
          </cell>
        </row>
        <row r="745">
          <cell r="T745" t="str">
            <v>Mobile</v>
          </cell>
        </row>
        <row r="746">
          <cell r="T746" t="str">
            <v>Mobile</v>
          </cell>
        </row>
        <row r="747">
          <cell r="T747" t="str">
            <v>Mobile</v>
          </cell>
        </row>
        <row r="748">
          <cell r="T748" t="str">
            <v>Mobile</v>
          </cell>
        </row>
        <row r="749">
          <cell r="T749" t="str">
            <v>Mobile</v>
          </cell>
        </row>
        <row r="750">
          <cell r="T750" t="str">
            <v>Mobile</v>
          </cell>
        </row>
        <row r="751">
          <cell r="T751" t="str">
            <v>Mobile</v>
          </cell>
        </row>
        <row r="752">
          <cell r="T752" t="str">
            <v>Mobile</v>
          </cell>
        </row>
        <row r="753">
          <cell r="T753" t="str">
            <v>Mobile</v>
          </cell>
        </row>
        <row r="754">
          <cell r="T754" t="str">
            <v>Mobile</v>
          </cell>
        </row>
        <row r="755">
          <cell r="T755" t="str">
            <v>Mobile</v>
          </cell>
        </row>
        <row r="756">
          <cell r="T756" t="str">
            <v>Mobile</v>
          </cell>
        </row>
        <row r="757">
          <cell r="T757" t="str">
            <v>Mobile</v>
          </cell>
        </row>
        <row r="758">
          <cell r="T758" t="str">
            <v>Mobile</v>
          </cell>
        </row>
        <row r="759">
          <cell r="T759" t="str">
            <v>Mobile</v>
          </cell>
        </row>
        <row r="760">
          <cell r="T760" t="str">
            <v>Mobile</v>
          </cell>
        </row>
        <row r="761">
          <cell r="T761" t="str">
            <v>Mobile</v>
          </cell>
        </row>
        <row r="762">
          <cell r="T762" t="str">
            <v>Mobile</v>
          </cell>
        </row>
        <row r="763">
          <cell r="T763" t="str">
            <v>Mobile</v>
          </cell>
        </row>
        <row r="764">
          <cell r="T764" t="str">
            <v>Mobile</v>
          </cell>
        </row>
        <row r="765">
          <cell r="T765" t="str">
            <v>Mobile</v>
          </cell>
        </row>
        <row r="766">
          <cell r="T766" t="str">
            <v>Mobile</v>
          </cell>
        </row>
        <row r="767">
          <cell r="T767" t="str">
            <v>Mobile</v>
          </cell>
        </row>
        <row r="768">
          <cell r="T768" t="str">
            <v>Mobile</v>
          </cell>
        </row>
        <row r="769">
          <cell r="T769" t="str">
            <v>Mobile</v>
          </cell>
        </row>
        <row r="770">
          <cell r="T770" t="str">
            <v>Mobile</v>
          </cell>
        </row>
        <row r="771">
          <cell r="T771" t="str">
            <v>Mobile</v>
          </cell>
        </row>
        <row r="772">
          <cell r="T772" t="str">
            <v>Mobile</v>
          </cell>
        </row>
        <row r="773">
          <cell r="T773" t="str">
            <v>Mobile</v>
          </cell>
        </row>
        <row r="774">
          <cell r="T774" t="str">
            <v>Mobile</v>
          </cell>
        </row>
        <row r="775">
          <cell r="T775" t="str">
            <v>Mobile</v>
          </cell>
        </row>
        <row r="776">
          <cell r="T776" t="str">
            <v>Mobile</v>
          </cell>
        </row>
        <row r="777">
          <cell r="T777" t="str">
            <v>Mobile</v>
          </cell>
        </row>
        <row r="778">
          <cell r="T778" t="str">
            <v>Mobile</v>
          </cell>
        </row>
        <row r="779">
          <cell r="T779" t="str">
            <v>Mobile</v>
          </cell>
        </row>
        <row r="780">
          <cell r="T780" t="str">
            <v>Mobile</v>
          </cell>
        </row>
        <row r="781">
          <cell r="T781" t="str">
            <v>Mobile</v>
          </cell>
        </row>
        <row r="782">
          <cell r="T782" t="str">
            <v>Mobile</v>
          </cell>
        </row>
        <row r="783">
          <cell r="T783" t="str">
            <v>Mobile</v>
          </cell>
        </row>
        <row r="784">
          <cell r="T784" t="str">
            <v>Mobile</v>
          </cell>
        </row>
        <row r="785">
          <cell r="T785" t="str">
            <v>Mobile</v>
          </cell>
        </row>
        <row r="786">
          <cell r="T786" t="str">
            <v>Mobile</v>
          </cell>
        </row>
        <row r="787">
          <cell r="T787" t="str">
            <v>Mobile</v>
          </cell>
        </row>
        <row r="788">
          <cell r="T788" t="str">
            <v>Mobile</v>
          </cell>
        </row>
        <row r="789">
          <cell r="T789" t="str">
            <v>Mobile</v>
          </cell>
        </row>
        <row r="790">
          <cell r="T790" t="str">
            <v>Mobile</v>
          </cell>
        </row>
        <row r="791">
          <cell r="T791" t="str">
            <v>Mobile</v>
          </cell>
        </row>
        <row r="792">
          <cell r="T792" t="str">
            <v>Mobile</v>
          </cell>
        </row>
        <row r="793">
          <cell r="T793" t="str">
            <v>Mobile</v>
          </cell>
        </row>
        <row r="794">
          <cell r="T794" t="str">
            <v>Mobile</v>
          </cell>
        </row>
        <row r="795">
          <cell r="T795" t="str">
            <v>Mobile</v>
          </cell>
        </row>
        <row r="796">
          <cell r="T796" t="str">
            <v>Mobile</v>
          </cell>
        </row>
        <row r="797">
          <cell r="T797" t="str">
            <v>Mobile</v>
          </cell>
        </row>
        <row r="798">
          <cell r="T798" t="str">
            <v>Mobile</v>
          </cell>
        </row>
        <row r="799">
          <cell r="T799" t="str">
            <v>Mobile</v>
          </cell>
        </row>
        <row r="800">
          <cell r="T800" t="str">
            <v>Mobile</v>
          </cell>
        </row>
        <row r="801">
          <cell r="T801" t="str">
            <v>Mobile</v>
          </cell>
        </row>
        <row r="802">
          <cell r="T802" t="str">
            <v>Mobile</v>
          </cell>
        </row>
        <row r="803">
          <cell r="T803" t="str">
            <v>Mobile</v>
          </cell>
        </row>
        <row r="804">
          <cell r="T804" t="str">
            <v>Mobile</v>
          </cell>
        </row>
        <row r="805">
          <cell r="T805" t="str">
            <v>Mobile</v>
          </cell>
        </row>
        <row r="806">
          <cell r="T806" t="str">
            <v>Mobile</v>
          </cell>
        </row>
        <row r="807">
          <cell r="T807" t="str">
            <v>Mobile</v>
          </cell>
        </row>
        <row r="808">
          <cell r="T808" t="str">
            <v>Mobile</v>
          </cell>
        </row>
        <row r="809">
          <cell r="T809" t="str">
            <v>Mobile</v>
          </cell>
        </row>
        <row r="810">
          <cell r="T810" t="str">
            <v>Mobile</v>
          </cell>
        </row>
        <row r="811">
          <cell r="T811" t="str">
            <v>Mobile</v>
          </cell>
        </row>
        <row r="812">
          <cell r="T812" t="str">
            <v>Mobile</v>
          </cell>
        </row>
        <row r="813">
          <cell r="T813" t="str">
            <v>Mobile</v>
          </cell>
        </row>
        <row r="814">
          <cell r="T814" t="str">
            <v>Mobile</v>
          </cell>
        </row>
        <row r="815">
          <cell r="T815" t="str">
            <v>Mobile</v>
          </cell>
        </row>
        <row r="816">
          <cell r="T816" t="str">
            <v>Mobile</v>
          </cell>
        </row>
        <row r="817">
          <cell r="T817" t="str">
            <v>Mobile</v>
          </cell>
        </row>
        <row r="818">
          <cell r="T818" t="str">
            <v>Mobile</v>
          </cell>
        </row>
        <row r="819">
          <cell r="T819" t="str">
            <v>Mobile</v>
          </cell>
        </row>
        <row r="820">
          <cell r="T820" t="str">
            <v>Mobile</v>
          </cell>
        </row>
        <row r="821">
          <cell r="T821" t="str">
            <v>Mobile</v>
          </cell>
        </row>
        <row r="822">
          <cell r="T822" t="str">
            <v>Mobile</v>
          </cell>
        </row>
        <row r="823">
          <cell r="T823" t="str">
            <v>Mobile</v>
          </cell>
        </row>
        <row r="824">
          <cell r="T824" t="str">
            <v>Mobile</v>
          </cell>
        </row>
        <row r="825">
          <cell r="T825" t="str">
            <v>Mobile</v>
          </cell>
        </row>
        <row r="826">
          <cell r="T826" t="str">
            <v>Mobile</v>
          </cell>
        </row>
        <row r="827">
          <cell r="T827" t="str">
            <v>Mobile</v>
          </cell>
        </row>
        <row r="828">
          <cell r="T828" t="str">
            <v>Mobile</v>
          </cell>
        </row>
        <row r="829">
          <cell r="T829" t="str">
            <v>Mobile</v>
          </cell>
        </row>
        <row r="830">
          <cell r="T830" t="str">
            <v>Mobile</v>
          </cell>
        </row>
        <row r="831">
          <cell r="T831" t="str">
            <v>Mobile</v>
          </cell>
        </row>
        <row r="832">
          <cell r="T832" t="str">
            <v>Mobile</v>
          </cell>
        </row>
        <row r="833">
          <cell r="T833" t="str">
            <v>Mobile</v>
          </cell>
        </row>
        <row r="834">
          <cell r="T834" t="str">
            <v>Mobile</v>
          </cell>
        </row>
        <row r="835">
          <cell r="T835" t="str">
            <v>Mobile</v>
          </cell>
        </row>
        <row r="836">
          <cell r="T836" t="str">
            <v>Mobile</v>
          </cell>
        </row>
        <row r="837">
          <cell r="T837" t="str">
            <v>Mobile</v>
          </cell>
        </row>
        <row r="838">
          <cell r="T838" t="str">
            <v>Mobile</v>
          </cell>
        </row>
        <row r="839">
          <cell r="T839" t="str">
            <v>Mobile</v>
          </cell>
        </row>
        <row r="840">
          <cell r="T840" t="str">
            <v>Mobile</v>
          </cell>
        </row>
        <row r="841">
          <cell r="T841" t="str">
            <v>Mobile</v>
          </cell>
        </row>
        <row r="842">
          <cell r="T842" t="str">
            <v>Mobile</v>
          </cell>
        </row>
        <row r="843">
          <cell r="T843" t="str">
            <v>Mobile</v>
          </cell>
        </row>
        <row r="844">
          <cell r="T844" t="str">
            <v>Mobile</v>
          </cell>
        </row>
        <row r="845">
          <cell r="T845" t="str">
            <v>Mobile</v>
          </cell>
        </row>
        <row r="846">
          <cell r="T846" t="str">
            <v>Mobile</v>
          </cell>
        </row>
        <row r="847">
          <cell r="T847" t="str">
            <v>Mobile</v>
          </cell>
        </row>
        <row r="848">
          <cell r="T848" t="str">
            <v>Mobile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PO"/>
      <sheetName val="Research"/>
    </sheetNames>
    <sheetDataSet>
      <sheetData sheetId="0" refreshError="1"/>
      <sheetData sheetId="1">
        <row r="9">
          <cell r="C9" t="str">
            <v>호주</v>
          </cell>
          <cell r="D9">
            <v>0.73</v>
          </cell>
          <cell r="E9">
            <v>0.97</v>
          </cell>
          <cell r="F9">
            <v>0.13</v>
          </cell>
          <cell r="G9">
            <v>0.59</v>
          </cell>
          <cell r="H9">
            <v>0.01</v>
          </cell>
          <cell r="I9">
            <v>0.27</v>
          </cell>
          <cell r="K9">
            <v>0.72</v>
          </cell>
          <cell r="L9">
            <v>0.28000000000000003</v>
          </cell>
        </row>
        <row r="10">
          <cell r="C10" t="str">
            <v>브라질</v>
          </cell>
          <cell r="D10">
            <v>0.81</v>
          </cell>
          <cell r="E10">
            <v>0.95</v>
          </cell>
          <cell r="F10">
            <v>0.2</v>
          </cell>
          <cell r="G10">
            <v>0.6</v>
          </cell>
          <cell r="H10">
            <v>0</v>
          </cell>
          <cell r="I10">
            <v>0.19</v>
          </cell>
          <cell r="K10">
            <v>0.8</v>
          </cell>
          <cell r="L10">
            <v>0.19</v>
          </cell>
        </row>
        <row r="11">
          <cell r="C11" t="str">
            <v>캐나다</v>
          </cell>
          <cell r="D11">
            <v>0.65</v>
          </cell>
          <cell r="E11">
            <v>0.97</v>
          </cell>
          <cell r="F11">
            <v>0.08</v>
          </cell>
          <cell r="G11">
            <v>0.55000000000000004</v>
          </cell>
          <cell r="H11">
            <v>0</v>
          </cell>
          <cell r="I11">
            <v>0.35</v>
          </cell>
          <cell r="K11">
            <v>0.63</v>
          </cell>
          <cell r="L11">
            <v>0.35</v>
          </cell>
        </row>
        <row r="12">
          <cell r="C12" t="str">
            <v>중국</v>
          </cell>
          <cell r="D12">
            <v>0.69</v>
          </cell>
          <cell r="E12">
            <v>0.96</v>
          </cell>
          <cell r="F12">
            <v>0.28999999999999998</v>
          </cell>
          <cell r="G12">
            <v>0.4</v>
          </cell>
          <cell r="H12">
            <v>0.01</v>
          </cell>
          <cell r="I12">
            <v>0.31</v>
          </cell>
          <cell r="K12">
            <v>0.69</v>
          </cell>
          <cell r="L12">
            <v>0.32</v>
          </cell>
        </row>
        <row r="13">
          <cell r="C13" t="str">
            <v>콜롬비아</v>
          </cell>
          <cell r="D13" t="str">
            <v>N/A</v>
          </cell>
          <cell r="E13" t="str">
            <v>N/A</v>
          </cell>
          <cell r="F13" t="str">
            <v>N/A</v>
          </cell>
          <cell r="G13" t="str">
            <v>N/A</v>
          </cell>
          <cell r="H13" t="str">
            <v>N/A</v>
          </cell>
          <cell r="I13" t="str">
            <v>N/A</v>
          </cell>
          <cell r="K13" t="str">
            <v>N/A</v>
          </cell>
          <cell r="L13" t="str">
            <v>N/A</v>
          </cell>
        </row>
        <row r="14">
          <cell r="C14" t="str">
            <v>체코</v>
          </cell>
          <cell r="D14">
            <v>0.84</v>
          </cell>
          <cell r="E14">
            <v>0.73</v>
          </cell>
          <cell r="F14">
            <v>0.45</v>
          </cell>
          <cell r="G14">
            <v>0.37</v>
          </cell>
          <cell r="H14">
            <v>0.02</v>
          </cell>
          <cell r="I14">
            <v>0.16</v>
          </cell>
          <cell r="K14">
            <v>0.82000000000000006</v>
          </cell>
          <cell r="L14">
            <v>0.18</v>
          </cell>
        </row>
        <row r="15">
          <cell r="C15" t="str">
            <v>프랑스</v>
          </cell>
          <cell r="D15">
            <v>0.78</v>
          </cell>
          <cell r="E15">
            <v>0.84</v>
          </cell>
          <cell r="F15">
            <v>0.36</v>
          </cell>
          <cell r="G15">
            <v>0.4</v>
          </cell>
          <cell r="H15">
            <v>0.03</v>
          </cell>
          <cell r="I15">
            <v>0.22</v>
          </cell>
          <cell r="K15">
            <v>0.76</v>
          </cell>
          <cell r="L15">
            <v>0.25</v>
          </cell>
        </row>
        <row r="16">
          <cell r="C16" t="str">
            <v>독일</v>
          </cell>
          <cell r="D16">
            <v>0.67</v>
          </cell>
          <cell r="E16">
            <v>0.85</v>
          </cell>
          <cell r="F16">
            <v>0.26</v>
          </cell>
          <cell r="G16">
            <v>0.37</v>
          </cell>
          <cell r="H16">
            <v>0.03</v>
          </cell>
          <cell r="I16">
            <v>0.33</v>
          </cell>
          <cell r="K16">
            <v>0.63</v>
          </cell>
          <cell r="L16">
            <v>0.36</v>
          </cell>
        </row>
        <row r="17">
          <cell r="C17" t="str">
            <v>인도</v>
          </cell>
          <cell r="D17">
            <v>0.44</v>
          </cell>
          <cell r="E17">
            <v>1</v>
          </cell>
          <cell r="F17">
            <v>0.04</v>
          </cell>
          <cell r="G17">
            <v>0.4</v>
          </cell>
          <cell r="H17">
            <v>0</v>
          </cell>
          <cell r="I17">
            <v>0.56000000000000005</v>
          </cell>
          <cell r="K17">
            <v>0.44</v>
          </cell>
          <cell r="L17">
            <v>0.56000000000000005</v>
          </cell>
        </row>
        <row r="18">
          <cell r="C18" t="str">
            <v>인도네시아</v>
          </cell>
          <cell r="D18">
            <v>0.3</v>
          </cell>
          <cell r="E18">
            <v>1</v>
          </cell>
          <cell r="F18">
            <v>0.01</v>
          </cell>
          <cell r="G18">
            <v>0.28000000000000003</v>
          </cell>
          <cell r="H18">
            <v>0</v>
          </cell>
          <cell r="I18">
            <v>0.7</v>
          </cell>
          <cell r="K18">
            <v>0.29000000000000004</v>
          </cell>
          <cell r="L18">
            <v>0.7</v>
          </cell>
        </row>
        <row r="19">
          <cell r="C19" t="str">
            <v>이태리</v>
          </cell>
          <cell r="D19">
            <v>0.69</v>
          </cell>
          <cell r="E19">
            <v>0.96</v>
          </cell>
          <cell r="F19">
            <v>0.16</v>
          </cell>
          <cell r="G19">
            <v>0.52</v>
          </cell>
          <cell r="H19">
            <v>0.01</v>
          </cell>
          <cell r="I19">
            <v>0.31</v>
          </cell>
          <cell r="K19">
            <v>0.68</v>
          </cell>
          <cell r="L19">
            <v>0.32</v>
          </cell>
        </row>
        <row r="20">
          <cell r="C20" t="str">
            <v>일본</v>
          </cell>
          <cell r="D20">
            <v>0.69</v>
          </cell>
          <cell r="E20">
            <v>0.84</v>
          </cell>
          <cell r="F20">
            <v>0.34</v>
          </cell>
          <cell r="G20">
            <v>0.31</v>
          </cell>
          <cell r="H20">
            <v>0.04</v>
          </cell>
          <cell r="I20">
            <v>0.31</v>
          </cell>
          <cell r="K20">
            <v>0.65</v>
          </cell>
          <cell r="L20">
            <v>0.35</v>
          </cell>
        </row>
        <row r="21">
          <cell r="C21" t="str">
            <v>멕시코</v>
          </cell>
          <cell r="D21">
            <v>0.66</v>
          </cell>
          <cell r="E21">
            <v>0.97</v>
          </cell>
          <cell r="F21">
            <v>0.2</v>
          </cell>
          <cell r="G21">
            <v>0.46</v>
          </cell>
          <cell r="H21">
            <v>0</v>
          </cell>
          <cell r="I21">
            <v>0.34</v>
          </cell>
          <cell r="K21">
            <v>0.66</v>
          </cell>
          <cell r="L21">
            <v>0.34</v>
          </cell>
        </row>
        <row r="22">
          <cell r="C22" t="str">
            <v>네덜란드</v>
          </cell>
          <cell r="D22">
            <v>0.76</v>
          </cell>
          <cell r="E22">
            <v>0.75</v>
          </cell>
          <cell r="F22">
            <v>0.39</v>
          </cell>
          <cell r="G22">
            <v>0.32</v>
          </cell>
          <cell r="H22">
            <v>0.05</v>
          </cell>
          <cell r="I22">
            <v>0.24</v>
          </cell>
          <cell r="K22">
            <v>0.71</v>
          </cell>
          <cell r="L22">
            <v>0.28999999999999998</v>
          </cell>
        </row>
        <row r="23">
          <cell r="C23" t="str">
            <v>노르웨이</v>
          </cell>
          <cell r="D23">
            <v>0.67</v>
          </cell>
          <cell r="E23">
            <v>0.91</v>
          </cell>
          <cell r="F23">
            <v>0.12</v>
          </cell>
          <cell r="G23">
            <v>0.52</v>
          </cell>
          <cell r="H23">
            <v>0.03</v>
          </cell>
          <cell r="I23">
            <v>0.33</v>
          </cell>
          <cell r="K23">
            <v>0.64</v>
          </cell>
          <cell r="L23">
            <v>0.36</v>
          </cell>
        </row>
        <row r="24">
          <cell r="C24" t="str">
            <v>페루</v>
          </cell>
          <cell r="D24" t="str">
            <v>N/A</v>
          </cell>
          <cell r="E24" t="str">
            <v>N/A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  <cell r="K24" t="str">
            <v>N/A</v>
          </cell>
          <cell r="L24" t="str">
            <v>N/A</v>
          </cell>
        </row>
        <row r="25">
          <cell r="C25" t="str">
            <v>칠레</v>
          </cell>
          <cell r="D25" t="str">
            <v>N/A</v>
          </cell>
          <cell r="E25" t="str">
            <v>N/A</v>
          </cell>
          <cell r="F25" t="str">
            <v>N/A</v>
          </cell>
          <cell r="G25" t="str">
            <v>N/A</v>
          </cell>
          <cell r="H25" t="str">
            <v>N/A</v>
          </cell>
          <cell r="I25" t="str">
            <v>N/A</v>
          </cell>
          <cell r="K25" t="str">
            <v>N/A</v>
          </cell>
          <cell r="L25" t="str">
            <v>N/A</v>
          </cell>
        </row>
        <row r="26">
          <cell r="C26" t="str">
            <v>필리핀</v>
          </cell>
          <cell r="D26">
            <v>0.68</v>
          </cell>
          <cell r="E26">
            <v>0.99</v>
          </cell>
          <cell r="F26">
            <v>0.05</v>
          </cell>
          <cell r="G26">
            <v>0.62</v>
          </cell>
          <cell r="H26">
            <v>0</v>
          </cell>
          <cell r="I26">
            <v>0.32</v>
          </cell>
          <cell r="K26">
            <v>0.67</v>
          </cell>
          <cell r="L26">
            <v>0.32</v>
          </cell>
        </row>
        <row r="27">
          <cell r="C27" t="str">
            <v>폴란드</v>
          </cell>
          <cell r="D27">
            <v>0.83</v>
          </cell>
          <cell r="E27">
            <v>0.9</v>
          </cell>
          <cell r="F27">
            <v>0.37</v>
          </cell>
          <cell r="G27">
            <v>0.43</v>
          </cell>
          <cell r="H27">
            <v>0.01</v>
          </cell>
          <cell r="I27">
            <v>0.17</v>
          </cell>
          <cell r="K27">
            <v>0.8</v>
          </cell>
          <cell r="L27">
            <v>0.18000000000000002</v>
          </cell>
        </row>
        <row r="28">
          <cell r="C28" t="str">
            <v>러시아</v>
          </cell>
          <cell r="D28">
            <v>0.84</v>
          </cell>
          <cell r="E28">
            <v>0.87</v>
          </cell>
          <cell r="F28">
            <v>0.31</v>
          </cell>
          <cell r="G28">
            <v>0.49</v>
          </cell>
          <cell r="H28">
            <v>0.05</v>
          </cell>
          <cell r="I28">
            <v>0.16</v>
          </cell>
          <cell r="K28">
            <v>0.8</v>
          </cell>
          <cell r="L28">
            <v>0.21000000000000002</v>
          </cell>
        </row>
        <row r="29">
          <cell r="C29" t="str">
            <v>사우디</v>
          </cell>
          <cell r="D29">
            <v>0.56000000000000005</v>
          </cell>
          <cell r="E29">
            <v>0.99</v>
          </cell>
          <cell r="F29">
            <v>0.1</v>
          </cell>
          <cell r="G29">
            <v>0.47</v>
          </cell>
          <cell r="H29">
            <v>0</v>
          </cell>
          <cell r="I29">
            <v>0.44</v>
          </cell>
          <cell r="K29">
            <v>0.56999999999999995</v>
          </cell>
          <cell r="L29">
            <v>0.44</v>
          </cell>
        </row>
        <row r="30">
          <cell r="C30" t="str">
            <v>싱가포르</v>
          </cell>
          <cell r="D30">
            <v>0.75</v>
          </cell>
          <cell r="E30">
            <v>0.97</v>
          </cell>
          <cell r="F30">
            <v>0.12</v>
          </cell>
          <cell r="G30">
            <v>0.61</v>
          </cell>
          <cell r="H30">
            <v>0.01</v>
          </cell>
          <cell r="I30">
            <v>0.25</v>
          </cell>
          <cell r="K30">
            <v>0.73</v>
          </cell>
          <cell r="L30">
            <v>0.26</v>
          </cell>
        </row>
        <row r="31">
          <cell r="C31" t="str">
            <v>남아공</v>
          </cell>
          <cell r="D31">
            <v>0.43</v>
          </cell>
          <cell r="E31">
            <v>0.93</v>
          </cell>
          <cell r="F31">
            <v>0.09</v>
          </cell>
          <cell r="G31">
            <v>0.33</v>
          </cell>
          <cell r="H31">
            <v>0.01</v>
          </cell>
          <cell r="I31">
            <v>0.56999999999999995</v>
          </cell>
          <cell r="K31">
            <v>0.42000000000000004</v>
          </cell>
          <cell r="L31">
            <v>0.57999999999999996</v>
          </cell>
        </row>
        <row r="32">
          <cell r="C32" t="str">
            <v>스페인</v>
          </cell>
          <cell r="D32">
            <v>0.64</v>
          </cell>
          <cell r="E32">
            <v>0.89</v>
          </cell>
          <cell r="F32">
            <v>0.21</v>
          </cell>
          <cell r="G32">
            <v>0.42</v>
          </cell>
          <cell r="H32">
            <v>0.02</v>
          </cell>
          <cell r="I32">
            <v>0.36</v>
          </cell>
          <cell r="K32">
            <v>0.63</v>
          </cell>
          <cell r="L32">
            <v>0.38</v>
          </cell>
        </row>
        <row r="33">
          <cell r="C33" t="str">
            <v>대만</v>
          </cell>
          <cell r="D33">
            <v>0.93</v>
          </cell>
          <cell r="E33">
            <v>0.95</v>
          </cell>
          <cell r="F33">
            <v>0.35</v>
          </cell>
          <cell r="G33">
            <v>0.57999999999999996</v>
          </cell>
          <cell r="H33">
            <v>0</v>
          </cell>
          <cell r="I33">
            <v>7.0000000000000007E-2</v>
          </cell>
          <cell r="K33">
            <v>0.92999999999999994</v>
          </cell>
          <cell r="L33">
            <v>7.0000000000000007E-2</v>
          </cell>
        </row>
        <row r="34">
          <cell r="C34" t="str">
            <v>태국</v>
          </cell>
          <cell r="D34">
            <v>0.84</v>
          </cell>
          <cell r="E34">
            <v>0.96</v>
          </cell>
          <cell r="F34">
            <v>0.1</v>
          </cell>
          <cell r="G34">
            <v>0.75</v>
          </cell>
          <cell r="H34">
            <v>0</v>
          </cell>
          <cell r="I34">
            <v>0.16</v>
          </cell>
          <cell r="K34">
            <v>0.85</v>
          </cell>
          <cell r="L34">
            <v>0.16</v>
          </cell>
        </row>
        <row r="35">
          <cell r="C35" t="str">
            <v>터키</v>
          </cell>
          <cell r="D35">
            <v>0.69</v>
          </cell>
          <cell r="E35">
            <v>0.99</v>
          </cell>
          <cell r="F35">
            <v>0.14000000000000001</v>
          </cell>
          <cell r="G35">
            <v>0.56000000000000005</v>
          </cell>
          <cell r="H35">
            <v>0</v>
          </cell>
          <cell r="I35">
            <v>0.31</v>
          </cell>
          <cell r="K35">
            <v>0.70000000000000007</v>
          </cell>
          <cell r="L35">
            <v>0.31</v>
          </cell>
        </row>
        <row r="36">
          <cell r="C36" t="str">
            <v>UAE</v>
          </cell>
          <cell r="D36">
            <v>0.46</v>
          </cell>
          <cell r="E36">
            <v>0.97</v>
          </cell>
          <cell r="F36">
            <v>0.1</v>
          </cell>
          <cell r="G36">
            <v>0.34</v>
          </cell>
          <cell r="H36">
            <v>0.01</v>
          </cell>
          <cell r="I36">
            <v>0.53</v>
          </cell>
          <cell r="K36">
            <v>0.44000000000000006</v>
          </cell>
          <cell r="L36">
            <v>0.54</v>
          </cell>
        </row>
        <row r="37">
          <cell r="C37" t="str">
            <v>우크라이나</v>
          </cell>
          <cell r="D37">
            <v>0.8</v>
          </cell>
          <cell r="E37">
            <v>0.9</v>
          </cell>
          <cell r="F37">
            <v>0.46</v>
          </cell>
          <cell r="G37">
            <v>0.31</v>
          </cell>
          <cell r="H37">
            <v>0.03</v>
          </cell>
          <cell r="I37">
            <v>0.2</v>
          </cell>
          <cell r="K37">
            <v>0.77</v>
          </cell>
          <cell r="L37">
            <v>0.23</v>
          </cell>
        </row>
        <row r="38">
          <cell r="C38" t="str">
            <v>영국</v>
          </cell>
          <cell r="D38">
            <v>0.83</v>
          </cell>
          <cell r="E38">
            <v>0.62</v>
          </cell>
          <cell r="F38">
            <v>0.47</v>
          </cell>
          <cell r="G38">
            <v>0.3</v>
          </cell>
          <cell r="H38">
            <v>7.0000000000000007E-2</v>
          </cell>
          <cell r="I38">
            <v>0.16</v>
          </cell>
          <cell r="K38">
            <v>0.77</v>
          </cell>
          <cell r="L38">
            <v>0.23</v>
          </cell>
        </row>
        <row r="39">
          <cell r="C39" t="str">
            <v>미국</v>
          </cell>
          <cell r="D39">
            <v>0.74</v>
          </cell>
          <cell r="E39">
            <v>0.94</v>
          </cell>
          <cell r="F39">
            <v>0.16</v>
          </cell>
          <cell r="G39">
            <v>0.56999999999999995</v>
          </cell>
          <cell r="H39">
            <v>0.01</v>
          </cell>
          <cell r="I39">
            <v>0.26</v>
          </cell>
          <cell r="K39">
            <v>0.73</v>
          </cell>
          <cell r="L39">
            <v>0.27</v>
          </cell>
        </row>
        <row r="40">
          <cell r="C40" t="str">
            <v>베트남</v>
          </cell>
          <cell r="D40">
            <v>0.8</v>
          </cell>
          <cell r="E40">
            <v>0.98</v>
          </cell>
          <cell r="F40">
            <v>0.18</v>
          </cell>
          <cell r="G40">
            <v>0.62</v>
          </cell>
          <cell r="H40">
            <v>0</v>
          </cell>
          <cell r="I40">
            <v>0.2</v>
          </cell>
          <cell r="K40">
            <v>0.8</v>
          </cell>
          <cell r="L40">
            <v>0.2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서명"/>
      <sheetName val="개정이력"/>
      <sheetName val="신계약_가입설계(개별)"/>
      <sheetName val="신계약_가입설계(단체)"/>
      <sheetName val="신계약_청약의뢰(개별)"/>
      <sheetName val="신계약_청약의뢰(단체)"/>
      <sheetName val="신계약_청약서출력"/>
      <sheetName val="신계약_이미지스캔"/>
      <sheetName val="신계약_영수입력"/>
      <sheetName val="신계약_요율구득의뢰"/>
      <sheetName val="신계약_요율구득처리"/>
      <sheetName val="UW_인수심의"/>
      <sheetName val="UW_이미지심사"/>
      <sheetName val="사고접수_리콜"/>
      <sheetName val="사고접수_사고접수"/>
      <sheetName val="사고접수_상담접수"/>
      <sheetName val="사고접수_상담조회"/>
      <sheetName val="사고접수_증명서발급"/>
      <sheetName val="사고조사_계약조사"/>
      <sheetName val="사고조사_면책조사"/>
      <sheetName val="사고조사_사고조사"/>
      <sheetName val="피해자관리및추산_서류등록"/>
      <sheetName val="피해자관리및추산__피해물관리"/>
      <sheetName val="피해자관리_인추산"/>
      <sheetName val="피해자관리및추산_피해자관리"/>
      <sheetName val="작성가이드"/>
      <sheetName val="현행시스템분석 화면 작성가이드"/>
      <sheetName val="주차정보"/>
      <sheetName val="Sheet1"/>
      <sheetName val="Sheet2"/>
      <sheetName val="Sheet3"/>
      <sheetName val="메타"/>
      <sheetName val="참조 코드"/>
      <sheetName val="참조코드"/>
      <sheetName val="코드값"/>
      <sheetName val="처리예정일자"/>
      <sheetName val="팀정보"/>
      <sheetName val="조건부불가유형"/>
      <sheetName val="시나리오 목록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내용"/>
    </sheetNames>
    <sheetDataSet>
      <sheetData sheetId="0" refreshError="1"/>
      <sheetData sheetId="1" refreshError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속성"/>
      <sheetName val="담보제어유형"/>
      <sheetName val="단체할인율entity"/>
      <sheetName val="Sheet3"/>
      <sheetName val="Sheet1"/>
      <sheetName val="상품속성 (2)"/>
      <sheetName val="주차정보"/>
    </sheetNames>
    <sheetDataSet>
      <sheetData sheetId="0">
        <row r="1">
          <cell r="A1" t="str">
            <v>신규</v>
          </cell>
        </row>
      </sheetData>
      <sheetData sheetId="1">
        <row r="1">
          <cell r="A1" t="str">
            <v>신규</v>
          </cell>
        </row>
      </sheetData>
      <sheetData sheetId="2">
        <row r="1">
          <cell r="A1" t="str">
            <v>신규</v>
          </cell>
        </row>
      </sheetData>
      <sheetData sheetId="3">
        <row r="1">
          <cell r="A1" t="str">
            <v>신규</v>
          </cell>
        </row>
        <row r="2">
          <cell r="A2" t="str">
            <v>기존(유지)</v>
          </cell>
        </row>
        <row r="3">
          <cell r="A3" t="str">
            <v>재검토</v>
          </cell>
        </row>
        <row r="4">
          <cell r="A4" t="str">
            <v>삭제</v>
          </cell>
        </row>
      </sheetData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유통리스트 관리 ▶"/>
      <sheetName val="Sheet3"/>
      <sheetName val="Sheet4"/>
      <sheetName val="Sheet5"/>
      <sheetName val="1_OSM Market Status"/>
      <sheetName val="2_Change Log sheet"/>
      <sheetName val="유통 별 카테고리 수집 경로 ▶"/>
      <sheetName val="수집 URL"/>
      <sheetName val="수집 키워드"/>
      <sheetName val="수집 키워드 비고 내용"/>
      <sheetName val="수집 배너"/>
      <sheetName val="그 외 참고 ▶"/>
      <sheetName val="rank 수집제한 리스트 (신,구)"/>
      <sheetName val="지역 설정값"/>
      <sheetName val="수집 제한 유통리스트"/>
      <sheetName val="LIST 목록 관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F3" t="str">
            <v>ES_MEDIAMARKT</v>
          </cell>
          <cell r="G3" t="str">
            <v>ES</v>
          </cell>
          <cell r="H3" t="str">
            <v>MEDIAMARKT</v>
          </cell>
          <cell r="I3" t="str">
            <v>search, product_list</v>
          </cell>
          <cell r="J3">
            <v>300</v>
          </cell>
        </row>
        <row r="4">
          <cell r="F4" t="str">
            <v>FR_FNAC</v>
          </cell>
          <cell r="G4" t="str">
            <v>FR</v>
          </cell>
          <cell r="H4" t="str">
            <v>FNAC</v>
          </cell>
          <cell r="I4" t="str">
            <v>search, product_list</v>
          </cell>
          <cell r="J4">
            <v>500</v>
          </cell>
        </row>
        <row r="5">
          <cell r="F5" t="str">
            <v>CA_BESTBUY</v>
          </cell>
          <cell r="G5" t="str">
            <v>CA</v>
          </cell>
          <cell r="H5" t="str">
            <v>BESTBUY</v>
          </cell>
          <cell r="I5" t="str">
            <v>search, product_list</v>
          </cell>
          <cell r="J5">
            <v>1000</v>
          </cell>
        </row>
        <row r="6">
          <cell r="F6" t="str">
            <v>US_BESTBUY</v>
          </cell>
          <cell r="G6" t="str">
            <v>US</v>
          </cell>
          <cell r="H6" t="str">
            <v>BESTBUY</v>
          </cell>
          <cell r="I6" t="str">
            <v>search, product_list</v>
          </cell>
          <cell r="J6">
            <v>1000</v>
          </cell>
        </row>
        <row r="7">
          <cell r="F7" t="str">
            <v>FR_DARTY</v>
          </cell>
          <cell r="G7" t="str">
            <v>FR</v>
          </cell>
          <cell r="H7" t="str">
            <v>DARTY</v>
          </cell>
          <cell r="I7" t="str">
            <v>search, product_list</v>
          </cell>
          <cell r="J7">
            <v>300</v>
          </cell>
        </row>
        <row r="8">
          <cell r="F8" t="str">
            <v>IT_UNIEURO</v>
          </cell>
          <cell r="G8" t="str">
            <v>IT</v>
          </cell>
          <cell r="H8" t="str">
            <v>UNIEURO</v>
          </cell>
          <cell r="I8" t="str">
            <v>search, product_list</v>
          </cell>
          <cell r="J8">
            <v>500</v>
          </cell>
        </row>
        <row r="9">
          <cell r="F9" t="str">
            <v>BR_MAGAZINELUIZA</v>
          </cell>
          <cell r="G9" t="str">
            <v>BR</v>
          </cell>
          <cell r="H9" t="str">
            <v>MAGAZINELUIZA</v>
          </cell>
          <cell r="I9" t="str">
            <v>search, product_list</v>
          </cell>
          <cell r="J9">
            <v>500</v>
          </cell>
        </row>
        <row r="10">
          <cell r="F10" t="str">
            <v>IN_FLIPKART</v>
          </cell>
          <cell r="G10" t="str">
            <v>IN</v>
          </cell>
          <cell r="H10" t="str">
            <v>FLIPKART</v>
          </cell>
          <cell r="I10" t="str">
            <v>search, product_list</v>
          </cell>
          <cell r="J10">
            <v>1000</v>
          </cell>
        </row>
        <row r="11">
          <cell r="F11" t="str">
            <v>CA_BESTBUY</v>
          </cell>
          <cell r="G11" t="str">
            <v>CA</v>
          </cell>
          <cell r="H11" t="str">
            <v>BESTBUY</v>
          </cell>
          <cell r="I11" t="str">
            <v>search, product_list</v>
          </cell>
          <cell r="J11">
            <v>1000</v>
          </cell>
        </row>
        <row r="12">
          <cell r="F12" t="str">
            <v>US_BESTBUY</v>
          </cell>
          <cell r="G12" t="str">
            <v>US</v>
          </cell>
          <cell r="H12" t="str">
            <v>BESTBUY</v>
          </cell>
          <cell r="I12" t="str">
            <v>search, product_list</v>
          </cell>
          <cell r="J12">
            <v>500</v>
          </cell>
        </row>
        <row r="13">
          <cell r="F13" t="str">
            <v>ES_ELCORTEINGLES_ELECTRONICA</v>
          </cell>
          <cell r="G13" t="str">
            <v>ES</v>
          </cell>
          <cell r="H13" t="str">
            <v>ELCORTEINGLES_ELECTRONICA</v>
          </cell>
          <cell r="I13" t="str">
            <v>search, product_list</v>
          </cell>
          <cell r="J13">
            <v>1000</v>
          </cell>
        </row>
        <row r="14">
          <cell r="F14" t="str">
            <v>TW_MOMOSHOP</v>
          </cell>
          <cell r="G14" t="str">
            <v>TW</v>
          </cell>
          <cell r="H14" t="str">
            <v>MOMOSHOP</v>
          </cell>
          <cell r="I14" t="str">
            <v>search, product_list</v>
          </cell>
          <cell r="J14">
            <v>500</v>
          </cell>
        </row>
        <row r="15">
          <cell r="F15" t="str">
            <v>TH_LAZADA</v>
          </cell>
          <cell r="G15" t="str">
            <v>TH</v>
          </cell>
          <cell r="H15" t="str">
            <v>LAZADA</v>
          </cell>
          <cell r="I15" t="str">
            <v>search, product_list</v>
          </cell>
          <cell r="J15">
            <v>300</v>
          </cell>
        </row>
        <row r="16">
          <cell r="F16" t="str">
            <v>SG_LAZADA</v>
          </cell>
          <cell r="G16" t="str">
            <v>SG</v>
          </cell>
          <cell r="H16" t="str">
            <v>LAZADA</v>
          </cell>
          <cell r="I16" t="str">
            <v>search, product_list</v>
          </cell>
          <cell r="J16">
            <v>300</v>
          </cell>
        </row>
      </sheetData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수집 카테고리(List)"/>
      <sheetName val="02.수집_list_카테고리 URL"/>
      <sheetName val="03.수집_키워드"/>
      <sheetName val="수집 카테고리(Search)"/>
    </sheetNames>
    <sheetDataSet>
      <sheetData sheetId="0">
        <row r="2">
          <cell r="A2" t="str">
            <v>AU_SS.com</v>
          </cell>
          <cell r="B2" t="str">
            <v>Asia</v>
          </cell>
          <cell r="C2" t="str">
            <v>Australia</v>
          </cell>
          <cell r="D2" t="str">
            <v>AU</v>
          </cell>
          <cell r="E2" t="str">
            <v>SS.com</v>
          </cell>
          <cell r="F2" t="str">
            <v>Active</v>
          </cell>
          <cell r="G2">
            <v>20250502</v>
          </cell>
          <cell r="H2">
            <v>99991231</v>
          </cell>
        </row>
        <row r="3">
          <cell r="A3" t="str">
            <v>AU_AMAZON</v>
          </cell>
          <cell r="B3" t="str">
            <v>Asia</v>
          </cell>
          <cell r="C3" t="str">
            <v>Australia</v>
          </cell>
          <cell r="D3" t="str">
            <v>AU</v>
          </cell>
          <cell r="E3" t="str">
            <v>AMAZON</v>
          </cell>
          <cell r="F3" t="str">
            <v>Active</v>
          </cell>
          <cell r="G3">
            <v>20230516</v>
          </cell>
          <cell r="H3">
            <v>99991231</v>
          </cell>
        </row>
        <row r="4">
          <cell r="A4" t="str">
            <v>AU_HARVEYNORMAN</v>
          </cell>
          <cell r="B4" t="str">
            <v>Asia</v>
          </cell>
          <cell r="C4" t="str">
            <v>Australia</v>
          </cell>
          <cell r="D4" t="str">
            <v>AU</v>
          </cell>
          <cell r="E4" t="str">
            <v>HARVEYNORMAN</v>
          </cell>
          <cell r="F4" t="str">
            <v>Active</v>
          </cell>
          <cell r="G4">
            <v>20230517</v>
          </cell>
          <cell r="H4">
            <v>99991231</v>
          </cell>
        </row>
        <row r="5">
          <cell r="A5" t="str">
            <v>AU_JBHIFI</v>
          </cell>
          <cell r="B5" t="str">
            <v>Asia</v>
          </cell>
          <cell r="C5" t="str">
            <v>Australia</v>
          </cell>
          <cell r="D5" t="str">
            <v>AU</v>
          </cell>
          <cell r="E5" t="str">
            <v>JBHIFI</v>
          </cell>
          <cell r="F5" t="str">
            <v>Active</v>
          </cell>
          <cell r="G5">
            <v>20230518</v>
          </cell>
          <cell r="H5">
            <v>99991231</v>
          </cell>
        </row>
        <row r="6">
          <cell r="A6" t="str">
            <v>AU_THEGOODGUYS</v>
          </cell>
          <cell r="B6" t="str">
            <v>Asia</v>
          </cell>
          <cell r="C6" t="str">
            <v>Australia</v>
          </cell>
          <cell r="D6" t="str">
            <v>AU</v>
          </cell>
          <cell r="E6" t="str">
            <v>THEGOODGUYS</v>
          </cell>
          <cell r="F6" t="str">
            <v>Active</v>
          </cell>
          <cell r="G6">
            <v>20230401</v>
          </cell>
          <cell r="H6">
            <v>99991231</v>
          </cell>
        </row>
        <row r="7">
          <cell r="A7" t="str">
            <v>SG_COURTS</v>
          </cell>
          <cell r="B7" t="str">
            <v>Asia</v>
          </cell>
          <cell r="C7" t="str">
            <v>Singapore</v>
          </cell>
          <cell r="D7" t="str">
            <v>SG</v>
          </cell>
          <cell r="E7" t="str">
            <v>COURTS</v>
          </cell>
          <cell r="F7" t="str">
            <v>Active</v>
          </cell>
          <cell r="G7">
            <v>20230518</v>
          </cell>
          <cell r="H7">
            <v>99991231</v>
          </cell>
        </row>
        <row r="8">
          <cell r="A8" t="str">
            <v>SG_HARVEYNORMAN</v>
          </cell>
          <cell r="B8" t="str">
            <v>Asia</v>
          </cell>
          <cell r="C8" t="str">
            <v>Singapore</v>
          </cell>
          <cell r="D8" t="str">
            <v>SG</v>
          </cell>
          <cell r="E8" t="str">
            <v>HARVEYNORMAN</v>
          </cell>
          <cell r="F8" t="str">
            <v>Active</v>
          </cell>
          <cell r="G8">
            <v>20230517</v>
          </cell>
          <cell r="H8">
            <v>99991231</v>
          </cell>
        </row>
        <row r="9">
          <cell r="A9" t="str">
            <v>SG_LAZADA</v>
          </cell>
          <cell r="B9" t="str">
            <v>Asia</v>
          </cell>
          <cell r="C9" t="str">
            <v>Singapore</v>
          </cell>
          <cell r="D9" t="str">
            <v>SG</v>
          </cell>
          <cell r="E9" t="str">
            <v>LAZADA</v>
          </cell>
          <cell r="F9" t="str">
            <v>Active</v>
          </cell>
          <cell r="G9">
            <v>20230814</v>
          </cell>
          <cell r="H9">
            <v>99991231</v>
          </cell>
        </row>
        <row r="10">
          <cell r="A10" t="str">
            <v>TW_MOMOSHOP</v>
          </cell>
          <cell r="B10" t="str">
            <v>Asia</v>
          </cell>
          <cell r="C10" t="str">
            <v>Taiwan</v>
          </cell>
          <cell r="D10" t="str">
            <v>TW</v>
          </cell>
          <cell r="E10" t="str">
            <v>MOMOSHOP</v>
          </cell>
          <cell r="F10" t="str">
            <v>Active</v>
          </cell>
          <cell r="G10">
            <v>20230516</v>
          </cell>
          <cell r="H10">
            <v>99991231</v>
          </cell>
        </row>
        <row r="11">
          <cell r="A11" t="str">
            <v>TW_PCHOME</v>
          </cell>
          <cell r="B11" t="str">
            <v>Asia</v>
          </cell>
          <cell r="C11" t="str">
            <v>Taiwan</v>
          </cell>
          <cell r="D11" t="str">
            <v>TW</v>
          </cell>
          <cell r="E11" t="str">
            <v>PCHOME</v>
          </cell>
          <cell r="F11" t="str">
            <v>Active</v>
          </cell>
          <cell r="G11">
            <v>20220622</v>
          </cell>
          <cell r="H11">
            <v>99991231</v>
          </cell>
        </row>
        <row r="12">
          <cell r="A12" t="str">
            <v>TH_HOMEPRO</v>
          </cell>
          <cell r="B12" t="str">
            <v>Asia</v>
          </cell>
          <cell r="C12" t="str">
            <v>Thailand</v>
          </cell>
          <cell r="D12" t="str">
            <v>TH</v>
          </cell>
          <cell r="E12" t="str">
            <v>HOMEPRO</v>
          </cell>
          <cell r="F12" t="str">
            <v>Active</v>
          </cell>
          <cell r="G12">
            <v>20230213</v>
          </cell>
          <cell r="H12">
            <v>99991231</v>
          </cell>
        </row>
        <row r="13">
          <cell r="A13" t="str">
            <v>TH_LAZADA</v>
          </cell>
          <cell r="B13" t="str">
            <v>Asia</v>
          </cell>
          <cell r="C13" t="str">
            <v>Thailand</v>
          </cell>
          <cell r="D13" t="str">
            <v>TH</v>
          </cell>
          <cell r="E13" t="str">
            <v>LAZADA</v>
          </cell>
          <cell r="F13" t="str">
            <v>Active</v>
          </cell>
          <cell r="G13">
            <v>20240305</v>
          </cell>
          <cell r="H13">
            <v>99991231</v>
          </cell>
        </row>
        <row r="14">
          <cell r="A14" t="str">
            <v>TH_POWERBUY</v>
          </cell>
          <cell r="B14" t="str">
            <v>Asia</v>
          </cell>
          <cell r="C14" t="str">
            <v>Thailand</v>
          </cell>
          <cell r="D14" t="str">
            <v>TH</v>
          </cell>
          <cell r="E14" t="str">
            <v>POWERBUY</v>
          </cell>
          <cell r="F14" t="str">
            <v>Active</v>
          </cell>
          <cell r="G14">
            <v>20230602</v>
          </cell>
          <cell r="H14">
            <v>99991231</v>
          </cell>
        </row>
        <row r="15">
          <cell r="A15" t="str">
            <v>VN_CAOPHONG</v>
          </cell>
          <cell r="B15" t="str">
            <v>Asia</v>
          </cell>
          <cell r="C15" t="str">
            <v>Vietnam</v>
          </cell>
          <cell r="D15" t="str">
            <v>VN</v>
          </cell>
          <cell r="E15" t="str">
            <v>CAOPHONG</v>
          </cell>
          <cell r="F15" t="str">
            <v>Active</v>
          </cell>
          <cell r="G15">
            <v>20220622</v>
          </cell>
          <cell r="H15">
            <v>99991231</v>
          </cell>
        </row>
        <row r="16">
          <cell r="A16" t="str">
            <v>VN_DIENMAYXANH</v>
          </cell>
          <cell r="B16" t="str">
            <v>Asia</v>
          </cell>
          <cell r="C16" t="str">
            <v>Vietnam</v>
          </cell>
          <cell r="D16" t="str">
            <v>VN</v>
          </cell>
          <cell r="E16" t="str">
            <v>DIENMAYXANH</v>
          </cell>
          <cell r="F16" t="str">
            <v>Active</v>
          </cell>
          <cell r="G16">
            <v>20230520</v>
          </cell>
          <cell r="H16">
            <v>99991231</v>
          </cell>
        </row>
        <row r="17">
          <cell r="A17" t="str">
            <v>VN_MEDIAMART</v>
          </cell>
          <cell r="B17" t="str">
            <v>Asia</v>
          </cell>
          <cell r="C17" t="str">
            <v>Vietnam</v>
          </cell>
          <cell r="D17" t="str">
            <v>VN</v>
          </cell>
          <cell r="E17" t="str">
            <v>MEDIAMART</v>
          </cell>
          <cell r="F17" t="str">
            <v>Active</v>
          </cell>
          <cell r="G17">
            <v>20230517</v>
          </cell>
          <cell r="H17">
            <v>99991231</v>
          </cell>
        </row>
        <row r="18">
          <cell r="A18" t="str">
            <v>FR_SS.com</v>
          </cell>
          <cell r="B18" t="str">
            <v>Europe</v>
          </cell>
          <cell r="C18" t="str">
            <v>France</v>
          </cell>
          <cell r="D18" t="str">
            <v>FR</v>
          </cell>
          <cell r="E18" t="str">
            <v>SS.com</v>
          </cell>
          <cell r="F18" t="str">
            <v>Active</v>
          </cell>
          <cell r="G18">
            <v>20250425</v>
          </cell>
          <cell r="H18">
            <v>99991231</v>
          </cell>
        </row>
        <row r="19">
          <cell r="A19" t="str">
            <v>FR_BOULANGER</v>
          </cell>
          <cell r="B19" t="str">
            <v>Europe</v>
          </cell>
          <cell r="C19" t="str">
            <v>France</v>
          </cell>
          <cell r="D19" t="str">
            <v>FR</v>
          </cell>
          <cell r="E19" t="str">
            <v>BOULANGER</v>
          </cell>
          <cell r="F19" t="str">
            <v>Active</v>
          </cell>
          <cell r="G19">
            <v>20230401</v>
          </cell>
          <cell r="H19">
            <v>99991231</v>
          </cell>
        </row>
        <row r="20">
          <cell r="A20" t="str">
            <v>FR_DARTY</v>
          </cell>
          <cell r="B20" t="str">
            <v>Europe</v>
          </cell>
          <cell r="C20" t="str">
            <v>France</v>
          </cell>
          <cell r="D20" t="str">
            <v>FR</v>
          </cell>
          <cell r="E20" t="str">
            <v>DARTY</v>
          </cell>
          <cell r="F20" t="str">
            <v>Active</v>
          </cell>
          <cell r="G20">
            <v>20230410</v>
          </cell>
          <cell r="H20">
            <v>99991231</v>
          </cell>
        </row>
        <row r="21">
          <cell r="A21" t="str">
            <v>FR_FNAC</v>
          </cell>
          <cell r="B21" t="str">
            <v>Europe</v>
          </cell>
          <cell r="C21" t="str">
            <v>France</v>
          </cell>
          <cell r="D21" t="str">
            <v>FR</v>
          </cell>
          <cell r="E21" t="str">
            <v>FNAC</v>
          </cell>
          <cell r="F21" t="str">
            <v>Active</v>
          </cell>
          <cell r="G21">
            <v>20220928</v>
          </cell>
          <cell r="H21">
            <v>99991231</v>
          </cell>
        </row>
        <row r="22">
          <cell r="A22" t="str">
            <v>DE_SS.com</v>
          </cell>
          <cell r="B22" t="str">
            <v>Europe</v>
          </cell>
          <cell r="C22" t="str">
            <v>Germany</v>
          </cell>
          <cell r="D22" t="str">
            <v>DE</v>
          </cell>
          <cell r="E22" t="str">
            <v>SS.com</v>
          </cell>
          <cell r="F22" t="str">
            <v>Active</v>
          </cell>
          <cell r="G22">
            <v>20250422</v>
          </cell>
          <cell r="H22">
            <v>99991231</v>
          </cell>
        </row>
        <row r="23">
          <cell r="A23" t="str">
            <v>DE_AMAZON</v>
          </cell>
          <cell r="B23" t="str">
            <v>Europe</v>
          </cell>
          <cell r="C23" t="str">
            <v>Germany</v>
          </cell>
          <cell r="D23" t="str">
            <v>DE</v>
          </cell>
          <cell r="E23" t="str">
            <v>AMAZON</v>
          </cell>
          <cell r="F23" t="str">
            <v>Active</v>
          </cell>
          <cell r="G23">
            <v>20230301</v>
          </cell>
          <cell r="H23">
            <v>99991231</v>
          </cell>
        </row>
        <row r="24">
          <cell r="A24" t="str">
            <v>DE_MEDIAMARKT</v>
          </cell>
          <cell r="B24" t="str">
            <v>Europe</v>
          </cell>
          <cell r="C24" t="str">
            <v>Germany</v>
          </cell>
          <cell r="D24" t="str">
            <v>DE</v>
          </cell>
          <cell r="E24" t="str">
            <v>MEDIAMARKT</v>
          </cell>
          <cell r="F24" t="str">
            <v>Active</v>
          </cell>
          <cell r="G24">
            <v>20230301</v>
          </cell>
          <cell r="H24">
            <v>99991231</v>
          </cell>
        </row>
        <row r="25">
          <cell r="A25" t="str">
            <v>DE_OTTO</v>
          </cell>
          <cell r="B25" t="str">
            <v>Europe</v>
          </cell>
          <cell r="C25" t="str">
            <v>Germany</v>
          </cell>
          <cell r="D25" t="str">
            <v>DE</v>
          </cell>
          <cell r="E25" t="str">
            <v>OTTO</v>
          </cell>
          <cell r="F25" t="str">
            <v>Active</v>
          </cell>
          <cell r="G25">
            <v>20230401</v>
          </cell>
          <cell r="H25">
            <v>99991231</v>
          </cell>
        </row>
        <row r="26">
          <cell r="A26" t="str">
            <v>IT_SS.com</v>
          </cell>
          <cell r="B26" t="str">
            <v>Europe</v>
          </cell>
          <cell r="C26" t="str">
            <v>Italy</v>
          </cell>
          <cell r="D26" t="str">
            <v>IT</v>
          </cell>
          <cell r="E26" t="str">
            <v>SS.com</v>
          </cell>
          <cell r="F26" t="str">
            <v>Active</v>
          </cell>
          <cell r="G26">
            <v>20250425</v>
          </cell>
          <cell r="H26">
            <v>99991231</v>
          </cell>
        </row>
        <row r="27">
          <cell r="A27" t="str">
            <v>IT_AMAZON</v>
          </cell>
          <cell r="B27" t="str">
            <v>Europe</v>
          </cell>
          <cell r="C27" t="str">
            <v>Italy</v>
          </cell>
          <cell r="D27" t="str">
            <v>IT</v>
          </cell>
          <cell r="E27" t="str">
            <v>AMAZON</v>
          </cell>
          <cell r="F27" t="str">
            <v>Active</v>
          </cell>
          <cell r="G27">
            <v>20220901</v>
          </cell>
          <cell r="H27">
            <v>99991231</v>
          </cell>
        </row>
        <row r="28">
          <cell r="A28" t="str">
            <v>IT_MEDIAWORLD</v>
          </cell>
          <cell r="B28" t="str">
            <v>Europe</v>
          </cell>
          <cell r="C28" t="str">
            <v>Italy</v>
          </cell>
          <cell r="D28" t="str">
            <v>IT</v>
          </cell>
          <cell r="E28" t="str">
            <v>MEDIAWORLD</v>
          </cell>
          <cell r="F28" t="str">
            <v>Active</v>
          </cell>
          <cell r="G28">
            <v>20230301</v>
          </cell>
          <cell r="H28">
            <v>99991231</v>
          </cell>
        </row>
        <row r="29">
          <cell r="A29" t="str">
            <v>IT_UNIEURO</v>
          </cell>
          <cell r="B29" t="str">
            <v>Europe</v>
          </cell>
          <cell r="C29" t="str">
            <v>Italy</v>
          </cell>
          <cell r="D29" t="str">
            <v>IT</v>
          </cell>
          <cell r="E29" t="str">
            <v>UNIEURO</v>
          </cell>
          <cell r="F29" t="str">
            <v>Active</v>
          </cell>
          <cell r="G29">
            <v>20230401</v>
          </cell>
          <cell r="H29">
            <v>99991231</v>
          </cell>
        </row>
        <row r="30">
          <cell r="A30" t="str">
            <v>NL_COOLBLUE</v>
          </cell>
          <cell r="B30" t="str">
            <v>Europe</v>
          </cell>
          <cell r="C30" t="str">
            <v>Netherlands</v>
          </cell>
          <cell r="D30" t="str">
            <v>NL</v>
          </cell>
          <cell r="E30" t="str">
            <v>COOLBLUE</v>
          </cell>
          <cell r="F30" t="str">
            <v>Active</v>
          </cell>
          <cell r="G30">
            <v>20230301</v>
          </cell>
          <cell r="H30">
            <v>99991231</v>
          </cell>
        </row>
        <row r="31">
          <cell r="A31" t="str">
            <v>ES_SS.com</v>
          </cell>
          <cell r="B31" t="str">
            <v>Europe</v>
          </cell>
          <cell r="C31" t="str">
            <v>Spain</v>
          </cell>
          <cell r="D31" t="str">
            <v>ES</v>
          </cell>
          <cell r="E31" t="str">
            <v>SS.com</v>
          </cell>
          <cell r="F31" t="str">
            <v>Active</v>
          </cell>
          <cell r="G31">
            <v>20250502</v>
          </cell>
          <cell r="H31">
            <v>99991231</v>
          </cell>
        </row>
        <row r="32">
          <cell r="A32" t="str">
            <v>ES_AMAZON</v>
          </cell>
          <cell r="B32" t="str">
            <v>Europe</v>
          </cell>
          <cell r="C32" t="str">
            <v>Spain</v>
          </cell>
          <cell r="D32" t="str">
            <v>ES</v>
          </cell>
          <cell r="E32" t="str">
            <v>AMAZON</v>
          </cell>
          <cell r="F32" t="str">
            <v>Active</v>
          </cell>
          <cell r="G32">
            <v>20230301</v>
          </cell>
          <cell r="H32">
            <v>99991231</v>
          </cell>
        </row>
        <row r="33">
          <cell r="A33" t="str">
            <v>ES_ELCORTEINGLES_ELECTRONICA</v>
          </cell>
          <cell r="B33" t="str">
            <v>Europe</v>
          </cell>
          <cell r="C33" t="str">
            <v>Spain</v>
          </cell>
          <cell r="D33" t="str">
            <v>ES</v>
          </cell>
          <cell r="E33" t="str">
            <v>ELCORTEINGLES_ELECTRONICA</v>
          </cell>
          <cell r="F33" t="str">
            <v>Active</v>
          </cell>
          <cell r="G33">
            <v>20230401</v>
          </cell>
          <cell r="H33">
            <v>99991231</v>
          </cell>
        </row>
        <row r="34">
          <cell r="A34" t="str">
            <v>ES_MEDIAMARKT</v>
          </cell>
          <cell r="B34" t="str">
            <v>Europe</v>
          </cell>
          <cell r="C34" t="str">
            <v>Spain</v>
          </cell>
          <cell r="D34" t="str">
            <v>ES</v>
          </cell>
          <cell r="E34" t="str">
            <v>MEDIAMARKT</v>
          </cell>
          <cell r="F34" t="str">
            <v>Active</v>
          </cell>
          <cell r="G34">
            <v>20230401</v>
          </cell>
          <cell r="H34">
            <v>99991231</v>
          </cell>
        </row>
        <row r="35">
          <cell r="A35" t="str">
            <v>SE_ELGIGANTEN</v>
          </cell>
          <cell r="B35" t="str">
            <v>Europe</v>
          </cell>
          <cell r="C35" t="str">
            <v>Sweden</v>
          </cell>
          <cell r="D35" t="str">
            <v>SE</v>
          </cell>
          <cell r="E35" t="str">
            <v>ELGIGANTEN</v>
          </cell>
          <cell r="F35" t="str">
            <v>Active</v>
          </cell>
          <cell r="G35">
            <v>20230301</v>
          </cell>
          <cell r="H35">
            <v>99991231</v>
          </cell>
        </row>
        <row r="36">
          <cell r="A36" t="str">
            <v>UK_SS.com</v>
          </cell>
          <cell r="B36" t="str">
            <v>Europe</v>
          </cell>
          <cell r="C36" t="str">
            <v>UK</v>
          </cell>
          <cell r="D36" t="str">
            <v>UK</v>
          </cell>
          <cell r="E36" t="str">
            <v>SS.com</v>
          </cell>
          <cell r="F36" t="str">
            <v>Active</v>
          </cell>
          <cell r="G36">
            <v>20250423</v>
          </cell>
          <cell r="H36">
            <v>99991231</v>
          </cell>
        </row>
        <row r="37">
          <cell r="A37" t="str">
            <v>UK_AMAZON</v>
          </cell>
          <cell r="B37" t="str">
            <v>Europe</v>
          </cell>
          <cell r="C37" t="str">
            <v>UK</v>
          </cell>
          <cell r="D37" t="str">
            <v>UK</v>
          </cell>
          <cell r="E37" t="str">
            <v>AMAZON</v>
          </cell>
          <cell r="F37" t="str">
            <v>Active</v>
          </cell>
          <cell r="G37">
            <v>20230301</v>
          </cell>
          <cell r="H37">
            <v>99991231</v>
          </cell>
        </row>
        <row r="38">
          <cell r="A38" t="str">
            <v>UK_AO</v>
          </cell>
          <cell r="B38" t="str">
            <v>Europe</v>
          </cell>
          <cell r="C38" t="str">
            <v>UK</v>
          </cell>
          <cell r="D38" t="str">
            <v>UK</v>
          </cell>
          <cell r="E38" t="str">
            <v>AO</v>
          </cell>
          <cell r="F38" t="str">
            <v>Active</v>
          </cell>
          <cell r="G38">
            <v>20230301</v>
          </cell>
          <cell r="H38">
            <v>99991231</v>
          </cell>
        </row>
        <row r="39">
          <cell r="A39" t="str">
            <v>UK_CURRYS</v>
          </cell>
          <cell r="B39" t="str">
            <v>Europe</v>
          </cell>
          <cell r="C39" t="str">
            <v>UK</v>
          </cell>
          <cell r="D39" t="str">
            <v>UK</v>
          </cell>
          <cell r="E39" t="str">
            <v>CURRYS</v>
          </cell>
          <cell r="F39" t="str">
            <v>Active</v>
          </cell>
          <cell r="G39">
            <v>20230213</v>
          </cell>
          <cell r="H39">
            <v>99991231</v>
          </cell>
        </row>
        <row r="40">
          <cell r="A40" t="str">
            <v>IN_AMAZON_LG</v>
          </cell>
          <cell r="B40" t="str">
            <v>India</v>
          </cell>
          <cell r="C40" t="str">
            <v>India</v>
          </cell>
          <cell r="D40" t="str">
            <v>IN</v>
          </cell>
          <cell r="E40" t="str">
            <v>AMAZON_LG</v>
          </cell>
          <cell r="F40" t="str">
            <v>Active</v>
          </cell>
          <cell r="G40">
            <v>20230516</v>
          </cell>
          <cell r="H40">
            <v>99991231</v>
          </cell>
        </row>
        <row r="41">
          <cell r="A41" t="str">
            <v>IN_FLIPKART</v>
          </cell>
          <cell r="B41" t="str">
            <v>India</v>
          </cell>
          <cell r="C41" t="str">
            <v>India</v>
          </cell>
          <cell r="D41" t="str">
            <v>IN</v>
          </cell>
          <cell r="E41" t="str">
            <v>FLIPKART</v>
          </cell>
          <cell r="F41" t="str">
            <v>Active</v>
          </cell>
          <cell r="G41">
            <v>20230516</v>
          </cell>
          <cell r="H41">
            <v>99991231</v>
          </cell>
        </row>
        <row r="42">
          <cell r="A42" t="str">
            <v>JP_AMAZON</v>
          </cell>
          <cell r="B42" t="str">
            <v>Japan</v>
          </cell>
          <cell r="C42" t="str">
            <v>Japan</v>
          </cell>
          <cell r="D42" t="str">
            <v>JP</v>
          </cell>
          <cell r="E42" t="str">
            <v>AMAZON</v>
          </cell>
          <cell r="F42" t="str">
            <v>Active</v>
          </cell>
          <cell r="G42">
            <v>20230516</v>
          </cell>
          <cell r="H42">
            <v>99991231</v>
          </cell>
        </row>
        <row r="43">
          <cell r="A43" t="str">
            <v>BR_SS.com</v>
          </cell>
          <cell r="B43" t="str">
            <v>LATAM</v>
          </cell>
          <cell r="C43" t="str">
            <v>Brazil</v>
          </cell>
          <cell r="D43" t="str">
            <v>BR</v>
          </cell>
          <cell r="E43" t="str">
            <v>SS.com</v>
          </cell>
          <cell r="F43" t="str">
            <v>Active</v>
          </cell>
          <cell r="G43">
            <v>20250422</v>
          </cell>
          <cell r="H43">
            <v>99991231</v>
          </cell>
        </row>
        <row r="44">
          <cell r="A44" t="str">
            <v>BR_MERCADOLIVRE</v>
          </cell>
          <cell r="B44" t="str">
            <v>LATAM</v>
          </cell>
          <cell r="C44" t="str">
            <v>Brazil</v>
          </cell>
          <cell r="D44" t="str">
            <v>BR</v>
          </cell>
          <cell r="E44" t="str">
            <v>MERCADOLIVRE</v>
          </cell>
          <cell r="F44" t="str">
            <v>Active</v>
          </cell>
          <cell r="G44">
            <v>20250413</v>
          </cell>
          <cell r="H44">
            <v>99991231</v>
          </cell>
        </row>
        <row r="45">
          <cell r="A45" t="str">
            <v>BR_AMERICANAS</v>
          </cell>
          <cell r="B45" t="str">
            <v>LATAM</v>
          </cell>
          <cell r="C45" t="str">
            <v>Brazil</v>
          </cell>
          <cell r="D45" t="str">
            <v>BR</v>
          </cell>
          <cell r="E45" t="str">
            <v>AMERICANAS</v>
          </cell>
          <cell r="F45" t="str">
            <v>Active</v>
          </cell>
          <cell r="G45">
            <v>20250413</v>
          </cell>
          <cell r="H45">
            <v>99991231</v>
          </cell>
        </row>
        <row r="46">
          <cell r="A46" t="str">
            <v>BR_MAGAZINELUIZA</v>
          </cell>
          <cell r="B46" t="str">
            <v>LATAM</v>
          </cell>
          <cell r="C46" t="str">
            <v>Brazil</v>
          </cell>
          <cell r="D46" t="str">
            <v>BR</v>
          </cell>
          <cell r="E46" t="str">
            <v>MAGAZINELUIZA</v>
          </cell>
          <cell r="F46" t="str">
            <v>Active</v>
          </cell>
          <cell r="G46">
            <v>20240301</v>
          </cell>
          <cell r="H46">
            <v>99991231</v>
          </cell>
        </row>
        <row r="47">
          <cell r="A47" t="str">
            <v>BR_AMAZON</v>
          </cell>
          <cell r="B47" t="str">
            <v>LATAM</v>
          </cell>
          <cell r="C47" t="str">
            <v>Brazil</v>
          </cell>
          <cell r="D47" t="str">
            <v>BR</v>
          </cell>
          <cell r="E47" t="str">
            <v>AMAZON</v>
          </cell>
          <cell r="F47" t="str">
            <v>Active</v>
          </cell>
          <cell r="G47">
            <v>20240404</v>
          </cell>
          <cell r="H47">
            <v>99991231</v>
          </cell>
        </row>
        <row r="48">
          <cell r="A48" t="str">
            <v>BR_LG.com</v>
          </cell>
          <cell r="B48" t="str">
            <v>LATAM</v>
          </cell>
          <cell r="C48" t="str">
            <v>Brazil</v>
          </cell>
          <cell r="D48" t="str">
            <v>BR</v>
          </cell>
          <cell r="E48" t="str">
            <v>LG.com</v>
          </cell>
          <cell r="F48" t="str">
            <v>Active</v>
          </cell>
          <cell r="G48">
            <v>20240508</v>
          </cell>
          <cell r="H48">
            <v>99991231</v>
          </cell>
        </row>
        <row r="49">
          <cell r="A49" t="str">
            <v>BR_Pontofrio</v>
          </cell>
          <cell r="B49" t="str">
            <v>LATAM</v>
          </cell>
          <cell r="C49" t="str">
            <v>Brazil</v>
          </cell>
          <cell r="D49" t="str">
            <v>BR</v>
          </cell>
          <cell r="E49" t="str">
            <v>Pontofrio</v>
          </cell>
          <cell r="F49" t="str">
            <v>Inactive</v>
          </cell>
          <cell r="G49" t="e">
            <v>#N/A</v>
          </cell>
          <cell r="H49" t="e">
            <v>#N/A</v>
          </cell>
        </row>
        <row r="50">
          <cell r="A50" t="str">
            <v>BR_Fastshop</v>
          </cell>
          <cell r="B50" t="str">
            <v>LATAM</v>
          </cell>
          <cell r="C50" t="str">
            <v>Brazil</v>
          </cell>
          <cell r="D50" t="str">
            <v>BR</v>
          </cell>
          <cell r="E50" t="str">
            <v>Fastshop</v>
          </cell>
          <cell r="F50" t="str">
            <v>Active</v>
          </cell>
          <cell r="G50">
            <v>20240610</v>
          </cell>
          <cell r="H50">
            <v>99991231</v>
          </cell>
        </row>
        <row r="51">
          <cell r="A51" t="str">
            <v>CL_FALABELLA</v>
          </cell>
          <cell r="B51" t="str">
            <v>LATAM</v>
          </cell>
          <cell r="C51" t="str">
            <v>Chile</v>
          </cell>
          <cell r="D51" t="str">
            <v>CL</v>
          </cell>
          <cell r="E51" t="str">
            <v>FALABELLA</v>
          </cell>
          <cell r="F51" t="str">
            <v>Active</v>
          </cell>
          <cell r="G51">
            <v>20240301</v>
          </cell>
          <cell r="H51">
            <v>99991231</v>
          </cell>
        </row>
        <row r="52">
          <cell r="A52" t="str">
            <v>MX_SS.com</v>
          </cell>
          <cell r="B52" t="str">
            <v>LATAM</v>
          </cell>
          <cell r="C52" t="str">
            <v>Mexico</v>
          </cell>
          <cell r="D52" t="str">
            <v>MX</v>
          </cell>
          <cell r="E52" t="str">
            <v>SS.com</v>
          </cell>
          <cell r="F52" t="str">
            <v>Active</v>
          </cell>
          <cell r="G52">
            <v>20250502</v>
          </cell>
          <cell r="H52">
            <v>99991231</v>
          </cell>
        </row>
        <row r="53">
          <cell r="A53" t="str">
            <v>MX_LIVERPOOL</v>
          </cell>
          <cell r="B53" t="str">
            <v>LATAM</v>
          </cell>
          <cell r="C53" t="str">
            <v>Mexico</v>
          </cell>
          <cell r="D53" t="str">
            <v>MX</v>
          </cell>
          <cell r="E53" t="str">
            <v>LIVERPOOL</v>
          </cell>
          <cell r="F53" t="str">
            <v>Active</v>
          </cell>
          <cell r="G53">
            <v>20230213</v>
          </cell>
          <cell r="H53">
            <v>99991231</v>
          </cell>
        </row>
        <row r="54">
          <cell r="A54" t="str">
            <v>SA_EXTRA</v>
          </cell>
          <cell r="B54" t="str">
            <v>MEA</v>
          </cell>
          <cell r="C54" t="str">
            <v>SaudiArabia</v>
          </cell>
          <cell r="D54" t="str">
            <v>SA</v>
          </cell>
          <cell r="E54" t="str">
            <v>EXTRA</v>
          </cell>
          <cell r="F54" t="str">
            <v>Active</v>
          </cell>
          <cell r="G54">
            <v>20220928</v>
          </cell>
          <cell r="H54">
            <v>99991231</v>
          </cell>
        </row>
        <row r="55">
          <cell r="A55" t="str">
            <v>CA_SS.com</v>
          </cell>
          <cell r="B55" t="str">
            <v>N.America</v>
          </cell>
          <cell r="C55" t="str">
            <v>Canada</v>
          </cell>
          <cell r="D55" t="str">
            <v>CA</v>
          </cell>
          <cell r="E55" t="str">
            <v>SS.com</v>
          </cell>
          <cell r="F55" t="str">
            <v>Active</v>
          </cell>
          <cell r="G55">
            <v>20250507</v>
          </cell>
          <cell r="H55">
            <v>99991231</v>
          </cell>
        </row>
        <row r="56">
          <cell r="A56" t="str">
            <v>CA_AMAZON</v>
          </cell>
          <cell r="B56" t="str">
            <v>N.America</v>
          </cell>
          <cell r="C56" t="str">
            <v>Canada</v>
          </cell>
          <cell r="D56" t="str">
            <v>CA</v>
          </cell>
          <cell r="E56" t="str">
            <v>AMAZON</v>
          </cell>
          <cell r="F56" t="str">
            <v>Active</v>
          </cell>
          <cell r="G56">
            <v>20230516</v>
          </cell>
          <cell r="H56">
            <v>99991231</v>
          </cell>
        </row>
        <row r="57">
          <cell r="A57" t="str">
            <v>CA_BESTBUY</v>
          </cell>
          <cell r="B57" t="str">
            <v>N.America</v>
          </cell>
          <cell r="C57" t="str">
            <v>Canada</v>
          </cell>
          <cell r="D57" t="str">
            <v>CA</v>
          </cell>
          <cell r="E57" t="str">
            <v>BESTBUY</v>
          </cell>
          <cell r="F57" t="str">
            <v>Active</v>
          </cell>
          <cell r="G57">
            <v>20230519</v>
          </cell>
          <cell r="H57">
            <v>99991231</v>
          </cell>
        </row>
        <row r="58">
          <cell r="A58" t="str">
            <v>CA_COSTCO</v>
          </cell>
          <cell r="B58" t="str">
            <v>N.America</v>
          </cell>
          <cell r="C58" t="str">
            <v>Canada</v>
          </cell>
          <cell r="D58" t="str">
            <v>CA</v>
          </cell>
          <cell r="E58" t="str">
            <v>COSTCO</v>
          </cell>
          <cell r="F58" t="str">
            <v>Active</v>
          </cell>
          <cell r="G58">
            <v>20220601</v>
          </cell>
          <cell r="H58">
            <v>99991231</v>
          </cell>
        </row>
        <row r="59">
          <cell r="A59" t="str">
            <v>CA_HOMEDEPOT</v>
          </cell>
          <cell r="B59" t="str">
            <v>N.America</v>
          </cell>
          <cell r="C59" t="str">
            <v>Canada</v>
          </cell>
          <cell r="D59" t="str">
            <v>CA</v>
          </cell>
          <cell r="E59" t="str">
            <v>HOMEDEPOT</v>
          </cell>
          <cell r="F59" t="str">
            <v>Active</v>
          </cell>
          <cell r="G59">
            <v>20240306</v>
          </cell>
          <cell r="H59">
            <v>99991231</v>
          </cell>
        </row>
        <row r="60">
          <cell r="A60" t="str">
            <v>CA_THEBRICK</v>
          </cell>
          <cell r="B60" t="str">
            <v>N.America</v>
          </cell>
          <cell r="C60" t="str">
            <v>Canada</v>
          </cell>
          <cell r="D60" t="str">
            <v>CA</v>
          </cell>
          <cell r="E60" t="str">
            <v>THEBRICK</v>
          </cell>
          <cell r="F60" t="str">
            <v>Active</v>
          </cell>
          <cell r="G60">
            <v>20240401</v>
          </cell>
          <cell r="H60">
            <v>99991231</v>
          </cell>
        </row>
        <row r="61">
          <cell r="A61" t="str">
            <v>US_SS.com</v>
          </cell>
          <cell r="B61" t="str">
            <v>N.America</v>
          </cell>
          <cell r="C61" t="str">
            <v>USA</v>
          </cell>
          <cell r="D61" t="str">
            <v>US</v>
          </cell>
          <cell r="E61" t="str">
            <v>SS.com</v>
          </cell>
          <cell r="F61" t="str">
            <v>Active</v>
          </cell>
          <cell r="G61">
            <v>20250425</v>
          </cell>
          <cell r="H61">
            <v>99991231</v>
          </cell>
        </row>
        <row r="62">
          <cell r="A62" t="str">
            <v>US_AMAZON_LG</v>
          </cell>
          <cell r="B62" t="str">
            <v>N.America</v>
          </cell>
          <cell r="C62" t="str">
            <v>USA</v>
          </cell>
          <cell r="D62" t="str">
            <v>US</v>
          </cell>
          <cell r="E62" t="str">
            <v>AMAZON_LG</v>
          </cell>
          <cell r="F62" t="str">
            <v>Active</v>
          </cell>
          <cell r="G62">
            <v>20220601</v>
          </cell>
          <cell r="H62">
            <v>99991231</v>
          </cell>
        </row>
        <row r="63">
          <cell r="A63" t="str">
            <v>US_BESTBUY_LG</v>
          </cell>
          <cell r="B63" t="str">
            <v>N.America</v>
          </cell>
          <cell r="C63" t="str">
            <v>USA</v>
          </cell>
          <cell r="D63" t="str">
            <v>US</v>
          </cell>
          <cell r="E63" t="str">
            <v>BESTBUY_LG</v>
          </cell>
          <cell r="F63" t="str">
            <v>Active</v>
          </cell>
          <cell r="G63">
            <v>20230602</v>
          </cell>
          <cell r="H63">
            <v>99991231</v>
          </cell>
        </row>
        <row r="64">
          <cell r="A64" t="str">
            <v>US_COSTCO_LG</v>
          </cell>
          <cell r="B64" t="str">
            <v>N.America</v>
          </cell>
          <cell r="C64" t="str">
            <v>USA</v>
          </cell>
          <cell r="D64" t="str">
            <v>US</v>
          </cell>
          <cell r="E64" t="str">
            <v>COSTCO_LG</v>
          </cell>
          <cell r="F64" t="str">
            <v>Active</v>
          </cell>
          <cell r="G64">
            <v>20220601</v>
          </cell>
          <cell r="H64">
            <v>99991231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권나진" id="{75A5626F-1FD0-4909-9A88-83FD5D6A876B}" userId="S::najin.kwon@lgcns.com::36fd1269-3473-4dd5-86ad-295c1858e28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4832870368" createdVersion="8" refreshedVersion="8" minRefreshableVersion="3" recordCount="63" xr:uid="{99E6A5AF-204E-47EE-BAE1-2B1906F97007}">
  <cacheSource type="worksheet">
    <worksheetSource ref="B3:C66" sheet="Sheet3"/>
  </cacheSource>
  <cacheFields count="2">
    <cacheField name="Region" numFmtId="0">
      <sharedItems count="8">
        <s v="Asia"/>
        <s v="Europe"/>
        <s v="India"/>
        <s v="Japan"/>
        <s v="LATAM"/>
        <s v="MEA"/>
        <s v="N.America"/>
        <s v="CIS" u="1"/>
      </sharedItems>
    </cacheField>
    <cacheField name="Country" numFmtId="0">
      <sharedItems count="42">
        <s v="Australia"/>
        <s v="Singapore"/>
        <s v="Taiwan"/>
        <s v="Thailand"/>
        <s v="Vietnam"/>
        <s v="France"/>
        <s v="Germany"/>
        <s v="Italy"/>
        <s v="Netherlands"/>
        <s v="Spain"/>
        <s v="Sweden"/>
        <s v="UK"/>
        <s v="India"/>
        <s v="Japan"/>
        <s v="Brazil"/>
        <s v="Chile"/>
        <s v="Mexico"/>
        <s v="SaudiArabia"/>
        <s v="Canada"/>
        <s v="USA"/>
        <s v="Denmark" u="1"/>
        <s v="HongKong" u="1"/>
        <s v="Colombia" u="1"/>
        <s v="New Zealand" u="1"/>
        <s v="Turkiye" u="1"/>
        <s v="China" u="1"/>
        <s v="Belarus" u="1"/>
        <s v="Philippines" u="1"/>
        <s v="SouthAfrica" u="1"/>
        <s v="Malaysia" u="1"/>
        <s v="Panama" u="1"/>
        <s v="Hungary" u="1"/>
        <s v="Czech" u="1"/>
        <s v="Poland" u="1"/>
        <s v="Russia" u="1"/>
        <s v="Portugal" u="1"/>
        <s v="Norway" u="1"/>
        <s v="Indonesia" u="1"/>
        <s v="Peru" u="1"/>
        <s v="UAE" u="1"/>
        <s v="Kazakhstan" u="1"/>
        <s v="Austri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6883101855" createdVersion="8" refreshedVersion="8" minRefreshableVersion="3" recordCount="62" xr:uid="{7B1DA052-8FE3-4569-9E02-CB4BC0ACBE21}">
  <cacheSource type="worksheet">
    <worksheetSource ref="C3:D65" sheet="Sheet4"/>
  </cacheSource>
  <cacheFields count="2">
    <cacheField name="Region" numFmtId="0">
      <sharedItems count="7">
        <s v="Asia"/>
        <s v="Europe"/>
        <s v="India"/>
        <s v="Japan"/>
        <s v="LATAM"/>
        <s v="MEA"/>
        <s v="N.America"/>
      </sharedItems>
    </cacheField>
    <cacheField name="Mapping" numFmtId="0">
      <sharedItems count="62">
        <s v="Australia_Samsung OBS"/>
        <s v="Australia_AMAZON"/>
        <s v="Australia_HARVEYNORMAN"/>
        <s v="Australia_JBHIFI"/>
        <s v="Australia_THEGOODGUYS"/>
        <s v="Singapore_COURTS"/>
        <s v="Singapore_HARVEYNORMAN"/>
        <s v="Singapore_LAZADA"/>
        <s v="Taiwan_MOMOSHOP"/>
        <s v="Taiwan_PCHOME"/>
        <s v="Thailand_HOMEPRO"/>
        <s v="Thailand_LAZADA"/>
        <s v="Thailand_POWERBUY"/>
        <s v="Vietnam_CAOPHONG"/>
        <s v="Vietnam_DIENMAYXANH"/>
        <s v="Vietnam_MEDIAMART"/>
        <s v="France_Samsung OBS"/>
        <s v="France_BOULANGER"/>
        <s v="France_DARTY"/>
        <s v="France_FNAC"/>
        <s v="Germany_Samsung OBS"/>
        <s v="Germany_AMAZON"/>
        <s v="Germany_MEDIAMARKT"/>
        <s v="Germany_OTTO"/>
        <s v="Italy_Samsung OBS"/>
        <s v="Italy_AMAZON"/>
        <s v="Italy_MEDIAWORLD"/>
        <s v="Italy_UNIEURO"/>
        <s v="Netherlands_COOLBLUE"/>
        <s v="Spain_Samsung OBS"/>
        <s v="Spain_AMAZON"/>
        <s v="Spain_ELCORTEINGLES_ELECTRONICA"/>
        <s v="Spain_MEDIAMARKT"/>
        <s v="Sweden_ELGIGANTEN"/>
        <s v="UK_Samsung OBS"/>
        <s v="UK_AMAZON"/>
        <s v="UK_AO"/>
        <s v="UK_CURRYS"/>
        <s v="India_AMAZON_LG"/>
        <s v="India_FLIPKART"/>
        <s v="Japan_AMAZON"/>
        <s v="Brazil_Samsung OBS"/>
        <s v="Brazil_MERCARDOLIVRE"/>
        <s v="Brazil_AMERICANAS"/>
        <s v="Brazil_MAGAZINELUIZA"/>
        <s v="Brazil_AMAZON"/>
        <s v="Brazil_LG OBS"/>
        <s v="Brazil_Pontofrio"/>
        <s v="Chile_FALABELLA"/>
        <s v="Mexico_Samsung OBS"/>
        <s v="Mexico_LIVERPOOL"/>
        <s v="SaudiArabia_EXTRA"/>
        <s v="Canada_Samsung OBS"/>
        <s v="Canada_AMAZON"/>
        <s v="Canada_BESTBUY"/>
        <s v="Canada_COSTCO"/>
        <s v="Canada_HOMEDEPOT"/>
        <s v="Canada_THEBRICK"/>
        <s v="USA_Samsung OBS"/>
        <s v="USA_AMAZON_LG"/>
        <s v="USA_BESTBUY_LG"/>
        <s v="USA_COSTCO_L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8720717594" createdVersion="8" refreshedVersion="8" minRefreshableVersion="3" recordCount="63" xr:uid="{BADA4D08-4EDE-4B8E-AC39-CE25B135641D}">
  <cacheSource type="worksheet">
    <worksheetSource ref="B4:C67" sheet="Sheet5"/>
  </cacheSource>
  <cacheFields count="2">
    <cacheField name="Region" numFmtId="0">
      <sharedItems count="7">
        <s v="Asia"/>
        <s v="Europe"/>
        <s v="India"/>
        <s v="Japan"/>
        <s v="LATAM"/>
        <s v="MEA"/>
        <s v="N.America"/>
      </sharedItems>
    </cacheField>
    <cacheField name="Mapping" numFmtId="0">
      <sharedItems count="63">
        <s v="Australia_Samsung OBS"/>
        <s v="Australia_AMAZON"/>
        <s v="Australia_HARVEYNORMAN"/>
        <s v="Australia_JBHIFI"/>
        <s v="Australia_THEGOODGUYS"/>
        <s v="Singapore_COURTS"/>
        <s v="Singapore_HARVEYNORMAN"/>
        <s v="Singapore_LAZADA"/>
        <s v="Taiwan_MOMOSHOP"/>
        <s v="Taiwan_PCHOME"/>
        <s v="Thailand_HOMEPRO"/>
        <s v="Thailand_LAZADA"/>
        <s v="Thailand_POWERBUY"/>
        <s v="Vietnam_CAOPHONG"/>
        <s v="Vietnam_DIENMAYXANH"/>
        <s v="Vietnam_MEDIAMART"/>
        <s v="France_Samsung OBS"/>
        <s v="France_BOULANGER"/>
        <s v="France_DARTY"/>
        <s v="France_FNAC"/>
        <s v="Germany_Samsung OBS"/>
        <s v="Germany_AMAZON"/>
        <s v="Germany_MEDIAMARKT"/>
        <s v="Germany_OTTO"/>
        <s v="Italy_Samsung OBS"/>
        <s v="Italy_AMAZON"/>
        <s v="Italy_MEDIAWORLD"/>
        <s v="Italy_UNIEURO"/>
        <s v="Netherlands_COOLBLUE"/>
        <s v="Spain_Samsung OBS"/>
        <s v="Spain_AMAZON"/>
        <s v="Spain_ELCORTEINGLES_ELECTRONICA"/>
        <s v="Spain_MEDIAMARKT"/>
        <s v="Sweden_ELGIGANTEN"/>
        <s v="UK_Samsung OBS"/>
        <s v="UK_AMAZON"/>
        <s v="UK_AO"/>
        <s v="UK_CURRYS"/>
        <s v="India_AMAZON_LG"/>
        <s v="India_FLIPKART"/>
        <s v="Japan_AMAZON"/>
        <s v="Brazil_Samsung OBS"/>
        <s v="Brazil_MERCARDOLIVRE"/>
        <s v="Brazil_AMERICANAS"/>
        <s v="Brazil_MAGAZINELUIZA"/>
        <s v="Brazil_AMAZON"/>
        <s v="Brazil_LG OBS"/>
        <s v="Brazil_Pontofrio"/>
        <s v="Brazil_Fastshop"/>
        <s v="Chile_FALABELLA"/>
        <s v="Mexico_Samsung OBS"/>
        <s v="Mexico_LIVERPOOL"/>
        <s v="SaudiArabia_EXTRA"/>
        <s v="Canada_Samsung OBS"/>
        <s v="Canada_AMAZON"/>
        <s v="Canada_BESTBUY"/>
        <s v="Canada_COSTCO"/>
        <s v="Canada_HOMEDEPOT"/>
        <s v="Canada_THEBRICK"/>
        <s v="USA_Samsung OBS"/>
        <s v="USA_AMAZON_LG"/>
        <s v="USA_BESTBUY_LG"/>
        <s v="USA_COSTCO_L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jin Lee" refreshedDate="46282.607133217592" createdVersion="8" refreshedVersion="8" minRefreshableVersion="3" recordCount="1489" xr:uid="{8EEA4636-1B41-4346-BBE9-4F5D81F84E9C}">
  <cacheSource type="worksheet">
    <worksheetSource ref="A1:C1490" sheet="수집 URL"/>
  </cacheSource>
  <cacheFields count="3">
    <cacheField name="INSTANCE" numFmtId="0">
      <sharedItems count="20">
        <s v="US"/>
        <s v="AU"/>
        <s v="BR"/>
        <s v="CA"/>
        <s v="DE"/>
        <s v="ES"/>
        <s v="IN"/>
        <s v="IT"/>
        <s v="JP"/>
        <s v="UK"/>
        <s v="FR"/>
        <s v="VN"/>
        <s v="NL"/>
        <s v="MX"/>
        <s v="SG"/>
        <s v="SE"/>
        <s v="SA"/>
        <s v="CL"/>
        <s v="TH"/>
        <s v="TW"/>
      </sharedItems>
    </cacheField>
    <cacheField name="ONLINE_STORE" numFmtId="0">
      <sharedItems count="46">
        <s v="AMAZON_LG"/>
        <s v="AMAZON"/>
        <s v="AMERICANAS"/>
        <s v="AO"/>
        <s v="BESTBUY"/>
        <s v="BESTBUY_LG"/>
        <s v="BOULANGER"/>
        <s v="VN"/>
        <s v="COOLBLUE"/>
        <s v="COPPEL"/>
        <s v="COSTCO"/>
        <s v="COSTCO_LG"/>
        <s v="COURTS"/>
        <s v="CURRYS"/>
        <s v="DARTY"/>
        <s v="DIENMAYXANH"/>
        <s v="ELCORTEINGLES_ELECTRONICA"/>
        <s v="ELGIGANTEN"/>
        <s v="EXTRA"/>
        <s v="FALABELLA"/>
        <s v="FASTSHOP"/>
        <s v="FLIPKART"/>
        <s v="FNAC"/>
        <s v="HARVEYNORMAN"/>
        <s v="HOMEDEPOT"/>
        <s v="HOMEDEPOT_LG"/>
        <s v="HOMEPRO"/>
        <s v="JBHIFI"/>
        <s v="LAZADA"/>
        <s v="LG.com"/>
        <s v="LIVERPOOL"/>
        <s v="LOWES_LG"/>
        <s v="MAGAZINELUIZA"/>
        <s v="MEDIAMARKT"/>
        <s v="MEDIAMART"/>
        <s v="MEDIAWORLD"/>
        <s v="MERCADOLIVRE"/>
        <s v="MOMOSHOP"/>
        <s v="OTTO"/>
        <s v="PCHOME"/>
        <s v="POWERBUY"/>
        <s v="SS.com"/>
        <s v="SEARS"/>
        <s v="THEBRICK"/>
        <s v="THEGOODGUYS"/>
        <s v="UNIEURO"/>
      </sharedItems>
    </cacheField>
    <cacheField name="CATEGORY_URL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2"/>
  </r>
  <r>
    <x v="0"/>
    <x v="2"/>
  </r>
  <r>
    <x v="0"/>
    <x v="3"/>
  </r>
  <r>
    <x v="0"/>
    <x v="3"/>
  </r>
  <r>
    <x v="0"/>
    <x v="3"/>
  </r>
  <r>
    <x v="0"/>
    <x v="4"/>
  </r>
  <r>
    <x v="0"/>
    <x v="4"/>
  </r>
  <r>
    <x v="0"/>
    <x v="4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7"/>
  </r>
  <r>
    <x v="1"/>
    <x v="7"/>
  </r>
  <r>
    <x v="1"/>
    <x v="7"/>
  </r>
  <r>
    <x v="1"/>
    <x v="7"/>
  </r>
  <r>
    <x v="1"/>
    <x v="8"/>
  </r>
  <r>
    <x v="1"/>
    <x v="9"/>
  </r>
  <r>
    <x v="1"/>
    <x v="9"/>
  </r>
  <r>
    <x v="1"/>
    <x v="9"/>
  </r>
  <r>
    <x v="1"/>
    <x v="9"/>
  </r>
  <r>
    <x v="1"/>
    <x v="10"/>
  </r>
  <r>
    <x v="1"/>
    <x v="11"/>
  </r>
  <r>
    <x v="1"/>
    <x v="11"/>
  </r>
  <r>
    <x v="1"/>
    <x v="11"/>
  </r>
  <r>
    <x v="1"/>
    <x v="11"/>
  </r>
  <r>
    <x v="2"/>
    <x v="12"/>
  </r>
  <r>
    <x v="2"/>
    <x v="12"/>
  </r>
  <r>
    <x v="3"/>
    <x v="13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5"/>
  </r>
  <r>
    <x v="4"/>
    <x v="16"/>
  </r>
  <r>
    <x v="4"/>
    <x v="16"/>
  </r>
  <r>
    <x v="5"/>
    <x v="17"/>
  </r>
  <r>
    <x v="6"/>
    <x v="18"/>
  </r>
  <r>
    <x v="6"/>
    <x v="18"/>
  </r>
  <r>
    <x v="6"/>
    <x v="18"/>
  </r>
  <r>
    <x v="6"/>
    <x v="18"/>
  </r>
  <r>
    <x v="6"/>
    <x v="18"/>
  </r>
  <r>
    <x v="6"/>
    <x v="18"/>
  </r>
  <r>
    <x v="6"/>
    <x v="19"/>
  </r>
  <r>
    <x v="6"/>
    <x v="19"/>
  </r>
  <r>
    <x v="6"/>
    <x v="19"/>
  </r>
  <r>
    <x v="6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2"/>
    <x v="38"/>
  </r>
  <r>
    <x v="2"/>
    <x v="39"/>
  </r>
  <r>
    <x v="3"/>
    <x v="40"/>
  </r>
  <r>
    <x v="4"/>
    <x v="41"/>
  </r>
  <r>
    <x v="4"/>
    <x v="42"/>
  </r>
  <r>
    <x v="4"/>
    <x v="43"/>
  </r>
  <r>
    <x v="4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5"/>
    <x v="51"/>
  </r>
  <r>
    <x v="6"/>
    <x v="52"/>
  </r>
  <r>
    <x v="6"/>
    <x v="53"/>
  </r>
  <r>
    <x v="6"/>
    <x v="54"/>
  </r>
  <r>
    <x v="6"/>
    <x v="55"/>
  </r>
  <r>
    <x v="6"/>
    <x v="56"/>
  </r>
  <r>
    <x v="6"/>
    <x v="57"/>
  </r>
  <r>
    <x v="6"/>
    <x v="58"/>
  </r>
  <r>
    <x v="6"/>
    <x v="59"/>
  </r>
  <r>
    <x v="6"/>
    <x v="60"/>
  </r>
  <r>
    <x v="6"/>
    <x v="6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2"/>
    <x v="38"/>
  </r>
  <r>
    <x v="2"/>
    <x v="39"/>
  </r>
  <r>
    <x v="3"/>
    <x v="40"/>
  </r>
  <r>
    <x v="4"/>
    <x v="41"/>
  </r>
  <r>
    <x v="4"/>
    <x v="42"/>
  </r>
  <r>
    <x v="4"/>
    <x v="43"/>
  </r>
  <r>
    <x v="4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4"/>
    <x v="51"/>
  </r>
  <r>
    <x v="5"/>
    <x v="52"/>
  </r>
  <r>
    <x v="6"/>
    <x v="53"/>
  </r>
  <r>
    <x v="6"/>
    <x v="54"/>
  </r>
  <r>
    <x v="6"/>
    <x v="55"/>
  </r>
  <r>
    <x v="6"/>
    <x v="56"/>
  </r>
  <r>
    <x v="6"/>
    <x v="57"/>
  </r>
  <r>
    <x v="6"/>
    <x v="58"/>
  </r>
  <r>
    <x v="6"/>
    <x v="59"/>
  </r>
  <r>
    <x v="6"/>
    <x v="60"/>
  </r>
  <r>
    <x v="6"/>
    <x v="61"/>
  </r>
  <r>
    <x v="6"/>
    <x v="6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9">
  <r>
    <x v="0"/>
    <x v="0"/>
    <s v="https://www.amazon.com/s?k=OVEN&amp;ref=nb_sb_noss"/>
  </r>
  <r>
    <x v="0"/>
    <x v="0"/>
    <s v="https://www.amazon.com/s?k=WASHING+MACHINE&amp;crid=2RKUKCWBBROJK&amp;sprefix=cordless+stick+vacuum%2Caps%2C1223&amp;ref=nb_sb_noss"/>
  </r>
  <r>
    <x v="0"/>
    <x v="0"/>
    <s v="https://www.amazon.com/s?k=DRYER&amp;ref=nb_sb_noss"/>
  </r>
  <r>
    <x v="0"/>
    <x v="0"/>
    <s v="https://www.amazon.com/s?rh=n%3A1292115011&amp;fs=true&amp;ref=lp_1292115011_sar"/>
  </r>
  <r>
    <x v="0"/>
    <x v="0"/>
    <s v="https://www.amazon.com/s?k=DISH+WASHER&amp;ref=nb_sb_noss"/>
  </r>
  <r>
    <x v="0"/>
    <x v="0"/>
    <s v="https://www.amazon.com/s?k=STYLER&amp;ref=nb_sb_noss"/>
  </r>
  <r>
    <x v="0"/>
    <x v="0"/>
    <s v="https://www.amazon.com/s?k=LAPTOP&amp;ref=nb_sb_noss"/>
  </r>
  <r>
    <x v="0"/>
    <x v="0"/>
    <s v="https://www.amazon.com/s?k=CORDLESS+STICK+VACUUM&amp;ref=nb_sb_noss"/>
  </r>
  <r>
    <x v="0"/>
    <x v="0"/>
    <s v="https://www.amazon.com/s?k=SOUND+BAR&amp;crid=SQ8MLAQ0HQNF&amp;sprefix=washing+machine%2Caps%2C571&amp;ref=nb_sb_noss"/>
  </r>
  <r>
    <x v="0"/>
    <x v="0"/>
    <s v="https://www.amazon.com/s?k=TV&amp;crid=31GQEXGQZJAWT&amp;sprefix=tv%2Caps%2C905&amp;ref=nb_sb_noss"/>
  </r>
  <r>
    <x v="0"/>
    <x v="0"/>
    <s v="https://www.amazon.com/s?k=REFRIGERATOR&amp;ref=nb_sb_noss"/>
  </r>
  <r>
    <x v="0"/>
    <x v="0"/>
    <s v="https://www.amazon.com/s?k=AIR+CONDITIONER&amp;crid=M5SN4DQURQBY&amp;sprefix=dish+washer%2Caps%2C1325&amp;ref=nb_sb_noss"/>
  </r>
  <r>
    <x v="0"/>
    <x v="0"/>
    <s v="https://www.amazon.com/s?k=Bluetooth+Speaker&amp;crid=U27TPKU131&amp;sprefix=bluetooth+speaker%2Caps%2C319&amp;ref=nb_sb_noss_1"/>
  </r>
  <r>
    <x v="0"/>
    <x v="0"/>
    <s v="https://www.amazon.com/s?k=WIRELESS+HEADSET&amp;ref=nb_sb_noss"/>
  </r>
  <r>
    <x v="1"/>
    <x v="1"/>
    <s v="https://www.amazon.com.au/s?rh=n%3A4913312051&amp;fs=true&amp;ref=lp_4913312051_sar"/>
  </r>
  <r>
    <x v="1"/>
    <x v="1"/>
    <s v="https://www.amazon.com.au/b?node=4913311051&amp;ref=lp_10610313051_ex_n_1"/>
  </r>
  <r>
    <x v="1"/>
    <x v="1"/>
    <s v="https://www.amazon.com.au/b?node=4885131051&amp;ref=sr_nr_n_16"/>
  </r>
  <r>
    <x v="1"/>
    <x v="1"/>
    <s v="https://www.amazon.com.au/b?node=5016660051&amp;ref=sr_nr_n_1"/>
  </r>
  <r>
    <x v="1"/>
    <x v="1"/>
    <s v="https://www.amazon.com.au/b?node=4885705051&amp;ref=sr_nr_n_1"/>
  </r>
  <r>
    <x v="1"/>
    <x v="1"/>
    <s v="https://www.amazon.com.au/b?node=4885355051&amp;ref=sr_nr_n_6"/>
  </r>
  <r>
    <x v="1"/>
    <x v="1"/>
    <s v="https://www.amazon.com.au/s?i=electronics&amp;rh=n%3A4885206051&amp;s=popularity-rank&amp;fs=true&amp;ref=lp_4885206051_sar"/>
  </r>
  <r>
    <x v="2"/>
    <x v="1"/>
    <s v="https://www.amazon.com.br/s?rh=n%3A16243822011&amp;fs=true&amp;ref=lp_16243822011_sar"/>
  </r>
  <r>
    <x v="2"/>
    <x v="1"/>
    <s v="https://www.amazon.com.br/s?rh=n%3A16364756011&amp;fs=true&amp;ref=lp_16364756011_sar"/>
  </r>
  <r>
    <x v="2"/>
    <x v="1"/>
    <s v="https://www.amazon.com.br/s?k=Geladeiras&amp;i=appliances&amp;rh=n%3A16745382011&amp;s=exact-aware-popularity-rank&amp;c=ts&amp;qid=1758106465&amp;ts_id=16745382011&amp;ref=sr_st_exact-aware-popularity-rank&amp;ds=v1%3AcC4FIGd4XuwD8olngIrU9Cp8bklZyA6QSzSNOXLI19w"/>
  </r>
  <r>
    <x v="2"/>
    <x v="1"/>
    <s v="https://www.amazon.com.br/b?node=16745396011&amp;ref=sr_nr_n_2"/>
  </r>
  <r>
    <x v="2"/>
    <x v="1"/>
    <s v="https://www.amazon.com.br/s?i=home&amp;bbn=16191000011&amp;rh=n%3A17124759011&amp;s=popularity-rank&amp;fs=true&amp;ref=lp_17124759011_sar"/>
  </r>
  <r>
    <x v="2"/>
    <x v="1"/>
    <s v="https://www.amazon.com.br/b?node=16244291011&amp;ref=sr_nr_n_4"/>
  </r>
  <r>
    <x v="2"/>
    <x v="1"/>
    <s v="https://www.amazon.com.br/b/?ie=UTF8&amp;node=16243820011&amp;pf_rd_p=8d1ebf88-a3ff-4cdf-942f-1d553c960f9b&amp;pf_rd_r=EQD7Q7A6M57R2XGK03PM&amp;pf_rd_s=br-ce-subnav-flyout-content-4&amp;pf_rd_t=SubnavFlyout&amp;ref_=sn_gfs_co_br-ce-subnav-flyout-content-4_16243820011_3"/>
  </r>
  <r>
    <x v="2"/>
    <x v="1"/>
    <s v="https://www.amazon.com.br/s?rh=n%3A16244120011%2Cp_n_feature_browse-bin%3A212335003011&amp;dc&amp;qid=1769224851&amp;rnid=212334997011&amp;ref=sr_nr_p_n_feature_browse-bin_0"/>
  </r>
  <r>
    <x v="2"/>
    <x v="1"/>
    <s v="https://www.amazon.com.br/b?node=16745397011&amp;ref=sr_nr_n_4"/>
  </r>
  <r>
    <x v="3"/>
    <x v="1"/>
    <s v="https://www.amazon.ca/s?rh=n%3A677246011&amp;fs=true&amp;ref=lp_677246011_sar"/>
  </r>
  <r>
    <x v="3"/>
    <x v="1"/>
    <s v="https://www.amazon.ca/s?rh=n%3A677252011&amp;fs=true&amp;ref=lp_677252011_sar"/>
  </r>
  <r>
    <x v="3"/>
    <x v="1"/>
    <s v="https://www.amazon.ca/s?bbn=667823011&amp;rh=n%3A2690978011&amp;fs=true&amp;ref=lp_2690978011_sar"/>
  </r>
  <r>
    <x v="3"/>
    <x v="1"/>
    <s v="https://www.amazon.ca/s?rh=n%3A17836129011&amp;language=en_CA&amp;brr=1&amp;rd=1"/>
  </r>
  <r>
    <x v="3"/>
    <x v="1"/>
    <s v="https://www.amazon.ca/s?i=kitchen&amp;bbn=2206275011&amp;rh=n%3A6304082011&amp;s=popularity-rank&amp;fs=true&amp;ref=lp_6304082011_sar"/>
  </r>
  <r>
    <x v="3"/>
    <x v="1"/>
    <s v="https://www.amazon.ca/s?i=kitchen&amp;rh=n%3A2224054011&amp;s=popularity-rank&amp;fs=true&amp;ref=lp_2224054011_sar"/>
  </r>
  <r>
    <x v="3"/>
    <x v="1"/>
    <s v="https://www.amazon.ca/s?i=electronics&amp;bbn=667823011&amp;rh=n%3A3379595011&amp;s=popularity-rank&amp;fs=true&amp;ref=lp_3379595011_sar"/>
  </r>
  <r>
    <x v="3"/>
    <x v="1"/>
    <s v="https://www.amazon.ca/s?i=electronics&amp;bbn=667823011&amp;rh=n%3A667823011%2Cn%3A677212011%2Cn%3A677226011%2Cn%3A3379549011&amp;s=popularity-rank&amp;dc&amp;fs=true&amp;ds=v1%3A%2B0kbPkC4%2FkbDRvffXHatP01w1Z4z3uXFbvE6csnRxT0&amp;qid=1768529644&amp;rnid=677226011&amp;ref=sr_nr_n_9"/>
  </r>
  <r>
    <x v="3"/>
    <x v="1"/>
    <s v="https://www.amazon.ca/s?i=electronics&amp;rh=n%3A3379571011&amp;s=popularity-rank&amp;fs=true&amp;ref=lp_3379571011_sar"/>
  </r>
  <r>
    <x v="4"/>
    <x v="1"/>
    <s v="https://www.amazon.de/s?rh=n%3A1197292&amp;fs=true&amp;ref=lp_1197292_sar"/>
  </r>
  <r>
    <x v="4"/>
    <x v="1"/>
    <s v="https://www.amazon.de/s?rh=n%3A429868031&amp;fs=true&amp;ref=lp_429868031_sar"/>
  </r>
  <r>
    <x v="4"/>
    <x v="1"/>
    <s v="https://www.amazon.de/s?i=electronics&amp;bbn=16729008031&amp;rh=n%3A562066%2Cn%3A571760%2Cn%3A589878%2Cn%3A16729008031%2Cn%3A16729009031"/>
  </r>
  <r>
    <x v="4"/>
    <x v="1"/>
    <s v="https://www.amazon.de/s?i=electronics&amp;bbn=1382764031&amp;rh=n%3A562066%2Cn%3A761254%2Cn%3A1382764031%2Cn%3A1382761031&amp;dc&amp;fs=true&amp;ds=v1%3AEo1O5nd6aCk1P%2F5ILROautgC8Nv47rVBKhuCwueuo14"/>
  </r>
  <r>
    <x v="4"/>
    <x v="1"/>
    <s v="https://www.amazon.de/s?i=electronics&amp;bbn=570278&amp;rh=n%3A562066%2Cn%3A17303695031%2Cn%3A570278%2Cn%3A3468591&amp;dc&amp;fs=true"/>
  </r>
  <r>
    <x v="4"/>
    <x v="1"/>
    <s v="https://www.amazon.de/s?rh=n%3A427957031&amp;fs=true&amp;ref=lp_427957031_sar"/>
  </r>
  <r>
    <x v="4"/>
    <x v="1"/>
    <s v="https://www.amazon.de/s?rh=n%3A111544011&amp;fs=true&amp;language=de_DE&amp;currency=EUR&amp;ref=lp_111544011_sar"/>
  </r>
  <r>
    <x v="4"/>
    <x v="1"/>
    <s v="https://www.amazon.de/s?i=appliances&amp;rh=n%3A13528201031&amp;s=popularity-rank&amp;fs=true&amp;ref=lp_13528201031_sar"/>
  </r>
  <r>
    <x v="4"/>
    <x v="1"/>
    <s v="https://www.amazon.de/s?i=appliances&amp;rh=n%3A16075991&amp;s=popularity-rank&amp;fs=true&amp;ref=lp_16075991_sar"/>
  </r>
  <r>
    <x v="4"/>
    <x v="1"/>
    <s v="https://www.amazon.de/b?node=3677547031&amp;ref=sr_nr_n_4"/>
  </r>
  <r>
    <x v="4"/>
    <x v="1"/>
    <s v="https://www.amazon.de/s?i=appliances&amp;rh=n%3A16075981&amp;s=popularity-rank&amp;fs=true&amp;ref=lp_16075981_sar"/>
  </r>
  <r>
    <x v="5"/>
    <x v="1"/>
    <s v="https://www.amazon.es/s?rh=n%3A937992031&amp;fs=true&amp;ref=lp_937992031_sar"/>
  </r>
  <r>
    <x v="5"/>
    <x v="1"/>
    <s v="https://www.amazon.es/s?rh=n%3A938008031&amp;fs=true&amp;ref=lp_938008031_sar"/>
  </r>
  <r>
    <x v="5"/>
    <x v="1"/>
    <s v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/>
  </r>
  <r>
    <x v="5"/>
    <x v="1"/>
    <s v="https://www.amazon.es/s?rh=n%3A14565171031&amp;fs=true&amp;ref=lp_14565171031_sar"/>
  </r>
  <r>
    <x v="5"/>
    <x v="1"/>
    <s v="https://www.amazon.es/s?rh=n%3A934359031&amp;fs=true&amp;ref=lp_934359031_sar"/>
  </r>
  <r>
    <x v="5"/>
    <x v="1"/>
    <s v="https://www.amazon.es/s?rh=n%3A14565215031&amp;language=es_ES&amp;brr=1&amp;rd=1"/>
  </r>
  <r>
    <x v="5"/>
    <x v="1"/>
    <s v="https://www.amazon.es/s?rh=n%3A14565205031&amp;language=es_ES&amp;brr=1&amp;rd=1"/>
  </r>
  <r>
    <x v="5"/>
    <x v="1"/>
    <s v="https://www.amazon.es/s?i=electronics&amp;rh=n%3A934056031%2Cp_n_g-1003285868111%3A28233744031&amp;s=popularity-rank&amp;dc&amp;fs=true&amp;ds=v1%3ASE4q2S1LEWLpbv2wPIax96blFfiCyP9byo%2B%2F%2FblgfUk&amp;qid=1768526233&amp;rnid=28233724031&amp;ref=sr_nr_p_n_g-1003285868111_3"/>
  </r>
  <r>
    <x v="5"/>
    <x v="1"/>
    <s v="https://www.amazon.es/s?i=kitchen&amp;rh=n%3A3605953031&amp;s=popularity-rank&amp;fs=true&amp;ref=lp_3605953031_sar"/>
  </r>
  <r>
    <x v="5"/>
    <x v="1"/>
    <s v="https://www.amazon.es/s?rh=n%3A599370031%2Cn%3A665476031%2Cn%3A934241031%2Cn%3A16725713031&amp;dc&amp;qid=1768526599&amp;rnid=934241031&amp;ref=sr_nr_n_8"/>
  </r>
  <r>
    <x v="5"/>
    <x v="1"/>
    <s v="https://www.amazon.es/s?i=electronics&amp;rh=n%3A1384102031&amp;s=popularity-rank&amp;fs=true&amp;ref=lp_1384102031_sar"/>
  </r>
  <r>
    <x v="5"/>
    <x v="1"/>
    <s v="https://www.amazon.es/s?rh=n%3A14565202031&amp;language=es_ES&amp;brr=1&amp;content-id=amzn1.sym.4231e137-7766-4d25-a87a-b95afa1b5964&amp;pd_rd_r=94cedc1b-7d65-4aa1-8ab8-e6a642005817&amp;pd_rd_w=AWRAb&amp;pd_rd_wg=rwBsP&amp;pf_rd_p=4231e137-7766-4d25-a87a-b95afa1b5964&amp;pf_rd_r=W23998ZBSJQ2ZQ19G8GH&amp;rd=1&amp;ref=Oct_d_odnav_14565593031"/>
  </r>
  <r>
    <x v="6"/>
    <x v="0"/>
    <s v="https://www.amazon.in/s?rh=n%3A1380365031&amp;fs=true&amp;ref=lp_1380365031_sar"/>
  </r>
  <r>
    <x v="6"/>
    <x v="0"/>
    <s v="https://www.amazon.in/s?rh=n%3A1380369031&amp;fs=true&amp;ref=lp_1380369031_sar"/>
  </r>
  <r>
    <x v="6"/>
    <x v="0"/>
    <s v="https://www.amazon.in/s?rh=n%3A1389396031&amp;fs=true&amp;ref=lp_1389396031_sar"/>
  </r>
  <r>
    <x v="6"/>
    <x v="0"/>
    <s v="https://www.amazon.in/s?rh=n%3A1375425031&amp;fs=true&amp;ref=lp_1375425031_sar"/>
  </r>
  <r>
    <x v="6"/>
    <x v="0"/>
    <s v="https://www.amazon.in/s?rh=n%3A13773771031&amp;fs=true&amp;ref=lp_13773771031_sar"/>
  </r>
  <r>
    <x v="6"/>
    <x v="0"/>
    <s v="https://www.amazon.in/s?rh=n%3A1389372031&amp;fs=true&amp;ref=lp_1389372031_sar"/>
  </r>
  <r>
    <x v="6"/>
    <x v="0"/>
    <s v="https://www.amazon.in/s?i=kitchen&amp;bbn=3474656031&amp;rh=n%3A976442031%2Cn%3A2083423031%2Cn%3A3474656031%2Cn%3A10545602031&amp;dc&amp;fs=true&amp;ds=v1%3As6ax%2FEXA6mZCM0%2FiYQTtqGsLADwH%2Bb4r3vnkJLa7COY&amp;qid=1672893780&amp;rnid=3474656031&amp;ref=sr_nr_n_2"/>
  </r>
  <r>
    <x v="6"/>
    <x v="0"/>
    <s v="https://www.amazon.in/s?bbn=1388921031&amp;rh=n%3A976419031%2Cn%3A29561348031%2Cn%3A1388921031%2Cn%3A14146389031&amp;dc&amp;qid=1683773932&amp;rnid=1388921031&amp;ref=lp_1388921031_nr_n_0"/>
  </r>
  <r>
    <x v="6"/>
    <x v="0"/>
    <s v="https://www.amazon.in/s?i=kitchen&amp;rh=n%3A1380259031&amp;s=popularity-rank&amp;fs=true&amp;ref=lp_1380259031_sar"/>
  </r>
  <r>
    <x v="7"/>
    <x v="1"/>
    <s v="https://www.amazon.it/s?rh=n%3A14567265031&amp;language=it_IT"/>
  </r>
  <r>
    <x v="7"/>
    <x v="1"/>
    <s v="https://www.amazon.it/s?i=computers&amp;bbn=2706939031&amp;rh=n%3A425916031%2Cn%3A2706939031%2Cn%3A460159031&amp;dc&amp;fs=true&amp;ds=v1%3ANcQ0VdO9bepBIh35Gh0leiaTHrMmO21VGs3i26WF2WA&amp;ref=sr_nr_n_2"/>
  </r>
  <r>
    <x v="7"/>
    <x v="1"/>
    <s v="https://www.amazon.it/s?rh=n%3A460158031&amp;fs=true&amp;ref=lp_460158031_sar"/>
  </r>
  <r>
    <x v="7"/>
    <x v="1"/>
    <s v="https://www.amazon.it/s?rh=n%3A5495940031&amp;fs=true&amp;ref=lp_5495940031_sar"/>
  </r>
  <r>
    <x v="7"/>
    <x v="1"/>
    <s v="https://www.amazon.it/s?rh=n%3A473352031&amp;fs=true&amp;ref=lp_473352031_sar"/>
  </r>
  <r>
    <x v="7"/>
    <x v="1"/>
    <s v="https://www.amazon.it/s?k=forno&amp;rh=n%3A5750400031&amp;dc&amp;ds=v1%3AAvmqtEqWlkQwRwbsbrh7vAFHmWtAl6yK%2Fq%2FLb0DFwOo&amp;qid=1713516281&amp;rnid=1640607031&amp;ref=sr_nr_n_1"/>
  </r>
  <r>
    <x v="7"/>
    <x v="1"/>
    <s v="https://www.amazon.it/s?k=forno&amp;i=appliances&amp;rh=n%3A5750400031%2Cp_n_feature_thirteen_browse-bin%3A14567717031&amp;dc&amp;ds=v1%3AQvjHMgQhZbLHhdv4RM958RhNEKMui0Z13CkiiHITRXA&amp;qid=1713516348&amp;rnid=14567716031&amp;ref=sr_nr_p_n_feature_thirteen_browse-bin_1"/>
  </r>
  <r>
    <x v="7"/>
    <x v="1"/>
    <s v="https://www.amazon.it/s?k=forno&amp;i=appliances&amp;rh=n%3A5750400031%2Cp_n_feature_thirteen_browse-bin%3A14567719031&amp;dc&amp;ds=v1%3Ah%2BZGTKdnmqSwWvYRnFbGrtcuzGEVHeosGFX3DF1SbjY&amp;qid=1713516420&amp;rnid=14567716031&amp;ref=sr_nr_p_n_feature_thirteen_browse-bin_1"/>
  </r>
  <r>
    <x v="7"/>
    <x v="1"/>
    <s v="https://www.amazon.it/s?rh=n%3A16725728031&amp;language=it_IT&amp;brr=1&amp;rd=1"/>
  </r>
  <r>
    <x v="7"/>
    <x v="1"/>
    <s v="https://www.amazon.it/s?i=electronics&amp;rh=n%3A473345031&amp;s=popularity-rank&amp;fs=true&amp;ref=lp_473345031_sar"/>
  </r>
  <r>
    <x v="7"/>
    <x v="1"/>
    <s v="https://www.amazon.it/s?rh=n%3A473365031%2Cp_n_feature_two_browse-bin%3A28233382031&amp;dc&amp;qid=1753749757&amp;rnid=28233364031&amp;ref=sr_nr_p_n_feature_two_browse-bin_3"/>
  </r>
  <r>
    <x v="7"/>
    <x v="1"/>
    <s v="https://www.amazon.it/s?i=kitchen&amp;rh=n%3A3692885031&amp;s=popularity-rank&amp;fs=true&amp;ref=lp_3692885031_sar"/>
  </r>
  <r>
    <x v="7"/>
    <x v="1"/>
    <s v="https://www.amazon.it/s?i=appliances&amp;rh=n%3A5495935031&amp;s=popularity-rank&amp;fs=true&amp;ref=lp_5495935031_sar"/>
  </r>
  <r>
    <x v="8"/>
    <x v="1"/>
    <s v="https://www.amazon.co.jp/s?rh=n%3A2151982051&amp;fs=true&amp;language=en&amp;ref=lp_2151982051_sar"/>
  </r>
  <r>
    <x v="8"/>
    <x v="1"/>
    <s v="https://www.amazon.co.jp/s?rh=n%3A3477491&amp;fs=true&amp;language=en&amp;ref=lp_3477491_sar"/>
  </r>
  <r>
    <x v="8"/>
    <x v="1"/>
    <s v="https://www.amazon.co.jp/s?rh=n%3A85396051&amp;fs=true&amp;language=en&amp;ref=lp_85396051_sar"/>
  </r>
  <r>
    <x v="8"/>
    <x v="1"/>
    <s v="https://www.amazon.co.jp/s?rh=n%3A85417051&amp;fs=true&amp;language=en&amp;ref=lp_85417051_sar"/>
  </r>
  <r>
    <x v="8"/>
    <x v="1"/>
    <s v="https://www.amazon.co.jp/s?bbn=3210981&amp;rh=n%3A6061792051&amp;fs=true&amp;language=en&amp;ref=lp_6061792051_sar"/>
  </r>
  <r>
    <x v="8"/>
    <x v="1"/>
    <s v="https://www.amazon.co.jp/s?rh=n%3A2151981051&amp;fs=true&amp;language=en&amp;ref=lp_2151981051_sar"/>
  </r>
  <r>
    <x v="8"/>
    <x v="1"/>
    <s v="https://www.amazon.co.jp/s?rh=n%3A2272928051&amp;fs=true&amp;ref=lp_2272928051_sar&amp;language=en"/>
  </r>
  <r>
    <x v="8"/>
    <x v="1"/>
    <s v="https://www.amazon.co.jp/s?rh=n%3A16299421&amp;fs=true&amp;ref=lp_16299421_sar"/>
  </r>
  <r>
    <x v="8"/>
    <x v="1"/>
    <s v="https://www.amazon.co.jp/s?i=kitchen&amp;rh=n%3A84823051&amp;s=popularity-rank&amp;fs=true&amp;ref=lp_84823051_sar"/>
  </r>
  <r>
    <x v="8"/>
    <x v="1"/>
    <s v="https://www.amazon.co.jp/s?i=appliances&amp;rh=n%3A16299441&amp;s=popularity-rank&amp;fs=true&amp;ref=lp_16299441_sar"/>
  </r>
  <r>
    <x v="9"/>
    <x v="1"/>
    <s v="https://www.amazon.co.uk/s?bbn=560798&amp;rh=n%3A560864&amp;fs=true&amp;ref=lp_560864_sar"/>
  </r>
  <r>
    <x v="9"/>
    <x v="1"/>
    <s v="https://www.amazon.co.uk/s?rh=n%3A428652031&amp;fs=true&amp;ref=lp_428652031_sar"/>
  </r>
  <r>
    <x v="9"/>
    <x v="1"/>
    <s v="https://www.amazon.co.uk/s?bbn=560798&amp;rh=n%3A16700222031&amp;language=en_GB&amp;_encoding=UTF8"/>
  </r>
  <r>
    <x v="9"/>
    <x v="1"/>
    <s v="https://www.amazon.co.uk/s?bbn=560798&amp;rh=n%3A1591405031&amp;fs=true&amp;ref=lp_1591405031_sar"/>
  </r>
  <r>
    <x v="9"/>
    <x v="1"/>
    <s v="https://www.amazon.co.uk/s?bbn=560798&amp;rh=n%3A4085731&amp;fs=true&amp;ref=lp_4085731_sar"/>
  </r>
  <r>
    <x v="9"/>
    <x v="1"/>
    <s v="https://www.amazon.co.uk/s?rh=n%3A429886031&amp;fs=true&amp;ref=lp_429886031_sar"/>
  </r>
  <r>
    <x v="9"/>
    <x v="1"/>
    <s v="https://www.amazon.co.uk/Washing-Machines-Drying-Home-Appliances/b/ref=dp_bc_3?ie=UTF8&amp;node=3618681"/>
  </r>
  <r>
    <x v="9"/>
    <x v="1"/>
    <s v="https://www.amazon.co.uk/b/ref=dp_bc_3?ie=UTF8&amp;node=13528548031"/>
  </r>
  <r>
    <x v="9"/>
    <x v="1"/>
    <s v="https://www.amazon.co.uk/b?node=10706421&amp;ref=sr_nr_n_5"/>
  </r>
  <r>
    <x v="9"/>
    <x v="1"/>
    <s v="https://www.amazon.co.uk/b?node=1391019031&amp;ref=sr_nr_n_2"/>
  </r>
  <r>
    <x v="2"/>
    <x v="2"/>
    <s v="https://www.americanas.com.br/eletrodomesticos/geladeira-e-refrigeradores?category-1=eletrodomesticos&amp;category-2=geladeira-e-refrigeradores&amp;fuzzy=0&amp;operator=and&amp;facets=category-1%2Ccategory-2%2Cfuzzy%2Coperator&amp;sort=score_desc&amp;page=0&amp;chave=pfm_hm_tt_2_12_geladeira"/>
  </r>
  <r>
    <x v="2"/>
    <x v="2"/>
    <s v="https://www.americanas.com.br/eletrodomesticos/lava-e-seca?chave=pfm_hm_tt_2_15_lava-e-seca"/>
  </r>
  <r>
    <x v="2"/>
    <x v="2"/>
    <s v="https://www.americanas.com.br/audio-e-video/tv?category-1=audio-e-video&amp;category-2=tv&amp;fuzzy=0&amp;operator=and&amp;facets=category-1%2Ccategory-2%2Cfuzzy%2Coperator&amp;sort=score_desc&amp;page=0&amp;chave=pfm_hm_tt_4_13_televisao"/>
  </r>
  <r>
    <x v="2"/>
    <x v="2"/>
    <s v="https://www.americanas.com.br/computadores-e-informatica?category-1=computadores-e-informatica&amp;fuzzy=0&amp;operator=and&amp;category-3=monitor&amp;facets=category-1%2Cfuzzy%2Coperator%2Ccategory-3&amp;sort=score_desc&amp;page=0&amp;chave=pfm_home_informatica_menu"/>
  </r>
  <r>
    <x v="2"/>
    <x v="2"/>
    <s v="https://www.americanas.com.br/climatizacao?category-1=climatizacao&amp;fuzzy=0&amp;operator=and&amp;category-2=climatizador-de-ar&amp;facets=category-1%2Cfuzzy%2Coperator%2Ccategory-2&amp;sort=score_desc&amp;page=0&amp;chave=pfm_home_clima_menu"/>
  </r>
  <r>
    <x v="2"/>
    <x v="2"/>
    <s v="https://www.americanas.com.br/audio-e-video/caixa-de-som/caixa-bluetooth?category-1=audio-e-video&amp;category-2=caixa-de-som&amp;category-3=caixa-bluetooth&amp;fuzzy=0&amp;operator=and&amp;facets=category-1%2Ccategory-2%2Ccategory-3%2Cfuzzy%2Coperator&amp;sort=score_desc&amp;page=0"/>
  </r>
  <r>
    <x v="2"/>
    <x v="2"/>
    <s v="https://www.americanas.com.br/audio-e-video/home-theater-e-soundbar?category-1=audio-e-video&amp;category-2=home-theater-e-soundbar&amp;fuzzy=0&amp;operator=and&amp;facets=category-1%2Ccategory-2%2Cfuzzy%2Coperator&amp;sort=score_desc&amp;page=0&amp;chave=pfm_hm_tt_4_11_soundbar"/>
  </r>
  <r>
    <x v="2"/>
    <x v="2"/>
    <s v="https://www.americanas.com.br/busca/fone-de-ouvido-bluetooth?q=fones+de+ouvido+bluetooth&amp;fuzzy=0&amp;operator=and&amp;facets=fuzzy%2Coperator&amp;sort=score_desc&amp;page=0&amp;chave=pfm_hm_tt_4_8_fone-de-ouvido-bluetooth"/>
  </r>
  <r>
    <x v="2"/>
    <x v="2"/>
    <s v="https://www.americanas.com.br/eletrodomesticos/secadoras-de-roupas"/>
  </r>
  <r>
    <x v="2"/>
    <x v="2"/>
    <s v="https://www.americanas.com.br/audio-e-video/fone-de-ouvido?category-1=audio-e-video&amp;category-2=fone-de-ouvido&amp;fuzzy=0&amp;operator=and&amp;facets=category-1%2Ccategory-2%2Cfuzzy%2Coperator&amp;sort=score_desc&amp;page=0"/>
  </r>
  <r>
    <x v="9"/>
    <x v="3"/>
    <s v="https://ao.com/l/washing_machines-free_standing/1-9/1/?pagesize=60&amp;page=0"/>
  </r>
  <r>
    <x v="9"/>
    <x v="3"/>
    <s v="https://ao.com/l/washing_machines-built_in/1-9/1/?pagesize=60&amp;page=0"/>
  </r>
  <r>
    <x v="9"/>
    <x v="3"/>
    <s v="https://ao.com/l/washing_machines-10--or--102e5--or--11--or--12--or--14_wash_load/1-4/1/?pagesize=60&amp;page=0"/>
  </r>
  <r>
    <x v="9"/>
    <x v="3"/>
    <s v="https://ao.com/l/washing_machines-7--or--8--or--82e0--or--9--or--92e0_wash_load/1-4/1/?pagesize=60&amp;page=0"/>
  </r>
  <r>
    <x v="9"/>
    <x v="3"/>
    <s v="https://ao.com/l/washing_machines-lg/1-6/1/?pagesize=60&amp;page=0"/>
  </r>
  <r>
    <x v="9"/>
    <x v="3"/>
    <s v="https://ao.com/l/washing_machines-samsung/1-6/1/?pagesize=60&amp;page=0"/>
  </r>
  <r>
    <x v="9"/>
    <x v="3"/>
    <s v="https://ao.com/l/washing_machines-bosch/1-6/1/?pagesize=60&amp;page=0"/>
  </r>
  <r>
    <x v="9"/>
    <x v="3"/>
    <s v="https://ao.com/l/washing_machines-hotpoint/1-6/1/?pagesize=60&amp;page=0"/>
  </r>
  <r>
    <x v="9"/>
    <x v="3"/>
    <s v="https://ao.com/l/washing_machines-229/1-20/1/?pagesize=60&amp;page=0"/>
  </r>
  <r>
    <x v="9"/>
    <x v="3"/>
    <s v="https://ao.com/l/washing_machines-7633/1-20/1/?pagesize=60&amp;page=0"/>
  </r>
  <r>
    <x v="9"/>
    <x v="3"/>
    <s v="https://ao.com/l/washing_machines-samsung-4554/1-6-20/1/?pagesize=60&amp;page=0"/>
  </r>
  <r>
    <x v="9"/>
    <x v="3"/>
    <s v="https://ao.com/l/washing_machines-samsung-8089/1-6-20/1/?pagesize=60&amp;page=0"/>
  </r>
  <r>
    <x v="9"/>
    <x v="3"/>
    <s v="https://ao.com/l/fridges-free_standing/1-9/29-30/?pagesize=60&amp;page=0"/>
  </r>
  <r>
    <x v="9"/>
    <x v="3"/>
    <s v="https://ao.com/l/fridges-free_standing-height_less_than_90_cm/1-9-25/29-30/?pagesize=60&amp;page=0"/>
  </r>
  <r>
    <x v="9"/>
    <x v="3"/>
    <s v="https://ao.com/l/fridges-built_in/1-9/29-30/?pagesize=60&amp;page=0"/>
  </r>
  <r>
    <x v="9"/>
    <x v="3"/>
    <s v="https://ao.com/l/refrigerators-built_under/1-9/29/?pagesize=60&amp;page=0"/>
  </r>
  <r>
    <x v="9"/>
    <x v="3"/>
    <s v="https://ao.com/l/refrigerators-larder/1-35/29/?pagesize=60&amp;page=0"/>
  </r>
  <r>
    <x v="9"/>
    <x v="3"/>
    <s v="https://ao.com/l/tvs-75_inches_and_above/1-91/107-108/?pagesize=60&amp;page=0"/>
  </r>
  <r>
    <x v="9"/>
    <x v="3"/>
    <s v="https://ao.com/l/tvs-65_inches_to_75_inches/1-91/107-108/?pagesize=60&amp;page=0"/>
  </r>
  <r>
    <x v="9"/>
    <x v="3"/>
    <s v="https://ao.com/l/tvs-55_inches_to_64_inches/1-91/107-108/?pagesize=60&amp;page=0"/>
  </r>
  <r>
    <x v="9"/>
    <x v="3"/>
    <s v="https://ao.com/l/tvs-43_inches_to_54_inches/1-91/107-108/?pagesize=60&amp;page=0"/>
  </r>
  <r>
    <x v="9"/>
    <x v="3"/>
    <s v="https://ao.com/l/tvs-32_inches_to_42_inches/1-91/107-108/?pagesize=60&amp;page=0"/>
  </r>
  <r>
    <x v="9"/>
    <x v="3"/>
    <s v="https://ao.com/l/tvs-up_to_31_inches/1-91/107-108/?pagesize=60&amp;page=0"/>
  </r>
  <r>
    <x v="9"/>
    <x v="3"/>
    <s v="https://ao.com/l/tvs-4k_ultra_hd/1-66/107-108/?pagesize=60&amp;page=0"/>
  </r>
  <r>
    <x v="9"/>
    <x v="3"/>
    <s v="https://ao.com/l/tvs-2086/1-92/107-108/?pagesize=60&amp;page=0"/>
  </r>
  <r>
    <x v="9"/>
    <x v="3"/>
    <s v="https://ao.com/l/tvs-qled_screen/1-58/107-108/?pagesize=60&amp;page=0"/>
  </r>
  <r>
    <x v="9"/>
    <x v="3"/>
    <s v="https://ao.com/l/tvs-oled_screen/1-58/107-108/?pagesize=60&amp;page=0"/>
  </r>
  <r>
    <x v="9"/>
    <x v="3"/>
    <s v="https://ao.com/l/tvs-12088/1-20/107-108/?pagesize=60&amp;page=0"/>
  </r>
  <r>
    <x v="9"/>
    <x v="3"/>
    <s v="https://ao.com/l/tvs-samsung/1-6/107-108/?pagesize=60"/>
  </r>
  <r>
    <x v="9"/>
    <x v="3"/>
    <s v="https://ao.com/l/tvs-lg/1-6/107-108/?pagesize=60"/>
  </r>
  <r>
    <x v="9"/>
    <x v="3"/>
    <s v="https://ao.com/l/tvs-sony/1-6/107-108/?pagesize=60"/>
  </r>
  <r>
    <x v="9"/>
    <x v="3"/>
    <s v="https://ao.com/l/tvs/1/107-108/?pagesize=60&amp;page=0"/>
  </r>
  <r>
    <x v="9"/>
    <x v="3"/>
    <s v="https://ao.com/l/wireless_speakers-2172/1-20/107-164-165-166/?pagesize=60&amp;page=0"/>
  </r>
  <r>
    <x v="9"/>
    <x v="3"/>
    <s v="https://ao.com/l/headphones-14809/1-20/107-164-178/?pagesize=60&amp;page=0"/>
  </r>
  <r>
    <x v="9"/>
    <x v="3"/>
    <s v="https://ao.com/l/soundbars/1/107-109-111/?pagesize=60&amp;page=0"/>
  </r>
  <r>
    <x v="9"/>
    <x v="3"/>
    <s v="https://ao.com/l/soundbars-samsung/1-6/107-109-111/?pagesize=60&amp;page=0"/>
  </r>
  <r>
    <x v="9"/>
    <x v="3"/>
    <s v="https://ao.com/l/soundbars-lg/1-6/107-109-111/?pagesize=60&amp;page=0"/>
  </r>
  <r>
    <x v="9"/>
    <x v="3"/>
    <s v="https://ao.com/l/soundbars-bose/1-6/107-109-111/?pagesize=60&amp;page=0"/>
  </r>
  <r>
    <x v="9"/>
    <x v="3"/>
    <s v="https://ao.com/l/home_cinema_and_soundbars-sonos/1-6/107-109/?pagesize=60&amp;page=0"/>
  </r>
  <r>
    <x v="9"/>
    <x v="3"/>
    <s v="https://ao.com/l/full_size_dishwashers/1/21-23&amp;pagesize=60&amp;page=0"/>
  </r>
  <r>
    <x v="9"/>
    <x v="3"/>
    <s v="https://ao.com/l/dishwashers/1/21&amp;pagesize=60&amp;page=0"/>
  </r>
  <r>
    <x v="9"/>
    <x v="3"/>
    <s v="https://ao.com/l/monitors_and_projectors/1/250-257/?pagesize=60&amp;page=0"/>
  </r>
  <r>
    <x v="9"/>
    <x v="3"/>
    <s v="https://ao.com/l/tumble_dryers/1/17/?pagesize=60&amp;page=0"/>
  </r>
  <r>
    <x v="9"/>
    <x v="3"/>
    <s v="https://ao.com/l/washer_dryers/1/2/?pagesize=60&amp;page=0"/>
  </r>
  <r>
    <x v="9"/>
    <x v="3"/>
    <s v="https://ao.com/l/heating_and_cooling/1/55-143/?pagesize=60&amp;page=0"/>
  </r>
  <r>
    <x v="3"/>
    <x v="4"/>
    <s v="https://www.bestbuy.ca/en-ca/category/refrigerators-freezers/744633"/>
  </r>
  <r>
    <x v="3"/>
    <x v="4"/>
    <s v="https://www.bestbuy.ca/en-ca/category/washing-machines/33931p?icmp=mdot_shopbynav_Washing_Machines"/>
  </r>
  <r>
    <x v="3"/>
    <x v="4"/>
    <s v="https://www.bestbuy.ca/en-ca/category/televisions/21344"/>
  </r>
  <r>
    <x v="3"/>
    <x v="4"/>
    <s v="https://www.bestbuy.ca/en-ca/category/monitors/20367"/>
  </r>
  <r>
    <x v="3"/>
    <x v="4"/>
    <s v="https://www.bestbuy.ca/en-ca/category/portable-bluetooth-speakers/31843"/>
  </r>
  <r>
    <x v="3"/>
    <x v="4"/>
    <s v="https://www.bestbuy.ca/en-ca/category/sound-bars/28817"/>
  </r>
  <r>
    <x v="3"/>
    <x v="4"/>
    <s v="https://www.bestbuy.ca/en-ca/collection/truly-wireless-headphones/37057"/>
  </r>
  <r>
    <x v="3"/>
    <x v="4"/>
    <s v="https://www.bestbuy.ca/en-ca/category/dishwashers/34432"/>
  </r>
  <r>
    <x v="3"/>
    <x v="4"/>
    <s v="https://www.bestbuy.ca/en-ca/category/laptops-macbooks/20352"/>
  </r>
  <r>
    <x v="3"/>
    <x v="4"/>
    <s v="https://www.bestbuy.ca/en-ca/category/wall-ovens/36768?icmp=mdot_shopbynav_Wall_Ovens"/>
  </r>
  <r>
    <x v="3"/>
    <x v="4"/>
    <s v="https://www.bestbuy.ca/en-ca/category/dryers/33932p"/>
  </r>
  <r>
    <x v="3"/>
    <x v="4"/>
    <s v="https://www.bestbuy.ca/en-ca/category/air-conditioners/20199?icmp=mdot_shopbynav_ac"/>
  </r>
  <r>
    <x v="0"/>
    <x v="5"/>
    <s v="https://www.bestbuy.com/site/refrigerators/all-refrigerators/pcmcat367400050001.c?id=pcmcat367400050001"/>
  </r>
  <r>
    <x v="0"/>
    <x v="5"/>
    <s v="https://www.bestbuy.com/site/washers-dryers/all-washers-and-dryers/pcmcat1550600241948.c?id=pcmcat1550600241948"/>
  </r>
  <r>
    <x v="0"/>
    <x v="5"/>
    <s v="https://www.bestbuy.com/site/tvs/all-flat-screen-tvs/abcat0101001.c?id=abcat0101001"/>
  </r>
  <r>
    <x v="0"/>
    <x v="5"/>
    <s v="https://www.bestbuy.com/site/computer-monitors/all-monitors/pcmcat143700050048.c?id=pcmcat143700050048"/>
  </r>
  <r>
    <x v="0"/>
    <x v="5"/>
    <s v="https://www.bestbuy.com/site/audio/portable-speakers-docks-radios/pcmcat310200050004.c?id=pcmcat310200050004"/>
  </r>
  <r>
    <x v="0"/>
    <x v="5"/>
    <s v="https://www.bestbuy.com/site/speakers/sound-bars/abcat0205007.c?id=abcat0205007"/>
  </r>
  <r>
    <x v="0"/>
    <x v="5"/>
    <s v="https://www.bestbuy.com/site/headphones/wireless-headphones/pcmcat331200050015.c?id=pcmcat331200050015"/>
  </r>
  <r>
    <x v="0"/>
    <x v="5"/>
    <s v="https://www.bestbuy.com/site/vacuums-floor-care/handheld-vacuums/abcat0911004.c?id=abcat0911004"/>
  </r>
  <r>
    <x v="0"/>
    <x v="5"/>
    <s v="https://www.bestbuy.com/site/dishwashers/built-in-dishwashers/abcat0905001.c?id=abcat0905001"/>
  </r>
  <r>
    <x v="0"/>
    <x v="5"/>
    <s v="https://www.bestbuy.com/site/washers-dryers/dryers/abcat0910004.c?id=abcat0910004"/>
  </r>
  <r>
    <x v="0"/>
    <x v="5"/>
    <s v="https://www.bestbuy.com/site/wall-ovens/all-wall-ovens/pcmcat1710866489405.c?id=pcmcat1710866489405"/>
  </r>
  <r>
    <x v="0"/>
    <x v="5"/>
    <s v="https://www.bestbuy.com/site/home-appliances/irons-steamers/pcmcat305400050001.c?id=pcmcat305400050001"/>
  </r>
  <r>
    <x v="0"/>
    <x v="5"/>
    <s v="https://www.bestbuy.com/site/heating-cooling-air-quality/air-conditioners/abcat0907001.c?id=abcat0907001"/>
  </r>
  <r>
    <x v="10"/>
    <x v="6"/>
    <s v="https://www.boulanger.com/c/televiseur/_usage~tv20qled"/>
  </r>
  <r>
    <x v="10"/>
    <x v="6"/>
    <s v="https://www.boulanger.com/c/televiseur/_usage~tv20led"/>
  </r>
  <r>
    <x v="10"/>
    <x v="6"/>
    <s v="https://www.boulanger.com/c/televiseur/facettes_television_____resolution~8k"/>
  </r>
  <r>
    <x v="10"/>
    <x v="6"/>
    <s v="https://www.boulanger.com/c/tv-4k"/>
  </r>
  <r>
    <x v="10"/>
    <x v="6"/>
    <s v="https://www.boulanger.com/c/televiseur/facettes_television_____connexion~smart20tv202d20tv20connecte9e"/>
  </r>
  <r>
    <x v="10"/>
    <x v="6"/>
    <s v="https://www.boulanger.com/c/televiseur/tv_connectee_smart_tv_____systeme_d_exploitation~tv20connecte9e20google20tv"/>
  </r>
  <r>
    <x v="10"/>
    <x v="6"/>
    <s v="https://www.boulanger.com/c/televiseur/brand~samsung"/>
  </r>
  <r>
    <x v="10"/>
    <x v="6"/>
    <s v="https://www.boulanger.com/c/televiseur/_etat_produit~reconditionne9"/>
  </r>
  <r>
    <x v="10"/>
    <x v="6"/>
    <s v="https://www.boulanger.com/opeco/op0180autc"/>
  </r>
  <r>
    <x v="10"/>
    <x v="6"/>
    <s v="https://www.boulanger.com/c/televiseur/aggregationtype_facette_technologie_____concatener_oui~and/brand~lg/facette_technologie_____concatener_oui~nanocell"/>
  </r>
  <r>
    <x v="10"/>
    <x v="6"/>
    <s v="https://www.boulanger.com/c/televiseur/_etat_produit~reconditionne9"/>
  </r>
  <r>
    <x v="10"/>
    <x v="6"/>
    <s v="https://www.boulanger.com/c/multiroom"/>
  </r>
  <r>
    <x v="10"/>
    <x v="6"/>
    <s v="https://www.boulanger.com/c/barre-de-son/facettes_enceinte_amplifiee_____caisson_basse~caisson20sans2dfil"/>
  </r>
  <r>
    <x v="10"/>
    <x v="6"/>
    <s v="https://www.boulanger.com/c/barre-de-son/aggregationtype_facette_option_barre_de_son_____concatener_oui~and/facette_option_barre_de_son_____concatener_oui~ensemble20multicanal"/>
  </r>
  <r>
    <x v="10"/>
    <x v="6"/>
    <s v="https://www.boulanger.com/c/barre-de-son/aggregationtype_facette_traitement_du_son_barre_de_son_____concatener_oui~and/facette_traitement_du_son_barre_de_son_____concatener_oui~dolby20atmos"/>
  </r>
  <r>
    <x v="10"/>
    <x v="6"/>
    <s v="https://www.boulanger.com/c/barre-de-son/aggregationtype_facette_connectivite_barre_de_son_____concatener_oui~and/facette_connectivite_barre_de_son_____concatener_oui~bluetooth"/>
  </r>
  <r>
    <x v="10"/>
    <x v="6"/>
    <s v="https://www.boulanger.com/c/refrigerateur-avec-congelateur"/>
  </r>
  <r>
    <x v="10"/>
    <x v="6"/>
    <s v="https://www.boulanger.com/c/nav-filtre/refrigerateur?_usage~re9frige9rateur20combine9"/>
  </r>
  <r>
    <x v="10"/>
    <x v="6"/>
    <s v="https://www.boulanger.com/c/refrigerateur-americain"/>
  </r>
  <r>
    <x v="10"/>
    <x v="6"/>
    <s v="https://www.boulanger.com/c/refrigerateur-multi-portes"/>
  </r>
  <r>
    <x v="10"/>
    <x v="6"/>
    <s v="https://www.boulanger.com/c/refrigerateur-encastrable"/>
  </r>
  <r>
    <x v="10"/>
    <x v="6"/>
    <s v="https://www.boulanger.com/c/nav-filtre/refrigerateur?facettes_communes_____basse_consommation~basse20consommation"/>
  </r>
  <r>
    <x v="10"/>
    <x v="6"/>
    <s v="https://www.boulanger.com/c/refrigerateur/_etat_produit~reconditionne9"/>
  </r>
  <r>
    <x v="10"/>
    <x v="6"/>
    <s v="https://www.boulanger.com/c/petit-refrigerateur"/>
  </r>
  <r>
    <x v="10"/>
    <x v="6"/>
    <s v="https://www.boulanger.com/c/refrigerateur-1-porte"/>
  </r>
  <r>
    <x v="10"/>
    <x v="6"/>
    <s v="https://www.boulanger.com/c/lave-linge-top"/>
  </r>
  <r>
    <x v="10"/>
    <x v="6"/>
    <s v="https://www.boulanger.com/c/tous-les-lave-linge-sechants"/>
  </r>
  <r>
    <x v="10"/>
    <x v="6"/>
    <s v="https://www.boulanger.com/c/lave-linge-encastrable"/>
  </r>
  <r>
    <x v="10"/>
    <x v="6"/>
    <s v="https://www.boulanger.com/c/lave-linge-compact"/>
  </r>
  <r>
    <x v="10"/>
    <x v="6"/>
    <s v="https://www.boulanger.com/c/nav-filtre/lave-linge?facettes_communes_____basse_consommation~basse20consommation"/>
  </r>
  <r>
    <x v="10"/>
    <x v="6"/>
    <s v="https://www.boulanger.com/c/mini-machine-a-laver-essoreuse"/>
  </r>
  <r>
    <x v="10"/>
    <x v="6"/>
    <s v="https://www.boulanger.com/c/lave-linge/_etat_produit~reconditionne9"/>
  </r>
  <r>
    <x v="10"/>
    <x v="6"/>
    <s v="https://www.boulanger.com/opeco/op0180aute"/>
  </r>
  <r>
    <x v="10"/>
    <x v="6"/>
    <s v="https://www.boulanger.com/c/lave-linge-pro"/>
  </r>
  <r>
    <x v="10"/>
    <x v="6"/>
    <s v="https://www.boulanger.com/c/accessoire-lave-linge"/>
  </r>
  <r>
    <x v="10"/>
    <x v="6"/>
    <s v="https://www.boulanger.com/c/machine-a-laver-pas-cher"/>
  </r>
  <r>
    <x v="10"/>
    <x v="6"/>
    <s v="https://www.boulanger.com/c/lave-vaisselle-encastrable"/>
  </r>
  <r>
    <x v="10"/>
    <x v="6"/>
    <s v="https://www.boulanger.com/c/lave-vaisselle-45-cm"/>
  </r>
  <r>
    <x v="10"/>
    <x v="6"/>
    <s v="https://www.boulanger.com/c/lave-vaisselle-encastrable-45-cm"/>
  </r>
  <r>
    <x v="10"/>
    <x v="6"/>
    <s v="https://www.boulanger.com/c/lave-vaisselle-compact"/>
  </r>
  <r>
    <x v="10"/>
    <x v="6"/>
    <s v="https://www.boulanger.com/c/nav-filtre/lave-vaisselle?facettes_communes_____basse_consommation~basse20consommation"/>
  </r>
  <r>
    <x v="10"/>
    <x v="6"/>
    <s v="https://www.boulanger.com/c/lave-vaisselle-table-de-cuisson"/>
  </r>
  <r>
    <x v="10"/>
    <x v="6"/>
    <s v="https://www.boulanger.com/c/lave-vaisselle/_etat_produit~reconditionne9"/>
  </r>
  <r>
    <x v="10"/>
    <x v="6"/>
    <s v="https://www.boulanger.com/opeco/op0180autj"/>
  </r>
  <r>
    <x v="10"/>
    <x v="6"/>
    <s v="https://www.boulanger.com/c/lave-vaisselle-pro"/>
  </r>
  <r>
    <x v="10"/>
    <x v="6"/>
    <s v="https://www.boulanger.com/c/accessoire-lave-vaisselle"/>
  </r>
  <r>
    <x v="10"/>
    <x v="6"/>
    <s v="https://www.boulanger.com/c/tous-les-ordinateurs-portables/nouvelles_facettes_ordinateurs_____taille_de_l_ecran~1520pouces20283820cm29"/>
  </r>
  <r>
    <x v="10"/>
    <x v="6"/>
    <s v="https://www.boulanger.com/c/pc-portable-gamer-49965"/>
  </r>
  <r>
    <x v="10"/>
    <x v="6"/>
    <s v="https://www.boulanger.com/c/macbook"/>
  </r>
  <r>
    <x v="10"/>
    <x v="6"/>
    <s v="https://www.boulanger.com/c/chromebook-netbook-ultrabook"/>
  </r>
  <r>
    <x v="10"/>
    <x v="6"/>
    <s v="https://www.boulanger.com/c/ultrabook-ultra-portable"/>
  </r>
  <r>
    <x v="10"/>
    <x v="6"/>
    <s v="https://www.boulanger.com/c/pc-hybride"/>
  </r>
  <r>
    <x v="10"/>
    <x v="6"/>
    <s v="https://www.boulanger.com/c/tous-les-ordinateurs-portables/nouvelles_facettes_ordinateurs_____taille_de_l_ecran~1720pouces20284320cm29"/>
  </r>
  <r>
    <x v="10"/>
    <x v="6"/>
    <s v="https://www.boulanger.com/c/tous-les-ordinateurs-portables/brand~asus"/>
  </r>
  <r>
    <x v="10"/>
    <x v="6"/>
    <s v="https://www.boulanger.com/c/ordinateur-portable-pas-cher"/>
  </r>
  <r>
    <x v="10"/>
    <x v="6"/>
    <s v="https://www.boulanger.com/c/tous-les-ordinateurs-portables/brand~hp"/>
  </r>
  <r>
    <x v="10"/>
    <x v="6"/>
    <s v="https://www.boulanger.com/c/tous-les-ordinateurs-portables/brand~huawei"/>
  </r>
  <r>
    <x v="10"/>
    <x v="6"/>
    <s v="https://www.boulanger.com/c/tous-les-ordinateurs-portables/_etat_produit~reconditionne9"/>
  </r>
  <r>
    <x v="10"/>
    <x v="6"/>
    <s v="https://www.boulanger.com/opeco/op0180autb"/>
  </r>
  <r>
    <x v="10"/>
    <x v="6"/>
    <s v="https://www.boulanger.com/c/four-encastrable"/>
  </r>
  <r>
    <x v="10"/>
    <x v="6"/>
    <s v="https://www.boulanger.com/c/four-encastrable/facettes_four_____nettoyage~pyrolyse"/>
  </r>
  <r>
    <x v="10"/>
    <x v="6"/>
    <s v="https://www.boulanger.com/c/four-encastrable/aggregationtype_facettes_type_de_chaleur_four_____concatener_oui~and/facettes_type_de_chaleur_four_____concatener_oui~chaleur20tournante"/>
  </r>
  <r>
    <x v="10"/>
    <x v="6"/>
    <s v="https://www.boulanger.com/c/four-encastrable/aggregationtype_facettes_type_de_chaleur_four_____concatener_oui~and/facettes_type_de_chaleur_four_____concatener_oui~vapeur"/>
  </r>
  <r>
    <x v="10"/>
    <x v="6"/>
    <s v="https://www.boulanger.com/c/ecouteur"/>
  </r>
  <r>
    <x v="10"/>
    <x v="6"/>
    <s v="https://www.boulanger.com/c/tous-les-casques-audio"/>
  </r>
  <r>
    <x v="10"/>
    <x v="6"/>
    <s v="https://www.boulanger.com/c/ecran-pc-moniteur"/>
  </r>
  <r>
    <x v="10"/>
    <x v="6"/>
    <s v="https://www.boulanger.com/c/lave-linge-hublot"/>
  </r>
  <r>
    <x v="10"/>
    <x v="6"/>
    <s v="https://www.boulanger.com/c/climatiseur"/>
  </r>
  <r>
    <x v="10"/>
    <x v="6"/>
    <s v="https://www.boulanger.com/c/seche-linge-pompe-a-chaleur"/>
  </r>
  <r>
    <x v="10"/>
    <x v="6"/>
    <s v="https://www.boulanger.com/sci/seche+linge+a+condensation"/>
  </r>
  <r>
    <x v="10"/>
    <x v="6"/>
    <s v="https://www.boulanger.com/sci/seche+linge+a+evacuation"/>
  </r>
  <r>
    <x v="10"/>
    <x v="6"/>
    <s v="https://www.boulanger.com/c/nav-filtre/cat-seche-linge?facettes_communes_____basse_consommation~basse20consommation"/>
  </r>
  <r>
    <x v="10"/>
    <x v="6"/>
    <s v="https://www.boulanger.com/c/cat-seche-linge/facettes_seche_linge_____type_de_produit~armoire20se9chante"/>
  </r>
  <r>
    <x v="10"/>
    <x v="6"/>
    <s v="https://www.boulanger.com/c/seche-linge-pro"/>
  </r>
  <r>
    <x v="10"/>
    <x v="6"/>
    <s v="https://www.boulanger.com/c/airpods"/>
  </r>
  <r>
    <x v="11"/>
    <x v="7"/>
    <s v="https://dienmaycholon.com/tivi"/>
  </r>
  <r>
    <x v="11"/>
    <x v="7"/>
    <s v="https://dienmaycholon.com/tu-lanh"/>
  </r>
  <r>
    <x v="11"/>
    <x v="7"/>
    <s v="https://dienmaycholon.com/tu-dong"/>
  </r>
  <r>
    <x v="11"/>
    <x v="7"/>
    <s v="https://dienmaycholon.com/tu-mat"/>
  </r>
  <r>
    <x v="11"/>
    <x v="7"/>
    <s v="https://dienmaycholon.com/tu-uop-ruou"/>
  </r>
  <r>
    <x v="11"/>
    <x v="7"/>
    <s v="https://dienmaycholon.com/may-giat"/>
  </r>
  <r>
    <x v="11"/>
    <x v="7"/>
    <s v="https://dienmaycholon.com/may-say"/>
  </r>
  <r>
    <x v="11"/>
    <x v="7"/>
    <s v="https://dienmaycholon.com/may-giat?t=tu-cham-soc-quan-ao"/>
  </r>
  <r>
    <x v="11"/>
    <x v="7"/>
    <s v="https://dienmaycholon.com/may-lanh"/>
  </r>
  <r>
    <x v="11"/>
    <x v="7"/>
    <s v="https://dienmaycholon.com/may-lanh?t=treo-tuong"/>
  </r>
  <r>
    <x v="11"/>
    <x v="7"/>
    <s v="https://dienmaycholon.com/may-lanh?t=tu-dung"/>
  </r>
  <r>
    <x v="11"/>
    <x v="7"/>
    <s v="https://dienmaycholon.com/may-lanh?t=am-tran"/>
  </r>
  <r>
    <x v="11"/>
    <x v="7"/>
    <s v="https://dienmaycholon.com/may-loc-khong-khi"/>
  </r>
  <r>
    <x v="11"/>
    <x v="7"/>
    <s v="https://dienmaycholon.com/loa-bluetooth"/>
  </r>
  <r>
    <x v="11"/>
    <x v="7"/>
    <s v="https://dienmaycholon.com/loa-thanh-soundbar"/>
  </r>
  <r>
    <x v="11"/>
    <x v="7"/>
    <s v="https://dienmaycholon.com/may-tinh-bang"/>
  </r>
  <r>
    <x v="11"/>
    <x v="7"/>
    <s v="https://dienmaycholon.com/tai-nghe"/>
  </r>
  <r>
    <x v="11"/>
    <x v="7"/>
    <s v="https://dienmaycholon.com/laptop-macbook"/>
  </r>
  <r>
    <x v="12"/>
    <x v="8"/>
    <s v="https://www.coolblue.nl/monitoren/filter"/>
  </r>
  <r>
    <x v="12"/>
    <x v="8"/>
    <s v="https://www.coolblue.nl/wasmachines/filter"/>
  </r>
  <r>
    <x v="12"/>
    <x v="8"/>
    <s v="https://www.coolblue.nl/koelkasten/filter"/>
  </r>
  <r>
    <x v="12"/>
    <x v="8"/>
    <s v="https://www.coolblue.nl/televisies/filter"/>
  </r>
  <r>
    <x v="12"/>
    <x v="8"/>
    <s v="https://www.coolblue.nl/draadloze-speakers/bluetooth-speakers"/>
  </r>
  <r>
    <x v="12"/>
    <x v="8"/>
    <s v="https://www.coolblue.nl/aircos/filter"/>
  </r>
  <r>
    <x v="12"/>
    <x v="8"/>
    <s v="https://www.coolblue.nl/oordopjes/filter"/>
  </r>
  <r>
    <x v="12"/>
    <x v="8"/>
    <s v="https://www.coolblue.nl/hoofdtelefoons/draadloos"/>
  </r>
  <r>
    <x v="12"/>
    <x v="8"/>
    <s v="https://www.coolblue.nl/wasdrogers/filter"/>
  </r>
  <r>
    <x v="12"/>
    <x v="8"/>
    <s v="https://www.coolblue.nl/soundbars/sonos"/>
  </r>
  <r>
    <x v="12"/>
    <x v="8"/>
    <s v="https://www.coolblue.nl/soundbars/samsung"/>
  </r>
  <r>
    <x v="12"/>
    <x v="8"/>
    <s v="https://www.coolblue.nl/soundbars/harman-kardon"/>
  </r>
  <r>
    <x v="12"/>
    <x v="8"/>
    <s v="https://www.coolblue.nl/soundbars/denon"/>
  </r>
  <r>
    <x v="12"/>
    <x v="8"/>
    <s v="https://www.coolblue.nl/soundbars/dolby-atmos-surround-sound"/>
  </r>
  <r>
    <x v="12"/>
    <x v="8"/>
    <s v="https://www.coolblue.nl/soundbars/sony"/>
  </r>
  <r>
    <x v="12"/>
    <x v="8"/>
    <s v="https://www.coolblue.nl/soundbars/bose"/>
  </r>
  <r>
    <x v="12"/>
    <x v="8"/>
    <s v="https://www.coolblue.nl/soundbars/lg"/>
  </r>
  <r>
    <x v="12"/>
    <x v="8"/>
    <s v="https://www.coolblue.nl/soundbarbeugels"/>
  </r>
  <r>
    <x v="12"/>
    <x v="8"/>
    <s v="https://www.coolblue.nl/soundbars/jbl/filter"/>
  </r>
  <r>
    <x v="12"/>
    <x v="8"/>
    <s v="https://www.coolblue.nl/soundbars/filter"/>
  </r>
  <r>
    <x v="12"/>
    <x v="8"/>
    <s v="https://www.coolblue.nl/soundbars/aanbieding"/>
  </r>
  <r>
    <x v="13"/>
    <x v="9"/>
    <s v="https://www.coppel.com/ct/linea-blanca/refrigeradores-congeladores/cat000452?pmNodeId=11404&amp;prNodeId=11419&amp;regionTelcel=9"/>
  </r>
  <r>
    <x v="13"/>
    <x v="9"/>
    <s v="https://www.coppel.com/ct/linea-blanca/lavadoras-secadoras/cat000474?pmNodeId=11404&amp;prNodeId=11419&amp;regionTelcel=9"/>
  </r>
  <r>
    <x v="13"/>
    <x v="9"/>
    <s v="https://www.coppel.com/ct/electronica/tv-video/pantallas/cat000268"/>
  </r>
  <r>
    <x v="13"/>
    <x v="9"/>
    <s v="https://www.coppel.com/ct/electronica/monitores/cat000176?pmNodeId=11404&amp;prNodeId=11419&amp;regionTelcel=9"/>
  </r>
  <r>
    <x v="13"/>
    <x v="9"/>
    <s v="https://www.coppel.com/ct/linea-blanca/aires-acondicionados/cat000416?pmNodeId=11404&amp;prNodeId=11419&amp;regionTelcel=9"/>
  </r>
  <r>
    <x v="13"/>
    <x v="9"/>
    <s v="https://www.coppel.com/ct/electronica/reproductores-portatiles/cat000317?pmNodeId=11404&amp;prNodeId=11419&amp;regionTelcel=9"/>
  </r>
  <r>
    <x v="13"/>
    <x v="9"/>
    <s v="https://www.coppel.com/ct/electronica/barras-sonido/cat000315?pmNodeId=11404&amp;prNodeId=11419&amp;regionTelcel=9"/>
  </r>
  <r>
    <x v="13"/>
    <x v="9"/>
    <s v="https://www.coppel.com/ct/electronica/audifonos-true-wireless/cat000294?pmNodeId=11404&amp;prNodeId=11419&amp;regionTelcel=9"/>
  </r>
  <r>
    <x v="13"/>
    <x v="9"/>
    <s v="https://www.coppel.com/ct/linea-blanca/secadoras-centrifugadoras/cat000476"/>
  </r>
  <r>
    <x v="3"/>
    <x v="10"/>
    <s v="https://www.costco.ca/washers.html"/>
  </r>
  <r>
    <x v="3"/>
    <x v="10"/>
    <s v="https://www.costco.ca/refrigerators.html"/>
  </r>
  <r>
    <x v="3"/>
    <x v="10"/>
    <s v="https://www.costco.ca/dishwashers.html"/>
  </r>
  <r>
    <x v="3"/>
    <x v="10"/>
    <s v="https://www.costco.ca/wall-ovens.html"/>
  </r>
  <r>
    <x v="3"/>
    <x v="10"/>
    <s v="https://www.costco.ca/laptops.html"/>
  </r>
  <r>
    <x v="3"/>
    <x v="10"/>
    <s v="https://www.costco.ca/monitors.html"/>
  </r>
  <r>
    <x v="3"/>
    <x v="10"/>
    <s v="https://www.costco.ca/home-theatre.html"/>
  </r>
  <r>
    <x v="3"/>
    <x v="10"/>
    <s v="https://www.costco.ca/headphones.html"/>
  </r>
  <r>
    <x v="3"/>
    <x v="10"/>
    <s v="https://www.costco.ca/speakers.html"/>
  </r>
  <r>
    <x v="3"/>
    <x v="10"/>
    <s v="https://www.costco.ca/televisions.html"/>
  </r>
  <r>
    <x v="3"/>
    <x v="10"/>
    <s v="https://www.costco.ca/air-conditioners.html"/>
  </r>
  <r>
    <x v="3"/>
    <x v="10"/>
    <s v="https://www.costco.ca/dryers.html"/>
  </r>
  <r>
    <x v="0"/>
    <x v="11"/>
    <s v="https://www.costco.com/vacuums-floor-care.html"/>
  </r>
  <r>
    <x v="0"/>
    <x v="11"/>
    <s v="https://www.costco.com/dishwashers.html?keyword=dishwasher"/>
  </r>
  <r>
    <x v="0"/>
    <x v="11"/>
    <s v="https://www.costco.com/electric-dryers.html"/>
  </r>
  <r>
    <x v="0"/>
    <x v="11"/>
    <s v="https://www.costco.com/wall-ovens.html"/>
  </r>
  <r>
    <x v="0"/>
    <x v="11"/>
    <s v="https://www.costco.com/refrigerators.html?keyword=refrigerators"/>
  </r>
  <r>
    <x v="0"/>
    <x v="11"/>
    <s v="https://www.costco.com/washers.html"/>
  </r>
  <r>
    <x v="0"/>
    <x v="11"/>
    <s v="https://www.costco.com/laptops.html"/>
  </r>
  <r>
    <x v="0"/>
    <x v="11"/>
    <s v="https://www.costco.com/monitors.html"/>
  </r>
  <r>
    <x v="0"/>
    <x v="11"/>
    <s v="https://www.costco.com/speakers.html"/>
  </r>
  <r>
    <x v="0"/>
    <x v="11"/>
    <s v="https://www.costco.com/home-theater-systems.html"/>
  </r>
  <r>
    <x v="0"/>
    <x v="11"/>
    <s v="https://www.costco.com/televisions.html"/>
  </r>
  <r>
    <x v="0"/>
    <x v="11"/>
    <s v="https://www.costco.com/s?dept=All&amp;keyword=styler"/>
  </r>
  <r>
    <x v="0"/>
    <x v="11"/>
    <s v="http://costco.com/headphones.html?connection-type=wireless&amp;deliveryFacetFlag=true&amp;refine=||Connection_Type_attr-Wireless"/>
  </r>
  <r>
    <x v="0"/>
    <x v="11"/>
    <s v="https://www.costco.com/bluetooth-speakers.html"/>
  </r>
  <r>
    <x v="0"/>
    <x v="11"/>
    <s v="https://www.costco.com/air-conditioners.html"/>
  </r>
  <r>
    <x v="14"/>
    <x v="12"/>
    <s v="https://www.courts.com.sg/home-appliances/large-appliances/refrigerators"/>
  </r>
  <r>
    <x v="14"/>
    <x v="12"/>
    <s v="https://www.courts.com.sg/home-appliances/large-appliances/washing-machines"/>
  </r>
  <r>
    <x v="14"/>
    <x v="12"/>
    <s v="https://www.courts.com.sg/tv-entertainment/vision/television"/>
  </r>
  <r>
    <x v="14"/>
    <x v="12"/>
    <s v="https://www.courts.com.sg/tv-entertainment/audio?type1=Portable%20Players%2FSpeakers"/>
  </r>
  <r>
    <x v="14"/>
    <x v="12"/>
    <s v="https://www.courts.com.sg/tv-entertainment/audio?type1=Sound%20Bar"/>
  </r>
  <r>
    <x v="14"/>
    <x v="12"/>
    <s v="https://www.courts.com.sg/computing-mobile/earphones-headphones?features1=Wireless"/>
  </r>
  <r>
    <x v="14"/>
    <x v="12"/>
    <s v="https://www.courts.com.sg/home-appliances/cooling-air-care/air-con"/>
  </r>
  <r>
    <x v="14"/>
    <x v="12"/>
    <s v="https://www.courts.com.sg/home-appliances/small-appliances/vacuum-cleaner"/>
  </r>
  <r>
    <x v="14"/>
    <x v="12"/>
    <s v="https://www.courts.com.sg/home-appliances/large-appliances/dishwashers"/>
  </r>
  <r>
    <x v="14"/>
    <x v="12"/>
    <s v="https://www.courts.com.sg/home-appliances/large-appliances/dryers"/>
  </r>
  <r>
    <x v="14"/>
    <x v="12"/>
    <s v="https://www.courts.com.sg/computing-mobile/monitors-projectors/monitors"/>
  </r>
  <r>
    <x v="9"/>
    <x v="13"/>
    <s v="https://www.currys.co.uk/appliances/refrigeration/fridge-freezers"/>
  </r>
  <r>
    <x v="9"/>
    <x v="13"/>
    <s v="https://www.currys.co.uk/appliances/laundry/washing-machines"/>
  </r>
  <r>
    <x v="9"/>
    <x v="13"/>
    <s v="https://www.currys.co.uk/computing/laptops/laptops"/>
  </r>
  <r>
    <x v="9"/>
    <x v="13"/>
    <s v="https://www.currys.co.uk/computing/computer-monitors/pc-monitors"/>
  </r>
  <r>
    <x v="9"/>
    <x v="13"/>
    <s v="https://www.currys.co.uk/tv-and-audio/televisions/tvs"/>
  </r>
  <r>
    <x v="9"/>
    <x v="13"/>
    <s v="https://www.currys.co.uk/appliances/dishwashers/dishwashers"/>
  </r>
  <r>
    <x v="9"/>
    <x v="13"/>
    <s v="https://www.currys.co.uk/appliances/dishwashers/dishwashers/freestanding-dishwashers"/>
  </r>
  <r>
    <x v="9"/>
    <x v="13"/>
    <s v="https://www.currys.co.uk/tv-and-audio/speakers-and-hi-fi-systems/speakers/portable-bluetooth-speakers"/>
  </r>
  <r>
    <x v="9"/>
    <x v="13"/>
    <s v="https://www.currys.co.uk/tv-and-audio/dvd-blu-ray-and-home-cinema/home-cinema-systems-and-soundbars/sound-bars"/>
  </r>
  <r>
    <x v="9"/>
    <x v="13"/>
    <s v="https://www.currys.co.uk/tv-and-audio/headphones/headphones/wireless-and-bluetooth-headphones"/>
  </r>
  <r>
    <x v="9"/>
    <x v="13"/>
    <s v="https://www.currys.co.uk/appliances/fans-heating-and-air-treatment/heating-and-cooling/air-conditioners"/>
  </r>
  <r>
    <x v="9"/>
    <x v="13"/>
    <s v="https://www.currys.co.uk/appliances/laundry/washer-dryers"/>
  </r>
  <r>
    <x v="9"/>
    <x v="13"/>
    <s v="https://www.currys.co.uk/appliances/laundry/tumble-dryers"/>
  </r>
  <r>
    <x v="10"/>
    <x v="14"/>
    <s v="https://www.darty.com/nav/achat/hifi_video/tous_ecrans_plats/filtre__4k__1680756.html"/>
  </r>
  <r>
    <x v="10"/>
    <x v="14"/>
    <s v="https://www.darty.com/nav/achat/hifi_video/tous_ecrans_plats/oled/index.html"/>
  </r>
  <r>
    <x v="10"/>
    <x v="14"/>
    <s v="https://www.darty.com/nav/achat/hifi_video/tous_ecrans_plats/index.html"/>
  </r>
  <r>
    <x v="10"/>
    <x v="14"/>
    <s v="https://www.darty.com/nav/achat/hifi_video/tous_ecrans_plats/filtre__8k__1680757.html"/>
  </r>
  <r>
    <x v="10"/>
    <x v="14"/>
    <s v="https://www.darty.com/nav/achat/hifi_video/televiseurs-led/grand_ecran_led/index.html"/>
  </r>
  <r>
    <x v="10"/>
    <x v="14"/>
    <s v="https://www.darty.com/nav/extra/list?c=1701537&amp;cat=51053&amp;o=0"/>
  </r>
  <r>
    <x v="10"/>
    <x v="14"/>
    <s v="https://www.darty.com/nav/achat/hifi_video/televiseurs-led/grand_ecran_led/filtre__tv_qled__1692836.html"/>
  </r>
  <r>
    <x v="10"/>
    <x v="14"/>
    <s v="https://www.darty.com/nav/extra/list?c=1701540&amp;fl=1&amp;cat=3&amp;m=PHILI&amp;o=0"/>
  </r>
  <r>
    <x v="10"/>
    <x v="14"/>
    <s v="https://www.darty.com/nav/achat/hifi_video/tous_ecrans_plats/filtre__smart_tv__1689773.html"/>
  </r>
  <r>
    <x v="10"/>
    <x v="14"/>
    <s v="https://www.darty.com/nav/achat/gros_electromenager/refrigerateurs/index.html"/>
  </r>
  <r>
    <x v="10"/>
    <x v="14"/>
    <s v="https://www.darty.com/nav/achat/gros_electromenager/refrigerateur_congelateur/index.html"/>
  </r>
  <r>
    <x v="10"/>
    <x v="14"/>
    <s v="https://www.darty.com/nav/achat/gros_electromenager/refrigerateurs/refrigerateur_armoire/index.html"/>
  </r>
  <r>
    <x v="10"/>
    <x v="14"/>
    <s v="https://www.darty.com/nav/achat/gros_electromenager/refrigerateur_congelateur/refrigerateur_americain/index.html"/>
  </r>
  <r>
    <x v="10"/>
    <x v="14"/>
    <s v="https://www.darty.com/nav/achat/gros_electromenager/refrigerateur_congelateur/refrigerateur_multi-portes/index.html"/>
  </r>
  <r>
    <x v="10"/>
    <x v="14"/>
    <s v="https://www.darty.com/nav/achat/gros_electromenager/refrigerateurs/refrigerateur_sous_plan/index.html"/>
  </r>
  <r>
    <x v="10"/>
    <x v="14"/>
    <s v="https://www.darty.com/nav/achat/gros_electromenager/lave-linge/index.html"/>
  </r>
  <r>
    <x v="10"/>
    <x v="14"/>
    <s v="https://www.darty.com/nav/achat/gros_electromenager/lave-linge/lave_linge_hublot/index.html"/>
  </r>
  <r>
    <x v="10"/>
    <x v="14"/>
    <s v="https://www.darty.com/nav/achat/gros_electromenager/lave-linge/lave_linge_ouverture_dessus/index.html"/>
  </r>
  <r>
    <x v="10"/>
    <x v="14"/>
    <s v="https://www.darty.com/nav/achat/gros_electromenager/lave-linge/lave_linge_sechant/index.html"/>
  </r>
  <r>
    <x v="10"/>
    <x v="14"/>
    <s v="https://www.darty.com/nav/achat/informatique/ecran_informatique/index.html"/>
  </r>
  <r>
    <x v="10"/>
    <x v="14"/>
    <s v="https://www.darty.com/nav/achat/hifi_video/casque_ecouteurs/casque_arceau/filtre__casque_audio_bluetooth__1032485.html"/>
  </r>
  <r>
    <x v="10"/>
    <x v="14"/>
    <s v="https://www.darty.com/nav/achat/hifi_video/casque_ecouteurs/casque_intra-auriculaire/filtre__ecouteurs_bluetooth__1032485.html"/>
  </r>
  <r>
    <x v="10"/>
    <x v="14"/>
    <s v="https://www.darty.com/nav/achat/hifi_video/home_cinema/barre_son/index.html"/>
  </r>
  <r>
    <x v="10"/>
    <x v="14"/>
    <s v="https://www.darty.com/nav/achat/audio_mp3_mp4/enceinte_ipod_ipad_iphone_mp3/index.html"/>
  </r>
  <r>
    <x v="10"/>
    <x v="14"/>
    <s v="https://www.darty.com/nav/achat/gros_electromenager/lave-vaisselle/index.html"/>
  </r>
  <r>
    <x v="10"/>
    <x v="14"/>
    <s v="https://www.darty.com/nav/achat/encastrable/four_classique/four_encastrable/index.html"/>
  </r>
  <r>
    <x v="10"/>
    <x v="14"/>
    <s v="https://www.darty.com/nav/achat/informatique/ordinateur_portable/portable/index.html"/>
  </r>
  <r>
    <x v="10"/>
    <x v="14"/>
    <s v="https://www.darty.com/nav/extra/list?c=1712558&amp;cat=97056&amp;o=0"/>
  </r>
  <r>
    <x v="10"/>
    <x v="14"/>
    <s v="https://www.darty.com/nav/achat/hifi_video/home_cinema/casque_sans_fil/index.html"/>
  </r>
  <r>
    <x v="10"/>
    <x v="14"/>
    <s v="https://www.darty.com/nav/achat/gros_electromenager/climatisation/index.html"/>
  </r>
  <r>
    <x v="10"/>
    <x v="14"/>
    <s v="https://www.darty.com/nav/achat/gros_electromenager/seche-linge/index.html"/>
  </r>
  <r>
    <x v="11"/>
    <x v="15"/>
    <s v="https://www.dienmayxanh.com/tu-lanh"/>
  </r>
  <r>
    <x v="11"/>
    <x v="15"/>
    <s v="https://www.dienmayxanh.com/may-giat"/>
  </r>
  <r>
    <x v="11"/>
    <x v="15"/>
    <s v="https://www.dienmayxanh.com/tivi"/>
  </r>
  <r>
    <x v="11"/>
    <x v="15"/>
    <s v="https://www.dienmayxanh.com/dan-loa-dvd-loa-bluetooth"/>
  </r>
  <r>
    <x v="11"/>
    <x v="15"/>
    <s v="https://www.dienmayxanh.com/dan-loa-dvd-loa-thanh"/>
  </r>
  <r>
    <x v="11"/>
    <x v="15"/>
    <s v="https://www.dienmayxanh.com/tai-nghe?g=bluetooth"/>
  </r>
  <r>
    <x v="11"/>
    <x v="15"/>
    <s v="https://www.dienmayxanh.com/may-lanh"/>
  </r>
  <r>
    <x v="11"/>
    <x v="15"/>
    <s v="https://www.dienmayxanh.com/may-giat-tu-cham-soc-quan-ao"/>
  </r>
  <r>
    <x v="11"/>
    <x v="15"/>
    <s v="https://www.dienmayxanh.com/man-hinh-may-tinh"/>
  </r>
  <r>
    <x v="11"/>
    <x v="15"/>
    <s v="https://www.dienmayxanh.com/may-say-quan-ao"/>
  </r>
  <r>
    <x v="5"/>
    <x v="16"/>
    <s v="https://www.elcorteingles.es/electrodomesticos/frigorificos-y-congeladores/"/>
  </r>
  <r>
    <x v="5"/>
    <x v="16"/>
    <s v="https://www.elcorteingles.es/electrodomesticos/lavadoras/"/>
  </r>
  <r>
    <x v="5"/>
    <x v="16"/>
    <s v="https://www.elcorteingles.es/electronica/tv/tv-led/"/>
  </r>
  <r>
    <x v="5"/>
    <x v="16"/>
    <s v="https://www.elcorteingles.es/electronica/tv/tv-oled/"/>
  </r>
  <r>
    <x v="5"/>
    <x v="16"/>
    <s v="https://www.elcorteingles.es/electronica/tv/tv-qled/"/>
  </r>
  <r>
    <x v="5"/>
    <x v="16"/>
    <s v="https://www.elcorteingles.es/electronica/monitores-pc/"/>
  </r>
  <r>
    <x v="5"/>
    <x v="16"/>
    <s v="https://www.elcorteingles.es/electronica/sonido/altavoces-portatiles/altavoces-bluetooth/"/>
  </r>
  <r>
    <x v="5"/>
    <x v="16"/>
    <s v="https://www.elcorteingles.es/electronica/sonido/barras-de-sonido/"/>
  </r>
  <r>
    <x v="5"/>
    <x v="16"/>
    <s v="https://www.elcorteingles.es/electronica/sonido/auriculares/auriculares-bluetooth/"/>
  </r>
  <r>
    <x v="5"/>
    <x v="16"/>
    <s v="https://www.elcorteingles.es/electrodomesticos/lavavajillas/"/>
  </r>
  <r>
    <x v="5"/>
    <x v="16"/>
    <s v="https://www.elcorteingles.es/electrodomesticos/hornos-placas-y-campanas/hornos-de-cocina/"/>
  </r>
  <r>
    <x v="5"/>
    <x v="16"/>
    <s v="https://www.elcorteingles.es/electrodomesticos/aire-acondicionado/split/"/>
  </r>
  <r>
    <x v="5"/>
    <x v="16"/>
    <s v="https://www.elcorteingles.es/electrodomesticos/aire-acondicionado/portatil/"/>
  </r>
  <r>
    <x v="5"/>
    <x v="16"/>
    <s v="https://www.elcorteingles.es/electrodomesticos/aire-acondicionado/cassette/"/>
  </r>
  <r>
    <x v="5"/>
    <x v="16"/>
    <s v="https://www.elcorteingles.es/electrodomesticos/aire-acondicionado/suelo-techo/"/>
  </r>
  <r>
    <x v="5"/>
    <x v="16"/>
    <s v="https://www.elcorteingles.es/electrodomesticos/secadoras-de-ropa/"/>
  </r>
  <r>
    <x v="5"/>
    <x v="16"/>
    <s v="https://www.elcorteingles.es/electrodomesticos/secadoras-de-ropa/secadoras-de-condensacion/"/>
  </r>
  <r>
    <x v="5"/>
    <x v="16"/>
    <s v="https://www.elcorteingles.es/electrodomesticos/secadoras-de-ropa/secadoras-de-evacuacion/"/>
  </r>
  <r>
    <x v="5"/>
    <x v="16"/>
    <s v="https://www.elcorteingles.es/electrodomesticos/secadoras-de-ropa/secadoras-integrables/"/>
  </r>
  <r>
    <x v="5"/>
    <x v="16"/>
    <s v="https://www.elcorteingles.es/electrodomesticos/lavadoras/lavadora-secadora-integrable/"/>
  </r>
  <r>
    <x v="15"/>
    <x v="17"/>
    <s v="https://www.elgiganten.se/vitvaror/tvatt-tork/tvattmaskin"/>
  </r>
  <r>
    <x v="15"/>
    <x v="17"/>
    <s v="https://www.elgiganten.se/vitvaror/tvatt-tork/torktumlare-torkskap"/>
  </r>
  <r>
    <x v="15"/>
    <x v="17"/>
    <s v="https://www.elgiganten.se/tv-ljud-smart-hem/tv-tillbehor/tv"/>
  </r>
  <r>
    <x v="15"/>
    <x v="17"/>
    <s v="https://www.elgiganten.se/tv-ljud-smart-hem/hogtalare-hifi/soundbar"/>
  </r>
  <r>
    <x v="15"/>
    <x v="17"/>
    <s v="https://www.elgiganten.se/tv-ljud-smart-hem/hogtalare-hifi/hogtalare"/>
  </r>
  <r>
    <x v="15"/>
    <x v="17"/>
    <s v="https://www.elgiganten.se/datorer-kontor/skarmar-tillbehor/datorskarm"/>
  </r>
  <r>
    <x v="15"/>
    <x v="17"/>
    <s v="https://www.elgiganten.se/vitvaror/kyl-frys"/>
  </r>
  <r>
    <x v="15"/>
    <x v="17"/>
    <s v="https://www.elgiganten.se/vitvaror/diskmaskin"/>
  </r>
  <r>
    <x v="15"/>
    <x v="17"/>
    <s v="https://www.elgiganten.se/hem-hushall-tradgard/inomhusklimat-uppvarmning/avkylning/luftkonditionering"/>
  </r>
  <r>
    <x v="16"/>
    <x v="18"/>
    <s v="https://www.extra.com/ar-sa/computer/c/3/facet/familyEn:Monitors:familyEn:Projectors?q=:relevance:familyEn:Monitors:familyEn:Projectors:inStock:true&amp;text=&amp;pageSize=96&amp;pg=0&amp;sort=relevance"/>
  </r>
  <r>
    <x v="16"/>
    <x v="18"/>
    <s v="https://www.extra.com/ar-sa/mobiles-tablets/portable-audio/head-phones/c/2-623-5/facet/?q=:relevance:inStock:true&amp;text=&amp;pageSize=96&amp;pg=0&amp;sort=relevance"/>
  </r>
  <r>
    <x v="16"/>
    <x v="18"/>
    <s v="https://www.extra.com/ar-sa/mobiles-tablets/portable-audio/speaker/c/2-623-3?q=:relevance:inStock:true&amp;text=&amp;pageSize=96&amp;pg=0&amp;sort=relevance"/>
  </r>
  <r>
    <x v="16"/>
    <x v="18"/>
    <s v="https://www.extra.com/ar-sa/electronics/home-entertainment/c/1-110/facet/?q=:relevance:inStock:true&amp;text=&amp;pageSize=96&amp;pg=0&amp;sort=priceValueDiscount-desc"/>
  </r>
  <r>
    <x v="16"/>
    <x v="18"/>
    <s v="https://www.extra.com/ar-sa/electronics/television/c/1-109/facet/?q=:relevance:inStock:true&amp;text=&amp;pageSize=96&amp;pg=0&amp;sort=priceValueDiscount-desc"/>
  </r>
  <r>
    <x v="16"/>
    <x v="18"/>
    <s v="https://www.extra.com/ar-sa/white-goods/washing-machines/c/4-403/facet/?q=:relevance:inStock:true&amp;text=&amp;pageSize=96&amp;pg=0&amp;sort=relevance"/>
  </r>
  <r>
    <x v="16"/>
    <x v="18"/>
    <s v="https://www.extra.com/ar-sa/white-goods/refrigerators/c/4-401/facet/?q=:relevance:inStock:true&amp;text=&amp;pageSize=96&amp;pg=0&amp;sort=relevance"/>
  </r>
  <r>
    <x v="16"/>
    <x v="18"/>
    <s v="https://www.extra.com/ar-sa/white-goods/air-conditioner/c/4-402/facet/?q=:relevance:inStock:true&amp;text=&amp;pageSize=96&amp;pg=0&amp;sort=relevance"/>
  </r>
  <r>
    <x v="16"/>
    <x v="18"/>
    <s v="https://www.extra.com/ar-sa/white-goods/dish-washer/c/4-408/facet/"/>
  </r>
  <r>
    <x v="16"/>
    <x v="18"/>
    <s v="https://www.extra.com/ar-sa/white-goods/dryers/c/4-404/facet/?q=%3Arelevance%3AinStock%3Atrue%3Atype%3APRODUCT&amp;text=&amp;pg=1&amp;pageSize=24&amp;sort=relevance"/>
  </r>
  <r>
    <x v="17"/>
    <x v="19"/>
    <s v="https://www.falabella.com/falabella-cl/category/cat3205/Refrigeradores"/>
  </r>
  <r>
    <x v="17"/>
    <x v="19"/>
    <s v="https://www.falabella.com/falabella-cl/category/cat4060/Lavadoras"/>
  </r>
  <r>
    <x v="17"/>
    <x v="19"/>
    <s v="https://www.falabella.com/falabella-cl/category/cat7190148/Smart-TV"/>
  </r>
  <r>
    <x v="17"/>
    <x v="19"/>
    <s v="https://www.falabella.com/falabella-cl/category/cat3171/Parlantes-bluetooth"/>
  </r>
  <r>
    <x v="17"/>
    <x v="19"/>
    <s v="https://www.falabella.com/falabella-cl/category/cat1700004/Soundbar"/>
  </r>
  <r>
    <x v="17"/>
    <x v="19"/>
    <s v="https://www.falabella.com/falabella-cl/category/cat1640002/Audifonos"/>
  </r>
  <r>
    <x v="17"/>
    <x v="19"/>
    <s v="https://www.falabella.com/falabella-cl/category/cat2062/Monitores"/>
  </r>
  <r>
    <x v="17"/>
    <x v="19"/>
    <s v="https://www.falabella.com/falabella-cl/category/CATG12097/Climatizacion"/>
  </r>
  <r>
    <x v="17"/>
    <x v="19"/>
    <s v="https://www.falabella.com/falabella-cl/category/cat2019/Aire-acondicionado"/>
  </r>
  <r>
    <x v="17"/>
    <x v="19"/>
    <s v="https://www.falabella.com/falabella-cl/category/cat4088/Secadora-de-ropa"/>
  </r>
  <r>
    <x v="2"/>
    <x v="20"/>
    <s v="https://site.fastshop.com.br/eletrodomesticos/Para-sua-lavanderia/Lava---Seca?category-1=eletrodomesticos&amp;category-2=para-sua-lavanderia&amp;category-3=lava---seca&amp;fuzzy=0&amp;operator=and&amp;facets=category-1%2Ccategory-2%2Ccategory-3%2Cfuzzy%2Coperator&amp;sort=score_desc&amp;page=0"/>
  </r>
  <r>
    <x v="2"/>
    <x v="20"/>
    <s v="https://site.fastshop.com.br/eletrodomesticos/Para-sua-lavanderia/Lavadora-de-Roupas?category-1=eletrodomesticos&amp;category-2=para-sua-lavanderia&amp;category-3=lavadora-de-roupas&amp;fuzzy=0&amp;operator=and&amp;facets=category-1%2Ccategory-2%2Ccategory-3%2Cfuzzy%2Coperator&amp;sort=score_desc&amp;page=0"/>
  </r>
  <r>
    <x v="2"/>
    <x v="20"/>
    <s v="https://site.fastshop.com.br/Video/tv?category-1=video&amp;category-2=tv&amp;fuzzy=0&amp;operator=and&amp;facets=category-1%2Ccategory-2%2Cfuzzy%2Coperator&amp;sort=score_desc&amp;page=0"/>
  </r>
  <r>
    <x v="2"/>
    <x v="20"/>
    <s v="https://site.fastshop.com.br/informatica?category-1=informatica&amp;fuzzy=0&amp;operator=and&amp;category-2=monitores&amp;facets=category-1%2Cfuzzy%2Coperator%2Ccategory-2&amp;sort=score_desc&amp;page=0"/>
  </r>
  <r>
    <x v="2"/>
    <x v="20"/>
    <s v="https://site.fastshop.com.br/ar-e-ventilacao/Ar-Condicionado?category-1=ar-e-ventilacao&amp;category-2=ar-condicionado&amp;fuzzy=0&amp;operator=and&amp;facets=category-1%2Ccategory-2%2Cfuzzy%2Coperator&amp;sort=score_desc&amp;page=0"/>
  </r>
  <r>
    <x v="2"/>
    <x v="20"/>
    <s v="https://site.fastshop.com.br/audio/Caixa-de-Som/Caixa-de-Som-Portatil?category-1=audio&amp;category-2=caixa-de-som&amp;category-3=caixa-de-som-portatil&amp;fuzzy=0&amp;operator=and&amp;facets=category-1%2Ccategory-2%2Ccategory-3%2Cfuzzy%2Coperator&amp;sort=score_desc&amp;page=0"/>
  </r>
  <r>
    <x v="2"/>
    <x v="20"/>
    <s v="https://site.fastshop.com.br/audio/Fone-de-Ouvido?category-1=audio&amp;category-2=fone-de-ouvido&amp;fuzzy=0&amp;operator=and&amp;facets=category-1%2Ccategory-2%2Cfuzzy%2Coperator&amp;sort=score_desc&amp;page=0"/>
  </r>
  <r>
    <x v="2"/>
    <x v="20"/>
    <s v="https://site.fastshop.com.br/eletrodomesticos/cozinha?category-1=eletrodomesticos&amp;category-2=cozinha&amp;fuzzy=0&amp;operator=and&amp;category-3=refrigeradores&amp;category-3=refrigerador-side-by-side&amp;category-3=refrigeradores-inverse&amp;facets=category-1%2Ccategory-2%2Cfuzzy%2Coperator%2Ccategory-3&amp;sort=score_desc&amp;page=0"/>
  </r>
  <r>
    <x v="2"/>
    <x v="20"/>
    <s v="https://site.fastshop.com.br/eletrodomesticos/Para-sua-lavanderia/Lava---Seca?category-1=eletrodomesticos&amp;category-2=para-sua-lavanderia&amp;category-3=secadora&amp;fuzzy=0&amp;operator=and&amp;facets=category-1%2Ccategory-2%2Ccategory-3%2Cfuzzy%2Coperator&amp;sort=score_desc&amp;page=0"/>
  </r>
  <r>
    <x v="2"/>
    <x v="20"/>
    <s v="https://site.fastshop.com.br/audio/Soundbar-e-receiver/Soundbar?category-1=audio&amp;category-2=soundbar-e-receiver&amp;category-3=soundbar&amp;fuzzy=0&amp;operator=and&amp;facets=category-1%2Ccategory-2%2Ccategory-3%2Cfuzzy%2Coperator&amp;sort=score_desc&amp;page=0"/>
  </r>
  <r>
    <x v="6"/>
    <x v="21"/>
    <s v="https://www.flipkart.com/televisions/pr?sid=ckf,czl&amp;otracker=categorytree"/>
  </r>
  <r>
    <x v="6"/>
    <x v="21"/>
    <s v="https://www.flipkart.com/refrigerators/single-door~type/pr?sid=j9e,abm,hzg&amp;otracker=categorytree"/>
  </r>
  <r>
    <x v="6"/>
    <x v="21"/>
    <s v="https://www.flipkart.com/refrigerators/double-door~type/pr?sid=j9e,abm,hzg&amp;otracker=categorytree"/>
  </r>
  <r>
    <x v="6"/>
    <x v="21"/>
    <s v="https://www.flipkart.com/refrigerators/triple-door~type/pr?sid=j9e,abm,hzg&amp;otracker=categorytree"/>
  </r>
  <r>
    <x v="6"/>
    <x v="21"/>
    <s v="https://www.flipkart.com/washing-machines/fully-automatic-front-load~function/pr?sid=j9e,abm,8qx&amp;otracker=categorytree"/>
  </r>
  <r>
    <x v="6"/>
    <x v="21"/>
    <s v="https://www.flipkart.com/washing-machines/semi-automatic-top-load~function/pr?sid=j9e,abm,8qx&amp;otracker=categorytree"/>
  </r>
  <r>
    <x v="6"/>
    <x v="21"/>
    <s v="https://www.flipkart.com/washing-machines/fully-automatic-top-load~function/pr?sid=j9e,abm,8qx&amp;otracker=categorytree"/>
  </r>
  <r>
    <x v="6"/>
    <x v="21"/>
    <s v="https://www.flipkart.com/water-purifiers/pr?sid=j9e%2Cabm%2Ci45&amp;otracker=categorytree"/>
  </r>
  <r>
    <x v="6"/>
    <x v="21"/>
    <s v="https://www.flipkart.com/computers/computer-components/monitors/pr?sid=6bo,g0i,9no&amp;otracker=categorytree"/>
  </r>
  <r>
    <x v="6"/>
    <x v="21"/>
    <s v="https://www.flipkart.com/audio-video/speakers/pr?sid=0pm,0o7&amp;p[]=facets.features%255B%255D%3DBluetooth&amp;otracker=categorytree"/>
  </r>
  <r>
    <x v="6"/>
    <x v="21"/>
    <s v="https://www.flipkart.com/audio-video/headset/headphones/pr?sid=0pm,fcn,gc3&amp;p[]=facets.connectivity%255B%255D%3DBluetooth&amp;otracker=categorytree"/>
  </r>
  <r>
    <x v="6"/>
    <x v="21"/>
    <s v="https://www.flipkart.com/audio-video/speakers/pr?sid=0pm,0o7&amp;p[]=facets.rating%255B%255D%3D3%25E2%2598%2585%2B%2526%2Babove&amp;p[]=facets.type%255B%255D%3DSoundbar&amp;otracker=categorytree"/>
  </r>
  <r>
    <x v="6"/>
    <x v="21"/>
    <s v="https://www.flipkart.com/home-kitchen/kitchen-appliances/dish-washers/pr?sid=j9e,m38,58n&amp;otracker=categorytree"/>
  </r>
  <r>
    <x v="6"/>
    <x v="21"/>
    <s v="https://www.flipkart.com/acnewclp-store?otracker=nmenu_sub_TVs%20%26%20Appliances_0_Air%20Conditioners"/>
  </r>
  <r>
    <x v="6"/>
    <x v="21"/>
    <s v="https://www.flipkart.com/search?sid=j9e%2Fabm%2F8qx&amp;otracker=CLP_Filters&amp;p%5B%5D=facets.function_type%255B%255D%3DDryer"/>
  </r>
  <r>
    <x v="10"/>
    <x v="22"/>
    <s v="https://www.fnac.com/Toutes-les-TV/TV-Television/nsh474940/w-4?PageIndex=1&amp;SDM=list"/>
  </r>
  <r>
    <x v="10"/>
    <x v="22"/>
    <s v="https://www.fnac.com/Toutes-les-Barres-de-son/Barre-de-son/nsh475049/w-4?PageIndex=1&amp;SDM=list"/>
  </r>
  <r>
    <x v="10"/>
    <x v="22"/>
    <s v="https://www.fnac.com/Enceinte-Bluetooth-sans-fil/Enceinte-par-usage/nsh450599/w-4?PageIndex=1&amp;SDM=list"/>
  </r>
  <r>
    <x v="10"/>
    <x v="22"/>
    <s v="https://www.fnac.com/Casque-Bluetooth-sans-fil/Casque-par-usage/nsh450503/w-4?PageIndex=1&amp;SDM=list"/>
  </r>
  <r>
    <x v="10"/>
    <x v="22"/>
    <s v="https://www.fnac.com/SearchResult/ResultList.aspx?Search=refrigerator&amp;sft=1&amp;sa=hist"/>
  </r>
  <r>
    <x v="10"/>
    <x v="22"/>
    <s v="https://www.fnac.com/Refrigerateur-Congelateur/Par-type/nsh521525/w-4#bl=Mmpem"/>
  </r>
  <r>
    <x v="10"/>
    <x v="22"/>
    <s v="https://www.fnac.com/Refrigerateur-2-portes/Par-type/nsh501320/w-4#int=S:NonApplicable|Par%20type|501320|NonApplicable|BL2|NonApplicable"/>
  </r>
  <r>
    <x v="10"/>
    <x v="22"/>
    <s v="https://www.fnac.com/Refrigerateurs-Americains/Par-type/nsh501321/w-4#bl=ACPar-typeARBO"/>
  </r>
  <r>
    <x v="10"/>
    <x v="22"/>
    <s v="https://www.fnac.com/LAVAGE/Lave-Linge/sh562189/w-4#int=S:Faites%20votre%20choix%20parmi%20le%20catalogue|Gros%20Electrom%C3%A9nager%20Darty|NonApplicable|NonApplicable|BL1|NonApplicable"/>
  </r>
  <r>
    <x v="10"/>
    <x v="22"/>
    <s v="https://www.fnac.com/Lave-linge-hublot/Par-type/nsh501247/w-4#bl=ACLave-LingeARBO"/>
  </r>
  <r>
    <x v="10"/>
    <x v="22"/>
    <s v="https://www.fnac.com/Lave-linge-top/Par-type/nsh501248/w-4#bl=ACPar-typeARBO"/>
  </r>
  <r>
    <x v="10"/>
    <x v="22"/>
    <s v="https://www.fnac.com/Lave-linge-sechant/Par-type/nsh501250/w-4#bl=ACPar-typeARBO"/>
  </r>
  <r>
    <x v="10"/>
    <x v="22"/>
    <s v="https://www.fnac.com/Tous-les-ecrans-de-PC/Ecrans-de-PC/nsh55527/w-4#bl=AC%C3%89crans-de-PCARBO"/>
  </r>
  <r>
    <x v="10"/>
    <x v="22"/>
    <s v="https://www.fnac.com/Ecrans-de-PC-Incurve/Ecrans-de-PC/nsh445840/w-4#bl=AC%C3%89crans-de-PCARBO"/>
  </r>
  <r>
    <x v="10"/>
    <x v="22"/>
    <s v="https://www.fnac.com/Ecrans-de-PC-4K/Ecrans-de-PC/nsh437035/w-4#bl=AC%C3%89crans-de-PCARBO"/>
  </r>
  <r>
    <x v="10"/>
    <x v="22"/>
    <s v="https://www.fnac.com/Lave-vaisselle-pose-libre/Par-type/nsh501352/w-4#bl=ACLave-vaisselleARBO"/>
  </r>
  <r>
    <x v="10"/>
    <x v="22"/>
    <s v="https://www.fnac.com/Lave-vaisselle-45-cm/Par-type/nsh522676/w-4#bl=ACPar-typeARBO"/>
  </r>
  <r>
    <x v="10"/>
    <x v="22"/>
    <s v="https://www.fnac.com/Lave-vaisselle-60-cm/Par-type/nsh522677/w-4#bl=ACLave-vaisselleARBO"/>
  </r>
  <r>
    <x v="10"/>
    <x v="22"/>
    <s v="https://www.fnac.com/Marques-de-four/Four/nsh565381/w-4#bl=ACFourARBO"/>
  </r>
  <r>
    <x v="10"/>
    <x v="22"/>
    <s v="https://www.fnac.com/Climatiseur/Air-Ventilation/nsh567590/w-4#bl=ACTraitement-de-l%27airARBO"/>
  </r>
  <r>
    <x v="10"/>
    <x v="22"/>
    <s v="https://www.fnac.com/Seche-linge/Equipement-Gros-Electromenager/nsh501266/w-4?PageIndex=1&amp;SDM=list"/>
  </r>
  <r>
    <x v="1"/>
    <x v="23"/>
    <s v="https://www.harveynorman.com.au/tv-blu-ray-home-theatre/tvs-by-type/4k-ultra-hd-tvs"/>
  </r>
  <r>
    <x v="1"/>
    <x v="23"/>
    <s v="https://www.harveynorman.com.au/tv-blu-ray-home-theatre/tvs-by-type/8k-ultra-hd-tvs"/>
  </r>
  <r>
    <x v="1"/>
    <x v="23"/>
    <s v="https://www.harveynorman.com.au/tv-blu-ray-home-theatre/tvs-by-type/qled-lcd-tvs"/>
  </r>
  <r>
    <x v="1"/>
    <x v="23"/>
    <s v="https://www.harveynorman.com.au/tv-blu-ray-home-theatre/tvs-by-type/oled-tvs"/>
  </r>
  <r>
    <x v="1"/>
    <x v="23"/>
    <s v="https://www.harveynorman.com.au/tv-blu-ray-home-theatre/tvs-by-type/led-lcd-tvs"/>
  </r>
  <r>
    <x v="1"/>
    <x v="23"/>
    <s v="https://www.harveynorman.com.au/kitchen-appliances/appliances/fridges"/>
  </r>
  <r>
    <x v="1"/>
    <x v="23"/>
    <s v="https://www.harveynorman.com.au/vacuum-laundry-appliances/washing-machines-dryers/washing-machines"/>
  </r>
  <r>
    <x v="1"/>
    <x v="23"/>
    <s v="https://www.harveynorman.com.au/tv-blu-ray-home-theatre/tvs-by-screen-size/all-tvs"/>
  </r>
  <r>
    <x v="1"/>
    <x v="23"/>
    <s v="https://www.harveynorman.com.au/headphones-audio-music/sound-systems/bluetooth-speakers"/>
  </r>
  <r>
    <x v="1"/>
    <x v="23"/>
    <s v="https://www.harveynorman.com.au/tv-blu-ray-home-theatre/home-theatre-speakers/soundbars"/>
  </r>
  <r>
    <x v="1"/>
    <x v="23"/>
    <s v="https://www.harveynorman.com.au/headphones-audio-music/headphones/wireless-headphones"/>
  </r>
  <r>
    <x v="1"/>
    <x v="23"/>
    <s v="https://www.harveynorman.com.au/vacuum-laundry-appliances/vacuum-cleaners/stick-vacuum-cleaners"/>
  </r>
  <r>
    <x v="1"/>
    <x v="23"/>
    <s v="https://www.harveynorman.com.au/kitchen-appliances/appliances/dishwashers"/>
  </r>
  <r>
    <x v="1"/>
    <x v="23"/>
    <s v="https://www.harveynorman.com.au/vacuum-laundry-appliances/washing-machines-dryers/dryers"/>
  </r>
  <r>
    <x v="1"/>
    <x v="23"/>
    <s v="https://www.harveynorman.com.au/computers-tablets/computers"/>
  </r>
  <r>
    <x v="1"/>
    <x v="23"/>
    <s v="https://www.harveynorman.com.au/heating-cooling-air-treatment/air-conditioning"/>
  </r>
  <r>
    <x v="1"/>
    <x v="23"/>
    <s v="https://www.harveynorman.com.au/computers-tablets/computer-accessories/monitors"/>
  </r>
  <r>
    <x v="14"/>
    <x v="23"/>
    <s v="https://www.harveynorman.com.sg/home-appliances/kitchen-appliances-en/fridges/"/>
  </r>
  <r>
    <x v="14"/>
    <x v="23"/>
    <s v="https://www.harveynorman.com.sg/home-appliances/washing-machines-and-dryers-en/washing-machines-en/"/>
  </r>
  <r>
    <x v="14"/>
    <x v="23"/>
    <s v="https://www.harveynorman.com.sg/tv-and-audio/tvs-en-2/tvs-en-3/"/>
  </r>
  <r>
    <x v="14"/>
    <x v="23"/>
    <s v="https://www.harveynorman.com.sg/computing/computers-en/monitors-en/"/>
  </r>
  <r>
    <x v="14"/>
    <x v="23"/>
    <s v="https://www.harveynorman.com.sg/tv-and-audio/sound-systems/portable-speakers/"/>
  </r>
  <r>
    <x v="14"/>
    <x v="23"/>
    <s v="https://www.harveynorman.com.sg/tv-and-audio/sound-systems/soundbars-en/"/>
  </r>
  <r>
    <x v="14"/>
    <x v="23"/>
    <s v="https://www.harveynorman.com.sg/tv-and-audio/headphones-en/wireless-headphones-en/"/>
  </r>
  <r>
    <x v="14"/>
    <x v="23"/>
    <s v="https://www.harveynorman.com.sg/home-appliances/air-conditioning-en/air-purifiers/"/>
  </r>
  <r>
    <x v="14"/>
    <x v="23"/>
    <s v="https://www.harveynorman.com.sg/home-appliances/vacuum-cleaners-en-2/stick-and-handheld-vacuum-cleaners/"/>
  </r>
  <r>
    <x v="14"/>
    <x v="23"/>
    <s v="https://www.harveynorman.com.sg/home-appliances/kitchen-appliances-en/dishwashers-en/"/>
  </r>
  <r>
    <x v="14"/>
    <x v="23"/>
    <s v="https://www.harveynorman.com.sg/home-appliances/washing-machines-and-dryers-en/dryers-en/"/>
  </r>
  <r>
    <x v="14"/>
    <x v="23"/>
    <s v="https://www.harveynorman.com.sg/computing/computers-en/laptops-en/"/>
  </r>
  <r>
    <x v="14"/>
    <x v="23"/>
    <s v="https://www.harveynorman.com.sg/home-appliances/garment-care-en/garment-steamers/"/>
  </r>
  <r>
    <x v="14"/>
    <x v="23"/>
    <s v="https://www.harveynorman.com.sg/home-appliances/air-conditioning-en/"/>
  </r>
  <r>
    <x v="3"/>
    <x v="24"/>
    <s v="https://www.homedepot.ca/en/home/categories/appliances/refrigerators.html?products="/>
  </r>
  <r>
    <x v="3"/>
    <x v="24"/>
    <s v="https://www.homedepot.ca/en/home/categories/appliances/washers-and-dryers/washers.html"/>
  </r>
  <r>
    <x v="3"/>
    <x v="24"/>
    <s v="https://www.homedepot.ca/en/home/categories/appliances/heating-cooling-and-air-quality/air-conditioners/wall-air-conditioners.html"/>
  </r>
  <r>
    <x v="3"/>
    <x v="24"/>
    <s v="https://www.homedepot.ca/en/home/categories/appliances/dishwashers.html?products="/>
  </r>
  <r>
    <x v="3"/>
    <x v="24"/>
    <s v="https://www.homedepot.ca/en/home/categories/appliances/wall-ovens.html"/>
  </r>
  <r>
    <x v="3"/>
    <x v="24"/>
    <s v="https://www.homedepot.ca/en/home/categories/building-materials/electrical/home-electronics-and-communications/home-audio-tv-and-theatre/home-speakers-and-displays/soundbars.html"/>
  </r>
  <r>
    <x v="3"/>
    <x v="24"/>
    <s v="https://www.homedepot.ca/en/home/categories/building-materials/electrical/home-electronics-and-communications/home-audio-tv-and-theatre/home-speakers-and-displays/portable-wireless-and-bluetooth-speakers.html"/>
  </r>
  <r>
    <x v="3"/>
    <x v="24"/>
    <s v="https://www.homedepot.ca/en/home/categories/building-materials/electrical/home-electronics-and-communications/portable-audio/headphones-and-headsets/f/bluetooth/ti9-15gq"/>
  </r>
  <r>
    <x v="3"/>
    <x v="24"/>
    <s v="https://www.homedepot.ca/en/home/categories/appliances/washers-and-dryers/dryers.html"/>
  </r>
  <r>
    <x v="0"/>
    <x v="25"/>
    <s v="https://www.homedepot.com/b/Appliances-Refrigerators/N-5yc1vZc3pi?catStyle=ShowProducts"/>
  </r>
  <r>
    <x v="0"/>
    <x v="25"/>
    <s v="https://www.homedepot.com/b/Appliances-Washers-Dryers-Washing-Machines/N-5yc1vZc3ov"/>
  </r>
  <r>
    <x v="0"/>
    <x v="25"/>
    <s v="https://www.homedepot.com/b/Electronics-TV-Home-Theater-TVs/N-5yc1vZc64h"/>
  </r>
  <r>
    <x v="0"/>
    <x v="25"/>
    <s v="https://www.homedepot.com/b/Electronics-Computer-Laptop-Accessories/N-5yc1vZcdsy"/>
  </r>
  <r>
    <x v="0"/>
    <x v="25"/>
    <s v="https://www.homedepot.com/b/Heating-Venting-Cooling-Air-Conditioners/N-5yc1vZc4me?catStyle=ShowProducts"/>
  </r>
  <r>
    <x v="0"/>
    <x v="25"/>
    <s v="https://www.homedepot.com/b/Electronics-Home-Audio-Sound-Bars/N-5yc1vZc64d"/>
  </r>
  <r>
    <x v="0"/>
    <x v="25"/>
    <s v="https://www.homedepot.com/b/Electronics-Home-Audio-Portable-Speakers/N-5yc1vZ2fkp5b0"/>
  </r>
  <r>
    <x v="0"/>
    <x v="25"/>
    <s v="https://www.homedepot.com/b/Electronics-Home-Audio-Headphones/Bluetooth/N-5yc1vZc64tZ1z0sfgh"/>
  </r>
  <r>
    <x v="0"/>
    <x v="25"/>
    <s v="https://www.homedepot.com/b/Appliances-Floor-Care-Vacuums-Vacuum-Cleaners-Stick-Vacuums/N-5yc1vZbv6x"/>
  </r>
  <r>
    <x v="0"/>
    <x v="25"/>
    <s v="https://www.homedepot.com/b/Appliances-Dishwashers/N-5yc1vZc3po?catStyle=ShowProducts"/>
  </r>
  <r>
    <x v="0"/>
    <x v="25"/>
    <s v="https://www.homedepot.com/b/Appliances-Washers-Dryers-Dryers/N-5yc1vZc3p3"/>
  </r>
  <r>
    <x v="0"/>
    <x v="25"/>
    <s v="https://www.homedepot.com/b/Appliances-Wall-Ovens/N-5yc1vZc3nq?catStyle=ShowProducts"/>
  </r>
  <r>
    <x v="0"/>
    <x v="25"/>
    <s v="https://www.homedepot.com/b/Appliances-Washers-Dryers-Steam-Closets/N-5yc1vZ2fkpdw6"/>
  </r>
  <r>
    <x v="18"/>
    <x v="26"/>
    <s v="https://www.homepro.co.th/c/APP01"/>
  </r>
  <r>
    <x v="18"/>
    <x v="26"/>
    <s v="https://www.homepro.co.th/c/APP01"/>
  </r>
  <r>
    <x v="18"/>
    <x v="26"/>
    <s v="https://www.homepro.co.th/c/APP0103"/>
  </r>
  <r>
    <x v="18"/>
    <x v="26"/>
    <s v="https://www.homepro.co.th/c/APP0104"/>
  </r>
  <r>
    <x v="18"/>
    <x v="26"/>
    <s v="https://www.homepro.co.th/c/APP0106"/>
  </r>
  <r>
    <x v="18"/>
    <x v="26"/>
    <s v="https://www.homepro.co.th/c/APP0904"/>
  </r>
  <r>
    <x v="18"/>
    <x v="26"/>
    <s v="https://www.homepro.co.th/c/APP0905"/>
  </r>
  <r>
    <x v="18"/>
    <x v="26"/>
    <s v="https://www.homepro.co.th/c/APP09"/>
  </r>
  <r>
    <x v="18"/>
    <x v="26"/>
    <s v="https://www.homepro.co.th/c/APP09"/>
  </r>
  <r>
    <x v="18"/>
    <x v="26"/>
    <s v="https://www.homepro.co.th/c/APP0907"/>
  </r>
  <r>
    <x v="18"/>
    <x v="26"/>
    <s v="https://www.homepro.co.th/c/APP0906"/>
  </r>
  <r>
    <x v="18"/>
    <x v="26"/>
    <s v="https://www.homepro.co.th/c/APP1301"/>
  </r>
  <r>
    <x v="18"/>
    <x v="26"/>
    <s v="https://www.homepro.co.th/c/APP130301"/>
  </r>
  <r>
    <x v="18"/>
    <x v="26"/>
    <s v="https://www.homepro.co.th/c/APP130303"/>
  </r>
  <r>
    <x v="18"/>
    <x v="26"/>
    <s v="https://www.homepro.co.th/c/APP130304"/>
  </r>
  <r>
    <x v="18"/>
    <x v="26"/>
    <s v="https://www.homepro.co.th/c/APP1303"/>
  </r>
  <r>
    <x v="18"/>
    <x v="26"/>
    <s v="https://www.homepro.co.th/c/APP13"/>
  </r>
  <r>
    <x v="18"/>
    <x v="26"/>
    <s v="https://www.homepro.co.th/c/SMA03"/>
  </r>
  <r>
    <x v="18"/>
    <x v="26"/>
    <s v="https://www.homepro.co.th/c/TVA01"/>
  </r>
  <r>
    <x v="18"/>
    <x v="26"/>
    <s v="https://www.homepro.co.th/c/TVA1804"/>
  </r>
  <r>
    <x v="18"/>
    <x v="26"/>
    <s v="https://www.homepro.co.th/c/TVA0110"/>
  </r>
  <r>
    <x v="18"/>
    <x v="26"/>
    <s v="https://www.homepro.co.th/c/TVA0702"/>
  </r>
  <r>
    <x v="18"/>
    <x v="26"/>
    <s v="https://www.homepro.co.th/c/TVA0703"/>
  </r>
  <r>
    <x v="18"/>
    <x v="26"/>
    <s v="https://www.homepro.co.th/c/TVA0705"/>
  </r>
  <r>
    <x v="18"/>
    <x v="26"/>
    <s v="https://www.homepro.co.th/c/TVA07"/>
  </r>
  <r>
    <x v="18"/>
    <x v="26"/>
    <s v="https://www.homepro.co.th/c/MIG0601"/>
  </r>
  <r>
    <x v="18"/>
    <x v="26"/>
    <s v="https://www.homepro.co.th/c/APP1302"/>
  </r>
  <r>
    <x v="18"/>
    <x v="26"/>
    <s v="https://www.homepro.co.th/c/APP1304"/>
  </r>
  <r>
    <x v="1"/>
    <x v="27"/>
    <s v="https://www.jbhifi.com.au/collections/tvs/4k-ultra-hd-tvs"/>
  </r>
  <r>
    <x v="1"/>
    <x v="27"/>
    <s v="https://www.jbhifi.com.au/collections/tvs/8k-ultra-hd-tvs"/>
  </r>
  <r>
    <x v="1"/>
    <x v="27"/>
    <s v="https://www.jbhifi.com.au/collections/tvs/oled-tvs"/>
  </r>
  <r>
    <x v="1"/>
    <x v="27"/>
    <s v="https://www.jbhifi.com.au/collections/tvs/qled-tvs"/>
  </r>
  <r>
    <x v="1"/>
    <x v="27"/>
    <s v="https://www.jbhifi.com.au/collections/tvs"/>
  </r>
  <r>
    <x v="1"/>
    <x v="27"/>
    <s v="https://www.jbhifi.com.au/collections/home-appliances/french-door-fridges"/>
  </r>
  <r>
    <x v="1"/>
    <x v="27"/>
    <s v="https://www.jbhifi.com.au/collections/home-appliances/bottom-mount-fridges"/>
  </r>
  <r>
    <x v="1"/>
    <x v="27"/>
    <s v="https://www.jbhifi.com.au/collections/home-appliances/top-mount-fridges"/>
  </r>
  <r>
    <x v="1"/>
    <x v="27"/>
    <s v="https://www.jbhifi.com.au/collections/home-appliances/side-by-side-fridges"/>
  </r>
  <r>
    <x v="1"/>
    <x v="27"/>
    <s v="https://www.jbhifi.com.au/collections/connected-fridges"/>
  </r>
  <r>
    <x v="1"/>
    <x v="27"/>
    <s v="https://www.jbhifi.com.au/collections/home-appliances/washing-machines"/>
  </r>
  <r>
    <x v="1"/>
    <x v="27"/>
    <s v="https://www.jbhifi.com.au/collections/home-appliances/front-loader-washing-machines"/>
  </r>
  <r>
    <x v="1"/>
    <x v="27"/>
    <s v="https://www.jbhifi.com.au/collections/home-appliances/top-load-washers"/>
  </r>
  <r>
    <x v="1"/>
    <x v="27"/>
    <s v="https://www.jbhifi.com.au/collections/home-appliances/washer-dryers"/>
  </r>
  <r>
    <x v="1"/>
    <x v="27"/>
    <s v="https://www.jbhifi.com.au/collections/connected-home/smart-laundry"/>
  </r>
  <r>
    <x v="1"/>
    <x v="27"/>
    <s v="https://www.jbhifi.com.au/collections/home-appliances/clothes-dryers"/>
  </r>
  <r>
    <x v="1"/>
    <x v="27"/>
    <s v="https://www.jbhifi.com.au/collections/home-appliances/heat-pump-clothes-dryers"/>
  </r>
  <r>
    <x v="1"/>
    <x v="27"/>
    <s v="https://www.jbhifi.com.au/collections/home-appliances/vented-clothes-dryers"/>
  </r>
  <r>
    <x v="1"/>
    <x v="27"/>
    <s v="https://www.jbhifi.com.au/collections/home-appliances/condenser-clothes-dryers"/>
  </r>
  <r>
    <x v="1"/>
    <x v="27"/>
    <s v="https://www.jbhifi.com.au/collections/home-appliances/dishwashers"/>
  </r>
  <r>
    <x v="1"/>
    <x v="27"/>
    <s v="https://www.jbhifi.com.au/collections/headphones-speakers-audio/portable-bluetooth-speakers"/>
  </r>
  <r>
    <x v="1"/>
    <x v="27"/>
    <s v="https://www.jbhifi.com.au/collections/headphones-speakers-audio/soundbars"/>
  </r>
  <r>
    <x v="1"/>
    <x v="27"/>
    <s v="https://www.jbhifi.com.au/collections/headphones-speakers-audio/wireless-home-speakers"/>
  </r>
  <r>
    <x v="1"/>
    <x v="27"/>
    <s v="https://www.jbhifi.com.au/collections/headphones-speakers-audio/home-theatre-speakers"/>
  </r>
  <r>
    <x v="1"/>
    <x v="27"/>
    <s v="https://www.jbhifi.com.au/collections/games-consoles/gaming-speakers"/>
  </r>
  <r>
    <x v="1"/>
    <x v="27"/>
    <s v="https://www.jbhifi.com.au/collections/headphones-speakers-audio/soundbars"/>
  </r>
  <r>
    <x v="1"/>
    <x v="27"/>
    <s v="https://www.jbhifi.com.au/collections/headphones-speakers-audio/headphones"/>
  </r>
  <r>
    <x v="1"/>
    <x v="27"/>
    <s v="https://www.jbhifi.com.au/collections/home-appliances/vacuums"/>
  </r>
  <r>
    <x v="1"/>
    <x v="27"/>
    <s v="https://www.jbhifi.com.au/collections/home-appliances/stick-vacuums"/>
  </r>
  <r>
    <x v="1"/>
    <x v="27"/>
    <s v="https://www.jbhifi.com.au/collections/home-appliances/bagless-vacuums"/>
  </r>
  <r>
    <x v="1"/>
    <x v="27"/>
    <s v="https://www.jbhifi.com.au/collections/home-appliances/robotic-vacuums"/>
  </r>
  <r>
    <x v="1"/>
    <x v="27"/>
    <s v="https://www.jbhifi.com.au/collections/home-appliances/steam-cleaners-mops"/>
  </r>
  <r>
    <x v="1"/>
    <x v="27"/>
    <s v="https://www.jbhifi.com.au/collections/home-appliances/cleaning"/>
  </r>
  <r>
    <x v="1"/>
    <x v="27"/>
    <s v="https://www.jbhifi.com.au/collections/computers-tablets/monitors"/>
  </r>
  <r>
    <x v="1"/>
    <x v="27"/>
    <s v="https://www.jbhifi.com.au/collections/computers-tablets/laptops"/>
  </r>
  <r>
    <x v="1"/>
    <x v="27"/>
    <s v="https://www.jbhifi.com.au/collections/home-appliances/air-conditioners"/>
  </r>
  <r>
    <x v="18"/>
    <x v="28"/>
    <s v="https://www.lazada.co.th/shop-refrigerators/?spm=a2o4m.home-th.3887232320.9.2adc2a80sCQIct"/>
  </r>
  <r>
    <x v="18"/>
    <x v="28"/>
    <s v="https://www.lazada.co.th/shop-washing-machines/?spm=a2o4m.searchlistcategory.funnel_filter.d1.6e5b7050ljqXJa"/>
  </r>
  <r>
    <x v="18"/>
    <x v="28"/>
    <s v="https://www.lazada.co.th/shop-dryers/?spm=a2o4m.searchlistcategory.funnel_filter.d5.db9b7050SRZknr"/>
  </r>
  <r>
    <x v="18"/>
    <x v="28"/>
    <s v="https://www.lazada.co.th/tag/digital-television/"/>
  </r>
  <r>
    <x v="18"/>
    <x v="28"/>
    <s v="https://www.lazada.co.th/shop-monitors/?spm=a2o4m.searchlistcategory.funnel_filter.d1.65967050XxpwJN"/>
  </r>
  <r>
    <x v="18"/>
    <x v="28"/>
    <s v="https://www.lazada.co.th/tag/portable-speaker/"/>
  </r>
  <r>
    <x v="18"/>
    <x v="28"/>
    <s v="https://www.lazada.co.th/tag/soundbar-speaker/"/>
  </r>
  <r>
    <x v="18"/>
    <x v="28"/>
    <s v="https://www.lazada.co.th/shop-wireless-earbuds/?spm=a2o4m.searchlistcategory.funnel_filter.d1.57ba7050ep3Xkr"/>
  </r>
  <r>
    <x v="18"/>
    <x v="28"/>
    <s v="https://www.lazada.co.th/catalog/?q=%E0%B9%81%E0%B8%AD%E0%B8%A3%E0%B9%8C&amp;from=hp_categories&amp;src=all_channel"/>
  </r>
  <r>
    <x v="18"/>
    <x v="28"/>
    <s v="https://www.lazada.co.th/catalog/?q=%E0%B9%80%E0%B8%84%E0%B8%A3%E0%B8%B7%E0%B9%88%E0%B8%AD%E0%B8%87%E0%B8%9F%E0%B8%AD%E0%B8%81%E0%B8%AD%E0%B8%B2%E0%B8%81%E0%B8%B2%E0%B8%A8&amp;from=hp_categories&amp;src=all_channel"/>
  </r>
  <r>
    <x v="18"/>
    <x v="28"/>
    <s v="https://www.lazada.co.th/tag/%E0%B9%81%E0%B8%A5%E0%B9%87%E0%B8%9B%E0%B8%97%E0%B9%87%E0%B8%AD%E0%B8%9B/"/>
  </r>
  <r>
    <x v="18"/>
    <x v="28"/>
    <s v="https://www.lazada.co.th/catalog/?spm=a2o4m.searchlist.cate_3_2.5.19ab7721Jb7Kq3&amp;q=Clothes%20Dryers&amp;from=hp_categories&amp;src=all_channel"/>
  </r>
  <r>
    <x v="14"/>
    <x v="28"/>
    <s v="https://www.lazada.sg/shop-smart-tv/?spm=a2o42.searchlistcategory.cate_3_1.2.64936046qFQ1BS"/>
  </r>
  <r>
    <x v="14"/>
    <x v="28"/>
    <s v="https://www.lazada.sg/shop-washing-machines/?spm=a2o42.searchlistcategory.cate_3_4.1.49996046rWqCb3"/>
  </r>
  <r>
    <x v="14"/>
    <x v="28"/>
    <s v="https://www.lazada.sg/shop-refrigerators/?spm=a2o42.searchlistcategory.cate_3_4.3.7d354cfd4ebC4Z"/>
  </r>
  <r>
    <x v="14"/>
    <x v="28"/>
    <s v="https://www.lazada.sg/shop-monitors/?spm=a2o42.searchlistcategory.cate_1_6.1.1da73f876TOmQI"/>
  </r>
  <r>
    <x v="14"/>
    <x v="28"/>
    <s v="https://www.lazada.sg/shop-ce-headphones/?spm=a2o42.searchlistcategory.cate_1_2.1.6e9e7d39sZDMzx"/>
  </r>
  <r>
    <x v="14"/>
    <x v="28"/>
    <s v="https://www.lazada.sg/shop-wireless-earbuds/?spm=a2o42.searchlistcategory.list.i40.f0254f13rOXqI1"/>
  </r>
  <r>
    <x v="14"/>
    <x v="28"/>
    <s v="https://www.lazada.sg/shop-home-soundbars-speakers-&amp;-subwoofers/?spm=a2o42.pdp_revamp.breadcrumb.3.3443209c9W9jNm"/>
  </r>
  <r>
    <x v="14"/>
    <x v="28"/>
    <s v="https://www.lazada.sg/shop-portable-speakers-&amp;-boomboxes/?spm=a2o42.searchlistcategory.cate_1_2.2.a3fd483fDl8cUA"/>
  </r>
  <r>
    <x v="14"/>
    <x v="28"/>
    <s v="https://www.lazada.sg/catalog/?q=Air%20Conditioner&amp;from=hp_categories&amp;src=all_channel"/>
  </r>
  <r>
    <x v="14"/>
    <x v="28"/>
    <s v="https://www.lazada.sg/catalog/?q=Air%20Purifier&amp;from=hp_categories&amp;src=all_channel"/>
  </r>
  <r>
    <x v="14"/>
    <x v="28"/>
    <s v="https://www.lazada.sg/catalog/?from=hp_categories&amp;q=Vacuum%20Cleaner&amp;ppath=40062:4224"/>
  </r>
  <r>
    <x v="14"/>
    <x v="28"/>
    <s v="https://www.lazada.sg/tag/dish-washer/?q=dish%20washer&amp;src=all_channel&amp;catalog_redirect_tag=true"/>
  </r>
  <r>
    <x v="14"/>
    <x v="28"/>
    <s v="https://www.lazada.sg/shop-dryers/?from=hp_categories&amp;q=Laundry+Dryer&amp;service=all_channel"/>
  </r>
  <r>
    <x v="14"/>
    <x v="28"/>
    <s v="https://www.lazada.sg/catalog/?q=Laptops%20%26%20Notebooks&amp;from=hp_categories&amp;src=all_channel"/>
  </r>
  <r>
    <x v="1"/>
    <x v="29"/>
    <s v="https://www.lg.com/au/fridge-freezers/all-fridge-freezers/?ec_model_status_code=Active"/>
  </r>
  <r>
    <x v="1"/>
    <x v="29"/>
    <s v="https://www.lg.com/au/washer-dryers/all-washer-dryers/?ec_model_status_code=Active"/>
  </r>
  <r>
    <x v="1"/>
    <x v="29"/>
    <s v="https://www.lg.com/au/tv-soundbars/oled-tv/?ec_model_status_code=Active"/>
  </r>
  <r>
    <x v="1"/>
    <x v="29"/>
    <s v="https://www.lg.com/au/tv-soundbars/oled-evo-tv/?ec_model_status_code=Active"/>
  </r>
  <r>
    <x v="1"/>
    <x v="29"/>
    <s v="https://www.lg.com/au/tv-soundbars/qned-tv/?ec_model_status_code=Active"/>
  </r>
  <r>
    <x v="1"/>
    <x v="29"/>
    <s v="https://www.lg.com/au/tv-soundbars/nanocell-tv/?ec_model_status_code=Active"/>
  </r>
  <r>
    <x v="1"/>
    <x v="29"/>
    <s v="https://www.lg.com/au/tv-soundbars/uhd-tv/?ec_model_status_code=Active"/>
  </r>
  <r>
    <x v="1"/>
    <x v="29"/>
    <s v="https://www.lg.com/au/tv-soundbars/ultra-big-tv/?ec_model_status_code=Active"/>
  </r>
  <r>
    <x v="1"/>
    <x v="29"/>
    <s v="https://www.lg.com/au/speakers/soundbars/?ec_model_status_code=Active"/>
  </r>
  <r>
    <x v="1"/>
    <x v="29"/>
    <s v="https://www.lg.com/au/speakers/portable-speakers/?ec_model_status_code=Active"/>
  </r>
  <r>
    <x v="1"/>
    <x v="29"/>
    <s v="https://www.lg.com/au/tv-soundbars/all-tv-soundbars/?ec_ft_06513561=65_inch&amp;ec_model_status_code=Active"/>
  </r>
  <r>
    <x v="1"/>
    <x v="29"/>
    <s v="https://www.lg.com/au/tv-soundbars/all-tv-soundbars/?ec_ft_06513561=55_inch&amp;ec_model_status_code=Active"/>
  </r>
  <r>
    <x v="1"/>
    <x v="29"/>
    <s v="https://www.lg.com/au/monitors/all-monitors/?ec_model_status_code=Active"/>
  </r>
  <r>
    <x v="1"/>
    <x v="29"/>
    <s v="https://www.lg.com/au/residential-air-conditioner/all-residential-air-conditioners/?ec_model_status_code=Active"/>
  </r>
  <r>
    <x v="1"/>
    <x v="29"/>
    <s v="https://www.lg.com/au/wireless-earbuds/all-wireless-earbuds/?ec_model_status_code=Active"/>
  </r>
  <r>
    <x v="1"/>
    <x v="29"/>
    <s v="https://www.lg.com/au/washer-dryers/dryers/?ec_model_status_code=Active"/>
  </r>
  <r>
    <x v="2"/>
    <x v="29"/>
    <s v="https://www.lg.com/br/geladeiras/todas-geladeiras/?ec_model_status_code=ACTIVE"/>
  </r>
  <r>
    <x v="2"/>
    <x v="29"/>
    <s v="https://www.lg.com/br/lavanderia/todas-lavadoras/?ec_model_status_code=ACTIVE"/>
  </r>
  <r>
    <x v="2"/>
    <x v="29"/>
    <s v="https://www.lg.com/br/tvs-e-soundbars/oled/?ec_model_status_code=ACTIVE"/>
  </r>
  <r>
    <x v="2"/>
    <x v="29"/>
    <s v="http://lg.com/br/tvs-e-soundbars/oled-evo/?ec_model_status_code=ACTIVE"/>
  </r>
  <r>
    <x v="2"/>
    <x v="29"/>
    <s v="https://www.lg.com/br/tvs-e-soundbars/qned/?ec_model_status_code=ACTIVE&amp;sortCriteria=%40ec_spotlights_order_no+descending%2C%40ec_stock_status+ascending%2C%40ec_model_release_date+descending"/>
  </r>
  <r>
    <x v="2"/>
    <x v="29"/>
    <s v="https://www.lg.com/br/tvs-e-soundbars/nanocell/?ec_model_status_code=ACTIVE"/>
  </r>
  <r>
    <x v="2"/>
    <x v="29"/>
    <s v="https://www.lg.com/br/tvs-e-soundbars/tv-uhd-4k/?ec_model_status_code=ACTIVE"/>
  </r>
  <r>
    <x v="2"/>
    <x v="29"/>
    <s v="https://www.lg.com/br/tvs-e-soundbars/telas-gigantes/?ec_model_status_code=ACTIVE"/>
  </r>
  <r>
    <x v="2"/>
    <x v="29"/>
    <s v="https://www.lg.com/br/tvs-e-soundbars/smart-tvs/?ec_model_status_code=ACTIVE"/>
  </r>
  <r>
    <x v="2"/>
    <x v="29"/>
    <s v="https://www.lg.com/br/tvs-e-soundbars/combos-de-tv/?ec_model_status_code=ACTIVE"/>
  </r>
  <r>
    <x v="2"/>
    <x v="29"/>
    <s v="https://www.lg.com/br/tvs-e-soundbars/tvs-65-polegadas/?ec_model_status_code=ACTIVE"/>
  </r>
  <r>
    <x v="2"/>
    <x v="29"/>
    <s v="https://www.lg.com/br/tvs-e-soundbars/tvs-55-polegadas/?ec_model_status_code=ACTIVE"/>
  </r>
  <r>
    <x v="2"/>
    <x v="29"/>
    <s v="https://www.lg.com/br/monitores/todos-monitores/?ec_model_status_code=ACTIVE"/>
  </r>
  <r>
    <x v="2"/>
    <x v="29"/>
    <s v="https://www.lg.com/br/ar-condicionado-residencial/todos-ares-condicionados/?ec_model_status_code=ACTIVE"/>
  </r>
  <r>
    <x v="2"/>
    <x v="29"/>
    <s v="https://www.lg.com/br/lavanderia/lava-e-seca/?ec_model_status_code=ACTIVE"/>
  </r>
  <r>
    <x v="2"/>
    <x v="29"/>
    <s v="https://www.lg.com/br/audio/todos-audios/?ec_model_status_code=Active"/>
  </r>
  <r>
    <x v="2"/>
    <x v="29"/>
    <s v="https://www.lg.com/br/audio/soundbars/all-soundbars/?ec_model_status_code=Active"/>
  </r>
  <r>
    <x v="2"/>
    <x v="29"/>
    <s v="https://www.lg.com/br/lavanderia/lava-e-seca/?ec_model_status_code=Active"/>
  </r>
  <r>
    <x v="4"/>
    <x v="29"/>
    <s v="https://www.lg.com/de/kuehlschraenke-gefrierschraenke/alle-kuehlschraenke-gefrierschraenke/?ec_model_status_code=Active&amp;sortCriteria=%40ec_spotlights_order_no+descending%2C%40ec_stock_status+ascending%2C%40ec_model_release_date+descending"/>
  </r>
  <r>
    <x v="4"/>
    <x v="29"/>
    <s v="https://www.lg.com/de/waeschepflege/waschmaschinen/?sortCriteria=%40ec_spotlights_order_no+descending%2C%40ec_stock_status+ascending%2C%40ec_model_release_date+descending"/>
  </r>
  <r>
    <x v="4"/>
    <x v="29"/>
    <s v="https://www.lg.com/de/waeschepflege/waschtrockner/?sortCriteria=%40ec_spotlights_order_no+descending%2C%40ec_stock_status+ascending%2C%40ec_model_release_date+descending"/>
  </r>
  <r>
    <x v="4"/>
    <x v="29"/>
    <s v="https://www.lg.com/de/tvs-und-soundbars/alle-tvs-und-soundbars/?ec_model_status_code=Active&amp;sortCriteria=%40ec_spotlights_order_no+descending%2C%40ec_stock_status+ascending%2C%40ec_model_release_date+descending"/>
  </r>
  <r>
    <x v="4"/>
    <x v="29"/>
    <s v="https://www.lg.com/de/monitore/alle-monitore/?ec_model_status_code=Active&amp;sortCriteria=%40ec_spotlights_order_no+descending%2C%40ec_stock_status+ascending%2C%40ec_model_release_date+descending"/>
  </r>
  <r>
    <x v="4"/>
    <x v="29"/>
    <s v="https://www.lg.com/de/klimaanlagen/?ec_model_status_code=Active&amp;sortCriteria=%40ec_spotlights_order_no+descending%2C%40ec_stock_status+ascending%2C%40ec_model_release_date+descending"/>
  </r>
  <r>
    <x v="4"/>
    <x v="29"/>
    <s v="https://www.lg.com/de/lautsprecher/bluetooth-lautsprecher/?ec_model_status_code=Active&amp;sortCriteria=%40ec_spotlights_order_no+descending%2C%40ec_stock_status+ascending%2C%40ec_model_release_date+descending"/>
  </r>
  <r>
    <x v="4"/>
    <x v="29"/>
    <s v="https://www.lg.com/de/lautsprecher/soundbars/?ec_model_status_code=Active&amp;sortCriteria=%40ec_spotlights_order_no+descending%2C%40ec_stock_status+ascending%2C%40ec_model_release_date+descending"/>
  </r>
  <r>
    <x v="4"/>
    <x v="29"/>
    <s v="https://www.lg.com/de/wireless-earbuds/alle-earbuds/?ec_model_status_code=Active&amp;sortCriteria=%40ec_spotlights_order_no+descending%2C%40ec_stock_status+ascending%2C%40ec_model_release_date+descending"/>
  </r>
  <r>
    <x v="4"/>
    <x v="29"/>
    <s v="https://www.lg.com/de/waeschepflege/trockner/?ec_model_status_code=Active&amp;sortCriteria=%40ec_spotlights_order_no+descending%2C%40ec_stock_status+ascending%2C%40ec_model_release_date+descending"/>
  </r>
  <r>
    <x v="5"/>
    <x v="29"/>
    <s v="https://www.lg.com/es/frigorificos/todos-los-frigorificos/?ec_model_status_code=Active"/>
  </r>
  <r>
    <x v="5"/>
    <x v="29"/>
    <s v="https://www.lg.com/es/lavadoras-y-secadoras/todas-las-lavadoras-y-secadoras/?ec_model_status_code=Active"/>
  </r>
  <r>
    <x v="5"/>
    <x v="29"/>
    <s v="https://www.lg.com/es/lavadoras-y-secadoras/secadoras/?ec_model_status_code=Active"/>
  </r>
  <r>
    <x v="5"/>
    <x v="29"/>
    <s v="https://www.lg.com/es/tv-y-barras-de-sonido/lg-signature-oled/?ec_model_status_code=Active"/>
  </r>
  <r>
    <x v="5"/>
    <x v="29"/>
    <s v="https://www.lg.com/es/tv-y-barras-de-sonido/true-wireless-tv/?ec_model_status_code=Active"/>
  </r>
  <r>
    <x v="5"/>
    <x v="29"/>
    <s v="https://www.lg.com/es/tv-y-barras-de-sonido/oled-evo/?ec_model_status_code=Active"/>
  </r>
  <r>
    <x v="5"/>
    <x v="29"/>
    <s v="https://www.lg.com/es/tv-y-barras-de-sonido/oled/?ec_model_status_code=Active"/>
  </r>
  <r>
    <x v="5"/>
    <x v="29"/>
    <s v="https://www.lg.com/es/tv-y-barras-de-sonido/miniled/?ec_model_status_code=Active"/>
  </r>
  <r>
    <x v="5"/>
    <x v="29"/>
    <s v="https://www.lg.com/es/tv-y-barras-de-sonido/qned-evo/?ec_model_status_code=Active"/>
  </r>
  <r>
    <x v="5"/>
    <x v="29"/>
    <s v="https://www.lg.com/es/tv-y-barras-de-sonido/qned/?ec_model_status_code=Active"/>
  </r>
  <r>
    <x v="5"/>
    <x v="29"/>
    <s v="https://www.lg.com/es/tv-y-barras-de-sonido/nanocell/?ec_model_status_code=Active"/>
  </r>
  <r>
    <x v="5"/>
    <x v="29"/>
    <s v="https://www.lg.com/es/tv-y-barras-de-sonido/ultra-hd/?ec_model_status_code=Active"/>
  </r>
  <r>
    <x v="5"/>
    <x v="29"/>
    <s v="https://www.lg.com/es/tv-y-barras-de-sonido/8k-tvs/?ec_model_status_code=Active"/>
  </r>
  <r>
    <x v="5"/>
    <x v="29"/>
    <s v="https://www.lg.com/es/tv-y-barras-de-sonido/tvs-4k/?ec_model_status_code=Active"/>
  </r>
  <r>
    <x v="5"/>
    <x v="29"/>
    <s v="https://www.lg.com/es/tv-y-barras-de-sonido/full-hd/?ec_model_status_code=Active"/>
  </r>
  <r>
    <x v="5"/>
    <x v="29"/>
    <s v="https://www.lg.com/es/monitores/todos-los-monitores/"/>
  </r>
  <r>
    <x v="5"/>
    <x v="29"/>
    <s v="https://www.lg.com/es/altavoces/altavoces-bluetooth/?ec_model_status_code=Active"/>
  </r>
  <r>
    <x v="5"/>
    <x v="29"/>
    <s v="https://www.lg.com/es/barras-de-sonido/todas-las-barras-de-sonido/?ec_model_status_code=Active"/>
  </r>
  <r>
    <x v="5"/>
    <x v="29"/>
    <s v="https://www.lg.com/es/outlet/outlet-climatizacion/?ec_model_status_code=Active"/>
  </r>
  <r>
    <x v="5"/>
    <x v="29"/>
    <s v="https://www.lg.com/es/auriculares-inalambricos/todos-los-auriculares-inalambricos/?ec_model_status_code=Active"/>
  </r>
  <r>
    <x v="5"/>
    <x v="29"/>
    <s v="https://www.lg.com/es/aire-acondicionado-domestico/split-1x1/?ec_model_status_code=Active"/>
  </r>
  <r>
    <x v="5"/>
    <x v="29"/>
    <s v="https://www.lg.com/es/aire-acondicionado-domestico/split-1x1/?ec_model_status_code=Active"/>
  </r>
  <r>
    <x v="10"/>
    <x v="29"/>
    <s v="https://www.lg.com/fr/refrigerateur/tous-les-produits/?ec_model_status_code=Active"/>
  </r>
  <r>
    <x v="10"/>
    <x v="29"/>
    <s v="https://www.lg.com/fr/lavage/tous-les-lavage/?ec_model_status_code=Active"/>
  </r>
  <r>
    <x v="10"/>
    <x v="29"/>
    <s v="https://www.lg.com/fr/lavage/lave-linge-sechant/?ec_model_status_code=Active"/>
  </r>
  <r>
    <x v="10"/>
    <x v="29"/>
    <s v="https://www.lg.com/fr/tv-barres-de-son/oled-evo/?ec_model_status_code=Active"/>
  </r>
  <r>
    <x v="10"/>
    <x v="29"/>
    <s v="https://www.lg.com/fr/tv-barres-de-son/oled/?ec_model_status_code=Active"/>
  </r>
  <r>
    <x v="10"/>
    <x v="29"/>
    <s v="https://www.lg.com/fr/tv-barres-de-son/qned/?ec_model_status_code=Active"/>
  </r>
  <r>
    <x v="10"/>
    <x v="29"/>
    <s v="https://www.lg.com/fr/tv-barres-de-son/nanocell/?ec_model_status_code=Active"/>
  </r>
  <r>
    <x v="10"/>
    <x v="29"/>
    <s v="https://www.lg.com/fr/tv-barres-de-son/grandes-tailles/?ec_model_status_code=Active"/>
  </r>
  <r>
    <x v="10"/>
    <x v="29"/>
    <s v="https://www.lg.com/fr/tv-barres-de-son/4k-uhd-tvs/?ec_model_status_code=Active"/>
  </r>
  <r>
    <x v="10"/>
    <x v="29"/>
    <s v="https://www.lg.com/fr/tv-barres-de-son/smart-tvs/?ec_model_status_code=Active"/>
  </r>
  <r>
    <x v="10"/>
    <x v="29"/>
    <s v="https://www.lg.com/fr/moniteurs/all-monitors/?ec_model_status_code=Active"/>
  </r>
  <r>
    <x v="10"/>
    <x v="29"/>
    <s v="https://www.lg.com/fr/climatiseurs/?ec_model_status_code=Active"/>
  </r>
  <r>
    <x v="10"/>
    <x v="29"/>
    <s v="https://www.lg.com/fr/enceintes-xboom/all-bluetooth-speakers/?ec_model_status_code=Active"/>
  </r>
  <r>
    <x v="10"/>
    <x v="29"/>
    <s v="https://www.lg.com/fr/barres-de-son/?ec_model_status_code=Active"/>
  </r>
  <r>
    <x v="10"/>
    <x v="29"/>
    <s v="https://www.lg.com/fr/ecouteurs-bluetooth/all-wireless-earbuds/?ec_model_status_code=Active"/>
  </r>
  <r>
    <x v="7"/>
    <x v="29"/>
    <s v="https://www.lg.com/it/frigoriferi/Tutti-i-frigoriferi/?ec_model_status_code=Active"/>
  </r>
  <r>
    <x v="7"/>
    <x v="29"/>
    <s v="https://www.lg.com/it/cura-dei-capi/Tutte-le-lavatrici-e-asciugatrici/?ec_model_status_code=Active"/>
  </r>
  <r>
    <x v="7"/>
    <x v="29"/>
    <s v="https://www.lg.com/it/cura-dei-capi/asciugatrici/?ec_model_status_code=Active"/>
  </r>
  <r>
    <x v="7"/>
    <x v="29"/>
    <s v="https://www.lg.com/it/tv-soundbar/oled-evo/?ec_model_status_code=Active"/>
  </r>
  <r>
    <x v="7"/>
    <x v="29"/>
    <s v="https://www.lg.com/it/tv-soundbar/oled/?ec_model_status_code=Active"/>
  </r>
  <r>
    <x v="7"/>
    <x v="29"/>
    <s v="https://www.lg.com/it/tv-soundbar/miniled/?ec_model_status_code=Active"/>
  </r>
  <r>
    <x v="7"/>
    <x v="29"/>
    <s v="https://www.lg.com/it/tv-soundbar/qned-evo/?ec_model_status_code=Active"/>
  </r>
  <r>
    <x v="7"/>
    <x v="29"/>
    <s v="https://www.lg.com/it/tv-soundbar/qned/?ec_model_status_code=Active"/>
  </r>
  <r>
    <x v="7"/>
    <x v="29"/>
    <s v="https://www.lg.com/it/tv-soundbar/nanocell/?ec_model_status_code=Active"/>
  </r>
  <r>
    <x v="7"/>
    <x v="29"/>
    <s v="https://www.lg.com/it/tv-soundbar/tv-oltre-70-pollici/?ec_model_status_code=Active"/>
  </r>
  <r>
    <x v="7"/>
    <x v="29"/>
    <s v="https://www.lg.com/it/tv-soundbar/tv-uhd-4k/?ec_model_status_code=Active"/>
  </r>
  <r>
    <x v="7"/>
    <x v="29"/>
    <s v="https://www.lg.com/it/tv-soundbar/tv-fino-a-32-pollici/?ec_model_status_code=Active"/>
  </r>
  <r>
    <x v="7"/>
    <x v="29"/>
    <s v="https://www.lg.com/it/monitor/tutti-i-monitor/?ec_model_status_code=Active"/>
  </r>
  <r>
    <x v="7"/>
    <x v="29"/>
    <s v="https://www.lg.com/it/audio/casse-bluetooth/all-bluetooth-speakers/?ec_model_status_code=Active"/>
  </r>
  <r>
    <x v="7"/>
    <x v="29"/>
    <s v="https://www.lg.com/it/audio/soundbar/?ec_model_status_code=Active"/>
  </r>
  <r>
    <x v="7"/>
    <x v="29"/>
    <s v="https://www.lg.com/it/condizionatori/monosplit/?ec_model_status_code=Active"/>
  </r>
  <r>
    <x v="7"/>
    <x v="29"/>
    <s v="https://www.lg.com/it/condizionatori/multisplit/?ec_model_status_code=Active"/>
  </r>
  <r>
    <x v="7"/>
    <x v="29"/>
    <s v="https://www.lg.com/it/cuffie-bluetooth/tutte-le-cuffie/?ec_model_status_code=Active"/>
  </r>
  <r>
    <x v="13"/>
    <x v="29"/>
    <s v="https://www.lg.com/mx/refrigeradores/todos-los-refrigeradores/?ec_model_status_code=Active"/>
  </r>
  <r>
    <x v="13"/>
    <x v="29"/>
    <s v="https://www.lg.com/mx/lavadoras-y-secadoras/todas-las-lavadoras-y-secadoras/?ec_model_status_code=Active"/>
  </r>
  <r>
    <x v="13"/>
    <x v="29"/>
    <s v="https://www.lg.com/mx/lavadoras-y-secadoras/lavasecadoras/?ec_model_status_code=Active"/>
  </r>
  <r>
    <x v="13"/>
    <x v="29"/>
    <s v="https://www.lg.com/mx/tv-soundbars/oled-evo/?ec_model_status_code=Active"/>
  </r>
  <r>
    <x v="13"/>
    <x v="29"/>
    <s v="https://www.lg.com/mx/tv-soundbars/oled/?ec_model_status_code=Active"/>
  </r>
  <r>
    <x v="13"/>
    <x v="29"/>
    <s v="https://www.lg.com/mx/tv-soundbars/miniled/?ec_model_status_code=Active"/>
  </r>
  <r>
    <x v="13"/>
    <x v="29"/>
    <s v="https://www.lg.com/mx/tv-soundbars/qned-evo/?ec_model_status_code=Active"/>
  </r>
  <r>
    <x v="13"/>
    <x v="29"/>
    <s v="https://www.lg.com/mx/tv-soundbars/qned/?ec_model_status_code=Active"/>
  </r>
  <r>
    <x v="13"/>
    <x v="29"/>
    <s v="https://www.lg.com/mx/tv-soundbars/nanocell/?ec_model_status_code=Active"/>
  </r>
  <r>
    <x v="13"/>
    <x v="29"/>
    <s v="https://www.lg.com/mx/tv-soundbars/ultra-grandes/?ec_model_status_code=Active"/>
  </r>
  <r>
    <x v="13"/>
    <x v="29"/>
    <s v="https://www.lg.com/mx/tv-soundbars/4k-uhd-tvs/?ec_model_status_code=Active"/>
  </r>
  <r>
    <x v="13"/>
    <x v="29"/>
    <s v="https://www.lg.com/mx/tv-soundbars/smart-tvs/?ec_model_status_code=Active"/>
  </r>
  <r>
    <x v="13"/>
    <x v="29"/>
    <s v="https://www.lg.com/mx/monitores/todos-los-monitores/?ec_model_status_code=Active"/>
  </r>
  <r>
    <x v="13"/>
    <x v="29"/>
    <s v="https://www.lg.com/mx/aire-acondicionado/todos-los-aires-acondicionados/?ec_model_status_code=Active"/>
  </r>
  <r>
    <x v="13"/>
    <x v="29"/>
    <s v="https://www.lg.com/mx/equipos-de-sonido/bocina-bluetooth/?ec_model_status_code=Active"/>
  </r>
  <r>
    <x v="13"/>
    <x v="29"/>
    <s v="https://www.lg.com/mx/soundbars/?ec_model_status_code=Active"/>
  </r>
  <r>
    <x v="13"/>
    <x v="29"/>
    <s v="https://www.lg.com/mx/lavadoras-y-secadoras/secadoras/?ec_model_status_code=Active"/>
  </r>
  <r>
    <x v="13"/>
    <x v="29"/>
    <s v="https://www.lg.com/mx/auriculares-inalambricos/todos-los-audifionos-inalambricos/?ec_model_status_code=Active"/>
  </r>
  <r>
    <x v="18"/>
    <x v="29"/>
    <s v="https://www.lg.com/th/refrigerators/all-refrigerators/?ec_model_status_code=Active"/>
  </r>
  <r>
    <x v="18"/>
    <x v="29"/>
    <s v="https://www.lg.com/th/laundry/all-laundry/?ec_model_status_code=Active"/>
  </r>
  <r>
    <x v="18"/>
    <x v="29"/>
    <s v="https://www.lg.com/th/laundry/dryer/?ec_model_status_code=Active"/>
  </r>
  <r>
    <x v="18"/>
    <x v="29"/>
    <s v="https://www.lg.com/th/tv-soundbars/oled-evo/?ec_model_status_code=Active"/>
  </r>
  <r>
    <x v="18"/>
    <x v="29"/>
    <s v="https://www.lg.com/th/tv-soundbars/oled/?ec_model_status_code=Active"/>
  </r>
  <r>
    <x v="18"/>
    <x v="29"/>
    <s v="https://www.lg.com/th/tv-soundbars/miniled/?ec_model_status_code=Active"/>
  </r>
  <r>
    <x v="18"/>
    <x v="29"/>
    <s v="https://www.lg.com/th/tv-soundbars/qned-evo/?ec_model_status_code=Active"/>
  </r>
  <r>
    <x v="18"/>
    <x v="29"/>
    <s v="https://www.lg.com/th/tv-soundbars/qned/?ec_model_status_code=Active"/>
  </r>
  <r>
    <x v="18"/>
    <x v="29"/>
    <s v="https://www.lg.com/th/tv-soundbars/nanocell/?ec_model_status_code=Active"/>
  </r>
  <r>
    <x v="18"/>
    <x v="29"/>
    <s v="https://www.lg.com/th/tv-soundbars/ultra-big-tvs/?ec_model_status_code=Active"/>
  </r>
  <r>
    <x v="18"/>
    <x v="29"/>
    <s v="https://www.lg.com/th/tv-soundbars/4k-uhd-tvs/?ec_model_status_code=Active"/>
  </r>
  <r>
    <x v="18"/>
    <x v="29"/>
    <s v="https://www.lg.com/th/air-conditioner-inverter/all-air-conditioner/?ec_model_status_code=Active"/>
  </r>
  <r>
    <x v="18"/>
    <x v="29"/>
    <s v="https://www.lg.com/th/speakers/xboom-bluetooth-speaker/?ec_model_status_code=Active"/>
  </r>
  <r>
    <x v="18"/>
    <x v="29"/>
    <s v="https://www.lg.com/th/speakers/soundbars/all-soundbars/?ec_model_status_code=Active"/>
  </r>
  <r>
    <x v="18"/>
    <x v="29"/>
    <s v="https://www.lg.com/th/monitors/all-monitors/?ec_model_status_code=Active"/>
  </r>
  <r>
    <x v="19"/>
    <x v="29"/>
    <s v="https://www.lg.com/tw/refrigerators/all-refrigerators/?ec_model_status_code=Active"/>
  </r>
  <r>
    <x v="19"/>
    <x v="29"/>
    <s v="https://www.lg.com/tw/washer-dryers/all-washer-dryers/?ec_model_status_code=Active"/>
  </r>
  <r>
    <x v="19"/>
    <x v="29"/>
    <s v="https://www.lg.com/tw/washer-dryers/dryers/?ec_model_status_code=Active"/>
  </r>
  <r>
    <x v="19"/>
    <x v="29"/>
    <s v="https://www.lg.com/tw/tv-soundbars/oled-evo/?ec_model_status_code=Active"/>
  </r>
  <r>
    <x v="19"/>
    <x v="29"/>
    <s v="https://www.lg.com/tw/tv-soundbars/oled/?ec_model_status_code=Active"/>
  </r>
  <r>
    <x v="19"/>
    <x v="29"/>
    <s v="https://www.lg.com/tw/tv-soundbars/qned/?ec_model_status_code=Active"/>
  </r>
  <r>
    <x v="19"/>
    <x v="29"/>
    <s v="https://www.lg.com/tw/tv-soundbars/nanocell/?ec_model_status_code=Active"/>
  </r>
  <r>
    <x v="19"/>
    <x v="29"/>
    <s v="https://www.lg.com/tw/tv-soundbars/ultra-big-tvs/?ec_model_status_code=Active"/>
  </r>
  <r>
    <x v="19"/>
    <x v="29"/>
    <s v="https://www.lg.com/tw/tv-soundbars/4k-uhd-tvs/?ec_model_status_code=Active"/>
  </r>
  <r>
    <x v="19"/>
    <x v="29"/>
    <s v="https://www.lg.com/tw/monitors/all-monitors/?ec_model_status_code=Active"/>
  </r>
  <r>
    <x v="19"/>
    <x v="29"/>
    <s v="https://www.lg.com/tw/residential-air-conditioners/all-residential-air-conditioners/?ec_model_status_code=Active"/>
  </r>
  <r>
    <x v="19"/>
    <x v="29"/>
    <s v="https://www.lg.com/tw/speakers/xboom-360/?ec_model_status_code=Active"/>
  </r>
  <r>
    <x v="19"/>
    <x v="29"/>
    <s v="https://www.lg.com/tw/speakers/all-speakers/?ec_model_status_code=Active"/>
  </r>
  <r>
    <x v="19"/>
    <x v="29"/>
    <s v="https://www.lg.com/tw/speakers/all-soundbars/?ec_model_status_code=Active"/>
  </r>
  <r>
    <x v="19"/>
    <x v="29"/>
    <s v="https://www.lg.com/tw/speakers/soundbars/?ec_model_status_code=Active"/>
  </r>
  <r>
    <x v="9"/>
    <x v="29"/>
    <s v="https://www.lg.com/uk/fridge-freezers/all-fridge-freezers/?ec_model_status_code=Active"/>
  </r>
  <r>
    <x v="9"/>
    <x v="29"/>
    <s v="https://www.lg.com/uk/laundry/all-laundry/?ec_model_status_code=Active"/>
  </r>
  <r>
    <x v="9"/>
    <x v="29"/>
    <s v="https://www.lg.com/uk/laundry/tumble-dryers/?ec_model_status_code=Active"/>
  </r>
  <r>
    <x v="9"/>
    <x v="29"/>
    <s v="https://www.lg.com/uk/tvs-soundbars/oled-evo/?ec_model_status_code=Active"/>
  </r>
  <r>
    <x v="9"/>
    <x v="29"/>
    <s v="https://www.lg.com/uk/tvs-soundbars/oled/?ec_model_status_code=Active"/>
  </r>
  <r>
    <x v="9"/>
    <x v="29"/>
    <s v="https://www.lg.com/uk/tvs-soundbars/miniled/?ec_model_status_code=Active"/>
  </r>
  <r>
    <x v="9"/>
    <x v="29"/>
    <s v="https://www.lg.com/uk/tvs-soundbars/qned-evo/?ec_model_status_code=Active"/>
  </r>
  <r>
    <x v="9"/>
    <x v="29"/>
    <s v="https://www.lg.com/uk/tvs-soundbars/qned/?ec_model_status_code=Active"/>
  </r>
  <r>
    <x v="9"/>
    <x v="29"/>
    <s v="https://www.lg.com/uk/tvs-soundbars/nanocell/?ec_model_status_code=Active"/>
  </r>
  <r>
    <x v="9"/>
    <x v="29"/>
    <s v="https://www.lg.com/uk/tvs-soundbars/ultra-big-tvs/?ec_model_status_code=Active"/>
  </r>
  <r>
    <x v="9"/>
    <x v="29"/>
    <s v="https://www.lg.com/uk/tvs-soundbars/4k-uhd-tvs/?ec_model_status_code=Active"/>
  </r>
  <r>
    <x v="9"/>
    <x v="29"/>
    <s v="https://www.lg.com/uk/tvs-soundbars/smart-tvs/?ec_model_status_code=Active"/>
  </r>
  <r>
    <x v="9"/>
    <x v="29"/>
    <s v="https://www.lg.com/uk/monitors/all-monitors/?ec_model_status_code=Active"/>
  </r>
  <r>
    <x v="9"/>
    <x v="29"/>
    <s v="https://www.lg.com/uk/business/hvac/residential-air-conditioner/?ec_model_status_code=Active&amp;sortCriteria=%40ec_spotlights_order_no+descending%2C%40ec_stock_status+ascending%2C%40ec_model_release_date+descending"/>
  </r>
  <r>
    <x v="9"/>
    <x v="29"/>
    <s v="https://www.lg.com/uk/speakers/all-speakers/?ec_model_status_code=Active"/>
  </r>
  <r>
    <x v="9"/>
    <x v="29"/>
    <s v="https://www.lg.com/uk/speakers/all-soundbars/?ec_model_status_code=Active"/>
  </r>
  <r>
    <x v="9"/>
    <x v="29"/>
    <s v="https://www.lg.com/uk/wireless-earbuds/all-wireless-earbuds/?ec_model_status_code=Active"/>
  </r>
  <r>
    <x v="11"/>
    <x v="29"/>
    <s v="https://www.lg.com/vn/tu-lanh/tat-ca-tu-lanh/?ec_model_status_code=Active&amp;sortCriteria=%40ec_spotlights_order_no+descending%2C%40ec_stock_status+ascending%2C%40ec_model_release_date+descending"/>
  </r>
  <r>
    <x v="11"/>
    <x v="29"/>
    <s v="https://www.lg.com/vn/giat-say/tat-ca-may-giat-may-say/?ec_model_status_code=Active&amp;sortCriteria=%40ec_spotlights_order_no+descending%2C%40ec_stock_status+ascending%2C%40ec_model_release_date+descending"/>
  </r>
  <r>
    <x v="11"/>
    <x v="29"/>
    <s v="https://www.lg.com/vn/giat-say/may-say-quan-ao/?ec_model_status_code=Active&amp;sortCriteria=%40ec_spotlights_order_no+descending%2C%40ec_stock_status+ascending%2C%40ec_model_release_date+descending"/>
  </r>
  <r>
    <x v="11"/>
    <x v="29"/>
    <s v="https://www.lg.com/vn/tv-va-loa-thanh/tv-oled-evo/?ec_model_status_code=Active&amp;sortCriteria=%40ec_spotlights_order_no+descending%2C%40ec_stock_status+ascending%2C%40ec_model_release_date+descending"/>
  </r>
  <r>
    <x v="11"/>
    <x v="29"/>
    <s v="https://www.lg.com/vn/tv-va-loa-thanh/tv-oled/?ec_model_status_code=Active&amp;sortCriteria=%40ec_spotlights_order_no+descending%2C%40ec_stock_status+ascending%2C%40ec_model_release_date+descending"/>
  </r>
  <r>
    <x v="11"/>
    <x v="29"/>
    <s v="https://www.lg.com/vn/tv-va-loa-thanh/miniled/?ec_model_status_code=Active&amp;sortCriteria=%40ec_spotlights_order_no+descending%2C%40ec_stock_status+ascending%2C%40ec_model_release_date+descending"/>
  </r>
  <r>
    <x v="11"/>
    <x v="29"/>
    <s v="https://www.lg.com/vn/tv-va-loa-thanh/qned-evo/?ec_model_status_code=Active&amp;sortCriteria=%40ec_spotlights_order_no+descending%2C%40ec_stock_status+ascending%2C%40ec_model_release_date+descending"/>
  </r>
  <r>
    <x v="11"/>
    <x v="29"/>
    <s v="https://www.lg.com/vn/tv-va-loa-thanh/tv-qned/?ec_model_status_code=Active&amp;sortCriteria=%40ec_spotlights_order_no+descending%2C%40ec_stock_status+ascending%2C%40ec_model_release_date+descending"/>
  </r>
  <r>
    <x v="11"/>
    <x v="29"/>
    <s v="https://www.lg.com/vn/tv-va-loa-thanh/tv-nanocell/?ec_model_status_code=Active&amp;sortCriteria=%40ec_spotlights_order_no+descending%2C%40ec_stock_status+ascending%2C%40ec_model_release_date+descending"/>
  </r>
  <r>
    <x v="11"/>
    <x v="29"/>
    <s v="https://www.lg.com/vn/tv-va-loa-thanh/tv-man-hinh-lon/?ec_model_status_code=Active&amp;sortCriteria=%40ec_spotlights_order_no+descending%2C%40ec_stock_status+ascending%2C%40ec_model_release_date+descending"/>
  </r>
  <r>
    <x v="11"/>
    <x v="29"/>
    <s v="https://www.lg.com/vn/tv-va-loa-thanh/tv-8k/?ec_model_status_code=Active&amp;sortCriteria=%40ec_spotlights_order_no+descending%2C%40ec_stock_status+ascending%2C%40ec_model_release_date+descending"/>
  </r>
  <r>
    <x v="11"/>
    <x v="29"/>
    <s v="https://www.lg.com/vn/tv-va-loa-thanh/tv-uhd-4k/?ec_model_status_code=Active&amp;sortCriteria=%40ec_spotlights_order_no+descending%2C%40ec_stock_status+ascending%2C%40ec_model_release_date+descending"/>
  </r>
  <r>
    <x v="11"/>
    <x v="29"/>
    <s v="https://www.lg.com/vn/tv-va-loa-thanh/tv-full-hd/?ec_model_status_code=Active&amp;sortCriteria=%40ec_spotlights_order_no+descending%2C%40ec_stock_status+ascending%2C%40ec_model_release_date+descending"/>
  </r>
  <r>
    <x v="11"/>
    <x v="29"/>
    <s v="https://www.lg.com/vn/dieu-hoa/?ec_model_status_code=Active&amp;sortCriteria=%40ec_spotlights_order_no+descending%2C%40ec_stock_status+ascending%2C%40ec_model_release_date+descending"/>
  </r>
  <r>
    <x v="11"/>
    <x v="29"/>
    <s v="https://www.lg.com/vn/dan-am-thanh/all-bluetooth-speakers/?ec_model_status_code=Active&amp;sortCriteria=%40ec_spotlights_order_no+descending%2C%40ec_stock_status+ascending%2C%40ec_model_release_date+descending"/>
  </r>
  <r>
    <x v="11"/>
    <x v="29"/>
    <s v="https://www.lg.com/vn/dan-am-thanh/all-soundbars/?sortCriteria=%40ec_spotlights_order_no+descending%2C%40ec_stock_status+ascending%2C%40ec_model_release_date+descending"/>
  </r>
  <r>
    <x v="11"/>
    <x v="29"/>
    <s v="https://www.lg.com/vn/tai-nghe-khong-day/tat-ca-tai-nghe-khong-day/?ec_model_status_code=Active&amp;sortCriteria=%40ec_spotlights_order_no+descending%2C%40ec_stock_status+ascending%2C%40ec_model_release_date+descending"/>
  </r>
  <r>
    <x v="11"/>
    <x v="29"/>
    <s v="https://www.lg.com/vn/man-hinh-may-tinh/tat-ca-man-hinh-may-tinh/?ec_model_status_code=Active&amp;sortCriteria=%40ec_spotlights_order_no+descending%2C%40ec_stock_status+ascending%2C%40ec_model_release_date+descending"/>
  </r>
  <r>
    <x v="13"/>
    <x v="30"/>
    <s v="https://www.liverpool.com.mx/tienda/Refrigeradores/N-brZMjM2MI8JJYTY6Systh97%2Fq%2FWwJbMMENK6UD33R3g%3D"/>
  </r>
  <r>
    <x v="13"/>
    <x v="30"/>
    <s v="https://www.liverpool.com.mx/tienda/Lavadoras/N-dfmUlCW8mToD6tz98L83d88KMYsujiHwhBEt41ltWFo%3D"/>
  </r>
  <r>
    <x v="13"/>
    <x v="30"/>
    <s v="https://www.liverpool.com.mx/tienda/Pantallas/N-8jIIbzpWtm1%2B3OnPKtu04ZEopT7kObtj0Sz71hA1hJA%3D"/>
  </r>
  <r>
    <x v="13"/>
    <x v="30"/>
    <s v="https://www.liverpool.com.mx/tienda/Monitores/N-1qOAxik9tvUhe4kBummxobiCggqnayO0%2FV8x82mPxEU%3D"/>
  </r>
  <r>
    <x v="13"/>
    <x v="30"/>
    <s v="https://www.liverpool.com.mx/tienda/aire-acondicionado/catst42866069"/>
  </r>
  <r>
    <x v="13"/>
    <x v="30"/>
    <s v="https://www.liverpool.com.mx/tienda/lavasecadora/catst42843500"/>
  </r>
  <r>
    <x v="13"/>
    <x v="30"/>
    <s v="https://www.liverpool.com.mx/tienda/secadoras/catst42843513"/>
  </r>
  <r>
    <x v="13"/>
    <x v="30"/>
    <s v="https://www.liverpool.com.mx/tienda/aud%C3%ADfonos/catst16778857"/>
  </r>
  <r>
    <x v="13"/>
    <x v="30"/>
    <s v="https://www.liverpool.com.mx/tienda/bocinas/catst16778924"/>
  </r>
  <r>
    <x v="13"/>
    <x v="30"/>
    <s v="https://www.liverpool.com.mx/tienda/barras-de-sonido-y-teatros-en-casa/catst16778939"/>
  </r>
  <r>
    <x v="0"/>
    <x v="31"/>
    <s v="https://www.lowes.com/pl/refrigerators/4294857973"/>
  </r>
  <r>
    <x v="0"/>
    <x v="31"/>
    <s v="https://www.lowes.com/pl/washers-dryers/washing-machines/4294857977"/>
  </r>
  <r>
    <x v="0"/>
    <x v="31"/>
    <s v="https://www.lowes.com/pl/washers-dryers/washing-machines/front-load-washers/4294857975"/>
  </r>
  <r>
    <x v="0"/>
    <x v="31"/>
    <s v="https://www.lowes.com/pl/washers-dryers/washing-machines/pedestal-washers/4294410364"/>
  </r>
  <r>
    <x v="0"/>
    <x v="31"/>
    <s v="https://www.lowes.com/pl/washers-dryers/washing-machines/top-load-washers/4294857976"/>
  </r>
  <r>
    <x v="0"/>
    <x v="31"/>
    <s v="https://www.lowes.com/pl/washers-dryers/washer-dryer-sets/2711977280210"/>
  </r>
  <r>
    <x v="0"/>
    <x v="31"/>
    <s v="https://www.lowes.com/pl/washers-dryers/washer-dryer-sets/2711977280210"/>
  </r>
  <r>
    <x v="0"/>
    <x v="31"/>
    <s v="https://www.lowes.com/pl/washers-dryers/dryers/4294857980"/>
  </r>
  <r>
    <x v="0"/>
    <x v="31"/>
    <s v="https://www.lowes.com/pl/washers-dryers/dryers/electric-dryers/4294857979"/>
  </r>
  <r>
    <x v="0"/>
    <x v="31"/>
    <s v="https://www.lowes.com/pl/washers-dryers/dryers/gas-dryers/4294791297"/>
  </r>
  <r>
    <x v="0"/>
    <x v="31"/>
    <s v="https://www.lowes.com/pl/electronics/tv-home-theater/tvs/2511177665352"/>
  </r>
  <r>
    <x v="0"/>
    <x v="31"/>
    <s v="https://www.lowes.com/pl/air-conditioners-fans/room-air-conditioners/window-air-conditioners/3788568798"/>
  </r>
  <r>
    <x v="0"/>
    <x v="31"/>
    <s v="https://www.lowes.com/pl/air-conditioners-fans/room-air-conditioners/portable-air-conditioners/2830525945"/>
  </r>
  <r>
    <x v="0"/>
    <x v="31"/>
    <s v="https://www.lowes.com/pl/air-conditioners-fans/central-air-conditioners/4294618087"/>
  </r>
  <r>
    <x v="0"/>
    <x v="31"/>
    <s v="https://www.lowes.com/pl/air-conditioners-fans/room-air-conditioners/wall-air-conditioners/1614509524"/>
  </r>
  <r>
    <x v="0"/>
    <x v="31"/>
    <s v="https://www.lowes.com/pl/electronics/computers-peripherals/monitor/2721216753901-511619976309"/>
  </r>
  <r>
    <x v="0"/>
    <x v="31"/>
    <s v="https://www.lowes.com/pl/electronics/audio/speakers/wireless/2121250443857-4294867045"/>
  </r>
  <r>
    <x v="0"/>
    <x v="31"/>
    <s v="https://www.lowes.com/pl/electronics/audio/sound-bars/2221070979604"/>
  </r>
  <r>
    <x v="0"/>
    <x v="31"/>
    <s v="https://www.lowes.com/pl/electronics/audio/headphones/wireless/2211615169856-4294867045"/>
  </r>
  <r>
    <x v="0"/>
    <x v="31"/>
    <s v="https://www.lowes.com/pl/vacuum-cleaners-floor-care/vacuum-cleaners/stick-vacuums/4294410381"/>
  </r>
  <r>
    <x v="0"/>
    <x v="31"/>
    <s v="https://www.lowes.com/pl/dishwashers/4294857925?goToProdList=true"/>
  </r>
  <r>
    <x v="0"/>
    <x v="31"/>
    <s v="https://www.lowes.com/pl/wall-ovens/4294715808?goToProdList=true"/>
  </r>
  <r>
    <x v="0"/>
    <x v="31"/>
    <s v="https://www.lowes.com/pl/laundry-organization/irons-fabric-care/fabric-steamers/steam-closet/4294753788-911839592465"/>
  </r>
  <r>
    <x v="2"/>
    <x v="32"/>
    <s v="https://www.magazineluiza.com.br/geladeira-refrigerador/eletrodomesticos/s/ed/refr/"/>
  </r>
  <r>
    <x v="2"/>
    <x v="32"/>
    <s v="https://www.magazineluiza.com.br/maquina-de-lavar/eletrodomesticos/s/ed/lava/"/>
  </r>
  <r>
    <x v="2"/>
    <x v="32"/>
    <s v="https://www.magazineluiza.com.br/tvs/tv-e-video/s/et/tves/"/>
  </r>
  <r>
    <x v="2"/>
    <x v="32"/>
    <s v="https://www.magazineluiza.com.br/monitores/informatica/s/in/mlcd/"/>
  </r>
  <r>
    <x v="2"/>
    <x v="32"/>
    <s v="https://www.magazineluiza.com.br/caixa-de-som-bluetooth-portatil/audio/s/ea/easm/"/>
  </r>
  <r>
    <x v="2"/>
    <x v="32"/>
    <s v="https://www.magazineluiza.com.br/soundbar/audio/s/ea/sdbr/"/>
  </r>
  <r>
    <x v="2"/>
    <x v="32"/>
    <s v="https://www.magazineluiza.com.br/headset-bluetooth/audio/s/ea/hebh/"/>
  </r>
  <r>
    <x v="2"/>
    <x v="32"/>
    <s v="https://www.magazineluiza.com.br/ar-condicionado-inverter/ar-e-ventilacao/s/ar/aciv/"/>
  </r>
  <r>
    <x v="2"/>
    <x v="32"/>
    <s v="https://www.magazineluiza.com.br/lava-e-seca/eletrodomesticos/s/ed/ela1/"/>
  </r>
  <r>
    <x v="2"/>
    <x v="32"/>
    <s v="https://www.magazineluiza.com.br/secadora-de-roupas/eletrodomesticos/s/ed/selt/"/>
  </r>
  <r>
    <x v="4"/>
    <x v="33"/>
    <s v="https://www.mediamarkt.de/de/category/k%C3%BChl-gefrierkombinationen-34.html?page=1"/>
  </r>
  <r>
    <x v="4"/>
    <x v="33"/>
    <s v="https://www.mediamarkt.de/de/category/side-by-side-k%C3%BChlschr%C3%A4nke-41.html?page=1"/>
  </r>
  <r>
    <x v="4"/>
    <x v="33"/>
    <s v="https://www.mediamarkt.de/de/category/french-door-ger%C3%A4te-7700.html?page=1"/>
  </r>
  <r>
    <x v="4"/>
    <x v="33"/>
    <s v="https://www.mediamarkt.de/de/category/frontlader-923.html?page=1"/>
  </r>
  <r>
    <x v="4"/>
    <x v="33"/>
    <s v="https://www.mediamarkt.de/de/category/toplader-924.html?page=1"/>
  </r>
  <r>
    <x v="4"/>
    <x v="33"/>
    <s v="https://www.mediamarkt.de/de/category/platzsparende-waschmaschinen-925.html?page=1"/>
  </r>
  <r>
    <x v="4"/>
    <x v="33"/>
    <s v="https://www.mediamarkt.de/de/category/einbau-waschmaschinen-987.html?page=1"/>
  </r>
  <r>
    <x v="4"/>
    <x v="33"/>
    <s v="https://www.mediamarkt.de/de/category/led-lcd-tvs-205.html?page=1"/>
  </r>
  <r>
    <x v="4"/>
    <x v="33"/>
    <s v="https://www.mediamarkt.de/de/category/oled-tvs-898.html?page=1"/>
  </r>
  <r>
    <x v="4"/>
    <x v="33"/>
    <s v="https://www.mediamarkt.de/de/category/smart-tvs-817.html?page=1"/>
  </r>
  <r>
    <x v="4"/>
    <x v="33"/>
    <s v="https://www.mediamarkt.de/de/category/qled-tvs-696.html?page=1"/>
  </r>
  <r>
    <x v="4"/>
    <x v="33"/>
    <s v="https://www.mediamarkt.de/de/category/4k-fernseher-2301.html?page=1"/>
  </r>
  <r>
    <x v="4"/>
    <x v="33"/>
    <s v="https://www.mediamarkt.de/de/category/android-tv-2304.html?page=1"/>
  </r>
  <r>
    <x v="4"/>
    <x v="33"/>
    <s v="https://www.mediamarkt.de/de/category/ambilight-tv-2303.html?page=1"/>
  </r>
  <r>
    <x v="4"/>
    <x v="33"/>
    <s v="https://www.mediamarkt.de/de/category/8k-fernseher-2302.html?page=1"/>
  </r>
  <r>
    <x v="4"/>
    <x v="33"/>
    <s v="https://www.mediamarkt.de/de/category/lifestyle-10896.html?page=1"/>
  </r>
  <r>
    <x v="4"/>
    <x v="33"/>
    <s v="https://www.mediamarkt.de/de/category/qned-tvs-9753.html?page=1"/>
  </r>
  <r>
    <x v="4"/>
    <x v="33"/>
    <s v="https://www.mediamarkt.de/de/category/nanocell-tvs-2890.html?page=1"/>
  </r>
  <r>
    <x v="4"/>
    <x v="33"/>
    <s v="https://www.mediamarkt.de/de/category/tragbare-fernseher-70005.html?page=1"/>
  </r>
  <r>
    <x v="4"/>
    <x v="33"/>
    <s v="https://www.mediamarkt.de/de/category/monitore-408.html?page=1"/>
  </r>
  <r>
    <x v="4"/>
    <x v="33"/>
    <s v="https://www.mediamarkt.de/de/category/true-wireless-kopfh%C3%B6rer-5698.html?page=1"/>
  </r>
  <r>
    <x v="4"/>
    <x v="33"/>
    <s v="https://www.mediamarkt.de/de/category/soundbars-225.html?page=1"/>
  </r>
  <r>
    <x v="4"/>
    <x v="33"/>
    <s v="https://www.mediamarkt.de/de/category/bluetooth-lautsprecher-8022.html?page=1"/>
  </r>
  <r>
    <x v="4"/>
    <x v="33"/>
    <s v="https://www.mediamarkt.de/de/category/herde-back%C3%B6fen-1201.html?page=1"/>
  </r>
  <r>
    <x v="4"/>
    <x v="33"/>
    <s v="https://www.mediamarkt.de/de/category/herde-back%C3%B6fen-1201.html?page=1"/>
  </r>
  <r>
    <x v="4"/>
    <x v="33"/>
    <s v="https://www.mediamarkt.de/de/category/herde-back%C3%B6fen-1201.html?page=1"/>
  </r>
  <r>
    <x v="4"/>
    <x v="33"/>
    <s v="https://www.mediamarkt.de/de/category/laptops-notebooks-362.html?page=1"/>
  </r>
  <r>
    <x v="4"/>
    <x v="33"/>
    <s v="https://www.mediamarkt.de/de/category/trockner-4.html?page=1"/>
  </r>
  <r>
    <x v="4"/>
    <x v="33"/>
    <s v="https://www.mediamarkt.de/de/category/klimaanlagen-100.html?page=1"/>
  </r>
  <r>
    <x v="5"/>
    <x v="33"/>
    <s v="https://www.mediamarkt.es/es/category/televisores-399.html"/>
  </r>
  <r>
    <x v="5"/>
    <x v="33"/>
    <s v="https://www.mediamarkt.es/es/category/lavadoras-671.html"/>
  </r>
  <r>
    <x v="5"/>
    <x v="33"/>
    <s v="https://www.mediamarkt.es/es/category/frigor%C3%ADficos-554.html"/>
  </r>
  <r>
    <x v="5"/>
    <x v="33"/>
    <s v="https://www.mediamarkt.es/es/category/monitores-179.html"/>
  </r>
  <r>
    <x v="5"/>
    <x v="33"/>
    <s v="https://www.mediamarkt.es/es/category/altavoces-inal%C3%A1mbricos-462.html"/>
  </r>
  <r>
    <x v="5"/>
    <x v="33"/>
    <s v="https://www.mediamarkt.es/es/category/barras-de-sonido-490.html"/>
  </r>
  <r>
    <x v="5"/>
    <x v="33"/>
    <s v="https://www.mediamarkt.es/es/category/auriculares-inal%C3%A1mbricos-502.html"/>
  </r>
  <r>
    <x v="5"/>
    <x v="33"/>
    <s v="https://www.mediamarkt.es/es/category/aire-acondicionado-784.html"/>
  </r>
  <r>
    <x v="5"/>
    <x v="33"/>
    <s v="https://www.mediamarkt.es/es/category/lavavajillas-660.html"/>
  </r>
  <r>
    <x v="5"/>
    <x v="33"/>
    <s v="https://www.mediamarkt.es/es/category/hornos-598.html"/>
  </r>
  <r>
    <x v="5"/>
    <x v="33"/>
    <s v="https://www.mediamarkt.es/es/category/secadoras-677.html"/>
  </r>
  <r>
    <x v="11"/>
    <x v="34"/>
    <s v="https://mediamart.vn/tu-lanh"/>
  </r>
  <r>
    <x v="11"/>
    <x v="34"/>
    <s v="https://mediamart.vn/may-giat"/>
  </r>
  <r>
    <x v="11"/>
    <x v="34"/>
    <s v="https://mediamart.vn/tivi"/>
  </r>
  <r>
    <x v="11"/>
    <x v="34"/>
    <s v="https://mediamart.vn/man-hinh-may-tinh"/>
  </r>
  <r>
    <x v="11"/>
    <x v="34"/>
    <s v="https://mediamart.vn/loabluetooth"/>
  </r>
  <r>
    <x v="11"/>
    <x v="34"/>
    <s v="https://mediamart.vn/soundbar"/>
  </r>
  <r>
    <x v="11"/>
    <x v="34"/>
    <s v="https://mediamart.vn/tai-nghe-headphone"/>
  </r>
  <r>
    <x v="11"/>
    <x v="34"/>
    <s v="https://mediamart.vn/may-loc-khong-khi"/>
  </r>
  <r>
    <x v="11"/>
    <x v="34"/>
    <s v="https://mediamart.vn/dieu-hoa-nhiet-do"/>
  </r>
  <r>
    <x v="11"/>
    <x v="34"/>
    <s v="https://mediamart.vn/may-say-toc"/>
  </r>
  <r>
    <x v="11"/>
    <x v="34"/>
    <s v="https://mediamart.vn/may-say-quan-ao"/>
  </r>
  <r>
    <x v="7"/>
    <x v="35"/>
    <s v="https://www.mediaworld.it/it/category/tv-ultra-hd-4k-400101.html"/>
  </r>
  <r>
    <x v="7"/>
    <x v="35"/>
    <s v="https://www.mediaworld.it/it/category/tv-led-400102.html"/>
  </r>
  <r>
    <x v="7"/>
    <x v="35"/>
    <s v="https://www.mediaworld.it/it/category/tv-oled-400103.html"/>
  </r>
  <r>
    <x v="7"/>
    <x v="35"/>
    <s v="https://www.mediaworld.it/it/category/tv-8k-400104.html"/>
  </r>
  <r>
    <x v="7"/>
    <x v="35"/>
    <s v="https://www.mediaworld.it/it/category/tv-qled-400105.html"/>
  </r>
  <r>
    <x v="7"/>
    <x v="35"/>
    <s v="https://www.mediaworld.it/it/category/tv-nanocell-400106.html"/>
  </r>
  <r>
    <x v="7"/>
    <x v="35"/>
    <s v="https://www.mediaworld.it/it/category/lavatrici-6001.html"/>
  </r>
  <r>
    <x v="7"/>
    <x v="35"/>
    <s v="https://www.mediaworld.it/it/category/frigoriferi-6004.html"/>
  </r>
  <r>
    <x v="7"/>
    <x v="35"/>
    <s v="https://www.mediaworld.it/it/category/casse-bluetooth-100109.html"/>
  </r>
  <r>
    <x v="7"/>
    <x v="35"/>
    <s v="https://www.mediaworld.it/it/category/soundbar-400702.html"/>
  </r>
  <r>
    <x v="7"/>
    <x v="35"/>
    <s v="https://www.mediaworld.it/it/category/cuffie-wireless-401001.html"/>
  </r>
  <r>
    <x v="7"/>
    <x v="35"/>
    <s v="https://www.mediaworld.it/it/category/asciugatura-6002.html"/>
  </r>
  <r>
    <x v="7"/>
    <x v="35"/>
    <s v="https://www.mediaworld.it/it/category/monitor-200401.html"/>
  </r>
  <r>
    <x v="7"/>
    <x v="35"/>
    <s v="https://www.mediaworld.it/it/category/lavastoviglie-6008.html"/>
  </r>
  <r>
    <x v="7"/>
    <x v="35"/>
    <s v="https://www.mediaworld.it/it/category/cucine-600607.html"/>
  </r>
  <r>
    <x v="7"/>
    <x v="35"/>
    <s v="https://www.mediaworld.it/it/category/forni-da-incasso-600603.html"/>
  </r>
  <r>
    <x v="7"/>
    <x v="35"/>
    <s v="https://www.mediaworld.it/it/category/condizionatori-fissi-mono-600901.html"/>
  </r>
  <r>
    <x v="7"/>
    <x v="35"/>
    <s v="https://www.mediaworld.it/it/category/condizionatori-fissi-dual-600902.html"/>
  </r>
  <r>
    <x v="7"/>
    <x v="35"/>
    <s v="https://www.mediaworld.it/it/category/condizionatori-fissi-trial-600909.html"/>
  </r>
  <r>
    <x v="2"/>
    <x v="36"/>
    <s v="https://lista.mercadolivre.com.br/eletrodomesticos/refrigeracao/geladeiras/geladeira_Desde_0_NoIndex_True"/>
  </r>
  <r>
    <x v="2"/>
    <x v="36"/>
    <s v="https://lista.mercadolivre.com.br/eletrodomesticos/lavadores/maquinas-lavar/maquina-de-lavar_Desde_0_NoIndex_True"/>
  </r>
  <r>
    <x v="2"/>
    <x v="36"/>
    <s v="https://lista.mercadolivre.com.br/informatica/monitores-acessorios/monitores/monitor_Desde_0_NoIndex_True?sb=all_mercadolibre"/>
  </r>
  <r>
    <x v="2"/>
    <x v="36"/>
    <s v="https://lista.mercadolivre.com.br/eletrodomesticos/ar-ventilacao/ares-condicionados/ar-condicionado_Desde_0_NoIndex_True"/>
  </r>
  <r>
    <x v="2"/>
    <x v="36"/>
    <s v="https://lista.mercadolivre.com.br/eletronicos-audio-video/audio/caixa-de-som-bluetooth_Desde_0_NoIndex_True"/>
  </r>
  <r>
    <x v="2"/>
    <x v="36"/>
    <s v="https://lista.mercadolivre.com.br/eletronicos-audio-video/audio/home-theaters/soundbar_Desde_0_NoIndex_True"/>
  </r>
  <r>
    <x v="2"/>
    <x v="36"/>
    <s v="https://lista.mercadolivre.com.br/headphone-bluetooth_Desde_0_NoIndex_True"/>
  </r>
  <r>
    <x v="2"/>
    <x v="36"/>
    <s v="https://lista.mercadolivre.com.br/lavadoras-secadoras-conjugadas_Desde_0_NoIndex_True"/>
  </r>
  <r>
    <x v="2"/>
    <x v="36"/>
    <s v="https://lista.mercadolivre.com.br/eletronicos-audio-video/televisores/tv_Desde_0_NoIndex_True"/>
  </r>
  <r>
    <x v="2"/>
    <x v="36"/>
    <s v="https://lista.mercadolivre.com.br/eletrodomesticos/lavadores/maquinas-secar/maquinas-de-secar_Desde_0_NoIndex_True_de_secar"/>
  </r>
  <r>
    <x v="19"/>
    <x v="37"/>
    <s v="https://www.momoshop.com.tw/category/DgrpCategory.jsp?d_code=2919100479&amp;TOP30=Y&amp;sourcePageType=4"/>
  </r>
  <r>
    <x v="19"/>
    <x v="37"/>
    <s v="https://www.momoshop.com.tw/category/DgrpCategory.jsp?d_code=2919101073&amp;p_orderType=6&amp;showType=chessboardType"/>
  </r>
  <r>
    <x v="19"/>
    <x v="37"/>
    <s v="https://www.momoshop.com.tw/category/DgrpCategory.jsp?d_code=2919100757&amp;p_orderType=6&amp;showType=chessboardType"/>
  </r>
  <r>
    <x v="19"/>
    <x v="37"/>
    <s v="https://www.momoshop.com.tw/category/DgrpCategory.jsp?d_code=2900800085&amp;TOP30=Y&amp;sourcePageType=4"/>
  </r>
  <r>
    <x v="19"/>
    <x v="37"/>
    <s v="https://www.momoshop.com.tw/category/DgrpCategory.jsp?d_code=2905300057&amp;p_orderType=6&amp;showType=chessboardType"/>
  </r>
  <r>
    <x v="19"/>
    <x v="37"/>
    <s v="https://www.momoshop.com.tw/category/DgrpCategory.jsp?d_code=2905300058&amp;p_orderType=6&amp;showType=chessboardType"/>
  </r>
  <r>
    <x v="19"/>
    <x v="37"/>
    <s v="https://www.momoshop.com.tw/category/DgrpCategory.jsp?d_code=2905300060&amp;p_orderType=6&amp;showType=chessboardType"/>
  </r>
  <r>
    <x v="19"/>
    <x v="37"/>
    <s v="https://www.momoshop.com.tw/category/DgrpCategory.jsp?d_code=2905300121&amp;p_orderType=6&amp;showType=chessboardType"/>
  </r>
  <r>
    <x v="19"/>
    <x v="37"/>
    <s v="https://www.momoshop.com.tw/category/DgrpCategory.jsp?d_code=2900900120&amp;TOP30=Y&amp;sourcePageType=4"/>
  </r>
  <r>
    <x v="19"/>
    <x v="37"/>
    <s v="https://www.momoshop.com.tw/category/DgrpCategory.jsp?d_code=2906900002&amp;p_orderType=6&amp;showType=chessboardType"/>
  </r>
  <r>
    <x v="19"/>
    <x v="37"/>
    <s v="https://www.momoshop.com.tw/category/DgrpCategory.jsp?d_code=4201600009&amp;p_orderType=4&amp;showType=chessboardType"/>
  </r>
  <r>
    <x v="19"/>
    <x v="37"/>
    <s v="https://www.momoshop.com.tw/category/DgrpCategory.jsp?d_code=4201600133&amp;p_orderType=4&amp;showType=chessboardType"/>
  </r>
  <r>
    <x v="19"/>
    <x v="37"/>
    <s v="https://www.momoshop.com.tw/category/DgrpCategory.jsp?d_code=2901500025"/>
  </r>
  <r>
    <x v="19"/>
    <x v="37"/>
    <s v="https://www.momoshop.com.tw/category/DgrpCategory.jsp?d_code=4201700090&amp;p_orderType=6&amp;showType=chessboardType"/>
  </r>
  <r>
    <x v="19"/>
    <x v="37"/>
    <s v="https://www.momoshop.com.tw/category/DgrpCategory.jsp?d_code=2901800055&amp;p_orderType=6&amp;showType=chessboardType"/>
  </r>
  <r>
    <x v="19"/>
    <x v="37"/>
    <s v="https://www.momoshop.com.tw/category/DgrpCategory.jsp?d_code=2900400294&amp;p_orderType=6&amp;showType=chessboardType"/>
  </r>
  <r>
    <x v="19"/>
    <x v="37"/>
    <s v="https://www.momoshop.com.tw/category/DgrpCategory.jsp?d_code=2900400293&amp;p_orderType=6&amp;showType=chessboardType"/>
  </r>
  <r>
    <x v="19"/>
    <x v="37"/>
    <s v="https://www.momoshop.com.tw/category/DgrpCategory.jsp?d_code=2907200034&amp;p_orderType=6&amp;showType=chessboardType"/>
  </r>
  <r>
    <x v="19"/>
    <x v="37"/>
    <s v="https://www.momoshop.com.tw/category/DgrpCategory.jsp?d_code=4300100018&amp;TOP30=Y&amp;sourcePageType=4"/>
  </r>
  <r>
    <x v="19"/>
    <x v="37"/>
    <s v="https://www.momoshop.com.tw/category/DgrpCategory.jsp?d_code=2907200042&amp;p_orderType=6&amp;showType=chessboardType"/>
  </r>
  <r>
    <x v="19"/>
    <x v="37"/>
    <s v="https://www.momoshop.com.tw/category/DgrpCategory.jsp?d_code=2902900080&amp;TOP30=Y&amp;sourcePageType=4&amp;mdiv=2902900000-bt_2_096_01-bt_2_096_01_e11&amp;ctype=B"/>
  </r>
  <r>
    <x v="19"/>
    <x v="37"/>
    <s v="https://www.momoshop.com.tw/category/DgrpCategory.jsp?d_code=2905300198&amp;p_orderType=6&amp;_advHas3P=Y"/>
  </r>
  <r>
    <x v="19"/>
    <x v="37"/>
    <s v="https://www.momoshop.com.tw/category/MgrpCategory.jsp?m_code=2905300124&amp;p_orderType=6&amp;_advHas3P=Y"/>
  </r>
  <r>
    <x v="19"/>
    <x v="37"/>
    <s v="https://www.momoshop.com.tw/category/MgrpCategory.jsp?m_code=2905300016&amp;p_orderType=6&amp;_advHas3P=Y"/>
  </r>
  <r>
    <x v="19"/>
    <x v="37"/>
    <s v="https://www.momoshop.com.tw/category/MgrpCategory.jsp?m_code=2905300017&amp;p_orderType=6&amp;_advHas3P=Y"/>
  </r>
  <r>
    <x v="19"/>
    <x v="37"/>
    <s v="https://www.momoshop.com.tw/category/MgrpCategory.jsp?m_code=2905300004&amp;p_orderType=6&amp;_advHas3P=Y"/>
  </r>
  <r>
    <x v="19"/>
    <x v="37"/>
    <s v="https://www.momoshop.com.tw/category/MgrpCategory.jsp?m_code=2905300005&amp;p_orderType=6&amp;_advHas3P=Y"/>
  </r>
  <r>
    <x v="19"/>
    <x v="37"/>
    <s v="https://www.momoshop.com.tw/category/DgrpCategory.jsp?d_code=2900900392&amp;p_orderType=6"/>
  </r>
  <r>
    <x v="19"/>
    <x v="37"/>
    <s v="https://www.momoshop.com.tw/category/DgrpCategory.jsp?d_code=4300500799&amp;p_orderType=6&amp;_advHas3P=Y"/>
  </r>
  <r>
    <x v="19"/>
    <x v="37"/>
    <s v="https://www.momoshop.com.tw/category/DgrpCategory.jsp?d_code=4300500798&amp;p_orderType=6&amp;_advHas3P=Y"/>
  </r>
  <r>
    <x v="19"/>
    <x v="37"/>
    <s v="https://www.momoshop.com.tw/category/DgrpCategory.jsp?d_code=4300500744&amp;p_orderType=6&amp;_advHas3P=Y"/>
  </r>
  <r>
    <x v="19"/>
    <x v="37"/>
    <s v="https://www.momoshop.com.tw/category/DgrpCategory.jsp?d_code=4300500862&amp;p_orderType=6&amp;_advHas3P=Y"/>
  </r>
  <r>
    <x v="19"/>
    <x v="37"/>
    <s v="https://www.momoshop.com.tw/category/DgrpCategory.jsp?d_code=4300500685&amp;p_orderType=6&amp;_advHas3P=Y"/>
  </r>
  <r>
    <x v="19"/>
    <x v="37"/>
    <s v="https://www.momoshop.com.tw/category/DgrpCategory.jsp?d_code=4300500800&amp;p_orderType=6&amp;_advHas3P=Y"/>
  </r>
  <r>
    <x v="19"/>
    <x v="37"/>
    <s v="https://www.momoshop.com.tw/category/DgrpCategory.jsp?d_code=4300500351&amp;p_orderType=6&amp;_advHas3P=Y"/>
  </r>
  <r>
    <x v="19"/>
    <x v="37"/>
    <s v="https://www.momoshop.com.tw/category/DgrpCategory.jsp?d_code=4300500128&amp;p_orderType=6&amp;showType=chessboardType"/>
  </r>
  <r>
    <x v="19"/>
    <x v="37"/>
    <s v="https://www.momoshop.com.tw/category/DgrpCategory.jsp?d_code=4300500229&amp;p_orderType=6&amp;showType=chessboardType"/>
  </r>
  <r>
    <x v="19"/>
    <x v="37"/>
    <s v="https://www.momoshop.com.tw/category/DgrpCategory.jsp?d_code=4300500228&amp;p_orderType=6&amp;showType=chessboardType"/>
  </r>
  <r>
    <x v="19"/>
    <x v="37"/>
    <s v="https://www.momoshop.com.tw/category/DgrpCategory.jsp?d_code=4300500231&amp;p_orderType=6&amp;showType=chessboardType"/>
  </r>
  <r>
    <x v="19"/>
    <x v="37"/>
    <s v="https://www.momoshop.com.tw/category/DgrpCategory.jsp?d_code=4300500439&amp;p_orderType=6&amp;showType=chessboardType"/>
  </r>
  <r>
    <x v="19"/>
    <x v="37"/>
    <s v="https://www.momoshop.com.tw/category/DgrpCategory.jsp?d_code=4300500232&amp;p_orderType=6&amp;showType=chessboardType"/>
  </r>
  <r>
    <x v="19"/>
    <x v="37"/>
    <s v="https://www.momoshop.com.tw/category/DgrpCategory.jsp?d_code=4300500050&amp;p_orderType=6&amp;showType=chessboardType"/>
  </r>
  <r>
    <x v="19"/>
    <x v="37"/>
    <s v="https://www.momoshop.com.tw/category/DgrpCategory.jsp?d_code=4300500230&amp;p_orderType=6&amp;showType=chessboardType"/>
  </r>
  <r>
    <x v="19"/>
    <x v="37"/>
    <s v="https://www.momoshop.com.tw/category/DgrpCategory.jsp?d_code=4300500314&amp;p_orderType=6&amp;showType=chessboardType"/>
  </r>
  <r>
    <x v="19"/>
    <x v="37"/>
    <s v="https://www.momoshop.com.tw/category/DgrpCategory.jsp?d_code=4300500448&amp;p_orderType=6&amp;showType=chessboardType"/>
  </r>
  <r>
    <x v="19"/>
    <x v="37"/>
    <s v="https://www.momoshop.com.tw/category/DgrpCategory.jsp?d_code=4300500418&amp;p_orderType=6&amp;showType=chessboardType"/>
  </r>
  <r>
    <x v="19"/>
    <x v="37"/>
    <s v="https://www.momoshop.com.tw/category/DgrpCategory.jsp?d_code=4300500428&amp;p_orderType=6&amp;showType=chessboardType"/>
  </r>
  <r>
    <x v="19"/>
    <x v="37"/>
    <s v="https://www.momoshop.com.tw/category/DgrpCategory.jsp?d_code=4300500133&amp;p_orderType=6&amp;showType=chessboardType"/>
  </r>
  <r>
    <x v="19"/>
    <x v="37"/>
    <s v="https://www.momoshop.com.tw/category/DgrpCategory.jsp?d_code=4300500626&amp;p_orderType=6&amp;showType=chessboardType"/>
  </r>
  <r>
    <x v="4"/>
    <x v="38"/>
    <s v="https://www.otto.de/haushalt/waschmaschinen/?ansicht=einstieg&amp;"/>
  </r>
  <r>
    <x v="4"/>
    <x v="38"/>
    <s v="https://www.otto.de/technik/laptop/?"/>
  </r>
  <r>
    <x v="4"/>
    <x v="38"/>
    <s v="https://www.otto.de/technik/audio/kopfhoerer/?uebertragungsart=bluetooth&amp;"/>
  </r>
  <r>
    <x v="4"/>
    <x v="38"/>
    <s v="https://www.otto.de/haushalt/kuehlschraenke/?"/>
  </r>
  <r>
    <x v="4"/>
    <x v="38"/>
    <s v="https://www.otto.de/technik/fernseher/?"/>
  </r>
  <r>
    <x v="4"/>
    <x v="38"/>
    <s v="https://www.otto.de/technik/audio/lautsprecher/?uebertragungsart=bluetooth&amp;"/>
  </r>
  <r>
    <x v="4"/>
    <x v="38"/>
    <s v="https://www.otto.de/technik/audio/soundbar/?"/>
  </r>
  <r>
    <x v="4"/>
    <x v="38"/>
    <s v="https://www.otto.de/technik/monitor/"/>
  </r>
  <r>
    <x v="4"/>
    <x v="38"/>
    <s v="https://www.otto.de/haushalt/backoefen/"/>
  </r>
  <r>
    <x v="4"/>
    <x v="38"/>
    <s v="https://www.otto.de/haushalt/klimageraete/"/>
  </r>
  <r>
    <x v="4"/>
    <x v="38"/>
    <s v="https://www.otto.de/haushalt/trockner/"/>
  </r>
  <r>
    <x v="19"/>
    <x v="39"/>
    <s v="https://24h.pchome.com.tw/store/?fq=/R/DPAD/new&amp;style=2"/>
  </r>
  <r>
    <x v="19"/>
    <x v="39"/>
    <s v="https://24h.pchome.com.tw/store/DPADXE?style=2"/>
  </r>
  <r>
    <x v="19"/>
    <x v="39"/>
    <s v="https://24h.pchome.com.tw/store/DPADP8?style=2"/>
  </r>
  <r>
    <x v="19"/>
    <x v="39"/>
    <s v="https://24h.pchome.com.tw/store/DPADXA?style=2"/>
  </r>
  <r>
    <x v="19"/>
    <x v="39"/>
    <s v="https://24h.pchome.com.tw/store/DPADMO?style=2"/>
  </r>
  <r>
    <x v="19"/>
    <x v="39"/>
    <s v="https://24h.pchome.com.tw/store/DPADOZ?style=2"/>
  </r>
  <r>
    <x v="19"/>
    <x v="39"/>
    <s v="https://24h.pchome.com.tw/store/DPADWW?style=2"/>
  </r>
  <r>
    <x v="19"/>
    <x v="39"/>
    <s v="https://24h.pchome.com.tw/store/DPADMD?style=2"/>
  </r>
  <r>
    <x v="19"/>
    <x v="39"/>
    <s v="https://24h.pchome.com.tw/store/DPADOT?style=2"/>
  </r>
  <r>
    <x v="19"/>
    <x v="39"/>
    <s v="https://24h.pchome.com.tw/store/DPADP2?style=2"/>
  </r>
  <r>
    <x v="19"/>
    <x v="39"/>
    <s v="https://24h.pchome.com.tw/store/DPADP3?style=2"/>
  </r>
  <r>
    <x v="19"/>
    <x v="39"/>
    <s v="https://24h.pchome.com.tw/store/DPADU8?style=2"/>
  </r>
  <r>
    <x v="19"/>
    <x v="39"/>
    <s v="https://24h.pchome.com.tw/store/DPADU9?style=2"/>
  </r>
  <r>
    <x v="19"/>
    <x v="39"/>
    <s v="https://24h.pchome.com.tw/store/DPADWM?style=2"/>
  </r>
  <r>
    <x v="19"/>
    <x v="39"/>
    <s v="https://24h.pchome.com.tw/store/DPADX8?style=2"/>
  </r>
  <r>
    <x v="19"/>
    <x v="39"/>
    <s v="https://24h.pchome.com.tw/store/DPADM7?style=2"/>
  </r>
  <r>
    <x v="19"/>
    <x v="39"/>
    <s v="https://24h.pchome.com.tw/store/DPADMX?style=2"/>
  </r>
  <r>
    <x v="19"/>
    <x v="39"/>
    <s v="https://24h.pchome.com.tw/store/DPADTX?style=2"/>
  </r>
  <r>
    <x v="19"/>
    <x v="39"/>
    <s v="https://24h.pchome.com.tw/store/DPADTY?style=2"/>
  </r>
  <r>
    <x v="19"/>
    <x v="39"/>
    <s v="https://24h.pchome.com.tw/store/DPADJU?style=2"/>
  </r>
  <r>
    <x v="19"/>
    <x v="39"/>
    <s v="https://24h.pchome.com.tw/store/DPADTK?style=2"/>
  </r>
  <r>
    <x v="19"/>
    <x v="39"/>
    <s v="https://24h.pchome.com.tw/store/DPAD1M?style=2"/>
  </r>
  <r>
    <x v="19"/>
    <x v="39"/>
    <s v="https://24h.pchome.com.tw/store/DPADGB?style=2"/>
  </r>
  <r>
    <x v="19"/>
    <x v="39"/>
    <s v="https://24h.pchome.com.tw/store/DPADTH?style=2"/>
  </r>
  <r>
    <x v="19"/>
    <x v="39"/>
    <s v="https://24h.pchome.com.tw/store/DPADTJ?style=2"/>
  </r>
  <r>
    <x v="19"/>
    <x v="39"/>
    <s v="https://24h.pchome.com.tw/store/DPADQX?style=2"/>
  </r>
  <r>
    <x v="19"/>
    <x v="39"/>
    <s v="https://24h.pchome.com.tw/store/DPADQK?style=2"/>
  </r>
  <r>
    <x v="19"/>
    <x v="39"/>
    <s v="https://24h.pchome.com.tw/store/DPAD6I?style=2"/>
  </r>
  <r>
    <x v="19"/>
    <x v="39"/>
    <s v="https://24h.pchome.com.tw/store/DPADTL?style=2"/>
  </r>
  <r>
    <x v="19"/>
    <x v="39"/>
    <s v="https://24h.pchome.com.tw/store/DPADIV?style=2"/>
  </r>
  <r>
    <x v="19"/>
    <x v="39"/>
    <s v="https://24h.pchome.com.tw/store/DPADIW?style=2"/>
  </r>
  <r>
    <x v="19"/>
    <x v="39"/>
    <s v="https://24h.pchome.com.tw/store/DPADIX?style=2"/>
  </r>
  <r>
    <x v="19"/>
    <x v="39"/>
    <s v="https://24h.pchome.com.tw/store/DPADIY?style=2"/>
  </r>
  <r>
    <x v="19"/>
    <x v="39"/>
    <s v="https://24h.pchome.com.tw/store/DPADIZ?style=2"/>
  </r>
  <r>
    <x v="19"/>
    <x v="39"/>
    <s v="https://24h.pchome.com.tw/store/DPADJ0?style=2"/>
  </r>
  <r>
    <x v="19"/>
    <x v="39"/>
    <s v="https://24h.pchome.com.tw/store/DPADTN?style=2"/>
  </r>
  <r>
    <x v="19"/>
    <x v="39"/>
    <s v="https://24h.pchome.com.tw/store/DPADEX?style=2"/>
  </r>
  <r>
    <x v="19"/>
    <x v="39"/>
    <s v="https://24h.pchome.com.tw/store/DPADEY?style=2"/>
  </r>
  <r>
    <x v="19"/>
    <x v="39"/>
    <s v="https://24h.pchome.com.tw/store/DPADEZ?style=2"/>
  </r>
  <r>
    <x v="19"/>
    <x v="39"/>
    <s v="https://24h.pchome.com.tw/store/DPADF0?style=2"/>
  </r>
  <r>
    <x v="19"/>
    <x v="39"/>
    <s v="https://24h.pchome.com.tw/store/DPADFT?style=2"/>
  </r>
  <r>
    <x v="19"/>
    <x v="39"/>
    <s v="https://24h.pchome.com.tw/store/DPADUD?style=2"/>
  </r>
  <r>
    <x v="19"/>
    <x v="39"/>
    <s v="https://24h.pchome.com.tw/store/DPADUG?style=2"/>
  </r>
  <r>
    <x v="19"/>
    <x v="39"/>
    <s v="https://24h.pchome.com.tw/store/DPADUE?style=2"/>
  </r>
  <r>
    <x v="19"/>
    <x v="39"/>
    <s v="https://24h.pchome.com.tw/store/DPADUF?style=2"/>
  </r>
  <r>
    <x v="19"/>
    <x v="39"/>
    <s v="https://24h.pchome.com.tw/store/DPADUH?style=2"/>
  </r>
  <r>
    <x v="19"/>
    <x v="39"/>
    <s v="https://24h.pchome.com.tw/store/DPACBV?style=2"/>
  </r>
  <r>
    <x v="19"/>
    <x v="39"/>
    <s v="https://24h.pchome.com.tw/store/DPACC2?style=2"/>
  </r>
  <r>
    <x v="19"/>
    <x v="39"/>
    <s v="https://24h.pchome.com.tw/store/DPACCA?style=2"/>
  </r>
  <r>
    <x v="19"/>
    <x v="39"/>
    <s v="https://24h.pchome.com.tw/store/DPAC8W?style=2"/>
  </r>
  <r>
    <x v="19"/>
    <x v="39"/>
    <s v="https://24h.pchome.com.tw/store/DPACDL?style=2"/>
  </r>
  <r>
    <x v="19"/>
    <x v="39"/>
    <s v="https://24h.pchome.com.tw/store/DPACDG?style=2"/>
  </r>
  <r>
    <x v="19"/>
    <x v="39"/>
    <s v="https://24h.pchome.com.tw/store/DPACDK?style=2"/>
  </r>
  <r>
    <x v="19"/>
    <x v="39"/>
    <s v="https://24h.pchome.com.tw/store/DPACDH?style=2"/>
  </r>
  <r>
    <x v="19"/>
    <x v="39"/>
    <s v="https://24h.pchome.com.tw/store/DPAC9V?style=2"/>
  </r>
  <r>
    <x v="19"/>
    <x v="39"/>
    <s v="https://24h.pchome.com.tw/store/DPAC56?style=2"/>
  </r>
  <r>
    <x v="19"/>
    <x v="39"/>
    <s v="https://24h.pchome.com.tw/store/DPAC6F?style=2"/>
  </r>
  <r>
    <x v="19"/>
    <x v="39"/>
    <s v="https://24h.pchome.com.tw/store/DPAC6G?style=2"/>
  </r>
  <r>
    <x v="19"/>
    <x v="39"/>
    <s v="https://24h.pchome.com.tw/store/DPAC6J?style=2"/>
  </r>
  <r>
    <x v="19"/>
    <x v="39"/>
    <s v="https://24h.pchome.com.tw/store/DPAC6K?style=2"/>
  </r>
  <r>
    <x v="19"/>
    <x v="39"/>
    <s v="https://24h.pchome.com.tw/store/DPAC6I?style=2"/>
  </r>
  <r>
    <x v="19"/>
    <x v="39"/>
    <s v="https://24h.pchome.com.tw/store/DPACDM?style=2"/>
  </r>
  <r>
    <x v="19"/>
    <x v="39"/>
    <s v="https://24h.pchome.com.tw/store/DPAC47?style=2"/>
  </r>
  <r>
    <x v="19"/>
    <x v="39"/>
    <s v="https://24h.pchome.com.tw/store/DPAC40?style=2"/>
  </r>
  <r>
    <x v="19"/>
    <x v="39"/>
    <s v="https://24h.pchome.com.tw/store/DPAC36?style=2"/>
  </r>
  <r>
    <x v="19"/>
    <x v="39"/>
    <s v="https://24h.pchome.com.tw/store/DPAC41?style=2"/>
  </r>
  <r>
    <x v="19"/>
    <x v="39"/>
    <s v="https://24h.pchome.com.tw/store/DPAC37?style=2"/>
  </r>
  <r>
    <x v="19"/>
    <x v="39"/>
    <s v="https://24h.pchome.com.tw/store/DPAC42?style=2"/>
  </r>
  <r>
    <x v="19"/>
    <x v="39"/>
    <s v="https://24h.pchome.com.tw/store/DPAC43?style=2"/>
  </r>
  <r>
    <x v="19"/>
    <x v="39"/>
    <s v="https://24h.pchome.com.tw/store/DPAC44?style=2"/>
  </r>
  <r>
    <x v="19"/>
    <x v="39"/>
    <s v="https://24h.pchome.com.tw/store/DPAC45?style=2"/>
  </r>
  <r>
    <x v="19"/>
    <x v="39"/>
    <s v="https://24h.pchome.com.tw/store/DPACEF?style=2"/>
  </r>
  <r>
    <x v="19"/>
    <x v="39"/>
    <s v="https://24h.pchome.com.tw/store/DPACEG?style=2"/>
  </r>
  <r>
    <x v="19"/>
    <x v="39"/>
    <s v="https://24h.pchome.com.tw/store/DPACEH?style=2"/>
  </r>
  <r>
    <x v="19"/>
    <x v="39"/>
    <s v="https://24h.pchome.com.tw/store/DPACEI?style=2"/>
  </r>
  <r>
    <x v="19"/>
    <x v="39"/>
    <s v="https://24h.pchome.com.tw/store/DPACEJ?style=2"/>
  </r>
  <r>
    <x v="19"/>
    <x v="39"/>
    <s v="https://24h.pchome.com.tw/store/DPACEK?style=2"/>
  </r>
  <r>
    <x v="19"/>
    <x v="39"/>
    <s v="https://24h.pchome.com.tw/store/DPACEL?style=2"/>
  </r>
  <r>
    <x v="19"/>
    <x v="39"/>
    <s v="https://24h.pchome.com.tw/region/DSAB?style=2"/>
  </r>
  <r>
    <x v="19"/>
    <x v="39"/>
    <s v="https://24h.pchome.com.tw/store/DSAB1Z?style=2"/>
  </r>
  <r>
    <x v="19"/>
    <x v="39"/>
    <s v="https://24h.pchome.com.tw/store/DSABLQ?style=2"/>
  </r>
  <r>
    <x v="19"/>
    <x v="39"/>
    <s v="https://24h.pchome.com.tw/store/DSBB03?style=2"/>
  </r>
  <r>
    <x v="19"/>
    <x v="39"/>
    <s v="https://24h.pchome.com.tw/store/DSBB3A?style=2"/>
  </r>
  <r>
    <x v="19"/>
    <x v="39"/>
    <s v="https://24h.pchome.com.tw/store/DSBB35?style=2"/>
  </r>
  <r>
    <x v="19"/>
    <x v="39"/>
    <s v="https://24h.pchome.com.tw/store/DSBB00?style=2"/>
  </r>
  <r>
    <x v="19"/>
    <x v="39"/>
    <s v="https://24h.pchome.com.tw/store/DSBB3F?style=2"/>
  </r>
  <r>
    <x v="19"/>
    <x v="39"/>
    <s v="https://24h.pchome.com.tw/store/DSBB3H?style=2"/>
  </r>
  <r>
    <x v="19"/>
    <x v="39"/>
    <s v="https://24h.pchome.com.tw/store/DSAB30?style=2"/>
  </r>
  <r>
    <x v="19"/>
    <x v="39"/>
    <s v="https://24h.pchome.com.tw/store/DSAB47?style=2"/>
  </r>
  <r>
    <x v="19"/>
    <x v="39"/>
    <s v="https://24h.pchome.com.tw/store/DSAB2Y?style=2"/>
  </r>
  <r>
    <x v="19"/>
    <x v="39"/>
    <s v="https://24h.pchome.com.tw/store/DSAB2X?style=2"/>
  </r>
  <r>
    <x v="19"/>
    <x v="39"/>
    <s v="https://24h.pchome.com.tw/store/DSAB2W?style=2"/>
  </r>
  <r>
    <x v="19"/>
    <x v="39"/>
    <s v="https://24h.pchome.com.tw/store/DSAB2Z?style=2"/>
  </r>
  <r>
    <x v="19"/>
    <x v="39"/>
    <s v="https://24h.pchome.com.tw/store/DSAB2V?style=2"/>
  </r>
  <r>
    <x v="19"/>
    <x v="39"/>
    <s v="https://24h.pchome.com.tw/store/DSAB80?style=2"/>
  </r>
  <r>
    <x v="19"/>
    <x v="39"/>
    <s v="https://24h.pchome.com.tw/store/DSAB3D?style=2"/>
  </r>
  <r>
    <x v="19"/>
    <x v="39"/>
    <s v="https://24h.pchome.com.tw/store/DSAB69?style=2"/>
  </r>
  <r>
    <x v="19"/>
    <x v="39"/>
    <s v="https://24h.pchome.com.tw/store/DSAB3C?style=2"/>
  </r>
  <r>
    <x v="19"/>
    <x v="39"/>
    <s v="https://24h.pchome.com.tw/store/DSAB6N?style=2"/>
  </r>
  <r>
    <x v="19"/>
    <x v="39"/>
    <s v="https://24h.pchome.com.tw/store/DSAB6S?style=2"/>
  </r>
  <r>
    <x v="19"/>
    <x v="39"/>
    <s v="https://24h.pchome.com.tw/store/DSABHI?style=2"/>
  </r>
  <r>
    <x v="19"/>
    <x v="39"/>
    <s v="https://24h.pchome.com.tw/store/DSAB7Y?style=2"/>
  </r>
  <r>
    <x v="19"/>
    <x v="39"/>
    <s v="https://24h.pchome.com.tw/store/DSBB3Q?style=2"/>
  </r>
  <r>
    <x v="19"/>
    <x v="39"/>
    <s v="https://24h.pchome.com.tw/store/DSBB04?style=2"/>
  </r>
  <r>
    <x v="19"/>
    <x v="39"/>
    <s v="https://24h.pchome.com.tw/store/DSBB3G?style=2"/>
  </r>
  <r>
    <x v="19"/>
    <x v="39"/>
    <s v="https://24h.pchome.com.tw/store/DSBB02?style=2"/>
  </r>
  <r>
    <x v="19"/>
    <x v="39"/>
    <s v="https://24h.pchome.com.tw/store/DSBB01?style=2"/>
  </r>
  <r>
    <x v="19"/>
    <x v="39"/>
    <s v="https://24h.pchome.com.tw/store/DSBB05?style=2"/>
  </r>
  <r>
    <x v="19"/>
    <x v="39"/>
    <s v="https://24h.pchome.com.tw/store/DSBB06?style=2"/>
  </r>
  <r>
    <x v="19"/>
    <x v="39"/>
    <s v="https://24h.pchome.com.tw/store/DSBB3U?style=2"/>
  </r>
  <r>
    <x v="19"/>
    <x v="39"/>
    <s v="https://24h.pchome.com.tw/store/DSBB3W?style=2"/>
  </r>
  <r>
    <x v="19"/>
    <x v="39"/>
    <s v="https://24h.pchome.com.tw/store/DSBB07?style=2"/>
  </r>
  <r>
    <x v="19"/>
    <x v="39"/>
    <s v="https://24h.pchome.com.tw/store/DSBB08?style=2"/>
  </r>
  <r>
    <x v="19"/>
    <x v="39"/>
    <s v="https://24h.pchome.com.tw/store/DSBB09?style=2"/>
  </r>
  <r>
    <x v="19"/>
    <x v="39"/>
    <s v="https://24h.pchome.com.tw/store/DSBB14?style=2"/>
  </r>
  <r>
    <x v="19"/>
    <x v="39"/>
    <s v="https://24h.pchome.com.tw/store/DSBB0A?style=2"/>
  </r>
  <r>
    <x v="19"/>
    <x v="39"/>
    <s v="https://24h.pchome.com.tw/store/DSBB0D?style=2"/>
  </r>
  <r>
    <x v="19"/>
    <x v="39"/>
    <s v="https://24h.pchome.com.tw/store/DSBB1A?style=2"/>
  </r>
  <r>
    <x v="19"/>
    <x v="39"/>
    <s v="https://24h.pchome.com.tw/store/DSBB18?style=2"/>
  </r>
  <r>
    <x v="19"/>
    <x v="39"/>
    <s v="https://24h.pchome.com.tw/store/DSBB19?style=2"/>
  </r>
  <r>
    <x v="19"/>
    <x v="39"/>
    <s v="https://24h.pchome.com.tw/store/DSBB0C?style=2"/>
  </r>
  <r>
    <x v="19"/>
    <x v="39"/>
    <s v="https://24h.pchome.com.tw/store/DSBB17?style=2"/>
  </r>
  <r>
    <x v="19"/>
    <x v="39"/>
    <s v="https://24h.pchome.com.tw/store/DSBB0B?style=2"/>
  </r>
  <r>
    <x v="19"/>
    <x v="39"/>
    <s v="https://24h.pchome.com.tw/store/DSBB3T?style=2"/>
  </r>
  <r>
    <x v="19"/>
    <x v="39"/>
    <s v="https://24h.pchome.com.tw/store/DSBB0V?style=2"/>
  </r>
  <r>
    <x v="19"/>
    <x v="39"/>
    <s v="https://24h.pchome.com.tw/store/DSBB12?style=2"/>
  </r>
  <r>
    <x v="19"/>
    <x v="39"/>
    <s v="https://24h.pchome.com.tw/store/DSBB0T?style=2"/>
  </r>
  <r>
    <x v="19"/>
    <x v="39"/>
    <s v="https://24h.pchome.com.tw/store/DSBB1G?style=2"/>
  </r>
  <r>
    <x v="19"/>
    <x v="39"/>
    <s v="https://24h.pchome.com.tw/store/DSBB1I?style=2"/>
  </r>
  <r>
    <x v="19"/>
    <x v="39"/>
    <s v="https://24h.pchome.com.tw/store/DSBB0W?style=2"/>
  </r>
  <r>
    <x v="19"/>
    <x v="39"/>
    <s v="https://24h.pchome.com.tw/store/DSBB0U?style=2"/>
  </r>
  <r>
    <x v="19"/>
    <x v="39"/>
    <s v="https://24h.pchome.com.tw/store/DSBB1H?style=2"/>
  </r>
  <r>
    <x v="19"/>
    <x v="39"/>
    <s v="https://24h.pchome.com.tw/store/DHAALV?style=2"/>
  </r>
  <r>
    <x v="19"/>
    <x v="39"/>
    <s v="https://24h.pchome.com.tw/store/DHAAJE?style=2"/>
  </r>
  <r>
    <x v="19"/>
    <x v="39"/>
    <s v="https://24h.pchome.com.tw/store/DHAAJA?style=2"/>
  </r>
  <r>
    <x v="19"/>
    <x v="39"/>
    <s v="https://24h.pchome.com.tw/store/DHAAJF?style=2"/>
  </r>
  <r>
    <x v="19"/>
    <x v="39"/>
    <s v="https://24h.pchome.com.tw/store/DHAAHX?style=2"/>
  </r>
  <r>
    <x v="19"/>
    <x v="39"/>
    <s v="https://24h.pchome.com.tw/store/DHAAD9?style=2"/>
  </r>
  <r>
    <x v="19"/>
    <x v="39"/>
    <s v="https://24h.pchome.com.tw/store/DHAAJC?style=2"/>
  </r>
  <r>
    <x v="19"/>
    <x v="39"/>
    <s v="https://24h.pchome.com.tw/store/DHAALI?style=2"/>
  </r>
  <r>
    <x v="19"/>
    <x v="39"/>
    <s v="https://24h.pchome.com.tw/store/DHAB9E?style=2"/>
  </r>
  <r>
    <x v="19"/>
    <x v="39"/>
    <s v="https://24h.pchome.com.tw/store/DHAAHC?style=2"/>
  </r>
  <r>
    <x v="19"/>
    <x v="39"/>
    <s v="https://24h.pchome.com.tw/store/DHAY15?style=2"/>
  </r>
  <r>
    <x v="19"/>
    <x v="39"/>
    <s v="https://24h.pchome.com.tw/store/DHAALG?style=2"/>
  </r>
  <r>
    <x v="19"/>
    <x v="39"/>
    <s v="https://24h.pchome.com.tw/store/DHAALF?style=2"/>
  </r>
  <r>
    <x v="19"/>
    <x v="39"/>
    <s v="https://24h.pchome.com.tw/store/DHAALH?style=2"/>
  </r>
  <r>
    <x v="19"/>
    <x v="39"/>
    <s v="https://24h.pchome.com.tw/store/DHAALD?style=2"/>
  </r>
  <r>
    <x v="19"/>
    <x v="39"/>
    <s v="https://24h.pchome.com.tw/store/?fq=/R/DHAA/coupon"/>
  </r>
  <r>
    <x v="19"/>
    <x v="39"/>
    <s v="https://24h.pchome.com.tw/store/DPAIBY?style=2"/>
  </r>
  <r>
    <x v="19"/>
    <x v="39"/>
    <s v="https://24h.pchome.com.tw/store/DPAI8X04?style=2"/>
  </r>
  <r>
    <x v="19"/>
    <x v="39"/>
    <s v="https://24h.pchome.com.tw/store/DPAIC7?style=2"/>
  </r>
  <r>
    <x v="19"/>
    <x v="39"/>
    <s v="https://24h.pchome.com.tw/store/DPAI2Z?style=2"/>
  </r>
  <r>
    <x v="19"/>
    <x v="39"/>
    <s v="https://24h.pchome.com.tw/store/DPAI2J?style=2"/>
  </r>
  <r>
    <x v="19"/>
    <x v="39"/>
    <s v="https://24h.pchome.com.tw/store/DPAI1S?style=2"/>
  </r>
  <r>
    <x v="19"/>
    <x v="39"/>
    <s v="https://24h.pchome.com.tw/store/DPAI4I?style=2"/>
  </r>
  <r>
    <x v="19"/>
    <x v="39"/>
    <s v="https://24h.pchome.com.tw/store/DPAID4?style=2"/>
  </r>
  <r>
    <x v="19"/>
    <x v="39"/>
    <s v="https://24h.pchome.com.tw/store/DPAID2?style=2"/>
  </r>
  <r>
    <x v="19"/>
    <x v="39"/>
    <s v="https://24h.pchome.com.tw/store/DPAIC0?style=2"/>
  </r>
  <r>
    <x v="19"/>
    <x v="39"/>
    <s v="https://24h.pchome.com.tw/store/DPAI3Y?style=2"/>
  </r>
  <r>
    <x v="19"/>
    <x v="39"/>
    <s v="https://24h.pchome.com.tw/store/DPAI2P?style=2"/>
  </r>
  <r>
    <x v="19"/>
    <x v="39"/>
    <s v="https://24h.pchome.com.tw/store/DPAI2R?style=2"/>
  </r>
  <r>
    <x v="19"/>
    <x v="39"/>
    <s v="https://24h.pchome.com.tw/store/DPAI3B?style=2"/>
  </r>
  <r>
    <x v="19"/>
    <x v="39"/>
    <s v="https://24h.pchome.com.tw/store/DPAI28?style=2"/>
  </r>
  <r>
    <x v="19"/>
    <x v="39"/>
    <s v="https://24h.pchome.com.tw/store/DPAI29?style=2"/>
  </r>
  <r>
    <x v="19"/>
    <x v="39"/>
    <s v="https://24h.pchome.com.tw/store/DPAI2A?style=2"/>
  </r>
  <r>
    <x v="19"/>
    <x v="39"/>
    <s v="https://24h.pchome.com.tw/store/DPAI2B?style=2"/>
  </r>
  <r>
    <x v="19"/>
    <x v="39"/>
    <s v="https://24h.pchome.com.tw/store/DPAI2C?style=2"/>
  </r>
  <r>
    <x v="19"/>
    <x v="39"/>
    <s v="https://24h.pchome.com.tw/store/DPAI2D?style=2"/>
  </r>
  <r>
    <x v="19"/>
    <x v="39"/>
    <s v="https://24h.pchome.com.tw/store/DPAI2E?style=2"/>
  </r>
  <r>
    <x v="19"/>
    <x v="39"/>
    <s v="https://24h.pchome.com.tw/store/DPAI48?style=2"/>
  </r>
  <r>
    <x v="19"/>
    <x v="39"/>
    <s v="https://24h.pchome.com.tw/store/DPAIC1?style=2"/>
  </r>
  <r>
    <x v="19"/>
    <x v="39"/>
    <s v="https://24h.pchome.com.tw/store/DPAI2H?style=2"/>
  </r>
  <r>
    <x v="19"/>
    <x v="39"/>
    <s v="https://24h.pchome.com.tw/region/DPAI?style=2"/>
  </r>
  <r>
    <x v="19"/>
    <x v="39"/>
    <s v="https://24h.pchome.com.tw/store/DPAI2Q?style=2"/>
  </r>
  <r>
    <x v="19"/>
    <x v="39"/>
    <s v="https://24h.pchome.com.tw/store/DSAB20?style=2"/>
  </r>
  <r>
    <x v="19"/>
    <x v="39"/>
    <s v="https://24h.pchome.com.tw/store/DSAB33?style=2"/>
  </r>
  <r>
    <x v="19"/>
    <x v="39"/>
    <s v="https://24h.pchome.com.tw/store/DSAB1Q?style=2"/>
  </r>
  <r>
    <x v="19"/>
    <x v="39"/>
    <s v="https://24h.pchome.com.tw/store/DSAB1C?style=2"/>
  </r>
  <r>
    <x v="19"/>
    <x v="39"/>
    <s v="https://24h.pchome.com.tw/store/DSAB86?style=2"/>
  </r>
  <r>
    <x v="19"/>
    <x v="39"/>
    <s v="https://24h.pchome.com.tw/store/DMAU24?style=2"/>
  </r>
  <r>
    <x v="19"/>
    <x v="39"/>
    <s v="https://24h.pchome.com.tw/store/DMAU4D?style=2"/>
  </r>
  <r>
    <x v="19"/>
    <x v="39"/>
    <s v="https://24h.pchome.com.tw/store/DMAU25?style=2"/>
  </r>
  <r>
    <x v="19"/>
    <x v="39"/>
    <s v="https://24h.pchome.com.tw/store/DMAU26?style=2"/>
  </r>
  <r>
    <x v="19"/>
    <x v="39"/>
    <s v="https://24h.pchome.com.tw/store/DCAIAL"/>
  </r>
  <r>
    <x v="19"/>
    <x v="39"/>
    <s v="https://24h.pchome.com.tw/store/DCAIQZ"/>
  </r>
  <r>
    <x v="19"/>
    <x v="39"/>
    <s v="https://24h.pchome.com.tw/store/DYAQF4"/>
  </r>
  <r>
    <x v="19"/>
    <x v="39"/>
    <s v="https://24h.pchome.com.tw/store/DYAQ9D"/>
  </r>
  <r>
    <x v="19"/>
    <x v="39"/>
    <s v="https://24h.pchome.com.tw/store/DYAQBC"/>
  </r>
  <r>
    <x v="19"/>
    <x v="39"/>
    <s v="https://24h.pchome.com.tw/store/DYAQ99"/>
  </r>
  <r>
    <x v="19"/>
    <x v="39"/>
    <s v="https://24h.pchome.com.tw/store/DYAQFA"/>
  </r>
  <r>
    <x v="19"/>
    <x v="39"/>
    <s v="https://24h.pchome.com.tw/store/DYAQ9Q"/>
  </r>
  <r>
    <x v="19"/>
    <x v="39"/>
    <s v="https://24h.pchome.com.tw/category/DPAI51C"/>
  </r>
  <r>
    <x v="19"/>
    <x v="39"/>
    <s v="https://24h.pchome.com.tw/category/DMAX03C"/>
  </r>
  <r>
    <x v="19"/>
    <x v="39"/>
    <s v="https://24h.pchome.com.tw/store/DPAFCP"/>
  </r>
  <r>
    <x v="19"/>
    <x v="39"/>
    <s v="https://24h.pchome.com.tw/store/DPAF98"/>
  </r>
  <r>
    <x v="19"/>
    <x v="39"/>
    <s v="https://24h.pchome.com.tw/store/DPAF90"/>
  </r>
  <r>
    <x v="19"/>
    <x v="39"/>
    <s v="https://24h.pchome.com.tw/store/DPAFC4"/>
  </r>
  <r>
    <x v="19"/>
    <x v="39"/>
    <s v="https://24h.pchome.com.tw/store/DPAFDC"/>
  </r>
  <r>
    <x v="19"/>
    <x v="39"/>
    <s v="https://24h.pchome.com.tw/store/DPAFE9"/>
  </r>
  <r>
    <x v="19"/>
    <x v="39"/>
    <s v="https://24h.pchome.com.tw/store/DPAFG6"/>
  </r>
  <r>
    <x v="19"/>
    <x v="39"/>
    <s v="https://24h.pchome.com.tw/store/DPAFD2"/>
  </r>
  <r>
    <x v="19"/>
    <x v="39"/>
    <s v="https://24h.pchome.com.tw/store/DPAFD1"/>
  </r>
  <r>
    <x v="19"/>
    <x v="39"/>
    <s v="https://24h.pchome.com.tw/store/DPAFGD"/>
  </r>
  <r>
    <x v="19"/>
    <x v="39"/>
    <s v="https://24h.pchome.com.tw/store/DPAFCS"/>
  </r>
  <r>
    <x v="19"/>
    <x v="39"/>
    <s v="https://24h.pchome.com.tw/store/DPAFEX"/>
  </r>
  <r>
    <x v="19"/>
    <x v="39"/>
    <s v="https://24h.pchome.com.tw/store/DPAFDY"/>
  </r>
  <r>
    <x v="19"/>
    <x v="39"/>
    <s v="https://24h.pchome.com.tw/store/DPAFGR"/>
  </r>
  <r>
    <x v="19"/>
    <x v="39"/>
    <s v="https://24h.pchome.com.tw/store/DPAF9R"/>
  </r>
  <r>
    <x v="19"/>
    <x v="39"/>
    <s v="https://24h.pchome.com.tw/store/DPAFGC"/>
  </r>
  <r>
    <x v="19"/>
    <x v="39"/>
    <s v="https://24h.pchome.com.tw/store/DPAFGS"/>
  </r>
  <r>
    <x v="19"/>
    <x v="39"/>
    <s v="https://24h.pchome.com.tw/store/DPAFBJ"/>
  </r>
  <r>
    <x v="19"/>
    <x v="39"/>
    <s v="https://24h.pchome.com.tw/store/DPAFFZ"/>
  </r>
  <r>
    <x v="19"/>
    <x v="39"/>
    <s v="https://24h.pchome.com.tw/store/DPAFCJ"/>
  </r>
  <r>
    <x v="19"/>
    <x v="39"/>
    <s v="https://24h.pchome.com.tw/store/DPAFCK"/>
  </r>
  <r>
    <x v="19"/>
    <x v="39"/>
    <s v="https://24h.pchome.com.tw/store/DPAFGE"/>
  </r>
  <r>
    <x v="18"/>
    <x v="40"/>
    <s v="https://www.powerbuy.co.th/th/category/home-appliance/air-conditioning/floor-ceiling-type"/>
  </r>
  <r>
    <x v="18"/>
    <x v="40"/>
    <s v="https://www.powerbuy.co.th/th/category/computers-and-offices/monitors-and-projectors/monitors"/>
  </r>
  <r>
    <x v="18"/>
    <x v="40"/>
    <s v="https://www.powerbuy.co.th/th/category/home-appliance/washing-machines/dryers"/>
  </r>
  <r>
    <x v="18"/>
    <x v="40"/>
    <s v="https://www.powerbuy.co.th/th/category/small-appliance/air-treatment"/>
  </r>
  <r>
    <x v="18"/>
    <x v="40"/>
    <s v="https://www.powerbuy.co.th/th/category/home-appliance/refrigerators/one-door-refrigerators"/>
  </r>
  <r>
    <x v="18"/>
    <x v="40"/>
    <s v="https://www.powerbuy.co.th/th/category/home-appliance/refrigerators/two-door-refrigerators"/>
  </r>
  <r>
    <x v="18"/>
    <x v="40"/>
    <s v="https://www.powerbuy.co.th/th/category/home-appliance/refrigerators/multi-door-refrigerators"/>
  </r>
  <r>
    <x v="18"/>
    <x v="40"/>
    <s v="https://www.powerbuy.co.th/th/category/home-appliance/refrigerators/side-by-side-refrigerators"/>
  </r>
  <r>
    <x v="18"/>
    <x v="40"/>
    <s v="https://www.powerbuy.co.th/th/category/home-appliance/washing-machines/top-load-1-tub"/>
  </r>
  <r>
    <x v="18"/>
    <x v="40"/>
    <s v="https://www.powerbuy.co.th/th/category/tv-and-entertainment/televisions/led-tv"/>
  </r>
  <r>
    <x v="18"/>
    <x v="40"/>
    <s v="https://www.powerbuy.co.th/th/category/tv-and-entertainment/televisions/oled-tv"/>
  </r>
  <r>
    <x v="18"/>
    <x v="40"/>
    <s v="https://www.powerbuy.co.th/th/category/tv-and-entertainment/televisions/smart-tv-4k"/>
  </r>
  <r>
    <x v="18"/>
    <x v="40"/>
    <s v="https://www.powerbuy.co.th/th/category/tv-and-entertainment/televisions/smart-tv-8k"/>
  </r>
  <r>
    <x v="18"/>
    <x v="40"/>
    <s v="https://www.powerbuy.co.th/th/category/tv-and-entertainment/televisions/lifestyle-tv"/>
  </r>
  <r>
    <x v="18"/>
    <x v="40"/>
    <s v="https://www.powerbuy.co.th/th/category/tv-and-entertainment/televisions/projector-tv"/>
  </r>
  <r>
    <x v="18"/>
    <x v="40"/>
    <s v="https://www.powerbuy.co.th/th/category/tv-and-entertainment/televisions/smart-tv"/>
  </r>
  <r>
    <x v="18"/>
    <x v="40"/>
    <s v="https://www.powerbuy.co.th/th/category/tv-and-entertainment/televisions/uhd-tv"/>
  </r>
  <r>
    <x v="18"/>
    <x v="40"/>
    <s v="https://www.powerbuy.co.th/th/category/tv-and-entertainment/televisions/qled-tv"/>
  </r>
  <r>
    <x v="18"/>
    <x v="40"/>
    <s v="https://www.powerbuy.co.th/th/category/tv-and-entertainment/televisions/qned-tv"/>
  </r>
  <r>
    <x v="18"/>
    <x v="40"/>
    <s v="https://www.powerbuy.co.th/th/category/tv-and-entertainment/televisions/neo-qled-tv"/>
  </r>
  <r>
    <x v="18"/>
    <x v="40"/>
    <s v="https://www.powerbuy.co.th/th/category/tv-and-entertainment/televisions/nanocell-tv"/>
  </r>
  <r>
    <x v="18"/>
    <x v="40"/>
    <s v="https://www.powerbuy.co.th/th/category/tv-and-entertainment/televisions/fhd-tv"/>
  </r>
  <r>
    <x v="18"/>
    <x v="40"/>
    <s v="https://www.powerbuy.co.th/th/category/tv-and-entertainment/speakers/portable-speakers"/>
  </r>
  <r>
    <x v="18"/>
    <x v="40"/>
    <s v="https://www.powerbuy.co.th/th/category/tv-and-entertainment/speakers/separate-speakers-and-subwoofer"/>
  </r>
  <r>
    <x v="18"/>
    <x v="40"/>
    <s v="https://www.powerbuy.co.th/th/category/tv-and-entertainment/speakers/computer-speakers"/>
  </r>
  <r>
    <x v="18"/>
    <x v="40"/>
    <s v="https://www.powerbuy.co.th/th/category/tv-and-entertainment/speakers/large-public-address-speakers"/>
  </r>
  <r>
    <x v="18"/>
    <x v="40"/>
    <s v="https://www.powerbuy.co.th/th/category/tv-and-entertainment/speakers/bluetooth-speakers"/>
  </r>
  <r>
    <x v="18"/>
    <x v="40"/>
    <s v="https://www.powerbuy.co.th/th/category/tv-and-entertainment/home-audio/sound-bars"/>
  </r>
  <r>
    <x v="18"/>
    <x v="40"/>
    <s v="https://www.powerbuy.co.th/th/category/home-appliance/air-conditioning/wall-type"/>
  </r>
  <r>
    <x v="18"/>
    <x v="40"/>
    <s v="https://www.powerbuy.co.th/th/category/home-appliance/washing-machines"/>
  </r>
  <r>
    <x v="18"/>
    <x v="40"/>
    <s v="https://www.powerbuy.co.th/th/category/home-appliance/washing-machines/top-load-2-tubs"/>
  </r>
  <r>
    <x v="18"/>
    <x v="40"/>
    <s v="https://www.powerbuy.co.th/th/category/computers-and-offices/computer-accessories/headset-and-microphones"/>
  </r>
  <r>
    <x v="18"/>
    <x v="40"/>
    <s v="https://www.powerbuy.co.th/th/category/smart-tech-and-gadgets/headphone/on-ear-headphone"/>
  </r>
  <r>
    <x v="18"/>
    <x v="40"/>
    <s v="https://www.powerbuy.co.th/th/category/smart-tech-and-gadgets/headphone/in-ear-headphone"/>
  </r>
  <r>
    <x v="18"/>
    <x v="40"/>
    <s v="https://www.powerbuy.co.th/th/category/smart-tech-and-gadgets/headphone/bluetooth-headphones"/>
  </r>
  <r>
    <x v="1"/>
    <x v="41"/>
    <s v="https://www.samsung.com/au/refrigerators/all-refrigerators/"/>
  </r>
  <r>
    <x v="1"/>
    <x v="41"/>
    <s v="https://www.samsung.com/au/washers-and-dryers/washing-machines/"/>
  </r>
  <r>
    <x v="1"/>
    <x v="41"/>
    <s v="https://www.samsung.com/au/tvs/all-tvs/"/>
  </r>
  <r>
    <x v="1"/>
    <x v="41"/>
    <s v="https://www.samsung.com/au/monitors/all-monitors/"/>
  </r>
  <r>
    <x v="1"/>
    <x v="41"/>
    <s v="https://www.samsung.com/au/washers-and-dryers/dryers/"/>
  </r>
  <r>
    <x v="1"/>
    <x v="41"/>
    <s v="https://www.samsung.com/au/air-conditioners/all-air-conditioners/"/>
  </r>
  <r>
    <x v="1"/>
    <x v="41"/>
    <s v="https://www.samsung.com/au/audio-devices/all-audio-devices/?sound-tower"/>
  </r>
  <r>
    <x v="1"/>
    <x v="41"/>
    <s v="https://www.samsung.com/au/audio-devices/all-audio-devices/"/>
  </r>
  <r>
    <x v="1"/>
    <x v="41"/>
    <s v="https://www.samsung.com/au/audio-sound/all-audio-sound/"/>
  </r>
  <r>
    <x v="2"/>
    <x v="41"/>
    <s v="https://www.samsung.com/br/refrigerators/all-refrigerators/"/>
  </r>
  <r>
    <x v="2"/>
    <x v="41"/>
    <s v="https://www.samsung.com/br/washers-and-dryers/washing-machines/"/>
  </r>
  <r>
    <x v="2"/>
    <x v="41"/>
    <s v="https://www.samsung.com/br/tvs/all-tvs/"/>
  </r>
  <r>
    <x v="2"/>
    <x v="41"/>
    <s v="https://www.samsung.com/br/monitors/all-monitors/"/>
  </r>
  <r>
    <x v="2"/>
    <x v="41"/>
    <s v="https://www.samsung.com/br/washers-and-dryers/dryers/"/>
  </r>
  <r>
    <x v="2"/>
    <x v="41"/>
    <s v="https://www.samsung.com/br/air-conditioners/all-air-conditioners/"/>
  </r>
  <r>
    <x v="2"/>
    <x v="41"/>
    <s v="https://www.samsung.com/br/audio-devices/all-audio-devices/"/>
  </r>
  <r>
    <x v="2"/>
    <x v="41"/>
    <s v="https://www.samsung.com/br/audio-sound/all-audio-sound/"/>
  </r>
  <r>
    <x v="3"/>
    <x v="41"/>
    <s v="https://www.samsung.com/ca/refrigerators/all-refrigerators/"/>
  </r>
  <r>
    <x v="3"/>
    <x v="41"/>
    <s v="https://www.samsung.com/ca/tvs/all-tvs/"/>
  </r>
  <r>
    <x v="3"/>
    <x v="41"/>
    <s v="https://www.samsung.com/ca/monitors/all-monitors/"/>
  </r>
  <r>
    <x v="3"/>
    <x v="41"/>
    <s v="https://www.samsung.com/ca/laundry/dryers/"/>
  </r>
  <r>
    <x v="3"/>
    <x v="41"/>
    <s v="https://www.samsung.com/ca/laundry/all-laundry/"/>
  </r>
  <r>
    <x v="3"/>
    <x v="41"/>
    <s v="https://www.samsung.com/ca/audio-devices/all-audio-devices/?sound-tower"/>
  </r>
  <r>
    <x v="3"/>
    <x v="41"/>
    <s v="https://www.samsung.com/ca/audio-devices/all-audio-devices/"/>
  </r>
  <r>
    <x v="3"/>
    <x v="41"/>
    <s v="https://www.samsung.com/ca/audio-sound/all-audio-sound/"/>
  </r>
  <r>
    <x v="4"/>
    <x v="41"/>
    <s v="https://www.samsung.com/de/refrigerators/all-refrigerators/"/>
  </r>
  <r>
    <x v="4"/>
    <x v="41"/>
    <s v="https://www.samsung.com/de/washers-and-dryers/all-washers-and-dryers/?washing-machines"/>
  </r>
  <r>
    <x v="4"/>
    <x v="41"/>
    <s v="https://www.samsung.com/de/tvs/all-tvs/"/>
  </r>
  <r>
    <x v="4"/>
    <x v="41"/>
    <s v="https://www.samsung.com/de/monitors/all-monitors/"/>
  </r>
  <r>
    <x v="4"/>
    <x v="41"/>
    <s v="https://www.samsung.com/de/washers-and-dryers/dryers/"/>
  </r>
  <r>
    <x v="4"/>
    <x v="41"/>
    <s v="https://www.samsung.com/de/audio-devices/sound-tower/"/>
  </r>
  <r>
    <x v="4"/>
    <x v="41"/>
    <s v="https://www.samsung.com/de/audio-devices/all-audio-devices/"/>
  </r>
  <r>
    <x v="4"/>
    <x v="41"/>
    <s v="https://www.samsung.com/de/audio-sound/all-audio-sound/"/>
  </r>
  <r>
    <x v="5"/>
    <x v="41"/>
    <s v="https://www.samsung.com/es/refrigerators/all-refrigerators/"/>
  </r>
  <r>
    <x v="5"/>
    <x v="41"/>
    <s v="https://www.samsung.com/es/washers-and-dryers/washing-machines/"/>
  </r>
  <r>
    <x v="5"/>
    <x v="41"/>
    <s v="https://www.samsung.com/es/tvs/all-tvs/"/>
  </r>
  <r>
    <x v="5"/>
    <x v="41"/>
    <s v="https://www.samsung.com/es/monitors/all-monitors/"/>
  </r>
  <r>
    <x v="5"/>
    <x v="41"/>
    <s v="https://www.samsung.com/es/washers-and-dryers/dryers/"/>
  </r>
  <r>
    <x v="5"/>
    <x v="41"/>
    <s v="https://www.samsung.com/es/audio-devices/all-audio-devices/?sound-tower"/>
  </r>
  <r>
    <x v="5"/>
    <x v="41"/>
    <s v="https://www.samsung.com/es/audio-devices/all-audio-devices/"/>
  </r>
  <r>
    <x v="5"/>
    <x v="41"/>
    <s v="https://www.samsung.com/es/audio-sound/all-audio-sound/"/>
  </r>
  <r>
    <x v="10"/>
    <x v="41"/>
    <s v="https://www.samsung.com/fr/refrigerators/all-refrigerators/"/>
  </r>
  <r>
    <x v="10"/>
    <x v="41"/>
    <s v="https://www.samsung.com/fr/washers-and-dryers/washing-machines/"/>
  </r>
  <r>
    <x v="10"/>
    <x v="41"/>
    <s v="https://www.samsung.com/fr/tvs/all-tvs/"/>
  </r>
  <r>
    <x v="10"/>
    <x v="41"/>
    <s v="https://www.samsung.com/fr/monitors/all-monitors/"/>
  </r>
  <r>
    <x v="10"/>
    <x v="41"/>
    <s v="https://www.samsung.com/fr/washers-and-dryers/dryers/?tumble-dryers"/>
  </r>
  <r>
    <x v="10"/>
    <x v="41"/>
    <s v="https://www.samsung.com/fr/audio-devices/sound-tower/"/>
  </r>
  <r>
    <x v="10"/>
    <x v="41"/>
    <s v="https://www.samsung.com/fr/audio-devices/all-audio-devices/"/>
  </r>
  <r>
    <x v="10"/>
    <x v="41"/>
    <s v="https://www.samsung.com/fr/audio-sound/all-audio-sound/"/>
  </r>
  <r>
    <x v="7"/>
    <x v="41"/>
    <s v="https://www.samsung.com/it/refrigerators/all-refrigerators/"/>
  </r>
  <r>
    <x v="7"/>
    <x v="41"/>
    <s v="https://www.samsung.com/it/washers-and-dryers/washing-machines/"/>
  </r>
  <r>
    <x v="7"/>
    <x v="41"/>
    <s v="https://www.samsung.com/it/tvs/all-tvs/"/>
  </r>
  <r>
    <x v="7"/>
    <x v="41"/>
    <s v="https://www.samsung.com/it/monitors/all-monitors/"/>
  </r>
  <r>
    <x v="7"/>
    <x v="41"/>
    <s v="https://www.samsung.com/it/washers-and-dryers/dryers/"/>
  </r>
  <r>
    <x v="7"/>
    <x v="41"/>
    <s v="https://www.samsung.com/it/audio-devices/sound-tower/"/>
  </r>
  <r>
    <x v="7"/>
    <x v="41"/>
    <s v="https://www.samsung.com/it/audio-devices/all-audio-devices/"/>
  </r>
  <r>
    <x v="7"/>
    <x v="41"/>
    <s v="https://www.samsung.com/it/audio-sound/all-audio-sound/"/>
  </r>
  <r>
    <x v="13"/>
    <x v="41"/>
    <s v="https://www.samsung.com/mx/refrigerators/all-refrigerators/"/>
  </r>
  <r>
    <x v="13"/>
    <x v="41"/>
    <s v="https://www.samsung.com/mx/washers-and-dryers/washing-machines/"/>
  </r>
  <r>
    <x v="13"/>
    <x v="41"/>
    <s v="https://www.samsung.com/mx/tvs/all-tvs/"/>
  </r>
  <r>
    <x v="13"/>
    <x v="41"/>
    <s v="https://www.samsung.com/mx/monitors/all-monitors/"/>
  </r>
  <r>
    <x v="13"/>
    <x v="41"/>
    <s v="https://www.samsung.com/mx/washers-and-dryers/dryers"/>
  </r>
  <r>
    <x v="13"/>
    <x v="41"/>
    <s v="https://www.samsung.com/mx/air-conditioners/all-air-conditioners/"/>
  </r>
  <r>
    <x v="13"/>
    <x v="41"/>
    <s v="https://www.samsung.com/mx/audio-devices/all-audio-devices/?sound-tower"/>
  </r>
  <r>
    <x v="13"/>
    <x v="41"/>
    <s v="https://www.samsung.com/mx/audio-devices/all-audio-devices/"/>
  </r>
  <r>
    <x v="13"/>
    <x v="41"/>
    <s v="https://www.samsung.com/mx/audio-sound/all-audio-sound/"/>
  </r>
  <r>
    <x v="18"/>
    <x v="41"/>
    <s v="https://www.samsung.com/th/refrigerators/all-refrigerators/"/>
  </r>
  <r>
    <x v="18"/>
    <x v="41"/>
    <s v="https://www.samsung.com/th/washers-and-dryers/all-washers-and-dryers/"/>
  </r>
  <r>
    <x v="18"/>
    <x v="41"/>
    <s v="https://www.samsung.com/th/tvs/all-tvs/"/>
  </r>
  <r>
    <x v="18"/>
    <x v="41"/>
    <s v="https://www.samsung.com/th/monitors/all-monitors/"/>
  </r>
  <r>
    <x v="18"/>
    <x v="41"/>
    <s v="https://www.samsung.com/th/air-conditioners/all-air-conditioners/"/>
  </r>
  <r>
    <x v="18"/>
    <x v="41"/>
    <s v="https://www.samsung.com/th/audio-devices/all-audio-devices/?sound-tower"/>
  </r>
  <r>
    <x v="18"/>
    <x v="41"/>
    <s v="https://www.samsung.com/th/audio-devices/all-audio-devices/"/>
  </r>
  <r>
    <x v="18"/>
    <x v="41"/>
    <s v="https://www.samsung.com/th/audio-sound/all-audio-sound/"/>
  </r>
  <r>
    <x v="18"/>
    <x v="41"/>
    <s v="https://www.samsung.com/th/washers-and-dryers/washing-machines/?tumble-dryers"/>
  </r>
  <r>
    <x v="19"/>
    <x v="41"/>
    <s v="https://www.samsung.com/tw/refrigerators/all-refrigerators/"/>
  </r>
  <r>
    <x v="19"/>
    <x v="41"/>
    <s v="https://www.samsung.com/tw/washers-and-dryers/all-washers-and-dryers/"/>
  </r>
  <r>
    <x v="19"/>
    <x v="41"/>
    <s v="https://www.samsung.com/tw/tvs/all-tvs/"/>
  </r>
  <r>
    <x v="19"/>
    <x v="41"/>
    <s v="https://www.samsung.com/tw/monitors/all-monitors/"/>
  </r>
  <r>
    <x v="19"/>
    <x v="41"/>
    <s v="https://www.samsung.com/tw/audio-devices/all-audio-devices/"/>
  </r>
  <r>
    <x v="19"/>
    <x v="41"/>
    <s v="https://www.samsung.com/tw/audio-sound/all-audio-sound/"/>
  </r>
  <r>
    <x v="19"/>
    <x v="41"/>
    <s v="https://www.samsung.com/tw/washers-and-dryers/dryers/"/>
  </r>
  <r>
    <x v="9"/>
    <x v="41"/>
    <s v="https://www.samsung.com/uk/refrigerators/all-refrigerators/?available-to-order"/>
  </r>
  <r>
    <x v="9"/>
    <x v="41"/>
    <s v="https://www.samsung.com/uk/washers-and-dryers/washing-machines/"/>
  </r>
  <r>
    <x v="9"/>
    <x v="41"/>
    <s v="https://www.samsung.com/uk/tvs/all-tvs/"/>
  </r>
  <r>
    <x v="9"/>
    <x v="41"/>
    <s v="https://www.samsung.com/uk/monitors/all-monitors/"/>
  </r>
  <r>
    <x v="9"/>
    <x v="41"/>
    <s v="https://www.samsung.com/uk/washers-and-dryers/dryers/"/>
  </r>
  <r>
    <x v="9"/>
    <x v="41"/>
    <s v="https://www.samsung.com/uk/audio-devices/all-audio-devices/?sound-tower"/>
  </r>
  <r>
    <x v="9"/>
    <x v="41"/>
    <s v="https://www.samsung.com/uk/audio-devices/all-audio-devices/"/>
  </r>
  <r>
    <x v="9"/>
    <x v="41"/>
    <s v="https://www.samsung.com/uk/audio-sound/all-audio-sound/"/>
  </r>
  <r>
    <x v="0"/>
    <x v="41"/>
    <s v="https://www.samsung.com/us/home-appliances/refrigerators/all-refrigerators/"/>
  </r>
  <r>
    <x v="0"/>
    <x v="41"/>
    <s v="https://www.samsung.com/us/home-appliances/washers/all-washers/"/>
  </r>
  <r>
    <x v="0"/>
    <x v="41"/>
    <s v="https://www.samsung.com/us/televisions-home-theater/tvs/all-tvs/"/>
  </r>
  <r>
    <x v="0"/>
    <x v="41"/>
    <s v="https://www.samsung.com/us/home-appliances/dryers/all-dryers/"/>
  </r>
  <r>
    <x v="0"/>
    <x v="41"/>
    <s v="https://www.samsung.com/us/computing/monitors/all-monitors/"/>
  </r>
  <r>
    <x v="0"/>
    <x v="41"/>
    <s v="https://www.samsung.com/us/televisions-home-theater/home-theater/all-home-theater/?series=Sound+Tower+Party+Audio"/>
  </r>
  <r>
    <x v="0"/>
    <x v="41"/>
    <s v="https://www.samsung.com/us/televisions-home-theater/home-theater/all-home-theater/"/>
  </r>
  <r>
    <x v="0"/>
    <x v="41"/>
    <s v="https://www.samsung.com/us/mobile/audio/all-audio/"/>
  </r>
  <r>
    <x v="11"/>
    <x v="41"/>
    <s v="https://www.samsung.com/vn/refrigerators/all-refrigerators/"/>
  </r>
  <r>
    <x v="11"/>
    <x v="41"/>
    <s v="https://www.samsung.com/vn/washers-and-dryers/all-washers-and-dryers/?washing-machines"/>
  </r>
  <r>
    <x v="11"/>
    <x v="41"/>
    <s v="https://www.samsung.com/vn/tvs/all-tvs/"/>
  </r>
  <r>
    <x v="11"/>
    <x v="41"/>
    <s v="https://www.samsung.com/vn/monitors/all-monitors/"/>
  </r>
  <r>
    <x v="11"/>
    <x v="41"/>
    <s v="https://www.samsung.com/vn/air-conditioners/all-air-conditioners/"/>
  </r>
  <r>
    <x v="11"/>
    <x v="41"/>
    <s v="https://www.samsung.com/vn/audio-devices/all-audio-devices/?sound-tower"/>
  </r>
  <r>
    <x v="11"/>
    <x v="41"/>
    <s v="https://www.samsung.com/vn/audio-devices/all-audio-devices/"/>
  </r>
  <r>
    <x v="11"/>
    <x v="41"/>
    <s v="https://www.samsung.com/vn/audio-sound/all-audio-sound/"/>
  </r>
  <r>
    <x v="11"/>
    <x v="41"/>
    <s v="https://www.samsung.com/vn/washers-and-dryers/all-washers-and-dryers/?tumble-dryers"/>
  </r>
  <r>
    <x v="13"/>
    <x v="42"/>
    <s v="https://www.sears.com.mx/cat/l%C3%ADnea%20blanca%20y%20electrodom%C3%A9sticos/refrigeraci%C3%B3n%20y%20congelaci%C3%B3n/refrigeradores%20y%20frigobares?id=4843"/>
  </r>
  <r>
    <x v="13"/>
    <x v="42"/>
    <s v="https://www.sears.com.mx/cat/l%C3%ADnea%20blanca%20y%20electrodom%C3%A9sticos/lavado%20y%20secado/lavasecadoras%20y%20centros%20de%20lavado?id=10671"/>
  </r>
  <r>
    <x v="13"/>
    <x v="42"/>
    <s v="https://www.sears.com.mx/cat/l%C3%ADnea%20blanca%20y%20electrodom%C3%A9sticos/lavado%20y%20secado/lavadoras?id=10669"/>
  </r>
  <r>
    <x v="13"/>
    <x v="42"/>
    <s v="https://www.sears.com.mx/cat/l%C3%ADnea%20blanca%20y%20electrodom%C3%A9sticos/lavado%20y%20secado/secadoras?id=10670"/>
  </r>
  <r>
    <x v="13"/>
    <x v="42"/>
    <s v="https://www.sears.com.mx/cat/electr%C3%B3nica%20y%20tecnolog%C3%ADa/tv%20y%20video/pantallas?id=15466"/>
  </r>
  <r>
    <x v="13"/>
    <x v="42"/>
    <s v="https://www.sears.com.mx/cat/l%C3%ADnea%20blanca%20y%20electrodom%C3%A9sticos/clima%20y%20ambiente/aires%20acondicionados?id=4542"/>
  </r>
  <r>
    <x v="13"/>
    <x v="42"/>
    <s v="https://www.sears.com.mx/cat/electr%C3%B3nica%20y%20tecnolog%C3%ADa/c%C3%B3mputo%20y%20tabletas/proyectores%20y%20monitores?id=5024"/>
  </r>
  <r>
    <x v="13"/>
    <x v="42"/>
    <s v="https://www.sears.com.mx/cat/electr%C3%B3nica%20y%20tecnolog%C3%ADa/audio/bocinas?id=15107"/>
  </r>
  <r>
    <x v="13"/>
    <x v="42"/>
    <s v="https://www.sears.com.mx/cat/electr%C3%B3nica%20y%20tecnolog%C3%ADa/audio/teatros%20en%20casa%20y%20barras%20de%20sonido?id=4896"/>
  </r>
  <r>
    <x v="13"/>
    <x v="42"/>
    <s v="https://www.sears.com.mx/cat/electr%C3%B3nica%20y%20tecnolog%C3%ADa/audio/aud%C3%ADfonos%20y%20manos%20libres?id=15106"/>
  </r>
  <r>
    <x v="3"/>
    <x v="43"/>
    <s v="https://www.thebrick.com/collections/appliances-kitchen-refrigerators"/>
  </r>
  <r>
    <x v="3"/>
    <x v="43"/>
    <s v="https://www.thebrick.com/collections/appliances-laundry-washers"/>
  </r>
  <r>
    <x v="3"/>
    <x v="43"/>
    <s v="https://www.thebrick.com/collections/appliances-kitchen-dishwashers"/>
  </r>
  <r>
    <x v="3"/>
    <x v="43"/>
    <s v="https://www.thebrick.com/collections/appliances-laundry-dryers"/>
  </r>
  <r>
    <x v="3"/>
    <x v="43"/>
    <s v="https://www.thebrick.com/collections/appliances-kitchen-ranges"/>
  </r>
  <r>
    <x v="3"/>
    <x v="43"/>
    <s v="https://www.thebrick.com/collections/appliances-specialty-appliances?refinementList%5Bproduct_type%5D%5B0%5D=Clothes%20Steamer"/>
  </r>
  <r>
    <x v="3"/>
    <x v="43"/>
    <s v="https://www.thebrick.com/collections/appliances-air-conditioners"/>
  </r>
  <r>
    <x v="3"/>
    <x v="43"/>
    <s v="https://www.thebrick.com/collections/electronics-televisions-and-tv-accessories-televisions"/>
  </r>
  <r>
    <x v="3"/>
    <x v="43"/>
    <s v="https://www.thebrick.com/collections/electronics-televisions-and-tv-accessories-televisions-oled"/>
  </r>
  <r>
    <x v="3"/>
    <x v="43"/>
    <s v="https://www.thebrick.com/collections/electronics-monitors"/>
  </r>
  <r>
    <x v="3"/>
    <x v="43"/>
    <s v="https://www.thebrick.com/collections/electronics-entertainment-speakers-receivers-and-subwoofers-portable"/>
  </r>
  <r>
    <x v="3"/>
    <x v="43"/>
    <s v="https://www.thebrick.com/collections/electronics-home-audio-soundbars"/>
  </r>
  <r>
    <x v="3"/>
    <x v="43"/>
    <s v="https://www.thebrick.com/collections/electronics-entertainment-headphones"/>
  </r>
  <r>
    <x v="1"/>
    <x v="44"/>
    <s v="https://www.thegoodguys.com.au/fridges-and-freezers/refrigerators/top-mount-fridges"/>
  </r>
  <r>
    <x v="1"/>
    <x v="44"/>
    <s v="https://www.thegoodguys.com.au/fridges-and-freezers/refrigerators/bottom-mount-fridges"/>
  </r>
  <r>
    <x v="1"/>
    <x v="44"/>
    <s v="https://www.thegoodguys.com.au/fridges-and-freezers/refrigerators/french-door-fridges"/>
  </r>
  <r>
    <x v="1"/>
    <x v="44"/>
    <s v="https://www.thegoodguys.com.au/fridges-and-freezers/refrigerators/side-by-side-fridges"/>
  </r>
  <r>
    <x v="1"/>
    <x v="44"/>
    <s v="https://www.thegoodguys.com.au/fridges-and-freezers/refrigerators/single-door-fridges"/>
  </r>
  <r>
    <x v="1"/>
    <x v="44"/>
    <s v="https://www.thegoodguys.com.au/fridges-and-freezers/refrigerators/wine-fridges"/>
  </r>
  <r>
    <x v="1"/>
    <x v="44"/>
    <s v="https://www.thegoodguys.com.au/fridges-and-freezers/refrigerators/custom-fridges"/>
  </r>
  <r>
    <x v="1"/>
    <x v="44"/>
    <s v="https://www.thegoodguys.com.au/laundry/washing-machines/front-load-washing-machines"/>
  </r>
  <r>
    <x v="1"/>
    <x v="44"/>
    <s v="https://www.thegoodguys.com.au/laundry/washing-machines/top-load-washing-machines"/>
  </r>
  <r>
    <x v="1"/>
    <x v="44"/>
    <s v="https://www.thegoodguys.com.au/laundry/washing-machines/washer-dryer-combo"/>
  </r>
  <r>
    <x v="1"/>
    <x v="44"/>
    <s v="https://www.thegoodguys.com.au/laundry/washing-machines/auto-dosing-washing-machines"/>
  </r>
  <r>
    <x v="1"/>
    <x v="44"/>
    <s v="https://www.thegoodguys.com.au/laundry/washing-machines/large-washing-machines"/>
  </r>
  <r>
    <x v="1"/>
    <x v="44"/>
    <s v="https://www.thegoodguys.com.au/laundry/washing-machines/medium-washing-machines"/>
  </r>
  <r>
    <x v="1"/>
    <x v="44"/>
    <s v="https://www.thegoodguys.com.au/laundry/washing-machines/small-washing-machines"/>
  </r>
  <r>
    <x v="1"/>
    <x v="44"/>
    <s v="https://www.thegoodguys.com.au/televisions/all-tvs/tvs-over-80-inches"/>
  </r>
  <r>
    <x v="1"/>
    <x v="44"/>
    <s v="https://www.thegoodguys.com.au/televisions/all-tvs/tvs-over-60-inches"/>
  </r>
  <r>
    <x v="1"/>
    <x v="44"/>
    <s v="https://www.thegoodguys.com.au/televisions/all-tvs/tvs-48-to-60-inches"/>
  </r>
  <r>
    <x v="1"/>
    <x v="44"/>
    <s v="https://www.thegoodguys.com.au/televisions/all-tvs/tvs-32-to-47-inches"/>
  </r>
  <r>
    <x v="1"/>
    <x v="44"/>
    <s v="https://www.thegoodguys.com.au/televisions/all-tvs/tvs-under-32-inches"/>
  </r>
  <r>
    <x v="1"/>
    <x v="44"/>
    <s v="https://www.thegoodguys.com.au/televisions/all-tvs/8k-tvs"/>
  </r>
  <r>
    <x v="1"/>
    <x v="44"/>
    <s v="https://www.thegoodguys.com.au/televisions/all-tvs/4k-tvs"/>
  </r>
  <r>
    <x v="1"/>
    <x v="44"/>
    <s v="https://www.thegoodguys.com.au/televisions/all-tvs/led-lcd-tvs"/>
  </r>
  <r>
    <x v="1"/>
    <x v="44"/>
    <s v="https://www.thegoodguys.com.au/televisions/all-tvs/lifestyle-tvs"/>
  </r>
  <r>
    <x v="1"/>
    <x v="44"/>
    <s v="https://www.thegoodguys.com.au/televisions/all-tvs/2023-tvs"/>
  </r>
  <r>
    <x v="1"/>
    <x v="44"/>
    <s v="https://www.thegoodguys.com.au/televisions/oled-tvs/oled-tvs-over-60-inches"/>
  </r>
  <r>
    <x v="1"/>
    <x v="44"/>
    <s v="https://www.thegoodguys.com.au/televisions/oled-tvs/oled-tvs-under-48-inches"/>
  </r>
  <r>
    <x v="1"/>
    <x v="44"/>
    <s v="https://www.thegoodguys.com.au/televisions/oled-tvs/oled-tvs-48-to-60-inches"/>
  </r>
  <r>
    <x v="1"/>
    <x v="44"/>
    <s v="https://www.thegoodguys.com.au/televisions/qled-tvs/65-inch-qled-tvs"/>
  </r>
  <r>
    <x v="1"/>
    <x v="44"/>
    <s v="https://www.thegoodguys.com.au/televisions/qled-tvs/55-inch-qled-tvs"/>
  </r>
  <r>
    <x v="1"/>
    <x v="44"/>
    <s v="https://www.thegoodguys.com.au/televisions/qled-tvs/75-inch-qled-tvs"/>
  </r>
  <r>
    <x v="1"/>
    <x v="44"/>
    <s v="https://www.thegoodguys.com.au/televisions/qled-tvs/85-inch-qled-tvs"/>
  </r>
  <r>
    <x v="1"/>
    <x v="44"/>
    <s v="https://www.thegoodguys.com.au/televisions/ultra-hd-tvs/ultra-hd-tvs-under-48-inches"/>
  </r>
  <r>
    <x v="1"/>
    <x v="44"/>
    <s v="https://www.thegoodguys.com.au/televisions/ultra-hd-tvs/ultra-hd-tvs-48-to-60-inches"/>
  </r>
  <r>
    <x v="1"/>
    <x v="44"/>
    <s v="https://www.thegoodguys.com.au/televisions/ultra-hd-tvs/ultra-hd-tvs-over-60-inches"/>
  </r>
  <r>
    <x v="1"/>
    <x v="44"/>
    <s v="https://www.thegoodguys.com.au/televisions/full-hd-tvs/full-hd-tvs-under-48-inches"/>
  </r>
  <r>
    <x v="1"/>
    <x v="44"/>
    <s v="https://www.thegoodguys.com.au/televisions/hd-tvs/hd-tvs-under-48-inches"/>
  </r>
  <r>
    <x v="1"/>
    <x v="44"/>
    <s v="https://www.thegoodguys.com.au/audio/home-audio/home-wireless-speakers"/>
  </r>
  <r>
    <x v="1"/>
    <x v="44"/>
    <s v="https://www.thegoodguys.com.au/audio/portable-audio/portable-bluetooth-speakers"/>
  </r>
  <r>
    <x v="1"/>
    <x v="44"/>
    <s v="https://www.thegoodguys.com.au/audio/portable-audio/party-speakers"/>
  </r>
  <r>
    <x v="1"/>
    <x v="44"/>
    <s v="https://www.thegoodguys.com.au/audio/home-audio/hi-fi-sound-systems"/>
  </r>
  <r>
    <x v="1"/>
    <x v="44"/>
    <s v="https://www.thegoodguys.com.au/audio/home-audio/sound-bars"/>
  </r>
  <r>
    <x v="1"/>
    <x v="44"/>
    <s v="https://www.thegoodguys.com.au/audio/headphones/true-wireless-earbuds"/>
  </r>
  <r>
    <x v="1"/>
    <x v="44"/>
    <s v="https://www.thegoodguys.com.au/audio/headphones/wired-headphones"/>
  </r>
  <r>
    <x v="1"/>
    <x v="44"/>
    <s v="https://www.thegoodguys.com.au/audio/headphones/wireless-headphones"/>
  </r>
  <r>
    <x v="1"/>
    <x v="44"/>
    <s v="https://www.thegoodguys.com.au/audio/headphones/noise-cancelling-headphones"/>
  </r>
  <r>
    <x v="1"/>
    <x v="44"/>
    <s v="https://www.thegoodguys.com.au/audio/headphones/sports-headphones"/>
  </r>
  <r>
    <x v="1"/>
    <x v="44"/>
    <s v="https://www.thegoodguys.com.au/vacuums-and-cleaners/vacuum-cleaners/stick-vacuums"/>
  </r>
  <r>
    <x v="1"/>
    <x v="44"/>
    <s v="https://www.thegoodguys.com.au/vacuums-and-cleaners/vacuum-cleaners/barrel-vacuums"/>
  </r>
  <r>
    <x v="1"/>
    <x v="44"/>
    <s v="https://www.thegoodguys.com.au/vacuums-and-cleaners/vacuum-cleaners/upright-vacuums"/>
  </r>
  <r>
    <x v="1"/>
    <x v="44"/>
    <s v="https://www.thegoodguys.com.au/vacuums-and-cleaners/vacuum-cleaners/robot-vacuums"/>
  </r>
  <r>
    <x v="1"/>
    <x v="44"/>
    <s v="https://www.thegoodguys.com.au/vacuums-and-cleaners/vacuum-cleaners/handheld-vacuums"/>
  </r>
  <r>
    <x v="1"/>
    <x v="44"/>
    <s v="https://www.thegoodguys.com.au/vacuums-and-cleaners/vacuum-cleaners/bagless-vacuum-cleaners"/>
  </r>
  <r>
    <x v="1"/>
    <x v="44"/>
    <s v="https://www.thegoodguys.com.au/vacuums-and-cleaners/vacuum-cleaners/pet-vacuums"/>
  </r>
  <r>
    <x v="1"/>
    <x v="44"/>
    <s v="https://www.thegoodguys.com.au/vacuums-and-cleaners/vacuum-cleaners/hardwood-floor-vacuums"/>
  </r>
  <r>
    <x v="1"/>
    <x v="44"/>
    <s v="https://www.thegoodguys.com.au/vacuums-and-cleaners/vacuum-cleaners/car-cleaning-vacuums"/>
  </r>
  <r>
    <x v="1"/>
    <x v="44"/>
    <s v="https://www.thegoodguys.com.au/cooking-and-dishwashers/dishwashers/freestanding-dishwashers"/>
  </r>
  <r>
    <x v="1"/>
    <x v="44"/>
    <s v="https://www.thegoodguys.com.au/cooking-and-dishwashers/dishwashers/specialty-dishwashers"/>
  </r>
  <r>
    <x v="1"/>
    <x v="44"/>
    <s v="https://www.thegoodguys.com.au/cooking-and-dishwashers/dishwashers/built-in-dishwashers"/>
  </r>
  <r>
    <x v="1"/>
    <x v="44"/>
    <s v="https://www.thegoodguys.com.au/cooking-and-dishwashers/dishwashers/integrated-dishwashers"/>
  </r>
  <r>
    <x v="1"/>
    <x v="44"/>
    <s v="https://www.thegoodguys.com.au/cooking-and-dishwashers/dishwashers/under-bench-dishwashers"/>
  </r>
  <r>
    <x v="1"/>
    <x v="44"/>
    <s v="https://www.thegoodguys.com.au/cooking-and-dishwashers/dishwashers/drawer-dishwashers"/>
  </r>
  <r>
    <x v="1"/>
    <x v="44"/>
    <s v="https://www.thegoodguys.com.au/laundry/dryers/clothes-dryer"/>
  </r>
  <r>
    <x v="1"/>
    <x v="44"/>
    <s v="https://www.thegoodguys.com.au/laundry/dryers/heat-pump-dryers"/>
  </r>
  <r>
    <x v="1"/>
    <x v="44"/>
    <s v="https://www.thegoodguys.com.au/laundry/dryers/condenser-dryers"/>
  </r>
  <r>
    <x v="1"/>
    <x v="44"/>
    <s v="https://www.thegoodguys.com.au/laundry/dryers/washer-dryer-combos"/>
  </r>
  <r>
    <x v="1"/>
    <x v="44"/>
    <s v="https://www.thegoodguys.com.au/laundry/dryers/large-dryers"/>
  </r>
  <r>
    <x v="1"/>
    <x v="44"/>
    <s v="https://www.thegoodguys.com.au/laundry/dryers/medium-dryers"/>
  </r>
  <r>
    <x v="1"/>
    <x v="44"/>
    <s v="https://www.thegoodguys.com.au/laundry/dryers/small-dryers"/>
  </r>
  <r>
    <x v="1"/>
    <x v="44"/>
    <s v="https://www.thegoodguys.com.au/computers-tablets-and-gaming/monitors/computer-monitors"/>
  </r>
  <r>
    <x v="1"/>
    <x v="44"/>
    <s v="https://www.thegoodguys.com.au/computers-tablets-and-gaming/desktop-and-laptop/laptops"/>
  </r>
  <r>
    <x v="1"/>
    <x v="44"/>
    <s v="https://www.thegoodguys.com.au/computers-tablets-and-gaming/desktop-and-laptop/gaming-laptops"/>
  </r>
  <r>
    <x v="1"/>
    <x v="44"/>
    <s v="https://www.thegoodguys.com.au/computers-tablets-and-gaming/desktop-and-laptop/macbook"/>
  </r>
  <r>
    <x v="1"/>
    <x v="44"/>
    <s v="https://www.thegoodguys.com.au/computers-tablets-and-gaming/desktop-and-laptop/2in1-laptops"/>
  </r>
  <r>
    <x v="1"/>
    <x v="44"/>
    <s v="https://www.thegoodguys.com.au/computers-tablets-and-gaming/desktop-and-laptop/chromebook"/>
  </r>
  <r>
    <x v="1"/>
    <x v="44"/>
    <s v="https://www.thegoodguys.com.au/computers-tablets-and-gaming/desktop-and-laptop/microsoft-surface"/>
  </r>
  <r>
    <x v="1"/>
    <x v="44"/>
    <s v="https://www.thegoodguys.com.au/computers-tablets-and-gaming/desktop-and-laptop/windows-11-desktops-and-laptops"/>
  </r>
  <r>
    <x v="1"/>
    <x v="44"/>
    <s v="https://www.thegoodguys.com.au/computers-tablets-and-gaming/desktop-and-laptop/latest-pcs"/>
  </r>
  <r>
    <x v="1"/>
    <x v="44"/>
    <s v="https://www.thegoodguys.com.au/heating-and-cooling/air-conditioners"/>
  </r>
  <r>
    <x v="7"/>
    <x v="45"/>
    <s v="https://www.unieuro.it/online/Computer-e-Tablet/PC-Desktop-e-Monitor/Monitor"/>
  </r>
  <r>
    <x v="7"/>
    <x v="45"/>
    <s v="https://www.unieuro.it/online/Piccoli-e-Grandi-Elettrodomestici/Grandi-Elettrodomestici/Lavastoviglie"/>
  </r>
  <r>
    <x v="7"/>
    <x v="45"/>
    <s v="https://www.unieuro.it/online/Piccoli-e-Grandi-Elettrodomestici/Grandi-Elettrodomestici/Lavastoviglie-slim"/>
  </r>
  <r>
    <x v="7"/>
    <x v="45"/>
    <s v="https://www.unieuro.it/online/Piccoli-e-Grandi-Elettrodomestici/Elettrodomestici-da-incasso/Lavastoviglie-da-incasso"/>
  </r>
  <r>
    <x v="7"/>
    <x v="45"/>
    <s v="https://www.unieuro.it/online/Piccoli-e-Grandi-Elettrodomestici/Grandi-Elettrodomestici/Cucine/?dFR[categories.lvl3][0]=C7107"/>
  </r>
  <r>
    <x v="7"/>
    <x v="45"/>
    <s v="https://www.unieuro.it/online/Piccoli-e-Grandi-Elettrodomestici/Grandi-Elettrodomestici/Frigoriferi"/>
  </r>
  <r>
    <x v="7"/>
    <x v="45"/>
    <s v="https://www.unieuro.it/online/Piccoli-e-Grandi-Elettrodomestici/Grandi-Elettrodomestici/Lavatrici"/>
  </r>
  <r>
    <x v="7"/>
    <x v="45"/>
    <s v="https://www.unieuro.it/online/Piccoli-e-Grandi-Elettrodomestici/Grandi-Elettrodomestici/Lavatrici-slim"/>
  </r>
  <r>
    <x v="7"/>
    <x v="45"/>
    <s v="https://www.unieuro.it/online/Piccoli-e-Grandi-Elettrodomestici/Grandi-Elettrodomestici/Lavasciuga"/>
  </r>
  <r>
    <x v="7"/>
    <x v="45"/>
    <s v="https://www.unieuro.it/online/TV-DVD-e-Home-Cinema/TV/TV-Led"/>
  </r>
  <r>
    <x v="7"/>
    <x v="45"/>
    <s v="https://www.unieuro.it/online/TV-DVD-e-Home-Cinema/TV/Smart-TV"/>
  </r>
  <r>
    <x v="7"/>
    <x v="45"/>
    <s v="https://www.unieuro.it/online/TV-DVD-e-Home-Cinema/TV/TV-Ultra-HD"/>
  </r>
  <r>
    <x v="7"/>
    <x v="45"/>
    <s v="https://www.unieuro.it/online/TV-DVD-e-Home-Cinema/TV/TV-8K"/>
  </r>
  <r>
    <x v="7"/>
    <x v="45"/>
    <s v="https://www.unieuro.it/online/TV-DVD-e-Home-Cinema/TV/TV-OLED"/>
  </r>
  <r>
    <x v="7"/>
    <x v="45"/>
    <s v="https://www.unieuro.it/online/TV-DVD-e-Home-Cinema/TV/TV-QLED"/>
  </r>
  <r>
    <x v="7"/>
    <x v="45"/>
    <s v="https://www.unieuro.it/online/TV-DVD-e-Home-Cinema/TV/TV-NanoCell"/>
  </r>
  <r>
    <x v="7"/>
    <x v="45"/>
    <s v="https://www.unieuro.it/online/TV-DVD-e-Home-Cinema/TV/Monitor-TV"/>
  </r>
  <r>
    <x v="7"/>
    <x v="45"/>
    <s v="https://www.unieuro.it/online/Audio-Ipod-e-Hi-Fi/Diffusori-Audio-Portatili/Diffusori-Bluetooth"/>
  </r>
  <r>
    <x v="7"/>
    <x v="45"/>
    <s v="https://www.unieuro.it/online/TV-DVD-e-Home-Cinema/Home-cinema/Soundbar"/>
  </r>
  <r>
    <x v="7"/>
    <x v="45"/>
    <s v="https://www.unieuro.it/online/Audio-Ipod-e-Hi-Fi/Cuffie-e-Auricolari/Cuffie"/>
  </r>
  <r>
    <x v="7"/>
    <x v="45"/>
    <s v="https://www.unieuro.it/online/Audio-Ipod-e-Hi-Fi/Cuffie-e-Auricolari/Auricolari"/>
  </r>
  <r>
    <x v="7"/>
    <x v="45"/>
    <s v="https://www.unieuro.it/online/Audio-Ipod-e-Hi-Fi/Cuffie-e-Auricolari/Cuffie-senza-fili"/>
  </r>
  <r>
    <x v="7"/>
    <x v="45"/>
    <s v="https://www.unieuro.it/online/Telefonia-e-Smartphone/Accessori-telefonia/Cuffie-e-Auricolari"/>
  </r>
  <r>
    <x v="7"/>
    <x v="45"/>
    <s v="https://www.unieuro.it/online/Piccoli-e-Grandi-Elettrodomestici/Grandi-Elettrodomestici/Asciugatrici"/>
  </r>
  <r>
    <x v="7"/>
    <x v="45"/>
    <s v="https://www.unieuro.it/online/Piccoli-e-Grandi-Elettrodomestici/Condizionatori-aria/Condizionatori-fissi-monosplit"/>
  </r>
  <r>
    <x v="7"/>
    <x v="45"/>
    <s v="https://www.unieuro.it/online/Piccoli-e-Grandi-Elettrodomestici/Condizionatori-aria/Condizionatori-fissi-dual-split"/>
  </r>
  <r>
    <x v="7"/>
    <x v="45"/>
    <s v="https://www.unieuro.it/online/Piccoli-e-Grandi-Elettrodomestici/Condizionatori-aria/Condizionatori-fissi-trial-split"/>
  </r>
  <r>
    <x v="7"/>
    <x v="45"/>
    <s v="https://www.unieuro.it/online/Piccoli-e-Grandi-Elettrodomestici/Condizionatori-aria/Condizionatori-fissi-senza-unit-esterna"/>
  </r>
  <r>
    <x v="7"/>
    <x v="45"/>
    <s v="https://www.unieuro.it/online/Piccoli-e-Grandi-Elettrodomestici/Condizionatori-aria/Condizionatori-portati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1E3BB-53DD-4D26-B337-F94DF639EFD9}" name="피벗 테이블15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5:F33" firstHeaderRow="1" firstDataRow="1" firstDataCol="1"/>
  <pivotFields count="2">
    <pivotField axis="axisRow" showAll="0">
      <items count="9">
        <item x="0"/>
        <item m="1" x="7"/>
        <item x="1"/>
        <item x="2"/>
        <item x="3"/>
        <item x="4"/>
        <item x="5"/>
        <item x="6"/>
        <item t="default"/>
      </items>
    </pivotField>
    <pivotField axis="axisRow" showAll="0">
      <items count="43">
        <item x="0"/>
        <item m="1" x="41"/>
        <item m="1" x="26"/>
        <item x="14"/>
        <item x="18"/>
        <item x="15"/>
        <item m="1" x="25"/>
        <item m="1" x="22"/>
        <item m="1" x="32"/>
        <item m="1" x="20"/>
        <item x="5"/>
        <item x="6"/>
        <item m="1" x="21"/>
        <item m="1" x="31"/>
        <item x="12"/>
        <item m="1" x="37"/>
        <item x="7"/>
        <item x="13"/>
        <item m="1" x="40"/>
        <item m="1" x="29"/>
        <item x="16"/>
        <item x="8"/>
        <item m="1" x="23"/>
        <item m="1" x="36"/>
        <item m="1" x="30"/>
        <item m="1" x="38"/>
        <item m="1" x="27"/>
        <item m="1" x="33"/>
        <item m="1" x="35"/>
        <item m="1" x="34"/>
        <item x="17"/>
        <item x="1"/>
        <item m="1" x="28"/>
        <item x="9"/>
        <item x="10"/>
        <item x="2"/>
        <item x="3"/>
        <item m="1" x="24"/>
        <item m="1" x="39"/>
        <item x="11"/>
        <item x="19"/>
        <item x="4"/>
        <item t="default"/>
      </items>
    </pivotField>
  </pivotFields>
  <rowFields count="2">
    <field x="0"/>
    <field x="1"/>
  </rowFields>
  <rowItems count="28">
    <i>
      <x/>
    </i>
    <i r="1">
      <x/>
    </i>
    <i r="1">
      <x v="31"/>
    </i>
    <i r="1">
      <x v="35"/>
    </i>
    <i r="1">
      <x v="36"/>
    </i>
    <i r="1">
      <x v="41"/>
    </i>
    <i>
      <x v="2"/>
    </i>
    <i r="1">
      <x v="10"/>
    </i>
    <i r="1">
      <x v="11"/>
    </i>
    <i r="1">
      <x v="16"/>
    </i>
    <i r="1">
      <x v="21"/>
    </i>
    <i r="1">
      <x v="33"/>
    </i>
    <i r="1">
      <x v="34"/>
    </i>
    <i r="1">
      <x v="39"/>
    </i>
    <i>
      <x v="3"/>
    </i>
    <i r="1">
      <x v="14"/>
    </i>
    <i>
      <x v="4"/>
    </i>
    <i r="1">
      <x v="17"/>
    </i>
    <i>
      <x v="5"/>
    </i>
    <i r="1">
      <x v="3"/>
    </i>
    <i r="1">
      <x v="5"/>
    </i>
    <i r="1">
      <x v="20"/>
    </i>
    <i>
      <x v="6"/>
    </i>
    <i r="1">
      <x v="30"/>
    </i>
    <i>
      <x v="7"/>
    </i>
    <i r="1">
      <x v="4"/>
    </i>
    <i r="1">
      <x v="4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9C258-E727-458A-B490-819B5992AA3C}" name="피벗 테이블17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G5:G75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3">
        <item x="1"/>
        <item x="2"/>
        <item x="3"/>
        <item x="0"/>
        <item x="4"/>
        <item x="45"/>
        <item x="43"/>
        <item x="46"/>
        <item x="44"/>
        <item x="42"/>
        <item x="47"/>
        <item x="41"/>
        <item x="53"/>
        <item x="54"/>
        <item x="55"/>
        <item x="56"/>
        <item x="52"/>
        <item x="57"/>
        <item x="48"/>
        <item x="17"/>
        <item x="18"/>
        <item x="19"/>
        <item x="16"/>
        <item x="21"/>
        <item x="22"/>
        <item x="23"/>
        <item x="20"/>
        <item x="38"/>
        <item x="39"/>
        <item x="25"/>
        <item x="26"/>
        <item x="24"/>
        <item x="27"/>
        <item x="40"/>
        <item x="50"/>
        <item x="49"/>
        <item x="28"/>
        <item x="51"/>
        <item x="5"/>
        <item x="6"/>
        <item x="7"/>
        <item x="30"/>
        <item x="31"/>
        <item x="32"/>
        <item x="29"/>
        <item x="33"/>
        <item x="8"/>
        <item x="9"/>
        <item x="10"/>
        <item x="11"/>
        <item x="12"/>
        <item x="35"/>
        <item x="36"/>
        <item x="37"/>
        <item x="34"/>
        <item x="59"/>
        <item x="60"/>
        <item x="61"/>
        <item x="58"/>
        <item x="13"/>
        <item x="14"/>
        <item x="15"/>
        <item t="default"/>
      </items>
    </pivotField>
  </pivotFields>
  <rowFields count="2">
    <field x="0"/>
    <field x="1"/>
  </rowFields>
  <rowItems count="70">
    <i>
      <x/>
    </i>
    <i r="1">
      <x/>
    </i>
    <i r="1">
      <x v="1"/>
    </i>
    <i r="1">
      <x v="2"/>
    </i>
    <i r="1">
      <x v="3"/>
    </i>
    <i r="1">
      <x v="4"/>
    </i>
    <i r="1">
      <x v="38"/>
    </i>
    <i r="1">
      <x v="39"/>
    </i>
    <i r="1">
      <x v="40"/>
    </i>
    <i r="1">
      <x v="46"/>
    </i>
    <i r="1">
      <x v="47"/>
    </i>
    <i r="1">
      <x v="48"/>
    </i>
    <i r="1">
      <x v="49"/>
    </i>
    <i r="1">
      <x v="50"/>
    </i>
    <i r="1">
      <x v="59"/>
    </i>
    <i r="1">
      <x v="60"/>
    </i>
    <i r="1">
      <x v="61"/>
    </i>
    <i>
      <x v="1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6"/>
    </i>
    <i r="1">
      <x v="41"/>
    </i>
    <i r="1">
      <x v="42"/>
    </i>
    <i r="1">
      <x v="43"/>
    </i>
    <i r="1">
      <x v="44"/>
    </i>
    <i r="1">
      <x v="45"/>
    </i>
    <i r="1">
      <x v="51"/>
    </i>
    <i r="1">
      <x v="52"/>
    </i>
    <i r="1">
      <x v="53"/>
    </i>
    <i r="1">
      <x v="54"/>
    </i>
    <i>
      <x v="2"/>
    </i>
    <i r="1">
      <x v="27"/>
    </i>
    <i r="1">
      <x v="28"/>
    </i>
    <i>
      <x v="3"/>
    </i>
    <i r="1">
      <x v="33"/>
    </i>
    <i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8"/>
    </i>
    <i r="1">
      <x v="34"/>
    </i>
    <i r="1">
      <x v="35"/>
    </i>
    <i>
      <x v="5"/>
    </i>
    <i r="1">
      <x v="37"/>
    </i>
    <i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55"/>
    </i>
    <i r="1">
      <x v="56"/>
    </i>
    <i r="1">
      <x v="57"/>
    </i>
    <i r="1">
      <x v="5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98B91-9138-4B98-A76C-D6FCD560503D}" name="피벗 테이블19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8:F79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4">
        <item x="1"/>
        <item x="2"/>
        <item x="3"/>
        <item x="0"/>
        <item x="4"/>
        <item x="45"/>
        <item x="43"/>
        <item x="48"/>
        <item x="46"/>
        <item x="44"/>
        <item x="42"/>
        <item x="47"/>
        <item x="41"/>
        <item x="54"/>
        <item x="55"/>
        <item x="56"/>
        <item x="57"/>
        <item x="53"/>
        <item x="58"/>
        <item x="49"/>
        <item x="17"/>
        <item x="18"/>
        <item x="19"/>
        <item x="16"/>
        <item x="21"/>
        <item x="22"/>
        <item x="23"/>
        <item x="20"/>
        <item x="38"/>
        <item x="39"/>
        <item x="25"/>
        <item x="26"/>
        <item x="24"/>
        <item x="27"/>
        <item x="40"/>
        <item x="51"/>
        <item x="50"/>
        <item x="28"/>
        <item x="52"/>
        <item x="5"/>
        <item x="6"/>
        <item x="7"/>
        <item x="30"/>
        <item x="31"/>
        <item x="32"/>
        <item x="29"/>
        <item x="33"/>
        <item x="8"/>
        <item x="9"/>
        <item x="10"/>
        <item x="11"/>
        <item x="12"/>
        <item x="35"/>
        <item x="36"/>
        <item x="37"/>
        <item x="34"/>
        <item x="60"/>
        <item x="61"/>
        <item x="62"/>
        <item x="59"/>
        <item x="13"/>
        <item x="14"/>
        <item x="15"/>
        <item t="default"/>
      </items>
    </pivotField>
  </pivotFields>
  <rowFields count="2">
    <field x="0"/>
    <field x="1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39"/>
    </i>
    <i r="1">
      <x v="40"/>
    </i>
    <i r="1">
      <x v="41"/>
    </i>
    <i r="1">
      <x v="47"/>
    </i>
    <i r="1">
      <x v="48"/>
    </i>
    <i r="1">
      <x v="49"/>
    </i>
    <i r="1">
      <x v="50"/>
    </i>
    <i r="1">
      <x v="51"/>
    </i>
    <i r="1">
      <x v="60"/>
    </i>
    <i r="1">
      <x v="61"/>
    </i>
    <i r="1">
      <x v="62"/>
    </i>
    <i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7"/>
    </i>
    <i r="1">
      <x v="42"/>
    </i>
    <i r="1">
      <x v="43"/>
    </i>
    <i r="1">
      <x v="44"/>
    </i>
    <i r="1">
      <x v="45"/>
    </i>
    <i r="1">
      <x v="46"/>
    </i>
    <i r="1">
      <x v="52"/>
    </i>
    <i r="1">
      <x v="53"/>
    </i>
    <i r="1">
      <x v="54"/>
    </i>
    <i r="1">
      <x v="55"/>
    </i>
    <i>
      <x v="2"/>
    </i>
    <i r="1">
      <x v="28"/>
    </i>
    <i r="1">
      <x v="29"/>
    </i>
    <i>
      <x v="3"/>
    </i>
    <i r="1">
      <x v="34"/>
    </i>
    <i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9"/>
    </i>
    <i r="1">
      <x v="35"/>
    </i>
    <i r="1">
      <x v="36"/>
    </i>
    <i>
      <x v="5"/>
    </i>
    <i r="1">
      <x v="38"/>
    </i>
    <i>
      <x v="6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56"/>
    </i>
    <i r="1">
      <x v="57"/>
    </i>
    <i r="1">
      <x v="58"/>
    </i>
    <i r="1">
      <x v="5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DD2B4-F81B-4F72-B885-CA54C05DD525}" name="피벗 테이블3" cacheId="15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compactData="0" multipleFieldFilters="0">
  <location ref="J2:K40" firstHeaderRow="1" firstDataRow="1" firstDataCol="2"/>
  <pivotFields count="3">
    <pivotField axis="axisRow" compact="0" outline="0" showAll="0" defaultSubtotal="0">
      <items count="20">
        <item h="1" x="1"/>
        <item x="2"/>
        <item x="3"/>
        <item x="17"/>
        <item x="4"/>
        <item x="5"/>
        <item x="10"/>
        <item x="6"/>
        <item x="7"/>
        <item x="8"/>
        <item x="13"/>
        <item x="12"/>
        <item x="16"/>
        <item x="15"/>
        <item x="14"/>
        <item x="18"/>
        <item x="19"/>
        <item x="9"/>
        <item x="0"/>
        <item x="11"/>
      </items>
    </pivotField>
    <pivotField axis="axisRow" compact="0" outline="0" showAll="0" defaultSubtotal="0">
      <items count="46">
        <item h="1" x="1"/>
        <item x="0"/>
        <item h="1" x="2"/>
        <item x="3"/>
        <item h="1"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x="21"/>
        <item x="22"/>
        <item x="23"/>
        <item h="1" x="24"/>
        <item x="25"/>
        <item x="26"/>
        <item x="27"/>
        <item x="28"/>
        <item h="1" x="29"/>
        <item x="30"/>
        <item x="31"/>
        <item x="32"/>
        <item x="33"/>
        <item x="34"/>
        <item x="35"/>
        <item h="1" x="36"/>
        <item x="37"/>
        <item x="38"/>
        <item x="39"/>
        <item x="40"/>
        <item x="42"/>
        <item h="1" x="41"/>
        <item h="1" x="43"/>
        <item x="44"/>
        <item x="45"/>
        <item x="7"/>
      </items>
    </pivotField>
    <pivotField compact="0" outline="0" showAll="0" defaultSubtotal="0"/>
  </pivotFields>
  <rowFields count="2">
    <field x="0"/>
    <field x="1"/>
  </rowFields>
  <rowItems count="38">
    <i>
      <x v="1"/>
      <x v="31"/>
    </i>
    <i>
      <x v="2"/>
      <x v="9"/>
    </i>
    <i>
      <x v="3"/>
      <x v="18"/>
    </i>
    <i>
      <x v="4"/>
      <x v="32"/>
    </i>
    <i r="1">
      <x v="37"/>
    </i>
    <i>
      <x v="5"/>
      <x v="15"/>
    </i>
    <i r="1">
      <x v="32"/>
    </i>
    <i>
      <x v="6"/>
      <x v="6"/>
    </i>
    <i r="1">
      <x v="13"/>
    </i>
    <i r="1">
      <x v="21"/>
    </i>
    <i>
      <x v="7"/>
      <x v="1"/>
    </i>
    <i r="1">
      <x v="20"/>
    </i>
    <i>
      <x v="8"/>
      <x v="34"/>
    </i>
    <i r="1">
      <x v="44"/>
    </i>
    <i>
      <x v="10"/>
      <x v="8"/>
    </i>
    <i r="1">
      <x v="29"/>
    </i>
    <i r="1">
      <x v="40"/>
    </i>
    <i>
      <x v="11"/>
      <x v="7"/>
    </i>
    <i>
      <x v="12"/>
      <x v="17"/>
    </i>
    <i>
      <x v="13"/>
      <x v="16"/>
    </i>
    <i>
      <x v="14"/>
      <x v="11"/>
    </i>
    <i r="1">
      <x v="22"/>
    </i>
    <i r="1">
      <x v="27"/>
    </i>
    <i>
      <x v="15"/>
      <x v="25"/>
    </i>
    <i r="1">
      <x v="27"/>
    </i>
    <i r="1">
      <x v="39"/>
    </i>
    <i>
      <x v="16"/>
      <x v="36"/>
    </i>
    <i r="1">
      <x v="38"/>
    </i>
    <i>
      <x v="17"/>
      <x v="3"/>
    </i>
    <i r="1">
      <x v="12"/>
    </i>
    <i>
      <x v="18"/>
      <x v="1"/>
    </i>
    <i r="1">
      <x v="5"/>
    </i>
    <i r="1">
      <x v="10"/>
    </i>
    <i r="1">
      <x v="24"/>
    </i>
    <i r="1">
      <x v="30"/>
    </i>
    <i>
      <x v="19"/>
      <x v="14"/>
    </i>
    <i r="1">
      <x v="33"/>
    </i>
    <i r="1">
      <x v="4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3-28T01:31:26.28" personId="{75A5626F-1FD0-4909-9A88-83FD5D6A876B}" id="{79F92A93-20B6-4D07-B955-86FF5A3BCE7A}">
    <text>key값 관리 &amp; 이력과 함께 볼 마켓 정보 (마스터생성 시, KEY로 연결 필요)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ntofrio.com.br/" TargetMode="External"/><Relationship Id="rId18" Type="http://schemas.openxmlformats.org/officeDocument/2006/relationships/hyperlink" Target="https://www.lg.com/de" TargetMode="External"/><Relationship Id="rId26" Type="http://schemas.openxmlformats.org/officeDocument/2006/relationships/hyperlink" Target="https://www.samsung.com/tw" TargetMode="External"/><Relationship Id="rId39" Type="http://schemas.openxmlformats.org/officeDocument/2006/relationships/hyperlink" Target="https://americanas.com.br/" TargetMode="External"/><Relationship Id="rId21" Type="http://schemas.openxmlformats.org/officeDocument/2006/relationships/hyperlink" Target="https://www.lg.com/it" TargetMode="External"/><Relationship Id="rId34" Type="http://schemas.openxmlformats.org/officeDocument/2006/relationships/hyperlink" Target="https://www.costco.com/" TargetMode="External"/><Relationship Id="rId7" Type="http://schemas.openxmlformats.org/officeDocument/2006/relationships/hyperlink" Target="https://www.samsung.com/es" TargetMode="External"/><Relationship Id="rId2" Type="http://schemas.openxmlformats.org/officeDocument/2006/relationships/hyperlink" Target="https://www.samsung.com/ca" TargetMode="External"/><Relationship Id="rId16" Type="http://schemas.openxmlformats.org/officeDocument/2006/relationships/hyperlink" Target="https://www.coolblue.nl/" TargetMode="External"/><Relationship Id="rId20" Type="http://schemas.openxmlformats.org/officeDocument/2006/relationships/hyperlink" Target="https://www.lg.com/fr" TargetMode="External"/><Relationship Id="rId29" Type="http://schemas.openxmlformats.org/officeDocument/2006/relationships/hyperlink" Target="https://www.samsung.com/vn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samsung.com/us" TargetMode="External"/><Relationship Id="rId6" Type="http://schemas.openxmlformats.org/officeDocument/2006/relationships/hyperlink" Target="https://www.samsung.com/it" TargetMode="External"/><Relationship Id="rId11" Type="http://schemas.openxmlformats.org/officeDocument/2006/relationships/hyperlink" Target="https://www.amazon.com/br" TargetMode="External"/><Relationship Id="rId24" Type="http://schemas.openxmlformats.org/officeDocument/2006/relationships/hyperlink" Target="https://www.samsung.com/th" TargetMode="External"/><Relationship Id="rId32" Type="http://schemas.openxmlformats.org/officeDocument/2006/relationships/hyperlink" Target="https://www.extra.com/ar-sa/" TargetMode="External"/><Relationship Id="rId37" Type="http://schemas.openxmlformats.org/officeDocument/2006/relationships/hyperlink" Target="https://www.lazada.sg/" TargetMode="External"/><Relationship Id="rId40" Type="http://schemas.openxmlformats.org/officeDocument/2006/relationships/hyperlink" Target="https://www.unieuro.it/" TargetMode="External"/><Relationship Id="rId5" Type="http://schemas.openxmlformats.org/officeDocument/2006/relationships/hyperlink" Target="https://www.samsung.com/de" TargetMode="External"/><Relationship Id="rId15" Type="http://schemas.openxmlformats.org/officeDocument/2006/relationships/hyperlink" Target="https://homedepot.ca/" TargetMode="External"/><Relationship Id="rId23" Type="http://schemas.openxmlformats.org/officeDocument/2006/relationships/hyperlink" Target="https://www.coppel.com/" TargetMode="External"/><Relationship Id="rId28" Type="http://schemas.openxmlformats.org/officeDocument/2006/relationships/hyperlink" Target="https://www.lg.com/uk" TargetMode="External"/><Relationship Id="rId36" Type="http://schemas.openxmlformats.org/officeDocument/2006/relationships/hyperlink" Target="https://www.courts.com.sg/" TargetMode="External"/><Relationship Id="rId10" Type="http://schemas.openxmlformats.org/officeDocument/2006/relationships/hyperlink" Target="https://www.samsung.com/au" TargetMode="External"/><Relationship Id="rId19" Type="http://schemas.openxmlformats.org/officeDocument/2006/relationships/hyperlink" Target="https://www.lg.com/es" TargetMode="External"/><Relationship Id="rId31" Type="http://schemas.openxmlformats.org/officeDocument/2006/relationships/hyperlink" Target="http://www.amazon.in/" TargetMode="External"/><Relationship Id="rId4" Type="http://schemas.openxmlformats.org/officeDocument/2006/relationships/hyperlink" Target="https://www.samsung.com/fr" TargetMode="External"/><Relationship Id="rId9" Type="http://schemas.openxmlformats.org/officeDocument/2006/relationships/hyperlink" Target="https://www.samsung,.com/mx" TargetMode="External"/><Relationship Id="rId14" Type="http://schemas.openxmlformats.org/officeDocument/2006/relationships/hyperlink" Target="https://site.fastshop.com.br/" TargetMode="External"/><Relationship Id="rId22" Type="http://schemas.openxmlformats.org/officeDocument/2006/relationships/hyperlink" Target="https://www.lg.com/mx" TargetMode="External"/><Relationship Id="rId27" Type="http://schemas.openxmlformats.org/officeDocument/2006/relationships/hyperlink" Target="https://www.lg.com/tw" TargetMode="External"/><Relationship Id="rId30" Type="http://schemas.openxmlformats.org/officeDocument/2006/relationships/hyperlink" Target="https://www.lg.com/vn" TargetMode="External"/><Relationship Id="rId35" Type="http://schemas.openxmlformats.org/officeDocument/2006/relationships/hyperlink" Target="https://www.mediamarkt.de/" TargetMode="External"/><Relationship Id="rId8" Type="http://schemas.openxmlformats.org/officeDocument/2006/relationships/hyperlink" Target="https://www.samsung.com/br" TargetMode="External"/><Relationship Id="rId3" Type="http://schemas.openxmlformats.org/officeDocument/2006/relationships/hyperlink" Target="https://www.samsung.com/uk" TargetMode="External"/><Relationship Id="rId12" Type="http://schemas.openxmlformats.org/officeDocument/2006/relationships/hyperlink" Target="https://www.lg.com/br" TargetMode="External"/><Relationship Id="rId17" Type="http://schemas.openxmlformats.org/officeDocument/2006/relationships/hyperlink" Target="https://www.lg.com/au" TargetMode="External"/><Relationship Id="rId25" Type="http://schemas.openxmlformats.org/officeDocument/2006/relationships/hyperlink" Target="https://www.lg.com/th" TargetMode="External"/><Relationship Id="rId33" Type="http://schemas.openxmlformats.org/officeDocument/2006/relationships/hyperlink" Target="https://www.sears.mx/" TargetMode="External"/><Relationship Id="rId38" Type="http://schemas.openxmlformats.org/officeDocument/2006/relationships/hyperlink" Target="https://dienmaycholon.vn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br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samsung.com/uk" TargetMode="External"/><Relationship Id="rId7" Type="http://schemas.openxmlformats.org/officeDocument/2006/relationships/hyperlink" Target="https://www.samsung.com/es" TargetMode="External"/><Relationship Id="rId12" Type="http://schemas.openxmlformats.org/officeDocument/2006/relationships/hyperlink" Target="https://www.lg.com/br" TargetMode="External"/><Relationship Id="rId2" Type="http://schemas.openxmlformats.org/officeDocument/2006/relationships/hyperlink" Target="https://www.samsung.com/ca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https://www.samsung.com/us" TargetMode="External"/><Relationship Id="rId6" Type="http://schemas.openxmlformats.org/officeDocument/2006/relationships/hyperlink" Target="https://www.samsung.com/it" TargetMode="External"/><Relationship Id="rId11" Type="http://schemas.openxmlformats.org/officeDocument/2006/relationships/hyperlink" Target="https://www.casasbahia.com.br/" TargetMode="External"/><Relationship Id="rId5" Type="http://schemas.openxmlformats.org/officeDocument/2006/relationships/hyperlink" Target="https://www.samsung.com/de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samsung.com/au" TargetMode="External"/><Relationship Id="rId4" Type="http://schemas.openxmlformats.org/officeDocument/2006/relationships/hyperlink" Target="https://www.samsung.com/fr" TargetMode="External"/><Relationship Id="rId9" Type="http://schemas.openxmlformats.org/officeDocument/2006/relationships/hyperlink" Target="https://www.samsung,.com/mx" TargetMode="External"/><Relationship Id="rId1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o.com/l/tumble_dryers/1/17/?pagesize=60&amp;page=0" TargetMode="External"/><Relationship Id="rId2" Type="http://schemas.openxmlformats.org/officeDocument/2006/relationships/hyperlink" Target="https://ao.com/l/washer_dryers/1/2/?pagesize=60&amp;page=0" TargetMode="External"/><Relationship Id="rId1" Type="http://schemas.openxmlformats.org/officeDocument/2006/relationships/pivotTable" Target="../pivotTables/pivotTable4.xml"/><Relationship Id="rId4" Type="http://schemas.openxmlformats.org/officeDocument/2006/relationships/hyperlink" Target="https://www.elcorteingles.es/electrodomesticos/frigorificos-y-congeladores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tto.de/technik/monitor/" TargetMode="External"/><Relationship Id="rId299" Type="http://schemas.openxmlformats.org/officeDocument/2006/relationships/hyperlink" Target="https://24h.pchome.com.tw/store/DPAC9V?style=2" TargetMode="External"/><Relationship Id="rId21" Type="http://schemas.openxmlformats.org/officeDocument/2006/relationships/hyperlink" Target="https://www.fnac.com/Refrigerateurs-Americains/Par-type/nsh501321/w-4" TargetMode="External"/><Relationship Id="rId63" Type="http://schemas.openxmlformats.org/officeDocument/2006/relationships/hyperlink" Target="https://www.amazon.com.au/b?node=4913311051&amp;ref=lp_10610313051_ex_n_1" TargetMode="External"/><Relationship Id="rId159" Type="http://schemas.openxmlformats.org/officeDocument/2006/relationships/hyperlink" Target="https://m.darty.com/m/achat/hifi_video/casque_ecouteurs/casque_intra-auriculaire/filtre__ecouteurs_bluetooth__1032485.html" TargetMode="External"/><Relationship Id="rId324" Type="http://schemas.openxmlformats.org/officeDocument/2006/relationships/hyperlink" Target="https://24h.pchome.com.tw/store/DPAC6I?style=2" TargetMode="External"/><Relationship Id="rId366" Type="http://schemas.openxmlformats.org/officeDocument/2006/relationships/hyperlink" Target="https://www.mediaworld.it/it/category/cucine-600607.html" TargetMode="External"/><Relationship Id="rId170" Type="http://schemas.openxmlformats.org/officeDocument/2006/relationships/hyperlink" Target="https://www.bestbuy.com/site/vacuums-floor-care/handheld-vacuums/abcat0911004.c?id=abcat0911004" TargetMode="External"/><Relationship Id="rId226" Type="http://schemas.openxmlformats.org/officeDocument/2006/relationships/hyperlink" Target="https://www.costco.com/monitors.html" TargetMode="External"/><Relationship Id="rId433" Type="http://schemas.openxmlformats.org/officeDocument/2006/relationships/hyperlink" Target="https://www.mediamarkt.de/de/category/notebooks-zubeh%C3%B6r-345.html?page=1" TargetMode="External"/><Relationship Id="rId268" Type="http://schemas.openxmlformats.org/officeDocument/2006/relationships/hyperlink" Target="https://24h.pchome.com.tw/store/DSBB35?style=2" TargetMode="External"/><Relationship Id="rId475" Type="http://schemas.openxmlformats.org/officeDocument/2006/relationships/hyperlink" Target="https://www.thebrick.com/collections/appliances-specialty-appliances?refinementList%5Bproduct_type%5D%5B0%5D=Clothes%20Steamer" TargetMode="External"/><Relationship Id="rId32" Type="http://schemas.openxmlformats.org/officeDocument/2006/relationships/hyperlink" Target="https://www.fnac.com/Casque-Bluetooth-sans-fil/Casque-par-usage/nsh450503/w-4?PageIndex=1&amp;SDM=list" TargetMode="External"/><Relationship Id="rId74" Type="http://schemas.openxmlformats.org/officeDocument/2006/relationships/hyperlink" Target="https://www.amazon.ca/s?rh=n%3A677252011&amp;fs=true&amp;ref=lp_677252011_sar" TargetMode="External"/><Relationship Id="rId128" Type="http://schemas.openxmlformats.org/officeDocument/2006/relationships/hyperlink" Target="https://mediamart.vn/loabluetooth" TargetMode="External"/><Relationship Id="rId335" Type="http://schemas.openxmlformats.org/officeDocument/2006/relationships/hyperlink" Target="https://24h.pchome.com.tw/store/DPAI2A?style=2" TargetMode="External"/><Relationship Id="rId377" Type="http://schemas.openxmlformats.org/officeDocument/2006/relationships/hyperlink" Target="https://ao.com/l/washing_machines-7633/1-20/1/?pagesize=60&amp;page=0" TargetMode="External"/><Relationship Id="rId5" Type="http://schemas.openxmlformats.org/officeDocument/2006/relationships/hyperlink" Target="https://www.amazon.com/s?k=AIR+CONDITIONER&amp;crid=M5SN4DQURQBY&amp;sprefix=dish+washer%2Caps%2C1325&amp;ref=nb_sb_noss" TargetMode="External"/><Relationship Id="rId181" Type="http://schemas.openxmlformats.org/officeDocument/2006/relationships/hyperlink" Target="https://www.magazineluiza.com.br/soundbar/audio/s/ea/sdbr/" TargetMode="External"/><Relationship Id="rId237" Type="http://schemas.openxmlformats.org/officeDocument/2006/relationships/hyperlink" Target="https://24h.pchome.com.tw/store/DPADUG?style=2" TargetMode="External"/><Relationship Id="rId402" Type="http://schemas.openxmlformats.org/officeDocument/2006/relationships/hyperlink" Target="https://ao.com/l/soundbars/1/107-109-111/?pagesize=60&amp;page=0" TargetMode="External"/><Relationship Id="rId279" Type="http://schemas.openxmlformats.org/officeDocument/2006/relationships/hyperlink" Target="https://24h.pchome.com.tw/store/DSBB0W?style=2" TargetMode="External"/><Relationship Id="rId444" Type="http://schemas.openxmlformats.org/officeDocument/2006/relationships/hyperlink" Target="https://www.mediamarkt.es/es/category/hornos-598.html" TargetMode="External"/><Relationship Id="rId43" Type="http://schemas.openxmlformats.org/officeDocument/2006/relationships/hyperlink" Target="https://www.amazon.de/s?i=electronics&amp;bbn=570278&amp;rh=n%3A562066%2Cn%3A17303695031%2Cn%3A570278%2Cn%3A3468591&amp;dc&amp;fs=true" TargetMode="External"/><Relationship Id="rId139" Type="http://schemas.openxmlformats.org/officeDocument/2006/relationships/hyperlink" Target="https://m.darty.com/m/achat/gros_electromenager/refrigerateurs/refrigerateur_sous_plan/index.html" TargetMode="External"/><Relationship Id="rId290" Type="http://schemas.openxmlformats.org/officeDocument/2006/relationships/hyperlink" Target="https://24h.pchome.com.tw/store/DSBB08?style=2" TargetMode="External"/><Relationship Id="rId304" Type="http://schemas.openxmlformats.org/officeDocument/2006/relationships/hyperlink" Target="https://24h.pchome.com.tw/store/DPACDL?style=2" TargetMode="External"/><Relationship Id="rId346" Type="http://schemas.openxmlformats.org/officeDocument/2006/relationships/hyperlink" Target="https://24h.pchome.com.tw/store/DYAQ9Q" TargetMode="External"/><Relationship Id="rId388" Type="http://schemas.openxmlformats.org/officeDocument/2006/relationships/hyperlink" Target="https://ao.com/l/tvs-43_inches_to_54_inches/1-91/107-108/?pagesize=60&amp;page=0" TargetMode="External"/><Relationship Id="rId85" Type="http://schemas.openxmlformats.org/officeDocument/2006/relationships/hyperlink" Target="https://www.bestbuy.ca/en-ca/category/washing-machines/33931p?icmp=mdot_shopbynav_Washing_Machines" TargetMode="External"/><Relationship Id="rId150" Type="http://schemas.openxmlformats.org/officeDocument/2006/relationships/hyperlink" Target="https://m.darty.com/m/achat/hifi_video/televiseurs-led/grand_ecran_led/filtre__tv_qled__1692836.html" TargetMode="External"/><Relationship Id="rId192" Type="http://schemas.openxmlformats.org/officeDocument/2006/relationships/hyperlink" Target="https://www.lazada.sg/shop-smart-tvs/?spm=a2o42.searchlistcategory.cate_3_1.2.64936046qFQ1BS" TargetMode="External"/><Relationship Id="rId206" Type="http://schemas.openxmlformats.org/officeDocument/2006/relationships/hyperlink" Target="https://www.lazada.co.th/shop-soundbar-speakers-home-theater/?spm=a2o4m.searchlist.breadcrumb.4.69c51a09fZyNCw" TargetMode="External"/><Relationship Id="rId413" Type="http://schemas.openxmlformats.org/officeDocument/2006/relationships/hyperlink" Target="https://www.mediamarkt.de/de/category/frontlader-923.html?page=1" TargetMode="External"/><Relationship Id="rId248" Type="http://schemas.openxmlformats.org/officeDocument/2006/relationships/hyperlink" Target="https://24h.pchome.com.tw/store/DMAU4D?style=2" TargetMode="External"/><Relationship Id="rId455" Type="http://schemas.openxmlformats.org/officeDocument/2006/relationships/hyperlink" Target="https://www.elcorteingles.es/electrodomesticos/hornos-placas-y-campanas/hornos-de-cocina" TargetMode="External"/><Relationship Id="rId12" Type="http://schemas.openxmlformats.org/officeDocument/2006/relationships/hyperlink" Target="https://www.amazon.it/s?rh=n%3A473352031&amp;fs=true&amp;ref=lp_473352031_sar" TargetMode="External"/><Relationship Id="rId108" Type="http://schemas.openxmlformats.org/officeDocument/2006/relationships/hyperlink" Target="https://www.extra.com/ar-sa/computer/c/3/facet/familyEn:Monitors:familyEn:Projectors?q=:relevance:familyEn:Monitors:familyEn:Projectors:inStock:true&amp;text=&amp;pageSize=96&amp;pg=0&amp;sort=relevance" TargetMode="External"/><Relationship Id="rId315" Type="http://schemas.openxmlformats.org/officeDocument/2006/relationships/hyperlink" Target="https://24h.pchome.com.tw/store/DPACEH?style=2" TargetMode="External"/><Relationship Id="rId357" Type="http://schemas.openxmlformats.org/officeDocument/2006/relationships/hyperlink" Target="https://www.mediaworld.it/it/category/tv-nanocell-400106.html" TargetMode="External"/><Relationship Id="rId54" Type="http://schemas.openxmlformats.org/officeDocument/2006/relationships/hyperlink" Target="https://www.amazon.co.uk/b/ref=dp_bc_3?ie=UTF8&amp;node=13528548031" TargetMode="External"/><Relationship Id="rId96" Type="http://schemas.openxmlformats.org/officeDocument/2006/relationships/hyperlink" Target="https://www.elgiganten.se/vitvaror/kyl-frys" TargetMode="External"/><Relationship Id="rId161" Type="http://schemas.openxmlformats.org/officeDocument/2006/relationships/hyperlink" Target="https://m.darty.com/m/achat/informatique/ordinateur_portable/portable/index.html" TargetMode="External"/><Relationship Id="rId217" Type="http://schemas.openxmlformats.org/officeDocument/2006/relationships/hyperlink" Target="https://www.costco.ca/speakers.html" TargetMode="External"/><Relationship Id="rId399" Type="http://schemas.openxmlformats.org/officeDocument/2006/relationships/hyperlink" Target="https://ao.com/l/tvs/1/107-108/?pagesize=60&amp;page=0" TargetMode="External"/><Relationship Id="rId259" Type="http://schemas.openxmlformats.org/officeDocument/2006/relationships/hyperlink" Target="https://24h.pchome.com.tw/store/DSAB69?style=2" TargetMode="External"/><Relationship Id="rId424" Type="http://schemas.openxmlformats.org/officeDocument/2006/relationships/hyperlink" Target="https://www.mediamarkt.de/de/category/8k-fernseher-2302.html?page=1" TargetMode="External"/><Relationship Id="rId466" Type="http://schemas.openxmlformats.org/officeDocument/2006/relationships/hyperlink" Target="https://www.falabella.com/falabella-cl/category/cat7190148/Smart-TV" TargetMode="External"/><Relationship Id="rId23" Type="http://schemas.openxmlformats.org/officeDocument/2006/relationships/hyperlink" Target="https://www.fnac.com/Lave-linge-hublot/Par-type/nsh501247/w-4" TargetMode="External"/><Relationship Id="rId119" Type="http://schemas.openxmlformats.org/officeDocument/2006/relationships/hyperlink" Target="https://www.otto.de/technik/audio/soundbar/" TargetMode="External"/><Relationship Id="rId270" Type="http://schemas.openxmlformats.org/officeDocument/2006/relationships/hyperlink" Target="https://24h.pchome.com.tw/store/DSABLQ?style=2" TargetMode="External"/><Relationship Id="rId326" Type="http://schemas.openxmlformats.org/officeDocument/2006/relationships/hyperlink" Target="https://24h.pchome.com.tw/store/DPAC6G?style=2" TargetMode="External"/><Relationship Id="rId65" Type="http://schemas.openxmlformats.org/officeDocument/2006/relationships/hyperlink" Target="https://www.amazon.co.jp/s?rh=n%3A16299421&amp;fs=true&amp;ref=lp_16299421_sar" TargetMode="External"/><Relationship Id="rId130" Type="http://schemas.openxmlformats.org/officeDocument/2006/relationships/hyperlink" Target="https://mediamart.vn/tai-nghe-headphone" TargetMode="External"/><Relationship Id="rId368" Type="http://schemas.openxmlformats.org/officeDocument/2006/relationships/hyperlink" Target="https://ao.com/l/washing_machines-free_standing/1-9/1/?pagesize=60&amp;page=0" TargetMode="External"/><Relationship Id="rId172" Type="http://schemas.openxmlformats.org/officeDocument/2006/relationships/hyperlink" Target="https://www.bestbuy.com/site/washers-dryers/dryers/abcat0910004.c?id=abcat0910004" TargetMode="External"/><Relationship Id="rId228" Type="http://schemas.openxmlformats.org/officeDocument/2006/relationships/hyperlink" Target="https://www.costco.com/home-theater-systems.html" TargetMode="External"/><Relationship Id="rId435" Type="http://schemas.openxmlformats.org/officeDocument/2006/relationships/hyperlink" Target="https://www.mediamarkt.es/es/category/televisores-399.html" TargetMode="External"/><Relationship Id="rId477" Type="http://schemas.openxmlformats.org/officeDocument/2006/relationships/hyperlink" Target="https://www.amazon.co.uk/b/ref=dp_bc_3?ie=UTF8&amp;node=13528548031" TargetMode="External"/><Relationship Id="rId281" Type="http://schemas.openxmlformats.org/officeDocument/2006/relationships/hyperlink" Target="https://24h.pchome.com.tw/store/DSBB1H?style=2" TargetMode="External"/><Relationship Id="rId337" Type="http://schemas.openxmlformats.org/officeDocument/2006/relationships/hyperlink" Target="https://24h.pchome.com.tw/store/DPAI2C?style=2" TargetMode="External"/><Relationship Id="rId34" Type="http://schemas.openxmlformats.org/officeDocument/2006/relationships/hyperlink" Target="https://www.fnac.com/Lave-vaisselle-45-cm/Par-type/nsh522676/w-4" TargetMode="External"/><Relationship Id="rId76" Type="http://schemas.openxmlformats.org/officeDocument/2006/relationships/hyperlink" Target="https://www.amazon.in/s?rh=n%3A1380369031&amp;fs=true&amp;ref=lp_1380369031_sar" TargetMode="External"/><Relationship Id="rId141" Type="http://schemas.openxmlformats.org/officeDocument/2006/relationships/hyperlink" Target="https://m.darty.com/m/achat/gros_electromenager/lave-linge/lave_linge_hublot/index.html" TargetMode="External"/><Relationship Id="rId379" Type="http://schemas.openxmlformats.org/officeDocument/2006/relationships/hyperlink" Target="https://ao.com/l/washing_machines-samsung-8089/1-6-20/1/?pagesize=60&amp;page=0" TargetMode="External"/><Relationship Id="rId7" Type="http://schemas.openxmlformats.org/officeDocument/2006/relationships/hyperlink" Target="https://www.amazon.com/s?k=SOUND+BAR&amp;crid=SQ8MLAQ0HQNF&amp;sprefix=washing+machine%2Caps%2C571&amp;ref=nb_sb_noss" TargetMode="External"/><Relationship Id="rId183" Type="http://schemas.openxmlformats.org/officeDocument/2006/relationships/hyperlink" Target="https://www.homedepot.ca/en/home/categories/appliances/refrigerators.html?products=" TargetMode="External"/><Relationship Id="rId239" Type="http://schemas.openxmlformats.org/officeDocument/2006/relationships/hyperlink" Target="https://24h.pchome.com.tw/store/DPADJU?style=2" TargetMode="External"/><Relationship Id="rId390" Type="http://schemas.openxmlformats.org/officeDocument/2006/relationships/hyperlink" Target="https://ao.com/l/tvs-up_to_31_inches/1-91/107-108/?pagesize=60&amp;page=0" TargetMode="External"/><Relationship Id="rId404" Type="http://schemas.openxmlformats.org/officeDocument/2006/relationships/hyperlink" Target="https://ao.com/l/soundbars-lg/1-6/107-109-111/?pagesize=60&amp;page=0" TargetMode="External"/><Relationship Id="rId446" Type="http://schemas.openxmlformats.org/officeDocument/2006/relationships/hyperlink" Target="https://www.elcorteingles.es/electrodomesticos/lavadoras" TargetMode="External"/><Relationship Id="rId250" Type="http://schemas.openxmlformats.org/officeDocument/2006/relationships/hyperlink" Target="https://24h.pchome.com.tw/store/DSAB33?style=2" TargetMode="External"/><Relationship Id="rId292" Type="http://schemas.openxmlformats.org/officeDocument/2006/relationships/hyperlink" Target="https://24h.pchome.com.tw/store/DSBB14?style=2" TargetMode="External"/><Relationship Id="rId306" Type="http://schemas.openxmlformats.org/officeDocument/2006/relationships/hyperlink" Target="https://24h.pchome.com.tw/store/DPAC41?style=2" TargetMode="External"/><Relationship Id="rId45" Type="http://schemas.openxmlformats.org/officeDocument/2006/relationships/hyperlink" Target="https://www.amazon.de/s?rh=n%3A111544011&amp;fs=true&amp;language=de_DE&amp;currency=EUR&amp;ref=lp_111544011_sar" TargetMode="External"/><Relationship Id="rId87" Type="http://schemas.openxmlformats.org/officeDocument/2006/relationships/hyperlink" Target="https://www.bestbuy.ca/en-ca/category/monitors/20367" TargetMode="External"/><Relationship Id="rId110" Type="http://schemas.openxmlformats.org/officeDocument/2006/relationships/hyperlink" Target="https://www.extra.com/ar-sa/mobiles-tablets/portable-audio/speaker/c/2-623-3?q=:relevance:inStock:true&amp;text=&amp;pageSize=96&amp;pg=0&amp;sort=relevance" TargetMode="External"/><Relationship Id="rId348" Type="http://schemas.openxmlformats.org/officeDocument/2006/relationships/hyperlink" Target="https://24h.pchome.com.tw/store/DYAQBC" TargetMode="External"/><Relationship Id="rId152" Type="http://schemas.openxmlformats.org/officeDocument/2006/relationships/hyperlink" Target="https://m.darty.com/m/achat/hifi_video/tous_ecrans_plats/filtre__smart_tv__1689773.html" TargetMode="External"/><Relationship Id="rId194" Type="http://schemas.openxmlformats.org/officeDocument/2006/relationships/hyperlink" Target="https://www.lazada.sg/shop-refrigerators/?spm=a2o42.searchlistcategory.cate_3_4.3.7d354cfd4ebC4Z" TargetMode="External"/><Relationship Id="rId208" Type="http://schemas.openxmlformats.org/officeDocument/2006/relationships/hyperlink" Target="https://www.coolblue.nl/aircos/filter" TargetMode="External"/><Relationship Id="rId415" Type="http://schemas.openxmlformats.org/officeDocument/2006/relationships/hyperlink" Target="https://www.mediamarkt.de/de/category/platzsparende-waschmaschinen-925.html?page=1" TargetMode="External"/><Relationship Id="rId457" Type="http://schemas.openxmlformats.org/officeDocument/2006/relationships/hyperlink" Target="https://www.dienmayxanh.com/may-giat" TargetMode="External"/><Relationship Id="rId261" Type="http://schemas.openxmlformats.org/officeDocument/2006/relationships/hyperlink" Target="https://24h.pchome.com.tw/store/DSAB6N?style=2" TargetMode="External"/><Relationship Id="rId14" Type="http://schemas.openxmlformats.org/officeDocument/2006/relationships/hyperlink" Target="https://www.amazon.it/s?rh=n%3A460158031&amp;fs=true&amp;ref=lp_460158031_sar" TargetMode="External"/><Relationship Id="rId56" Type="http://schemas.openxmlformats.org/officeDocument/2006/relationships/hyperlink" Target="https://www.amazon.co.uk/s?bbn=560798&amp;rh=n%3A560864&amp;fs=true&amp;ref=lp_560864_sar" TargetMode="External"/><Relationship Id="rId317" Type="http://schemas.openxmlformats.org/officeDocument/2006/relationships/hyperlink" Target="https://24h.pchome.com.tw/store/DPACEK?style=2" TargetMode="External"/><Relationship Id="rId359" Type="http://schemas.openxmlformats.org/officeDocument/2006/relationships/hyperlink" Target="https://www.mediaworld.it/it/category/frigoriferi-6004.html" TargetMode="External"/><Relationship Id="rId98" Type="http://schemas.openxmlformats.org/officeDocument/2006/relationships/hyperlink" Target="https://www.elgiganten.se/tv-ljud-smart-hem/tv-tillbehor/tv" TargetMode="External"/><Relationship Id="rId121" Type="http://schemas.openxmlformats.org/officeDocument/2006/relationships/hyperlink" Target="https://www.otto.de/technik/laptop/" TargetMode="External"/><Relationship Id="rId163" Type="http://schemas.openxmlformats.org/officeDocument/2006/relationships/hyperlink" Target="https://www.bestbuy.com/site/refrigerators/all-refrigerators/pcmcat367400050001.c?id=pcmcat367400050001" TargetMode="External"/><Relationship Id="rId219" Type="http://schemas.openxmlformats.org/officeDocument/2006/relationships/hyperlink" Target="https://www.costco.com/vacuums-floor-care.html" TargetMode="External"/><Relationship Id="rId370" Type="http://schemas.openxmlformats.org/officeDocument/2006/relationships/hyperlink" Target="https://ao.com/l/washing_machines-10--or--102e5--or--11--or--12--or--14_wash_load/1-4/1/?pagesize=60&amp;page=0" TargetMode="External"/><Relationship Id="rId426" Type="http://schemas.openxmlformats.org/officeDocument/2006/relationships/hyperlink" Target="https://www.mediamarkt.de/de/category/qned-tvs-9753.html?page=1" TargetMode="External"/><Relationship Id="rId230" Type="http://schemas.openxmlformats.org/officeDocument/2006/relationships/hyperlink" Target="https://www.costco.com/s?dept=All&amp;keyword=styler" TargetMode="External"/><Relationship Id="rId468" Type="http://schemas.openxmlformats.org/officeDocument/2006/relationships/hyperlink" Target="https://www.falabella.com/falabella-cl/category/cat1700004/Soundbar" TargetMode="External"/><Relationship Id="rId25" Type="http://schemas.openxmlformats.org/officeDocument/2006/relationships/hyperlink" Target="https://www.fnac.com/Lave-linge-sechant/Par-type/nsh501250/w-4" TargetMode="External"/><Relationship Id="rId67" Type="http://schemas.openxmlformats.org/officeDocument/2006/relationships/hyperlink" Target="https://www.amazon.co.jp/s?rh=n%3A2151982051&amp;fs=true&amp;language=en&amp;ref=lp_2151982051_sar" TargetMode="External"/><Relationship Id="rId272" Type="http://schemas.openxmlformats.org/officeDocument/2006/relationships/hyperlink" Target="https://24h.pchome.com.tw/store/DSBB3W?style=2" TargetMode="External"/><Relationship Id="rId328" Type="http://schemas.openxmlformats.org/officeDocument/2006/relationships/hyperlink" Target="https://24h.pchome.com.tw/store/DPAI1S?style=2" TargetMode="External"/><Relationship Id="rId132" Type="http://schemas.openxmlformats.org/officeDocument/2006/relationships/hyperlink" Target="https://mediamart.vn/may-say-toc" TargetMode="External"/><Relationship Id="rId174" Type="http://schemas.openxmlformats.org/officeDocument/2006/relationships/hyperlink" Target="https://www.bestbuy.com/site/home-appliances/irons-steamers/pcmcat305400050001.c?id=pcmcat305400050001" TargetMode="External"/><Relationship Id="rId381" Type="http://schemas.openxmlformats.org/officeDocument/2006/relationships/hyperlink" Target="https://ao.com/l/fridges-free_standing-height_less_than_90_cm/1-9-25/29-30/?pagesize=60&amp;page=0" TargetMode="External"/><Relationship Id="rId241" Type="http://schemas.openxmlformats.org/officeDocument/2006/relationships/hyperlink" Target="https://24h.pchome.com.tw/store/DPADTK?style=2" TargetMode="External"/><Relationship Id="rId437" Type="http://schemas.openxmlformats.org/officeDocument/2006/relationships/hyperlink" Target="https://www.mediamarkt.es/es/category/frigor%C3%ADficos-554.html" TargetMode="External"/><Relationship Id="rId479" Type="http://schemas.openxmlformats.org/officeDocument/2006/relationships/hyperlink" Target="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" TargetMode="External"/><Relationship Id="rId36" Type="http://schemas.openxmlformats.org/officeDocument/2006/relationships/hyperlink" Target="https://www.fnac.com/Marques-de-four/Four/nsh565381/w-4" TargetMode="External"/><Relationship Id="rId283" Type="http://schemas.openxmlformats.org/officeDocument/2006/relationships/hyperlink" Target="https://24h.pchome.com.tw/store/DSBB05?style=2" TargetMode="External"/><Relationship Id="rId339" Type="http://schemas.openxmlformats.org/officeDocument/2006/relationships/hyperlink" Target="https://24h.pchome.com.tw/store/DPAI2E?style=2" TargetMode="External"/><Relationship Id="rId78" Type="http://schemas.openxmlformats.org/officeDocument/2006/relationships/hyperlink" Target="https://www.amazon.in/s?rh=n%3A1375425031&amp;fs=true&amp;ref=lp_1375425031_sar" TargetMode="External"/><Relationship Id="rId101" Type="http://schemas.openxmlformats.org/officeDocument/2006/relationships/hyperlink" Target="https://www.elgiganten.se/tv-ljud-smart-hem/hogtalare-hifi/hogtalare" TargetMode="External"/><Relationship Id="rId143" Type="http://schemas.openxmlformats.org/officeDocument/2006/relationships/hyperlink" Target="https://m.darty.com/m/achat/gros_electromenager/lave-linge/lave_linge_sechant/index.html" TargetMode="External"/><Relationship Id="rId185" Type="http://schemas.openxmlformats.org/officeDocument/2006/relationships/hyperlink" Target="https://www.homedepot.ca/en/home/categories/appliances/heating-cooling-and-air-quality/air-conditioners/wall-air-conditioners.html" TargetMode="External"/><Relationship Id="rId350" Type="http://schemas.openxmlformats.org/officeDocument/2006/relationships/hyperlink" Target="https://24h.pchome.com.tw/store/DYAQ9D" TargetMode="External"/><Relationship Id="rId406" Type="http://schemas.openxmlformats.org/officeDocument/2006/relationships/hyperlink" Target="https://ao.com/l/home_cinema_and_soundbars-sonos/1-6/107-109/?pagesize=60&amp;page=0" TargetMode="External"/><Relationship Id="rId9" Type="http://schemas.openxmlformats.org/officeDocument/2006/relationships/hyperlink" Target="https://www.amazon.com/s?k=CORDLESS+STICK+VACUUM&amp;ref=nb_sb_noss" TargetMode="External"/><Relationship Id="rId210" Type="http://schemas.openxmlformats.org/officeDocument/2006/relationships/hyperlink" Target="https://www.costco.ca/refrigerators.html" TargetMode="External"/><Relationship Id="rId392" Type="http://schemas.openxmlformats.org/officeDocument/2006/relationships/hyperlink" Target="https://ao.com/l/tvs-2086/1-92/107-108/?pagesize=60&amp;page=0" TargetMode="External"/><Relationship Id="rId448" Type="http://schemas.openxmlformats.org/officeDocument/2006/relationships/hyperlink" Target="https://www.elcorteingles.es/electronica/tv/tv-oled" TargetMode="External"/><Relationship Id="rId252" Type="http://schemas.openxmlformats.org/officeDocument/2006/relationships/hyperlink" Target="https://24h.pchome.com.tw/store/DSAB30?style=2" TargetMode="External"/><Relationship Id="rId294" Type="http://schemas.openxmlformats.org/officeDocument/2006/relationships/hyperlink" Target="https://24h.pchome.com.tw/store/DHAALF?style=2" TargetMode="External"/><Relationship Id="rId308" Type="http://schemas.openxmlformats.org/officeDocument/2006/relationships/hyperlink" Target="https://24h.pchome.com.tw/store/DPAC37?style=2" TargetMode="External"/><Relationship Id="rId47" Type="http://schemas.openxmlformats.org/officeDocument/2006/relationships/hyperlink" Target="https://www.amazon.es/s?rh=n%3A14565205031&amp;language=es_ES&amp;brr=1&amp;rd=1" TargetMode="External"/><Relationship Id="rId89" Type="http://schemas.openxmlformats.org/officeDocument/2006/relationships/hyperlink" Target="https://www.bestbuy.ca/en-ca/category/sound-bars/28817" TargetMode="External"/><Relationship Id="rId112" Type="http://schemas.openxmlformats.org/officeDocument/2006/relationships/hyperlink" Target="https://www.extra.com/ar-sa/mobiles-tablets/portable-audio/head-phones/c/2-623-5/facet/?q=:relevance:inStock:true&amp;text=&amp;pageSize=96&amp;pg=0&amp;sort=relevance" TargetMode="External"/><Relationship Id="rId154" Type="http://schemas.openxmlformats.org/officeDocument/2006/relationships/hyperlink" Target="https://m.darty.com/m/achat/informatique/ecran_informatique/index.html" TargetMode="External"/><Relationship Id="rId361" Type="http://schemas.openxmlformats.org/officeDocument/2006/relationships/hyperlink" Target="https://www.mediaworld.it/it/category/soundbar-400702.html" TargetMode="External"/><Relationship Id="rId196" Type="http://schemas.openxmlformats.org/officeDocument/2006/relationships/hyperlink" Target="https://www.lazada.sg/shop-ce-headphones/?spm=a2o42.searchlistcategory.cate_1_2.1.6e9e7d39sZDMzx" TargetMode="External"/><Relationship Id="rId417" Type="http://schemas.openxmlformats.org/officeDocument/2006/relationships/hyperlink" Target="https://www.mediamarkt.de/de/category/led-lcd-tvs-205.html?page=1" TargetMode="External"/><Relationship Id="rId459" Type="http://schemas.openxmlformats.org/officeDocument/2006/relationships/hyperlink" Target="https://www.dienmayxanh.com/dan-loa-dvd-loa-bluetooth" TargetMode="External"/><Relationship Id="rId16" Type="http://schemas.openxmlformats.org/officeDocument/2006/relationships/hyperlink" Target="https://www.amazon.it/s?k=forno&amp;i=appliances&amp;rh=n%3A5750400031%2Cp_n_feature_thirteen_browse-bin%3A14567717031&amp;dc&amp;ds=v1%3AQvjHMgQhZbLHhdv4RM958RhNEKMui0Z13CkiiHITRXA&amp;qid=1713516348&amp;rnid=14567716031&amp;ref=sr_nr_p_n_feature_thirteen_browse-bin_1" TargetMode="External"/><Relationship Id="rId221" Type="http://schemas.openxmlformats.org/officeDocument/2006/relationships/hyperlink" Target="https://www.costco.com/electric-dryers.html" TargetMode="External"/><Relationship Id="rId263" Type="http://schemas.openxmlformats.org/officeDocument/2006/relationships/hyperlink" Target="https://24h.pchome.com.tw/store/DSABHI?style=2" TargetMode="External"/><Relationship Id="rId319" Type="http://schemas.openxmlformats.org/officeDocument/2006/relationships/hyperlink" Target="https://24h.pchome.com.tw/store/DPACEL?style=2" TargetMode="External"/><Relationship Id="rId470" Type="http://schemas.openxmlformats.org/officeDocument/2006/relationships/hyperlink" Target="https://www.thebrick.com/collections/appliances-kitchen-refrigerators" TargetMode="External"/><Relationship Id="rId58" Type="http://schemas.openxmlformats.org/officeDocument/2006/relationships/hyperlink" Target="https://www.amazon.co.uk/s?bbn=560798&amp;rh=n%3A16700222031&amp;language=en_GB&amp;_encoding=UTF8" TargetMode="External"/><Relationship Id="rId123" Type="http://schemas.openxmlformats.org/officeDocument/2006/relationships/hyperlink" Target="https://mediamart.vn/tu-lanh" TargetMode="External"/><Relationship Id="rId330" Type="http://schemas.openxmlformats.org/officeDocument/2006/relationships/hyperlink" Target="https://24h.pchome.com.tw/store/DPAIC0?style=2" TargetMode="External"/><Relationship Id="rId165" Type="http://schemas.openxmlformats.org/officeDocument/2006/relationships/hyperlink" Target="https://www.bestbuy.com/site/tvs/all-flat-screen-tvs/abcat0101001.c?id=abcat0101001" TargetMode="External"/><Relationship Id="rId372" Type="http://schemas.openxmlformats.org/officeDocument/2006/relationships/hyperlink" Target="https://ao.com/l/washing_machines-lg/1-6/1/?pagesize=60&amp;page=0" TargetMode="External"/><Relationship Id="rId428" Type="http://schemas.openxmlformats.org/officeDocument/2006/relationships/hyperlink" Target="https://www.mediamarkt.de/de/category/tragbare-fernseher-70005.html?page=1" TargetMode="External"/><Relationship Id="rId232" Type="http://schemas.openxmlformats.org/officeDocument/2006/relationships/hyperlink" Target="https://24h.pchome.com.tw/store/DPADX8?style=2" TargetMode="External"/><Relationship Id="rId274" Type="http://schemas.openxmlformats.org/officeDocument/2006/relationships/hyperlink" Target="https://24h.pchome.com.tw/store/DSBB02?style=2" TargetMode="External"/><Relationship Id="rId481" Type="http://schemas.openxmlformats.org/officeDocument/2006/relationships/hyperlink" Target="https://www.amazon.es/s?rh=n%3A14565205031&amp;language=es_ES&amp;brr=1&amp;rd=1" TargetMode="External"/><Relationship Id="rId27" Type="http://schemas.openxmlformats.org/officeDocument/2006/relationships/hyperlink" Target="https://www.fnac.com/Tous-les-ecrans-de-PC/Ecrans-de-PC/nsh55527/w-4" TargetMode="External"/><Relationship Id="rId69" Type="http://schemas.openxmlformats.org/officeDocument/2006/relationships/hyperlink" Target="https://www.amazon.co.jp/s?rh=n%3A85417051&amp;fs=true&amp;language=en&amp;ref=lp_85417051_sar" TargetMode="External"/><Relationship Id="rId134" Type="http://schemas.openxmlformats.org/officeDocument/2006/relationships/hyperlink" Target="https://m.darty.com/m/achat/gros_electromenager/refrigerateurs/index.html" TargetMode="External"/><Relationship Id="rId80" Type="http://schemas.openxmlformats.org/officeDocument/2006/relationships/hyperlink" Target="https://www.amazon.in/s?rh=n%3A13773771031&amp;fs=true&amp;ref=lp_13773771031_sar" TargetMode="External"/><Relationship Id="rId176" Type="http://schemas.openxmlformats.org/officeDocument/2006/relationships/hyperlink" Target="https://www.magazineluiza.com.br/maquina-de-lavar-e-pecas/eletrodomesticos/s/ed/lrac/" TargetMode="External"/><Relationship Id="rId341" Type="http://schemas.openxmlformats.org/officeDocument/2006/relationships/hyperlink" Target="https://24h.pchome.com.tw/store/DPAIC1?style=2" TargetMode="External"/><Relationship Id="rId383" Type="http://schemas.openxmlformats.org/officeDocument/2006/relationships/hyperlink" Target="https://ao.com/l/refrigerators-built_under/1-9/29/?pagesize=60&amp;page=0" TargetMode="External"/><Relationship Id="rId439" Type="http://schemas.openxmlformats.org/officeDocument/2006/relationships/hyperlink" Target="https://www.mediamarkt.es/es/category/altavoces-inal%C3%A1mbricos-462.html" TargetMode="External"/><Relationship Id="rId201" Type="http://schemas.openxmlformats.org/officeDocument/2006/relationships/hyperlink" Target="https://www.lazada.co.th/shop-washing-machines/?spm=a2o4m.searchlistcategory.funnel_filter.d1.6e5b7050ljqXJa" TargetMode="External"/><Relationship Id="rId243" Type="http://schemas.openxmlformats.org/officeDocument/2006/relationships/hyperlink" Target="https://24h.pchome.com.tw/store/DCAIQZ" TargetMode="External"/><Relationship Id="rId285" Type="http://schemas.openxmlformats.org/officeDocument/2006/relationships/hyperlink" Target="https://24h.pchome.com.tw/store/DSBB0B?style=2" TargetMode="External"/><Relationship Id="rId450" Type="http://schemas.openxmlformats.org/officeDocument/2006/relationships/hyperlink" Target="https://www.elcorteingles.es/electronica/monitores-pc" TargetMode="External"/><Relationship Id="rId38" Type="http://schemas.openxmlformats.org/officeDocument/2006/relationships/hyperlink" Target="https://www.amazon.de/s?i=appliances&amp;rh=n%3A16075991&amp;s=popularity-rank&amp;fs=true&amp;ref=lp_16075991_sar" TargetMode="External"/><Relationship Id="rId103" Type="http://schemas.openxmlformats.org/officeDocument/2006/relationships/hyperlink" Target="https://www.elgiganten.se/vitvaror/diskmaskin" TargetMode="External"/><Relationship Id="rId310" Type="http://schemas.openxmlformats.org/officeDocument/2006/relationships/hyperlink" Target="https://24h.pchome.com.tw/store/DPAC43?style=2" TargetMode="External"/><Relationship Id="rId91" Type="http://schemas.openxmlformats.org/officeDocument/2006/relationships/hyperlink" Target="https://www.bestbuy.ca/en-ca/category/dishwashers/34432" TargetMode="External"/><Relationship Id="rId145" Type="http://schemas.openxmlformats.org/officeDocument/2006/relationships/hyperlink" Target="https://m.darty.com/m/achat/hifi_video/tous_ecrans_plats/oled/index.html" TargetMode="External"/><Relationship Id="rId187" Type="http://schemas.openxmlformats.org/officeDocument/2006/relationships/hyperlink" Target="https://www.homedepot.ca/en/home/categories/appliances/wall-ovens.html" TargetMode="External"/><Relationship Id="rId352" Type="http://schemas.openxmlformats.org/officeDocument/2006/relationships/hyperlink" Target="https://www.mediaworld.it/it/category/tv-ultra-hd-4k-400101.html" TargetMode="External"/><Relationship Id="rId394" Type="http://schemas.openxmlformats.org/officeDocument/2006/relationships/hyperlink" Target="https://ao.com/l/tvs-oled_screen/1-58/107-108/?pagesize=60&amp;page=0" TargetMode="External"/><Relationship Id="rId408" Type="http://schemas.openxmlformats.org/officeDocument/2006/relationships/hyperlink" Target="https://ao.com/l/dishwashers/1/21&amp;pagesize=60&amp;page=0" TargetMode="External"/><Relationship Id="rId212" Type="http://schemas.openxmlformats.org/officeDocument/2006/relationships/hyperlink" Target="https://www.costco.ca/wall-ovens.html" TargetMode="External"/><Relationship Id="rId254" Type="http://schemas.openxmlformats.org/officeDocument/2006/relationships/hyperlink" Target="https://24h.pchome.com.tw/store/DSAB2X?style=2" TargetMode="External"/><Relationship Id="rId49" Type="http://schemas.openxmlformats.org/officeDocument/2006/relationships/hyperlink" Target="https://www.amazon.es/s?rh=n%3A937992031&amp;fs=true&amp;ref=lp_937992031_sar" TargetMode="External"/><Relationship Id="rId114" Type="http://schemas.openxmlformats.org/officeDocument/2006/relationships/hyperlink" Target="https://www.otto.de/haushalt/kuehlschraenke/" TargetMode="External"/><Relationship Id="rId296" Type="http://schemas.openxmlformats.org/officeDocument/2006/relationships/hyperlink" Target="https://24h.pchome.com.tw/store/DHAY15?style=2" TargetMode="External"/><Relationship Id="rId461" Type="http://schemas.openxmlformats.org/officeDocument/2006/relationships/hyperlink" Target="https://www.dienmayxanh.com/tai-nghe?g=bluetooth" TargetMode="External"/><Relationship Id="rId60" Type="http://schemas.openxmlformats.org/officeDocument/2006/relationships/hyperlink" Target="https://www.amazon.co.uk/s?bbn=560798&amp;rh=n%3A4085731&amp;fs=true&amp;ref=lp_4085731_sar" TargetMode="External"/><Relationship Id="rId156" Type="http://schemas.openxmlformats.org/officeDocument/2006/relationships/hyperlink" Target="https://m.darty.com/m/achat/hifi_video/home_cinema/barre_son/index.html" TargetMode="External"/><Relationship Id="rId198" Type="http://schemas.openxmlformats.org/officeDocument/2006/relationships/hyperlink" Target="https://www.lazada.sg/shop-home-entertainment-soundbars/?spm=a2o42.searchlist.cate_3_2.1.24967cea4UcPz1" TargetMode="External"/><Relationship Id="rId321" Type="http://schemas.openxmlformats.org/officeDocument/2006/relationships/hyperlink" Target="https://24h.pchome.com.tw/store/DPAC47?style=2" TargetMode="External"/><Relationship Id="rId363" Type="http://schemas.openxmlformats.org/officeDocument/2006/relationships/hyperlink" Target="https://www.mediaworld.it/it/category/asciugatura-6002.html" TargetMode="External"/><Relationship Id="rId419" Type="http://schemas.openxmlformats.org/officeDocument/2006/relationships/hyperlink" Target="https://www.mediamarkt.de/de/category/smart-tvs-817.html?page=1" TargetMode="External"/><Relationship Id="rId223" Type="http://schemas.openxmlformats.org/officeDocument/2006/relationships/hyperlink" Target="https://www.costco.com/refrigerators.html?keyword=refrigerators" TargetMode="External"/><Relationship Id="rId430" Type="http://schemas.openxmlformats.org/officeDocument/2006/relationships/hyperlink" Target="https://www.mediamarkt.de/de/category/true-wireless-kopfh%C3%B6rer-5698.html?page=1" TargetMode="External"/><Relationship Id="rId18" Type="http://schemas.openxmlformats.org/officeDocument/2006/relationships/hyperlink" Target="https://www.fnac.com/SearchResult/ResultList.aspx?Search=refrigerator&amp;sft=1&amp;sa=hist" TargetMode="External"/><Relationship Id="rId265" Type="http://schemas.openxmlformats.org/officeDocument/2006/relationships/hyperlink" Target="https://24h.pchome.com.tw/store/DSBB00?style=2" TargetMode="External"/><Relationship Id="rId472" Type="http://schemas.openxmlformats.org/officeDocument/2006/relationships/hyperlink" Target="https://www.thebrick.com/collections/appliances-kitchen-dishwashers" TargetMode="External"/><Relationship Id="rId125" Type="http://schemas.openxmlformats.org/officeDocument/2006/relationships/hyperlink" Target="https://mediamart.vn/tivi" TargetMode="External"/><Relationship Id="rId167" Type="http://schemas.openxmlformats.org/officeDocument/2006/relationships/hyperlink" Target="https://www.bestbuy.com/site/audio/portable-speakers-docks-radios/pcmcat310200050004.c?id=pcmcat310200050004" TargetMode="External"/><Relationship Id="rId332" Type="http://schemas.openxmlformats.org/officeDocument/2006/relationships/hyperlink" Target="https://24h.pchome.com.tw/store/DPAI2P?style=2" TargetMode="External"/><Relationship Id="rId374" Type="http://schemas.openxmlformats.org/officeDocument/2006/relationships/hyperlink" Target="https://ao.com/l/washing_machines-bosch/1-6/1/?pagesize=60&amp;page=0" TargetMode="External"/><Relationship Id="rId71" Type="http://schemas.openxmlformats.org/officeDocument/2006/relationships/hyperlink" Target="https://www.amazon.co.jp/s?rh=n%3A2151981051&amp;fs=true&amp;language=en&amp;ref=lp_2151981051_sar" TargetMode="External"/><Relationship Id="rId234" Type="http://schemas.openxmlformats.org/officeDocument/2006/relationships/hyperlink" Target="https://24h.pchome.com.tw/store/DPADEY?style=2" TargetMode="External"/><Relationship Id="rId2" Type="http://schemas.openxmlformats.org/officeDocument/2006/relationships/hyperlink" Target="https://www.amazon.com/s?k=WASHING+MACHINE&amp;crid=2RKUKCWBBROJK&amp;sprefix=cordless+stick+vacuum%2Caps%2C1223&amp;ref=nb_sb_noss" TargetMode="External"/><Relationship Id="rId29" Type="http://schemas.openxmlformats.org/officeDocument/2006/relationships/hyperlink" Target="https://www.fnac.com/Ecrans-de-PC-4K/Ecrans-de-PC/nsh437035/w-4" TargetMode="External"/><Relationship Id="rId276" Type="http://schemas.openxmlformats.org/officeDocument/2006/relationships/hyperlink" Target="https://24h.pchome.com.tw/store/DSBB0V?style=2" TargetMode="External"/><Relationship Id="rId441" Type="http://schemas.openxmlformats.org/officeDocument/2006/relationships/hyperlink" Target="https://www.mediamarkt.es/es/category/auriculares-inal%C3%A1mbricos-502.html" TargetMode="External"/><Relationship Id="rId40" Type="http://schemas.openxmlformats.org/officeDocument/2006/relationships/hyperlink" Target="https://www.amazon.de/s?rh=n%3A429868031&amp;fs=true&amp;ref=lp_429868031_sar" TargetMode="External"/><Relationship Id="rId136" Type="http://schemas.openxmlformats.org/officeDocument/2006/relationships/hyperlink" Target="https://m.darty.com/m/achat/gros_electromenager/refrigerateurs/refrigerateur_armoire/index.html" TargetMode="External"/><Relationship Id="rId178" Type="http://schemas.openxmlformats.org/officeDocument/2006/relationships/hyperlink" Target="https://www.magazineluiza.com.br/monitores/informatica/s/in/mlcd/" TargetMode="External"/><Relationship Id="rId301" Type="http://schemas.openxmlformats.org/officeDocument/2006/relationships/hyperlink" Target="https://24h.pchome.com.tw/store/DPACDH?style=2" TargetMode="External"/><Relationship Id="rId343" Type="http://schemas.openxmlformats.org/officeDocument/2006/relationships/hyperlink" Target="https://24h.pchome.com.tw/store/DPAI28?style=2" TargetMode="External"/><Relationship Id="rId82" Type="http://schemas.openxmlformats.org/officeDocument/2006/relationships/hyperlink" Target="https://www.amazon.in/s?bbn=1388921031&amp;rh=n%3A976419031%2Cn%3A29561348031%2Cn%3A1388921031%2Cn%3A14146389031&amp;dc&amp;qid=1683773932&amp;rnid=1388921031&amp;ref=lp_1388921031_nr_n_0" TargetMode="External"/><Relationship Id="rId203" Type="http://schemas.openxmlformats.org/officeDocument/2006/relationships/hyperlink" Target="https://www.lazada.co.th/shop-digital-televisions/?spm=a2o4m.searchlistcategory.cate_3_1.2.3aeb7050me0NTq" TargetMode="External"/><Relationship Id="rId385" Type="http://schemas.openxmlformats.org/officeDocument/2006/relationships/hyperlink" Target="https://ao.com/l/tvs-75_inches_and_above/1-91/107-108/?pagesize=60&amp;page=0" TargetMode="External"/><Relationship Id="rId245" Type="http://schemas.openxmlformats.org/officeDocument/2006/relationships/hyperlink" Target="https://24h.pchome.com.tw/store/DMAU25?style=2" TargetMode="External"/><Relationship Id="rId287" Type="http://schemas.openxmlformats.org/officeDocument/2006/relationships/hyperlink" Target="https://24h.pchome.com.tw/store/DSBB19?style=2" TargetMode="External"/><Relationship Id="rId410" Type="http://schemas.openxmlformats.org/officeDocument/2006/relationships/hyperlink" Target="https://www.mediamarkt.de/de/category/k%C3%BChl-gefrierkombinationen-34.html?page=1" TargetMode="External"/><Relationship Id="rId452" Type="http://schemas.openxmlformats.org/officeDocument/2006/relationships/hyperlink" Target="https://www.elcorteingles.es/electronica/sonido/barras-de-sonido" TargetMode="External"/><Relationship Id="rId105" Type="http://schemas.openxmlformats.org/officeDocument/2006/relationships/hyperlink" Target="https://www.extra.com/ar-sa/white-goods/refrigerators/c/4-401/facet/?q=:relevance:inStock:true&amp;text=&amp;pageSize=96&amp;pg=0&amp;sort=relevance" TargetMode="External"/><Relationship Id="rId147" Type="http://schemas.openxmlformats.org/officeDocument/2006/relationships/hyperlink" Target="https://m.darty.com/m/achat/hifi_video/tous_ecrans_plats/filtre__8k__1680757.html" TargetMode="External"/><Relationship Id="rId312" Type="http://schemas.openxmlformats.org/officeDocument/2006/relationships/hyperlink" Target="https://24h.pchome.com.tw/store/DPAC45?style=2" TargetMode="External"/><Relationship Id="rId354" Type="http://schemas.openxmlformats.org/officeDocument/2006/relationships/hyperlink" Target="https://www.mediaworld.it/it/category/tv-oled-400103.html" TargetMode="External"/><Relationship Id="rId51" Type="http://schemas.openxmlformats.org/officeDocument/2006/relationships/hyperlink" Target="https://www.amazon.es/s?rh=n%3A938008031&amp;fs=true&amp;ref=lp_938008031_sar" TargetMode="External"/><Relationship Id="rId93" Type="http://schemas.openxmlformats.org/officeDocument/2006/relationships/hyperlink" Target="https://www.bestbuy.ca/en-ca/category/wall-ovens/36768?icmp=mdot_shopbynav_Wall_Ovens" TargetMode="External"/><Relationship Id="rId189" Type="http://schemas.openxmlformats.org/officeDocument/2006/relationships/hyperlink" Target="https://www.flipkart.com/washing-machines/semi-automatic-top-load~function/pr?sid=j9e,abm,8qx&amp;otracker=categorytree" TargetMode="External"/><Relationship Id="rId396" Type="http://schemas.openxmlformats.org/officeDocument/2006/relationships/hyperlink" Target="https://ao.com/l/tvs-samsung/1-6/107-108/?pagesize=60" TargetMode="External"/><Relationship Id="rId3" Type="http://schemas.openxmlformats.org/officeDocument/2006/relationships/hyperlink" Target="https://www.amazon.com/s?k=TV&amp;crid=31GQEXGQZJAWT&amp;sprefix=tv%2Caps%2C905&amp;ref=nb_sb_noss" TargetMode="External"/><Relationship Id="rId214" Type="http://schemas.openxmlformats.org/officeDocument/2006/relationships/hyperlink" Target="https://www.costco.ca/monitors.html" TargetMode="External"/><Relationship Id="rId235" Type="http://schemas.openxmlformats.org/officeDocument/2006/relationships/hyperlink" Target="https://24h.pchome.com.tw/store/DPADEX?style=2" TargetMode="External"/><Relationship Id="rId256" Type="http://schemas.openxmlformats.org/officeDocument/2006/relationships/hyperlink" Target="https://24h.pchome.com.tw/store/DSAB2V?style=2" TargetMode="External"/><Relationship Id="rId277" Type="http://schemas.openxmlformats.org/officeDocument/2006/relationships/hyperlink" Target="https://24h.pchome.com.tw/store/DSBB12?style=2" TargetMode="External"/><Relationship Id="rId298" Type="http://schemas.openxmlformats.org/officeDocument/2006/relationships/hyperlink" Target="https://24h.pchome.com.tw/store/DHAAJA?style=2" TargetMode="External"/><Relationship Id="rId400" Type="http://schemas.openxmlformats.org/officeDocument/2006/relationships/hyperlink" Target="https://ao.com/l/wireless_speakers-2172/1-20/107-164-165-166/?pagesize=60&amp;page=0" TargetMode="External"/><Relationship Id="rId421" Type="http://schemas.openxmlformats.org/officeDocument/2006/relationships/hyperlink" Target="https://www.mediamarkt.de/de/category/4k-fernseher-2301.html?page=1" TargetMode="External"/><Relationship Id="rId442" Type="http://schemas.openxmlformats.org/officeDocument/2006/relationships/hyperlink" Target="https://www.mediamarkt.es/es/category/aire-acondicionado-784.html" TargetMode="External"/><Relationship Id="rId463" Type="http://schemas.openxmlformats.org/officeDocument/2006/relationships/hyperlink" Target="https://www.dienmayxanh.com/may-giat-tu-cham-soc-quan-ao" TargetMode="External"/><Relationship Id="rId116" Type="http://schemas.openxmlformats.org/officeDocument/2006/relationships/hyperlink" Target="https://www.otto.de/technik/fernseher/" TargetMode="External"/><Relationship Id="rId137" Type="http://schemas.openxmlformats.org/officeDocument/2006/relationships/hyperlink" Target="https://m.darty.com/m/achat/gros_electromenager/refrigerateur_congelateur/refrigerateur_americain/index.html" TargetMode="External"/><Relationship Id="rId158" Type="http://schemas.openxmlformats.org/officeDocument/2006/relationships/hyperlink" Target="https://m.darty.com/m/achat/hifi_video/home_cinema/casque_sans_fil/page1.html" TargetMode="External"/><Relationship Id="rId302" Type="http://schemas.openxmlformats.org/officeDocument/2006/relationships/hyperlink" Target="https://24h.pchome.com.tw/store/DPACDG?style=2" TargetMode="External"/><Relationship Id="rId323" Type="http://schemas.openxmlformats.org/officeDocument/2006/relationships/hyperlink" Target="https://24h.pchome.com.tw/store/DPAC6K?style=2" TargetMode="External"/><Relationship Id="rId344" Type="http://schemas.openxmlformats.org/officeDocument/2006/relationships/hyperlink" Target="https://24h.pchome.com.tw/store/DPAI2Q?style=2" TargetMode="External"/><Relationship Id="rId20" Type="http://schemas.openxmlformats.org/officeDocument/2006/relationships/hyperlink" Target="https://www.fnac.com/Refrigerateur-2-portes/Par-type/nsh501320/w-4" TargetMode="External"/><Relationship Id="rId41" Type="http://schemas.openxmlformats.org/officeDocument/2006/relationships/hyperlink" Target="https://www.amazon.de/s?i=electronics&amp;bbn=16729008031&amp;rh=n%3A562066%2Cn%3A571760%2Cn%3A589878%2Cn%3A16729008031%2Cn%3A16729009031" TargetMode="External"/><Relationship Id="rId62" Type="http://schemas.openxmlformats.org/officeDocument/2006/relationships/hyperlink" Target="https://www.amazon.com.au/s?rh=n%3A4913312051&amp;fs=true&amp;ref=lp_4913312051_sar" TargetMode="External"/><Relationship Id="rId83" Type="http://schemas.openxmlformats.org/officeDocument/2006/relationships/hyperlink" Target="https://www.amazon.in/s?rh=n%3A1380365031&amp;fs=true&amp;ref=lp_1380365031_sar" TargetMode="External"/><Relationship Id="rId179" Type="http://schemas.openxmlformats.org/officeDocument/2006/relationships/hyperlink" Target="https://www.magazineluiza.com.br/ar-condicionado-inverter/ar-e-ventilacao/s/ar/aciv/" TargetMode="External"/><Relationship Id="rId365" Type="http://schemas.openxmlformats.org/officeDocument/2006/relationships/hyperlink" Target="https://www.mediaworld.it/it/category/lavastoviglie-6008.html" TargetMode="External"/><Relationship Id="rId386" Type="http://schemas.openxmlformats.org/officeDocument/2006/relationships/hyperlink" Target="https://ao.com/l/tvs-65_inches_to_75_inches/1-91/107-108/?pagesize=60&amp;page=0" TargetMode="External"/><Relationship Id="rId190" Type="http://schemas.openxmlformats.org/officeDocument/2006/relationships/hyperlink" Target="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" TargetMode="External"/><Relationship Id="rId204" Type="http://schemas.openxmlformats.org/officeDocument/2006/relationships/hyperlink" Target="https://www.lazada.co.th/shop-monitors/?spm=a2o4m.searchlistcategory.funnel_filter.d1.65967050XxpwJN" TargetMode="External"/><Relationship Id="rId225" Type="http://schemas.openxmlformats.org/officeDocument/2006/relationships/hyperlink" Target="https://www.costco.com/laptops.html" TargetMode="External"/><Relationship Id="rId246" Type="http://schemas.openxmlformats.org/officeDocument/2006/relationships/hyperlink" Target="https://24h.pchome.com.tw/store/DMAU24?style=2" TargetMode="External"/><Relationship Id="rId267" Type="http://schemas.openxmlformats.org/officeDocument/2006/relationships/hyperlink" Target="https://24h.pchome.com.tw/store/DSBB3F?style=2" TargetMode="External"/><Relationship Id="rId288" Type="http://schemas.openxmlformats.org/officeDocument/2006/relationships/hyperlink" Target="https://24h.pchome.com.tw/store/DSBB18?style=2" TargetMode="External"/><Relationship Id="rId411" Type="http://schemas.openxmlformats.org/officeDocument/2006/relationships/hyperlink" Target="https://www.mediamarkt.de/de/category/side-by-side-k%C3%BChlschr%C3%A4nke-41.html?page=1" TargetMode="External"/><Relationship Id="rId432" Type="http://schemas.openxmlformats.org/officeDocument/2006/relationships/hyperlink" Target="https://www.mediamarkt.de/de/category/bluetooth-lautsprecher-8022.html?page=1" TargetMode="External"/><Relationship Id="rId453" Type="http://schemas.openxmlformats.org/officeDocument/2006/relationships/hyperlink" Target="https://www.elcorteingles.es/electronica/sonido/auriculares/auriculares-bluetooth" TargetMode="External"/><Relationship Id="rId474" Type="http://schemas.openxmlformats.org/officeDocument/2006/relationships/hyperlink" Target="https://www.thebrick.com/collections/appliances-kitchen-ranges" TargetMode="External"/><Relationship Id="rId106" Type="http://schemas.openxmlformats.org/officeDocument/2006/relationships/hyperlink" Target="https://www.extra.com/ar-sa/white-goods/washing-machines/c/4-403/facet/?q=:relevance:inStock:true&amp;text=&amp;pageSize=96&amp;pg=0&amp;sort=relevance" TargetMode="External"/><Relationship Id="rId127" Type="http://schemas.openxmlformats.org/officeDocument/2006/relationships/hyperlink" Target="https://mediamart.vn/dieu-hoa-nhiet-do" TargetMode="External"/><Relationship Id="rId313" Type="http://schemas.openxmlformats.org/officeDocument/2006/relationships/hyperlink" Target="https://24h.pchome.com.tw/store/DPACEG?style=2" TargetMode="External"/><Relationship Id="rId10" Type="http://schemas.openxmlformats.org/officeDocument/2006/relationships/hyperlink" Target="https://www.amazon.it/s?rh=n%3A14567265031&amp;language=it_IT" TargetMode="External"/><Relationship Id="rId31" Type="http://schemas.openxmlformats.org/officeDocument/2006/relationships/hyperlink" Target="https://www.fnac.com/Toutes-les-Barres-de-son/Barre-de-son/nsh475049/w-4?PageIndex=1&amp;SDM=list" TargetMode="External"/><Relationship Id="rId52" Type="http://schemas.openxmlformats.org/officeDocument/2006/relationships/hyperlink" Target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 TargetMode="External"/><Relationship Id="rId73" Type="http://schemas.openxmlformats.org/officeDocument/2006/relationships/hyperlink" Target="https://www.amazon.ca/s?rh=n%3A677246011&amp;fs=true&amp;ref=lp_677246011_sar" TargetMode="External"/><Relationship Id="rId94" Type="http://schemas.openxmlformats.org/officeDocument/2006/relationships/hyperlink" Target="https://www.amazon.com.br/s?rh=n%3A16243822011&amp;fs=true&amp;ref=lp_16243822011_sar" TargetMode="External"/><Relationship Id="rId148" Type="http://schemas.openxmlformats.org/officeDocument/2006/relationships/hyperlink" Target="https://m.darty.com/m/achat/hifi_video/televiseurs-led/grand_ecran_led/index.html" TargetMode="External"/><Relationship Id="rId169" Type="http://schemas.openxmlformats.org/officeDocument/2006/relationships/hyperlink" Target="https://www.bestbuy.com/site/headphones/wireless-headphones/pcmcat331200050015.c?id=pcmcat331200050015" TargetMode="External"/><Relationship Id="rId334" Type="http://schemas.openxmlformats.org/officeDocument/2006/relationships/hyperlink" Target="https://24h.pchome.com.tw/store/DPAI29?style=2" TargetMode="External"/><Relationship Id="rId355" Type="http://schemas.openxmlformats.org/officeDocument/2006/relationships/hyperlink" Target="https://www.mediaworld.it/it/category/tv-8k-400104.html" TargetMode="External"/><Relationship Id="rId376" Type="http://schemas.openxmlformats.org/officeDocument/2006/relationships/hyperlink" Target="https://ao.com/l/washing_machines-229/1-20/1/?pagesize=60&amp;page=0" TargetMode="External"/><Relationship Id="rId397" Type="http://schemas.openxmlformats.org/officeDocument/2006/relationships/hyperlink" Target="https://ao.com/l/tvs-lg/1-6/107-108/?pagesize=60" TargetMode="External"/><Relationship Id="rId4" Type="http://schemas.openxmlformats.org/officeDocument/2006/relationships/hyperlink" Target="https://www.amazon.com/s?rh=n%3A1292115011&amp;fs=true&amp;ref=lp_1292115011_sar" TargetMode="External"/><Relationship Id="rId180" Type="http://schemas.openxmlformats.org/officeDocument/2006/relationships/hyperlink" Target="https://www.magazineluiza.com.br/caixa-de-som-bluetooth-portatil/audio/s/ea/easm/" TargetMode="External"/><Relationship Id="rId215" Type="http://schemas.openxmlformats.org/officeDocument/2006/relationships/hyperlink" Target="https://www.costco.ca/home-theatre.html" TargetMode="External"/><Relationship Id="rId236" Type="http://schemas.openxmlformats.org/officeDocument/2006/relationships/hyperlink" Target="https://24h.pchome.com.tw/store/DPADUD?style=2" TargetMode="External"/><Relationship Id="rId257" Type="http://schemas.openxmlformats.org/officeDocument/2006/relationships/hyperlink" Target="https://24h.pchome.com.tw/store/DSAB80?style=2" TargetMode="External"/><Relationship Id="rId278" Type="http://schemas.openxmlformats.org/officeDocument/2006/relationships/hyperlink" Target="https://24h.pchome.com.tw/store/DSBB0T?style=2" TargetMode="External"/><Relationship Id="rId401" Type="http://schemas.openxmlformats.org/officeDocument/2006/relationships/hyperlink" Target="https://ao.com/l/headphones-14809/1-20/107-164-178/?pagesize=60&amp;page=0" TargetMode="External"/><Relationship Id="rId422" Type="http://schemas.openxmlformats.org/officeDocument/2006/relationships/hyperlink" Target="https://www.mediamarkt.de/de/category/android-tv-2304.html?page=1" TargetMode="External"/><Relationship Id="rId443" Type="http://schemas.openxmlformats.org/officeDocument/2006/relationships/hyperlink" Target="https://www.mediamarkt.es/es/category/lavavajillas-660.html" TargetMode="External"/><Relationship Id="rId464" Type="http://schemas.openxmlformats.org/officeDocument/2006/relationships/hyperlink" Target="https://www.falabella.com/falabella-cl/category/cat3205/Refrigeradores" TargetMode="External"/><Relationship Id="rId303" Type="http://schemas.openxmlformats.org/officeDocument/2006/relationships/hyperlink" Target="https://24h.pchome.com.tw/store/DPACDK?style=2" TargetMode="External"/><Relationship Id="rId42" Type="http://schemas.openxmlformats.org/officeDocument/2006/relationships/hyperlink" Target="https://www.amazon.de/s?i=electronics&amp;bbn=1382764031&amp;rh=n%3A562066%2Cn%3A761254%2Cn%3A1382764031%2Cn%3A1382761031&amp;dc&amp;fs=true&amp;ds=v1%3AEo1O5nd6aCk1P%2F5ILROautgC8Nv47rVBKhuCwueuo14" TargetMode="External"/><Relationship Id="rId84" Type="http://schemas.openxmlformats.org/officeDocument/2006/relationships/hyperlink" Target="https://www.bestbuy.ca/en-ca/category/refrigerators-freezers/744633" TargetMode="External"/><Relationship Id="rId138" Type="http://schemas.openxmlformats.org/officeDocument/2006/relationships/hyperlink" Target="https://m.darty.com/m/achat/gros_electromenager/refrigerateur_congelateur/refrigerateur_multi-portes/index.html" TargetMode="External"/><Relationship Id="rId345" Type="http://schemas.openxmlformats.org/officeDocument/2006/relationships/hyperlink" Target="https://24h.pchome.com.tw/store/DPAI3Y?style=2" TargetMode="External"/><Relationship Id="rId387" Type="http://schemas.openxmlformats.org/officeDocument/2006/relationships/hyperlink" Target="https://ao.com/l/tvs-55_inches_to_64_inches/1-91/107-108/?pagesize=60&amp;page=0" TargetMode="External"/><Relationship Id="rId191" Type="http://schemas.openxmlformats.org/officeDocument/2006/relationships/hyperlink" Target="https://www.momoshop.com.tw/category/DgrpCategory.jsp?d_code=4300100018&amp;TOP30=Y&amp;sourcePageType=4" TargetMode="External"/><Relationship Id="rId205" Type="http://schemas.openxmlformats.org/officeDocument/2006/relationships/hyperlink" Target="https://www.lazada.co.th/shop-portable-speakers/?spm=a2o4m.searchlistcategory.cate_2_2.2.65967050XxpwJN" TargetMode="External"/><Relationship Id="rId247" Type="http://schemas.openxmlformats.org/officeDocument/2006/relationships/hyperlink" Target="https://24h.pchome.com.tw/store/DMAU26?style=2" TargetMode="External"/><Relationship Id="rId412" Type="http://schemas.openxmlformats.org/officeDocument/2006/relationships/hyperlink" Target="https://www.mediamarkt.de/de/category/french-door-ger%C3%A4te-7700.html?page=1" TargetMode="External"/><Relationship Id="rId107" Type="http://schemas.openxmlformats.org/officeDocument/2006/relationships/hyperlink" Target="https://www.extra.com/ar-sa/electronics/television/c/1-109/facet/?q=:relevance:inStock:true&amp;text=&amp;pageSize=96&amp;pg=0&amp;sort=priceValueDiscount-desc" TargetMode="External"/><Relationship Id="rId289" Type="http://schemas.openxmlformats.org/officeDocument/2006/relationships/hyperlink" Target="https://24h.pchome.com.tw/store/DSBB0D?style=2" TargetMode="External"/><Relationship Id="rId454" Type="http://schemas.openxmlformats.org/officeDocument/2006/relationships/hyperlink" Target="https://www.elcorteingles.es/electrodomesticos/lavavajillas" TargetMode="External"/><Relationship Id="rId11" Type="http://schemas.openxmlformats.org/officeDocument/2006/relationships/hyperlink" Target="https://www.amazon.it/s?rh=n%3A5495940031&amp;fs=true&amp;ref=lp_5495940031_sar" TargetMode="External"/><Relationship Id="rId53" Type="http://schemas.openxmlformats.org/officeDocument/2006/relationships/hyperlink" Target="https://www.amazon.es/s?rh=n%3A14565171031&amp;fs=true&amp;ref=lp_14565171031_sar" TargetMode="External"/><Relationship Id="rId149" Type="http://schemas.openxmlformats.org/officeDocument/2006/relationships/hyperlink" Target="https://m.darty.com/m/nav?c=1701537&amp;cat=51053&amp;o=0" TargetMode="External"/><Relationship Id="rId314" Type="http://schemas.openxmlformats.org/officeDocument/2006/relationships/hyperlink" Target="https://24h.pchome.com.tw/store/DPACEF?style=2" TargetMode="External"/><Relationship Id="rId356" Type="http://schemas.openxmlformats.org/officeDocument/2006/relationships/hyperlink" Target="https://www.mediaworld.it/it/category/tv-qled-400105.html" TargetMode="External"/><Relationship Id="rId398" Type="http://schemas.openxmlformats.org/officeDocument/2006/relationships/hyperlink" Target="https://ao.com/l/tvs-sony/1-6/107-108/?pagesize=60" TargetMode="External"/><Relationship Id="rId95" Type="http://schemas.openxmlformats.org/officeDocument/2006/relationships/hyperlink" Target="https://www.amazon.com.br/s?rh=n%3A16364756011&amp;fs=true&amp;ref=lp_16364756011_sar" TargetMode="External"/><Relationship Id="rId160" Type="http://schemas.openxmlformats.org/officeDocument/2006/relationships/hyperlink" Target="https://m.darty.com/m/achat/gros_electromenager/lave-vaisselle/lave_vaisselle/index.html" TargetMode="External"/><Relationship Id="rId216" Type="http://schemas.openxmlformats.org/officeDocument/2006/relationships/hyperlink" Target="https://www.costco.ca/headphones.html" TargetMode="External"/><Relationship Id="rId423" Type="http://schemas.openxmlformats.org/officeDocument/2006/relationships/hyperlink" Target="https://www.mediamarkt.de/de/category/ambilight-tv-2303.html?page=1" TargetMode="External"/><Relationship Id="rId258" Type="http://schemas.openxmlformats.org/officeDocument/2006/relationships/hyperlink" Target="https://24h.pchome.com.tw/store/DSAB3D?style=2" TargetMode="External"/><Relationship Id="rId465" Type="http://schemas.openxmlformats.org/officeDocument/2006/relationships/hyperlink" Target="https://www.falabella.com/falabella-cl/category/cat4060/Lavadoras" TargetMode="External"/><Relationship Id="rId22" Type="http://schemas.openxmlformats.org/officeDocument/2006/relationships/hyperlink" Target="https://www.fnac.com/LAVAGE/Lave-Linge/sh562189/w-4" TargetMode="External"/><Relationship Id="rId64" Type="http://schemas.openxmlformats.org/officeDocument/2006/relationships/hyperlink" Target="https://www.amazon.co.jp/s?rh=n%3A2272928051&amp;fs=true&amp;ref=lp_2272928051_sar&amp;language=en" TargetMode="External"/><Relationship Id="rId118" Type="http://schemas.openxmlformats.org/officeDocument/2006/relationships/hyperlink" Target="https://www.otto.de/technik/audio/lautsprecher/?uebertragungsart=bluetooth" TargetMode="External"/><Relationship Id="rId325" Type="http://schemas.openxmlformats.org/officeDocument/2006/relationships/hyperlink" Target="https://24h.pchome.com.tw/store/DPACDM?style=2" TargetMode="External"/><Relationship Id="rId367" Type="http://schemas.openxmlformats.org/officeDocument/2006/relationships/hyperlink" Target="https://www.mediaworld.it/it/category/forni-da-incasso-600603.html" TargetMode="External"/><Relationship Id="rId171" Type="http://schemas.openxmlformats.org/officeDocument/2006/relationships/hyperlink" Target="https://www.bestbuy.com/site/dishwashers/built-in-dishwashers/abcat0905001.c?id=abcat0905001" TargetMode="External"/><Relationship Id="rId227" Type="http://schemas.openxmlformats.org/officeDocument/2006/relationships/hyperlink" Target="https://www.costco.com/speakers.html" TargetMode="External"/><Relationship Id="rId269" Type="http://schemas.openxmlformats.org/officeDocument/2006/relationships/hyperlink" Target="https://24h.pchome.com.tw/store/DSBB3A?style=2" TargetMode="External"/><Relationship Id="rId434" Type="http://schemas.openxmlformats.org/officeDocument/2006/relationships/hyperlink" Target="https://www.mediamarkt.de/de/category/herde-back%C3%B6fen-1201.html?page=1" TargetMode="External"/><Relationship Id="rId476" Type="http://schemas.openxmlformats.org/officeDocument/2006/relationships/hyperlink" Target="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" TargetMode="External"/><Relationship Id="rId33" Type="http://schemas.openxmlformats.org/officeDocument/2006/relationships/hyperlink" Target="https://www.fnac.com/Lave-vaisselle-pose-libre/Par-type/nsh501352/w-4" TargetMode="External"/><Relationship Id="rId129" Type="http://schemas.openxmlformats.org/officeDocument/2006/relationships/hyperlink" Target="https://mediamart.vn/soundbar" TargetMode="External"/><Relationship Id="rId280" Type="http://schemas.openxmlformats.org/officeDocument/2006/relationships/hyperlink" Target="https://24h.pchome.com.tw/store/DSBB0U?style=2" TargetMode="External"/><Relationship Id="rId336" Type="http://schemas.openxmlformats.org/officeDocument/2006/relationships/hyperlink" Target="https://24h.pchome.com.tw/store/DPAI2B?style=2" TargetMode="External"/><Relationship Id="rId75" Type="http://schemas.openxmlformats.org/officeDocument/2006/relationships/hyperlink" Target="https://www.amazon.in/s?rh=n%3A1380365031&amp;fs=true&amp;ref=lp_1380365031_sar" TargetMode="External"/><Relationship Id="rId140" Type="http://schemas.openxmlformats.org/officeDocument/2006/relationships/hyperlink" Target="https://m.darty.com/m/achat/gros_electromenager/lave-linge/index.html" TargetMode="External"/><Relationship Id="rId182" Type="http://schemas.openxmlformats.org/officeDocument/2006/relationships/hyperlink" Target="https://www.magazineluiza.com.br/headset-bluetooth/audio/s/ea/hebh/" TargetMode="External"/><Relationship Id="rId378" Type="http://schemas.openxmlformats.org/officeDocument/2006/relationships/hyperlink" Target="https://ao.com/l/washing_machines-samsung-4554/1-6-20/1/?pagesize=60&amp;page=0" TargetMode="External"/><Relationship Id="rId403" Type="http://schemas.openxmlformats.org/officeDocument/2006/relationships/hyperlink" Target="https://ao.com/l/soundbars-samsung/1-6/107-109-111/?pagesize=60&amp;page=0" TargetMode="External"/><Relationship Id="rId6" Type="http://schemas.openxmlformats.org/officeDocument/2006/relationships/hyperlink" Target="https://www.amazon.com/s?k=Bluetooth+Speaker&amp;crid=U27TPKU131&amp;sprefix=bluetooth+speaker%2Caps%2C319&amp;ref=nb_sb_noss_1" TargetMode="External"/><Relationship Id="rId238" Type="http://schemas.openxmlformats.org/officeDocument/2006/relationships/hyperlink" Target="https://24h.pchome.com.tw/store/DPADUE?style=2" TargetMode="External"/><Relationship Id="rId445" Type="http://schemas.openxmlformats.org/officeDocument/2006/relationships/hyperlink" Target="https://www.elcorteingles.es/electrodomesticos/frigorificos-y-congeladores" TargetMode="External"/><Relationship Id="rId291" Type="http://schemas.openxmlformats.org/officeDocument/2006/relationships/hyperlink" Target="https://24h.pchome.com.tw/store/DSBB09?style=2" TargetMode="External"/><Relationship Id="rId305" Type="http://schemas.openxmlformats.org/officeDocument/2006/relationships/hyperlink" Target="https://24h.pchome.com.tw/store/DPAC40?style=2" TargetMode="External"/><Relationship Id="rId347" Type="http://schemas.openxmlformats.org/officeDocument/2006/relationships/hyperlink" Target="https://24h.pchome.com.tw/store/DYAQF4" TargetMode="External"/><Relationship Id="rId44" Type="http://schemas.openxmlformats.org/officeDocument/2006/relationships/hyperlink" Target="https://www.amazon.de/s?rh=n%3A427957031&amp;fs=true&amp;ref=lp_427957031_sar" TargetMode="External"/><Relationship Id="rId86" Type="http://schemas.openxmlformats.org/officeDocument/2006/relationships/hyperlink" Target="https://www.bestbuy.ca/en-ca/category/televisions/21344" TargetMode="External"/><Relationship Id="rId151" Type="http://schemas.openxmlformats.org/officeDocument/2006/relationships/hyperlink" Target="https://m.darty.com/m/nav?c=1701540&amp;fl=1&amp;cat=3&amp;m=PHILI&amp;o=0" TargetMode="External"/><Relationship Id="rId389" Type="http://schemas.openxmlformats.org/officeDocument/2006/relationships/hyperlink" Target="https://ao.com/l/tvs-32_inches_to_42_inches/1-91/107-108/?pagesize=60&amp;page=0" TargetMode="External"/><Relationship Id="rId193" Type="http://schemas.openxmlformats.org/officeDocument/2006/relationships/hyperlink" Target="https://www.lazada.sg/shop-washing-machines/?spm=a2o42.searchlistcategory.cate_3_4.1.49996046rWqCb3" TargetMode="External"/><Relationship Id="rId207" Type="http://schemas.openxmlformats.org/officeDocument/2006/relationships/hyperlink" Target="https://www.lazada.co.th/shop-wireless-earbuds/?spm=a2o4m.searchlistcategory.funnel_filter.d1.57ba7050ep3Xkr" TargetMode="External"/><Relationship Id="rId249" Type="http://schemas.openxmlformats.org/officeDocument/2006/relationships/hyperlink" Target="https://24h.pchome.com.tw/store/DSAB1C?style=2" TargetMode="External"/><Relationship Id="rId414" Type="http://schemas.openxmlformats.org/officeDocument/2006/relationships/hyperlink" Target="https://www.mediamarkt.de/de/category/toplader-924.html?page=1" TargetMode="External"/><Relationship Id="rId456" Type="http://schemas.openxmlformats.org/officeDocument/2006/relationships/hyperlink" Target="https://www.dienmayxanh.com/tu-lanh" TargetMode="External"/><Relationship Id="rId13" Type="http://schemas.openxmlformats.org/officeDocument/2006/relationships/hyperlink" Target="https://www.amazon.it/s?i=computers&amp;bbn=2706939031&amp;rh=n%3A425916031%2Cn%3A2706939031%2Cn%3A460159031&amp;dc&amp;fs=true&amp;ds=v1%3ANcQ0VdO9bepBIh35Gh0leiaTHrMmO21VGs3i26WF2WA&amp;ref=sr_nr_n_2" TargetMode="External"/><Relationship Id="rId109" Type="http://schemas.openxmlformats.org/officeDocument/2006/relationships/hyperlink" Target="https://www.extra.com/ar-sa/white-goods/air-conditioner/c/4-402/facet/?q=:relevance:inStock:true&amp;text=&amp;pageSize=96&amp;pg=0&amp;sort=relevance" TargetMode="External"/><Relationship Id="rId260" Type="http://schemas.openxmlformats.org/officeDocument/2006/relationships/hyperlink" Target="https://24h.pchome.com.tw/store/DSAB3C?style=2" TargetMode="External"/><Relationship Id="rId316" Type="http://schemas.openxmlformats.org/officeDocument/2006/relationships/hyperlink" Target="https://24h.pchome.com.tw/store/DPACEJ?style=2" TargetMode="External"/><Relationship Id="rId55" Type="http://schemas.openxmlformats.org/officeDocument/2006/relationships/hyperlink" Target="https://www.amazon.co.uk/Washing-Machines-Drying-Home-Appliances/b/ref=dp_bc_3?ie=UTF8&amp;node=3618681" TargetMode="External"/><Relationship Id="rId97" Type="http://schemas.openxmlformats.org/officeDocument/2006/relationships/hyperlink" Target="https://www.elgiganten.se/vitvaror/tvatt-tork/tvattmaskin" TargetMode="External"/><Relationship Id="rId120" Type="http://schemas.openxmlformats.org/officeDocument/2006/relationships/hyperlink" Target="https://www.otto.de/technik/audio/kopfhoerer/?uebertragungsart=bluetooth" TargetMode="External"/><Relationship Id="rId358" Type="http://schemas.openxmlformats.org/officeDocument/2006/relationships/hyperlink" Target="https://www.mediaworld.it/it/category/lavatrici-6001.html" TargetMode="External"/><Relationship Id="rId162" Type="http://schemas.openxmlformats.org/officeDocument/2006/relationships/hyperlink" Target="https://m.darty.com/m/achat/encastrable/four_classique/four_encastrable/index.html" TargetMode="External"/><Relationship Id="rId218" Type="http://schemas.openxmlformats.org/officeDocument/2006/relationships/hyperlink" Target="https://www.costco.ca/televisions.html" TargetMode="External"/><Relationship Id="rId425" Type="http://schemas.openxmlformats.org/officeDocument/2006/relationships/hyperlink" Target="https://www.mediamarkt.de/de/category/lifestyle-10896.html?page=1" TargetMode="External"/><Relationship Id="rId467" Type="http://schemas.openxmlformats.org/officeDocument/2006/relationships/hyperlink" Target="https://www.falabella.com/falabella-cl/category/cat3171/Parlantes-bluetooth" TargetMode="External"/><Relationship Id="rId271" Type="http://schemas.openxmlformats.org/officeDocument/2006/relationships/hyperlink" Target="https://24h.pchome.com.tw/store/DSBB3U?style=2" TargetMode="External"/><Relationship Id="rId24" Type="http://schemas.openxmlformats.org/officeDocument/2006/relationships/hyperlink" Target="https://www.fnac.com/Lave-linge-top/Par-type/nsh501248/w-4" TargetMode="External"/><Relationship Id="rId66" Type="http://schemas.openxmlformats.org/officeDocument/2006/relationships/hyperlink" Target="https://www.amazon.co.jp/s?rh=n%3A3477491&amp;fs=true&amp;language=en&amp;ref=lp_3477491_sar" TargetMode="External"/><Relationship Id="rId131" Type="http://schemas.openxmlformats.org/officeDocument/2006/relationships/hyperlink" Target="https://mediamart.vn/may-loc-khong-khi" TargetMode="External"/><Relationship Id="rId327" Type="http://schemas.openxmlformats.org/officeDocument/2006/relationships/hyperlink" Target="https://24h.pchome.com.tw/store/DPACBV?style=2" TargetMode="External"/><Relationship Id="rId369" Type="http://schemas.openxmlformats.org/officeDocument/2006/relationships/hyperlink" Target="https://ao.com/l/washing_machines-built_in/1-9/1/?pagesize=60&amp;page=0" TargetMode="External"/><Relationship Id="rId173" Type="http://schemas.openxmlformats.org/officeDocument/2006/relationships/hyperlink" Target="https://www.bestbuy.com/site/ranges-ovens-stoves/wall-ovens/abcat0904004.c?id=abcat0904004" TargetMode="External"/><Relationship Id="rId229" Type="http://schemas.openxmlformats.org/officeDocument/2006/relationships/hyperlink" Target="https://www.costco.com/televisions.html" TargetMode="External"/><Relationship Id="rId380" Type="http://schemas.openxmlformats.org/officeDocument/2006/relationships/hyperlink" Target="https://ao.com/l/fridges-free_standing/1-9/29-30/?pagesize=60&amp;page=0" TargetMode="External"/><Relationship Id="rId436" Type="http://schemas.openxmlformats.org/officeDocument/2006/relationships/hyperlink" Target="https://www.mediamarkt.es/es/category/lavadoras-671.html" TargetMode="External"/><Relationship Id="rId240" Type="http://schemas.openxmlformats.org/officeDocument/2006/relationships/hyperlink" Target="https://24h.pchome.com.tw/store/DPAD1M?style=2" TargetMode="External"/><Relationship Id="rId478" Type="http://schemas.openxmlformats.org/officeDocument/2006/relationships/hyperlink" Target="https://www.amazon.es/s?rh=n%3A14565215031&amp;language=es_ES&amp;brr=1&amp;rd=1" TargetMode="External"/><Relationship Id="rId35" Type="http://schemas.openxmlformats.org/officeDocument/2006/relationships/hyperlink" Target="https://www.fnac.com/Lave-vaisselle-60-cm/Par-type/nsh522677/w-4" TargetMode="External"/><Relationship Id="rId77" Type="http://schemas.openxmlformats.org/officeDocument/2006/relationships/hyperlink" Target="https://www.amazon.in/s?rh=n%3A1389396031&amp;fs=true&amp;ref=lp_1389396031_sar" TargetMode="External"/><Relationship Id="rId100" Type="http://schemas.openxmlformats.org/officeDocument/2006/relationships/hyperlink" Target="https://www.elgiganten.se/hem-hushall-tradgard/inomhusklimat-uppvarmning/uppvarmning/varmepump" TargetMode="External"/><Relationship Id="rId282" Type="http://schemas.openxmlformats.org/officeDocument/2006/relationships/hyperlink" Target="https://24h.pchome.com.tw/store/DSBB04?style=2" TargetMode="External"/><Relationship Id="rId338" Type="http://schemas.openxmlformats.org/officeDocument/2006/relationships/hyperlink" Target="https://24h.pchome.com.tw/store/DPAI2D?style=2" TargetMode="External"/><Relationship Id="rId8" Type="http://schemas.openxmlformats.org/officeDocument/2006/relationships/hyperlink" Target="https://www.amazon.com/s?k=WIRELESS+HEADSET&amp;ref=nb_sb_noss" TargetMode="External"/><Relationship Id="rId142" Type="http://schemas.openxmlformats.org/officeDocument/2006/relationships/hyperlink" Target="https://m.darty.com/m/achat/gros_electromenager/lave-linge/lave_linge_ouverture_dessus/index.html" TargetMode="External"/><Relationship Id="rId184" Type="http://schemas.openxmlformats.org/officeDocument/2006/relationships/hyperlink" Target="https://www.homedepot.ca/en/home/categories/appliances/washers-and-dryers/washers.html" TargetMode="External"/><Relationship Id="rId391" Type="http://schemas.openxmlformats.org/officeDocument/2006/relationships/hyperlink" Target="https://ao.com/l/tvs-4k_ultra_hd/1-66/107-108/?pagesize=60&amp;page=0" TargetMode="External"/><Relationship Id="rId405" Type="http://schemas.openxmlformats.org/officeDocument/2006/relationships/hyperlink" Target="https://ao.com/l/soundbars-bose/1-6/107-109-111/?pagesize=60&amp;page=0" TargetMode="External"/><Relationship Id="rId447" Type="http://schemas.openxmlformats.org/officeDocument/2006/relationships/hyperlink" Target="https://www.elcorteingles.es/electronica/tv/tv-led" TargetMode="External"/><Relationship Id="rId251" Type="http://schemas.openxmlformats.org/officeDocument/2006/relationships/hyperlink" Target="https://24h.pchome.com.tw/store/DSAB20?style=2" TargetMode="External"/><Relationship Id="rId46" Type="http://schemas.openxmlformats.org/officeDocument/2006/relationships/hyperlink" Target="https://www.amazon.es/s?rh=n%3A14565215031&amp;language=es_ES&amp;brr=1&amp;rd=1" TargetMode="External"/><Relationship Id="rId293" Type="http://schemas.openxmlformats.org/officeDocument/2006/relationships/hyperlink" Target="https://24h.pchome.com.tw/store/DSBB0A?style=2" TargetMode="External"/><Relationship Id="rId307" Type="http://schemas.openxmlformats.org/officeDocument/2006/relationships/hyperlink" Target="https://24h.pchome.com.tw/store/DPAC36?style=2" TargetMode="External"/><Relationship Id="rId349" Type="http://schemas.openxmlformats.org/officeDocument/2006/relationships/hyperlink" Target="https://24h.pchome.com.tw/store/DYAQ99" TargetMode="External"/><Relationship Id="rId88" Type="http://schemas.openxmlformats.org/officeDocument/2006/relationships/hyperlink" Target="https://www.bestbuy.ca/en-ca/category/portable-bluetooth-speakers/31843" TargetMode="External"/><Relationship Id="rId111" Type="http://schemas.openxmlformats.org/officeDocument/2006/relationships/hyperlink" Target="https://www.extra.com/ar-sa/electronics/home-entertainment/c/1-110/facet/?q=:relevance:inStock:true&amp;text=&amp;pageSize=96&amp;pg=0&amp;sort=priceValueDiscount-desc" TargetMode="External"/><Relationship Id="rId153" Type="http://schemas.openxmlformats.org/officeDocument/2006/relationships/hyperlink" Target="https://m.darty.com/m/selection/egp-tv-lifestyle-samsung-megamenu.html" TargetMode="External"/><Relationship Id="rId195" Type="http://schemas.openxmlformats.org/officeDocument/2006/relationships/hyperlink" Target="https://www.lazada.sg/shop-monitors/?spm=a2o42.searchlistcategory.cate_1_6.1.1da73f876TOmQI" TargetMode="External"/><Relationship Id="rId209" Type="http://schemas.openxmlformats.org/officeDocument/2006/relationships/hyperlink" Target="https://www.costco.ca/washers.html" TargetMode="External"/><Relationship Id="rId360" Type="http://schemas.openxmlformats.org/officeDocument/2006/relationships/hyperlink" Target="https://www.mediaworld.it/it/category/casse-bluetooth-100109.html" TargetMode="External"/><Relationship Id="rId416" Type="http://schemas.openxmlformats.org/officeDocument/2006/relationships/hyperlink" Target="https://www.mediamarkt.de/de/category/einbau-waschmaschinen-987.html?page=1" TargetMode="External"/><Relationship Id="rId220" Type="http://schemas.openxmlformats.org/officeDocument/2006/relationships/hyperlink" Target="https://www.costco.com/dishwashers.html?keyword=dishwasher" TargetMode="External"/><Relationship Id="rId458" Type="http://schemas.openxmlformats.org/officeDocument/2006/relationships/hyperlink" Target="https://www.dienmayxanh.com/tivi" TargetMode="External"/><Relationship Id="rId15" Type="http://schemas.openxmlformats.org/officeDocument/2006/relationships/hyperlink" Target="https://www.amazon.it/s?k=forno&amp;rh=n%3A5750400031&amp;dc&amp;ds=v1%3AAvmqtEqWlkQwRwbsbrh7vAFHmWtAl6yK%2Fq%2FLb0DFwOo&amp;qid=1713516281&amp;rnid=1640607031&amp;ref=sr_nr_n_1" TargetMode="External"/><Relationship Id="rId57" Type="http://schemas.openxmlformats.org/officeDocument/2006/relationships/hyperlink" Target="https://www.amazon.co.uk/s?rh=n%3A428652031&amp;fs=true&amp;ref=lp_428652031_sar" TargetMode="External"/><Relationship Id="rId262" Type="http://schemas.openxmlformats.org/officeDocument/2006/relationships/hyperlink" Target="https://24h.pchome.com.tw/store/DSAB6S?style=2" TargetMode="External"/><Relationship Id="rId318" Type="http://schemas.openxmlformats.org/officeDocument/2006/relationships/hyperlink" Target="https://24h.pchome.com.tw/store/DPACEI?style=2" TargetMode="External"/><Relationship Id="rId99" Type="http://schemas.openxmlformats.org/officeDocument/2006/relationships/hyperlink" Target="https://www.elgiganten.se/datorer-kontor/skarmar-tillbehor/datorskarm" TargetMode="External"/><Relationship Id="rId122" Type="http://schemas.openxmlformats.org/officeDocument/2006/relationships/hyperlink" Target="https://www.otto.de/haushalt/backoefen/" TargetMode="External"/><Relationship Id="rId164" Type="http://schemas.openxmlformats.org/officeDocument/2006/relationships/hyperlink" Target="https://www.bestbuy.com/site/washers-dryers/all-washers-and-dryers/pcmcat1550600241948.c?id=pcmcat1550600241948" TargetMode="External"/><Relationship Id="rId371" Type="http://schemas.openxmlformats.org/officeDocument/2006/relationships/hyperlink" Target="https://ao.com/l/washing_machines-7--or--8--or--82e0--or--9--or--92e0_wash_load/1-4/1/?pagesize=60&amp;page=0" TargetMode="External"/><Relationship Id="rId427" Type="http://schemas.openxmlformats.org/officeDocument/2006/relationships/hyperlink" Target="https://www.mediamarkt.de/de/category/nanocell-tvs-2890.html?page=1" TargetMode="External"/><Relationship Id="rId469" Type="http://schemas.openxmlformats.org/officeDocument/2006/relationships/hyperlink" Target="https://www.falabella.com/falabella-cl/category/cat1640002/Audifonos" TargetMode="External"/><Relationship Id="rId26" Type="http://schemas.openxmlformats.org/officeDocument/2006/relationships/hyperlink" Target="https://www.fnac.com/Toutes-les-TV/TV-Television/nsh474940/w-4?PageIndex=1&amp;SDM=list" TargetMode="External"/><Relationship Id="rId231" Type="http://schemas.openxmlformats.org/officeDocument/2006/relationships/hyperlink" Target="https://24h.pchome.com.tw/store/DPADOT?style=2" TargetMode="External"/><Relationship Id="rId273" Type="http://schemas.openxmlformats.org/officeDocument/2006/relationships/hyperlink" Target="https://24h.pchome.com.tw/store/DSBB01?style=2" TargetMode="External"/><Relationship Id="rId329" Type="http://schemas.openxmlformats.org/officeDocument/2006/relationships/hyperlink" Target="https://24h.pchome.com.tw/store/DPAI4I?style=2" TargetMode="External"/><Relationship Id="rId480" Type="http://schemas.openxmlformats.org/officeDocument/2006/relationships/hyperlink" Target="https://www.amazon.co.uk/Washing-Machines-Drying-Home-Appliances/b/ref=dp_bc_3?ie=UTF8&amp;node=3618681" TargetMode="External"/><Relationship Id="rId68" Type="http://schemas.openxmlformats.org/officeDocument/2006/relationships/hyperlink" Target="https://www.amazon.co.jp/s?rh=n%3A85396051&amp;fs=true&amp;language=en&amp;ref=lp_85396051_sar" TargetMode="External"/><Relationship Id="rId133" Type="http://schemas.openxmlformats.org/officeDocument/2006/relationships/hyperlink" Target="https://mediamart.vn/may-say-quan-ao" TargetMode="External"/><Relationship Id="rId175" Type="http://schemas.openxmlformats.org/officeDocument/2006/relationships/hyperlink" Target="https://www.magazineluiza.com.br/geladeira-refrigerador/eletrodomesticos/s/ed/refr/" TargetMode="External"/><Relationship Id="rId340" Type="http://schemas.openxmlformats.org/officeDocument/2006/relationships/hyperlink" Target="https://24h.pchome.com.tw/store/DPAI48?style=2" TargetMode="External"/><Relationship Id="rId200" Type="http://schemas.openxmlformats.org/officeDocument/2006/relationships/hyperlink" Target="https://www.lazada.co.th/shop-refrigerators/?spm=a2o4m.home-th.3887232320.9.2adc2a80sCQIct" TargetMode="External"/><Relationship Id="rId382" Type="http://schemas.openxmlformats.org/officeDocument/2006/relationships/hyperlink" Target="https://ao.com/l/fridges-built_in/1-9/29-30/?pagesize=60&amp;page=0" TargetMode="External"/><Relationship Id="rId438" Type="http://schemas.openxmlformats.org/officeDocument/2006/relationships/hyperlink" Target="https://www.mediamarkt.es/es/category/monitores-179.html" TargetMode="External"/><Relationship Id="rId242" Type="http://schemas.openxmlformats.org/officeDocument/2006/relationships/hyperlink" Target="https://24h.pchome.com.tw/store/?fq=/R/DPAD/new&amp;style=2" TargetMode="External"/><Relationship Id="rId284" Type="http://schemas.openxmlformats.org/officeDocument/2006/relationships/hyperlink" Target="https://24h.pchome.com.tw/store/DSBB06?style=2" TargetMode="External"/><Relationship Id="rId37" Type="http://schemas.openxmlformats.org/officeDocument/2006/relationships/hyperlink" Target="https://www.amazon.de/s?i=appliances&amp;rh=n%3A13528201031&amp;s=popularity-rank&amp;fs=true&amp;ref=lp_13528201031_sar" TargetMode="External"/><Relationship Id="rId79" Type="http://schemas.openxmlformats.org/officeDocument/2006/relationships/hyperlink" Target="https://www.amazon.in/s?i=kitchen&amp;bbn=3474656031&amp;rh=n%3A976442031%2Cn%3A2083423031%2Cn%3A3474656031%2Cn%3A10545602031&amp;dc&amp;fs=true&amp;ds=v1%3As6ax%2FEXA6mZCM0%2FiYQTtqGsLADwH%2Bb4r3vnkJLa7COY&amp;qid=1672893780&amp;rnid=3474656031&amp;ref=sr_nr_n_2" TargetMode="External"/><Relationship Id="rId102" Type="http://schemas.openxmlformats.org/officeDocument/2006/relationships/hyperlink" Target="https://www.elgiganten.se/tv-ljud-smart-hem/hogtalare-hifi/soundbar" TargetMode="External"/><Relationship Id="rId144" Type="http://schemas.openxmlformats.org/officeDocument/2006/relationships/hyperlink" Target="https://m.darty.com/m/achat/hifi_video/tous_ecrans_plats/filtre__4k__1680756.html" TargetMode="External"/><Relationship Id="rId90" Type="http://schemas.openxmlformats.org/officeDocument/2006/relationships/hyperlink" Target="https://www.bestbuy.ca/en-ca/collection/truly-wireless-headphones/37057" TargetMode="External"/><Relationship Id="rId186" Type="http://schemas.openxmlformats.org/officeDocument/2006/relationships/hyperlink" Target="https://www.homedepot.ca/en/home/categories/appliances/dishwashers.html?products=" TargetMode="External"/><Relationship Id="rId351" Type="http://schemas.openxmlformats.org/officeDocument/2006/relationships/hyperlink" Target="https://24h.pchome.com.tw/store/DYAQFA" TargetMode="External"/><Relationship Id="rId393" Type="http://schemas.openxmlformats.org/officeDocument/2006/relationships/hyperlink" Target="https://ao.com/l/tvs-qled_screen/1-58/107-108/?pagesize=60&amp;page=0" TargetMode="External"/><Relationship Id="rId407" Type="http://schemas.openxmlformats.org/officeDocument/2006/relationships/hyperlink" Target="https://ao.com/l/full_size_dishwashers/1/21-23&amp;pagesize=60&amp;page=0" TargetMode="External"/><Relationship Id="rId449" Type="http://schemas.openxmlformats.org/officeDocument/2006/relationships/hyperlink" Target="https://www.elcorteingles.es/electronica/tv/tv-qled" TargetMode="External"/><Relationship Id="rId211" Type="http://schemas.openxmlformats.org/officeDocument/2006/relationships/hyperlink" Target="https://www.costco.ca/dishwashers.html" TargetMode="External"/><Relationship Id="rId253" Type="http://schemas.openxmlformats.org/officeDocument/2006/relationships/hyperlink" Target="https://24h.pchome.com.tw/store/DSAB47?style=2" TargetMode="External"/><Relationship Id="rId295" Type="http://schemas.openxmlformats.org/officeDocument/2006/relationships/hyperlink" Target="https://24h.pchome.com.tw/store/?fq=/R/DHAA/coupon" TargetMode="External"/><Relationship Id="rId309" Type="http://schemas.openxmlformats.org/officeDocument/2006/relationships/hyperlink" Target="https://24h.pchome.com.tw/store/DPAC42?style=2" TargetMode="External"/><Relationship Id="rId460" Type="http://schemas.openxmlformats.org/officeDocument/2006/relationships/hyperlink" Target="https://www.dienmayxanh.com/dan-loa-dvd-loa-thanh" TargetMode="External"/><Relationship Id="rId48" Type="http://schemas.openxmlformats.org/officeDocument/2006/relationships/hyperlink" Target="https://www.amazon.es/s?rh=n%3A934359031&amp;fs=true&amp;ref=lp_934359031_sar" TargetMode="External"/><Relationship Id="rId113" Type="http://schemas.openxmlformats.org/officeDocument/2006/relationships/hyperlink" Target="https://www.extra.com/ar-sa/white-goods/dish-washer/c/4-408/facet/" TargetMode="External"/><Relationship Id="rId320" Type="http://schemas.openxmlformats.org/officeDocument/2006/relationships/hyperlink" Target="https://24h.pchome.com.tw/store/DPAC6J?style=2" TargetMode="External"/><Relationship Id="rId155" Type="http://schemas.openxmlformats.org/officeDocument/2006/relationships/hyperlink" Target="https://m.darty.com/m/achat/audio_mp3_mp4/enceinte_ipod_ipad_iphone_mp3/index.html" TargetMode="External"/><Relationship Id="rId197" Type="http://schemas.openxmlformats.org/officeDocument/2006/relationships/hyperlink" Target="https://www.lazada.sg/shop-wireless-earbuds/?spm=a2o42.searchlistcategory.list.i40.f0254f13rOXqI1" TargetMode="External"/><Relationship Id="rId362" Type="http://schemas.openxmlformats.org/officeDocument/2006/relationships/hyperlink" Target="https://www.mediaworld.it/it/category/cuffie-wireless-401001.html" TargetMode="External"/><Relationship Id="rId418" Type="http://schemas.openxmlformats.org/officeDocument/2006/relationships/hyperlink" Target="https://www.mediamarkt.de/de/category/oled-tvs-898.html?page=1" TargetMode="External"/><Relationship Id="rId222" Type="http://schemas.openxmlformats.org/officeDocument/2006/relationships/hyperlink" Target="https://www.costco.com/wall-ovens.html" TargetMode="External"/><Relationship Id="rId264" Type="http://schemas.openxmlformats.org/officeDocument/2006/relationships/hyperlink" Target="https://24h.pchome.com.tw/store/DSAB7Y?style=2" TargetMode="External"/><Relationship Id="rId471" Type="http://schemas.openxmlformats.org/officeDocument/2006/relationships/hyperlink" Target="https://www.thebrick.com/collections/appliances-laundry-washers" TargetMode="External"/><Relationship Id="rId17" Type="http://schemas.openxmlformats.org/officeDocument/2006/relationships/hyperlink" Target="https://www.amazon.it/s?k=forno&amp;i=appliances&amp;rh=n%3A5750400031%2Cp_n_feature_thirteen_browse-bin%3A14567719031&amp;dc&amp;ds=v1%3Ah%2BZGTKdnmqSwWvYRnFbGrtcuzGEVHeosGFX3DF1SbjY&amp;qid=1713516420&amp;rnid=14567716031&amp;ref=sr_nr_p_n_feature_thirteen_browse-bin_1" TargetMode="External"/><Relationship Id="rId59" Type="http://schemas.openxmlformats.org/officeDocument/2006/relationships/hyperlink" Target="https://www.amazon.co.uk/s?bbn=560798&amp;rh=n%3A1591405031&amp;fs=true&amp;ref=lp_1591405031_sar" TargetMode="External"/><Relationship Id="rId124" Type="http://schemas.openxmlformats.org/officeDocument/2006/relationships/hyperlink" Target="https://mediamart.vn/may-giat" TargetMode="External"/><Relationship Id="rId70" Type="http://schemas.openxmlformats.org/officeDocument/2006/relationships/hyperlink" Target="https://www.amazon.co.jp/s?bbn=3210981&amp;rh=n%3A6061792051&amp;fs=true&amp;language=en&amp;ref=lp_6061792051_sar" TargetMode="External"/><Relationship Id="rId166" Type="http://schemas.openxmlformats.org/officeDocument/2006/relationships/hyperlink" Target="https://www.bestbuy.com/site/computer-monitors/all-monitors/pcmcat143700050048.c?id=pcmcat143700050048" TargetMode="External"/><Relationship Id="rId331" Type="http://schemas.openxmlformats.org/officeDocument/2006/relationships/hyperlink" Target="https://24h.pchome.com.tw/store/DPAID4?style=2" TargetMode="External"/><Relationship Id="rId373" Type="http://schemas.openxmlformats.org/officeDocument/2006/relationships/hyperlink" Target="https://ao.com/l/washing_machines-samsung/1-6/1/?pagesize=60&amp;page=0" TargetMode="External"/><Relationship Id="rId429" Type="http://schemas.openxmlformats.org/officeDocument/2006/relationships/hyperlink" Target="https://www.mediamarkt.de/de/category/monitore-408.html?page=1" TargetMode="External"/><Relationship Id="rId1" Type="http://schemas.openxmlformats.org/officeDocument/2006/relationships/hyperlink" Target="https://www.amazon.com/s?k=REFRIGERATOR&amp;ref=nb_sb_noss" TargetMode="External"/><Relationship Id="rId233" Type="http://schemas.openxmlformats.org/officeDocument/2006/relationships/hyperlink" Target="https://24h.pchome.com.tw/store/DPADMX?style=2" TargetMode="External"/><Relationship Id="rId440" Type="http://schemas.openxmlformats.org/officeDocument/2006/relationships/hyperlink" Target="https://www.mediamarkt.es/es/category/barras-de-sonido-490.html" TargetMode="External"/><Relationship Id="rId28" Type="http://schemas.openxmlformats.org/officeDocument/2006/relationships/hyperlink" Target="https://www.fnac.com/Ecrans-de-PC-Incurve/Ecrans-de-PC/nsh445840/w-4" TargetMode="External"/><Relationship Id="rId275" Type="http://schemas.openxmlformats.org/officeDocument/2006/relationships/hyperlink" Target="https://24h.pchome.com.tw/store/DSBB3G?style=2" TargetMode="External"/><Relationship Id="rId300" Type="http://schemas.openxmlformats.org/officeDocument/2006/relationships/hyperlink" Target="https://24h.pchome.com.tw/store/DPAC56?style=2" TargetMode="External"/><Relationship Id="rId81" Type="http://schemas.openxmlformats.org/officeDocument/2006/relationships/hyperlink" Target="https://www.amazon.in/s?rh=n%3A1389372031&amp;fs=true&amp;ref=lp_1389372031_sar" TargetMode="External"/><Relationship Id="rId135" Type="http://schemas.openxmlformats.org/officeDocument/2006/relationships/hyperlink" Target="https://m.darty.com/m/achat/gros_electromenager/refrigerateur_congelateur/index.html" TargetMode="External"/><Relationship Id="rId177" Type="http://schemas.openxmlformats.org/officeDocument/2006/relationships/hyperlink" Target="https://www.magazineluiza.com.br/tvs/tv-e-video/s/et/tves/" TargetMode="External"/><Relationship Id="rId342" Type="http://schemas.openxmlformats.org/officeDocument/2006/relationships/hyperlink" Target="https://24h.pchome.com.tw/store/DPAI3B?style=2" TargetMode="External"/><Relationship Id="rId384" Type="http://schemas.openxmlformats.org/officeDocument/2006/relationships/hyperlink" Target="https://ao.com/l/refrigerators-larder/1-35/29/?pagesize=60&amp;page=0" TargetMode="External"/><Relationship Id="rId202" Type="http://schemas.openxmlformats.org/officeDocument/2006/relationships/hyperlink" Target="https://www.lazada.co.th/shop-dryers/?spm=a2o4m.searchlistcategory.funnel_filter.d5.db9b7050SRZknr" TargetMode="External"/><Relationship Id="rId244" Type="http://schemas.openxmlformats.org/officeDocument/2006/relationships/hyperlink" Target="https://24h.pchome.com.tw/store/DCAIAL" TargetMode="External"/><Relationship Id="rId39" Type="http://schemas.openxmlformats.org/officeDocument/2006/relationships/hyperlink" Target="https://www.amazon.de/s?rh=n%3A1197292&amp;fs=true&amp;ref=lp_1197292_sar" TargetMode="External"/><Relationship Id="rId286" Type="http://schemas.openxmlformats.org/officeDocument/2006/relationships/hyperlink" Target="https://24h.pchome.com.tw/store/DSBB0C?style=2" TargetMode="External"/><Relationship Id="rId451" Type="http://schemas.openxmlformats.org/officeDocument/2006/relationships/hyperlink" Target="https://www.elcorteingles.es/electronica/sonido/altavoces-portatiles/altavoces-bluetooth" TargetMode="External"/><Relationship Id="rId50" Type="http://schemas.openxmlformats.org/officeDocument/2006/relationships/hyperlink" Target="https://www.amazon.es/s?k=Bluetooth&amp;i=electronics&amp;rh=n%3A599370031%2Cn%3A928455031%2Cn%3A934033031%2Cn%3A934056031" TargetMode="External"/><Relationship Id="rId104" Type="http://schemas.openxmlformats.org/officeDocument/2006/relationships/hyperlink" Target="https://www.elgiganten.se/vitvaror/tvatt-tork/torktumlare-torkskap" TargetMode="External"/><Relationship Id="rId146" Type="http://schemas.openxmlformats.org/officeDocument/2006/relationships/hyperlink" Target="https://m.darty.com/m/achat/hifi_video/tous_ecrans_plats/index.html" TargetMode="External"/><Relationship Id="rId188" Type="http://schemas.openxmlformats.org/officeDocument/2006/relationships/hyperlink" Target="https://www.thegoodguys.com.au/vacuums-and-cleaners/vacuum-cleaners/barrel-vacuums" TargetMode="External"/><Relationship Id="rId311" Type="http://schemas.openxmlformats.org/officeDocument/2006/relationships/hyperlink" Target="https://24h.pchome.com.tw/store/DPAC44?style=2" TargetMode="External"/><Relationship Id="rId353" Type="http://schemas.openxmlformats.org/officeDocument/2006/relationships/hyperlink" Target="https://www.mediaworld.it/it/category/tv-led-400102.html" TargetMode="External"/><Relationship Id="rId395" Type="http://schemas.openxmlformats.org/officeDocument/2006/relationships/hyperlink" Target="https://ao.com/l/tvs-12088/1-20/107-108/?pagesize=60&amp;page=0" TargetMode="External"/><Relationship Id="rId409" Type="http://schemas.openxmlformats.org/officeDocument/2006/relationships/hyperlink" Target="https://ao.com/l/monitors_and_projectors/1/250-257/?pagesize=60&amp;page=0" TargetMode="External"/><Relationship Id="rId92" Type="http://schemas.openxmlformats.org/officeDocument/2006/relationships/hyperlink" Target="https://www.bestbuy.ca/en-ca/category/laptops-macbooks/20352" TargetMode="External"/><Relationship Id="rId213" Type="http://schemas.openxmlformats.org/officeDocument/2006/relationships/hyperlink" Target="https://www.costco.ca/laptops.html" TargetMode="External"/><Relationship Id="rId420" Type="http://schemas.openxmlformats.org/officeDocument/2006/relationships/hyperlink" Target="https://www.mediamarkt.de/de/category/qled-tvs-696.html?page=1" TargetMode="External"/><Relationship Id="rId255" Type="http://schemas.openxmlformats.org/officeDocument/2006/relationships/hyperlink" Target="https://24h.pchome.com.tw/store/DSAB2W?style=2" TargetMode="External"/><Relationship Id="rId297" Type="http://schemas.openxmlformats.org/officeDocument/2006/relationships/hyperlink" Target="https://24h.pchome.com.tw/store/DHAB9E?style=2" TargetMode="External"/><Relationship Id="rId462" Type="http://schemas.openxmlformats.org/officeDocument/2006/relationships/hyperlink" Target="https://www.dienmayxanh.com/may-lanh" TargetMode="External"/><Relationship Id="rId115" Type="http://schemas.openxmlformats.org/officeDocument/2006/relationships/hyperlink" Target="https://www.otto.de/haushalt/waschmaschinen/?ansicht=einstieg" TargetMode="External"/><Relationship Id="rId157" Type="http://schemas.openxmlformats.org/officeDocument/2006/relationships/hyperlink" Target="https://m.darty.com/m/achat/hifi_video/casque_ecouteurs/casque_arceau/filtre__casque_audio_bluetooth__1032485.html" TargetMode="External"/><Relationship Id="rId322" Type="http://schemas.openxmlformats.org/officeDocument/2006/relationships/hyperlink" Target="https://24h.pchome.com.tw/store/DPAC6F?style=2" TargetMode="External"/><Relationship Id="rId364" Type="http://schemas.openxmlformats.org/officeDocument/2006/relationships/hyperlink" Target="https://www.mediaworld.it/it/category/monitor-200401.html" TargetMode="External"/><Relationship Id="rId61" Type="http://schemas.openxmlformats.org/officeDocument/2006/relationships/hyperlink" Target="https://www.amazon.co.uk/s?rh=n%3A429886031&amp;fs=true&amp;ref=lp_429886031_sar" TargetMode="External"/><Relationship Id="rId199" Type="http://schemas.openxmlformats.org/officeDocument/2006/relationships/hyperlink" Target="https://www.lazada.sg/shop-wireless-and-bluetooth-speakers/?spm=a2o42.searchlistcategory.cate_1_2.2.a3fd483fDl8cUA" TargetMode="External"/><Relationship Id="rId19" Type="http://schemas.openxmlformats.org/officeDocument/2006/relationships/hyperlink" Target="https://www.fnac.com/Refrigerateur-Congelateur/Par-type/nsh521525/w-4" TargetMode="External"/><Relationship Id="rId224" Type="http://schemas.openxmlformats.org/officeDocument/2006/relationships/hyperlink" Target="https://www.costco.com/washers.html" TargetMode="External"/><Relationship Id="rId266" Type="http://schemas.openxmlformats.org/officeDocument/2006/relationships/hyperlink" Target="https://24h.pchome.com.tw/store/DSBB3H?style=2" TargetMode="External"/><Relationship Id="rId431" Type="http://schemas.openxmlformats.org/officeDocument/2006/relationships/hyperlink" Target="https://www.mediamarkt.de/de/category/soundbars-225.html?page=1" TargetMode="External"/><Relationship Id="rId473" Type="http://schemas.openxmlformats.org/officeDocument/2006/relationships/hyperlink" Target="https://www.thebrick.com/collections/appliances-laundry-dryers" TargetMode="External"/><Relationship Id="rId30" Type="http://schemas.openxmlformats.org/officeDocument/2006/relationships/hyperlink" Target="https://www.fnac.com/Enceinte-Bluetooth-sans-fil/Enceinte-par-usage/nsh450599/w-4?PageIndex=1&amp;SDM=list" TargetMode="External"/><Relationship Id="rId126" Type="http://schemas.openxmlformats.org/officeDocument/2006/relationships/hyperlink" Target="https://mediamart.vn/man-hinh-may-tinh" TargetMode="External"/><Relationship Id="rId168" Type="http://schemas.openxmlformats.org/officeDocument/2006/relationships/hyperlink" Target="https://www.bestbuy.com/site/speakers/sound-bars/abcat0205007.c?id=abcat0205007" TargetMode="External"/><Relationship Id="rId333" Type="http://schemas.openxmlformats.org/officeDocument/2006/relationships/hyperlink" Target="https://24h.pchome.com.tw/store/DPAID2?style=2" TargetMode="External"/><Relationship Id="rId72" Type="http://schemas.openxmlformats.org/officeDocument/2006/relationships/hyperlink" Target="https://www.amazon.ca/s?bbn=667823011&amp;rh=n%3A2690978011&amp;fs=true&amp;ref=lp_2690978011_sar" TargetMode="External"/><Relationship Id="rId375" Type="http://schemas.openxmlformats.org/officeDocument/2006/relationships/hyperlink" Target="https://ao.com/l/washing_machines-hotpoint/1-6/1/?pagesize=60&amp;page=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echsle.pe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68E6-79E4-46FF-97A1-D39725C8B292}">
  <sheetPr>
    <tabColor theme="1" tint="0.499984740745262"/>
  </sheetPr>
  <dimension ref="A1"/>
  <sheetViews>
    <sheetView workbookViewId="0">
      <selection activeCell="Q34" sqref="Q34"/>
    </sheetView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E86D-AEB3-4535-8A8D-9C1AE6B3E799}">
  <dimension ref="B3:L66"/>
  <sheetViews>
    <sheetView workbookViewId="0"/>
  </sheetViews>
  <sheetFormatPr defaultRowHeight="17.399999999999999"/>
  <cols>
    <col min="6" max="6" width="16.5" bestFit="1" customWidth="1"/>
    <col min="7" max="7" width="14.8984375" bestFit="1" customWidth="1"/>
  </cols>
  <sheetData>
    <row r="3" spans="2:12">
      <c r="B3" s="259" t="s">
        <v>0</v>
      </c>
      <c r="C3" s="259" t="s">
        <v>1</v>
      </c>
    </row>
    <row r="4" spans="2:12">
      <c r="B4" s="260" t="s">
        <v>2</v>
      </c>
      <c r="C4" s="260" t="s">
        <v>3</v>
      </c>
    </row>
    <row r="5" spans="2:12">
      <c r="B5" s="261" t="s">
        <v>4</v>
      </c>
      <c r="C5" s="261" t="s">
        <v>5</v>
      </c>
      <c r="F5" s="65" t="s">
        <v>6</v>
      </c>
    </row>
    <row r="6" spans="2:12">
      <c r="B6" s="261" t="s">
        <v>4</v>
      </c>
      <c r="C6" s="261" t="s">
        <v>5</v>
      </c>
      <c r="F6" s="66" t="s">
        <v>4</v>
      </c>
      <c r="G6">
        <v>11</v>
      </c>
    </row>
    <row r="7" spans="2:12">
      <c r="B7" s="262" t="s">
        <v>4</v>
      </c>
      <c r="C7" s="262" t="s">
        <v>5</v>
      </c>
      <c r="F7" s="67" t="s">
        <v>5</v>
      </c>
    </row>
    <row r="8" spans="2:12">
      <c r="B8" s="261" t="s">
        <v>4</v>
      </c>
      <c r="C8" s="261" t="s">
        <v>5</v>
      </c>
      <c r="F8" s="67" t="s">
        <v>7</v>
      </c>
    </row>
    <row r="9" spans="2:12">
      <c r="B9" s="261" t="s">
        <v>4</v>
      </c>
      <c r="C9" s="261" t="s">
        <v>7</v>
      </c>
      <c r="F9" s="67" t="s">
        <v>8</v>
      </c>
    </row>
    <row r="10" spans="2:12">
      <c r="B10" s="261" t="s">
        <v>4</v>
      </c>
      <c r="C10" s="261" t="s">
        <v>7</v>
      </c>
      <c r="F10" s="67" t="s">
        <v>9</v>
      </c>
      <c r="J10" t="s">
        <v>0</v>
      </c>
      <c r="K10" t="s">
        <v>10</v>
      </c>
      <c r="L10" t="s">
        <v>11</v>
      </c>
    </row>
    <row r="11" spans="2:12">
      <c r="B11" s="261" t="s">
        <v>4</v>
      </c>
      <c r="C11" s="261" t="s">
        <v>7</v>
      </c>
      <c r="F11" s="67" t="s">
        <v>12</v>
      </c>
      <c r="J11" t="s">
        <v>13</v>
      </c>
      <c r="K11">
        <v>2</v>
      </c>
    </row>
    <row r="12" spans="2:12">
      <c r="B12" s="261" t="s">
        <v>4</v>
      </c>
      <c r="C12" s="261" t="s">
        <v>8</v>
      </c>
      <c r="F12" s="66" t="s">
        <v>14</v>
      </c>
      <c r="J12" t="s">
        <v>15</v>
      </c>
      <c r="K12">
        <v>7</v>
      </c>
      <c r="L12">
        <v>16</v>
      </c>
    </row>
    <row r="13" spans="2:12">
      <c r="B13" s="261" t="s">
        <v>4</v>
      </c>
      <c r="C13" s="261" t="s">
        <v>8</v>
      </c>
      <c r="F13" s="67" t="s">
        <v>16</v>
      </c>
      <c r="J13" t="s">
        <v>17</v>
      </c>
      <c r="K13">
        <v>3</v>
      </c>
    </row>
    <row r="14" spans="2:12">
      <c r="B14" s="261" t="s">
        <v>4</v>
      </c>
      <c r="C14" s="261" t="s">
        <v>9</v>
      </c>
      <c r="F14" s="67" t="s">
        <v>18</v>
      </c>
      <c r="J14" t="s">
        <v>19</v>
      </c>
      <c r="K14">
        <v>6</v>
      </c>
    </row>
    <row r="15" spans="2:12">
      <c r="B15" s="261" t="s">
        <v>4</v>
      </c>
      <c r="C15" s="261" t="s">
        <v>9</v>
      </c>
      <c r="F15" s="67" t="s">
        <v>20</v>
      </c>
      <c r="J15" t="s">
        <v>21</v>
      </c>
      <c r="K15">
        <v>1</v>
      </c>
    </row>
    <row r="16" spans="2:12">
      <c r="B16" s="261" t="s">
        <v>4</v>
      </c>
      <c r="C16" s="261" t="s">
        <v>9</v>
      </c>
      <c r="F16" s="67" t="s">
        <v>22</v>
      </c>
      <c r="J16" t="s">
        <v>23</v>
      </c>
      <c r="K16">
        <v>1</v>
      </c>
    </row>
    <row r="17" spans="2:11">
      <c r="B17" s="261" t="s">
        <v>4</v>
      </c>
      <c r="C17" s="261" t="s">
        <v>12</v>
      </c>
      <c r="F17" s="67" t="s">
        <v>24</v>
      </c>
      <c r="J17" t="s">
        <v>25</v>
      </c>
      <c r="K17">
        <f>SUM(K11:K16)</f>
        <v>20</v>
      </c>
    </row>
    <row r="18" spans="2:11">
      <c r="B18" s="261" t="s">
        <v>4</v>
      </c>
      <c r="C18" s="261" t="s">
        <v>12</v>
      </c>
      <c r="F18" s="67" t="s">
        <v>26</v>
      </c>
    </row>
    <row r="19" spans="2:11">
      <c r="B19" s="261" t="s">
        <v>4</v>
      </c>
      <c r="C19" s="261" t="s">
        <v>12</v>
      </c>
      <c r="F19" s="67" t="s">
        <v>27</v>
      </c>
    </row>
    <row r="20" spans="2:11">
      <c r="B20" s="260" t="s">
        <v>15</v>
      </c>
      <c r="C20" s="260" t="s">
        <v>28</v>
      </c>
      <c r="F20" s="66" t="s">
        <v>29</v>
      </c>
    </row>
    <row r="21" spans="2:11">
      <c r="B21" s="262" t="s">
        <v>14</v>
      </c>
      <c r="C21" s="262" t="s">
        <v>16</v>
      </c>
      <c r="F21" s="67" t="s">
        <v>29</v>
      </c>
    </row>
    <row r="22" spans="2:11">
      <c r="B22" s="262" t="s">
        <v>14</v>
      </c>
      <c r="C22" s="262" t="s">
        <v>16</v>
      </c>
      <c r="F22" s="66" t="s">
        <v>30</v>
      </c>
    </row>
    <row r="23" spans="2:11">
      <c r="B23" s="261" t="s">
        <v>14</v>
      </c>
      <c r="C23" s="261" t="s">
        <v>16</v>
      </c>
      <c r="F23" s="67" t="s">
        <v>30</v>
      </c>
    </row>
    <row r="24" spans="2:11">
      <c r="B24" s="260" t="s">
        <v>15</v>
      </c>
      <c r="C24" s="260" t="s">
        <v>31</v>
      </c>
      <c r="F24" s="66" t="s">
        <v>32</v>
      </c>
    </row>
    <row r="25" spans="2:11">
      <c r="B25" s="263" t="s">
        <v>14</v>
      </c>
      <c r="C25" s="263" t="s">
        <v>18</v>
      </c>
      <c r="F25" s="67" t="s">
        <v>33</v>
      </c>
    </row>
    <row r="26" spans="2:11">
      <c r="B26" s="261" t="s">
        <v>14</v>
      </c>
      <c r="C26" s="261" t="s">
        <v>18</v>
      </c>
      <c r="F26" s="67" t="s">
        <v>34</v>
      </c>
    </row>
    <row r="27" spans="2:11">
      <c r="B27" s="261" t="s">
        <v>14</v>
      </c>
      <c r="C27" s="261" t="s">
        <v>18</v>
      </c>
      <c r="F27" s="67" t="s">
        <v>35</v>
      </c>
    </row>
    <row r="28" spans="2:11">
      <c r="B28" s="260" t="s">
        <v>15</v>
      </c>
      <c r="C28" s="260" t="s">
        <v>36</v>
      </c>
      <c r="F28" s="66" t="s">
        <v>37</v>
      </c>
    </row>
    <row r="29" spans="2:11">
      <c r="B29" s="262" t="s">
        <v>14</v>
      </c>
      <c r="C29" s="262" t="s">
        <v>20</v>
      </c>
      <c r="F29" s="67" t="s">
        <v>38</v>
      </c>
    </row>
    <row r="30" spans="2:11">
      <c r="B30" s="261" t="s">
        <v>14</v>
      </c>
      <c r="C30" s="261" t="s">
        <v>20</v>
      </c>
      <c r="F30" s="66" t="s">
        <v>39</v>
      </c>
    </row>
    <row r="31" spans="2:11">
      <c r="B31" s="262" t="s">
        <v>14</v>
      </c>
      <c r="C31" s="262" t="s">
        <v>20</v>
      </c>
      <c r="F31" s="67" t="s">
        <v>40</v>
      </c>
    </row>
    <row r="32" spans="2:11">
      <c r="B32" s="263" t="s">
        <v>14</v>
      </c>
      <c r="C32" s="263" t="s">
        <v>22</v>
      </c>
      <c r="F32" s="67" t="s">
        <v>41</v>
      </c>
    </row>
    <row r="33" spans="2:6">
      <c r="B33" s="260" t="s">
        <v>15</v>
      </c>
      <c r="C33" s="260" t="s">
        <v>42</v>
      </c>
      <c r="F33" s="66" t="s">
        <v>43</v>
      </c>
    </row>
    <row r="34" spans="2:6">
      <c r="B34" s="263" t="s">
        <v>14</v>
      </c>
      <c r="C34" s="263" t="s">
        <v>24</v>
      </c>
    </row>
    <row r="35" spans="2:6">
      <c r="B35" s="261" t="s">
        <v>14</v>
      </c>
      <c r="C35" s="261" t="s">
        <v>24</v>
      </c>
    </row>
    <row r="36" spans="2:6">
      <c r="B36" s="261" t="s">
        <v>14</v>
      </c>
      <c r="C36" s="261" t="s">
        <v>24</v>
      </c>
    </row>
    <row r="37" spans="2:6">
      <c r="B37" s="260" t="s">
        <v>14</v>
      </c>
      <c r="C37" s="260" t="s">
        <v>26</v>
      </c>
    </row>
    <row r="38" spans="2:6">
      <c r="B38" s="260" t="s">
        <v>15</v>
      </c>
      <c r="C38" s="260" t="s">
        <v>44</v>
      </c>
    </row>
    <row r="39" spans="2:6">
      <c r="B39" s="263" t="s">
        <v>14</v>
      </c>
      <c r="C39" s="263" t="s">
        <v>27</v>
      </c>
    </row>
    <row r="40" spans="2:6">
      <c r="B40" s="261" t="s">
        <v>14</v>
      </c>
      <c r="C40" s="261" t="s">
        <v>27</v>
      </c>
    </row>
    <row r="41" spans="2:6">
      <c r="B41" s="261" t="s">
        <v>14</v>
      </c>
      <c r="C41" s="261" t="s">
        <v>27</v>
      </c>
    </row>
    <row r="42" spans="2:6">
      <c r="B42" s="261" t="s">
        <v>29</v>
      </c>
      <c r="C42" s="261" t="s">
        <v>29</v>
      </c>
    </row>
    <row r="43" spans="2:6">
      <c r="B43" s="261" t="s">
        <v>29</v>
      </c>
      <c r="C43" s="261" t="s">
        <v>29</v>
      </c>
    </row>
    <row r="44" spans="2:6">
      <c r="B44" s="262" t="s">
        <v>30</v>
      </c>
      <c r="C44" s="262" t="s">
        <v>30</v>
      </c>
    </row>
    <row r="45" spans="2:6">
      <c r="B45" s="264" t="s">
        <v>17</v>
      </c>
      <c r="C45" s="264" t="s">
        <v>45</v>
      </c>
    </row>
    <row r="46" spans="2:6">
      <c r="B46" s="265" t="s">
        <v>32</v>
      </c>
      <c r="C46" s="265" t="s">
        <v>33</v>
      </c>
    </row>
    <row r="47" spans="2:6">
      <c r="B47" s="265" t="s">
        <v>32</v>
      </c>
      <c r="C47" s="265" t="s">
        <v>33</v>
      </c>
    </row>
    <row r="48" spans="2:6">
      <c r="B48" s="264" t="s">
        <v>32</v>
      </c>
      <c r="C48" s="264" t="s">
        <v>33</v>
      </c>
    </row>
    <row r="49" spans="2:3">
      <c r="B49" s="264" t="s">
        <v>32</v>
      </c>
      <c r="C49" s="264" t="s">
        <v>33</v>
      </c>
    </row>
    <row r="50" spans="2:3">
      <c r="B50" s="265" t="s">
        <v>17</v>
      </c>
      <c r="C50" s="265" t="s">
        <v>45</v>
      </c>
    </row>
    <row r="51" spans="2:3">
      <c r="B51" s="265" t="s">
        <v>17</v>
      </c>
      <c r="C51" s="265" t="s">
        <v>45</v>
      </c>
    </row>
    <row r="52" spans="2:3">
      <c r="B52" s="265" t="s">
        <v>17</v>
      </c>
      <c r="C52" s="265" t="s">
        <v>45</v>
      </c>
    </row>
    <row r="53" spans="2:3">
      <c r="B53" s="260" t="s">
        <v>32</v>
      </c>
      <c r="C53" s="260" t="s">
        <v>34</v>
      </c>
    </row>
    <row r="54" spans="2:3">
      <c r="B54" s="260" t="s">
        <v>17</v>
      </c>
      <c r="C54" s="260" t="s">
        <v>46</v>
      </c>
    </row>
    <row r="55" spans="2:3">
      <c r="B55" s="261" t="s">
        <v>32</v>
      </c>
      <c r="C55" s="261" t="s">
        <v>35</v>
      </c>
    </row>
    <row r="56" spans="2:3">
      <c r="B56" s="261" t="s">
        <v>37</v>
      </c>
      <c r="C56" s="261" t="s">
        <v>38</v>
      </c>
    </row>
    <row r="57" spans="2:3">
      <c r="B57" s="260" t="s">
        <v>47</v>
      </c>
      <c r="C57" s="260" t="s">
        <v>48</v>
      </c>
    </row>
    <row r="58" spans="2:3">
      <c r="B58" s="261" t="s">
        <v>39</v>
      </c>
      <c r="C58" s="261" t="s">
        <v>40</v>
      </c>
    </row>
    <row r="59" spans="2:3">
      <c r="B59" s="261" t="s">
        <v>39</v>
      </c>
      <c r="C59" s="261" t="s">
        <v>40</v>
      </c>
    </row>
    <row r="60" spans="2:3">
      <c r="B60" s="261" t="s">
        <v>39</v>
      </c>
      <c r="C60" s="261" t="s">
        <v>40</v>
      </c>
    </row>
    <row r="61" spans="2:3">
      <c r="B61" s="262" t="s">
        <v>39</v>
      </c>
      <c r="C61" s="262" t="s">
        <v>40</v>
      </c>
    </row>
    <row r="62" spans="2:3">
      <c r="B62" s="262" t="s">
        <v>39</v>
      </c>
      <c r="C62" s="262" t="s">
        <v>40</v>
      </c>
    </row>
    <row r="63" spans="2:3">
      <c r="B63" s="260" t="s">
        <v>47</v>
      </c>
      <c r="C63" s="260" t="s">
        <v>49</v>
      </c>
    </row>
    <row r="64" spans="2:3">
      <c r="B64" s="261" t="s">
        <v>39</v>
      </c>
      <c r="C64" s="261" t="s">
        <v>41</v>
      </c>
    </row>
    <row r="65" spans="2:3">
      <c r="B65" s="261" t="s">
        <v>39</v>
      </c>
      <c r="C65" s="261" t="s">
        <v>41</v>
      </c>
    </row>
    <row r="66" spans="2:3">
      <c r="B66" s="64" t="s">
        <v>39</v>
      </c>
      <c r="C66" s="64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ACE-5C6D-4C94-B0DE-8D5042E37A7C}">
  <dimension ref="C3:L75"/>
  <sheetViews>
    <sheetView workbookViewId="0"/>
  </sheetViews>
  <sheetFormatPr defaultRowHeight="17.399999999999999"/>
  <cols>
    <col min="4" max="4" width="14.5" customWidth="1"/>
    <col min="7" max="7" width="40.8984375" bestFit="1" customWidth="1"/>
  </cols>
  <sheetData>
    <row r="3" spans="3:12">
      <c r="C3" s="259" t="s">
        <v>0</v>
      </c>
      <c r="D3" s="259" t="s">
        <v>50</v>
      </c>
    </row>
    <row r="4" spans="3:12">
      <c r="C4" s="260" t="s">
        <v>2</v>
      </c>
      <c r="D4" s="266" t="s">
        <v>51</v>
      </c>
    </row>
    <row r="5" spans="3:12">
      <c r="C5" s="261" t="s">
        <v>4</v>
      </c>
      <c r="D5" s="267" t="s">
        <v>52</v>
      </c>
      <c r="G5" s="65" t="s">
        <v>6</v>
      </c>
    </row>
    <row r="6" spans="3:12">
      <c r="C6" s="261" t="s">
        <v>4</v>
      </c>
      <c r="D6" s="267" t="s">
        <v>53</v>
      </c>
      <c r="G6" s="66" t="s">
        <v>4</v>
      </c>
    </row>
    <row r="7" spans="3:12">
      <c r="C7" s="262" t="s">
        <v>4</v>
      </c>
      <c r="D7" s="267" t="s">
        <v>54</v>
      </c>
      <c r="G7" s="67" t="s">
        <v>52</v>
      </c>
    </row>
    <row r="8" spans="3:12">
      <c r="C8" s="261" t="s">
        <v>4</v>
      </c>
      <c r="D8" s="267" t="s">
        <v>55</v>
      </c>
      <c r="G8" s="67" t="s">
        <v>53</v>
      </c>
      <c r="J8" t="s">
        <v>0</v>
      </c>
      <c r="K8" t="s">
        <v>10</v>
      </c>
      <c r="L8" t="s">
        <v>11</v>
      </c>
    </row>
    <row r="9" spans="3:12">
      <c r="C9" s="261" t="s">
        <v>4</v>
      </c>
      <c r="D9" s="267" t="s">
        <v>56</v>
      </c>
      <c r="G9" s="67" t="s">
        <v>54</v>
      </c>
      <c r="J9" t="s">
        <v>13</v>
      </c>
      <c r="K9">
        <v>2</v>
      </c>
      <c r="L9">
        <v>10</v>
      </c>
    </row>
    <row r="10" spans="3:12">
      <c r="C10" s="261" t="s">
        <v>4</v>
      </c>
      <c r="D10" s="267" t="s">
        <v>57</v>
      </c>
      <c r="G10" s="67" t="s">
        <v>51</v>
      </c>
      <c r="J10" t="s">
        <v>15</v>
      </c>
      <c r="K10">
        <v>7</v>
      </c>
      <c r="L10">
        <v>22</v>
      </c>
    </row>
    <row r="11" spans="3:12">
      <c r="C11" s="261" t="s">
        <v>4</v>
      </c>
      <c r="D11" s="267" t="s">
        <v>58</v>
      </c>
      <c r="G11" s="67" t="s">
        <v>55</v>
      </c>
      <c r="J11" t="s">
        <v>17</v>
      </c>
      <c r="K11">
        <v>3</v>
      </c>
      <c r="L11">
        <v>9</v>
      </c>
    </row>
    <row r="12" spans="3:12">
      <c r="C12" s="261" t="s">
        <v>4</v>
      </c>
      <c r="D12" s="267" t="s">
        <v>59</v>
      </c>
      <c r="G12" s="67" t="s">
        <v>56</v>
      </c>
      <c r="J12" t="s">
        <v>19</v>
      </c>
      <c r="K12">
        <v>6</v>
      </c>
      <c r="L12">
        <v>17</v>
      </c>
    </row>
    <row r="13" spans="3:12">
      <c r="C13" s="261" t="s">
        <v>4</v>
      </c>
      <c r="D13" s="267" t="s">
        <v>60</v>
      </c>
      <c r="G13" s="67" t="s">
        <v>57</v>
      </c>
      <c r="J13" t="s">
        <v>21</v>
      </c>
      <c r="K13">
        <v>1</v>
      </c>
      <c r="L13">
        <v>1</v>
      </c>
    </row>
    <row r="14" spans="3:12">
      <c r="C14" s="261" t="s">
        <v>4</v>
      </c>
      <c r="D14" s="267" t="s">
        <v>61</v>
      </c>
      <c r="G14" s="67" t="s">
        <v>58</v>
      </c>
      <c r="J14" t="s">
        <v>23</v>
      </c>
      <c r="K14">
        <v>1</v>
      </c>
      <c r="L14">
        <v>2</v>
      </c>
    </row>
    <row r="15" spans="3:12">
      <c r="C15" s="261" t="s">
        <v>4</v>
      </c>
      <c r="D15" s="267" t="s">
        <v>62</v>
      </c>
      <c r="G15" s="67" t="s">
        <v>59</v>
      </c>
      <c r="J15" t="s">
        <v>25</v>
      </c>
      <c r="K15">
        <f>SUM(K9:K14)</f>
        <v>20</v>
      </c>
      <c r="L15">
        <f>SUM(L9:L14)</f>
        <v>61</v>
      </c>
    </row>
    <row r="16" spans="3:12">
      <c r="C16" s="261" t="s">
        <v>4</v>
      </c>
      <c r="D16" s="267" t="s">
        <v>63</v>
      </c>
      <c r="G16" s="67" t="s">
        <v>60</v>
      </c>
    </row>
    <row r="17" spans="3:7">
      <c r="C17" s="261" t="s">
        <v>4</v>
      </c>
      <c r="D17" s="267" t="s">
        <v>64</v>
      </c>
      <c r="G17" s="67" t="s">
        <v>61</v>
      </c>
    </row>
    <row r="18" spans="3:7">
      <c r="C18" s="261" t="s">
        <v>4</v>
      </c>
      <c r="D18" s="267" t="s">
        <v>65</v>
      </c>
      <c r="G18" s="67" t="s">
        <v>62</v>
      </c>
    </row>
    <row r="19" spans="3:7">
      <c r="C19" s="261" t="s">
        <v>4</v>
      </c>
      <c r="D19" s="267" t="s">
        <v>66</v>
      </c>
      <c r="G19" s="67" t="s">
        <v>63</v>
      </c>
    </row>
    <row r="20" spans="3:7">
      <c r="C20" s="260" t="s">
        <v>15</v>
      </c>
      <c r="D20" s="266" t="s">
        <v>67</v>
      </c>
      <c r="G20" s="67" t="s">
        <v>64</v>
      </c>
    </row>
    <row r="21" spans="3:7">
      <c r="C21" s="262" t="s">
        <v>14</v>
      </c>
      <c r="D21" s="267" t="s">
        <v>68</v>
      </c>
      <c r="G21" s="67" t="s">
        <v>65</v>
      </c>
    </row>
    <row r="22" spans="3:7">
      <c r="C22" s="262" t="s">
        <v>14</v>
      </c>
      <c r="D22" s="267" t="s">
        <v>69</v>
      </c>
      <c r="G22" s="67" t="s">
        <v>66</v>
      </c>
    </row>
    <row r="23" spans="3:7">
      <c r="C23" s="261" t="s">
        <v>14</v>
      </c>
      <c r="D23" s="267" t="s">
        <v>70</v>
      </c>
      <c r="G23" s="66" t="s">
        <v>14</v>
      </c>
    </row>
    <row r="24" spans="3:7">
      <c r="C24" s="260" t="s">
        <v>15</v>
      </c>
      <c r="D24" s="266" t="s">
        <v>71</v>
      </c>
      <c r="G24" s="67" t="s">
        <v>68</v>
      </c>
    </row>
    <row r="25" spans="3:7">
      <c r="C25" s="263" t="s">
        <v>14</v>
      </c>
      <c r="D25" s="266" t="s">
        <v>72</v>
      </c>
      <c r="G25" s="67" t="s">
        <v>69</v>
      </c>
    </row>
    <row r="26" spans="3:7">
      <c r="C26" s="261" t="s">
        <v>14</v>
      </c>
      <c r="D26" s="267" t="s">
        <v>73</v>
      </c>
      <c r="G26" s="67" t="s">
        <v>70</v>
      </c>
    </row>
    <row r="27" spans="3:7">
      <c r="C27" s="261" t="s">
        <v>14</v>
      </c>
      <c r="D27" s="267" t="s">
        <v>74</v>
      </c>
      <c r="G27" s="67" t="s">
        <v>67</v>
      </c>
    </row>
    <row r="28" spans="3:7">
      <c r="C28" s="260" t="s">
        <v>15</v>
      </c>
      <c r="D28" s="266" t="s">
        <v>75</v>
      </c>
      <c r="G28" s="67" t="s">
        <v>72</v>
      </c>
    </row>
    <row r="29" spans="3:7">
      <c r="C29" s="262" t="s">
        <v>14</v>
      </c>
      <c r="D29" s="267" t="s">
        <v>76</v>
      </c>
      <c r="G29" s="67" t="s">
        <v>73</v>
      </c>
    </row>
    <row r="30" spans="3:7">
      <c r="C30" s="261" t="s">
        <v>14</v>
      </c>
      <c r="D30" s="267" t="s">
        <v>77</v>
      </c>
      <c r="G30" s="67" t="s">
        <v>74</v>
      </c>
    </row>
    <row r="31" spans="3:7">
      <c r="C31" s="262" t="s">
        <v>14</v>
      </c>
      <c r="D31" s="267" t="s">
        <v>78</v>
      </c>
      <c r="G31" s="67" t="s">
        <v>71</v>
      </c>
    </row>
    <row r="32" spans="3:7">
      <c r="C32" s="263" t="s">
        <v>14</v>
      </c>
      <c r="D32" s="266" t="s">
        <v>79</v>
      </c>
      <c r="G32" s="67" t="s">
        <v>76</v>
      </c>
    </row>
    <row r="33" spans="3:7">
      <c r="C33" s="260" t="s">
        <v>15</v>
      </c>
      <c r="D33" s="266" t="s">
        <v>80</v>
      </c>
      <c r="G33" s="67" t="s">
        <v>77</v>
      </c>
    </row>
    <row r="34" spans="3:7">
      <c r="C34" s="263" t="s">
        <v>14</v>
      </c>
      <c r="D34" s="266" t="s">
        <v>81</v>
      </c>
      <c r="G34" s="67" t="s">
        <v>75</v>
      </c>
    </row>
    <row r="35" spans="3:7">
      <c r="C35" s="261" t="s">
        <v>14</v>
      </c>
      <c r="D35" s="267" t="s">
        <v>82</v>
      </c>
      <c r="G35" s="67" t="s">
        <v>78</v>
      </c>
    </row>
    <row r="36" spans="3:7">
      <c r="C36" s="261" t="s">
        <v>14</v>
      </c>
      <c r="D36" s="267" t="s">
        <v>83</v>
      </c>
      <c r="G36" s="67" t="s">
        <v>79</v>
      </c>
    </row>
    <row r="37" spans="3:7">
      <c r="C37" s="260" t="s">
        <v>14</v>
      </c>
      <c r="D37" s="266" t="s">
        <v>84</v>
      </c>
      <c r="G37" s="67" t="s">
        <v>81</v>
      </c>
    </row>
    <row r="38" spans="3:7">
      <c r="C38" s="260" t="s">
        <v>15</v>
      </c>
      <c r="D38" s="266" t="s">
        <v>85</v>
      </c>
      <c r="G38" s="67" t="s">
        <v>82</v>
      </c>
    </row>
    <row r="39" spans="3:7">
      <c r="C39" s="263" t="s">
        <v>14</v>
      </c>
      <c r="D39" s="266" t="s">
        <v>86</v>
      </c>
      <c r="G39" s="67" t="s">
        <v>83</v>
      </c>
    </row>
    <row r="40" spans="3:7">
      <c r="C40" s="261" t="s">
        <v>14</v>
      </c>
      <c r="D40" s="267" t="s">
        <v>87</v>
      </c>
      <c r="G40" s="67" t="s">
        <v>80</v>
      </c>
    </row>
    <row r="41" spans="3:7">
      <c r="C41" s="261" t="s">
        <v>14</v>
      </c>
      <c r="D41" s="267" t="s">
        <v>88</v>
      </c>
      <c r="G41" s="67" t="s">
        <v>84</v>
      </c>
    </row>
    <row r="42" spans="3:7">
      <c r="C42" s="261" t="s">
        <v>29</v>
      </c>
      <c r="D42" s="267" t="s">
        <v>89</v>
      </c>
      <c r="G42" s="67" t="s">
        <v>86</v>
      </c>
    </row>
    <row r="43" spans="3:7">
      <c r="C43" s="261" t="s">
        <v>29</v>
      </c>
      <c r="D43" s="267" t="s">
        <v>90</v>
      </c>
      <c r="G43" s="67" t="s">
        <v>87</v>
      </c>
    </row>
    <row r="44" spans="3:7">
      <c r="C44" s="262" t="s">
        <v>30</v>
      </c>
      <c r="D44" s="267" t="s">
        <v>91</v>
      </c>
      <c r="G44" s="67" t="s">
        <v>88</v>
      </c>
    </row>
    <row r="45" spans="3:7">
      <c r="C45" s="264" t="s">
        <v>17</v>
      </c>
      <c r="D45" s="268" t="s">
        <v>92</v>
      </c>
      <c r="G45" s="67" t="s">
        <v>85</v>
      </c>
    </row>
    <row r="46" spans="3:7">
      <c r="C46" s="265" t="s">
        <v>32</v>
      </c>
      <c r="D46" s="268" t="s">
        <v>93</v>
      </c>
      <c r="G46" s="66" t="s">
        <v>29</v>
      </c>
    </row>
    <row r="47" spans="3:7">
      <c r="C47" s="265" t="s">
        <v>32</v>
      </c>
      <c r="D47" s="268" t="s">
        <v>94</v>
      </c>
      <c r="G47" s="67" t="s">
        <v>89</v>
      </c>
    </row>
    <row r="48" spans="3:7">
      <c r="C48" s="264" t="s">
        <v>32</v>
      </c>
      <c r="D48" s="268" t="s">
        <v>95</v>
      </c>
      <c r="G48" s="67" t="s">
        <v>90</v>
      </c>
    </row>
    <row r="49" spans="3:7">
      <c r="C49" s="264" t="s">
        <v>32</v>
      </c>
      <c r="D49" s="268" t="s">
        <v>96</v>
      </c>
      <c r="G49" s="66" t="s">
        <v>30</v>
      </c>
    </row>
    <row r="50" spans="3:7">
      <c r="C50" s="265" t="s">
        <v>17</v>
      </c>
      <c r="D50" s="268" t="s">
        <v>97</v>
      </c>
      <c r="G50" s="67" t="s">
        <v>91</v>
      </c>
    </row>
    <row r="51" spans="3:7">
      <c r="C51" s="265" t="s">
        <v>17</v>
      </c>
      <c r="D51" s="268" t="s">
        <v>98</v>
      </c>
      <c r="G51" s="66" t="s">
        <v>32</v>
      </c>
    </row>
    <row r="52" spans="3:7">
      <c r="C52" s="260" t="s">
        <v>32</v>
      </c>
      <c r="D52" s="266" t="s">
        <v>99</v>
      </c>
      <c r="G52" s="67" t="s">
        <v>96</v>
      </c>
    </row>
    <row r="53" spans="3:7">
      <c r="C53" s="260" t="s">
        <v>17</v>
      </c>
      <c r="D53" s="266" t="s">
        <v>100</v>
      </c>
      <c r="G53" s="67" t="s">
        <v>94</v>
      </c>
    </row>
    <row r="54" spans="3:7">
      <c r="C54" s="261" t="s">
        <v>32</v>
      </c>
      <c r="D54" s="267" t="s">
        <v>101</v>
      </c>
      <c r="G54" s="67" t="s">
        <v>97</v>
      </c>
    </row>
    <row r="55" spans="3:7">
      <c r="C55" s="261" t="s">
        <v>37</v>
      </c>
      <c r="D55" s="267" t="s">
        <v>102</v>
      </c>
      <c r="G55" s="67" t="s">
        <v>95</v>
      </c>
    </row>
    <row r="56" spans="3:7">
      <c r="C56" s="260" t="s">
        <v>47</v>
      </c>
      <c r="D56" s="266" t="s">
        <v>103</v>
      </c>
      <c r="G56" s="67" t="s">
        <v>93</v>
      </c>
    </row>
    <row r="57" spans="3:7">
      <c r="C57" s="261" t="s">
        <v>39</v>
      </c>
      <c r="D57" s="267" t="s">
        <v>104</v>
      </c>
      <c r="G57" s="67" t="s">
        <v>98</v>
      </c>
    </row>
    <row r="58" spans="3:7">
      <c r="C58" s="261" t="s">
        <v>39</v>
      </c>
      <c r="D58" s="267" t="s">
        <v>105</v>
      </c>
      <c r="G58" s="67" t="s">
        <v>92</v>
      </c>
    </row>
    <row r="59" spans="3:7">
      <c r="C59" s="261" t="s">
        <v>39</v>
      </c>
      <c r="D59" s="267" t="s">
        <v>106</v>
      </c>
      <c r="G59" s="67" t="s">
        <v>99</v>
      </c>
    </row>
    <row r="60" spans="3:7">
      <c r="C60" s="262" t="s">
        <v>39</v>
      </c>
      <c r="D60" s="267" t="s">
        <v>107</v>
      </c>
      <c r="G60" s="67" t="s">
        <v>101</v>
      </c>
    </row>
    <row r="61" spans="3:7">
      <c r="C61" s="262" t="s">
        <v>39</v>
      </c>
      <c r="D61" s="267" t="s">
        <v>108</v>
      </c>
      <c r="G61" s="67" t="s">
        <v>100</v>
      </c>
    </row>
    <row r="62" spans="3:7">
      <c r="C62" s="260" t="s">
        <v>47</v>
      </c>
      <c r="D62" s="266" t="s">
        <v>109</v>
      </c>
      <c r="G62" s="66" t="s">
        <v>37</v>
      </c>
    </row>
    <row r="63" spans="3:7">
      <c r="C63" s="261" t="s">
        <v>39</v>
      </c>
      <c r="D63" s="267" t="s">
        <v>110</v>
      </c>
      <c r="G63" s="67" t="s">
        <v>102</v>
      </c>
    </row>
    <row r="64" spans="3:7">
      <c r="C64" s="261" t="s">
        <v>39</v>
      </c>
      <c r="D64" s="267" t="s">
        <v>111</v>
      </c>
      <c r="G64" s="66" t="s">
        <v>39</v>
      </c>
    </row>
    <row r="65" spans="3:7">
      <c r="C65" s="64" t="s">
        <v>39</v>
      </c>
      <c r="D65" s="17" t="s">
        <v>112</v>
      </c>
      <c r="G65" s="67" t="s">
        <v>104</v>
      </c>
    </row>
    <row r="66" spans="3:7">
      <c r="G66" s="67" t="s">
        <v>105</v>
      </c>
    </row>
    <row r="67" spans="3:7">
      <c r="G67" s="67" t="s">
        <v>106</v>
      </c>
    </row>
    <row r="68" spans="3:7">
      <c r="G68" s="67" t="s">
        <v>107</v>
      </c>
    </row>
    <row r="69" spans="3:7">
      <c r="G69" s="67" t="s">
        <v>103</v>
      </c>
    </row>
    <row r="70" spans="3:7">
      <c r="G70" s="67" t="s">
        <v>108</v>
      </c>
    </row>
    <row r="71" spans="3:7">
      <c r="G71" s="67" t="s">
        <v>110</v>
      </c>
    </row>
    <row r="72" spans="3:7">
      <c r="G72" s="67" t="s">
        <v>111</v>
      </c>
    </row>
    <row r="73" spans="3:7">
      <c r="G73" s="67" t="s">
        <v>112</v>
      </c>
    </row>
    <row r="74" spans="3:7">
      <c r="G74" s="67" t="s">
        <v>109</v>
      </c>
    </row>
    <row r="75" spans="3:7">
      <c r="G75" s="66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CEC2-9E92-4C6A-8EAD-25E2E07CCA98}">
  <dimension ref="B4:M79"/>
  <sheetViews>
    <sheetView workbookViewId="0"/>
  </sheetViews>
  <sheetFormatPr defaultRowHeight="17.399999999999999"/>
  <cols>
    <col min="6" max="6" width="40.8984375" bestFit="1" customWidth="1"/>
  </cols>
  <sheetData>
    <row r="4" spans="2:13">
      <c r="B4" s="259" t="s">
        <v>0</v>
      </c>
      <c r="C4" s="259" t="s">
        <v>50</v>
      </c>
    </row>
    <row r="5" spans="2:13">
      <c r="B5" s="260" t="s">
        <v>2</v>
      </c>
      <c r="C5" s="266" t="s">
        <v>51</v>
      </c>
    </row>
    <row r="6" spans="2:13">
      <c r="B6" s="261" t="s">
        <v>4</v>
      </c>
      <c r="C6" s="267" t="s">
        <v>52</v>
      </c>
    </row>
    <row r="7" spans="2:13">
      <c r="B7" s="261" t="s">
        <v>4</v>
      </c>
      <c r="C7" s="267" t="s">
        <v>53</v>
      </c>
    </row>
    <row r="8" spans="2:13">
      <c r="B8" s="262" t="s">
        <v>4</v>
      </c>
      <c r="C8" s="267" t="s">
        <v>54</v>
      </c>
      <c r="F8" s="65" t="s">
        <v>6</v>
      </c>
    </row>
    <row r="9" spans="2:13">
      <c r="B9" s="261" t="s">
        <v>4</v>
      </c>
      <c r="C9" s="267" t="s">
        <v>55</v>
      </c>
      <c r="F9" s="66" t="s">
        <v>4</v>
      </c>
      <c r="J9" t="s">
        <v>0</v>
      </c>
      <c r="K9" t="s">
        <v>10</v>
      </c>
      <c r="L9" t="s">
        <v>11</v>
      </c>
    </row>
    <row r="10" spans="2:13">
      <c r="B10" s="261" t="s">
        <v>4</v>
      </c>
      <c r="C10" s="267" t="s">
        <v>56</v>
      </c>
      <c r="F10" s="67" t="s">
        <v>52</v>
      </c>
      <c r="J10" t="s">
        <v>13</v>
      </c>
      <c r="K10">
        <v>2</v>
      </c>
      <c r="L10">
        <v>10</v>
      </c>
    </row>
    <row r="11" spans="2:13">
      <c r="B11" s="261" t="s">
        <v>4</v>
      </c>
      <c r="C11" s="267" t="s">
        <v>57</v>
      </c>
      <c r="F11" s="67" t="s">
        <v>53</v>
      </c>
      <c r="J11" t="s">
        <v>15</v>
      </c>
      <c r="K11">
        <v>7</v>
      </c>
      <c r="L11">
        <v>22</v>
      </c>
    </row>
    <row r="12" spans="2:13">
      <c r="B12" s="261" t="s">
        <v>4</v>
      </c>
      <c r="C12" s="267" t="s">
        <v>58</v>
      </c>
      <c r="F12" s="67" t="s">
        <v>54</v>
      </c>
      <c r="J12" t="s">
        <v>17</v>
      </c>
      <c r="K12">
        <v>3</v>
      </c>
      <c r="L12">
        <v>10</v>
      </c>
      <c r="M12" t="s">
        <v>113</v>
      </c>
    </row>
    <row r="13" spans="2:13">
      <c r="B13" s="261" t="s">
        <v>4</v>
      </c>
      <c r="C13" s="267" t="s">
        <v>59</v>
      </c>
      <c r="F13" s="67" t="s">
        <v>51</v>
      </c>
      <c r="J13" t="s">
        <v>19</v>
      </c>
      <c r="K13">
        <v>6</v>
      </c>
      <c r="L13">
        <v>17</v>
      </c>
    </row>
    <row r="14" spans="2:13">
      <c r="B14" s="261" t="s">
        <v>4</v>
      </c>
      <c r="C14" s="267" t="s">
        <v>60</v>
      </c>
      <c r="F14" s="67" t="s">
        <v>55</v>
      </c>
      <c r="J14" t="s">
        <v>21</v>
      </c>
      <c r="K14">
        <v>1</v>
      </c>
      <c r="L14">
        <v>1</v>
      </c>
    </row>
    <row r="15" spans="2:13">
      <c r="B15" s="261" t="s">
        <v>4</v>
      </c>
      <c r="C15" s="267" t="s">
        <v>61</v>
      </c>
      <c r="F15" s="67" t="s">
        <v>56</v>
      </c>
      <c r="J15" t="s">
        <v>23</v>
      </c>
      <c r="K15">
        <v>1</v>
      </c>
      <c r="L15">
        <v>2</v>
      </c>
    </row>
    <row r="16" spans="2:13">
      <c r="B16" s="261" t="s">
        <v>4</v>
      </c>
      <c r="C16" s="267" t="s">
        <v>62</v>
      </c>
      <c r="F16" s="67" t="s">
        <v>57</v>
      </c>
      <c r="J16" t="s">
        <v>25</v>
      </c>
      <c r="K16">
        <f>SUM(K10:K15)</f>
        <v>20</v>
      </c>
      <c r="L16">
        <f>SUM(L10:L15)</f>
        <v>62</v>
      </c>
    </row>
    <row r="17" spans="2:6">
      <c r="B17" s="261" t="s">
        <v>4</v>
      </c>
      <c r="C17" s="267" t="s">
        <v>63</v>
      </c>
      <c r="F17" s="67" t="s">
        <v>58</v>
      </c>
    </row>
    <row r="18" spans="2:6">
      <c r="B18" s="261" t="s">
        <v>4</v>
      </c>
      <c r="C18" s="267" t="s">
        <v>64</v>
      </c>
      <c r="F18" s="67" t="s">
        <v>59</v>
      </c>
    </row>
    <row r="19" spans="2:6">
      <c r="B19" s="261" t="s">
        <v>4</v>
      </c>
      <c r="C19" s="267" t="s">
        <v>65</v>
      </c>
      <c r="F19" s="67" t="s">
        <v>60</v>
      </c>
    </row>
    <row r="20" spans="2:6">
      <c r="B20" s="261" t="s">
        <v>4</v>
      </c>
      <c r="C20" s="267" t="s">
        <v>66</v>
      </c>
      <c r="F20" s="67" t="s">
        <v>61</v>
      </c>
    </row>
    <row r="21" spans="2:6">
      <c r="B21" s="260" t="s">
        <v>15</v>
      </c>
      <c r="C21" s="266" t="s">
        <v>67</v>
      </c>
      <c r="F21" s="67" t="s">
        <v>62</v>
      </c>
    </row>
    <row r="22" spans="2:6">
      <c r="B22" s="262" t="s">
        <v>14</v>
      </c>
      <c r="C22" s="267" t="s">
        <v>68</v>
      </c>
      <c r="F22" s="67" t="s">
        <v>63</v>
      </c>
    </row>
    <row r="23" spans="2:6">
      <c r="B23" s="262" t="s">
        <v>14</v>
      </c>
      <c r="C23" s="267" t="s">
        <v>69</v>
      </c>
      <c r="F23" s="67" t="s">
        <v>64</v>
      </c>
    </row>
    <row r="24" spans="2:6">
      <c r="B24" s="261" t="s">
        <v>14</v>
      </c>
      <c r="C24" s="267" t="s">
        <v>70</v>
      </c>
      <c r="F24" s="67" t="s">
        <v>65</v>
      </c>
    </row>
    <row r="25" spans="2:6">
      <c r="B25" s="260" t="s">
        <v>15</v>
      </c>
      <c r="C25" s="266" t="s">
        <v>71</v>
      </c>
      <c r="F25" s="67" t="s">
        <v>66</v>
      </c>
    </row>
    <row r="26" spans="2:6">
      <c r="B26" s="263" t="s">
        <v>14</v>
      </c>
      <c r="C26" s="266" t="s">
        <v>72</v>
      </c>
      <c r="F26" s="66" t="s">
        <v>14</v>
      </c>
    </row>
    <row r="27" spans="2:6">
      <c r="B27" s="261" t="s">
        <v>14</v>
      </c>
      <c r="C27" s="267" t="s">
        <v>73</v>
      </c>
      <c r="F27" s="67" t="s">
        <v>68</v>
      </c>
    </row>
    <row r="28" spans="2:6">
      <c r="B28" s="261" t="s">
        <v>14</v>
      </c>
      <c r="C28" s="267" t="s">
        <v>74</v>
      </c>
      <c r="F28" s="67" t="s">
        <v>69</v>
      </c>
    </row>
    <row r="29" spans="2:6">
      <c r="B29" s="260" t="s">
        <v>15</v>
      </c>
      <c r="C29" s="266" t="s">
        <v>75</v>
      </c>
      <c r="F29" s="67" t="s">
        <v>70</v>
      </c>
    </row>
    <row r="30" spans="2:6">
      <c r="B30" s="262" t="s">
        <v>14</v>
      </c>
      <c r="C30" s="267" t="s">
        <v>76</v>
      </c>
      <c r="F30" s="67" t="s">
        <v>67</v>
      </c>
    </row>
    <row r="31" spans="2:6">
      <c r="B31" s="261" t="s">
        <v>14</v>
      </c>
      <c r="C31" s="267" t="s">
        <v>77</v>
      </c>
      <c r="F31" s="67" t="s">
        <v>72</v>
      </c>
    </row>
    <row r="32" spans="2:6">
      <c r="B32" s="262" t="s">
        <v>14</v>
      </c>
      <c r="C32" s="267" t="s">
        <v>78</v>
      </c>
      <c r="F32" s="67" t="s">
        <v>73</v>
      </c>
    </row>
    <row r="33" spans="2:6">
      <c r="B33" s="263" t="s">
        <v>14</v>
      </c>
      <c r="C33" s="266" t="s">
        <v>79</v>
      </c>
      <c r="F33" s="67" t="s">
        <v>74</v>
      </c>
    </row>
    <row r="34" spans="2:6">
      <c r="B34" s="260" t="s">
        <v>15</v>
      </c>
      <c r="C34" s="266" t="s">
        <v>80</v>
      </c>
      <c r="F34" s="67" t="s">
        <v>71</v>
      </c>
    </row>
    <row r="35" spans="2:6">
      <c r="B35" s="263" t="s">
        <v>14</v>
      </c>
      <c r="C35" s="266" t="s">
        <v>81</v>
      </c>
      <c r="F35" s="67" t="s">
        <v>76</v>
      </c>
    </row>
    <row r="36" spans="2:6">
      <c r="B36" s="261" t="s">
        <v>14</v>
      </c>
      <c r="C36" s="267" t="s">
        <v>82</v>
      </c>
      <c r="F36" s="67" t="s">
        <v>77</v>
      </c>
    </row>
    <row r="37" spans="2:6">
      <c r="B37" s="261" t="s">
        <v>14</v>
      </c>
      <c r="C37" s="267" t="s">
        <v>83</v>
      </c>
      <c r="F37" s="67" t="s">
        <v>75</v>
      </c>
    </row>
    <row r="38" spans="2:6">
      <c r="B38" s="260" t="s">
        <v>14</v>
      </c>
      <c r="C38" s="266" t="s">
        <v>84</v>
      </c>
      <c r="F38" s="67" t="s">
        <v>78</v>
      </c>
    </row>
    <row r="39" spans="2:6">
      <c r="B39" s="260" t="s">
        <v>15</v>
      </c>
      <c r="C39" s="266" t="s">
        <v>85</v>
      </c>
      <c r="F39" s="67" t="s">
        <v>79</v>
      </c>
    </row>
    <row r="40" spans="2:6">
      <c r="B40" s="263" t="s">
        <v>14</v>
      </c>
      <c r="C40" s="266" t="s">
        <v>86</v>
      </c>
      <c r="F40" s="67" t="s">
        <v>81</v>
      </c>
    </row>
    <row r="41" spans="2:6">
      <c r="B41" s="261" t="s">
        <v>14</v>
      </c>
      <c r="C41" s="267" t="s">
        <v>87</v>
      </c>
      <c r="F41" s="67" t="s">
        <v>82</v>
      </c>
    </row>
    <row r="42" spans="2:6">
      <c r="B42" s="261" t="s">
        <v>14</v>
      </c>
      <c r="C42" s="267" t="s">
        <v>88</v>
      </c>
      <c r="F42" s="67" t="s">
        <v>83</v>
      </c>
    </row>
    <row r="43" spans="2:6">
      <c r="B43" s="261" t="s">
        <v>29</v>
      </c>
      <c r="C43" s="267" t="s">
        <v>89</v>
      </c>
      <c r="F43" s="67" t="s">
        <v>80</v>
      </c>
    </row>
    <row r="44" spans="2:6">
      <c r="B44" s="261" t="s">
        <v>29</v>
      </c>
      <c r="C44" s="267" t="s">
        <v>90</v>
      </c>
      <c r="F44" s="67" t="s">
        <v>84</v>
      </c>
    </row>
    <row r="45" spans="2:6">
      <c r="B45" s="262" t="s">
        <v>30</v>
      </c>
      <c r="C45" s="267" t="s">
        <v>91</v>
      </c>
      <c r="F45" s="67" t="s">
        <v>86</v>
      </c>
    </row>
    <row r="46" spans="2:6">
      <c r="B46" s="264" t="s">
        <v>17</v>
      </c>
      <c r="C46" s="268" t="s">
        <v>92</v>
      </c>
      <c r="F46" s="67" t="s">
        <v>87</v>
      </c>
    </row>
    <row r="47" spans="2:6">
      <c r="B47" s="265" t="s">
        <v>32</v>
      </c>
      <c r="C47" s="268" t="s">
        <v>93</v>
      </c>
      <c r="F47" s="67" t="s">
        <v>88</v>
      </c>
    </row>
    <row r="48" spans="2:6">
      <c r="B48" s="265" t="s">
        <v>32</v>
      </c>
      <c r="C48" s="268" t="s">
        <v>94</v>
      </c>
      <c r="F48" s="67" t="s">
        <v>85</v>
      </c>
    </row>
    <row r="49" spans="2:6">
      <c r="B49" s="264" t="s">
        <v>32</v>
      </c>
      <c r="C49" s="268" t="s">
        <v>95</v>
      </c>
      <c r="F49" s="66" t="s">
        <v>29</v>
      </c>
    </row>
    <row r="50" spans="2:6">
      <c r="B50" s="264" t="s">
        <v>32</v>
      </c>
      <c r="C50" s="268" t="s">
        <v>96</v>
      </c>
      <c r="F50" s="67" t="s">
        <v>89</v>
      </c>
    </row>
    <row r="51" spans="2:6">
      <c r="B51" s="265" t="s">
        <v>17</v>
      </c>
      <c r="C51" s="268" t="s">
        <v>97</v>
      </c>
      <c r="F51" s="67" t="s">
        <v>90</v>
      </c>
    </row>
    <row r="52" spans="2:6">
      <c r="B52" s="265" t="s">
        <v>17</v>
      </c>
      <c r="C52" s="268" t="s">
        <v>98</v>
      </c>
      <c r="F52" s="66" t="s">
        <v>30</v>
      </c>
    </row>
    <row r="53" spans="2:6">
      <c r="B53" s="265" t="s">
        <v>17</v>
      </c>
      <c r="C53" s="268" t="s">
        <v>114</v>
      </c>
      <c r="F53" s="67" t="s">
        <v>91</v>
      </c>
    </row>
    <row r="54" spans="2:6">
      <c r="B54" s="260" t="s">
        <v>32</v>
      </c>
      <c r="C54" s="266" t="s">
        <v>99</v>
      </c>
      <c r="F54" s="66" t="s">
        <v>32</v>
      </c>
    </row>
    <row r="55" spans="2:6">
      <c r="B55" s="260" t="s">
        <v>17</v>
      </c>
      <c r="C55" s="266" t="s">
        <v>100</v>
      </c>
      <c r="F55" s="67" t="s">
        <v>96</v>
      </c>
    </row>
    <row r="56" spans="2:6">
      <c r="B56" s="261" t="s">
        <v>32</v>
      </c>
      <c r="C56" s="267" t="s">
        <v>101</v>
      </c>
      <c r="F56" s="67" t="s">
        <v>94</v>
      </c>
    </row>
    <row r="57" spans="2:6">
      <c r="B57" s="261" t="s">
        <v>37</v>
      </c>
      <c r="C57" s="267" t="s">
        <v>102</v>
      </c>
      <c r="F57" s="67" t="s">
        <v>114</v>
      </c>
    </row>
    <row r="58" spans="2:6">
      <c r="B58" s="260" t="s">
        <v>47</v>
      </c>
      <c r="C58" s="266" t="s">
        <v>103</v>
      </c>
      <c r="F58" s="67" t="s">
        <v>97</v>
      </c>
    </row>
    <row r="59" spans="2:6">
      <c r="B59" s="261" t="s">
        <v>39</v>
      </c>
      <c r="C59" s="267" t="s">
        <v>104</v>
      </c>
      <c r="F59" s="67" t="s">
        <v>95</v>
      </c>
    </row>
    <row r="60" spans="2:6">
      <c r="B60" s="261" t="s">
        <v>39</v>
      </c>
      <c r="C60" s="267" t="s">
        <v>105</v>
      </c>
      <c r="F60" s="67" t="s">
        <v>93</v>
      </c>
    </row>
    <row r="61" spans="2:6">
      <c r="B61" s="261" t="s">
        <v>39</v>
      </c>
      <c r="C61" s="267" t="s">
        <v>106</v>
      </c>
      <c r="F61" s="67" t="s">
        <v>98</v>
      </c>
    </row>
    <row r="62" spans="2:6">
      <c r="B62" s="262" t="s">
        <v>39</v>
      </c>
      <c r="C62" s="267" t="s">
        <v>107</v>
      </c>
      <c r="F62" s="67" t="s">
        <v>92</v>
      </c>
    </row>
    <row r="63" spans="2:6">
      <c r="B63" s="262" t="s">
        <v>39</v>
      </c>
      <c r="C63" s="267" t="s">
        <v>108</v>
      </c>
      <c r="F63" s="67" t="s">
        <v>99</v>
      </c>
    </row>
    <row r="64" spans="2:6">
      <c r="B64" s="260" t="s">
        <v>47</v>
      </c>
      <c r="C64" s="266" t="s">
        <v>109</v>
      </c>
      <c r="F64" s="67" t="s">
        <v>101</v>
      </c>
    </row>
    <row r="65" spans="2:6">
      <c r="B65" s="261" t="s">
        <v>39</v>
      </c>
      <c r="C65" s="267" t="s">
        <v>110</v>
      </c>
      <c r="F65" s="67" t="s">
        <v>100</v>
      </c>
    </row>
    <row r="66" spans="2:6">
      <c r="B66" s="261" t="s">
        <v>39</v>
      </c>
      <c r="C66" s="267" t="s">
        <v>111</v>
      </c>
      <c r="F66" s="66" t="s">
        <v>37</v>
      </c>
    </row>
    <row r="67" spans="2:6">
      <c r="B67" s="64" t="s">
        <v>39</v>
      </c>
      <c r="C67" s="17" t="s">
        <v>112</v>
      </c>
      <c r="F67" s="67" t="s">
        <v>102</v>
      </c>
    </row>
    <row r="68" spans="2:6">
      <c r="F68" s="66" t="s">
        <v>39</v>
      </c>
    </row>
    <row r="69" spans="2:6">
      <c r="F69" s="67" t="s">
        <v>104</v>
      </c>
    </row>
    <row r="70" spans="2:6">
      <c r="F70" s="67" t="s">
        <v>105</v>
      </c>
    </row>
    <row r="71" spans="2:6">
      <c r="F71" s="67" t="s">
        <v>106</v>
      </c>
    </row>
    <row r="72" spans="2:6">
      <c r="F72" s="67" t="s">
        <v>107</v>
      </c>
    </row>
    <row r="73" spans="2:6">
      <c r="F73" s="67" t="s">
        <v>103</v>
      </c>
    </row>
    <row r="74" spans="2:6">
      <c r="F74" s="67" t="s">
        <v>108</v>
      </c>
    </row>
    <row r="75" spans="2:6">
      <c r="F75" s="67" t="s">
        <v>110</v>
      </c>
    </row>
    <row r="76" spans="2:6">
      <c r="F76" s="67" t="s">
        <v>111</v>
      </c>
    </row>
    <row r="77" spans="2:6">
      <c r="F77" s="67" t="s">
        <v>112</v>
      </c>
    </row>
    <row r="78" spans="2:6">
      <c r="F78" s="67" t="s">
        <v>109</v>
      </c>
    </row>
    <row r="79" spans="2:6">
      <c r="F79" s="66" t="s">
        <v>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8E30-BCE5-49E2-9CC9-20FA890EEBE1}">
  <sheetPr filterMode="1">
    <tabColor rgb="FFFFC000"/>
    <pageSetUpPr autoPageBreaks="0"/>
  </sheetPr>
  <dimension ref="A1:AU162"/>
  <sheetViews>
    <sheetView showGridLines="0" topLeftCell="A10" zoomScaleNormal="100" workbookViewId="0">
      <pane xSplit="8" ySplit="3" topLeftCell="I112" activePane="bottomRight" state="frozen"/>
      <selection pane="topRight" activeCell="I10" sqref="I10"/>
      <selection pane="bottomLeft" activeCell="A13" sqref="A13"/>
      <selection pane="bottomRight" activeCell="M183" sqref="M183"/>
    </sheetView>
  </sheetViews>
  <sheetFormatPr defaultColWidth="9" defaultRowHeight="13.2"/>
  <cols>
    <col min="1" max="1" width="3.8984375" style="152" customWidth="1"/>
    <col min="2" max="2" width="18.19921875" style="152" customWidth="1"/>
    <col min="3" max="3" width="12.59765625" style="152" customWidth="1"/>
    <col min="4" max="4" width="10.19921875" style="152" customWidth="1"/>
    <col min="5" max="5" width="5.19921875" style="152" customWidth="1"/>
    <col min="6" max="7" width="5.5" style="152" customWidth="1"/>
    <col min="8" max="8" width="23.09765625" style="152" customWidth="1"/>
    <col min="9" max="9" width="25.59765625" style="152" customWidth="1"/>
    <col min="10" max="10" width="6" style="185" customWidth="1"/>
    <col min="11" max="11" width="18" style="152" customWidth="1"/>
    <col min="12" max="12" width="6.09765625" style="152" customWidth="1"/>
    <col min="13" max="13" width="14.69921875" style="152" customWidth="1"/>
    <col min="14" max="14" width="12" style="152" customWidth="1"/>
    <col min="15" max="15" width="8.59765625" style="152" customWidth="1"/>
    <col min="16" max="18" width="10.59765625" style="152" customWidth="1"/>
    <col min="19" max="19" width="10.59765625" style="185" customWidth="1"/>
    <col min="20" max="24" width="10.59765625" style="152" customWidth="1"/>
    <col min="25" max="32" width="9" style="152"/>
    <col min="33" max="34" width="10.69921875" style="152" customWidth="1"/>
    <col min="35" max="35" width="14.3984375" style="152" customWidth="1"/>
    <col min="36" max="36" width="23.69921875" style="152" customWidth="1"/>
    <col min="37" max="37" width="12.5" style="185" bestFit="1" customWidth="1"/>
    <col min="38" max="38" width="9" style="152"/>
    <col min="39" max="39" width="11.09765625" style="152" bestFit="1" customWidth="1"/>
    <col min="40" max="46" width="9" style="152"/>
    <col min="47" max="47" width="25.5" style="152" customWidth="1"/>
    <col min="48" max="16384" width="9" style="152"/>
  </cols>
  <sheetData>
    <row r="1" spans="1:47" s="135" customFormat="1" ht="15.9" customHeight="1">
      <c r="G1" s="144"/>
      <c r="J1" s="136"/>
      <c r="M1" s="136"/>
      <c r="N1" s="136"/>
      <c r="O1" s="136"/>
      <c r="P1" s="136"/>
      <c r="Q1" s="136"/>
      <c r="S1" s="136"/>
      <c r="AK1" s="136"/>
    </row>
    <row r="2" spans="1:47" s="135" customFormat="1" ht="20.100000000000001" customHeight="1">
      <c r="B2" s="138" t="s">
        <v>115</v>
      </c>
      <c r="E2" s="137"/>
      <c r="G2" s="144"/>
      <c r="J2" s="136"/>
      <c r="M2" s="136"/>
      <c r="N2" s="136"/>
      <c r="O2" s="136"/>
      <c r="P2" s="136"/>
      <c r="Q2" s="136"/>
      <c r="S2" s="136"/>
      <c r="AK2" s="136"/>
    </row>
    <row r="3" spans="1:47" s="135" customFormat="1" ht="15.9" customHeight="1">
      <c r="B3" s="138"/>
      <c r="F3" s="139"/>
      <c r="J3" s="136"/>
      <c r="M3" s="136"/>
      <c r="N3" s="136"/>
      <c r="P3" s="136"/>
      <c r="Q3" s="136"/>
      <c r="S3" s="136"/>
      <c r="AF3" s="137" t="s">
        <v>116</v>
      </c>
      <c r="AK3" s="136"/>
    </row>
    <row r="4" spans="1:47" s="135" customFormat="1" ht="15.9" customHeight="1">
      <c r="B4" s="140" t="s">
        <v>117</v>
      </c>
      <c r="F4" s="139"/>
      <c r="H4" s="141" t="s">
        <v>118</v>
      </c>
      <c r="I4" s="142"/>
      <c r="J4" s="136"/>
      <c r="M4" s="136"/>
      <c r="N4" s="136"/>
      <c r="O4" s="136"/>
      <c r="P4" s="136"/>
      <c r="Q4" s="143"/>
      <c r="S4" s="136"/>
      <c r="AF4" s="186" t="s">
        <v>119</v>
      </c>
      <c r="AG4" s="186" t="s">
        <v>120</v>
      </c>
      <c r="AH4" s="186" t="s">
        <v>121</v>
      </c>
      <c r="AI4" s="327" t="s">
        <v>122</v>
      </c>
      <c r="AJ4" s="327"/>
      <c r="AK4" s="327"/>
      <c r="AL4" s="327"/>
      <c r="AM4" s="327"/>
      <c r="AN4" s="327"/>
      <c r="AO4" s="327"/>
      <c r="AP4" s="327"/>
      <c r="AQ4" s="327"/>
      <c r="AR4" s="327"/>
      <c r="AS4" s="327"/>
      <c r="AT4" s="327"/>
      <c r="AU4" s="327"/>
    </row>
    <row r="5" spans="1:47" s="135" customFormat="1" ht="15.9" customHeight="1">
      <c r="B5" s="144" t="s">
        <v>123</v>
      </c>
      <c r="F5" s="139"/>
      <c r="H5" s="135" t="s">
        <v>124</v>
      </c>
      <c r="I5" s="135">
        <f>COUNTIF(L:L,H5)</f>
        <v>79</v>
      </c>
      <c r="J5" s="222">
        <f>I5-1</f>
        <v>78</v>
      </c>
      <c r="K5" s="135" t="s">
        <v>125</v>
      </c>
      <c r="L5" s="136"/>
      <c r="M5" s="136"/>
      <c r="N5" s="136"/>
      <c r="O5" s="136"/>
      <c r="P5" s="136"/>
      <c r="Q5" s="136"/>
      <c r="S5" s="136"/>
      <c r="W5" s="145"/>
      <c r="AF5" s="187" t="s">
        <v>126</v>
      </c>
      <c r="AG5" s="187" t="s">
        <v>127</v>
      </c>
      <c r="AH5" s="187" t="s">
        <v>127</v>
      </c>
      <c r="AI5" s="328" t="s">
        <v>128</v>
      </c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</row>
    <row r="6" spans="1:47" s="135" customFormat="1" ht="15.9" customHeight="1">
      <c r="B6" s="144" t="s">
        <v>129</v>
      </c>
      <c r="F6" s="139"/>
      <c r="H6" s="142" t="s">
        <v>130</v>
      </c>
      <c r="I6" s="142">
        <f>COUNTIF(L:L,H6)</f>
        <v>0</v>
      </c>
      <c r="J6" s="136"/>
      <c r="M6" s="136"/>
      <c r="N6" s="136"/>
      <c r="O6" s="136"/>
      <c r="P6" s="136"/>
      <c r="Q6" s="136"/>
      <c r="S6" s="136"/>
      <c r="AF6" s="187" t="s">
        <v>131</v>
      </c>
      <c r="AG6" s="187" t="s">
        <v>132</v>
      </c>
      <c r="AH6" s="187" t="s">
        <v>127</v>
      </c>
      <c r="AI6" s="328" t="s">
        <v>133</v>
      </c>
      <c r="AJ6" s="328"/>
      <c r="AK6" s="328"/>
      <c r="AL6" s="328"/>
      <c r="AM6" s="328"/>
      <c r="AN6" s="328"/>
      <c r="AO6" s="328"/>
      <c r="AP6" s="328"/>
      <c r="AQ6" s="328"/>
      <c r="AR6" s="328"/>
      <c r="AS6" s="328"/>
      <c r="AT6" s="328"/>
      <c r="AU6" s="328"/>
    </row>
    <row r="7" spans="1:47" s="135" customFormat="1" ht="15.9" customHeight="1">
      <c r="B7" s="144" t="s">
        <v>134</v>
      </c>
      <c r="F7" s="139"/>
      <c r="J7" s="136"/>
      <c r="M7" s="136"/>
      <c r="N7" s="136"/>
      <c r="O7" s="136"/>
      <c r="P7" s="136"/>
      <c r="Q7" s="136"/>
      <c r="S7" s="136"/>
      <c r="AF7" s="187" t="s">
        <v>135</v>
      </c>
      <c r="AG7" s="187" t="s">
        <v>127</v>
      </c>
      <c r="AH7" s="187" t="s">
        <v>132</v>
      </c>
      <c r="AI7" s="328" t="s">
        <v>136</v>
      </c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</row>
    <row r="8" spans="1:47" s="135" customFormat="1" ht="15.9" customHeight="1">
      <c r="B8" s="144" t="s">
        <v>137</v>
      </c>
      <c r="F8" s="139"/>
      <c r="H8" s="146" t="s">
        <v>138</v>
      </c>
      <c r="I8" s="146">
        <f>SUM(I5:I6)</f>
        <v>79</v>
      </c>
      <c r="J8" s="222">
        <f>I8-1</f>
        <v>78</v>
      </c>
      <c r="M8" s="134"/>
      <c r="N8" s="134"/>
      <c r="O8" s="134"/>
      <c r="P8" s="136"/>
      <c r="Q8" s="136"/>
      <c r="S8" s="136"/>
      <c r="AF8" s="187" t="s">
        <v>139</v>
      </c>
      <c r="AG8" s="187" t="s">
        <v>132</v>
      </c>
      <c r="AH8" s="187" t="s">
        <v>132</v>
      </c>
      <c r="AI8" s="328" t="s">
        <v>140</v>
      </c>
      <c r="AJ8" s="328"/>
      <c r="AK8" s="328"/>
      <c r="AL8" s="328"/>
      <c r="AM8" s="328"/>
      <c r="AN8" s="328"/>
      <c r="AO8" s="328"/>
      <c r="AP8" s="328"/>
      <c r="AQ8" s="328"/>
      <c r="AR8" s="328"/>
      <c r="AS8" s="328"/>
      <c r="AT8" s="328"/>
      <c r="AU8" s="328"/>
    </row>
    <row r="9" spans="1:47" s="135" customFormat="1" ht="15.9" customHeight="1">
      <c r="B9" s="144"/>
      <c r="J9" s="136"/>
      <c r="M9" s="134"/>
      <c r="N9" s="134"/>
      <c r="O9" s="134"/>
      <c r="P9" s="136"/>
      <c r="Q9" s="136"/>
      <c r="S9" s="136"/>
      <c r="AF9" s="187" t="s">
        <v>141</v>
      </c>
      <c r="AG9" s="187" t="s">
        <v>132</v>
      </c>
      <c r="AH9" s="187" t="s">
        <v>132</v>
      </c>
      <c r="AI9" s="324" t="s">
        <v>142</v>
      </c>
      <c r="AJ9" s="325"/>
      <c r="AK9" s="325"/>
      <c r="AL9" s="325"/>
      <c r="AM9" s="325"/>
      <c r="AN9" s="325"/>
      <c r="AO9" s="325"/>
      <c r="AP9" s="325"/>
      <c r="AQ9" s="325"/>
      <c r="AR9" s="325"/>
      <c r="AS9" s="325"/>
      <c r="AT9" s="325"/>
      <c r="AU9" s="326"/>
    </row>
    <row r="10" spans="1:47" s="135" customFormat="1" ht="15.9" customHeight="1">
      <c r="B10" s="144"/>
      <c r="J10" s="136"/>
      <c r="M10" s="134"/>
      <c r="N10" s="134"/>
      <c r="O10" s="134"/>
      <c r="P10" s="136"/>
      <c r="Q10" s="136"/>
      <c r="S10" s="136"/>
      <c r="AK10" s="136"/>
    </row>
    <row r="11" spans="1:47" s="135" customFormat="1" ht="15.9" customHeight="1">
      <c r="B11" s="147"/>
      <c r="C11" s="148" t="s">
        <v>143</v>
      </c>
      <c r="F11" s="252" t="s">
        <v>144</v>
      </c>
      <c r="G11" s="252"/>
      <c r="J11" s="136"/>
      <c r="K11" s="252" t="s">
        <v>144</v>
      </c>
      <c r="M11" s="134" t="s">
        <v>145</v>
      </c>
      <c r="N11" s="134"/>
      <c r="O11" s="134"/>
      <c r="P11" s="134"/>
      <c r="Q11" s="134"/>
      <c r="R11" s="134"/>
      <c r="S11" s="134"/>
      <c r="AK11" s="223" t="s">
        <v>146</v>
      </c>
    </row>
    <row r="12" spans="1:47" s="135" customFormat="1" ht="24.9" customHeight="1">
      <c r="B12" s="224" t="s">
        <v>147</v>
      </c>
      <c r="C12" s="224" t="s">
        <v>0</v>
      </c>
      <c r="D12" s="224" t="s">
        <v>1</v>
      </c>
      <c r="E12" s="224" t="s">
        <v>148</v>
      </c>
      <c r="F12" s="225" t="s">
        <v>149</v>
      </c>
      <c r="G12" s="224" t="s">
        <v>150</v>
      </c>
      <c r="H12" s="224" t="s">
        <v>151</v>
      </c>
      <c r="I12" s="224" t="s">
        <v>152</v>
      </c>
      <c r="J12" s="224" t="s">
        <v>153</v>
      </c>
      <c r="K12" s="224" t="s">
        <v>154</v>
      </c>
      <c r="L12" s="226" t="s">
        <v>155</v>
      </c>
      <c r="M12" s="226" t="s">
        <v>156</v>
      </c>
      <c r="N12" s="227" t="s">
        <v>157</v>
      </c>
      <c r="O12" s="227" t="s">
        <v>158</v>
      </c>
      <c r="P12" s="224" t="s">
        <v>159</v>
      </c>
      <c r="Q12" s="224" t="s">
        <v>160</v>
      </c>
      <c r="R12" s="224" t="s">
        <v>161</v>
      </c>
      <c r="S12" s="224" t="s">
        <v>162</v>
      </c>
      <c r="T12" s="224" t="s">
        <v>163</v>
      </c>
      <c r="U12" s="224" t="s">
        <v>164</v>
      </c>
      <c r="V12" s="224" t="s">
        <v>165</v>
      </c>
      <c r="W12" s="228" t="s">
        <v>166</v>
      </c>
      <c r="X12" s="224" t="s">
        <v>167</v>
      </c>
      <c r="Y12" s="224" t="s">
        <v>168</v>
      </c>
      <c r="Z12" s="224" t="s">
        <v>169</v>
      </c>
      <c r="AA12" s="224" t="s">
        <v>170</v>
      </c>
      <c r="AB12" s="224" t="s">
        <v>171</v>
      </c>
      <c r="AC12" s="224" t="s">
        <v>172</v>
      </c>
      <c r="AD12" s="224" t="s">
        <v>173</v>
      </c>
      <c r="AE12" s="224" t="s">
        <v>174</v>
      </c>
      <c r="AF12" s="224" t="s">
        <v>175</v>
      </c>
      <c r="AG12" s="224" t="s">
        <v>176</v>
      </c>
      <c r="AH12" s="224" t="s">
        <v>177</v>
      </c>
      <c r="AI12" s="224" t="s">
        <v>178</v>
      </c>
      <c r="AJ12" s="224" t="s">
        <v>179</v>
      </c>
      <c r="AK12" s="224" t="s">
        <v>180</v>
      </c>
      <c r="AL12" s="224" t="s">
        <v>181</v>
      </c>
    </row>
    <row r="13" spans="1:47" hidden="1">
      <c r="B13" s="149" t="str">
        <f t="shared" ref="B13:B44" si="0">E13&amp;"_"&amp;H13</f>
        <v>AU_SS.com</v>
      </c>
      <c r="C13" s="149" t="s">
        <v>2</v>
      </c>
      <c r="D13" s="149" t="s">
        <v>3</v>
      </c>
      <c r="E13" s="229" t="s">
        <v>182</v>
      </c>
      <c r="F13" s="149" t="s">
        <v>183</v>
      </c>
      <c r="G13" s="149" t="s">
        <v>183</v>
      </c>
      <c r="H13" s="230" t="s">
        <v>184</v>
      </c>
      <c r="I13" s="230" t="s">
        <v>185</v>
      </c>
      <c r="J13" s="149" t="s">
        <v>186</v>
      </c>
      <c r="K13" s="149" t="s">
        <v>187</v>
      </c>
      <c r="L13" s="150" t="s">
        <v>124</v>
      </c>
      <c r="M13" s="151">
        <v>45780</v>
      </c>
      <c r="N13" s="150">
        <v>20250502</v>
      </c>
      <c r="O13" s="150">
        <v>99991231</v>
      </c>
      <c r="P13" s="188" t="s">
        <v>126</v>
      </c>
      <c r="Q13" s="188" t="s">
        <v>126</v>
      </c>
      <c r="R13" s="188" t="s">
        <v>126</v>
      </c>
      <c r="S13" s="188" t="s">
        <v>126</v>
      </c>
      <c r="T13" s="188" t="s">
        <v>126</v>
      </c>
      <c r="U13" s="189" t="s">
        <v>188</v>
      </c>
      <c r="V13" s="189" t="s">
        <v>188</v>
      </c>
      <c r="W13" s="189" t="s">
        <v>188</v>
      </c>
      <c r="X13" s="188"/>
      <c r="Y13" s="188"/>
      <c r="Z13" s="188"/>
      <c r="AA13" s="188" t="s">
        <v>126</v>
      </c>
      <c r="AB13" s="188"/>
      <c r="AC13" s="188"/>
      <c r="AD13" s="188"/>
      <c r="AE13" s="188"/>
      <c r="AF13" s="188"/>
      <c r="AG13" s="164">
        <f t="shared" ref="AG13:AG76" si="1">COUNTIF(P13:T13, "YY") + COUNTIF(P13:T13, "YN") + COUNTIF(P13:T13, "NY")</f>
        <v>5</v>
      </c>
      <c r="AH13" s="164">
        <f t="shared" ref="AH13:AH76" si="2">COUNTIF(P13:AF13, "YY") + COUNTIF(P13:AF13, "YN") + COUNTIF(P13:AF13, "NY")</f>
        <v>9</v>
      </c>
      <c r="AI13" s="160" t="e">
        <f>VLOOKUP(B13,'[15]rank 수집제한 리스트 (신,구)'!$F$3:$J$16,5,FALSE)</f>
        <v>#N/A</v>
      </c>
      <c r="AJ13" s="160"/>
      <c r="AK13" s="167">
        <v>46081</v>
      </c>
      <c r="AL13" s="160" t="s">
        <v>189</v>
      </c>
      <c r="AM13" s="135"/>
    </row>
    <row r="14" spans="1:47" s="135" customFormat="1" hidden="1">
      <c r="A14" s="147"/>
      <c r="B14" s="231" t="str">
        <f t="shared" si="0"/>
        <v>AU_LG.com</v>
      </c>
      <c r="C14" s="153" t="s">
        <v>2</v>
      </c>
      <c r="D14" s="153" t="s">
        <v>3</v>
      </c>
      <c r="E14" s="155" t="s">
        <v>182</v>
      </c>
      <c r="F14" s="154"/>
      <c r="G14" s="154"/>
      <c r="H14" s="156" t="s">
        <v>190</v>
      </c>
      <c r="I14" s="156" t="s">
        <v>191</v>
      </c>
      <c r="J14" s="153" t="s">
        <v>192</v>
      </c>
      <c r="K14" s="157" t="s">
        <v>193</v>
      </c>
      <c r="L14" s="158" t="s">
        <v>194</v>
      </c>
      <c r="M14" s="159">
        <v>46024</v>
      </c>
      <c r="N14" s="158">
        <v>20260102</v>
      </c>
      <c r="O14" s="158">
        <v>99991231</v>
      </c>
      <c r="P14" s="191" t="s">
        <v>195</v>
      </c>
      <c r="Q14" s="191" t="s">
        <v>195</v>
      </c>
      <c r="R14" s="191" t="s">
        <v>195</v>
      </c>
      <c r="S14" s="191" t="s">
        <v>195</v>
      </c>
      <c r="T14" s="191" t="s">
        <v>195</v>
      </c>
      <c r="U14" s="191" t="s">
        <v>195</v>
      </c>
      <c r="V14" s="191" t="s">
        <v>195</v>
      </c>
      <c r="W14" s="191" t="s">
        <v>195</v>
      </c>
      <c r="X14" s="166"/>
      <c r="Y14" s="166"/>
      <c r="Z14" s="166"/>
      <c r="AA14" s="191" t="s">
        <v>195</v>
      </c>
      <c r="AB14" s="166"/>
      <c r="AC14" s="166"/>
      <c r="AD14" s="166"/>
      <c r="AE14" s="166"/>
      <c r="AF14" s="166"/>
      <c r="AG14" s="231">
        <f t="shared" si="1"/>
        <v>5</v>
      </c>
      <c r="AH14" s="231">
        <f t="shared" si="2"/>
        <v>9</v>
      </c>
      <c r="AI14" s="154" t="e">
        <f>VLOOKUP(B14,'[15]rank 수집제한 리스트 (신,구)'!$F$3:$J$16,5,FALSE)</f>
        <v>#N/A</v>
      </c>
      <c r="AJ14" s="154"/>
      <c r="AK14" s="232">
        <v>46081</v>
      </c>
      <c r="AL14" s="154" t="s">
        <v>189</v>
      </c>
    </row>
    <row r="15" spans="1:47" s="135" customFormat="1" hidden="1">
      <c r="A15" s="152"/>
      <c r="B15" s="162" t="str">
        <f t="shared" si="0"/>
        <v>AU_AMAZON</v>
      </c>
      <c r="C15" s="162" t="s">
        <v>4</v>
      </c>
      <c r="D15" s="162" t="s">
        <v>5</v>
      </c>
      <c r="E15" s="162" t="s">
        <v>182</v>
      </c>
      <c r="F15" s="162" t="s">
        <v>127</v>
      </c>
      <c r="G15" s="162" t="s">
        <v>127</v>
      </c>
      <c r="H15" s="192" t="s">
        <v>196</v>
      </c>
      <c r="I15" s="193" t="s">
        <v>197</v>
      </c>
      <c r="J15" s="164" t="s">
        <v>198</v>
      </c>
      <c r="K15" s="162" t="s">
        <v>199</v>
      </c>
      <c r="L15" s="162" t="s">
        <v>194</v>
      </c>
      <c r="M15" s="163">
        <v>45658</v>
      </c>
      <c r="N15" s="150">
        <v>20230516</v>
      </c>
      <c r="O15" s="150">
        <v>99991231</v>
      </c>
      <c r="P15" s="188" t="s">
        <v>131</v>
      </c>
      <c r="Q15" s="188" t="s">
        <v>131</v>
      </c>
      <c r="R15" s="189" t="s">
        <v>188</v>
      </c>
      <c r="S15" s="188" t="s">
        <v>126</v>
      </c>
      <c r="T15" s="189" t="s">
        <v>188</v>
      </c>
      <c r="U15" s="189" t="s">
        <v>188</v>
      </c>
      <c r="V15" s="189" t="s">
        <v>188</v>
      </c>
      <c r="W15" s="189" t="s">
        <v>188</v>
      </c>
      <c r="X15" s="188"/>
      <c r="Y15" s="188"/>
      <c r="Z15" s="188"/>
      <c r="AA15" s="189" t="s">
        <v>200</v>
      </c>
      <c r="AB15" s="188" t="s">
        <v>126</v>
      </c>
      <c r="AC15" s="188"/>
      <c r="AD15" s="188"/>
      <c r="AE15" s="188"/>
      <c r="AF15" s="188"/>
      <c r="AG15" s="164">
        <f t="shared" si="1"/>
        <v>5</v>
      </c>
      <c r="AH15" s="164">
        <f t="shared" si="2"/>
        <v>10</v>
      </c>
      <c r="AI15" s="160" t="e">
        <f>VLOOKUP(B15,'[15]rank 수집제한 리스트 (신,구)'!$F$3:$J$16,5,FALSE)</f>
        <v>#N/A</v>
      </c>
      <c r="AJ15" s="160"/>
      <c r="AK15" s="167">
        <v>46081</v>
      </c>
      <c r="AL15" s="160" t="s">
        <v>189</v>
      </c>
    </row>
    <row r="16" spans="1:47" s="135" customFormat="1" hidden="1">
      <c r="A16" s="152"/>
      <c r="B16" s="162" t="str">
        <f t="shared" si="0"/>
        <v>AU_HARVEYNORMAN</v>
      </c>
      <c r="C16" s="162" t="s">
        <v>4</v>
      </c>
      <c r="D16" s="162" t="s">
        <v>5</v>
      </c>
      <c r="E16" s="162" t="s">
        <v>201</v>
      </c>
      <c r="F16" s="162" t="s">
        <v>127</v>
      </c>
      <c r="G16" s="162" t="s">
        <v>127</v>
      </c>
      <c r="H16" s="192" t="s">
        <v>202</v>
      </c>
      <c r="I16" s="193" t="s">
        <v>203</v>
      </c>
      <c r="J16" s="164" t="s">
        <v>204</v>
      </c>
      <c r="K16" s="162" t="s">
        <v>205</v>
      </c>
      <c r="L16" s="162" t="s">
        <v>194</v>
      </c>
      <c r="M16" s="163">
        <v>45658</v>
      </c>
      <c r="N16" s="150">
        <v>20230517</v>
      </c>
      <c r="O16" s="150">
        <v>99991231</v>
      </c>
      <c r="P16" s="188" t="s">
        <v>126</v>
      </c>
      <c r="Q16" s="188" t="s">
        <v>126</v>
      </c>
      <c r="R16" s="188" t="s">
        <v>126</v>
      </c>
      <c r="S16" s="188" t="s">
        <v>126</v>
      </c>
      <c r="T16" s="189" t="s">
        <v>188</v>
      </c>
      <c r="U16" s="188" t="s">
        <v>126</v>
      </c>
      <c r="V16" s="188" t="s">
        <v>126</v>
      </c>
      <c r="W16" s="188" t="s">
        <v>126</v>
      </c>
      <c r="X16" s="188"/>
      <c r="Y16" s="188" t="s">
        <v>126</v>
      </c>
      <c r="Z16" s="188" t="s">
        <v>126</v>
      </c>
      <c r="AA16" s="188" t="s">
        <v>126</v>
      </c>
      <c r="AB16" s="188" t="s">
        <v>126</v>
      </c>
      <c r="AC16" s="188"/>
      <c r="AD16" s="188"/>
      <c r="AE16" s="188"/>
      <c r="AF16" s="188"/>
      <c r="AG16" s="164">
        <f t="shared" si="1"/>
        <v>5</v>
      </c>
      <c r="AH16" s="164">
        <f t="shared" si="2"/>
        <v>12</v>
      </c>
      <c r="AI16" s="160" t="e">
        <f>VLOOKUP(B16,'[15]rank 수집제한 리스트 (신,구)'!$F$3:$J$16,5,FALSE)</f>
        <v>#N/A</v>
      </c>
      <c r="AJ16" s="160"/>
      <c r="AK16" s="167">
        <v>46081</v>
      </c>
      <c r="AL16" s="160" t="s">
        <v>189</v>
      </c>
    </row>
    <row r="17" spans="1:39" s="135" customFormat="1" hidden="1">
      <c r="A17" s="152"/>
      <c r="B17" s="164" t="str">
        <f t="shared" si="0"/>
        <v>AU_JBHIFI</v>
      </c>
      <c r="C17" s="164" t="s">
        <v>4</v>
      </c>
      <c r="D17" s="164" t="s">
        <v>5</v>
      </c>
      <c r="E17" s="173" t="s">
        <v>201</v>
      </c>
      <c r="F17" s="164" t="s">
        <v>127</v>
      </c>
      <c r="G17" s="164" t="s">
        <v>127</v>
      </c>
      <c r="H17" s="193" t="s">
        <v>206</v>
      </c>
      <c r="I17" s="193" t="s">
        <v>207</v>
      </c>
      <c r="J17" s="164" t="s">
        <v>208</v>
      </c>
      <c r="K17" s="164" t="s">
        <v>199</v>
      </c>
      <c r="L17" s="162" t="s">
        <v>194</v>
      </c>
      <c r="M17" s="163">
        <v>45658</v>
      </c>
      <c r="N17" s="150">
        <v>20230518</v>
      </c>
      <c r="O17" s="150">
        <v>99991231</v>
      </c>
      <c r="P17" s="188" t="s">
        <v>126</v>
      </c>
      <c r="Q17" s="188" t="s">
        <v>126</v>
      </c>
      <c r="R17" s="188" t="s">
        <v>126</v>
      </c>
      <c r="S17" s="188" t="s">
        <v>126</v>
      </c>
      <c r="T17" s="189" t="s">
        <v>188</v>
      </c>
      <c r="U17" s="188" t="s">
        <v>126</v>
      </c>
      <c r="V17" s="188" t="s">
        <v>126</v>
      </c>
      <c r="W17" s="188" t="s">
        <v>126</v>
      </c>
      <c r="X17" s="188"/>
      <c r="Y17" s="188" t="s">
        <v>126</v>
      </c>
      <c r="Z17" s="188" t="s">
        <v>126</v>
      </c>
      <c r="AA17" s="188" t="s">
        <v>126</v>
      </c>
      <c r="AB17" s="188" t="s">
        <v>126</v>
      </c>
      <c r="AC17" s="188"/>
      <c r="AD17" s="188"/>
      <c r="AE17" s="188"/>
      <c r="AF17" s="188"/>
      <c r="AG17" s="164">
        <f t="shared" si="1"/>
        <v>5</v>
      </c>
      <c r="AH17" s="164">
        <f t="shared" si="2"/>
        <v>12</v>
      </c>
      <c r="AI17" s="160" t="e">
        <f>VLOOKUP(B17,'[15]rank 수집제한 리스트 (신,구)'!$F$3:$J$16,5,FALSE)</f>
        <v>#N/A</v>
      </c>
      <c r="AJ17" s="160"/>
      <c r="AK17" s="167">
        <v>46081</v>
      </c>
      <c r="AL17" s="160" t="s">
        <v>189</v>
      </c>
    </row>
    <row r="18" spans="1:39" s="135" customFormat="1" hidden="1">
      <c r="A18" s="152"/>
      <c r="B18" s="162" t="str">
        <f t="shared" si="0"/>
        <v>AU_THEGOODGUYS</v>
      </c>
      <c r="C18" s="162" t="s">
        <v>4</v>
      </c>
      <c r="D18" s="162" t="s">
        <v>5</v>
      </c>
      <c r="E18" s="162" t="s">
        <v>201</v>
      </c>
      <c r="F18" s="162" t="s">
        <v>127</v>
      </c>
      <c r="G18" s="162" t="s">
        <v>127</v>
      </c>
      <c r="H18" s="192" t="s">
        <v>209</v>
      </c>
      <c r="I18" s="193" t="s">
        <v>210</v>
      </c>
      <c r="J18" s="164" t="s">
        <v>208</v>
      </c>
      <c r="K18" s="162" t="s">
        <v>205</v>
      </c>
      <c r="L18" s="162" t="s">
        <v>194</v>
      </c>
      <c r="M18" s="163">
        <v>45658</v>
      </c>
      <c r="N18" s="150">
        <v>20230401</v>
      </c>
      <c r="O18" s="150">
        <v>99991231</v>
      </c>
      <c r="P18" s="188" t="s">
        <v>126</v>
      </c>
      <c r="Q18" s="188" t="s">
        <v>126</v>
      </c>
      <c r="R18" s="188" t="s">
        <v>126</v>
      </c>
      <c r="S18" s="188" t="s">
        <v>126</v>
      </c>
      <c r="T18" s="189" t="s">
        <v>188</v>
      </c>
      <c r="U18" s="188" t="s">
        <v>126</v>
      </c>
      <c r="V18" s="188" t="s">
        <v>126</v>
      </c>
      <c r="W18" s="188" t="s">
        <v>126</v>
      </c>
      <c r="X18" s="188"/>
      <c r="Y18" s="188" t="s">
        <v>126</v>
      </c>
      <c r="Z18" s="188" t="s">
        <v>126</v>
      </c>
      <c r="AA18" s="188" t="s">
        <v>126</v>
      </c>
      <c r="AB18" s="188" t="s">
        <v>126</v>
      </c>
      <c r="AC18" s="188"/>
      <c r="AD18" s="188"/>
      <c r="AE18" s="188"/>
      <c r="AF18" s="188"/>
      <c r="AG18" s="164">
        <f t="shared" si="1"/>
        <v>5</v>
      </c>
      <c r="AH18" s="164">
        <f t="shared" si="2"/>
        <v>12</v>
      </c>
      <c r="AI18" s="160" t="e">
        <f>VLOOKUP(B18,'[15]rank 수집제한 리스트 (신,구)'!$F$3:$J$16,5,FALSE)</f>
        <v>#N/A</v>
      </c>
      <c r="AJ18" s="160"/>
      <c r="AK18" s="167">
        <v>46081</v>
      </c>
      <c r="AL18" s="160" t="s">
        <v>189</v>
      </c>
    </row>
    <row r="19" spans="1:39" s="135" customFormat="1" ht="17.399999999999999" hidden="1">
      <c r="A19" s="152"/>
      <c r="B19" s="162" t="str">
        <f t="shared" si="0"/>
        <v>SG_COURTS</v>
      </c>
      <c r="C19" s="162" t="s">
        <v>4</v>
      </c>
      <c r="D19" s="162" t="s">
        <v>7</v>
      </c>
      <c r="E19" s="162" t="s">
        <v>211</v>
      </c>
      <c r="F19" s="162" t="s">
        <v>127</v>
      </c>
      <c r="G19" s="162" t="s">
        <v>127</v>
      </c>
      <c r="H19" s="192" t="s">
        <v>212</v>
      </c>
      <c r="I19" s="244" t="s">
        <v>213</v>
      </c>
      <c r="J19" s="149" t="s">
        <v>204</v>
      </c>
      <c r="K19" s="162" t="s">
        <v>205</v>
      </c>
      <c r="L19" s="162" t="s">
        <v>194</v>
      </c>
      <c r="M19" s="163">
        <v>45658</v>
      </c>
      <c r="N19" s="150">
        <v>20230518</v>
      </c>
      <c r="O19" s="150">
        <v>99991231</v>
      </c>
      <c r="P19" s="188" t="s">
        <v>126</v>
      </c>
      <c r="Q19" s="188" t="s">
        <v>126</v>
      </c>
      <c r="R19" s="188" t="s">
        <v>126</v>
      </c>
      <c r="S19" s="189" t="s">
        <v>188</v>
      </c>
      <c r="T19" s="188" t="s">
        <v>126</v>
      </c>
      <c r="U19" s="188" t="s">
        <v>126</v>
      </c>
      <c r="V19" s="188" t="s">
        <v>126</v>
      </c>
      <c r="W19" s="188" t="s">
        <v>126</v>
      </c>
      <c r="X19" s="188"/>
      <c r="Y19" s="188" t="s">
        <v>126</v>
      </c>
      <c r="Z19" s="188" t="s">
        <v>126</v>
      </c>
      <c r="AA19" s="188" t="s">
        <v>126</v>
      </c>
      <c r="AB19" s="188"/>
      <c r="AC19" s="188"/>
      <c r="AD19" s="188"/>
      <c r="AE19" s="188"/>
      <c r="AF19" s="188"/>
      <c r="AG19" s="164">
        <f t="shared" si="1"/>
        <v>5</v>
      </c>
      <c r="AH19" s="164">
        <f t="shared" si="2"/>
        <v>11</v>
      </c>
      <c r="AI19" s="160" t="e">
        <f>VLOOKUP(B19,'[15]rank 수집제한 리스트 (신,구)'!$F$3:$J$16,5,FALSE)</f>
        <v>#N/A</v>
      </c>
      <c r="AJ19" s="160"/>
      <c r="AK19" s="167">
        <v>46081</v>
      </c>
      <c r="AL19" s="160" t="s">
        <v>189</v>
      </c>
    </row>
    <row r="20" spans="1:39" s="135" customFormat="1" hidden="1">
      <c r="A20" s="152"/>
      <c r="B20" s="162" t="str">
        <f t="shared" si="0"/>
        <v>SG_HARVEYNORMAN</v>
      </c>
      <c r="C20" s="162" t="s">
        <v>4</v>
      </c>
      <c r="D20" s="162" t="s">
        <v>7</v>
      </c>
      <c r="E20" s="162" t="s">
        <v>211</v>
      </c>
      <c r="F20" s="162" t="s">
        <v>127</v>
      </c>
      <c r="G20" s="162" t="s">
        <v>127</v>
      </c>
      <c r="H20" s="192" t="s">
        <v>202</v>
      </c>
      <c r="I20" s="193" t="s">
        <v>214</v>
      </c>
      <c r="J20" s="164" t="s">
        <v>204</v>
      </c>
      <c r="K20" s="162" t="s">
        <v>205</v>
      </c>
      <c r="L20" s="162" t="s">
        <v>194</v>
      </c>
      <c r="M20" s="163">
        <v>45658</v>
      </c>
      <c r="N20" s="150">
        <v>20230517</v>
      </c>
      <c r="O20" s="150">
        <v>99991231</v>
      </c>
      <c r="P20" s="188" t="s">
        <v>126</v>
      </c>
      <c r="Q20" s="188" t="s">
        <v>126</v>
      </c>
      <c r="R20" s="188" t="s">
        <v>126</v>
      </c>
      <c r="S20" s="188" t="s">
        <v>126</v>
      </c>
      <c r="T20" s="189" t="s">
        <v>188</v>
      </c>
      <c r="U20" s="188" t="s">
        <v>126</v>
      </c>
      <c r="V20" s="188" t="s">
        <v>126</v>
      </c>
      <c r="W20" s="188" t="s">
        <v>126</v>
      </c>
      <c r="X20" s="188" t="s">
        <v>126</v>
      </c>
      <c r="Y20" s="188" t="s">
        <v>126</v>
      </c>
      <c r="Z20" s="188" t="s">
        <v>126</v>
      </c>
      <c r="AA20" s="188" t="s">
        <v>126</v>
      </c>
      <c r="AB20" s="188" t="s">
        <v>126</v>
      </c>
      <c r="AC20" s="188"/>
      <c r="AD20" s="188"/>
      <c r="AE20" s="188" t="s">
        <v>126</v>
      </c>
      <c r="AF20" s="188"/>
      <c r="AG20" s="164">
        <f t="shared" si="1"/>
        <v>5</v>
      </c>
      <c r="AH20" s="164">
        <f t="shared" si="2"/>
        <v>14</v>
      </c>
      <c r="AI20" s="160" t="e">
        <f>VLOOKUP(B20,'[15]rank 수집제한 리스트 (신,구)'!$F$3:$J$16,5,FALSE)</f>
        <v>#N/A</v>
      </c>
      <c r="AJ20" s="160"/>
      <c r="AK20" s="167">
        <v>46081</v>
      </c>
      <c r="AL20" s="160" t="s">
        <v>189</v>
      </c>
    </row>
    <row r="21" spans="1:39" s="135" customFormat="1" hidden="1">
      <c r="A21" s="152"/>
      <c r="B21" s="162" t="str">
        <f t="shared" si="0"/>
        <v>SG_LAZADA</v>
      </c>
      <c r="C21" s="162" t="s">
        <v>4</v>
      </c>
      <c r="D21" s="162" t="s">
        <v>7</v>
      </c>
      <c r="E21" s="162" t="s">
        <v>211</v>
      </c>
      <c r="F21" s="162" t="s">
        <v>127</v>
      </c>
      <c r="G21" s="162" t="s">
        <v>127</v>
      </c>
      <c r="H21" s="192" t="s">
        <v>215</v>
      </c>
      <c r="I21" s="193" t="s">
        <v>216</v>
      </c>
      <c r="J21" s="164" t="s">
        <v>217</v>
      </c>
      <c r="K21" s="162" t="s">
        <v>199</v>
      </c>
      <c r="L21" s="162" t="s">
        <v>194</v>
      </c>
      <c r="M21" s="163">
        <v>45658</v>
      </c>
      <c r="N21" s="150">
        <v>20230814</v>
      </c>
      <c r="O21" s="150">
        <v>99991231</v>
      </c>
      <c r="P21" s="188" t="s">
        <v>126</v>
      </c>
      <c r="Q21" s="188" t="s">
        <v>126</v>
      </c>
      <c r="R21" s="188" t="s">
        <v>126</v>
      </c>
      <c r="S21" s="188" t="s">
        <v>126</v>
      </c>
      <c r="T21" s="188" t="s">
        <v>126</v>
      </c>
      <c r="U21" s="188" t="s">
        <v>126</v>
      </c>
      <c r="V21" s="188" t="s">
        <v>126</v>
      </c>
      <c r="W21" s="188" t="s">
        <v>126</v>
      </c>
      <c r="X21" s="188" t="s">
        <v>126</v>
      </c>
      <c r="Y21" s="188" t="s">
        <v>126</v>
      </c>
      <c r="Z21" s="188" t="s">
        <v>126</v>
      </c>
      <c r="AA21" s="188" t="s">
        <v>126</v>
      </c>
      <c r="AB21" s="188" t="s">
        <v>126</v>
      </c>
      <c r="AC21" s="188"/>
      <c r="AD21" s="188"/>
      <c r="AE21" s="188" t="s">
        <v>131</v>
      </c>
      <c r="AF21" s="188"/>
      <c r="AG21" s="164">
        <f t="shared" si="1"/>
        <v>5</v>
      </c>
      <c r="AH21" s="164">
        <f t="shared" si="2"/>
        <v>14</v>
      </c>
      <c r="AI21" s="160">
        <f>VLOOKUP(B21,'[15]rank 수집제한 리스트 (신,구)'!$F$3:$J$16,5,FALSE)</f>
        <v>300</v>
      </c>
      <c r="AJ21" s="160"/>
      <c r="AK21" s="167">
        <v>45875</v>
      </c>
      <c r="AL21" s="160" t="s">
        <v>189</v>
      </c>
    </row>
    <row r="22" spans="1:39" s="135" customFormat="1" hidden="1">
      <c r="A22" s="152"/>
      <c r="B22" s="162" t="str">
        <f t="shared" si="0"/>
        <v>TW_MOMOSHOP</v>
      </c>
      <c r="C22" s="162" t="s">
        <v>4</v>
      </c>
      <c r="D22" s="162" t="s">
        <v>8</v>
      </c>
      <c r="E22" s="162" t="s">
        <v>218</v>
      </c>
      <c r="F22" s="162" t="s">
        <v>127</v>
      </c>
      <c r="G22" s="162" t="s">
        <v>127</v>
      </c>
      <c r="H22" s="192" t="s">
        <v>219</v>
      </c>
      <c r="I22" s="193" t="s">
        <v>220</v>
      </c>
      <c r="J22" s="164" t="s">
        <v>221</v>
      </c>
      <c r="K22" s="162" t="s">
        <v>199</v>
      </c>
      <c r="L22" s="162" t="s">
        <v>194</v>
      </c>
      <c r="M22" s="163">
        <v>45658</v>
      </c>
      <c r="N22" s="150">
        <v>20230516</v>
      </c>
      <c r="O22" s="150">
        <v>99991231</v>
      </c>
      <c r="P22" s="188" t="s">
        <v>126</v>
      </c>
      <c r="Q22" s="188" t="s">
        <v>126</v>
      </c>
      <c r="R22" s="188" t="s">
        <v>126</v>
      </c>
      <c r="S22" s="188" t="s">
        <v>126</v>
      </c>
      <c r="T22" s="189" t="s">
        <v>188</v>
      </c>
      <c r="U22" s="188" t="s">
        <v>126</v>
      </c>
      <c r="V22" s="188" t="s">
        <v>126</v>
      </c>
      <c r="W22" s="188" t="s">
        <v>126</v>
      </c>
      <c r="X22" s="188" t="s">
        <v>126</v>
      </c>
      <c r="Y22" s="188" t="s">
        <v>126</v>
      </c>
      <c r="Z22" s="188"/>
      <c r="AA22" s="188" t="s">
        <v>126</v>
      </c>
      <c r="AB22" s="188" t="s">
        <v>126</v>
      </c>
      <c r="AC22" s="188"/>
      <c r="AD22" s="188"/>
      <c r="AE22" s="188" t="s">
        <v>126</v>
      </c>
      <c r="AF22" s="188"/>
      <c r="AG22" s="164">
        <f t="shared" si="1"/>
        <v>5</v>
      </c>
      <c r="AH22" s="164">
        <f t="shared" si="2"/>
        <v>13</v>
      </c>
      <c r="AI22" s="160">
        <f>VLOOKUP(B22,'[15]rank 수집제한 리스트 (신,구)'!$F$3:$J$16,5,FALSE)</f>
        <v>500</v>
      </c>
      <c r="AJ22" s="160"/>
      <c r="AK22" s="167">
        <v>46081</v>
      </c>
      <c r="AL22" s="160" t="s">
        <v>189</v>
      </c>
    </row>
    <row r="23" spans="1:39" s="135" customFormat="1" hidden="1">
      <c r="A23" s="152"/>
      <c r="B23" s="162" t="str">
        <f t="shared" si="0"/>
        <v>TW_PCHOME</v>
      </c>
      <c r="C23" s="162" t="s">
        <v>4</v>
      </c>
      <c r="D23" s="162" t="s">
        <v>8</v>
      </c>
      <c r="E23" s="162" t="s">
        <v>218</v>
      </c>
      <c r="F23" s="162" t="s">
        <v>127</v>
      </c>
      <c r="G23" s="162" t="s">
        <v>127</v>
      </c>
      <c r="H23" s="192" t="s">
        <v>222</v>
      </c>
      <c r="I23" s="193" t="s">
        <v>223</v>
      </c>
      <c r="J23" s="164" t="s">
        <v>224</v>
      </c>
      <c r="K23" s="162" t="s">
        <v>199</v>
      </c>
      <c r="L23" s="162" t="s">
        <v>194</v>
      </c>
      <c r="M23" s="163">
        <v>45658</v>
      </c>
      <c r="N23" s="150">
        <v>20220622</v>
      </c>
      <c r="O23" s="150">
        <v>99991231</v>
      </c>
      <c r="P23" s="188" t="s">
        <v>126</v>
      </c>
      <c r="Q23" s="188" t="s">
        <v>126</v>
      </c>
      <c r="R23" s="188" t="s">
        <v>126</v>
      </c>
      <c r="S23" s="188" t="s">
        <v>126</v>
      </c>
      <c r="T23" s="189" t="s">
        <v>188</v>
      </c>
      <c r="U23" s="188" t="s">
        <v>126</v>
      </c>
      <c r="V23" s="188" t="s">
        <v>126</v>
      </c>
      <c r="W23" s="188" t="s">
        <v>126</v>
      </c>
      <c r="X23" s="188" t="s">
        <v>126</v>
      </c>
      <c r="Y23" s="188" t="s">
        <v>126</v>
      </c>
      <c r="Z23" s="188"/>
      <c r="AA23" s="188" t="s">
        <v>126</v>
      </c>
      <c r="AB23" s="188" t="s">
        <v>126</v>
      </c>
      <c r="AC23" s="188"/>
      <c r="AD23" s="188"/>
      <c r="AE23" s="188" t="s">
        <v>126</v>
      </c>
      <c r="AF23" s="188"/>
      <c r="AG23" s="164">
        <f t="shared" si="1"/>
        <v>5</v>
      </c>
      <c r="AH23" s="164">
        <f t="shared" si="2"/>
        <v>13</v>
      </c>
      <c r="AI23" s="160" t="e">
        <f>VLOOKUP(B23,'[15]rank 수집제한 리스트 (신,구)'!$F$3:$J$16,5,FALSE)</f>
        <v>#N/A</v>
      </c>
      <c r="AJ23" s="160"/>
      <c r="AK23" s="167">
        <v>46081</v>
      </c>
      <c r="AL23" s="160" t="s">
        <v>189</v>
      </c>
      <c r="AM23" s="165"/>
    </row>
    <row r="24" spans="1:39" s="135" customFormat="1" ht="17.399999999999999" hidden="1">
      <c r="A24" s="147"/>
      <c r="B24" s="231" t="str">
        <f t="shared" si="0"/>
        <v>TW_SS.com</v>
      </c>
      <c r="C24" s="166" t="s">
        <v>4</v>
      </c>
      <c r="D24" s="166" t="s">
        <v>8</v>
      </c>
      <c r="E24" s="166" t="s">
        <v>218</v>
      </c>
      <c r="F24" s="154"/>
      <c r="G24" s="154"/>
      <c r="H24" s="156" t="s">
        <v>184</v>
      </c>
      <c r="I24" s="194" t="s">
        <v>225</v>
      </c>
      <c r="J24" s="153" t="s">
        <v>186</v>
      </c>
      <c r="K24" s="157" t="s">
        <v>193</v>
      </c>
      <c r="L24" s="158" t="s">
        <v>194</v>
      </c>
      <c r="M24" s="159">
        <v>46023</v>
      </c>
      <c r="N24" s="158">
        <v>20260101</v>
      </c>
      <c r="O24" s="158">
        <v>99991231</v>
      </c>
      <c r="P24" s="191" t="s">
        <v>195</v>
      </c>
      <c r="Q24" s="191" t="s">
        <v>195</v>
      </c>
      <c r="R24" s="191" t="s">
        <v>195</v>
      </c>
      <c r="S24" s="191" t="s">
        <v>195</v>
      </c>
      <c r="T24" s="191" t="s">
        <v>226</v>
      </c>
      <c r="U24" s="191" t="s">
        <v>195</v>
      </c>
      <c r="V24" s="191" t="s">
        <v>195</v>
      </c>
      <c r="W24" s="191" t="s">
        <v>188</v>
      </c>
      <c r="X24" s="166"/>
      <c r="Y24" s="166"/>
      <c r="Z24" s="166"/>
      <c r="AA24" s="191" t="s">
        <v>188</v>
      </c>
      <c r="AB24" s="166"/>
      <c r="AC24" s="166"/>
      <c r="AD24" s="166"/>
      <c r="AE24" s="166"/>
      <c r="AF24" s="166"/>
      <c r="AG24" s="231">
        <f t="shared" si="1"/>
        <v>5</v>
      </c>
      <c r="AH24" s="231">
        <f t="shared" si="2"/>
        <v>9</v>
      </c>
      <c r="AI24" s="154" t="e">
        <f>VLOOKUP(B24,'[15]rank 수집제한 리스트 (신,구)'!$F$3:$J$16,5,FALSE)</f>
        <v>#N/A</v>
      </c>
      <c r="AJ24" s="233"/>
      <c r="AK24" s="232">
        <v>46081</v>
      </c>
      <c r="AL24" s="154" t="s">
        <v>189</v>
      </c>
      <c r="AM24" s="165"/>
    </row>
    <row r="25" spans="1:39" s="135" customFormat="1" hidden="1">
      <c r="A25" s="147"/>
      <c r="B25" s="231" t="str">
        <f t="shared" si="0"/>
        <v>TW_LG.com</v>
      </c>
      <c r="C25" s="166" t="s">
        <v>4</v>
      </c>
      <c r="D25" s="166" t="s">
        <v>8</v>
      </c>
      <c r="E25" s="166" t="s">
        <v>218</v>
      </c>
      <c r="F25" s="154"/>
      <c r="G25" s="154"/>
      <c r="H25" s="156" t="s">
        <v>190</v>
      </c>
      <c r="I25" s="156" t="s">
        <v>227</v>
      </c>
      <c r="J25" s="153" t="s">
        <v>192</v>
      </c>
      <c r="K25" s="157" t="s">
        <v>193</v>
      </c>
      <c r="L25" s="158" t="s">
        <v>194</v>
      </c>
      <c r="M25" s="159">
        <v>46023</v>
      </c>
      <c r="N25" s="158">
        <v>20260101</v>
      </c>
      <c r="O25" s="158">
        <v>99991231</v>
      </c>
      <c r="P25" s="191" t="s">
        <v>195</v>
      </c>
      <c r="Q25" s="191" t="s">
        <v>195</v>
      </c>
      <c r="R25" s="191" t="s">
        <v>195</v>
      </c>
      <c r="S25" s="191" t="s">
        <v>195</v>
      </c>
      <c r="T25" s="191" t="s">
        <v>188</v>
      </c>
      <c r="U25" s="191" t="s">
        <v>188</v>
      </c>
      <c r="V25" s="191" t="s">
        <v>188</v>
      </c>
      <c r="W25" s="191" t="s">
        <v>228</v>
      </c>
      <c r="X25" s="166"/>
      <c r="Y25" s="166"/>
      <c r="Z25" s="166"/>
      <c r="AA25" s="191" t="s">
        <v>188</v>
      </c>
      <c r="AB25" s="166"/>
      <c r="AC25" s="166"/>
      <c r="AD25" s="166"/>
      <c r="AE25" s="166"/>
      <c r="AF25" s="166"/>
      <c r="AG25" s="231">
        <f t="shared" si="1"/>
        <v>5</v>
      </c>
      <c r="AH25" s="231">
        <f t="shared" si="2"/>
        <v>8</v>
      </c>
      <c r="AI25" s="154" t="e">
        <f>VLOOKUP(B25,'[15]rank 수집제한 리스트 (신,구)'!$F$3:$J$16,5,FALSE)</f>
        <v>#N/A</v>
      </c>
      <c r="AJ25" s="233" t="s">
        <v>229</v>
      </c>
      <c r="AK25" s="232">
        <v>46081</v>
      </c>
      <c r="AL25" s="154" t="s">
        <v>189</v>
      </c>
      <c r="AM25" s="165"/>
    </row>
    <row r="26" spans="1:39" s="135" customFormat="1" hidden="1">
      <c r="A26" s="152"/>
      <c r="B26" s="162" t="str">
        <f t="shared" si="0"/>
        <v>TH_HOMEPRO</v>
      </c>
      <c r="C26" s="162" t="s">
        <v>4</v>
      </c>
      <c r="D26" s="162" t="s">
        <v>9</v>
      </c>
      <c r="E26" s="162" t="s">
        <v>230</v>
      </c>
      <c r="F26" s="162" t="s">
        <v>127</v>
      </c>
      <c r="G26" s="162" t="s">
        <v>127</v>
      </c>
      <c r="H26" s="192" t="s">
        <v>231</v>
      </c>
      <c r="I26" s="193" t="s">
        <v>232</v>
      </c>
      <c r="J26" s="164" t="s">
        <v>204</v>
      </c>
      <c r="K26" s="162" t="s">
        <v>205</v>
      </c>
      <c r="L26" s="162" t="s">
        <v>194</v>
      </c>
      <c r="M26" s="163">
        <v>45658</v>
      </c>
      <c r="N26" s="150">
        <v>20230213</v>
      </c>
      <c r="O26" s="150">
        <v>99991231</v>
      </c>
      <c r="P26" s="188" t="s">
        <v>126</v>
      </c>
      <c r="Q26" s="188" t="s">
        <v>126</v>
      </c>
      <c r="R26" s="188" t="s">
        <v>126</v>
      </c>
      <c r="S26" s="189" t="s">
        <v>188</v>
      </c>
      <c r="T26" s="188" t="s">
        <v>126</v>
      </c>
      <c r="U26" s="188" t="s">
        <v>126</v>
      </c>
      <c r="V26" s="188" t="s">
        <v>195</v>
      </c>
      <c r="W26" s="188" t="s">
        <v>126</v>
      </c>
      <c r="X26" s="188" t="s">
        <v>126</v>
      </c>
      <c r="Y26" s="188"/>
      <c r="Z26" s="188"/>
      <c r="AA26" s="189" t="s">
        <v>188</v>
      </c>
      <c r="AB26" s="188"/>
      <c r="AC26" s="188"/>
      <c r="AD26" s="188"/>
      <c r="AE26" s="188"/>
      <c r="AF26" s="188"/>
      <c r="AG26" s="164">
        <f t="shared" si="1"/>
        <v>5</v>
      </c>
      <c r="AH26" s="164">
        <f t="shared" si="2"/>
        <v>10</v>
      </c>
      <c r="AI26" s="160" t="e">
        <f>VLOOKUP(B26,'[15]rank 수집제한 리스트 (신,구)'!$F$3:$J$16,5,FALSE)</f>
        <v>#N/A</v>
      </c>
      <c r="AJ26" s="234"/>
      <c r="AK26" s="167">
        <v>46081</v>
      </c>
      <c r="AL26" s="160" t="s">
        <v>189</v>
      </c>
    </row>
    <row r="27" spans="1:39" s="135" customFormat="1" ht="17.399999999999999" hidden="1">
      <c r="A27" s="152"/>
      <c r="B27" s="162" t="str">
        <f t="shared" si="0"/>
        <v>TH_LAZADA</v>
      </c>
      <c r="C27" s="162" t="s">
        <v>4</v>
      </c>
      <c r="D27" s="162" t="s">
        <v>9</v>
      </c>
      <c r="E27" s="162" t="s">
        <v>230</v>
      </c>
      <c r="F27" s="162" t="s">
        <v>127</v>
      </c>
      <c r="G27" s="162" t="s">
        <v>127</v>
      </c>
      <c r="H27" s="192" t="s">
        <v>215</v>
      </c>
      <c r="I27" s="244" t="s">
        <v>216</v>
      </c>
      <c r="J27" s="164" t="s">
        <v>217</v>
      </c>
      <c r="K27" s="162" t="s">
        <v>199</v>
      </c>
      <c r="L27" s="162" t="s">
        <v>194</v>
      </c>
      <c r="M27" s="163">
        <v>45658</v>
      </c>
      <c r="N27" s="150">
        <v>20240305</v>
      </c>
      <c r="O27" s="150">
        <v>99991231</v>
      </c>
      <c r="P27" s="188" t="s">
        <v>126</v>
      </c>
      <c r="Q27" s="188" t="s">
        <v>126</v>
      </c>
      <c r="R27" s="188" t="s">
        <v>126</v>
      </c>
      <c r="S27" s="188" t="s">
        <v>126</v>
      </c>
      <c r="T27" s="188" t="s">
        <v>126</v>
      </c>
      <c r="U27" s="188" t="s">
        <v>126</v>
      </c>
      <c r="V27" s="188" t="s">
        <v>126</v>
      </c>
      <c r="W27" s="188" t="s">
        <v>126</v>
      </c>
      <c r="X27" s="188" t="s">
        <v>126</v>
      </c>
      <c r="Y27" s="188"/>
      <c r="Z27" s="188"/>
      <c r="AA27" s="189" t="s">
        <v>188</v>
      </c>
      <c r="AB27" s="188" t="s">
        <v>126</v>
      </c>
      <c r="AC27" s="188"/>
      <c r="AD27" s="188"/>
      <c r="AE27" s="188"/>
      <c r="AF27" s="188"/>
      <c r="AG27" s="164">
        <f t="shared" si="1"/>
        <v>5</v>
      </c>
      <c r="AH27" s="164">
        <f t="shared" si="2"/>
        <v>11</v>
      </c>
      <c r="AI27" s="160">
        <f>VLOOKUP(B27,'[15]rank 수집제한 리스트 (신,구)'!$F$3:$J$16,5,FALSE)</f>
        <v>300</v>
      </c>
      <c r="AJ27" s="160"/>
      <c r="AK27" s="167">
        <v>46081</v>
      </c>
      <c r="AL27" s="160" t="s">
        <v>189</v>
      </c>
      <c r="AM27" s="165"/>
    </row>
    <row r="28" spans="1:39" s="135" customFormat="1" hidden="1">
      <c r="A28" s="152"/>
      <c r="B28" s="162" t="str">
        <f t="shared" si="0"/>
        <v>TH_POWERBUY</v>
      </c>
      <c r="C28" s="162" t="s">
        <v>4</v>
      </c>
      <c r="D28" s="162" t="s">
        <v>9</v>
      </c>
      <c r="E28" s="162" t="s">
        <v>230</v>
      </c>
      <c r="F28" s="162" t="s">
        <v>127</v>
      </c>
      <c r="G28" s="162" t="s">
        <v>127</v>
      </c>
      <c r="H28" s="192" t="s">
        <v>233</v>
      </c>
      <c r="I28" s="193" t="s">
        <v>234</v>
      </c>
      <c r="J28" s="164" t="s">
        <v>204</v>
      </c>
      <c r="K28" s="162" t="s">
        <v>205</v>
      </c>
      <c r="L28" s="162" t="s">
        <v>194</v>
      </c>
      <c r="M28" s="163">
        <v>45658</v>
      </c>
      <c r="N28" s="150">
        <v>20230602</v>
      </c>
      <c r="O28" s="150">
        <v>99991231</v>
      </c>
      <c r="P28" s="188" t="s">
        <v>126</v>
      </c>
      <c r="Q28" s="188" t="s">
        <v>126</v>
      </c>
      <c r="R28" s="188" t="s">
        <v>126</v>
      </c>
      <c r="S28" s="189" t="s">
        <v>188</v>
      </c>
      <c r="T28" s="188" t="s">
        <v>126</v>
      </c>
      <c r="U28" s="188" t="s">
        <v>126</v>
      </c>
      <c r="V28" s="188" t="s">
        <v>126</v>
      </c>
      <c r="W28" s="188" t="s">
        <v>126</v>
      </c>
      <c r="X28" s="188" t="s">
        <v>126</v>
      </c>
      <c r="Y28" s="188"/>
      <c r="Z28" s="188"/>
      <c r="AA28" s="189" t="s">
        <v>188</v>
      </c>
      <c r="AB28" s="188"/>
      <c r="AC28" s="188"/>
      <c r="AD28" s="188"/>
      <c r="AE28" s="188"/>
      <c r="AF28" s="188"/>
      <c r="AG28" s="164">
        <f t="shared" si="1"/>
        <v>5</v>
      </c>
      <c r="AH28" s="164">
        <f t="shared" si="2"/>
        <v>10</v>
      </c>
      <c r="AI28" s="160" t="e">
        <f>VLOOKUP(B28,'[15]rank 수집제한 리스트 (신,구)'!$F$3:$J$16,5,FALSE)</f>
        <v>#N/A</v>
      </c>
      <c r="AJ28" s="160"/>
      <c r="AK28" s="167">
        <v>46081</v>
      </c>
      <c r="AL28" s="160" t="s">
        <v>189</v>
      </c>
    </row>
    <row r="29" spans="1:39" s="135" customFormat="1" hidden="1">
      <c r="A29" s="147"/>
      <c r="B29" s="231" t="str">
        <f t="shared" si="0"/>
        <v>TH_SS.com</v>
      </c>
      <c r="C29" s="166" t="s">
        <v>4</v>
      </c>
      <c r="D29" s="166" t="s">
        <v>9</v>
      </c>
      <c r="E29" s="166" t="s">
        <v>230</v>
      </c>
      <c r="F29" s="154"/>
      <c r="G29" s="154"/>
      <c r="H29" s="156" t="s">
        <v>184</v>
      </c>
      <c r="I29" s="156" t="s">
        <v>235</v>
      </c>
      <c r="J29" s="153" t="s">
        <v>186</v>
      </c>
      <c r="K29" s="157" t="s">
        <v>193</v>
      </c>
      <c r="L29" s="158" t="s">
        <v>194</v>
      </c>
      <c r="M29" s="159">
        <v>46023</v>
      </c>
      <c r="N29" s="158">
        <v>20260101</v>
      </c>
      <c r="O29" s="158">
        <v>99991231</v>
      </c>
      <c r="P29" s="191" t="s">
        <v>188</v>
      </c>
      <c r="Q29" s="191" t="s">
        <v>188</v>
      </c>
      <c r="R29" s="191" t="s">
        <v>188</v>
      </c>
      <c r="S29" s="191" t="s">
        <v>188</v>
      </c>
      <c r="T29" s="191" t="s">
        <v>188</v>
      </c>
      <c r="U29" s="191" t="s">
        <v>188</v>
      </c>
      <c r="V29" s="191" t="s">
        <v>188</v>
      </c>
      <c r="W29" s="191" t="s">
        <v>188</v>
      </c>
      <c r="X29" s="166"/>
      <c r="Y29" s="166"/>
      <c r="Z29" s="166"/>
      <c r="AA29" s="191" t="s">
        <v>188</v>
      </c>
      <c r="AB29" s="166"/>
      <c r="AC29" s="166"/>
      <c r="AD29" s="166"/>
      <c r="AE29" s="166"/>
      <c r="AF29" s="166"/>
      <c r="AG29" s="231">
        <f t="shared" si="1"/>
        <v>5</v>
      </c>
      <c r="AH29" s="231">
        <f t="shared" si="2"/>
        <v>9</v>
      </c>
      <c r="AI29" s="154" t="e">
        <f>VLOOKUP(B29,'[15]rank 수집제한 리스트 (신,구)'!$F$3:$J$16,5,FALSE)</f>
        <v>#N/A</v>
      </c>
      <c r="AJ29" s="154"/>
      <c r="AK29" s="232">
        <v>46081</v>
      </c>
      <c r="AL29" s="154" t="s">
        <v>189</v>
      </c>
    </row>
    <row r="30" spans="1:39" s="135" customFormat="1" hidden="1">
      <c r="A30" s="147"/>
      <c r="B30" s="231" t="str">
        <f t="shared" si="0"/>
        <v>TH_LG.com</v>
      </c>
      <c r="C30" s="166" t="s">
        <v>4</v>
      </c>
      <c r="D30" s="166" t="s">
        <v>9</v>
      </c>
      <c r="E30" s="166" t="s">
        <v>230</v>
      </c>
      <c r="F30" s="154"/>
      <c r="G30" s="154"/>
      <c r="H30" s="156" t="s">
        <v>190</v>
      </c>
      <c r="I30" s="156" t="s">
        <v>236</v>
      </c>
      <c r="J30" s="153" t="s">
        <v>192</v>
      </c>
      <c r="K30" s="157" t="s">
        <v>193</v>
      </c>
      <c r="L30" s="158" t="s">
        <v>194</v>
      </c>
      <c r="M30" s="159">
        <v>46023</v>
      </c>
      <c r="N30" s="158">
        <v>20260101</v>
      </c>
      <c r="O30" s="158">
        <v>99991231</v>
      </c>
      <c r="P30" s="191" t="s">
        <v>188</v>
      </c>
      <c r="Q30" s="191" t="s">
        <v>188</v>
      </c>
      <c r="R30" s="191" t="s">
        <v>188</v>
      </c>
      <c r="S30" s="191" t="s">
        <v>188</v>
      </c>
      <c r="T30" s="191" t="s">
        <v>188</v>
      </c>
      <c r="U30" s="191" t="s">
        <v>188</v>
      </c>
      <c r="V30" s="191" t="s">
        <v>188</v>
      </c>
      <c r="W30" s="191" t="s">
        <v>228</v>
      </c>
      <c r="X30" s="166"/>
      <c r="Y30" s="166"/>
      <c r="Z30" s="166"/>
      <c r="AA30" s="191" t="s">
        <v>188</v>
      </c>
      <c r="AB30" s="166"/>
      <c r="AC30" s="166"/>
      <c r="AD30" s="166"/>
      <c r="AE30" s="166"/>
      <c r="AF30" s="166"/>
      <c r="AG30" s="231">
        <f t="shared" si="1"/>
        <v>5</v>
      </c>
      <c r="AH30" s="231">
        <f t="shared" si="2"/>
        <v>8</v>
      </c>
      <c r="AI30" s="154" t="e">
        <f>VLOOKUP(B30,'[15]rank 수집제한 리스트 (신,구)'!$F$3:$J$16,5,FALSE)</f>
        <v>#N/A</v>
      </c>
      <c r="AJ30" s="233" t="s">
        <v>229</v>
      </c>
      <c r="AK30" s="232">
        <v>46081</v>
      </c>
      <c r="AL30" s="154" t="s">
        <v>189</v>
      </c>
    </row>
    <row r="31" spans="1:39" s="135" customFormat="1" ht="17.399999999999999" hidden="1">
      <c r="A31" s="152"/>
      <c r="B31" s="162" t="str">
        <f t="shared" si="0"/>
        <v>VN_CAOPHONG</v>
      </c>
      <c r="C31" s="162" t="s">
        <v>4</v>
      </c>
      <c r="D31" s="162" t="s">
        <v>12</v>
      </c>
      <c r="E31" s="162" t="s">
        <v>237</v>
      </c>
      <c r="F31" s="162" t="s">
        <v>127</v>
      </c>
      <c r="G31" s="162" t="s">
        <v>127</v>
      </c>
      <c r="H31" s="192" t="s">
        <v>238</v>
      </c>
      <c r="I31" s="244" t="s">
        <v>239</v>
      </c>
      <c r="J31" s="164" t="s">
        <v>204</v>
      </c>
      <c r="K31" s="162" t="s">
        <v>199</v>
      </c>
      <c r="L31" s="162" t="s">
        <v>194</v>
      </c>
      <c r="M31" s="163">
        <v>45658</v>
      </c>
      <c r="N31" s="150">
        <v>20220622</v>
      </c>
      <c r="O31" s="150">
        <v>99991231</v>
      </c>
      <c r="P31" s="188" t="s">
        <v>126</v>
      </c>
      <c r="Q31" s="188" t="s">
        <v>126</v>
      </c>
      <c r="R31" s="188" t="s">
        <v>126</v>
      </c>
      <c r="S31" s="188" t="s">
        <v>131</v>
      </c>
      <c r="T31" s="188" t="s">
        <v>126</v>
      </c>
      <c r="U31" s="188" t="s">
        <v>126</v>
      </c>
      <c r="V31" s="188" t="s">
        <v>126</v>
      </c>
      <c r="W31" s="188" t="s">
        <v>126</v>
      </c>
      <c r="X31" s="188" t="s">
        <v>126</v>
      </c>
      <c r="Y31" s="188"/>
      <c r="Z31" s="188"/>
      <c r="AA31" s="188" t="s">
        <v>126</v>
      </c>
      <c r="AB31" s="188" t="s">
        <v>126</v>
      </c>
      <c r="AC31" s="188"/>
      <c r="AD31" s="188"/>
      <c r="AE31" s="188" t="s">
        <v>126</v>
      </c>
      <c r="AF31" s="188"/>
      <c r="AG31" s="164">
        <f t="shared" si="1"/>
        <v>5</v>
      </c>
      <c r="AH31" s="164">
        <f t="shared" si="2"/>
        <v>12</v>
      </c>
      <c r="AI31" s="160" t="e">
        <f>VLOOKUP(B31,'[15]rank 수집제한 리스트 (신,구)'!$F$3:$J$16,5,FALSE)</f>
        <v>#N/A</v>
      </c>
      <c r="AJ31" s="234"/>
      <c r="AK31" s="167">
        <v>45875</v>
      </c>
      <c r="AL31" s="160" t="s">
        <v>189</v>
      </c>
      <c r="AM31" s="165"/>
    </row>
    <row r="32" spans="1:39" s="135" customFormat="1" hidden="1">
      <c r="A32" s="152"/>
      <c r="B32" s="162" t="str">
        <f t="shared" si="0"/>
        <v>VN_DIENMAYXANH</v>
      </c>
      <c r="C32" s="162" t="s">
        <v>4</v>
      </c>
      <c r="D32" s="162" t="s">
        <v>12</v>
      </c>
      <c r="E32" s="162" t="s">
        <v>237</v>
      </c>
      <c r="F32" s="162" t="s">
        <v>127</v>
      </c>
      <c r="G32" s="162" t="s">
        <v>127</v>
      </c>
      <c r="H32" s="192" t="s">
        <v>240</v>
      </c>
      <c r="I32" s="193" t="s">
        <v>241</v>
      </c>
      <c r="J32" s="164" t="s">
        <v>208</v>
      </c>
      <c r="K32" s="162" t="s">
        <v>205</v>
      </c>
      <c r="L32" s="162" t="s">
        <v>194</v>
      </c>
      <c r="M32" s="163">
        <v>45658</v>
      </c>
      <c r="N32" s="150">
        <v>20230520</v>
      </c>
      <c r="O32" s="150">
        <v>99991231</v>
      </c>
      <c r="P32" s="188" t="s">
        <v>126</v>
      </c>
      <c r="Q32" s="188" t="s">
        <v>126</v>
      </c>
      <c r="R32" s="188" t="s">
        <v>126</v>
      </c>
      <c r="S32" s="189" t="s">
        <v>188</v>
      </c>
      <c r="T32" s="188" t="s">
        <v>126</v>
      </c>
      <c r="U32" s="188" t="s">
        <v>126</v>
      </c>
      <c r="V32" s="188" t="s">
        <v>126</v>
      </c>
      <c r="W32" s="188" t="s">
        <v>126</v>
      </c>
      <c r="X32" s="188"/>
      <c r="Y32" s="188"/>
      <c r="Z32" s="188"/>
      <c r="AA32" s="189" t="s">
        <v>188</v>
      </c>
      <c r="AB32" s="188"/>
      <c r="AC32" s="188"/>
      <c r="AD32" s="188"/>
      <c r="AE32" s="188" t="s">
        <v>126</v>
      </c>
      <c r="AF32" s="188"/>
      <c r="AG32" s="164">
        <f t="shared" si="1"/>
        <v>5</v>
      </c>
      <c r="AH32" s="164">
        <f t="shared" si="2"/>
        <v>10</v>
      </c>
      <c r="AI32" s="160" t="e">
        <f>VLOOKUP(B32,'[15]rank 수집제한 리스트 (신,구)'!$F$3:$J$16,5,FALSE)</f>
        <v>#N/A</v>
      </c>
      <c r="AJ32" s="234"/>
      <c r="AK32" s="167">
        <v>46081</v>
      </c>
      <c r="AL32" s="160" t="s">
        <v>189</v>
      </c>
    </row>
    <row r="33" spans="1:39" s="135" customFormat="1" hidden="1">
      <c r="A33" s="152"/>
      <c r="B33" s="162" t="str">
        <f t="shared" si="0"/>
        <v>VN_MEDIAMART</v>
      </c>
      <c r="C33" s="162" t="s">
        <v>4</v>
      </c>
      <c r="D33" s="162" t="s">
        <v>12</v>
      </c>
      <c r="E33" s="162" t="s">
        <v>237</v>
      </c>
      <c r="F33" s="162" t="s">
        <v>127</v>
      </c>
      <c r="G33" s="162" t="s">
        <v>127</v>
      </c>
      <c r="H33" s="192" t="s">
        <v>242</v>
      </c>
      <c r="I33" s="193" t="s">
        <v>243</v>
      </c>
      <c r="J33" s="164" t="s">
        <v>208</v>
      </c>
      <c r="K33" s="162" t="s">
        <v>205</v>
      </c>
      <c r="L33" s="162" t="s">
        <v>194</v>
      </c>
      <c r="M33" s="163">
        <v>45658</v>
      </c>
      <c r="N33" s="150">
        <v>20230517</v>
      </c>
      <c r="O33" s="150">
        <v>99991231</v>
      </c>
      <c r="P33" s="188" t="s">
        <v>126</v>
      </c>
      <c r="Q33" s="188" t="s">
        <v>126</v>
      </c>
      <c r="R33" s="188" t="s">
        <v>126</v>
      </c>
      <c r="S33" s="188" t="s">
        <v>126</v>
      </c>
      <c r="T33" s="188" t="s">
        <v>126</v>
      </c>
      <c r="U33" s="188" t="s">
        <v>126</v>
      </c>
      <c r="V33" s="188" t="s">
        <v>126</v>
      </c>
      <c r="W33" s="188" t="s">
        <v>126</v>
      </c>
      <c r="X33" s="188" t="s">
        <v>126</v>
      </c>
      <c r="Y33" s="188"/>
      <c r="Z33" s="188"/>
      <c r="AA33" s="188" t="s">
        <v>126</v>
      </c>
      <c r="AB33" s="188"/>
      <c r="AC33" s="188"/>
      <c r="AD33" s="188"/>
      <c r="AE33" s="188" t="s">
        <v>126</v>
      </c>
      <c r="AF33" s="188"/>
      <c r="AG33" s="164">
        <f t="shared" si="1"/>
        <v>5</v>
      </c>
      <c r="AH33" s="164">
        <f t="shared" si="2"/>
        <v>11</v>
      </c>
      <c r="AI33" s="160" t="e">
        <f>VLOOKUP(B33,'[15]rank 수집제한 리스트 (신,구)'!$F$3:$J$16,5,FALSE)</f>
        <v>#N/A</v>
      </c>
      <c r="AJ33" s="160"/>
      <c r="AK33" s="161" t="s">
        <v>244</v>
      </c>
      <c r="AL33" s="160" t="s">
        <v>189</v>
      </c>
    </row>
    <row r="34" spans="1:39" s="135" customFormat="1" hidden="1">
      <c r="A34" s="147"/>
      <c r="B34" s="231" t="str">
        <f t="shared" si="0"/>
        <v>VN_SS.com</v>
      </c>
      <c r="C34" s="153" t="s">
        <v>2</v>
      </c>
      <c r="D34" s="166" t="s">
        <v>12</v>
      </c>
      <c r="E34" s="155" t="s">
        <v>245</v>
      </c>
      <c r="F34" s="154"/>
      <c r="G34" s="154"/>
      <c r="H34" s="156" t="s">
        <v>184</v>
      </c>
      <c r="I34" s="156" t="s">
        <v>246</v>
      </c>
      <c r="J34" s="153" t="s">
        <v>186</v>
      </c>
      <c r="K34" s="157" t="s">
        <v>193</v>
      </c>
      <c r="L34" s="158" t="s">
        <v>194</v>
      </c>
      <c r="M34" s="159">
        <v>46023</v>
      </c>
      <c r="N34" s="158">
        <v>20260101</v>
      </c>
      <c r="O34" s="158">
        <v>99991231</v>
      </c>
      <c r="P34" s="191" t="s">
        <v>195</v>
      </c>
      <c r="Q34" s="191" t="s">
        <v>195</v>
      </c>
      <c r="R34" s="191" t="s">
        <v>195</v>
      </c>
      <c r="S34" s="191" t="s">
        <v>195</v>
      </c>
      <c r="T34" s="191" t="s">
        <v>195</v>
      </c>
      <c r="U34" s="191" t="s">
        <v>195</v>
      </c>
      <c r="V34" s="191" t="s">
        <v>195</v>
      </c>
      <c r="W34" s="191" t="s">
        <v>195</v>
      </c>
      <c r="X34" s="166"/>
      <c r="Y34" s="166"/>
      <c r="Z34" s="166"/>
      <c r="AA34" s="191" t="s">
        <v>195</v>
      </c>
      <c r="AB34" s="166"/>
      <c r="AC34" s="166"/>
      <c r="AD34" s="166"/>
      <c r="AE34" s="166"/>
      <c r="AF34" s="166"/>
      <c r="AG34" s="231">
        <f t="shared" si="1"/>
        <v>5</v>
      </c>
      <c r="AH34" s="231">
        <f t="shared" si="2"/>
        <v>9</v>
      </c>
      <c r="AI34" s="154" t="e">
        <f>VLOOKUP(B34,'[15]rank 수집제한 리스트 (신,구)'!$F$3:$J$16,5,FALSE)</f>
        <v>#N/A</v>
      </c>
      <c r="AJ34" s="154"/>
      <c r="AK34" s="232">
        <v>46081</v>
      </c>
      <c r="AL34" s="154" t="s">
        <v>189</v>
      </c>
    </row>
    <row r="35" spans="1:39" s="135" customFormat="1" hidden="1">
      <c r="A35" s="147"/>
      <c r="B35" s="231" t="str">
        <f t="shared" si="0"/>
        <v>VN_LG.com</v>
      </c>
      <c r="C35" s="153" t="s">
        <v>2</v>
      </c>
      <c r="D35" s="166" t="s">
        <v>12</v>
      </c>
      <c r="E35" s="155" t="s">
        <v>245</v>
      </c>
      <c r="F35" s="154"/>
      <c r="G35" s="154"/>
      <c r="H35" s="156" t="s">
        <v>190</v>
      </c>
      <c r="I35" s="156" t="s">
        <v>247</v>
      </c>
      <c r="J35" s="153" t="s">
        <v>192</v>
      </c>
      <c r="K35" s="157" t="s">
        <v>193</v>
      </c>
      <c r="L35" s="158" t="s">
        <v>194</v>
      </c>
      <c r="M35" s="159">
        <v>46023</v>
      </c>
      <c r="N35" s="158">
        <v>20260101</v>
      </c>
      <c r="O35" s="158">
        <v>99991231</v>
      </c>
      <c r="P35" s="191" t="s">
        <v>195</v>
      </c>
      <c r="Q35" s="191" t="s">
        <v>195</v>
      </c>
      <c r="R35" s="191" t="s">
        <v>195</v>
      </c>
      <c r="S35" s="191" t="s">
        <v>195</v>
      </c>
      <c r="T35" s="191" t="s">
        <v>195</v>
      </c>
      <c r="U35" s="191" t="s">
        <v>195</v>
      </c>
      <c r="V35" s="191" t="s">
        <v>195</v>
      </c>
      <c r="W35" s="191" t="s">
        <v>195</v>
      </c>
      <c r="X35" s="166"/>
      <c r="Y35" s="166"/>
      <c r="Z35" s="166"/>
      <c r="AA35" s="191" t="s">
        <v>195</v>
      </c>
      <c r="AB35" s="166"/>
      <c r="AC35" s="166"/>
      <c r="AD35" s="166"/>
      <c r="AE35" s="166"/>
      <c r="AF35" s="166"/>
      <c r="AG35" s="231">
        <f t="shared" si="1"/>
        <v>5</v>
      </c>
      <c r="AH35" s="231">
        <f t="shared" si="2"/>
        <v>9</v>
      </c>
      <c r="AI35" s="154" t="e">
        <f>VLOOKUP(B35,'[15]rank 수집제한 리스트 (신,구)'!$F$3:$J$16,5,FALSE)</f>
        <v>#N/A</v>
      </c>
      <c r="AJ35" s="154"/>
      <c r="AK35" s="232">
        <v>46081</v>
      </c>
      <c r="AL35" s="154" t="s">
        <v>189</v>
      </c>
    </row>
    <row r="36" spans="1:39" s="135" customFormat="1" hidden="1">
      <c r="A36" s="152"/>
      <c r="B36" s="149" t="str">
        <f t="shared" si="0"/>
        <v>FR_SS.com</v>
      </c>
      <c r="C36" s="149" t="s">
        <v>15</v>
      </c>
      <c r="D36" s="149" t="s">
        <v>28</v>
      </c>
      <c r="E36" s="229" t="s">
        <v>248</v>
      </c>
      <c r="F36" s="149" t="s">
        <v>127</v>
      </c>
      <c r="G36" s="149" t="s">
        <v>183</v>
      </c>
      <c r="H36" s="230" t="s">
        <v>184</v>
      </c>
      <c r="I36" s="230" t="s">
        <v>249</v>
      </c>
      <c r="J36" s="149" t="s">
        <v>186</v>
      </c>
      <c r="K36" s="149" t="s">
        <v>187</v>
      </c>
      <c r="L36" s="150" t="s">
        <v>124</v>
      </c>
      <c r="M36" s="151">
        <v>45773</v>
      </c>
      <c r="N36" s="150">
        <v>20250425</v>
      </c>
      <c r="O36" s="150">
        <v>99991231</v>
      </c>
      <c r="P36" s="188" t="s">
        <v>126</v>
      </c>
      <c r="Q36" s="188" t="s">
        <v>126</v>
      </c>
      <c r="R36" s="188" t="s">
        <v>126</v>
      </c>
      <c r="S36" s="188" t="s">
        <v>126</v>
      </c>
      <c r="T36" s="189" t="s">
        <v>228</v>
      </c>
      <c r="U36" s="189" t="s">
        <v>188</v>
      </c>
      <c r="V36" s="189" t="s">
        <v>188</v>
      </c>
      <c r="W36" s="189" t="s">
        <v>188</v>
      </c>
      <c r="X36" s="188"/>
      <c r="Y36" s="188"/>
      <c r="Z36" s="188"/>
      <c r="AA36" s="188" t="s">
        <v>126</v>
      </c>
      <c r="AB36" s="188"/>
      <c r="AC36" s="188"/>
      <c r="AD36" s="188"/>
      <c r="AE36" s="188"/>
      <c r="AF36" s="188"/>
      <c r="AG36" s="164">
        <f t="shared" si="1"/>
        <v>4</v>
      </c>
      <c r="AH36" s="164">
        <f t="shared" si="2"/>
        <v>8</v>
      </c>
      <c r="AI36" s="160" t="e">
        <f>VLOOKUP(B36,'[15]rank 수집제한 리스트 (신,구)'!$F$3:$J$16,5,FALSE)</f>
        <v>#N/A</v>
      </c>
      <c r="AJ36" s="160" t="s">
        <v>250</v>
      </c>
      <c r="AK36" s="167">
        <v>46081</v>
      </c>
      <c r="AL36" s="160" t="s">
        <v>189</v>
      </c>
      <c r="AM36" s="165"/>
    </row>
    <row r="37" spans="1:39" s="135" customFormat="1" hidden="1">
      <c r="A37" s="152"/>
      <c r="B37" s="164" t="str">
        <f t="shared" si="0"/>
        <v>FR_BOULANGER</v>
      </c>
      <c r="C37" s="164" t="s">
        <v>14</v>
      </c>
      <c r="D37" s="164" t="s">
        <v>16</v>
      </c>
      <c r="E37" s="173" t="s">
        <v>251</v>
      </c>
      <c r="F37" s="164" t="s">
        <v>127</v>
      </c>
      <c r="G37" s="164" t="s">
        <v>127</v>
      </c>
      <c r="H37" s="193" t="s">
        <v>252</v>
      </c>
      <c r="I37" s="193" t="s">
        <v>253</v>
      </c>
      <c r="J37" s="164" t="s">
        <v>208</v>
      </c>
      <c r="K37" s="164" t="s">
        <v>205</v>
      </c>
      <c r="L37" s="162" t="s">
        <v>194</v>
      </c>
      <c r="M37" s="163">
        <v>45658</v>
      </c>
      <c r="N37" s="150">
        <v>20230401</v>
      </c>
      <c r="O37" s="150">
        <v>99991231</v>
      </c>
      <c r="P37" s="188" t="s">
        <v>126</v>
      </c>
      <c r="Q37" s="188" t="s">
        <v>126</v>
      </c>
      <c r="R37" s="188" t="s">
        <v>126</v>
      </c>
      <c r="S37" s="188" t="s">
        <v>126</v>
      </c>
      <c r="T37" s="189" t="s">
        <v>188</v>
      </c>
      <c r="U37" s="188" t="s">
        <v>126</v>
      </c>
      <c r="V37" s="188" t="s">
        <v>126</v>
      </c>
      <c r="W37" s="188" t="s">
        <v>126</v>
      </c>
      <c r="X37" s="188"/>
      <c r="Y37" s="188"/>
      <c r="Z37" s="188" t="s">
        <v>126</v>
      </c>
      <c r="AA37" s="189" t="s">
        <v>188</v>
      </c>
      <c r="AB37" s="188" t="s">
        <v>126</v>
      </c>
      <c r="AC37" s="188"/>
      <c r="AD37" s="188" t="s">
        <v>126</v>
      </c>
      <c r="AE37" s="188"/>
      <c r="AF37" s="188"/>
      <c r="AG37" s="164">
        <f t="shared" si="1"/>
        <v>5</v>
      </c>
      <c r="AH37" s="164">
        <f t="shared" si="2"/>
        <v>12</v>
      </c>
      <c r="AI37" s="160" t="e">
        <f>VLOOKUP(B37,'[15]rank 수집제한 리스트 (신,구)'!$F$3:$J$16,5,FALSE)</f>
        <v>#N/A</v>
      </c>
      <c r="AJ37" s="160"/>
      <c r="AK37" s="167">
        <v>46081</v>
      </c>
      <c r="AL37" s="160" t="s">
        <v>189</v>
      </c>
    </row>
    <row r="38" spans="1:39" s="135" customFormat="1" hidden="1">
      <c r="A38" s="152"/>
      <c r="B38" s="164" t="str">
        <f t="shared" si="0"/>
        <v>FR_DARTY</v>
      </c>
      <c r="C38" s="164" t="s">
        <v>14</v>
      </c>
      <c r="D38" s="164" t="s">
        <v>16</v>
      </c>
      <c r="E38" s="173" t="s">
        <v>251</v>
      </c>
      <c r="F38" s="164" t="s">
        <v>127</v>
      </c>
      <c r="G38" s="164" t="s">
        <v>127</v>
      </c>
      <c r="H38" s="193" t="s">
        <v>254</v>
      </c>
      <c r="I38" s="193" t="s">
        <v>255</v>
      </c>
      <c r="J38" s="149" t="s">
        <v>224</v>
      </c>
      <c r="K38" s="164" t="s">
        <v>205</v>
      </c>
      <c r="L38" s="162" t="s">
        <v>194</v>
      </c>
      <c r="M38" s="163">
        <v>45658</v>
      </c>
      <c r="N38" s="150">
        <v>20230410</v>
      </c>
      <c r="O38" s="150">
        <v>99991231</v>
      </c>
      <c r="P38" s="188" t="s">
        <v>126</v>
      </c>
      <c r="Q38" s="188" t="s">
        <v>126</v>
      </c>
      <c r="R38" s="188" t="s">
        <v>126</v>
      </c>
      <c r="S38" s="188" t="s">
        <v>126</v>
      </c>
      <c r="T38" s="189" t="s">
        <v>188</v>
      </c>
      <c r="U38" s="188" t="s">
        <v>126</v>
      </c>
      <c r="V38" s="188" t="s">
        <v>126</v>
      </c>
      <c r="W38" s="188" t="s">
        <v>126</v>
      </c>
      <c r="X38" s="188"/>
      <c r="Y38" s="188"/>
      <c r="Z38" s="188" t="s">
        <v>126</v>
      </c>
      <c r="AA38" s="189" t="s">
        <v>188</v>
      </c>
      <c r="AB38" s="188" t="s">
        <v>126</v>
      </c>
      <c r="AC38" s="188"/>
      <c r="AD38" s="188" t="s">
        <v>126</v>
      </c>
      <c r="AE38" s="188"/>
      <c r="AF38" s="188"/>
      <c r="AG38" s="164">
        <f t="shared" si="1"/>
        <v>5</v>
      </c>
      <c r="AH38" s="164">
        <f t="shared" si="2"/>
        <v>12</v>
      </c>
      <c r="AI38" s="160">
        <f>VLOOKUP(B38,'[15]rank 수집제한 리스트 (신,구)'!$F$3:$J$16,5,FALSE)</f>
        <v>300</v>
      </c>
      <c r="AJ38" s="160"/>
      <c r="AK38" s="167">
        <v>46081</v>
      </c>
      <c r="AL38" s="160" t="s">
        <v>189</v>
      </c>
    </row>
    <row r="39" spans="1:39" s="135" customFormat="1" hidden="1">
      <c r="A39" s="152"/>
      <c r="B39" s="162" t="str">
        <f t="shared" si="0"/>
        <v>FR_FNAC</v>
      </c>
      <c r="C39" s="162" t="s">
        <v>14</v>
      </c>
      <c r="D39" s="162" t="s">
        <v>16</v>
      </c>
      <c r="E39" s="162" t="s">
        <v>251</v>
      </c>
      <c r="F39" s="162" t="s">
        <v>127</v>
      </c>
      <c r="G39" s="162" t="s">
        <v>127</v>
      </c>
      <c r="H39" s="192" t="s">
        <v>256</v>
      </c>
      <c r="I39" s="193" t="s">
        <v>257</v>
      </c>
      <c r="J39" s="149" t="s">
        <v>224</v>
      </c>
      <c r="K39" s="162" t="s">
        <v>205</v>
      </c>
      <c r="L39" s="162" t="s">
        <v>194</v>
      </c>
      <c r="M39" s="163">
        <v>45658</v>
      </c>
      <c r="N39" s="150">
        <v>20220928</v>
      </c>
      <c r="O39" s="150">
        <v>99991231</v>
      </c>
      <c r="P39" s="188" t="s">
        <v>126</v>
      </c>
      <c r="Q39" s="188" t="s">
        <v>126</v>
      </c>
      <c r="R39" s="188" t="s">
        <v>126</v>
      </c>
      <c r="S39" s="188" t="s">
        <v>126</v>
      </c>
      <c r="T39" s="189" t="s">
        <v>200</v>
      </c>
      <c r="U39" s="188" t="s">
        <v>126</v>
      </c>
      <c r="V39" s="188" t="s">
        <v>126</v>
      </c>
      <c r="W39" s="188" t="s">
        <v>126</v>
      </c>
      <c r="X39" s="188"/>
      <c r="Y39" s="188"/>
      <c r="Z39" s="188" t="s">
        <v>126</v>
      </c>
      <c r="AA39" s="189" t="s">
        <v>188</v>
      </c>
      <c r="AB39" s="188"/>
      <c r="AC39" s="188"/>
      <c r="AD39" s="188" t="s">
        <v>126</v>
      </c>
      <c r="AE39" s="188"/>
      <c r="AF39" s="188"/>
      <c r="AG39" s="164">
        <f t="shared" si="1"/>
        <v>5</v>
      </c>
      <c r="AH39" s="164">
        <f t="shared" si="2"/>
        <v>11</v>
      </c>
      <c r="AI39" s="160">
        <f>VLOOKUP(B39,'[15]rank 수집제한 리스트 (신,구)'!$F$3:$J$16,5,FALSE)</f>
        <v>500</v>
      </c>
      <c r="AJ39" s="160"/>
      <c r="AK39" s="167">
        <v>46081</v>
      </c>
      <c r="AL39" s="160" t="s">
        <v>189</v>
      </c>
    </row>
    <row r="40" spans="1:39" s="135" customFormat="1" hidden="1">
      <c r="A40" s="147"/>
      <c r="B40" s="231" t="str">
        <f t="shared" si="0"/>
        <v>FR_LG.com</v>
      </c>
      <c r="C40" s="153" t="s">
        <v>15</v>
      </c>
      <c r="D40" s="153" t="s">
        <v>28</v>
      </c>
      <c r="E40" s="155" t="s">
        <v>248</v>
      </c>
      <c r="F40" s="154"/>
      <c r="G40" s="154"/>
      <c r="H40" s="156" t="s">
        <v>190</v>
      </c>
      <c r="I40" s="156" t="s">
        <v>258</v>
      </c>
      <c r="J40" s="153" t="s">
        <v>192</v>
      </c>
      <c r="K40" s="157" t="s">
        <v>193</v>
      </c>
      <c r="L40" s="158" t="s">
        <v>194</v>
      </c>
      <c r="M40" s="159">
        <v>46024</v>
      </c>
      <c r="N40" s="158">
        <v>20260102</v>
      </c>
      <c r="O40" s="158">
        <v>99991231</v>
      </c>
      <c r="P40" s="191" t="s">
        <v>188</v>
      </c>
      <c r="Q40" s="191" t="s">
        <v>188</v>
      </c>
      <c r="R40" s="191" t="s">
        <v>188</v>
      </c>
      <c r="S40" s="191" t="s">
        <v>188</v>
      </c>
      <c r="T40" s="191" t="s">
        <v>188</v>
      </c>
      <c r="U40" s="191" t="s">
        <v>188</v>
      </c>
      <c r="V40" s="191" t="s">
        <v>188</v>
      </c>
      <c r="W40" s="191" t="s">
        <v>188</v>
      </c>
      <c r="X40" s="166"/>
      <c r="Y40" s="166"/>
      <c r="Z40" s="166"/>
      <c r="AA40" s="191" t="s">
        <v>188</v>
      </c>
      <c r="AB40" s="166"/>
      <c r="AC40" s="166"/>
      <c r="AD40" s="166"/>
      <c r="AE40" s="166"/>
      <c r="AF40" s="166"/>
      <c r="AG40" s="231">
        <f t="shared" si="1"/>
        <v>5</v>
      </c>
      <c r="AH40" s="231">
        <f t="shared" si="2"/>
        <v>9</v>
      </c>
      <c r="AI40" s="154" t="e">
        <f>VLOOKUP(B40,'[15]rank 수집제한 리스트 (신,구)'!$F$3:$J$16,5,FALSE)</f>
        <v>#N/A</v>
      </c>
      <c r="AJ40" s="154"/>
      <c r="AK40" s="232">
        <v>46081</v>
      </c>
      <c r="AL40" s="154" t="s">
        <v>189</v>
      </c>
    </row>
    <row r="41" spans="1:39" s="135" customFormat="1" hidden="1">
      <c r="A41" s="152"/>
      <c r="B41" s="149" t="str">
        <f t="shared" si="0"/>
        <v>DE_SS.com</v>
      </c>
      <c r="C41" s="149" t="s">
        <v>15</v>
      </c>
      <c r="D41" s="149" t="s">
        <v>31</v>
      </c>
      <c r="E41" s="229" t="s">
        <v>259</v>
      </c>
      <c r="F41" s="149" t="s">
        <v>127</v>
      </c>
      <c r="G41" s="149" t="s">
        <v>183</v>
      </c>
      <c r="H41" s="230" t="s">
        <v>184</v>
      </c>
      <c r="I41" s="230" t="s">
        <v>260</v>
      </c>
      <c r="J41" s="149" t="s">
        <v>186</v>
      </c>
      <c r="K41" s="149" t="s">
        <v>187</v>
      </c>
      <c r="L41" s="150" t="s">
        <v>124</v>
      </c>
      <c r="M41" s="151">
        <v>45771</v>
      </c>
      <c r="N41" s="150">
        <v>20250422</v>
      </c>
      <c r="O41" s="150">
        <v>99991231</v>
      </c>
      <c r="P41" s="188" t="s">
        <v>126</v>
      </c>
      <c r="Q41" s="188" t="s">
        <v>126</v>
      </c>
      <c r="R41" s="188" t="s">
        <v>126</v>
      </c>
      <c r="S41" s="188" t="s">
        <v>126</v>
      </c>
      <c r="T41" s="189" t="s">
        <v>228</v>
      </c>
      <c r="U41" s="189" t="s">
        <v>188</v>
      </c>
      <c r="V41" s="189" t="s">
        <v>188</v>
      </c>
      <c r="W41" s="189" t="s">
        <v>188</v>
      </c>
      <c r="X41" s="188"/>
      <c r="Y41" s="188"/>
      <c r="Z41" s="188"/>
      <c r="AA41" s="188" t="s">
        <v>126</v>
      </c>
      <c r="AB41" s="188"/>
      <c r="AC41" s="188"/>
      <c r="AD41" s="188"/>
      <c r="AE41" s="188"/>
      <c r="AF41" s="188"/>
      <c r="AG41" s="164">
        <f t="shared" si="1"/>
        <v>4</v>
      </c>
      <c r="AH41" s="164">
        <f t="shared" si="2"/>
        <v>8</v>
      </c>
      <c r="AI41" s="160" t="e">
        <f>VLOOKUP(B41,'[15]rank 수집제한 리스트 (신,구)'!$F$3:$J$16,5,FALSE)</f>
        <v>#N/A</v>
      </c>
      <c r="AJ41" s="160" t="s">
        <v>250</v>
      </c>
      <c r="AK41" s="167">
        <v>46081</v>
      </c>
      <c r="AL41" s="160" t="s">
        <v>189</v>
      </c>
      <c r="AM41" s="165"/>
    </row>
    <row r="42" spans="1:39" s="135" customFormat="1" hidden="1">
      <c r="A42" s="152"/>
      <c r="B42" s="150" t="str">
        <f t="shared" si="0"/>
        <v>DE_AMAZON</v>
      </c>
      <c r="C42" s="150" t="s">
        <v>14</v>
      </c>
      <c r="D42" s="150" t="s">
        <v>18</v>
      </c>
      <c r="E42" s="150" t="s">
        <v>261</v>
      </c>
      <c r="F42" s="150" t="s">
        <v>127</v>
      </c>
      <c r="G42" s="150" t="s">
        <v>127</v>
      </c>
      <c r="H42" s="235" t="s">
        <v>262</v>
      </c>
      <c r="I42" s="230" t="s">
        <v>263</v>
      </c>
      <c r="J42" s="149" t="s">
        <v>198</v>
      </c>
      <c r="K42" s="150" t="s">
        <v>199</v>
      </c>
      <c r="L42" s="150" t="s">
        <v>194</v>
      </c>
      <c r="M42" s="151">
        <v>45744</v>
      </c>
      <c r="N42" s="150">
        <v>20230301</v>
      </c>
      <c r="O42" s="150">
        <v>99991231</v>
      </c>
      <c r="P42" s="188" t="s">
        <v>126</v>
      </c>
      <c r="Q42" s="188" t="s">
        <v>126</v>
      </c>
      <c r="R42" s="188" t="s">
        <v>126</v>
      </c>
      <c r="S42" s="188" t="s">
        <v>126</v>
      </c>
      <c r="T42" s="189" t="s">
        <v>188</v>
      </c>
      <c r="U42" s="188" t="s">
        <v>126</v>
      </c>
      <c r="V42" s="188" t="s">
        <v>126</v>
      </c>
      <c r="W42" s="188" t="s">
        <v>126</v>
      </c>
      <c r="X42" s="188"/>
      <c r="Y42" s="188"/>
      <c r="Z42" s="188"/>
      <c r="AA42" s="189" t="s">
        <v>188</v>
      </c>
      <c r="AB42" s="188" t="s">
        <v>126</v>
      </c>
      <c r="AC42" s="188"/>
      <c r="AD42" s="188" t="s">
        <v>126</v>
      </c>
      <c r="AE42" s="188"/>
      <c r="AF42" s="188"/>
      <c r="AG42" s="164">
        <f t="shared" si="1"/>
        <v>5</v>
      </c>
      <c r="AH42" s="164">
        <f t="shared" si="2"/>
        <v>11</v>
      </c>
      <c r="AI42" s="160" t="e">
        <f>VLOOKUP(B42,'[15]rank 수집제한 리스트 (신,구)'!$F$3:$J$16,5,FALSE)</f>
        <v>#N/A</v>
      </c>
      <c r="AJ42" s="160"/>
      <c r="AK42" s="167">
        <v>46081</v>
      </c>
      <c r="AL42" s="160" t="s">
        <v>189</v>
      </c>
    </row>
    <row r="43" spans="1:39" s="135" customFormat="1" ht="17.399999999999999" hidden="1">
      <c r="A43" s="152"/>
      <c r="B43" s="162" t="str">
        <f t="shared" si="0"/>
        <v>DE_MEDIAMARKT</v>
      </c>
      <c r="C43" s="162" t="s">
        <v>14</v>
      </c>
      <c r="D43" s="162" t="s">
        <v>18</v>
      </c>
      <c r="E43" s="162" t="s">
        <v>261</v>
      </c>
      <c r="F43" s="162" t="s">
        <v>127</v>
      </c>
      <c r="G43" s="162" t="s">
        <v>127</v>
      </c>
      <c r="H43" s="192" t="s">
        <v>264</v>
      </c>
      <c r="I43" s="244" t="s">
        <v>265</v>
      </c>
      <c r="J43" s="149" t="s">
        <v>208</v>
      </c>
      <c r="K43" s="162" t="s">
        <v>205</v>
      </c>
      <c r="L43" s="162" t="s">
        <v>194</v>
      </c>
      <c r="M43" s="163">
        <v>45658</v>
      </c>
      <c r="N43" s="150">
        <v>20230301</v>
      </c>
      <c r="O43" s="150">
        <v>99991231</v>
      </c>
      <c r="P43" s="188" t="s">
        <v>126</v>
      </c>
      <c r="Q43" s="188" t="s">
        <v>126</v>
      </c>
      <c r="R43" s="188" t="s">
        <v>126</v>
      </c>
      <c r="S43" s="188" t="s">
        <v>126</v>
      </c>
      <c r="T43" s="189" t="s">
        <v>188</v>
      </c>
      <c r="U43" s="188" t="s">
        <v>126</v>
      </c>
      <c r="V43" s="188" t="s">
        <v>126</v>
      </c>
      <c r="W43" s="188" t="s">
        <v>126</v>
      </c>
      <c r="X43" s="188"/>
      <c r="Y43" s="188"/>
      <c r="Z43" s="188"/>
      <c r="AA43" s="189" t="s">
        <v>188</v>
      </c>
      <c r="AB43" s="188" t="s">
        <v>126</v>
      </c>
      <c r="AC43" s="188"/>
      <c r="AD43" s="188" t="s">
        <v>126</v>
      </c>
      <c r="AE43" s="188"/>
      <c r="AF43" s="188"/>
      <c r="AG43" s="164">
        <f t="shared" si="1"/>
        <v>5</v>
      </c>
      <c r="AH43" s="164">
        <f t="shared" si="2"/>
        <v>11</v>
      </c>
      <c r="AI43" s="160" t="e">
        <f>VLOOKUP(B43,'[15]rank 수집제한 리스트 (신,구)'!$F$3:$J$16,5,FALSE)</f>
        <v>#N/A</v>
      </c>
      <c r="AJ43" s="160"/>
      <c r="AK43" s="167">
        <v>46081</v>
      </c>
      <c r="AL43" s="160" t="s">
        <v>189</v>
      </c>
    </row>
    <row r="44" spans="1:39" s="135" customFormat="1" hidden="1">
      <c r="A44" s="152"/>
      <c r="B44" s="162" t="str">
        <f t="shared" si="0"/>
        <v>DE_OTTO</v>
      </c>
      <c r="C44" s="162" t="s">
        <v>14</v>
      </c>
      <c r="D44" s="162" t="s">
        <v>18</v>
      </c>
      <c r="E44" s="162" t="s">
        <v>261</v>
      </c>
      <c r="F44" s="162" t="s">
        <v>127</v>
      </c>
      <c r="G44" s="162" t="s">
        <v>127</v>
      </c>
      <c r="H44" s="192" t="s">
        <v>266</v>
      </c>
      <c r="I44" s="193" t="s">
        <v>267</v>
      </c>
      <c r="J44" s="149" t="s">
        <v>198</v>
      </c>
      <c r="K44" s="162" t="s">
        <v>205</v>
      </c>
      <c r="L44" s="162" t="s">
        <v>194</v>
      </c>
      <c r="M44" s="163">
        <v>45658</v>
      </c>
      <c r="N44" s="150">
        <v>20230401</v>
      </c>
      <c r="O44" s="150">
        <v>99991231</v>
      </c>
      <c r="P44" s="188" t="s">
        <v>126</v>
      </c>
      <c r="Q44" s="188" t="s">
        <v>126</v>
      </c>
      <c r="R44" s="188" t="s">
        <v>126</v>
      </c>
      <c r="S44" s="188" t="s">
        <v>126</v>
      </c>
      <c r="T44" s="189" t="s">
        <v>188</v>
      </c>
      <c r="U44" s="188" t="s">
        <v>126</v>
      </c>
      <c r="V44" s="188" t="s">
        <v>126</v>
      </c>
      <c r="W44" s="188" t="s">
        <v>126</v>
      </c>
      <c r="X44" s="188"/>
      <c r="Y44" s="188"/>
      <c r="Z44" s="188"/>
      <c r="AA44" s="189" t="s">
        <v>188</v>
      </c>
      <c r="AB44" s="188" t="s">
        <v>126</v>
      </c>
      <c r="AC44" s="188"/>
      <c r="AD44" s="188" t="s">
        <v>126</v>
      </c>
      <c r="AE44" s="188"/>
      <c r="AF44" s="188"/>
      <c r="AG44" s="164">
        <f t="shared" si="1"/>
        <v>5</v>
      </c>
      <c r="AH44" s="164">
        <f t="shared" si="2"/>
        <v>11</v>
      </c>
      <c r="AI44" s="160" t="e">
        <f>VLOOKUP(B44,'[15]rank 수집제한 리스트 (신,구)'!$F$3:$J$16,5,FALSE)</f>
        <v>#N/A</v>
      </c>
      <c r="AJ44" s="160"/>
      <c r="AK44" s="167">
        <v>46081</v>
      </c>
      <c r="AL44" s="160" t="s">
        <v>189</v>
      </c>
    </row>
    <row r="45" spans="1:39" s="135" customFormat="1" hidden="1">
      <c r="A45" s="147"/>
      <c r="B45" s="231" t="str">
        <f t="shared" ref="B45:B76" si="3">E45&amp;"_"&amp;H45</f>
        <v>DE_LG.com</v>
      </c>
      <c r="C45" s="168" t="s">
        <v>15</v>
      </c>
      <c r="D45" s="168" t="s">
        <v>31</v>
      </c>
      <c r="E45" s="155" t="s">
        <v>259</v>
      </c>
      <c r="F45" s="154"/>
      <c r="G45" s="154"/>
      <c r="H45" s="156" t="s">
        <v>190</v>
      </c>
      <c r="I45" s="156" t="s">
        <v>268</v>
      </c>
      <c r="J45" s="153" t="s">
        <v>192</v>
      </c>
      <c r="K45" s="157" t="s">
        <v>193</v>
      </c>
      <c r="L45" s="158" t="s">
        <v>194</v>
      </c>
      <c r="M45" s="159">
        <v>46023</v>
      </c>
      <c r="N45" s="158">
        <v>20260101</v>
      </c>
      <c r="O45" s="158">
        <v>99991231</v>
      </c>
      <c r="P45" s="191" t="s">
        <v>188</v>
      </c>
      <c r="Q45" s="191" t="s">
        <v>188</v>
      </c>
      <c r="R45" s="191" t="s">
        <v>188</v>
      </c>
      <c r="S45" s="191" t="s">
        <v>188</v>
      </c>
      <c r="T45" s="191" t="s">
        <v>188</v>
      </c>
      <c r="U45" s="191" t="s">
        <v>188</v>
      </c>
      <c r="V45" s="191" t="s">
        <v>188</v>
      </c>
      <c r="W45" s="191" t="s">
        <v>188</v>
      </c>
      <c r="X45" s="166"/>
      <c r="Y45" s="166"/>
      <c r="Z45" s="166"/>
      <c r="AA45" s="191" t="s">
        <v>188</v>
      </c>
      <c r="AB45" s="166"/>
      <c r="AC45" s="166"/>
      <c r="AD45" s="166"/>
      <c r="AE45" s="166"/>
      <c r="AF45" s="166"/>
      <c r="AG45" s="231">
        <f t="shared" si="1"/>
        <v>5</v>
      </c>
      <c r="AH45" s="231">
        <f t="shared" si="2"/>
        <v>9</v>
      </c>
      <c r="AI45" s="154" t="e">
        <f>VLOOKUP(B45,'[15]rank 수집제한 리스트 (신,구)'!$F$3:$J$16,5,FALSE)</f>
        <v>#N/A</v>
      </c>
      <c r="AJ45" s="154"/>
      <c r="AK45" s="232">
        <v>46081</v>
      </c>
      <c r="AL45" s="154" t="s">
        <v>189</v>
      </c>
    </row>
    <row r="46" spans="1:39" s="135" customFormat="1" hidden="1">
      <c r="A46" s="152"/>
      <c r="B46" s="149" t="str">
        <f t="shared" si="3"/>
        <v>IT_SS.com</v>
      </c>
      <c r="C46" s="149" t="s">
        <v>15</v>
      </c>
      <c r="D46" s="149" t="s">
        <v>36</v>
      </c>
      <c r="E46" s="229" t="s">
        <v>269</v>
      </c>
      <c r="F46" s="149" t="s">
        <v>127</v>
      </c>
      <c r="G46" s="149" t="s">
        <v>183</v>
      </c>
      <c r="H46" s="230" t="s">
        <v>184</v>
      </c>
      <c r="I46" s="230" t="s">
        <v>270</v>
      </c>
      <c r="J46" s="149" t="s">
        <v>186</v>
      </c>
      <c r="K46" s="149" t="s">
        <v>187</v>
      </c>
      <c r="L46" s="150" t="s">
        <v>124</v>
      </c>
      <c r="M46" s="151">
        <v>45773</v>
      </c>
      <c r="N46" s="150">
        <v>20250425</v>
      </c>
      <c r="O46" s="150">
        <v>99991231</v>
      </c>
      <c r="P46" s="188" t="s">
        <v>126</v>
      </c>
      <c r="Q46" s="188" t="s">
        <v>126</v>
      </c>
      <c r="R46" s="188" t="s">
        <v>126</v>
      </c>
      <c r="S46" s="188" t="s">
        <v>126</v>
      </c>
      <c r="T46" s="189" t="s">
        <v>228</v>
      </c>
      <c r="U46" s="189" t="s">
        <v>188</v>
      </c>
      <c r="V46" s="189" t="s">
        <v>188</v>
      </c>
      <c r="W46" s="189" t="s">
        <v>188</v>
      </c>
      <c r="X46" s="188"/>
      <c r="Y46" s="188"/>
      <c r="Z46" s="188"/>
      <c r="AA46" s="188" t="s">
        <v>126</v>
      </c>
      <c r="AB46" s="188"/>
      <c r="AC46" s="188"/>
      <c r="AD46" s="188"/>
      <c r="AE46" s="188"/>
      <c r="AF46" s="188"/>
      <c r="AG46" s="164">
        <f t="shared" si="1"/>
        <v>4</v>
      </c>
      <c r="AH46" s="164">
        <f t="shared" si="2"/>
        <v>8</v>
      </c>
      <c r="AI46" s="160" t="e">
        <f>VLOOKUP(B46,'[15]rank 수집제한 리스트 (신,구)'!$F$3:$J$16,5,FALSE)</f>
        <v>#N/A</v>
      </c>
      <c r="AJ46" s="160" t="s">
        <v>250</v>
      </c>
      <c r="AK46" s="167">
        <v>46081</v>
      </c>
      <c r="AL46" s="160" t="s">
        <v>189</v>
      </c>
      <c r="AM46" s="165"/>
    </row>
    <row r="47" spans="1:39" s="135" customFormat="1" hidden="1">
      <c r="A47" s="152"/>
      <c r="B47" s="164" t="str">
        <f t="shared" si="3"/>
        <v>IT_AMAZON</v>
      </c>
      <c r="C47" s="164" t="s">
        <v>14</v>
      </c>
      <c r="D47" s="164" t="s">
        <v>20</v>
      </c>
      <c r="E47" s="173" t="s">
        <v>271</v>
      </c>
      <c r="F47" s="164" t="s">
        <v>127</v>
      </c>
      <c r="G47" s="164" t="s">
        <v>127</v>
      </c>
      <c r="H47" s="193" t="s">
        <v>262</v>
      </c>
      <c r="I47" s="193" t="s">
        <v>272</v>
      </c>
      <c r="J47" s="164" t="s">
        <v>198</v>
      </c>
      <c r="K47" s="164" t="s">
        <v>199</v>
      </c>
      <c r="L47" s="162" t="s">
        <v>194</v>
      </c>
      <c r="M47" s="163">
        <v>45658</v>
      </c>
      <c r="N47" s="150">
        <v>20220901</v>
      </c>
      <c r="O47" s="150">
        <v>99991231</v>
      </c>
      <c r="P47" s="188" t="s">
        <v>126</v>
      </c>
      <c r="Q47" s="188" t="s">
        <v>126</v>
      </c>
      <c r="R47" s="188" t="s">
        <v>126</v>
      </c>
      <c r="S47" s="188" t="s">
        <v>126</v>
      </c>
      <c r="T47" s="189" t="s">
        <v>188</v>
      </c>
      <c r="U47" s="188" t="s">
        <v>126</v>
      </c>
      <c r="V47" s="188" t="s">
        <v>126</v>
      </c>
      <c r="W47" s="188" t="s">
        <v>126</v>
      </c>
      <c r="X47" s="188"/>
      <c r="Y47" s="188"/>
      <c r="Z47" s="188"/>
      <c r="AA47" s="189" t="s">
        <v>188</v>
      </c>
      <c r="AB47" s="188" t="s">
        <v>126</v>
      </c>
      <c r="AC47" s="188"/>
      <c r="AD47" s="188" t="s">
        <v>126</v>
      </c>
      <c r="AE47" s="188"/>
      <c r="AF47" s="188"/>
      <c r="AG47" s="164">
        <f t="shared" si="1"/>
        <v>5</v>
      </c>
      <c r="AH47" s="164">
        <f t="shared" si="2"/>
        <v>11</v>
      </c>
      <c r="AI47" s="160" t="e">
        <f>VLOOKUP(B47,'[15]rank 수집제한 리스트 (신,구)'!$F$3:$J$16,5,FALSE)</f>
        <v>#N/A</v>
      </c>
      <c r="AJ47" s="160"/>
      <c r="AK47" s="167">
        <v>46081</v>
      </c>
      <c r="AL47" s="160" t="s">
        <v>189</v>
      </c>
      <c r="AM47" s="165"/>
    </row>
    <row r="48" spans="1:39" s="135" customFormat="1" hidden="1">
      <c r="A48" s="152"/>
      <c r="B48" s="162" t="str">
        <f t="shared" si="3"/>
        <v>IT_MEDIAWORLD</v>
      </c>
      <c r="C48" s="162" t="s">
        <v>14</v>
      </c>
      <c r="D48" s="162" t="s">
        <v>20</v>
      </c>
      <c r="E48" s="162" t="s">
        <v>271</v>
      </c>
      <c r="F48" s="162" t="s">
        <v>127</v>
      </c>
      <c r="G48" s="162" t="s">
        <v>127</v>
      </c>
      <c r="H48" s="192" t="s">
        <v>273</v>
      </c>
      <c r="I48" s="193" t="s">
        <v>274</v>
      </c>
      <c r="J48" s="149" t="s">
        <v>204</v>
      </c>
      <c r="K48" s="162" t="s">
        <v>205</v>
      </c>
      <c r="L48" s="162" t="s">
        <v>194</v>
      </c>
      <c r="M48" s="163">
        <v>45658</v>
      </c>
      <c r="N48" s="150">
        <v>20230301</v>
      </c>
      <c r="O48" s="150">
        <v>99991231</v>
      </c>
      <c r="P48" s="188" t="s">
        <v>126</v>
      </c>
      <c r="Q48" s="188" t="s">
        <v>126</v>
      </c>
      <c r="R48" s="188" t="s">
        <v>126</v>
      </c>
      <c r="S48" s="188" t="s">
        <v>126</v>
      </c>
      <c r="T48" s="189" t="s">
        <v>188</v>
      </c>
      <c r="U48" s="188" t="s">
        <v>126</v>
      </c>
      <c r="V48" s="188" t="s">
        <v>126</v>
      </c>
      <c r="W48" s="188" t="s">
        <v>126</v>
      </c>
      <c r="X48" s="188"/>
      <c r="Y48" s="188"/>
      <c r="Z48" s="188" t="s">
        <v>126</v>
      </c>
      <c r="AA48" s="188" t="s">
        <v>126</v>
      </c>
      <c r="AB48" s="188"/>
      <c r="AC48" s="188"/>
      <c r="AD48" s="188" t="s">
        <v>126</v>
      </c>
      <c r="AE48" s="188"/>
      <c r="AF48" s="188"/>
      <c r="AG48" s="164">
        <f t="shared" si="1"/>
        <v>5</v>
      </c>
      <c r="AH48" s="164">
        <f t="shared" si="2"/>
        <v>11</v>
      </c>
      <c r="AI48" s="160" t="e">
        <f>VLOOKUP(B48,'[15]rank 수집제한 리스트 (신,구)'!$F$3:$J$16,5,FALSE)</f>
        <v>#N/A</v>
      </c>
      <c r="AJ48" s="160"/>
      <c r="AK48" s="167">
        <v>46081</v>
      </c>
      <c r="AL48" s="160" t="s">
        <v>189</v>
      </c>
    </row>
    <row r="49" spans="1:39" s="135" customFormat="1" ht="17.399999999999999" hidden="1">
      <c r="A49" s="152"/>
      <c r="B49" s="164" t="str">
        <f t="shared" si="3"/>
        <v>IT_UNIEURO</v>
      </c>
      <c r="C49" s="164" t="s">
        <v>14</v>
      </c>
      <c r="D49" s="164" t="s">
        <v>20</v>
      </c>
      <c r="E49" s="173" t="s">
        <v>271</v>
      </c>
      <c r="F49" s="164" t="s">
        <v>127</v>
      </c>
      <c r="G49" s="164" t="s">
        <v>127</v>
      </c>
      <c r="H49" s="193" t="s">
        <v>275</v>
      </c>
      <c r="I49" s="244" t="s">
        <v>276</v>
      </c>
      <c r="J49" s="149" t="s">
        <v>204</v>
      </c>
      <c r="K49" s="164" t="s">
        <v>205</v>
      </c>
      <c r="L49" s="162" t="s">
        <v>194</v>
      </c>
      <c r="M49" s="163">
        <v>45658</v>
      </c>
      <c r="N49" s="150">
        <v>20230401</v>
      </c>
      <c r="O49" s="150">
        <v>99991231</v>
      </c>
      <c r="P49" s="188" t="s">
        <v>195</v>
      </c>
      <c r="Q49" s="188" t="s">
        <v>126</v>
      </c>
      <c r="R49" s="188" t="s">
        <v>126</v>
      </c>
      <c r="S49" s="188" t="s">
        <v>126</v>
      </c>
      <c r="T49" s="189" t="s">
        <v>188</v>
      </c>
      <c r="U49" s="188" t="s">
        <v>126</v>
      </c>
      <c r="V49" s="188" t="s">
        <v>126</v>
      </c>
      <c r="W49" s="188" t="s">
        <v>126</v>
      </c>
      <c r="X49" s="188"/>
      <c r="Y49" s="188"/>
      <c r="Z49" s="188" t="s">
        <v>126</v>
      </c>
      <c r="AA49" s="188" t="s">
        <v>126</v>
      </c>
      <c r="AB49" s="188"/>
      <c r="AC49" s="188"/>
      <c r="AD49" s="188" t="s">
        <v>126</v>
      </c>
      <c r="AE49" s="188"/>
      <c r="AF49" s="188"/>
      <c r="AG49" s="164">
        <f t="shared" si="1"/>
        <v>5</v>
      </c>
      <c r="AH49" s="164">
        <f t="shared" si="2"/>
        <v>11</v>
      </c>
      <c r="AI49" s="160">
        <f>VLOOKUP(B49,'[15]rank 수집제한 리스트 (신,구)'!$F$3:$J$16,5,FALSE)</f>
        <v>500</v>
      </c>
      <c r="AJ49" s="170"/>
      <c r="AK49" s="167">
        <v>46081</v>
      </c>
      <c r="AL49" s="160" t="s">
        <v>189</v>
      </c>
    </row>
    <row r="50" spans="1:39" s="135" customFormat="1" hidden="1">
      <c r="A50" s="147"/>
      <c r="B50" s="231" t="str">
        <f t="shared" si="3"/>
        <v>IT_LG.com</v>
      </c>
      <c r="C50" s="153" t="s">
        <v>15</v>
      </c>
      <c r="D50" s="153" t="s">
        <v>20</v>
      </c>
      <c r="E50" s="155" t="s">
        <v>271</v>
      </c>
      <c r="F50" s="154"/>
      <c r="G50" s="154"/>
      <c r="H50" s="156" t="s">
        <v>190</v>
      </c>
      <c r="I50" s="169" t="s">
        <v>277</v>
      </c>
      <c r="J50" s="153" t="s">
        <v>192</v>
      </c>
      <c r="K50" s="157" t="s">
        <v>193</v>
      </c>
      <c r="L50" s="158" t="s">
        <v>194</v>
      </c>
      <c r="M50" s="159">
        <v>46023</v>
      </c>
      <c r="N50" s="158">
        <v>20260101</v>
      </c>
      <c r="O50" s="158">
        <v>99991231</v>
      </c>
      <c r="P50" s="191" t="s">
        <v>188</v>
      </c>
      <c r="Q50" s="191" t="s">
        <v>188</v>
      </c>
      <c r="R50" s="191" t="s">
        <v>188</v>
      </c>
      <c r="S50" s="191" t="s">
        <v>188</v>
      </c>
      <c r="T50" s="191" t="s">
        <v>188</v>
      </c>
      <c r="U50" s="191" t="s">
        <v>188</v>
      </c>
      <c r="V50" s="191" t="s">
        <v>188</v>
      </c>
      <c r="W50" s="191" t="s">
        <v>188</v>
      </c>
      <c r="X50" s="191"/>
      <c r="Y50" s="191"/>
      <c r="Z50" s="191"/>
      <c r="AA50" s="191" t="s">
        <v>188</v>
      </c>
      <c r="AB50" s="166"/>
      <c r="AC50" s="166"/>
      <c r="AD50" s="166"/>
      <c r="AE50" s="166"/>
      <c r="AF50" s="166"/>
      <c r="AG50" s="231">
        <f t="shared" si="1"/>
        <v>5</v>
      </c>
      <c r="AH50" s="231">
        <f t="shared" si="2"/>
        <v>9</v>
      </c>
      <c r="AI50" s="154" t="e">
        <f>VLOOKUP(B50,'[15]rank 수집제한 리스트 (신,구)'!$F$3:$J$16,5,FALSE)</f>
        <v>#N/A</v>
      </c>
      <c r="AJ50" s="154"/>
      <c r="AK50" s="232">
        <v>46081</v>
      </c>
      <c r="AL50" s="154" t="s">
        <v>189</v>
      </c>
    </row>
    <row r="51" spans="1:39" s="135" customFormat="1" hidden="1">
      <c r="A51" s="152"/>
      <c r="B51" s="150" t="str">
        <f t="shared" si="3"/>
        <v>NL_COOLBLUE</v>
      </c>
      <c r="C51" s="150" t="s">
        <v>14</v>
      </c>
      <c r="D51" s="150" t="s">
        <v>22</v>
      </c>
      <c r="E51" s="150" t="s">
        <v>278</v>
      </c>
      <c r="F51" s="150" t="s">
        <v>127</v>
      </c>
      <c r="G51" s="149" t="s">
        <v>279</v>
      </c>
      <c r="H51" s="235" t="s">
        <v>280</v>
      </c>
      <c r="I51" s="236" t="s">
        <v>281</v>
      </c>
      <c r="J51" s="149" t="s">
        <v>208</v>
      </c>
      <c r="K51" s="150" t="s">
        <v>199</v>
      </c>
      <c r="L51" s="150" t="s">
        <v>194</v>
      </c>
      <c r="M51" s="171">
        <v>45737</v>
      </c>
      <c r="N51" s="150">
        <v>20230301</v>
      </c>
      <c r="O51" s="150">
        <v>99991231</v>
      </c>
      <c r="P51" s="188" t="s">
        <v>126</v>
      </c>
      <c r="Q51" s="188" t="s">
        <v>126</v>
      </c>
      <c r="R51" s="188" t="s">
        <v>126</v>
      </c>
      <c r="S51" s="188" t="s">
        <v>126</v>
      </c>
      <c r="T51" s="188" t="s">
        <v>126</v>
      </c>
      <c r="U51" s="188" t="s">
        <v>126</v>
      </c>
      <c r="V51" s="188" t="s">
        <v>282</v>
      </c>
      <c r="W51" s="189" t="s">
        <v>188</v>
      </c>
      <c r="X51" s="188"/>
      <c r="Y51" s="188"/>
      <c r="Z51" s="188"/>
      <c r="AA51" s="189" t="s">
        <v>188</v>
      </c>
      <c r="AB51" s="188"/>
      <c r="AC51" s="188"/>
      <c r="AD51" s="188"/>
      <c r="AE51" s="188"/>
      <c r="AF51" s="188"/>
      <c r="AG51" s="164">
        <f t="shared" si="1"/>
        <v>5</v>
      </c>
      <c r="AH51" s="164">
        <f t="shared" si="2"/>
        <v>9</v>
      </c>
      <c r="AI51" s="160" t="e">
        <f>VLOOKUP(B51,'[15]rank 수집제한 리스트 (신,구)'!$F$3:$J$16,5,FALSE)</f>
        <v>#N/A</v>
      </c>
      <c r="AJ51" s="170"/>
      <c r="AK51" s="167">
        <v>46081</v>
      </c>
      <c r="AL51" s="160" t="s">
        <v>189</v>
      </c>
    </row>
    <row r="52" spans="1:39" s="135" customFormat="1" hidden="1">
      <c r="A52" s="152"/>
      <c r="B52" s="149" t="str">
        <f t="shared" si="3"/>
        <v>ES_SS.com</v>
      </c>
      <c r="C52" s="149" t="s">
        <v>15</v>
      </c>
      <c r="D52" s="149" t="s">
        <v>42</v>
      </c>
      <c r="E52" s="229" t="s">
        <v>283</v>
      </c>
      <c r="F52" s="149" t="s">
        <v>127</v>
      </c>
      <c r="G52" s="149" t="s">
        <v>183</v>
      </c>
      <c r="H52" s="230" t="s">
        <v>184</v>
      </c>
      <c r="I52" s="230" t="s">
        <v>284</v>
      </c>
      <c r="J52" s="149" t="s">
        <v>186</v>
      </c>
      <c r="K52" s="149" t="s">
        <v>187</v>
      </c>
      <c r="L52" s="150" t="s">
        <v>124</v>
      </c>
      <c r="M52" s="151">
        <v>45780</v>
      </c>
      <c r="N52" s="150">
        <v>20250502</v>
      </c>
      <c r="O52" s="150">
        <v>99991231</v>
      </c>
      <c r="P52" s="188" t="s">
        <v>126</v>
      </c>
      <c r="Q52" s="188" t="s">
        <v>126</v>
      </c>
      <c r="R52" s="188" t="s">
        <v>126</v>
      </c>
      <c r="S52" s="188" t="s">
        <v>126</v>
      </c>
      <c r="T52" s="189" t="s">
        <v>228</v>
      </c>
      <c r="U52" s="189" t="s">
        <v>188</v>
      </c>
      <c r="V52" s="189" t="s">
        <v>188</v>
      </c>
      <c r="W52" s="189" t="s">
        <v>188</v>
      </c>
      <c r="X52" s="188"/>
      <c r="Y52" s="188"/>
      <c r="Z52" s="188"/>
      <c r="AA52" s="188" t="s">
        <v>126</v>
      </c>
      <c r="AB52" s="188"/>
      <c r="AC52" s="188"/>
      <c r="AD52" s="188"/>
      <c r="AE52" s="188"/>
      <c r="AF52" s="188"/>
      <c r="AG52" s="164">
        <f t="shared" si="1"/>
        <v>4</v>
      </c>
      <c r="AH52" s="164">
        <f t="shared" si="2"/>
        <v>8</v>
      </c>
      <c r="AI52" s="160" t="e">
        <f>VLOOKUP(B52,'[15]rank 수집제한 리스트 (신,구)'!$F$3:$J$16,5,FALSE)</f>
        <v>#N/A</v>
      </c>
      <c r="AJ52" s="160" t="s">
        <v>250</v>
      </c>
      <c r="AK52" s="167">
        <v>46081</v>
      </c>
      <c r="AL52" s="160" t="s">
        <v>189</v>
      </c>
      <c r="AM52" s="165"/>
    </row>
    <row r="53" spans="1:39" s="135" customFormat="1" hidden="1">
      <c r="A53" s="152"/>
      <c r="B53" s="150" t="str">
        <f t="shared" si="3"/>
        <v>ES_AMAZON</v>
      </c>
      <c r="C53" s="150" t="s">
        <v>14</v>
      </c>
      <c r="D53" s="150" t="s">
        <v>24</v>
      </c>
      <c r="E53" s="150" t="s">
        <v>285</v>
      </c>
      <c r="F53" s="150" t="s">
        <v>127</v>
      </c>
      <c r="G53" s="150" t="s">
        <v>127</v>
      </c>
      <c r="H53" s="235" t="s">
        <v>262</v>
      </c>
      <c r="I53" s="230" t="s">
        <v>286</v>
      </c>
      <c r="J53" s="149" t="s">
        <v>198</v>
      </c>
      <c r="K53" s="150" t="s">
        <v>199</v>
      </c>
      <c r="L53" s="150" t="s">
        <v>194</v>
      </c>
      <c r="M53" s="151">
        <v>45744</v>
      </c>
      <c r="N53" s="150">
        <v>20230301</v>
      </c>
      <c r="O53" s="150">
        <v>99991231</v>
      </c>
      <c r="P53" s="188" t="s">
        <v>126</v>
      </c>
      <c r="Q53" s="188" t="s">
        <v>126</v>
      </c>
      <c r="R53" s="188" t="s">
        <v>126</v>
      </c>
      <c r="S53" s="188" t="s">
        <v>126</v>
      </c>
      <c r="T53" s="189" t="s">
        <v>188</v>
      </c>
      <c r="U53" s="189" t="s">
        <v>188</v>
      </c>
      <c r="V53" s="189" t="s">
        <v>188</v>
      </c>
      <c r="W53" s="188" t="s">
        <v>126</v>
      </c>
      <c r="X53" s="188"/>
      <c r="Y53" s="188"/>
      <c r="Z53" s="188"/>
      <c r="AA53" s="189" t="s">
        <v>188</v>
      </c>
      <c r="AB53" s="188" t="s">
        <v>126</v>
      </c>
      <c r="AC53" s="188"/>
      <c r="AD53" s="188" t="s">
        <v>126</v>
      </c>
      <c r="AE53" s="188"/>
      <c r="AF53" s="188"/>
      <c r="AG53" s="164">
        <f t="shared" si="1"/>
        <v>5</v>
      </c>
      <c r="AH53" s="164">
        <f t="shared" si="2"/>
        <v>11</v>
      </c>
      <c r="AI53" s="160" t="e">
        <f>VLOOKUP(B53,'[15]rank 수집제한 리스트 (신,구)'!$F$3:$J$16,5,FALSE)</f>
        <v>#N/A</v>
      </c>
      <c r="AJ53" s="170"/>
      <c r="AK53" s="167">
        <v>46081</v>
      </c>
      <c r="AL53" s="160" t="s">
        <v>189</v>
      </c>
    </row>
    <row r="54" spans="1:39" s="135" customFormat="1" hidden="1">
      <c r="A54" s="152"/>
      <c r="B54" s="162" t="str">
        <f t="shared" si="3"/>
        <v>ES_ELCORTEINGLES_ELECTRONICA</v>
      </c>
      <c r="C54" s="162" t="s">
        <v>14</v>
      </c>
      <c r="D54" s="162" t="s">
        <v>24</v>
      </c>
      <c r="E54" s="162" t="s">
        <v>285</v>
      </c>
      <c r="F54" s="162" t="s">
        <v>127</v>
      </c>
      <c r="G54" s="162" t="s">
        <v>127</v>
      </c>
      <c r="H54" s="192" t="s">
        <v>287</v>
      </c>
      <c r="I54" s="193" t="s">
        <v>288</v>
      </c>
      <c r="J54" s="164" t="s">
        <v>224</v>
      </c>
      <c r="K54" s="162" t="s">
        <v>205</v>
      </c>
      <c r="L54" s="162" t="s">
        <v>194</v>
      </c>
      <c r="M54" s="163">
        <v>45658</v>
      </c>
      <c r="N54" s="150">
        <v>20230401</v>
      </c>
      <c r="O54" s="150">
        <v>99991231</v>
      </c>
      <c r="P54" s="188" t="s">
        <v>126</v>
      </c>
      <c r="Q54" s="188" t="s">
        <v>126</v>
      </c>
      <c r="R54" s="188" t="s">
        <v>126</v>
      </c>
      <c r="S54" s="188" t="s">
        <v>126</v>
      </c>
      <c r="T54" s="189" t="s">
        <v>188</v>
      </c>
      <c r="U54" s="188" t="s">
        <v>126</v>
      </c>
      <c r="V54" s="188" t="s">
        <v>126</v>
      </c>
      <c r="W54" s="188" t="s">
        <v>126</v>
      </c>
      <c r="X54" s="188"/>
      <c r="Y54" s="188"/>
      <c r="Z54" s="188" t="s">
        <v>126</v>
      </c>
      <c r="AA54" s="189" t="s">
        <v>188</v>
      </c>
      <c r="AB54" s="188"/>
      <c r="AC54" s="188"/>
      <c r="AD54" s="188" t="s">
        <v>126</v>
      </c>
      <c r="AE54" s="188"/>
      <c r="AF54" s="188"/>
      <c r="AG54" s="164">
        <f t="shared" si="1"/>
        <v>5</v>
      </c>
      <c r="AH54" s="164">
        <f t="shared" si="2"/>
        <v>11</v>
      </c>
      <c r="AI54" s="160">
        <f>VLOOKUP(B54,'[15]rank 수집제한 리스트 (신,구)'!$F$3:$J$16,5,FALSE)</f>
        <v>1000</v>
      </c>
      <c r="AJ54" s="170"/>
      <c r="AK54" s="167">
        <v>46081</v>
      </c>
      <c r="AL54" s="160" t="s">
        <v>189</v>
      </c>
    </row>
    <row r="55" spans="1:39" s="135" customFormat="1" hidden="1">
      <c r="A55" s="152"/>
      <c r="B55" s="162" t="str">
        <f t="shared" si="3"/>
        <v>ES_MEDIAMARKT</v>
      </c>
      <c r="C55" s="162" t="s">
        <v>14</v>
      </c>
      <c r="D55" s="162" t="s">
        <v>24</v>
      </c>
      <c r="E55" s="162" t="s">
        <v>285</v>
      </c>
      <c r="F55" s="162" t="s">
        <v>127</v>
      </c>
      <c r="G55" s="162" t="s">
        <v>127</v>
      </c>
      <c r="H55" s="192" t="s">
        <v>264</v>
      </c>
      <c r="I55" s="193" t="s">
        <v>289</v>
      </c>
      <c r="J55" s="164" t="s">
        <v>208</v>
      </c>
      <c r="K55" s="162" t="s">
        <v>205</v>
      </c>
      <c r="L55" s="162" t="s">
        <v>194</v>
      </c>
      <c r="M55" s="163">
        <v>45658</v>
      </c>
      <c r="N55" s="150">
        <v>20230401</v>
      </c>
      <c r="O55" s="150">
        <v>99991231</v>
      </c>
      <c r="P55" s="188" t="s">
        <v>126</v>
      </c>
      <c r="Q55" s="188" t="s">
        <v>126</v>
      </c>
      <c r="R55" s="188" t="s">
        <v>126</v>
      </c>
      <c r="S55" s="188" t="s">
        <v>126</v>
      </c>
      <c r="T55" s="188" t="s">
        <v>126</v>
      </c>
      <c r="U55" s="188" t="s">
        <v>126</v>
      </c>
      <c r="V55" s="188" t="s">
        <v>126</v>
      </c>
      <c r="W55" s="188" t="s">
        <v>126</v>
      </c>
      <c r="X55" s="188"/>
      <c r="Y55" s="188"/>
      <c r="Z55" s="188" t="s">
        <v>126</v>
      </c>
      <c r="AA55" s="189" t="s">
        <v>188</v>
      </c>
      <c r="AB55" s="188"/>
      <c r="AC55" s="188"/>
      <c r="AD55" s="188" t="s">
        <v>126</v>
      </c>
      <c r="AE55" s="188"/>
      <c r="AF55" s="188"/>
      <c r="AG55" s="164">
        <f t="shared" si="1"/>
        <v>5</v>
      </c>
      <c r="AH55" s="164">
        <f t="shared" si="2"/>
        <v>11</v>
      </c>
      <c r="AI55" s="160">
        <f>VLOOKUP(B55,'[15]rank 수집제한 리스트 (신,구)'!$F$3:$J$16,5,FALSE)</f>
        <v>300</v>
      </c>
      <c r="AJ55" s="170"/>
      <c r="AK55" s="167">
        <v>46081</v>
      </c>
      <c r="AL55" s="160" t="s">
        <v>189</v>
      </c>
    </row>
    <row r="56" spans="1:39" s="135" customFormat="1" hidden="1">
      <c r="A56" s="147"/>
      <c r="B56" s="231" t="str">
        <f t="shared" si="3"/>
        <v>ES_LG.com</v>
      </c>
      <c r="C56" s="153" t="s">
        <v>15</v>
      </c>
      <c r="D56" s="153" t="s">
        <v>24</v>
      </c>
      <c r="E56" s="155" t="s">
        <v>285</v>
      </c>
      <c r="F56" s="154"/>
      <c r="G56" s="154"/>
      <c r="H56" s="156" t="s">
        <v>190</v>
      </c>
      <c r="I56" s="169" t="s">
        <v>290</v>
      </c>
      <c r="J56" s="153" t="s">
        <v>192</v>
      </c>
      <c r="K56" s="157" t="s">
        <v>193</v>
      </c>
      <c r="L56" s="158" t="s">
        <v>194</v>
      </c>
      <c r="M56" s="159">
        <v>46023</v>
      </c>
      <c r="N56" s="158">
        <v>20260101</v>
      </c>
      <c r="O56" s="158">
        <v>99991231</v>
      </c>
      <c r="P56" s="191" t="s">
        <v>188</v>
      </c>
      <c r="Q56" s="191" t="s">
        <v>188</v>
      </c>
      <c r="R56" s="191" t="s">
        <v>188</v>
      </c>
      <c r="S56" s="191" t="s">
        <v>188</v>
      </c>
      <c r="T56" s="191" t="s">
        <v>188</v>
      </c>
      <c r="U56" s="191" t="s">
        <v>188</v>
      </c>
      <c r="V56" s="191" t="s">
        <v>188</v>
      </c>
      <c r="W56" s="191" t="s">
        <v>188</v>
      </c>
      <c r="X56" s="166"/>
      <c r="Y56" s="166"/>
      <c r="Z56" s="166"/>
      <c r="AA56" s="191" t="s">
        <v>188</v>
      </c>
      <c r="AB56" s="166"/>
      <c r="AC56" s="166"/>
      <c r="AD56" s="166"/>
      <c r="AE56" s="166"/>
      <c r="AF56" s="166"/>
      <c r="AG56" s="231">
        <f t="shared" si="1"/>
        <v>5</v>
      </c>
      <c r="AH56" s="231">
        <f t="shared" si="2"/>
        <v>9</v>
      </c>
      <c r="AI56" s="154" t="e">
        <f>VLOOKUP(B56,'[15]rank 수집제한 리스트 (신,구)'!$F$3:$J$16,5,FALSE)</f>
        <v>#N/A</v>
      </c>
      <c r="AJ56" s="154"/>
      <c r="AK56" s="232">
        <v>46081</v>
      </c>
      <c r="AL56" s="154" t="s">
        <v>189</v>
      </c>
    </row>
    <row r="57" spans="1:39" s="135" customFormat="1" hidden="1">
      <c r="A57" s="152"/>
      <c r="B57" s="149" t="str">
        <f t="shared" si="3"/>
        <v>SE_ELGIGANTEN</v>
      </c>
      <c r="C57" s="149" t="s">
        <v>14</v>
      </c>
      <c r="D57" s="149" t="s">
        <v>291</v>
      </c>
      <c r="E57" s="229" t="s">
        <v>292</v>
      </c>
      <c r="F57" s="149" t="s">
        <v>127</v>
      </c>
      <c r="G57" s="149" t="s">
        <v>279</v>
      </c>
      <c r="H57" s="230" t="s">
        <v>293</v>
      </c>
      <c r="I57" s="230" t="s">
        <v>294</v>
      </c>
      <c r="J57" s="149" t="s">
        <v>208</v>
      </c>
      <c r="K57" s="149" t="s">
        <v>205</v>
      </c>
      <c r="L57" s="150" t="s">
        <v>194</v>
      </c>
      <c r="M57" s="171">
        <v>45737</v>
      </c>
      <c r="N57" s="150">
        <v>20230301</v>
      </c>
      <c r="O57" s="150">
        <v>99991231</v>
      </c>
      <c r="P57" s="188" t="s">
        <v>126</v>
      </c>
      <c r="Q57" s="188" t="s">
        <v>126</v>
      </c>
      <c r="R57" s="188" t="s">
        <v>126</v>
      </c>
      <c r="S57" s="188" t="s">
        <v>126</v>
      </c>
      <c r="T57" s="188" t="s">
        <v>126</v>
      </c>
      <c r="U57" s="188" t="s">
        <v>126</v>
      </c>
      <c r="V57" s="188" t="s">
        <v>126</v>
      </c>
      <c r="W57" s="188"/>
      <c r="X57" s="188"/>
      <c r="Y57" s="188"/>
      <c r="Z57" s="188" t="s">
        <v>126</v>
      </c>
      <c r="AA57" s="188" t="s">
        <v>126</v>
      </c>
      <c r="AB57" s="188"/>
      <c r="AC57" s="188"/>
      <c r="AD57" s="188"/>
      <c r="AE57" s="188"/>
      <c r="AF57" s="188"/>
      <c r="AG57" s="164">
        <f t="shared" si="1"/>
        <v>5</v>
      </c>
      <c r="AH57" s="164">
        <f t="shared" si="2"/>
        <v>9</v>
      </c>
      <c r="AI57" s="160" t="e">
        <f>VLOOKUP(B57,'[15]rank 수집제한 리스트 (신,구)'!$F$3:$J$16,5,FALSE)</f>
        <v>#N/A</v>
      </c>
      <c r="AJ57" s="170"/>
      <c r="AK57" s="161" t="s">
        <v>244</v>
      </c>
      <c r="AL57" s="160" t="s">
        <v>189</v>
      </c>
    </row>
    <row r="58" spans="1:39" s="135" customFormat="1" hidden="1">
      <c r="A58" s="152"/>
      <c r="B58" s="149" t="str">
        <f t="shared" si="3"/>
        <v>UK_SS.com</v>
      </c>
      <c r="C58" s="149" t="s">
        <v>15</v>
      </c>
      <c r="D58" s="149" t="s">
        <v>44</v>
      </c>
      <c r="E58" s="229" t="s">
        <v>44</v>
      </c>
      <c r="F58" s="149" t="s">
        <v>127</v>
      </c>
      <c r="G58" s="149" t="s">
        <v>183</v>
      </c>
      <c r="H58" s="230" t="s">
        <v>184</v>
      </c>
      <c r="I58" s="230" t="s">
        <v>295</v>
      </c>
      <c r="J58" s="149" t="s">
        <v>186</v>
      </c>
      <c r="K58" s="149" t="s">
        <v>187</v>
      </c>
      <c r="L58" s="150" t="s">
        <v>124</v>
      </c>
      <c r="M58" s="151">
        <v>45771</v>
      </c>
      <c r="N58" s="150">
        <v>20250423</v>
      </c>
      <c r="O58" s="150">
        <v>99991231</v>
      </c>
      <c r="P58" s="188" t="s">
        <v>126</v>
      </c>
      <c r="Q58" s="188" t="s">
        <v>126</v>
      </c>
      <c r="R58" s="188" t="s">
        <v>126</v>
      </c>
      <c r="S58" s="188" t="s">
        <v>126</v>
      </c>
      <c r="T58" s="189" t="s">
        <v>228</v>
      </c>
      <c r="U58" s="189" t="s">
        <v>188</v>
      </c>
      <c r="V58" s="189" t="s">
        <v>188</v>
      </c>
      <c r="W58" s="189" t="s">
        <v>188</v>
      </c>
      <c r="X58" s="188"/>
      <c r="Y58" s="188"/>
      <c r="Z58" s="188"/>
      <c r="AA58" s="188" t="s">
        <v>126</v>
      </c>
      <c r="AB58" s="188"/>
      <c r="AC58" s="188"/>
      <c r="AD58" s="188"/>
      <c r="AE58" s="188"/>
      <c r="AF58" s="188"/>
      <c r="AG58" s="164">
        <f t="shared" si="1"/>
        <v>4</v>
      </c>
      <c r="AH58" s="164">
        <f t="shared" si="2"/>
        <v>8</v>
      </c>
      <c r="AI58" s="160" t="e">
        <f>VLOOKUP(B58,'[15]rank 수집제한 리스트 (신,구)'!$F$3:$J$16,5,FALSE)</f>
        <v>#N/A</v>
      </c>
      <c r="AJ58" s="160" t="s">
        <v>250</v>
      </c>
      <c r="AK58" s="167">
        <v>46081</v>
      </c>
      <c r="AL58" s="160" t="s">
        <v>189</v>
      </c>
      <c r="AM58" s="165"/>
    </row>
    <row r="59" spans="1:39" s="135" customFormat="1" hidden="1">
      <c r="A59" s="152"/>
      <c r="B59" s="150" t="str">
        <f t="shared" si="3"/>
        <v>UK_AMAZON</v>
      </c>
      <c r="C59" s="150" t="s">
        <v>14</v>
      </c>
      <c r="D59" s="150" t="s">
        <v>27</v>
      </c>
      <c r="E59" s="150" t="s">
        <v>27</v>
      </c>
      <c r="F59" s="150" t="s">
        <v>127</v>
      </c>
      <c r="G59" s="150" t="s">
        <v>127</v>
      </c>
      <c r="H59" s="235" t="s">
        <v>262</v>
      </c>
      <c r="I59" s="230" t="s">
        <v>296</v>
      </c>
      <c r="J59" s="149" t="s">
        <v>198</v>
      </c>
      <c r="K59" s="150" t="s">
        <v>199</v>
      </c>
      <c r="L59" s="150" t="s">
        <v>194</v>
      </c>
      <c r="M59" s="151">
        <v>45744</v>
      </c>
      <c r="N59" s="150">
        <v>20230301</v>
      </c>
      <c r="O59" s="150">
        <v>99991231</v>
      </c>
      <c r="P59" s="188" t="s">
        <v>126</v>
      </c>
      <c r="Q59" s="188" t="s">
        <v>126</v>
      </c>
      <c r="R59" s="188" t="s">
        <v>126</v>
      </c>
      <c r="S59" s="188" t="s">
        <v>126</v>
      </c>
      <c r="T59" s="189" t="s">
        <v>188</v>
      </c>
      <c r="U59" s="188" t="s">
        <v>126</v>
      </c>
      <c r="V59" s="188" t="s">
        <v>126</v>
      </c>
      <c r="W59" s="188" t="s">
        <v>126</v>
      </c>
      <c r="X59" s="188"/>
      <c r="Y59" s="188"/>
      <c r="Z59" s="188"/>
      <c r="AA59" s="189" t="s">
        <v>188</v>
      </c>
      <c r="AB59" s="188" t="s">
        <v>126</v>
      </c>
      <c r="AC59" s="188"/>
      <c r="AD59" s="188"/>
      <c r="AE59" s="188"/>
      <c r="AF59" s="188"/>
      <c r="AG59" s="164">
        <f t="shared" si="1"/>
        <v>5</v>
      </c>
      <c r="AH59" s="164">
        <f t="shared" si="2"/>
        <v>10</v>
      </c>
      <c r="AI59" s="160" t="e">
        <f>VLOOKUP(B59,'[15]rank 수집제한 리스트 (신,구)'!$F$3:$J$16,5,FALSE)</f>
        <v>#N/A</v>
      </c>
      <c r="AJ59" s="170"/>
      <c r="AK59" s="167">
        <v>46081</v>
      </c>
      <c r="AL59" s="160" t="s">
        <v>189</v>
      </c>
    </row>
    <row r="60" spans="1:39" s="135" customFormat="1" hidden="1">
      <c r="A60" s="152"/>
      <c r="B60" s="162" t="str">
        <f t="shared" si="3"/>
        <v>UK_AO</v>
      </c>
      <c r="C60" s="162" t="s">
        <v>14</v>
      </c>
      <c r="D60" s="162" t="s">
        <v>27</v>
      </c>
      <c r="E60" s="162" t="s">
        <v>27</v>
      </c>
      <c r="F60" s="162" t="s">
        <v>127</v>
      </c>
      <c r="G60" s="162" t="s">
        <v>127</v>
      </c>
      <c r="H60" s="192" t="s">
        <v>297</v>
      </c>
      <c r="I60" s="193" t="s">
        <v>298</v>
      </c>
      <c r="J60" s="164" t="s">
        <v>208</v>
      </c>
      <c r="K60" s="162" t="s">
        <v>199</v>
      </c>
      <c r="L60" s="162" t="s">
        <v>194</v>
      </c>
      <c r="M60" s="163">
        <v>45658</v>
      </c>
      <c r="N60" s="150">
        <v>20230301</v>
      </c>
      <c r="O60" s="150">
        <v>99991231</v>
      </c>
      <c r="P60" s="188" t="s">
        <v>126</v>
      </c>
      <c r="Q60" s="188" t="s">
        <v>126</v>
      </c>
      <c r="R60" s="188" t="s">
        <v>126</v>
      </c>
      <c r="S60" s="188" t="s">
        <v>126</v>
      </c>
      <c r="T60" s="189" t="s">
        <v>188</v>
      </c>
      <c r="U60" s="188" t="s">
        <v>126</v>
      </c>
      <c r="V60" s="188" t="s">
        <v>126</v>
      </c>
      <c r="W60" s="188" t="s">
        <v>126</v>
      </c>
      <c r="X60" s="188"/>
      <c r="Y60" s="188"/>
      <c r="Z60" s="188" t="s">
        <v>126</v>
      </c>
      <c r="AA60" s="189" t="s">
        <v>188</v>
      </c>
      <c r="AB60" s="188"/>
      <c r="AC60" s="188"/>
      <c r="AD60" s="188"/>
      <c r="AE60" s="188"/>
      <c r="AF60" s="188"/>
      <c r="AG60" s="164">
        <f t="shared" si="1"/>
        <v>5</v>
      </c>
      <c r="AH60" s="164">
        <f t="shared" si="2"/>
        <v>10</v>
      </c>
      <c r="AI60" s="160" t="e">
        <f>VLOOKUP(B60,'[15]rank 수집제한 리스트 (신,구)'!$F$3:$J$16,5,FALSE)</f>
        <v>#N/A</v>
      </c>
      <c r="AJ60" s="170"/>
      <c r="AK60" s="167">
        <v>46081</v>
      </c>
      <c r="AL60" s="160" t="s">
        <v>189</v>
      </c>
    </row>
    <row r="61" spans="1:39" s="135" customFormat="1" hidden="1">
      <c r="A61" s="152"/>
      <c r="B61" s="162" t="str">
        <f t="shared" si="3"/>
        <v>UK_CURRYS</v>
      </c>
      <c r="C61" s="162" t="s">
        <v>14</v>
      </c>
      <c r="D61" s="162" t="s">
        <v>27</v>
      </c>
      <c r="E61" s="162" t="s">
        <v>27</v>
      </c>
      <c r="F61" s="162" t="s">
        <v>127</v>
      </c>
      <c r="G61" s="162" t="s">
        <v>127</v>
      </c>
      <c r="H61" s="192" t="s">
        <v>299</v>
      </c>
      <c r="I61" s="193" t="s">
        <v>300</v>
      </c>
      <c r="J61" s="164" t="s">
        <v>208</v>
      </c>
      <c r="K61" s="162" t="s">
        <v>205</v>
      </c>
      <c r="L61" s="162" t="s">
        <v>194</v>
      </c>
      <c r="M61" s="163">
        <v>45658</v>
      </c>
      <c r="N61" s="150">
        <v>20230213</v>
      </c>
      <c r="O61" s="150">
        <v>99991231</v>
      </c>
      <c r="P61" s="188" t="s">
        <v>126</v>
      </c>
      <c r="Q61" s="188" t="s">
        <v>126</v>
      </c>
      <c r="R61" s="188" t="s">
        <v>126</v>
      </c>
      <c r="S61" s="188" t="s">
        <v>126</v>
      </c>
      <c r="T61" s="189" t="s">
        <v>188</v>
      </c>
      <c r="U61" s="188" t="s">
        <v>126</v>
      </c>
      <c r="V61" s="188" t="s">
        <v>126</v>
      </c>
      <c r="W61" s="188" t="s">
        <v>126</v>
      </c>
      <c r="X61" s="188"/>
      <c r="Y61" s="188"/>
      <c r="Z61" s="188" t="s">
        <v>126</v>
      </c>
      <c r="AA61" s="189" t="s">
        <v>188</v>
      </c>
      <c r="AB61" s="188" t="s">
        <v>126</v>
      </c>
      <c r="AC61" s="188"/>
      <c r="AD61" s="188"/>
      <c r="AE61" s="188"/>
      <c r="AF61" s="188"/>
      <c r="AG61" s="164">
        <f t="shared" si="1"/>
        <v>5</v>
      </c>
      <c r="AH61" s="164">
        <f t="shared" si="2"/>
        <v>11</v>
      </c>
      <c r="AI61" s="160" t="e">
        <f>VLOOKUP(B61,'[15]rank 수집제한 리스트 (신,구)'!$F$3:$J$16,5,FALSE)</f>
        <v>#N/A</v>
      </c>
      <c r="AJ61" s="170"/>
      <c r="AK61" s="167">
        <v>46081</v>
      </c>
      <c r="AL61" s="160" t="s">
        <v>189</v>
      </c>
    </row>
    <row r="62" spans="1:39" s="135" customFormat="1" hidden="1">
      <c r="A62" s="147"/>
      <c r="B62" s="231" t="str">
        <f t="shared" si="3"/>
        <v>UK_LG.com</v>
      </c>
      <c r="C62" s="153" t="s">
        <v>15</v>
      </c>
      <c r="D62" s="153" t="s">
        <v>44</v>
      </c>
      <c r="E62" s="155" t="s">
        <v>44</v>
      </c>
      <c r="F62" s="154"/>
      <c r="G62" s="154"/>
      <c r="H62" s="156" t="s">
        <v>190</v>
      </c>
      <c r="I62" s="156" t="s">
        <v>301</v>
      </c>
      <c r="J62" s="153" t="s">
        <v>192</v>
      </c>
      <c r="K62" s="157" t="s">
        <v>193</v>
      </c>
      <c r="L62" s="158" t="s">
        <v>194</v>
      </c>
      <c r="M62" s="159">
        <v>46024</v>
      </c>
      <c r="N62" s="158">
        <v>20260102</v>
      </c>
      <c r="O62" s="158">
        <v>99991231</v>
      </c>
      <c r="P62" s="191" t="s">
        <v>188</v>
      </c>
      <c r="Q62" s="191" t="s">
        <v>188</v>
      </c>
      <c r="R62" s="191" t="s">
        <v>188</v>
      </c>
      <c r="S62" s="191" t="s">
        <v>188</v>
      </c>
      <c r="T62" s="191" t="s">
        <v>188</v>
      </c>
      <c r="U62" s="191" t="s">
        <v>188</v>
      </c>
      <c r="V62" s="191" t="s">
        <v>188</v>
      </c>
      <c r="W62" s="191" t="s">
        <v>188</v>
      </c>
      <c r="X62" s="166"/>
      <c r="Y62" s="166"/>
      <c r="Z62" s="166"/>
      <c r="AA62" s="191" t="s">
        <v>188</v>
      </c>
      <c r="AB62" s="166"/>
      <c r="AC62" s="166"/>
      <c r="AD62" s="166"/>
      <c r="AE62" s="166"/>
      <c r="AF62" s="166"/>
      <c r="AG62" s="231">
        <f t="shared" si="1"/>
        <v>5</v>
      </c>
      <c r="AH62" s="231">
        <f t="shared" si="2"/>
        <v>9</v>
      </c>
      <c r="AI62" s="154" t="e">
        <f>VLOOKUP(B62,'[15]rank 수집제한 리스트 (신,구)'!$F$3:$J$16,5,FALSE)</f>
        <v>#N/A</v>
      </c>
      <c r="AJ62" s="154"/>
      <c r="AK62" s="232">
        <v>46081</v>
      </c>
      <c r="AL62" s="154" t="s">
        <v>189</v>
      </c>
    </row>
    <row r="63" spans="1:39" s="135" customFormat="1" hidden="1">
      <c r="A63" s="152"/>
      <c r="B63" s="162" t="str">
        <f t="shared" si="3"/>
        <v>IN_AMAZON_LG</v>
      </c>
      <c r="C63" s="162" t="s">
        <v>29</v>
      </c>
      <c r="D63" s="162" t="s">
        <v>29</v>
      </c>
      <c r="E63" s="162" t="s">
        <v>302</v>
      </c>
      <c r="F63" s="162" t="s">
        <v>127</v>
      </c>
      <c r="G63" s="162" t="s">
        <v>127</v>
      </c>
      <c r="H63" s="192" t="s">
        <v>303</v>
      </c>
      <c r="I63" s="237" t="s">
        <v>304</v>
      </c>
      <c r="J63" s="164" t="s">
        <v>198</v>
      </c>
      <c r="K63" s="162" t="s">
        <v>199</v>
      </c>
      <c r="L63" s="162" t="s">
        <v>194</v>
      </c>
      <c r="M63" s="163">
        <v>45658</v>
      </c>
      <c r="N63" s="150">
        <v>20230516</v>
      </c>
      <c r="O63" s="150">
        <v>99991231</v>
      </c>
      <c r="P63" s="188" t="s">
        <v>126</v>
      </c>
      <c r="Q63" s="188" t="s">
        <v>126</v>
      </c>
      <c r="R63" s="188" t="s">
        <v>126</v>
      </c>
      <c r="S63" s="188" t="s">
        <v>126</v>
      </c>
      <c r="T63" s="188" t="s">
        <v>126</v>
      </c>
      <c r="U63" s="188" t="s">
        <v>126</v>
      </c>
      <c r="V63" s="188" t="s">
        <v>126</v>
      </c>
      <c r="W63" s="188" t="s">
        <v>126</v>
      </c>
      <c r="X63" s="188"/>
      <c r="Y63" s="188"/>
      <c r="Z63" s="188"/>
      <c r="AA63" s="189" t="s">
        <v>188</v>
      </c>
      <c r="AB63" s="188"/>
      <c r="AC63" s="188"/>
      <c r="AD63" s="188"/>
      <c r="AE63" s="188"/>
      <c r="AF63" s="188" t="s">
        <v>126</v>
      </c>
      <c r="AG63" s="164">
        <f t="shared" si="1"/>
        <v>5</v>
      </c>
      <c r="AH63" s="164">
        <f t="shared" si="2"/>
        <v>10</v>
      </c>
      <c r="AI63" s="160" t="e">
        <f>VLOOKUP(B63,'[15]rank 수집제한 리스트 (신,구)'!$F$3:$J$16,5,FALSE)</f>
        <v>#N/A</v>
      </c>
      <c r="AJ63" s="170"/>
      <c r="AK63" s="167">
        <v>46081</v>
      </c>
      <c r="AL63" s="160" t="s">
        <v>189</v>
      </c>
    </row>
    <row r="64" spans="1:39" s="135" customFormat="1" hidden="1">
      <c r="A64" s="152"/>
      <c r="B64" s="162" t="str">
        <f t="shared" si="3"/>
        <v>IN_FLIPKART</v>
      </c>
      <c r="C64" s="162" t="s">
        <v>29</v>
      </c>
      <c r="D64" s="162" t="s">
        <v>29</v>
      </c>
      <c r="E64" s="162" t="s">
        <v>302</v>
      </c>
      <c r="F64" s="162" t="s">
        <v>127</v>
      </c>
      <c r="G64" s="162" t="s">
        <v>127</v>
      </c>
      <c r="H64" s="192" t="s">
        <v>305</v>
      </c>
      <c r="I64" s="193" t="s">
        <v>306</v>
      </c>
      <c r="J64" s="149" t="s">
        <v>217</v>
      </c>
      <c r="K64" s="162" t="s">
        <v>199</v>
      </c>
      <c r="L64" s="162" t="s">
        <v>194</v>
      </c>
      <c r="M64" s="163">
        <v>45658</v>
      </c>
      <c r="N64" s="150">
        <v>20230516</v>
      </c>
      <c r="O64" s="150">
        <v>99991231</v>
      </c>
      <c r="P64" s="188" t="s">
        <v>126</v>
      </c>
      <c r="Q64" s="188" t="s">
        <v>126</v>
      </c>
      <c r="R64" s="188" t="s">
        <v>126</v>
      </c>
      <c r="S64" s="188" t="s">
        <v>126</v>
      </c>
      <c r="T64" s="188" t="s">
        <v>126</v>
      </c>
      <c r="U64" s="188" t="s">
        <v>126</v>
      </c>
      <c r="V64" s="188" t="s">
        <v>126</v>
      </c>
      <c r="W64" s="188" t="s">
        <v>126</v>
      </c>
      <c r="X64" s="188"/>
      <c r="Y64" s="188"/>
      <c r="Z64" s="188" t="s">
        <v>126</v>
      </c>
      <c r="AA64" s="189" t="s">
        <v>188</v>
      </c>
      <c r="AB64" s="188"/>
      <c r="AC64" s="188"/>
      <c r="AD64" s="188"/>
      <c r="AE64" s="188"/>
      <c r="AF64" s="188" t="s">
        <v>126</v>
      </c>
      <c r="AG64" s="164">
        <f t="shared" si="1"/>
        <v>5</v>
      </c>
      <c r="AH64" s="164">
        <f t="shared" si="2"/>
        <v>11</v>
      </c>
      <c r="AI64" s="160">
        <f>VLOOKUP(B64,'[15]rank 수집제한 리스트 (신,구)'!$F$3:$J$16,5,FALSE)</f>
        <v>1000</v>
      </c>
      <c r="AJ64" s="170"/>
      <c r="AK64" s="167">
        <v>46081</v>
      </c>
      <c r="AL64" s="160" t="s">
        <v>189</v>
      </c>
      <c r="AM64" s="165"/>
    </row>
    <row r="65" spans="1:39" s="135" customFormat="1" hidden="1">
      <c r="A65" s="152"/>
      <c r="B65" s="164" t="str">
        <f t="shared" si="3"/>
        <v>JP_AMAZON</v>
      </c>
      <c r="C65" s="164" t="s">
        <v>30</v>
      </c>
      <c r="D65" s="164" t="s">
        <v>30</v>
      </c>
      <c r="E65" s="173" t="s">
        <v>307</v>
      </c>
      <c r="F65" s="164" t="s">
        <v>127</v>
      </c>
      <c r="G65" s="164" t="s">
        <v>127</v>
      </c>
      <c r="H65" s="193" t="s">
        <v>262</v>
      </c>
      <c r="I65" s="193" t="s">
        <v>308</v>
      </c>
      <c r="J65" s="164" t="s">
        <v>198</v>
      </c>
      <c r="K65" s="164" t="s">
        <v>199</v>
      </c>
      <c r="L65" s="162" t="s">
        <v>194</v>
      </c>
      <c r="M65" s="163">
        <v>45658</v>
      </c>
      <c r="N65" s="150">
        <v>20230516</v>
      </c>
      <c r="O65" s="150">
        <v>99991231</v>
      </c>
      <c r="P65" s="188" t="s">
        <v>126</v>
      </c>
      <c r="Q65" s="188" t="s">
        <v>126</v>
      </c>
      <c r="R65" s="188" t="s">
        <v>126</v>
      </c>
      <c r="S65" s="188" t="s">
        <v>126</v>
      </c>
      <c r="T65" s="189" t="s">
        <v>188</v>
      </c>
      <c r="U65" s="188" t="s">
        <v>126</v>
      </c>
      <c r="V65" s="188" t="s">
        <v>126</v>
      </c>
      <c r="W65" s="188" t="s">
        <v>126</v>
      </c>
      <c r="X65" s="188"/>
      <c r="Y65" s="188"/>
      <c r="Z65" s="188"/>
      <c r="AA65" s="189" t="s">
        <v>188</v>
      </c>
      <c r="AB65" s="188" t="s">
        <v>126</v>
      </c>
      <c r="AC65" s="188"/>
      <c r="AD65" s="188"/>
      <c r="AE65" s="188"/>
      <c r="AF65" s="188"/>
      <c r="AG65" s="164">
        <f t="shared" si="1"/>
        <v>5</v>
      </c>
      <c r="AH65" s="164">
        <f t="shared" si="2"/>
        <v>10</v>
      </c>
      <c r="AI65" s="160" t="e">
        <f>VLOOKUP(B65,'[15]rank 수집제한 리스트 (신,구)'!$F$3:$J$16,5,FALSE)</f>
        <v>#N/A</v>
      </c>
      <c r="AJ65" s="170"/>
      <c r="AK65" s="167">
        <v>46081</v>
      </c>
      <c r="AL65" s="160" t="s">
        <v>189</v>
      </c>
    </row>
    <row r="66" spans="1:39" s="135" customFormat="1" hidden="1">
      <c r="B66" s="164" t="str">
        <f t="shared" si="3"/>
        <v>BR_SS.com</v>
      </c>
      <c r="C66" s="164" t="s">
        <v>17</v>
      </c>
      <c r="D66" s="164" t="s">
        <v>45</v>
      </c>
      <c r="E66" s="173" t="s">
        <v>309</v>
      </c>
      <c r="F66" s="164" t="s">
        <v>127</v>
      </c>
      <c r="G66" s="164" t="s">
        <v>183</v>
      </c>
      <c r="H66" s="193" t="s">
        <v>184</v>
      </c>
      <c r="I66" s="193" t="s">
        <v>310</v>
      </c>
      <c r="J66" s="164" t="s">
        <v>186</v>
      </c>
      <c r="K66" s="164" t="s">
        <v>187</v>
      </c>
      <c r="L66" s="162" t="s">
        <v>124</v>
      </c>
      <c r="M66" s="172">
        <v>45771</v>
      </c>
      <c r="N66" s="162">
        <v>20250422</v>
      </c>
      <c r="O66" s="162">
        <v>99991231</v>
      </c>
      <c r="P66" s="188" t="s">
        <v>126</v>
      </c>
      <c r="Q66" s="188" t="s">
        <v>126</v>
      </c>
      <c r="R66" s="188" t="s">
        <v>126</v>
      </c>
      <c r="S66" s="188" t="s">
        <v>126</v>
      </c>
      <c r="T66" s="188" t="s">
        <v>126</v>
      </c>
      <c r="U66" s="189" t="s">
        <v>188</v>
      </c>
      <c r="V66" s="189" t="s">
        <v>188</v>
      </c>
      <c r="W66" s="189" t="s">
        <v>188</v>
      </c>
      <c r="X66" s="188"/>
      <c r="Y66" s="188"/>
      <c r="Z66" s="188"/>
      <c r="AA66" s="188" t="s">
        <v>126</v>
      </c>
      <c r="AB66" s="188"/>
      <c r="AC66" s="188"/>
      <c r="AD66" s="188"/>
      <c r="AE66" s="188"/>
      <c r="AF66" s="188"/>
      <c r="AG66" s="164">
        <f t="shared" si="1"/>
        <v>5</v>
      </c>
      <c r="AH66" s="164">
        <f t="shared" si="2"/>
        <v>9</v>
      </c>
      <c r="AI66" s="170" t="e">
        <f>VLOOKUP(B66,'[15]rank 수집제한 리스트 (신,구)'!$F$3:$J$16,5,FALSE)</f>
        <v>#N/A</v>
      </c>
      <c r="AJ66" s="170"/>
      <c r="AK66" s="167">
        <v>46081</v>
      </c>
      <c r="AL66" s="170" t="s">
        <v>189</v>
      </c>
      <c r="AM66" s="165"/>
    </row>
    <row r="67" spans="1:39" s="135" customFormat="1" hidden="1">
      <c r="B67" s="162" t="str">
        <f t="shared" si="3"/>
        <v>BR_MERCADOLIVRE</v>
      </c>
      <c r="C67" s="162" t="s">
        <v>32</v>
      </c>
      <c r="D67" s="162" t="s">
        <v>33</v>
      </c>
      <c r="E67" s="162" t="s">
        <v>311</v>
      </c>
      <c r="F67" s="162" t="s">
        <v>127</v>
      </c>
      <c r="G67" s="162" t="s">
        <v>183</v>
      </c>
      <c r="H67" s="192" t="s">
        <v>312</v>
      </c>
      <c r="I67" s="193" t="s">
        <v>313</v>
      </c>
      <c r="J67" s="164" t="s">
        <v>314</v>
      </c>
      <c r="K67" s="164" t="s">
        <v>315</v>
      </c>
      <c r="L67" s="162" t="s">
        <v>194</v>
      </c>
      <c r="M67" s="172">
        <v>45761</v>
      </c>
      <c r="N67" s="162">
        <v>20250413</v>
      </c>
      <c r="O67" s="162">
        <v>99991231</v>
      </c>
      <c r="P67" s="188" t="s">
        <v>126</v>
      </c>
      <c r="Q67" s="188" t="s">
        <v>126</v>
      </c>
      <c r="R67" s="188" t="s">
        <v>126</v>
      </c>
      <c r="S67" s="188" t="s">
        <v>126</v>
      </c>
      <c r="T67" s="188" t="s">
        <v>126</v>
      </c>
      <c r="U67" s="188" t="s">
        <v>126</v>
      </c>
      <c r="V67" s="188" t="s">
        <v>126</v>
      </c>
      <c r="W67" s="188" t="s">
        <v>126</v>
      </c>
      <c r="X67" s="188"/>
      <c r="Y67" s="188"/>
      <c r="Z67" s="188"/>
      <c r="AA67" s="189" t="s">
        <v>188</v>
      </c>
      <c r="AB67" s="188"/>
      <c r="AC67" s="188"/>
      <c r="AD67" s="188"/>
      <c r="AE67" s="188"/>
      <c r="AF67" s="188"/>
      <c r="AG67" s="164">
        <f t="shared" si="1"/>
        <v>5</v>
      </c>
      <c r="AH67" s="164">
        <f t="shared" si="2"/>
        <v>9</v>
      </c>
      <c r="AI67" s="170" t="e">
        <f>VLOOKUP(B67,'[15]rank 수집제한 리스트 (신,구)'!$F$3:$J$16,5,FALSE)</f>
        <v>#N/A</v>
      </c>
      <c r="AJ67" s="170"/>
      <c r="AK67" s="167">
        <v>46081</v>
      </c>
      <c r="AL67" s="170" t="s">
        <v>189</v>
      </c>
    </row>
    <row r="68" spans="1:39" s="135" customFormat="1" ht="17.399999999999999" hidden="1">
      <c r="B68" s="162" t="str">
        <f t="shared" si="3"/>
        <v>BR_AMERICANAS</v>
      </c>
      <c r="C68" s="162" t="s">
        <v>32</v>
      </c>
      <c r="D68" s="162" t="s">
        <v>33</v>
      </c>
      <c r="E68" s="162" t="s">
        <v>311</v>
      </c>
      <c r="F68" s="162" t="s">
        <v>127</v>
      </c>
      <c r="G68" s="162" t="s">
        <v>183</v>
      </c>
      <c r="H68" s="192" t="s">
        <v>316</v>
      </c>
      <c r="I68" s="244" t="s">
        <v>317</v>
      </c>
      <c r="J68" s="164" t="s">
        <v>224</v>
      </c>
      <c r="K68" s="164" t="s">
        <v>205</v>
      </c>
      <c r="L68" s="162" t="s">
        <v>194</v>
      </c>
      <c r="M68" s="172">
        <v>45761</v>
      </c>
      <c r="N68" s="162">
        <v>20250413</v>
      </c>
      <c r="O68" s="162">
        <v>99991231</v>
      </c>
      <c r="P68" s="188" t="s">
        <v>126</v>
      </c>
      <c r="Q68" s="188" t="s">
        <v>126</v>
      </c>
      <c r="R68" s="188" t="s">
        <v>126</v>
      </c>
      <c r="S68" s="188" t="s">
        <v>126</v>
      </c>
      <c r="T68" s="188" t="s">
        <v>126</v>
      </c>
      <c r="U68" s="188" t="s">
        <v>126</v>
      </c>
      <c r="V68" s="188" t="s">
        <v>126</v>
      </c>
      <c r="W68" s="188" t="s">
        <v>126</v>
      </c>
      <c r="X68" s="188"/>
      <c r="Y68" s="188"/>
      <c r="Z68" s="188"/>
      <c r="AA68" s="189" t="s">
        <v>200</v>
      </c>
      <c r="AB68" s="188"/>
      <c r="AC68" s="188"/>
      <c r="AD68" s="188"/>
      <c r="AE68" s="188"/>
      <c r="AF68" s="188"/>
      <c r="AG68" s="164">
        <f t="shared" si="1"/>
        <v>5</v>
      </c>
      <c r="AH68" s="164">
        <f t="shared" si="2"/>
        <v>9</v>
      </c>
      <c r="AI68" s="170" t="e">
        <f>VLOOKUP(B68,'[15]rank 수집제한 리스트 (신,구)'!$F$3:$J$16,5,FALSE)</f>
        <v>#N/A</v>
      </c>
      <c r="AJ68" s="170"/>
      <c r="AK68" s="167">
        <v>46081</v>
      </c>
      <c r="AL68" s="170" t="s">
        <v>189</v>
      </c>
    </row>
    <row r="69" spans="1:39" s="135" customFormat="1" hidden="1">
      <c r="B69" s="164" t="str">
        <f t="shared" si="3"/>
        <v>BR_MAGAZINELUIZA</v>
      </c>
      <c r="C69" s="164" t="s">
        <v>32</v>
      </c>
      <c r="D69" s="164" t="s">
        <v>33</v>
      </c>
      <c r="E69" s="173" t="s">
        <v>311</v>
      </c>
      <c r="F69" s="164" t="s">
        <v>127</v>
      </c>
      <c r="G69" s="164" t="s">
        <v>127</v>
      </c>
      <c r="H69" s="193" t="s">
        <v>318</v>
      </c>
      <c r="I69" s="193" t="s">
        <v>319</v>
      </c>
      <c r="J69" s="164" t="s">
        <v>224</v>
      </c>
      <c r="K69" s="164" t="s">
        <v>205</v>
      </c>
      <c r="L69" s="162" t="s">
        <v>194</v>
      </c>
      <c r="M69" s="163">
        <v>45658</v>
      </c>
      <c r="N69" s="162">
        <v>20240301</v>
      </c>
      <c r="O69" s="162">
        <v>99991231</v>
      </c>
      <c r="P69" s="188" t="s">
        <v>126</v>
      </c>
      <c r="Q69" s="188" t="s">
        <v>126</v>
      </c>
      <c r="R69" s="188" t="s">
        <v>126</v>
      </c>
      <c r="S69" s="188" t="s">
        <v>126</v>
      </c>
      <c r="T69" s="188" t="s">
        <v>126</v>
      </c>
      <c r="U69" s="188" t="s">
        <v>126</v>
      </c>
      <c r="V69" s="188" t="s">
        <v>126</v>
      </c>
      <c r="W69" s="188" t="s">
        <v>126</v>
      </c>
      <c r="X69" s="188"/>
      <c r="Y69" s="188"/>
      <c r="Z69" s="188"/>
      <c r="AA69" s="189" t="s">
        <v>188</v>
      </c>
      <c r="AB69" s="188"/>
      <c r="AC69" s="188"/>
      <c r="AD69" s="188"/>
      <c r="AE69" s="188"/>
      <c r="AF69" s="188"/>
      <c r="AG69" s="164">
        <f t="shared" si="1"/>
        <v>5</v>
      </c>
      <c r="AH69" s="164">
        <f t="shared" si="2"/>
        <v>9</v>
      </c>
      <c r="AI69" s="170">
        <f>VLOOKUP(B69,'[15]rank 수집제한 리스트 (신,구)'!$F$3:$J$16,5,FALSE)</f>
        <v>500</v>
      </c>
      <c r="AJ69" s="170"/>
      <c r="AK69" s="167">
        <v>46081</v>
      </c>
      <c r="AL69" s="170" t="s">
        <v>189</v>
      </c>
    </row>
    <row r="70" spans="1:39" s="135" customFormat="1" hidden="1">
      <c r="B70" s="164" t="str">
        <f t="shared" si="3"/>
        <v>BR_AMAZON</v>
      </c>
      <c r="C70" s="164" t="s">
        <v>32</v>
      </c>
      <c r="D70" s="164" t="s">
        <v>33</v>
      </c>
      <c r="E70" s="173" t="s">
        <v>311</v>
      </c>
      <c r="F70" s="173" t="s">
        <v>127</v>
      </c>
      <c r="G70" s="173" t="s">
        <v>127</v>
      </c>
      <c r="H70" s="170" t="s">
        <v>262</v>
      </c>
      <c r="I70" s="193" t="s">
        <v>320</v>
      </c>
      <c r="J70" s="164" t="s">
        <v>198</v>
      </c>
      <c r="K70" s="238" t="s">
        <v>199</v>
      </c>
      <c r="L70" s="162" t="s">
        <v>194</v>
      </c>
      <c r="M70" s="163">
        <v>45658</v>
      </c>
      <c r="N70" s="162">
        <v>20240404</v>
      </c>
      <c r="O70" s="162">
        <v>99991231</v>
      </c>
      <c r="P70" s="189" t="s">
        <v>188</v>
      </c>
      <c r="Q70" s="189" t="s">
        <v>188</v>
      </c>
      <c r="R70" s="188" t="s">
        <v>126</v>
      </c>
      <c r="S70" s="188" t="s">
        <v>126</v>
      </c>
      <c r="T70" s="189" t="s">
        <v>188</v>
      </c>
      <c r="U70" s="189" t="s">
        <v>188</v>
      </c>
      <c r="V70" s="189" t="s">
        <v>188</v>
      </c>
      <c r="W70" s="189" t="s">
        <v>188</v>
      </c>
      <c r="X70" s="188"/>
      <c r="Y70" s="188"/>
      <c r="Z70" s="188"/>
      <c r="AA70" s="189" t="s">
        <v>188</v>
      </c>
      <c r="AB70" s="188"/>
      <c r="AC70" s="188"/>
      <c r="AD70" s="188"/>
      <c r="AE70" s="188"/>
      <c r="AF70" s="188"/>
      <c r="AG70" s="164">
        <f t="shared" si="1"/>
        <v>5</v>
      </c>
      <c r="AH70" s="164">
        <f t="shared" si="2"/>
        <v>9</v>
      </c>
      <c r="AI70" s="170" t="e">
        <f>VLOOKUP(B70,'[15]rank 수집제한 리스트 (신,구)'!$F$3:$J$16,5,FALSE)</f>
        <v>#N/A</v>
      </c>
      <c r="AJ70" s="174"/>
      <c r="AK70" s="167">
        <v>46081</v>
      </c>
      <c r="AL70" s="170" t="s">
        <v>189</v>
      </c>
    </row>
    <row r="71" spans="1:39" s="135" customFormat="1" hidden="1">
      <c r="B71" s="162" t="str">
        <f t="shared" si="3"/>
        <v>BR_LG.com</v>
      </c>
      <c r="C71" s="162" t="s">
        <v>17</v>
      </c>
      <c r="D71" s="162" t="s">
        <v>45</v>
      </c>
      <c r="E71" s="162" t="s">
        <v>311</v>
      </c>
      <c r="F71" s="162" t="s">
        <v>127</v>
      </c>
      <c r="G71" s="162" t="s">
        <v>183</v>
      </c>
      <c r="H71" s="192" t="s">
        <v>321</v>
      </c>
      <c r="I71" s="193" t="s">
        <v>322</v>
      </c>
      <c r="J71" s="164" t="s">
        <v>186</v>
      </c>
      <c r="K71" s="164" t="s">
        <v>187</v>
      </c>
      <c r="L71" s="162" t="s">
        <v>194</v>
      </c>
      <c r="M71" s="163">
        <v>45796</v>
      </c>
      <c r="N71" s="162">
        <v>20240508</v>
      </c>
      <c r="O71" s="162">
        <v>99991231</v>
      </c>
      <c r="P71" s="188" t="s">
        <v>126</v>
      </c>
      <c r="Q71" s="188" t="s">
        <v>126</v>
      </c>
      <c r="R71" s="188" t="s">
        <v>126</v>
      </c>
      <c r="S71" s="188" t="s">
        <v>126</v>
      </c>
      <c r="T71" s="188" t="s">
        <v>126</v>
      </c>
      <c r="U71" s="189" t="s">
        <v>188</v>
      </c>
      <c r="V71" s="189" t="s">
        <v>188</v>
      </c>
      <c r="W71" s="189" t="s">
        <v>228</v>
      </c>
      <c r="X71" s="188"/>
      <c r="Y71" s="188"/>
      <c r="Z71" s="188"/>
      <c r="AA71" s="189" t="s">
        <v>228</v>
      </c>
      <c r="AB71" s="188"/>
      <c r="AC71" s="188"/>
      <c r="AD71" s="188"/>
      <c r="AE71" s="188"/>
      <c r="AF71" s="188"/>
      <c r="AG71" s="164">
        <f t="shared" si="1"/>
        <v>5</v>
      </c>
      <c r="AH71" s="164">
        <f t="shared" si="2"/>
        <v>7</v>
      </c>
      <c r="AI71" s="170" t="e">
        <f>VLOOKUP(B71,'[15]rank 수집제한 리스트 (신,구)'!$F$3:$J$16,5,FALSE)</f>
        <v>#N/A</v>
      </c>
      <c r="AJ71" s="170" t="s">
        <v>323</v>
      </c>
      <c r="AK71" s="167">
        <v>46081</v>
      </c>
      <c r="AL71" s="170" t="s">
        <v>189</v>
      </c>
      <c r="AM71" s="165"/>
    </row>
    <row r="72" spans="1:39" s="135" customFormat="1" hidden="1">
      <c r="B72" s="162" t="str">
        <f t="shared" si="3"/>
        <v>BR_FASTSHOP</v>
      </c>
      <c r="C72" s="162" t="s">
        <v>17</v>
      </c>
      <c r="D72" s="162" t="s">
        <v>45</v>
      </c>
      <c r="E72" s="162" t="s">
        <v>311</v>
      </c>
      <c r="F72" s="162" t="s">
        <v>127</v>
      </c>
      <c r="G72" s="162" t="s">
        <v>183</v>
      </c>
      <c r="H72" s="192" t="s">
        <v>324</v>
      </c>
      <c r="I72" s="193" t="s">
        <v>325</v>
      </c>
      <c r="J72" s="164" t="s">
        <v>314</v>
      </c>
      <c r="K72" s="164" t="s">
        <v>205</v>
      </c>
      <c r="L72" s="162" t="s">
        <v>124</v>
      </c>
      <c r="M72" s="175">
        <v>45818</v>
      </c>
      <c r="N72" s="162">
        <v>20240610</v>
      </c>
      <c r="O72" s="162">
        <v>99991231</v>
      </c>
      <c r="P72" s="188" t="s">
        <v>126</v>
      </c>
      <c r="Q72" s="188" t="s">
        <v>126</v>
      </c>
      <c r="R72" s="188" t="s">
        <v>126</v>
      </c>
      <c r="S72" s="188" t="s">
        <v>126</v>
      </c>
      <c r="T72" s="188" t="s">
        <v>126</v>
      </c>
      <c r="U72" s="188" t="s">
        <v>126</v>
      </c>
      <c r="V72" s="188" t="s">
        <v>126</v>
      </c>
      <c r="W72" s="188" t="s">
        <v>126</v>
      </c>
      <c r="X72" s="188"/>
      <c r="Y72" s="188"/>
      <c r="Z72" s="188"/>
      <c r="AA72" s="189" t="s">
        <v>188</v>
      </c>
      <c r="AB72" s="188"/>
      <c r="AC72" s="188"/>
      <c r="AD72" s="188"/>
      <c r="AE72" s="188"/>
      <c r="AF72" s="188"/>
      <c r="AG72" s="164">
        <f t="shared" si="1"/>
        <v>5</v>
      </c>
      <c r="AH72" s="164">
        <f t="shared" si="2"/>
        <v>9</v>
      </c>
      <c r="AI72" s="170" t="e">
        <f>VLOOKUP(B72,'[15]rank 수집제한 리스트 (신,구)'!$F$3:$J$16,5,FALSE)</f>
        <v>#N/A</v>
      </c>
      <c r="AJ72" s="170"/>
      <c r="AK72" s="167">
        <v>46081</v>
      </c>
      <c r="AL72" s="170" t="s">
        <v>189</v>
      </c>
    </row>
    <row r="73" spans="1:39" s="135" customFormat="1" hidden="1">
      <c r="A73" s="152"/>
      <c r="B73" s="149" t="str">
        <f t="shared" si="3"/>
        <v>CL_FALABELLA</v>
      </c>
      <c r="C73" s="149" t="s">
        <v>32</v>
      </c>
      <c r="D73" s="149" t="s">
        <v>34</v>
      </c>
      <c r="E73" s="229" t="s">
        <v>326</v>
      </c>
      <c r="F73" s="149" t="s">
        <v>127</v>
      </c>
      <c r="G73" s="149" t="s">
        <v>127</v>
      </c>
      <c r="H73" s="230" t="s">
        <v>327</v>
      </c>
      <c r="I73" s="230" t="s">
        <v>328</v>
      </c>
      <c r="J73" s="149" t="s">
        <v>224</v>
      </c>
      <c r="K73" s="149" t="s">
        <v>205</v>
      </c>
      <c r="L73" s="150" t="s">
        <v>124</v>
      </c>
      <c r="M73" s="171">
        <v>45658</v>
      </c>
      <c r="N73" s="150">
        <v>20240301</v>
      </c>
      <c r="O73" s="150">
        <v>99991231</v>
      </c>
      <c r="P73" s="188" t="s">
        <v>126</v>
      </c>
      <c r="Q73" s="188" t="s">
        <v>126</v>
      </c>
      <c r="R73" s="188" t="s">
        <v>126</v>
      </c>
      <c r="S73" s="189" t="s">
        <v>188</v>
      </c>
      <c r="T73" s="189" t="s">
        <v>188</v>
      </c>
      <c r="U73" s="188" t="s">
        <v>126</v>
      </c>
      <c r="V73" s="188" t="s">
        <v>126</v>
      </c>
      <c r="W73" s="188" t="s">
        <v>126</v>
      </c>
      <c r="X73" s="188"/>
      <c r="Y73" s="188"/>
      <c r="Z73" s="188"/>
      <c r="AA73" s="189" t="s">
        <v>188</v>
      </c>
      <c r="AB73" s="188"/>
      <c r="AC73" s="188"/>
      <c r="AD73" s="188"/>
      <c r="AE73" s="188"/>
      <c r="AF73" s="188"/>
      <c r="AG73" s="164">
        <f t="shared" si="1"/>
        <v>5</v>
      </c>
      <c r="AH73" s="164">
        <f t="shared" si="2"/>
        <v>9</v>
      </c>
      <c r="AI73" s="160" t="e">
        <f>VLOOKUP(B73,'[15]rank 수집제한 리스트 (신,구)'!$F$3:$J$16,5,FALSE)</f>
        <v>#N/A</v>
      </c>
      <c r="AJ73" s="160"/>
      <c r="AK73" s="167">
        <v>46081</v>
      </c>
      <c r="AL73" s="160" t="s">
        <v>189</v>
      </c>
    </row>
    <row r="74" spans="1:39" s="135" customFormat="1" hidden="1">
      <c r="A74" s="152"/>
      <c r="B74" s="149" t="str">
        <f t="shared" si="3"/>
        <v>MX_SS.com</v>
      </c>
      <c r="C74" s="149" t="s">
        <v>17</v>
      </c>
      <c r="D74" s="149" t="s">
        <v>46</v>
      </c>
      <c r="E74" s="229" t="s">
        <v>329</v>
      </c>
      <c r="F74" s="149" t="s">
        <v>127</v>
      </c>
      <c r="G74" s="149" t="s">
        <v>183</v>
      </c>
      <c r="H74" s="230" t="s">
        <v>184</v>
      </c>
      <c r="I74" s="230" t="s">
        <v>330</v>
      </c>
      <c r="J74" s="149" t="s">
        <v>186</v>
      </c>
      <c r="K74" s="149" t="s">
        <v>187</v>
      </c>
      <c r="L74" s="150" t="s">
        <v>124</v>
      </c>
      <c r="M74" s="151">
        <v>45780</v>
      </c>
      <c r="N74" s="150">
        <v>20250502</v>
      </c>
      <c r="O74" s="150">
        <v>99991231</v>
      </c>
      <c r="P74" s="188" t="s">
        <v>126</v>
      </c>
      <c r="Q74" s="188" t="s">
        <v>126</v>
      </c>
      <c r="R74" s="188" t="s">
        <v>126</v>
      </c>
      <c r="S74" s="188" t="s">
        <v>126</v>
      </c>
      <c r="T74" s="188" t="s">
        <v>126</v>
      </c>
      <c r="U74" s="189" t="s">
        <v>188</v>
      </c>
      <c r="V74" s="189" t="s">
        <v>188</v>
      </c>
      <c r="W74" s="189" t="s">
        <v>188</v>
      </c>
      <c r="X74" s="188"/>
      <c r="Y74" s="188"/>
      <c r="Z74" s="188"/>
      <c r="AA74" s="188" t="s">
        <v>126</v>
      </c>
      <c r="AB74" s="188"/>
      <c r="AC74" s="188"/>
      <c r="AD74" s="188"/>
      <c r="AE74" s="188"/>
      <c r="AF74" s="188"/>
      <c r="AG74" s="164">
        <f t="shared" si="1"/>
        <v>5</v>
      </c>
      <c r="AH74" s="164">
        <f t="shared" si="2"/>
        <v>9</v>
      </c>
      <c r="AI74" s="160" t="e">
        <f>VLOOKUP(B74,'[15]rank 수집제한 리스트 (신,구)'!$F$3:$J$16,5,FALSE)</f>
        <v>#N/A</v>
      </c>
      <c r="AJ74" s="170"/>
      <c r="AK74" s="167">
        <v>46081</v>
      </c>
      <c r="AL74" s="160" t="s">
        <v>189</v>
      </c>
    </row>
    <row r="75" spans="1:39" s="135" customFormat="1" hidden="1">
      <c r="A75" s="152"/>
      <c r="B75" s="162" t="str">
        <f t="shared" si="3"/>
        <v>MX_LIVERPOOL</v>
      </c>
      <c r="C75" s="162" t="s">
        <v>32</v>
      </c>
      <c r="D75" s="162" t="s">
        <v>35</v>
      </c>
      <c r="E75" s="162" t="s">
        <v>331</v>
      </c>
      <c r="F75" s="162" t="s">
        <v>127</v>
      </c>
      <c r="G75" s="162" t="s">
        <v>127</v>
      </c>
      <c r="H75" s="192" t="s">
        <v>332</v>
      </c>
      <c r="I75" s="193" t="s">
        <v>333</v>
      </c>
      <c r="J75" s="149" t="s">
        <v>224</v>
      </c>
      <c r="K75" s="162" t="s">
        <v>199</v>
      </c>
      <c r="L75" s="162" t="s">
        <v>194</v>
      </c>
      <c r="M75" s="163">
        <v>45658</v>
      </c>
      <c r="N75" s="150">
        <v>20230213</v>
      </c>
      <c r="O75" s="150">
        <v>99991231</v>
      </c>
      <c r="P75" s="188" t="s">
        <v>126</v>
      </c>
      <c r="Q75" s="188" t="s">
        <v>126</v>
      </c>
      <c r="R75" s="188" t="s">
        <v>126</v>
      </c>
      <c r="S75" s="188" t="s">
        <v>126</v>
      </c>
      <c r="T75" s="188" t="s">
        <v>126</v>
      </c>
      <c r="U75" s="189" t="s">
        <v>188</v>
      </c>
      <c r="V75" s="189" t="s">
        <v>188</v>
      </c>
      <c r="W75" s="189" t="s">
        <v>188</v>
      </c>
      <c r="X75" s="188"/>
      <c r="Y75" s="188"/>
      <c r="Z75" s="188"/>
      <c r="AA75" s="189" t="s">
        <v>188</v>
      </c>
      <c r="AB75" s="188"/>
      <c r="AC75" s="188"/>
      <c r="AD75" s="188"/>
      <c r="AE75" s="188"/>
      <c r="AF75" s="188"/>
      <c r="AG75" s="164">
        <f t="shared" si="1"/>
        <v>5</v>
      </c>
      <c r="AH75" s="164">
        <f t="shared" si="2"/>
        <v>9</v>
      </c>
      <c r="AI75" s="160" t="e">
        <f>VLOOKUP(B75,'[15]rank 수집제한 리스트 (신,구)'!$F$3:$J$16,5,FALSE)</f>
        <v>#N/A</v>
      </c>
      <c r="AJ75" s="170"/>
      <c r="AK75" s="167">
        <v>46081</v>
      </c>
      <c r="AL75" s="160" t="s">
        <v>189</v>
      </c>
      <c r="AM75" s="165"/>
    </row>
    <row r="76" spans="1:39" s="135" customFormat="1" hidden="1">
      <c r="A76" s="147"/>
      <c r="B76" s="231" t="str">
        <f t="shared" si="3"/>
        <v>MX_LG.com</v>
      </c>
      <c r="C76" s="153" t="s">
        <v>17</v>
      </c>
      <c r="D76" s="153" t="s">
        <v>46</v>
      </c>
      <c r="E76" s="155" t="s">
        <v>329</v>
      </c>
      <c r="F76" s="154"/>
      <c r="G76" s="154"/>
      <c r="H76" s="156" t="s">
        <v>190</v>
      </c>
      <c r="I76" s="156" t="s">
        <v>334</v>
      </c>
      <c r="J76" s="153" t="s">
        <v>192</v>
      </c>
      <c r="K76" s="157" t="s">
        <v>193</v>
      </c>
      <c r="L76" s="158" t="s">
        <v>194</v>
      </c>
      <c r="M76" s="159">
        <v>46024</v>
      </c>
      <c r="N76" s="158">
        <v>20260102</v>
      </c>
      <c r="O76" s="158">
        <v>99991231</v>
      </c>
      <c r="P76" s="191" t="s">
        <v>188</v>
      </c>
      <c r="Q76" s="191" t="s">
        <v>188</v>
      </c>
      <c r="R76" s="191" t="s">
        <v>188</v>
      </c>
      <c r="S76" s="191" t="s">
        <v>188</v>
      </c>
      <c r="T76" s="191" t="s">
        <v>188</v>
      </c>
      <c r="U76" s="191" t="s">
        <v>188</v>
      </c>
      <c r="V76" s="191" t="s">
        <v>188</v>
      </c>
      <c r="W76" s="191" t="s">
        <v>188</v>
      </c>
      <c r="X76" s="166"/>
      <c r="Y76" s="166"/>
      <c r="Z76" s="166"/>
      <c r="AA76" s="191" t="s">
        <v>188</v>
      </c>
      <c r="AB76" s="166"/>
      <c r="AC76" s="166"/>
      <c r="AD76" s="166"/>
      <c r="AE76" s="166"/>
      <c r="AF76" s="166"/>
      <c r="AG76" s="231">
        <f t="shared" si="1"/>
        <v>5</v>
      </c>
      <c r="AH76" s="231">
        <f t="shared" si="2"/>
        <v>9</v>
      </c>
      <c r="AI76" s="154" t="e">
        <f>VLOOKUP(B76,'[15]rank 수집제한 리스트 (신,구)'!$F$3:$J$16,5,FALSE)</f>
        <v>#N/A</v>
      </c>
      <c r="AJ76" s="154"/>
      <c r="AK76" s="232">
        <v>46081</v>
      </c>
      <c r="AL76" s="154" t="s">
        <v>189</v>
      </c>
      <c r="AM76" s="165"/>
    </row>
    <row r="77" spans="1:39" s="135" customFormat="1" hidden="1">
      <c r="A77" s="147"/>
      <c r="B77" s="231" t="str">
        <f t="shared" ref="B77:B108" si="4">E77&amp;"_"&amp;H77</f>
        <v>MX_COPPEL</v>
      </c>
      <c r="C77" s="166" t="s">
        <v>32</v>
      </c>
      <c r="D77" s="166" t="s">
        <v>35</v>
      </c>
      <c r="E77" s="166" t="s">
        <v>331</v>
      </c>
      <c r="F77" s="154"/>
      <c r="G77" s="154"/>
      <c r="H77" s="156" t="s">
        <v>335</v>
      </c>
      <c r="I77" s="156" t="s">
        <v>336</v>
      </c>
      <c r="J77" s="153" t="s">
        <v>224</v>
      </c>
      <c r="K77" s="157" t="s">
        <v>193</v>
      </c>
      <c r="L77" s="158" t="s">
        <v>194</v>
      </c>
      <c r="M77" s="159">
        <v>46023</v>
      </c>
      <c r="N77" s="158">
        <v>20260101</v>
      </c>
      <c r="O77" s="158">
        <v>99991231</v>
      </c>
      <c r="P77" s="191" t="s">
        <v>188</v>
      </c>
      <c r="Q77" s="191" t="s">
        <v>188</v>
      </c>
      <c r="R77" s="191" t="s">
        <v>188</v>
      </c>
      <c r="S77" s="191" t="s">
        <v>188</v>
      </c>
      <c r="T77" s="191" t="s">
        <v>188</v>
      </c>
      <c r="U77" s="191" t="s">
        <v>188</v>
      </c>
      <c r="V77" s="191" t="s">
        <v>188</v>
      </c>
      <c r="W77" s="191" t="s">
        <v>188</v>
      </c>
      <c r="X77" s="166"/>
      <c r="Y77" s="166"/>
      <c r="Z77" s="166"/>
      <c r="AA77" s="191" t="s">
        <v>188</v>
      </c>
      <c r="AB77" s="166"/>
      <c r="AC77" s="166"/>
      <c r="AD77" s="166"/>
      <c r="AE77" s="166"/>
      <c r="AF77" s="166"/>
      <c r="AG77" s="231">
        <f t="shared" ref="AG77:AG91" si="5">COUNTIF(P77:T77, "YY") + COUNTIF(P77:T77, "YN") + COUNTIF(P77:T77, "NY")</f>
        <v>5</v>
      </c>
      <c r="AH77" s="231">
        <f t="shared" ref="AH77:AH91" si="6">COUNTIF(P77:AF77, "YY") + COUNTIF(P77:AF77, "YN") + COUNTIF(P77:AF77, "NY")</f>
        <v>9</v>
      </c>
      <c r="AI77" s="154" t="e">
        <f>VLOOKUP(B77,'[15]rank 수집제한 리스트 (신,구)'!$F$3:$J$16,5,FALSE)</f>
        <v>#N/A</v>
      </c>
      <c r="AJ77" s="154"/>
      <c r="AK77" s="232">
        <v>46081</v>
      </c>
      <c r="AL77" s="154" t="s">
        <v>189</v>
      </c>
      <c r="AM77" s="165"/>
    </row>
    <row r="78" spans="1:39" s="135" customFormat="1" ht="17.399999999999999" hidden="1">
      <c r="A78" s="147"/>
      <c r="B78" s="231" t="str">
        <f t="shared" si="4"/>
        <v>MX_SEARS</v>
      </c>
      <c r="C78" s="166" t="s">
        <v>32</v>
      </c>
      <c r="D78" s="166" t="s">
        <v>35</v>
      </c>
      <c r="E78" s="166" t="s">
        <v>331</v>
      </c>
      <c r="F78" s="154"/>
      <c r="G78" s="154"/>
      <c r="H78" s="156" t="s">
        <v>337</v>
      </c>
      <c r="I78" s="194" t="s">
        <v>338</v>
      </c>
      <c r="J78" s="153" t="s">
        <v>224</v>
      </c>
      <c r="K78" s="157" t="s">
        <v>193</v>
      </c>
      <c r="L78" s="158" t="s">
        <v>194</v>
      </c>
      <c r="M78" s="159">
        <v>46023</v>
      </c>
      <c r="N78" s="158">
        <v>20260101</v>
      </c>
      <c r="O78" s="158">
        <v>99991231</v>
      </c>
      <c r="P78" s="191" t="s">
        <v>188</v>
      </c>
      <c r="Q78" s="191" t="s">
        <v>188</v>
      </c>
      <c r="R78" s="191" t="s">
        <v>188</v>
      </c>
      <c r="S78" s="191" t="s">
        <v>188</v>
      </c>
      <c r="T78" s="191" t="s">
        <v>188</v>
      </c>
      <c r="U78" s="191" t="s">
        <v>188</v>
      </c>
      <c r="V78" s="191" t="s">
        <v>188</v>
      </c>
      <c r="W78" s="191" t="s">
        <v>188</v>
      </c>
      <c r="X78" s="166"/>
      <c r="Y78" s="166"/>
      <c r="Z78" s="166"/>
      <c r="AA78" s="191" t="s">
        <v>188</v>
      </c>
      <c r="AB78" s="166"/>
      <c r="AC78" s="166"/>
      <c r="AD78" s="166"/>
      <c r="AE78" s="166"/>
      <c r="AF78" s="166"/>
      <c r="AG78" s="231">
        <f t="shared" si="5"/>
        <v>5</v>
      </c>
      <c r="AH78" s="231">
        <f t="shared" si="6"/>
        <v>9</v>
      </c>
      <c r="AI78" s="154" t="e">
        <f>VLOOKUP(B78,'[15]rank 수집제한 리스트 (신,구)'!$F$3:$J$16,5,FALSE)</f>
        <v>#N/A</v>
      </c>
      <c r="AJ78" s="154"/>
      <c r="AK78" s="232">
        <v>46081</v>
      </c>
      <c r="AL78" s="154" t="s">
        <v>189</v>
      </c>
      <c r="AM78" s="165"/>
    </row>
    <row r="79" spans="1:39" s="135" customFormat="1" hidden="1">
      <c r="A79" s="152"/>
      <c r="B79" s="162" t="str">
        <f t="shared" si="4"/>
        <v>SA_EXTRA</v>
      </c>
      <c r="C79" s="162" t="s">
        <v>37</v>
      </c>
      <c r="D79" s="162" t="s">
        <v>38</v>
      </c>
      <c r="E79" s="162" t="s">
        <v>339</v>
      </c>
      <c r="F79" s="162" t="s">
        <v>127</v>
      </c>
      <c r="G79" s="162" t="s">
        <v>183</v>
      </c>
      <c r="H79" s="192" t="s">
        <v>340</v>
      </c>
      <c r="I79" s="237" t="s">
        <v>341</v>
      </c>
      <c r="J79" s="149" t="s">
        <v>204</v>
      </c>
      <c r="K79" s="162" t="s">
        <v>205</v>
      </c>
      <c r="L79" s="162" t="s">
        <v>194</v>
      </c>
      <c r="M79" s="163">
        <v>45658</v>
      </c>
      <c r="N79" s="150">
        <v>20220928</v>
      </c>
      <c r="O79" s="150">
        <v>99991231</v>
      </c>
      <c r="P79" s="188" t="s">
        <v>126</v>
      </c>
      <c r="Q79" s="188" t="s">
        <v>126</v>
      </c>
      <c r="R79" s="188" t="s">
        <v>126</v>
      </c>
      <c r="S79" s="188" t="s">
        <v>126</v>
      </c>
      <c r="T79" s="188" t="s">
        <v>126</v>
      </c>
      <c r="U79" s="188" t="s">
        <v>126</v>
      </c>
      <c r="V79" s="188" t="s">
        <v>126</v>
      </c>
      <c r="W79" s="188" t="s">
        <v>126</v>
      </c>
      <c r="X79" s="188"/>
      <c r="Y79" s="188"/>
      <c r="Z79" s="188" t="s">
        <v>126</v>
      </c>
      <c r="AA79" s="189" t="s">
        <v>188</v>
      </c>
      <c r="AB79" s="188"/>
      <c r="AC79" s="188"/>
      <c r="AD79" s="188"/>
      <c r="AE79" s="188"/>
      <c r="AF79" s="188"/>
      <c r="AG79" s="164">
        <f t="shared" si="5"/>
        <v>5</v>
      </c>
      <c r="AH79" s="164">
        <f t="shared" si="6"/>
        <v>10</v>
      </c>
      <c r="AI79" s="160" t="e">
        <f>VLOOKUP(B79,'[15]rank 수집제한 리스트 (신,구)'!$F$3:$J$16,5,FALSE)</f>
        <v>#N/A</v>
      </c>
      <c r="AJ79" s="170"/>
      <c r="AK79" s="167">
        <v>46081</v>
      </c>
      <c r="AL79" s="160" t="s">
        <v>189</v>
      </c>
    </row>
    <row r="80" spans="1:39" s="135" customFormat="1" hidden="1">
      <c r="A80" s="152"/>
      <c r="B80" s="149" t="str">
        <f t="shared" si="4"/>
        <v>CA_SS.com</v>
      </c>
      <c r="C80" s="149" t="s">
        <v>47</v>
      </c>
      <c r="D80" s="149" t="s">
        <v>48</v>
      </c>
      <c r="E80" s="229" t="s">
        <v>342</v>
      </c>
      <c r="F80" s="149" t="s">
        <v>127</v>
      </c>
      <c r="G80" s="149" t="s">
        <v>183</v>
      </c>
      <c r="H80" s="230" t="s">
        <v>184</v>
      </c>
      <c r="I80" s="230" t="s">
        <v>343</v>
      </c>
      <c r="J80" s="149" t="s">
        <v>186</v>
      </c>
      <c r="K80" s="149" t="s">
        <v>187</v>
      </c>
      <c r="L80" s="150" t="s">
        <v>124</v>
      </c>
      <c r="M80" s="151">
        <v>45780</v>
      </c>
      <c r="N80" s="150">
        <v>20250507</v>
      </c>
      <c r="O80" s="150">
        <v>99991231</v>
      </c>
      <c r="P80" s="188" t="s">
        <v>126</v>
      </c>
      <c r="Q80" s="188" t="s">
        <v>126</v>
      </c>
      <c r="R80" s="188" t="s">
        <v>126</v>
      </c>
      <c r="S80" s="188" t="s">
        <v>126</v>
      </c>
      <c r="T80" s="189" t="s">
        <v>228</v>
      </c>
      <c r="U80" s="189" t="s">
        <v>188</v>
      </c>
      <c r="V80" s="189" t="s">
        <v>188</v>
      </c>
      <c r="W80" s="189" t="s">
        <v>188</v>
      </c>
      <c r="X80" s="188"/>
      <c r="Y80" s="188"/>
      <c r="Z80" s="188"/>
      <c r="AA80" s="188" t="s">
        <v>126</v>
      </c>
      <c r="AB80" s="188"/>
      <c r="AC80" s="188"/>
      <c r="AD80" s="188"/>
      <c r="AE80" s="188"/>
      <c r="AF80" s="188"/>
      <c r="AG80" s="164">
        <f t="shared" si="5"/>
        <v>4</v>
      </c>
      <c r="AH80" s="164">
        <f t="shared" si="6"/>
        <v>8</v>
      </c>
      <c r="AI80" s="160" t="e">
        <f>VLOOKUP(B80,'[15]rank 수집제한 리스트 (신,구)'!$F$3:$J$16,5,FALSE)</f>
        <v>#N/A</v>
      </c>
      <c r="AJ80" s="170" t="s">
        <v>344</v>
      </c>
      <c r="AK80" s="167">
        <v>46081</v>
      </c>
      <c r="AL80" s="160" t="s">
        <v>189</v>
      </c>
      <c r="AM80" s="165"/>
    </row>
    <row r="81" spans="1:39" s="135" customFormat="1" hidden="1">
      <c r="A81" s="152"/>
      <c r="B81" s="162" t="str">
        <f t="shared" si="4"/>
        <v>CA_AMAZON</v>
      </c>
      <c r="C81" s="162" t="s">
        <v>39</v>
      </c>
      <c r="D81" s="162" t="s">
        <v>40</v>
      </c>
      <c r="E81" s="162" t="s">
        <v>345</v>
      </c>
      <c r="F81" s="162" t="s">
        <v>127</v>
      </c>
      <c r="G81" s="162" t="s">
        <v>127</v>
      </c>
      <c r="H81" s="192" t="s">
        <v>262</v>
      </c>
      <c r="I81" s="193" t="s">
        <v>346</v>
      </c>
      <c r="J81" s="164" t="s">
        <v>198</v>
      </c>
      <c r="K81" s="162" t="s">
        <v>199</v>
      </c>
      <c r="L81" s="162" t="s">
        <v>194</v>
      </c>
      <c r="M81" s="163">
        <v>45658</v>
      </c>
      <c r="N81" s="150">
        <v>20230516</v>
      </c>
      <c r="O81" s="150">
        <v>99991231</v>
      </c>
      <c r="P81" s="189" t="s">
        <v>188</v>
      </c>
      <c r="Q81" s="189" t="s">
        <v>188</v>
      </c>
      <c r="R81" s="188" t="s">
        <v>126</v>
      </c>
      <c r="S81" s="188" t="s">
        <v>126</v>
      </c>
      <c r="T81" s="189" t="s">
        <v>188</v>
      </c>
      <c r="U81" s="189" t="s">
        <v>188</v>
      </c>
      <c r="V81" s="189" t="s">
        <v>188</v>
      </c>
      <c r="W81" s="189" t="s">
        <v>188</v>
      </c>
      <c r="X81" s="188"/>
      <c r="Y81" s="188"/>
      <c r="Z81" s="188"/>
      <c r="AA81" s="189" t="s">
        <v>188</v>
      </c>
      <c r="AB81" s="188" t="s">
        <v>126</v>
      </c>
      <c r="AC81" s="188"/>
      <c r="AD81" s="188"/>
      <c r="AE81" s="188"/>
      <c r="AF81" s="188"/>
      <c r="AG81" s="164">
        <f t="shared" si="5"/>
        <v>5</v>
      </c>
      <c r="AH81" s="164">
        <f t="shared" si="6"/>
        <v>10</v>
      </c>
      <c r="AI81" s="160" t="e">
        <f>VLOOKUP(B81,'[15]rank 수집제한 리스트 (신,구)'!$F$3:$J$16,5,FALSE)</f>
        <v>#N/A</v>
      </c>
      <c r="AJ81" s="170"/>
      <c r="AK81" s="167">
        <v>46081</v>
      </c>
      <c r="AL81" s="160" t="s">
        <v>189</v>
      </c>
    </row>
    <row r="82" spans="1:39" s="135" customFormat="1" hidden="1">
      <c r="A82" s="195" t="s">
        <v>347</v>
      </c>
      <c r="B82" s="162" t="str">
        <f t="shared" si="4"/>
        <v>CA_BESTBUY</v>
      </c>
      <c r="C82" s="162" t="s">
        <v>39</v>
      </c>
      <c r="D82" s="162" t="s">
        <v>40</v>
      </c>
      <c r="E82" s="162" t="s">
        <v>345</v>
      </c>
      <c r="F82" s="162" t="s">
        <v>127</v>
      </c>
      <c r="G82" s="162" t="s">
        <v>127</v>
      </c>
      <c r="H82" s="192" t="s">
        <v>348</v>
      </c>
      <c r="I82" s="193" t="s">
        <v>349</v>
      </c>
      <c r="J82" s="164" t="s">
        <v>204</v>
      </c>
      <c r="K82" s="162" t="s">
        <v>205</v>
      </c>
      <c r="L82" s="162" t="s">
        <v>194</v>
      </c>
      <c r="M82" s="163">
        <v>45658</v>
      </c>
      <c r="N82" s="150">
        <v>20230519</v>
      </c>
      <c r="O82" s="150">
        <v>99991231</v>
      </c>
      <c r="P82" s="188" t="s">
        <v>126</v>
      </c>
      <c r="Q82" s="188" t="s">
        <v>126</v>
      </c>
      <c r="R82" s="188" t="s">
        <v>126</v>
      </c>
      <c r="S82" s="188" t="s">
        <v>126</v>
      </c>
      <c r="T82" s="189" t="s">
        <v>188</v>
      </c>
      <c r="U82" s="188" t="s">
        <v>126</v>
      </c>
      <c r="V82" s="188" t="s">
        <v>126</v>
      </c>
      <c r="W82" s="188" t="s">
        <v>126</v>
      </c>
      <c r="X82" s="188"/>
      <c r="Y82" s="188"/>
      <c r="Z82" s="188" t="s">
        <v>126</v>
      </c>
      <c r="AA82" s="189" t="s">
        <v>188</v>
      </c>
      <c r="AB82" s="188" t="s">
        <v>126</v>
      </c>
      <c r="AC82" s="188"/>
      <c r="AD82" s="188" t="s">
        <v>126</v>
      </c>
      <c r="AE82" s="188"/>
      <c r="AF82" s="188"/>
      <c r="AG82" s="164">
        <f t="shared" si="5"/>
        <v>5</v>
      </c>
      <c r="AH82" s="164">
        <f t="shared" si="6"/>
        <v>12</v>
      </c>
      <c r="AI82" s="160">
        <f>VLOOKUP(B82,'[15]rank 수집제한 리스트 (신,구)'!$F$3:$J$16,5,FALSE)</f>
        <v>1000</v>
      </c>
      <c r="AJ82" s="170"/>
      <c r="AK82" s="167">
        <v>46081</v>
      </c>
      <c r="AL82" s="160" t="s">
        <v>189</v>
      </c>
    </row>
    <row r="83" spans="1:39" s="135" customFormat="1" hidden="1">
      <c r="A83" s="152"/>
      <c r="B83" s="162" t="str">
        <f t="shared" si="4"/>
        <v>CA_COSTCO</v>
      </c>
      <c r="C83" s="162" t="s">
        <v>39</v>
      </c>
      <c r="D83" s="162" t="s">
        <v>40</v>
      </c>
      <c r="E83" s="162" t="s">
        <v>345</v>
      </c>
      <c r="F83" s="162" t="s">
        <v>127</v>
      </c>
      <c r="G83" s="162" t="s">
        <v>127</v>
      </c>
      <c r="H83" s="192" t="s">
        <v>350</v>
      </c>
      <c r="I83" s="193" t="s">
        <v>351</v>
      </c>
      <c r="J83" s="164" t="s">
        <v>224</v>
      </c>
      <c r="K83" s="162" t="s">
        <v>205</v>
      </c>
      <c r="L83" s="162" t="s">
        <v>194</v>
      </c>
      <c r="M83" s="163">
        <v>45658</v>
      </c>
      <c r="N83" s="150">
        <v>20220601</v>
      </c>
      <c r="O83" s="150">
        <v>99991231</v>
      </c>
      <c r="P83" s="188" t="s">
        <v>126</v>
      </c>
      <c r="Q83" s="188" t="s">
        <v>126</v>
      </c>
      <c r="R83" s="188" t="s">
        <v>126</v>
      </c>
      <c r="S83" s="188" t="s">
        <v>126</v>
      </c>
      <c r="T83" s="189" t="s">
        <v>188</v>
      </c>
      <c r="U83" s="188" t="s">
        <v>126</v>
      </c>
      <c r="V83" s="188" t="s">
        <v>126</v>
      </c>
      <c r="W83" s="188" t="s">
        <v>126</v>
      </c>
      <c r="X83" s="188"/>
      <c r="Y83" s="188"/>
      <c r="Z83" s="188" t="s">
        <v>126</v>
      </c>
      <c r="AA83" s="189" t="s">
        <v>188</v>
      </c>
      <c r="AB83" s="188" t="s">
        <v>126</v>
      </c>
      <c r="AC83" s="188"/>
      <c r="AD83" s="188" t="s">
        <v>126</v>
      </c>
      <c r="AE83" s="188"/>
      <c r="AF83" s="188"/>
      <c r="AG83" s="164">
        <f t="shared" si="5"/>
        <v>5</v>
      </c>
      <c r="AH83" s="164">
        <f t="shared" si="6"/>
        <v>12</v>
      </c>
      <c r="AI83" s="160" t="e">
        <f>VLOOKUP(B83,'[15]rank 수집제한 리스트 (신,구)'!$F$3:$J$16,5,FALSE)</f>
        <v>#N/A</v>
      </c>
      <c r="AJ83" s="170"/>
      <c r="AK83" s="167">
        <v>46081</v>
      </c>
      <c r="AL83" s="160" t="s">
        <v>189</v>
      </c>
    </row>
    <row r="84" spans="1:39" s="135" customFormat="1" hidden="1">
      <c r="A84" s="152"/>
      <c r="B84" s="164" t="str">
        <f t="shared" si="4"/>
        <v>CA_HOMEDEPOT</v>
      </c>
      <c r="C84" s="164" t="s">
        <v>39</v>
      </c>
      <c r="D84" s="164" t="s">
        <v>40</v>
      </c>
      <c r="E84" s="173" t="s">
        <v>345</v>
      </c>
      <c r="F84" s="164" t="s">
        <v>127</v>
      </c>
      <c r="G84" s="164" t="s">
        <v>127</v>
      </c>
      <c r="H84" s="193" t="s">
        <v>352</v>
      </c>
      <c r="I84" s="237" t="s">
        <v>353</v>
      </c>
      <c r="J84" s="164" t="s">
        <v>224</v>
      </c>
      <c r="K84" s="164" t="s">
        <v>205</v>
      </c>
      <c r="L84" s="162" t="s">
        <v>194</v>
      </c>
      <c r="M84" s="163">
        <v>45658</v>
      </c>
      <c r="N84" s="150">
        <v>20240306</v>
      </c>
      <c r="O84" s="150">
        <v>99991231</v>
      </c>
      <c r="P84" s="188" t="s">
        <v>126</v>
      </c>
      <c r="Q84" s="188" t="s">
        <v>126</v>
      </c>
      <c r="R84" s="189" t="s">
        <v>228</v>
      </c>
      <c r="S84" s="189" t="s">
        <v>200</v>
      </c>
      <c r="T84" s="188" t="s">
        <v>126</v>
      </c>
      <c r="U84" s="189" t="s">
        <v>188</v>
      </c>
      <c r="V84" s="189" t="s">
        <v>188</v>
      </c>
      <c r="W84" s="189" t="s">
        <v>188</v>
      </c>
      <c r="X84" s="188"/>
      <c r="Y84" s="188"/>
      <c r="Z84" s="188" t="s">
        <v>126</v>
      </c>
      <c r="AA84" s="189" t="s">
        <v>188</v>
      </c>
      <c r="AB84" s="188"/>
      <c r="AC84" s="188"/>
      <c r="AD84" s="188" t="s">
        <v>126</v>
      </c>
      <c r="AE84" s="188"/>
      <c r="AF84" s="188"/>
      <c r="AG84" s="164">
        <f t="shared" si="5"/>
        <v>4</v>
      </c>
      <c r="AH84" s="164">
        <f t="shared" si="6"/>
        <v>10</v>
      </c>
      <c r="AI84" s="160" t="e">
        <f>VLOOKUP(B84,'[15]rank 수집제한 리스트 (신,구)'!$F$3:$J$16,5,FALSE)</f>
        <v>#N/A</v>
      </c>
      <c r="AJ84" s="170" t="s">
        <v>354</v>
      </c>
      <c r="AK84" s="167">
        <v>46081</v>
      </c>
      <c r="AL84" s="160" t="s">
        <v>189</v>
      </c>
    </row>
    <row r="85" spans="1:39" s="135" customFormat="1" hidden="1">
      <c r="A85" s="152"/>
      <c r="B85" s="164" t="str">
        <f t="shared" si="4"/>
        <v>CA_THEBRICK</v>
      </c>
      <c r="C85" s="164" t="s">
        <v>39</v>
      </c>
      <c r="D85" s="164" t="s">
        <v>40</v>
      </c>
      <c r="E85" s="173" t="s">
        <v>345</v>
      </c>
      <c r="F85" s="164" t="s">
        <v>127</v>
      </c>
      <c r="G85" s="164" t="s">
        <v>127</v>
      </c>
      <c r="H85" s="193" t="s">
        <v>355</v>
      </c>
      <c r="I85" s="193" t="s">
        <v>356</v>
      </c>
      <c r="J85" s="164" t="s">
        <v>204</v>
      </c>
      <c r="K85" s="164" t="s">
        <v>205</v>
      </c>
      <c r="L85" s="162" t="s">
        <v>194</v>
      </c>
      <c r="M85" s="163">
        <v>45658</v>
      </c>
      <c r="N85" s="150">
        <v>20240401</v>
      </c>
      <c r="O85" s="150">
        <v>99991231</v>
      </c>
      <c r="P85" s="188" t="s">
        <v>126</v>
      </c>
      <c r="Q85" s="188" t="s">
        <v>126</v>
      </c>
      <c r="R85" s="189" t="s">
        <v>188</v>
      </c>
      <c r="S85" s="189" t="s">
        <v>188</v>
      </c>
      <c r="T85" s="189" t="s">
        <v>188</v>
      </c>
      <c r="U85" s="189" t="s">
        <v>188</v>
      </c>
      <c r="V85" s="189" t="s">
        <v>188</v>
      </c>
      <c r="W85" s="189" t="s">
        <v>188</v>
      </c>
      <c r="X85" s="188"/>
      <c r="Y85" s="188"/>
      <c r="Z85" s="188" t="s">
        <v>126</v>
      </c>
      <c r="AA85" s="188" t="s">
        <v>126</v>
      </c>
      <c r="AB85" s="188"/>
      <c r="AC85" s="188"/>
      <c r="AD85" s="188" t="s">
        <v>126</v>
      </c>
      <c r="AE85" s="188" t="s">
        <v>126</v>
      </c>
      <c r="AF85" s="188"/>
      <c r="AG85" s="164">
        <f t="shared" si="5"/>
        <v>5</v>
      </c>
      <c r="AH85" s="164">
        <f t="shared" si="6"/>
        <v>12</v>
      </c>
      <c r="AI85" s="160" t="e">
        <f>VLOOKUP(B85,'[15]rank 수집제한 리스트 (신,구)'!$F$3:$J$16,5,FALSE)</f>
        <v>#N/A</v>
      </c>
      <c r="AJ85" s="170"/>
      <c r="AK85" s="167">
        <v>46081</v>
      </c>
      <c r="AL85" s="160" t="s">
        <v>189</v>
      </c>
    </row>
    <row r="86" spans="1:39" s="135" customFormat="1" ht="17.399999999999999" hidden="1">
      <c r="A86" s="152"/>
      <c r="B86" s="149" t="str">
        <f t="shared" si="4"/>
        <v>US_SS.com</v>
      </c>
      <c r="C86" s="149" t="s">
        <v>47</v>
      </c>
      <c r="D86" s="149" t="s">
        <v>49</v>
      </c>
      <c r="E86" s="229" t="s">
        <v>357</v>
      </c>
      <c r="F86" s="149" t="s">
        <v>127</v>
      </c>
      <c r="G86" s="149" t="s">
        <v>279</v>
      </c>
      <c r="H86" s="230" t="s">
        <v>184</v>
      </c>
      <c r="I86" s="248" t="s">
        <v>358</v>
      </c>
      <c r="J86" s="149" t="s">
        <v>186</v>
      </c>
      <c r="K86" s="149" t="s">
        <v>187</v>
      </c>
      <c r="L86" s="150" t="s">
        <v>124</v>
      </c>
      <c r="M86" s="151">
        <v>45773</v>
      </c>
      <c r="N86" s="150">
        <v>20250425</v>
      </c>
      <c r="O86" s="150">
        <v>99991231</v>
      </c>
      <c r="P86" s="188" t="s">
        <v>126</v>
      </c>
      <c r="Q86" s="188" t="s">
        <v>126</v>
      </c>
      <c r="R86" s="188" t="s">
        <v>126</v>
      </c>
      <c r="S86" s="188" t="s">
        <v>126</v>
      </c>
      <c r="T86" s="189" t="s">
        <v>228</v>
      </c>
      <c r="U86" s="189" t="s">
        <v>188</v>
      </c>
      <c r="V86" s="190" t="s">
        <v>188</v>
      </c>
      <c r="W86" s="189" t="s">
        <v>188</v>
      </c>
      <c r="X86" s="188"/>
      <c r="Y86" s="188"/>
      <c r="Z86" s="188"/>
      <c r="AA86" s="188" t="s">
        <v>126</v>
      </c>
      <c r="AB86" s="188"/>
      <c r="AC86" s="188"/>
      <c r="AD86" s="188"/>
      <c r="AE86" s="188"/>
      <c r="AF86" s="188"/>
      <c r="AG86" s="164">
        <f t="shared" si="5"/>
        <v>4</v>
      </c>
      <c r="AH86" s="164">
        <f t="shared" si="6"/>
        <v>8</v>
      </c>
      <c r="AI86" s="160" t="e">
        <f>VLOOKUP(B86,'[15]rank 수집제한 리스트 (신,구)'!$F$3:$J$16,5,FALSE)</f>
        <v>#N/A</v>
      </c>
      <c r="AJ86" s="170" t="s">
        <v>344</v>
      </c>
      <c r="AK86" s="167">
        <v>46081</v>
      </c>
      <c r="AL86" s="160" t="s">
        <v>189</v>
      </c>
      <c r="AM86" s="165"/>
    </row>
    <row r="87" spans="1:39" s="135" customFormat="1" hidden="1">
      <c r="A87" s="152"/>
      <c r="B87" s="162" t="str">
        <f t="shared" si="4"/>
        <v>US_AMAZON_LG</v>
      </c>
      <c r="C87" s="162" t="s">
        <v>39</v>
      </c>
      <c r="D87" s="162" t="s">
        <v>41</v>
      </c>
      <c r="E87" s="162" t="s">
        <v>359</v>
      </c>
      <c r="F87" s="162" t="s">
        <v>127</v>
      </c>
      <c r="G87" s="162" t="s">
        <v>279</v>
      </c>
      <c r="H87" s="192" t="s">
        <v>303</v>
      </c>
      <c r="I87" s="193" t="s">
        <v>360</v>
      </c>
      <c r="J87" s="164" t="s">
        <v>198</v>
      </c>
      <c r="K87" s="162" t="s">
        <v>199</v>
      </c>
      <c r="L87" s="162" t="s">
        <v>194</v>
      </c>
      <c r="M87" s="163">
        <v>45658</v>
      </c>
      <c r="N87" s="150">
        <v>20220601</v>
      </c>
      <c r="O87" s="150">
        <v>99991231</v>
      </c>
      <c r="P87" s="188" t="s">
        <v>126</v>
      </c>
      <c r="Q87" s="188" t="s">
        <v>126</v>
      </c>
      <c r="R87" s="188" t="s">
        <v>126</v>
      </c>
      <c r="S87" s="188" t="s">
        <v>126</v>
      </c>
      <c r="T87" s="188" t="s">
        <v>126</v>
      </c>
      <c r="U87" s="188" t="s">
        <v>126</v>
      </c>
      <c r="V87" s="188" t="s">
        <v>126</v>
      </c>
      <c r="W87" s="188" t="s">
        <v>126</v>
      </c>
      <c r="X87" s="188"/>
      <c r="Y87" s="188" t="s">
        <v>126</v>
      </c>
      <c r="Z87" s="188" t="s">
        <v>126</v>
      </c>
      <c r="AA87" s="188" t="s">
        <v>126</v>
      </c>
      <c r="AB87" s="188" t="s">
        <v>126</v>
      </c>
      <c r="AC87" s="188"/>
      <c r="AD87" s="188" t="s">
        <v>126</v>
      </c>
      <c r="AE87" s="188" t="s">
        <v>126</v>
      </c>
      <c r="AF87" s="188"/>
      <c r="AG87" s="164">
        <f t="shared" si="5"/>
        <v>5</v>
      </c>
      <c r="AH87" s="164">
        <f t="shared" si="6"/>
        <v>14</v>
      </c>
      <c r="AI87" s="160" t="e">
        <f>VLOOKUP(B87,'[15]rank 수집제한 리스트 (신,구)'!$F$3:$J$16,5,FALSE)</f>
        <v>#N/A</v>
      </c>
      <c r="AJ87" s="170"/>
      <c r="AK87" s="161" t="s">
        <v>244</v>
      </c>
      <c r="AL87" s="160" t="s">
        <v>189</v>
      </c>
    </row>
    <row r="88" spans="1:39" s="135" customFormat="1" hidden="1">
      <c r="A88" s="195" t="s">
        <v>361</v>
      </c>
      <c r="B88" s="162" t="str">
        <f t="shared" si="4"/>
        <v>US_BESTBUY_LG</v>
      </c>
      <c r="C88" s="162" t="s">
        <v>39</v>
      </c>
      <c r="D88" s="162" t="s">
        <v>41</v>
      </c>
      <c r="E88" s="162" t="s">
        <v>359</v>
      </c>
      <c r="F88" s="162" t="s">
        <v>127</v>
      </c>
      <c r="G88" s="162" t="s">
        <v>279</v>
      </c>
      <c r="H88" s="192" t="s">
        <v>362</v>
      </c>
      <c r="I88" s="193" t="s">
        <v>363</v>
      </c>
      <c r="J88" s="164" t="s">
        <v>224</v>
      </c>
      <c r="K88" s="162" t="s">
        <v>205</v>
      </c>
      <c r="L88" s="162" t="s">
        <v>194</v>
      </c>
      <c r="M88" s="163">
        <v>45658</v>
      </c>
      <c r="N88" s="150">
        <v>20230602</v>
      </c>
      <c r="O88" s="150">
        <v>99991231</v>
      </c>
      <c r="P88" s="188" t="s">
        <v>126</v>
      </c>
      <c r="Q88" s="188" t="s">
        <v>126</v>
      </c>
      <c r="R88" s="188" t="s">
        <v>126</v>
      </c>
      <c r="S88" s="188" t="s">
        <v>126</v>
      </c>
      <c r="T88" s="189" t="s">
        <v>188</v>
      </c>
      <c r="U88" s="188" t="s">
        <v>126</v>
      </c>
      <c r="V88" s="188" t="s">
        <v>126</v>
      </c>
      <c r="W88" s="188" t="s">
        <v>126</v>
      </c>
      <c r="X88" s="188"/>
      <c r="Y88" s="188" t="s">
        <v>126</v>
      </c>
      <c r="Z88" s="188" t="s">
        <v>126</v>
      </c>
      <c r="AA88" s="188" t="s">
        <v>126</v>
      </c>
      <c r="AB88" s="188"/>
      <c r="AC88" s="188"/>
      <c r="AD88" s="188" t="s">
        <v>126</v>
      </c>
      <c r="AE88" s="188" t="s">
        <v>126</v>
      </c>
      <c r="AF88" s="188"/>
      <c r="AG88" s="164">
        <f t="shared" si="5"/>
        <v>5</v>
      </c>
      <c r="AH88" s="164">
        <f t="shared" si="6"/>
        <v>13</v>
      </c>
      <c r="AI88" s="160" t="e">
        <f>VLOOKUP(B88,'[15]rank 수집제한 리스트 (신,구)'!$F$3:$J$16,5,FALSE)</f>
        <v>#N/A</v>
      </c>
      <c r="AJ88" s="170"/>
      <c r="AK88" s="167">
        <v>46081</v>
      </c>
      <c r="AL88" s="160" t="s">
        <v>189</v>
      </c>
    </row>
    <row r="89" spans="1:39" s="135" customFormat="1" ht="17.399999999999999" hidden="1">
      <c r="A89" s="152"/>
      <c r="B89" s="176" t="str">
        <f t="shared" si="4"/>
        <v>US_COSTCO_LG</v>
      </c>
      <c r="C89" s="176" t="s">
        <v>39</v>
      </c>
      <c r="D89" s="176" t="s">
        <v>41</v>
      </c>
      <c r="E89" s="177" t="s">
        <v>359</v>
      </c>
      <c r="F89" s="164" t="s">
        <v>127</v>
      </c>
      <c r="G89" s="164" t="s">
        <v>279</v>
      </c>
      <c r="H89" s="178" t="s">
        <v>364</v>
      </c>
      <c r="I89" s="196" t="s">
        <v>365</v>
      </c>
      <c r="J89" s="176" t="s">
        <v>224</v>
      </c>
      <c r="K89" s="176" t="s">
        <v>205</v>
      </c>
      <c r="L89" s="162" t="s">
        <v>194</v>
      </c>
      <c r="M89" s="163">
        <v>45658</v>
      </c>
      <c r="N89" s="150">
        <v>20220601</v>
      </c>
      <c r="O89" s="150">
        <v>99991231</v>
      </c>
      <c r="P89" s="188" t="s">
        <v>126</v>
      </c>
      <c r="Q89" s="188" t="s">
        <v>126</v>
      </c>
      <c r="R89" s="188" t="s">
        <v>126</v>
      </c>
      <c r="S89" s="188" t="s">
        <v>126</v>
      </c>
      <c r="T89" s="189" t="s">
        <v>188</v>
      </c>
      <c r="U89" s="188" t="s">
        <v>126</v>
      </c>
      <c r="V89" s="188" t="s">
        <v>126</v>
      </c>
      <c r="W89" s="188" t="s">
        <v>126</v>
      </c>
      <c r="X89" s="188"/>
      <c r="Y89" s="188" t="s">
        <v>126</v>
      </c>
      <c r="Z89" s="188"/>
      <c r="AA89" s="188" t="s">
        <v>126</v>
      </c>
      <c r="AB89" s="188" t="s">
        <v>126</v>
      </c>
      <c r="AC89" s="188"/>
      <c r="AD89" s="188" t="s">
        <v>126</v>
      </c>
      <c r="AE89" s="188" t="s">
        <v>126</v>
      </c>
      <c r="AF89" s="188"/>
      <c r="AG89" s="164">
        <f t="shared" si="5"/>
        <v>5</v>
      </c>
      <c r="AH89" s="164">
        <f t="shared" si="6"/>
        <v>13</v>
      </c>
      <c r="AI89" s="160" t="e">
        <f>VLOOKUP(B89,'[15]rank 수집제한 리스트 (신,구)'!$F$3:$J$16,5,FALSE)</f>
        <v>#N/A</v>
      </c>
      <c r="AJ89" s="170"/>
      <c r="AK89" s="167">
        <v>46081</v>
      </c>
      <c r="AL89" s="160" t="s">
        <v>189</v>
      </c>
    </row>
    <row r="90" spans="1:39" s="135" customFormat="1" hidden="1">
      <c r="A90" s="147"/>
      <c r="B90" s="231" t="str">
        <f t="shared" si="4"/>
        <v>US_LOWES_LG</v>
      </c>
      <c r="C90" s="153" t="s">
        <v>39</v>
      </c>
      <c r="D90" s="153" t="s">
        <v>41</v>
      </c>
      <c r="E90" s="155" t="s">
        <v>359</v>
      </c>
      <c r="F90" s="154"/>
      <c r="G90" s="154"/>
      <c r="H90" s="156" t="s">
        <v>366</v>
      </c>
      <c r="I90" s="156" t="s">
        <v>367</v>
      </c>
      <c r="J90" s="153" t="s">
        <v>224</v>
      </c>
      <c r="K90" s="157" t="s">
        <v>193</v>
      </c>
      <c r="L90" s="158" t="s">
        <v>194</v>
      </c>
      <c r="M90" s="159">
        <v>46023</v>
      </c>
      <c r="N90" s="158">
        <v>20260101</v>
      </c>
      <c r="O90" s="158">
        <v>99991231</v>
      </c>
      <c r="P90" s="191" t="s">
        <v>188</v>
      </c>
      <c r="Q90" s="191" t="s">
        <v>188</v>
      </c>
      <c r="R90" s="191" t="s">
        <v>188</v>
      </c>
      <c r="S90" s="191" t="s">
        <v>188</v>
      </c>
      <c r="T90" s="191" t="s">
        <v>188</v>
      </c>
      <c r="U90" s="191" t="s">
        <v>188</v>
      </c>
      <c r="V90" s="191" t="s">
        <v>188</v>
      </c>
      <c r="W90" s="191" t="s">
        <v>188</v>
      </c>
      <c r="X90" s="166"/>
      <c r="Y90" s="191" t="s">
        <v>188</v>
      </c>
      <c r="Z90" s="191" t="s">
        <v>188</v>
      </c>
      <c r="AA90" s="191" t="s">
        <v>188</v>
      </c>
      <c r="AB90" s="166"/>
      <c r="AC90" s="166"/>
      <c r="AD90" s="191" t="s">
        <v>188</v>
      </c>
      <c r="AE90" s="191" t="s">
        <v>188</v>
      </c>
      <c r="AF90" s="166"/>
      <c r="AG90" s="231">
        <f t="shared" si="5"/>
        <v>5</v>
      </c>
      <c r="AH90" s="231">
        <f t="shared" si="6"/>
        <v>13</v>
      </c>
      <c r="AI90" s="154" t="e">
        <f>VLOOKUP(B90,'[15]rank 수집제한 리스트 (신,구)'!$F$3:$J$16,5,FALSE)</f>
        <v>#N/A</v>
      </c>
      <c r="AJ90" s="154"/>
      <c r="AK90" s="232">
        <v>46081</v>
      </c>
      <c r="AL90" s="154" t="s">
        <v>189</v>
      </c>
    </row>
    <row r="91" spans="1:39" s="135" customFormat="1" hidden="1">
      <c r="A91" s="147"/>
      <c r="B91" s="231" t="str">
        <f t="shared" si="4"/>
        <v>US_HOMEDEPOT_LG</v>
      </c>
      <c r="C91" s="153" t="s">
        <v>39</v>
      </c>
      <c r="D91" s="153" t="s">
        <v>41</v>
      </c>
      <c r="E91" s="155" t="s">
        <v>359</v>
      </c>
      <c r="F91" s="154"/>
      <c r="G91" s="154"/>
      <c r="H91" s="156" t="s">
        <v>368</v>
      </c>
      <c r="I91" s="156" t="s">
        <v>369</v>
      </c>
      <c r="J91" s="153" t="s">
        <v>204</v>
      </c>
      <c r="K91" s="157" t="s">
        <v>193</v>
      </c>
      <c r="L91" s="158" t="s">
        <v>194</v>
      </c>
      <c r="M91" s="159">
        <v>46023</v>
      </c>
      <c r="N91" s="158">
        <v>20260101</v>
      </c>
      <c r="O91" s="158">
        <v>99991231</v>
      </c>
      <c r="P91" s="191" t="s">
        <v>188</v>
      </c>
      <c r="Q91" s="191" t="s">
        <v>188</v>
      </c>
      <c r="R91" s="191" t="s">
        <v>188</v>
      </c>
      <c r="S91" s="191" t="s">
        <v>188</v>
      </c>
      <c r="T91" s="191" t="s">
        <v>188</v>
      </c>
      <c r="U91" s="191" t="s">
        <v>188</v>
      </c>
      <c r="V91" s="191" t="s">
        <v>188</v>
      </c>
      <c r="W91" s="191" t="s">
        <v>188</v>
      </c>
      <c r="X91" s="166"/>
      <c r="Y91" s="191" t="s">
        <v>188</v>
      </c>
      <c r="Z91" s="191" t="s">
        <v>188</v>
      </c>
      <c r="AA91" s="191" t="s">
        <v>188</v>
      </c>
      <c r="AB91" s="166"/>
      <c r="AC91" s="166"/>
      <c r="AD91" s="191" t="s">
        <v>188</v>
      </c>
      <c r="AE91" s="191" t="s">
        <v>188</v>
      </c>
      <c r="AF91" s="166"/>
      <c r="AG91" s="231">
        <f t="shared" si="5"/>
        <v>5</v>
      </c>
      <c r="AH91" s="231">
        <f t="shared" si="6"/>
        <v>13</v>
      </c>
      <c r="AI91" s="154" t="e">
        <f>VLOOKUP(B91,'[15]rank 수집제한 리스트 (신,구)'!$F$3:$J$16,5,FALSE)</f>
        <v>#N/A</v>
      </c>
      <c r="AJ91" s="154"/>
      <c r="AK91" s="232">
        <v>46081</v>
      </c>
      <c r="AL91" s="154" t="s">
        <v>189</v>
      </c>
    </row>
    <row r="92" spans="1:39" s="135" customFormat="1" hidden="1">
      <c r="A92" s="152"/>
      <c r="B92" s="179" t="str">
        <f t="shared" si="4"/>
        <v>CN_JD</v>
      </c>
      <c r="C92" s="179" t="s">
        <v>4</v>
      </c>
      <c r="D92" s="179" t="s">
        <v>370</v>
      </c>
      <c r="E92" s="180" t="s">
        <v>371</v>
      </c>
      <c r="F92" s="179" t="s">
        <v>127</v>
      </c>
      <c r="G92" s="179" t="s">
        <v>279</v>
      </c>
      <c r="H92" s="181" t="s">
        <v>372</v>
      </c>
      <c r="I92" s="181" t="s">
        <v>373</v>
      </c>
      <c r="J92" s="179"/>
      <c r="K92" s="179" t="s">
        <v>205</v>
      </c>
      <c r="L92" s="182" t="s">
        <v>374</v>
      </c>
      <c r="M92" s="183"/>
      <c r="N92" s="184">
        <v>20220901</v>
      </c>
      <c r="O92" s="184">
        <v>20240306</v>
      </c>
      <c r="P92" s="179" t="s">
        <v>375</v>
      </c>
      <c r="Q92" s="179" t="s">
        <v>375</v>
      </c>
      <c r="R92" s="179" t="s">
        <v>375</v>
      </c>
      <c r="S92" s="179" t="s">
        <v>375</v>
      </c>
      <c r="T92" s="179" t="s">
        <v>376</v>
      </c>
      <c r="U92" s="179" t="s">
        <v>375</v>
      </c>
      <c r="V92" s="179" t="s">
        <v>375</v>
      </c>
      <c r="W92" s="179" t="s">
        <v>375</v>
      </c>
      <c r="X92" s="179" t="s">
        <v>376</v>
      </c>
      <c r="Y92" s="179" t="s">
        <v>375</v>
      </c>
      <c r="Z92" s="179" t="s">
        <v>376</v>
      </c>
      <c r="AA92" s="179" t="s">
        <v>376</v>
      </c>
      <c r="AB92" s="179" t="s">
        <v>376</v>
      </c>
      <c r="AC92" s="179" t="s">
        <v>375</v>
      </c>
      <c r="AD92" s="179" t="s">
        <v>376</v>
      </c>
      <c r="AE92" s="179" t="s">
        <v>376</v>
      </c>
      <c r="AF92" s="179" t="s">
        <v>376</v>
      </c>
      <c r="AG92" s="164">
        <f t="shared" ref="AG92:AG146" si="7">COUNTIF(P92:T92,"Y")</f>
        <v>4</v>
      </c>
      <c r="AH92" s="164">
        <f t="shared" ref="AH92:AH146" si="8">COUNTIF(P92:AF92,"Y")</f>
        <v>9</v>
      </c>
      <c r="AI92" s="160" t="e">
        <f>VLOOKUP(B92,'[15]rank 수집제한 리스트 (신,구)'!$F$3:$J$16,5,FALSE)</f>
        <v>#N/A</v>
      </c>
      <c r="AJ92" s="170"/>
      <c r="AK92" s="161" t="s">
        <v>244</v>
      </c>
      <c r="AL92" s="160" t="s">
        <v>189</v>
      </c>
    </row>
    <row r="93" spans="1:39" s="135" customFormat="1" hidden="1">
      <c r="A93" s="152"/>
      <c r="B93" s="239" t="str">
        <f t="shared" si="4"/>
        <v>HK_FORTRESS</v>
      </c>
      <c r="C93" s="239" t="s">
        <v>4</v>
      </c>
      <c r="D93" s="239" t="s">
        <v>377</v>
      </c>
      <c r="E93" s="239" t="s">
        <v>378</v>
      </c>
      <c r="F93" s="239" t="s">
        <v>127</v>
      </c>
      <c r="G93" s="239" t="s">
        <v>183</v>
      </c>
      <c r="H93" s="240" t="s">
        <v>379</v>
      </c>
      <c r="I93" s="241" t="s">
        <v>380</v>
      </c>
      <c r="J93" s="242" t="s">
        <v>208</v>
      </c>
      <c r="K93" s="239" t="s">
        <v>205</v>
      </c>
      <c r="L93" s="239" t="s">
        <v>374</v>
      </c>
      <c r="M93" s="243">
        <v>45737</v>
      </c>
      <c r="N93" s="150">
        <v>20230516</v>
      </c>
      <c r="O93" s="150">
        <v>20250321</v>
      </c>
      <c r="P93" s="239" t="s">
        <v>375</v>
      </c>
      <c r="Q93" s="239" t="s">
        <v>375</v>
      </c>
      <c r="R93" s="239" t="s">
        <v>375</v>
      </c>
      <c r="S93" s="239" t="s">
        <v>375</v>
      </c>
      <c r="T93" s="239" t="s">
        <v>376</v>
      </c>
      <c r="U93" s="239" t="s">
        <v>375</v>
      </c>
      <c r="V93" s="239" t="s">
        <v>375</v>
      </c>
      <c r="W93" s="239" t="s">
        <v>375</v>
      </c>
      <c r="X93" s="239" t="s">
        <v>375</v>
      </c>
      <c r="Y93" s="239" t="s">
        <v>375</v>
      </c>
      <c r="Z93" s="239" t="s">
        <v>376</v>
      </c>
      <c r="AA93" s="239" t="s">
        <v>376</v>
      </c>
      <c r="AB93" s="239" t="s">
        <v>376</v>
      </c>
      <c r="AC93" s="239" t="s">
        <v>376</v>
      </c>
      <c r="AD93" s="239" t="s">
        <v>376</v>
      </c>
      <c r="AE93" s="239" t="s">
        <v>376</v>
      </c>
      <c r="AF93" s="239" t="s">
        <v>376</v>
      </c>
      <c r="AG93" s="164">
        <f t="shared" si="7"/>
        <v>4</v>
      </c>
      <c r="AH93" s="164">
        <f t="shared" si="8"/>
        <v>9</v>
      </c>
      <c r="AI93" s="160" t="e">
        <f>VLOOKUP(B93,'[15]rank 수집제한 리스트 (신,구)'!$F$3:$J$16,5,FALSE)</f>
        <v>#N/A</v>
      </c>
      <c r="AJ93" s="170"/>
      <c r="AK93" s="161" t="s">
        <v>244</v>
      </c>
      <c r="AL93" s="160" t="s">
        <v>189</v>
      </c>
    </row>
    <row r="94" spans="1:39" s="135" customFormat="1" hidden="1">
      <c r="A94" s="152"/>
      <c r="B94" s="239" t="str">
        <f t="shared" si="4"/>
        <v>ID_HARTONO</v>
      </c>
      <c r="C94" s="239" t="s">
        <v>4</v>
      </c>
      <c r="D94" s="239" t="s">
        <v>381</v>
      </c>
      <c r="E94" s="239" t="s">
        <v>382</v>
      </c>
      <c r="F94" s="239" t="s">
        <v>127</v>
      </c>
      <c r="G94" s="239" t="s">
        <v>127</v>
      </c>
      <c r="H94" s="240" t="s">
        <v>383</v>
      </c>
      <c r="I94" s="241" t="s">
        <v>384</v>
      </c>
      <c r="J94" s="242" t="s">
        <v>208</v>
      </c>
      <c r="K94" s="239" t="s">
        <v>205</v>
      </c>
      <c r="L94" s="239" t="s">
        <v>374</v>
      </c>
      <c r="M94" s="243">
        <v>45737</v>
      </c>
      <c r="N94" s="150">
        <v>20230401</v>
      </c>
      <c r="O94" s="150">
        <v>20250321</v>
      </c>
      <c r="P94" s="239" t="s">
        <v>375</v>
      </c>
      <c r="Q94" s="239" t="s">
        <v>375</v>
      </c>
      <c r="R94" s="239" t="s">
        <v>375</v>
      </c>
      <c r="S94" s="239" t="s">
        <v>375</v>
      </c>
      <c r="T94" s="239" t="s">
        <v>375</v>
      </c>
      <c r="U94" s="239" t="s">
        <v>375</v>
      </c>
      <c r="V94" s="239" t="s">
        <v>375</v>
      </c>
      <c r="W94" s="239" t="s">
        <v>375</v>
      </c>
      <c r="X94" s="239" t="s">
        <v>376</v>
      </c>
      <c r="Y94" s="239" t="s">
        <v>376</v>
      </c>
      <c r="Z94" s="239" t="s">
        <v>376</v>
      </c>
      <c r="AA94" s="239" t="s">
        <v>376</v>
      </c>
      <c r="AB94" s="239" t="s">
        <v>376</v>
      </c>
      <c r="AC94" s="239" t="s">
        <v>376</v>
      </c>
      <c r="AD94" s="239" t="s">
        <v>376</v>
      </c>
      <c r="AE94" s="239" t="s">
        <v>376</v>
      </c>
      <c r="AF94" s="239" t="s">
        <v>376</v>
      </c>
      <c r="AG94" s="164">
        <f t="shared" si="7"/>
        <v>5</v>
      </c>
      <c r="AH94" s="164">
        <f t="shared" si="8"/>
        <v>8</v>
      </c>
      <c r="AI94" s="160" t="e">
        <f>VLOOKUP(B94,'[15]rank 수집제한 리스트 (신,구)'!$F$3:$J$16,5,FALSE)</f>
        <v>#N/A</v>
      </c>
      <c r="AJ94" s="170"/>
      <c r="AK94" s="161" t="s">
        <v>244</v>
      </c>
      <c r="AL94" s="160" t="s">
        <v>189</v>
      </c>
    </row>
    <row r="95" spans="1:39" s="135" customFormat="1" hidden="1">
      <c r="A95" s="152"/>
      <c r="B95" s="239" t="str">
        <f t="shared" si="4"/>
        <v>MY_SENHENG</v>
      </c>
      <c r="C95" s="239" t="s">
        <v>4</v>
      </c>
      <c r="D95" s="239" t="s">
        <v>385</v>
      </c>
      <c r="E95" s="239" t="s">
        <v>386</v>
      </c>
      <c r="F95" s="239" t="s">
        <v>127</v>
      </c>
      <c r="G95" s="239" t="s">
        <v>127</v>
      </c>
      <c r="H95" s="240" t="s">
        <v>387</v>
      </c>
      <c r="I95" s="241" t="s">
        <v>388</v>
      </c>
      <c r="J95" s="242" t="s">
        <v>208</v>
      </c>
      <c r="K95" s="239" t="s">
        <v>205</v>
      </c>
      <c r="L95" s="239" t="s">
        <v>374</v>
      </c>
      <c r="M95" s="243">
        <v>45737</v>
      </c>
      <c r="N95" s="150">
        <v>20220622</v>
      </c>
      <c r="O95" s="150">
        <v>20250321</v>
      </c>
      <c r="P95" s="239" t="s">
        <v>375</v>
      </c>
      <c r="Q95" s="239" t="s">
        <v>375</v>
      </c>
      <c r="R95" s="239" t="s">
        <v>375</v>
      </c>
      <c r="S95" s="239" t="s">
        <v>376</v>
      </c>
      <c r="T95" s="239" t="s">
        <v>376</v>
      </c>
      <c r="U95" s="239" t="s">
        <v>375</v>
      </c>
      <c r="V95" s="239" t="s">
        <v>375</v>
      </c>
      <c r="W95" s="239" t="s">
        <v>375</v>
      </c>
      <c r="X95" s="239" t="s">
        <v>375</v>
      </c>
      <c r="Y95" s="239" t="s">
        <v>376</v>
      </c>
      <c r="Z95" s="239" t="s">
        <v>376</v>
      </c>
      <c r="AA95" s="239" t="s">
        <v>376</v>
      </c>
      <c r="AB95" s="239" t="s">
        <v>376</v>
      </c>
      <c r="AC95" s="239" t="s">
        <v>376</v>
      </c>
      <c r="AD95" s="239" t="s">
        <v>376</v>
      </c>
      <c r="AE95" s="239" t="s">
        <v>376</v>
      </c>
      <c r="AF95" s="239" t="s">
        <v>375</v>
      </c>
      <c r="AG95" s="164">
        <f t="shared" si="7"/>
        <v>3</v>
      </c>
      <c r="AH95" s="164">
        <f t="shared" si="8"/>
        <v>8</v>
      </c>
      <c r="AI95" s="160" t="e">
        <f>VLOOKUP(B95,'[15]rank 수집제한 리스트 (신,구)'!$F$3:$J$16,5,FALSE)</f>
        <v>#N/A</v>
      </c>
      <c r="AJ95" s="170"/>
      <c r="AK95" s="161" t="s">
        <v>244</v>
      </c>
      <c r="AL95" s="160" t="s">
        <v>189</v>
      </c>
    </row>
    <row r="96" spans="1:39" s="135" customFormat="1" hidden="1">
      <c r="A96" s="152"/>
      <c r="B96" s="239" t="str">
        <f t="shared" si="4"/>
        <v>NZ_HARVEYNORMAN</v>
      </c>
      <c r="C96" s="239" t="s">
        <v>4</v>
      </c>
      <c r="D96" s="239" t="s">
        <v>389</v>
      </c>
      <c r="E96" s="239" t="s">
        <v>390</v>
      </c>
      <c r="F96" s="239" t="s">
        <v>127</v>
      </c>
      <c r="G96" s="239" t="s">
        <v>132</v>
      </c>
      <c r="H96" s="240" t="s">
        <v>202</v>
      </c>
      <c r="I96" s="241" t="s">
        <v>391</v>
      </c>
      <c r="J96" s="242"/>
      <c r="K96" s="239" t="s">
        <v>205</v>
      </c>
      <c r="L96" s="239" t="s">
        <v>374</v>
      </c>
      <c r="M96" s="243"/>
      <c r="N96" s="150">
        <v>20230516</v>
      </c>
      <c r="O96" s="150">
        <v>20250303</v>
      </c>
      <c r="P96" s="239" t="s">
        <v>375</v>
      </c>
      <c r="Q96" s="239" t="s">
        <v>375</v>
      </c>
      <c r="R96" s="239" t="s">
        <v>375</v>
      </c>
      <c r="S96" s="239" t="s">
        <v>376</v>
      </c>
      <c r="T96" s="239" t="s">
        <v>376</v>
      </c>
      <c r="U96" s="239" t="s">
        <v>375</v>
      </c>
      <c r="V96" s="239" t="s">
        <v>375</v>
      </c>
      <c r="W96" s="239" t="s">
        <v>375</v>
      </c>
      <c r="X96" s="239" t="s">
        <v>376</v>
      </c>
      <c r="Y96" s="239" t="s">
        <v>376</v>
      </c>
      <c r="Z96" s="239" t="s">
        <v>375</v>
      </c>
      <c r="AA96" s="239" t="s">
        <v>375</v>
      </c>
      <c r="AB96" s="239" t="s">
        <v>376</v>
      </c>
      <c r="AC96" s="239" t="s">
        <v>376</v>
      </c>
      <c r="AD96" s="239" t="s">
        <v>376</v>
      </c>
      <c r="AE96" s="239" t="s">
        <v>375</v>
      </c>
      <c r="AF96" s="239" t="s">
        <v>376</v>
      </c>
      <c r="AG96" s="164">
        <f t="shared" si="7"/>
        <v>3</v>
      </c>
      <c r="AH96" s="164">
        <f t="shared" si="8"/>
        <v>9</v>
      </c>
      <c r="AI96" s="160" t="e">
        <f>VLOOKUP(B96,'[15]rank 수집제한 리스트 (신,구)'!$F$3:$J$16,5,FALSE)</f>
        <v>#N/A</v>
      </c>
      <c r="AJ96" s="170"/>
      <c r="AK96" s="161" t="s">
        <v>244</v>
      </c>
      <c r="AL96" s="160" t="s">
        <v>189</v>
      </c>
    </row>
    <row r="97" spans="1:38" s="135" customFormat="1" hidden="1">
      <c r="A97" s="152"/>
      <c r="B97" s="239" t="str">
        <f t="shared" si="4"/>
        <v>PH_ABENSON</v>
      </c>
      <c r="C97" s="239" t="s">
        <v>4</v>
      </c>
      <c r="D97" s="239" t="s">
        <v>392</v>
      </c>
      <c r="E97" s="239" t="s">
        <v>393</v>
      </c>
      <c r="F97" s="239" t="s">
        <v>127</v>
      </c>
      <c r="G97" s="239" t="s">
        <v>127</v>
      </c>
      <c r="H97" s="240" t="s">
        <v>394</v>
      </c>
      <c r="I97" s="241" t="s">
        <v>395</v>
      </c>
      <c r="J97" s="242" t="s">
        <v>224</v>
      </c>
      <c r="K97" s="239" t="s">
        <v>205</v>
      </c>
      <c r="L97" s="239" t="s">
        <v>374</v>
      </c>
      <c r="M97" s="243">
        <v>45737</v>
      </c>
      <c r="N97" s="150">
        <v>20230401</v>
      </c>
      <c r="O97" s="150">
        <v>20250322</v>
      </c>
      <c r="P97" s="239" t="s">
        <v>375</v>
      </c>
      <c r="Q97" s="239" t="s">
        <v>375</v>
      </c>
      <c r="R97" s="239" t="s">
        <v>375</v>
      </c>
      <c r="S97" s="239" t="s">
        <v>376</v>
      </c>
      <c r="T97" s="239" t="s">
        <v>375</v>
      </c>
      <c r="U97" s="239" t="s">
        <v>375</v>
      </c>
      <c r="V97" s="239" t="s">
        <v>375</v>
      </c>
      <c r="W97" s="239" t="s">
        <v>375</v>
      </c>
      <c r="X97" s="239" t="s">
        <v>376</v>
      </c>
      <c r="Y97" s="239" t="s">
        <v>376</v>
      </c>
      <c r="Z97" s="239" t="s">
        <v>376</v>
      </c>
      <c r="AA97" s="239" t="s">
        <v>376</v>
      </c>
      <c r="AB97" s="239" t="s">
        <v>376</v>
      </c>
      <c r="AC97" s="239" t="s">
        <v>376</v>
      </c>
      <c r="AD97" s="239" t="s">
        <v>376</v>
      </c>
      <c r="AE97" s="239" t="s">
        <v>376</v>
      </c>
      <c r="AF97" s="239" t="s">
        <v>376</v>
      </c>
      <c r="AG97" s="164">
        <f t="shared" si="7"/>
        <v>4</v>
      </c>
      <c r="AH97" s="164">
        <f t="shared" si="8"/>
        <v>7</v>
      </c>
      <c r="AI97" s="160" t="e">
        <f>VLOOKUP(B97,'[15]rank 수집제한 리스트 (신,구)'!$F$3:$J$16,5,FALSE)</f>
        <v>#N/A</v>
      </c>
      <c r="AJ97" s="170"/>
      <c r="AK97" s="161" t="s">
        <v>244</v>
      </c>
      <c r="AL97" s="160" t="s">
        <v>189</v>
      </c>
    </row>
    <row r="98" spans="1:38" s="135" customFormat="1" hidden="1">
      <c r="A98" s="152"/>
      <c r="B98" s="239" t="str">
        <f t="shared" si="4"/>
        <v>PH_ANSON</v>
      </c>
      <c r="C98" s="239" t="s">
        <v>4</v>
      </c>
      <c r="D98" s="239" t="s">
        <v>392</v>
      </c>
      <c r="E98" s="239" t="s">
        <v>393</v>
      </c>
      <c r="F98" s="239" t="s">
        <v>127</v>
      </c>
      <c r="G98" s="239" t="s">
        <v>127</v>
      </c>
      <c r="H98" s="240" t="s">
        <v>396</v>
      </c>
      <c r="I98" s="241" t="s">
        <v>397</v>
      </c>
      <c r="J98" s="242" t="s">
        <v>208</v>
      </c>
      <c r="K98" s="239" t="s">
        <v>205</v>
      </c>
      <c r="L98" s="239" t="s">
        <v>374</v>
      </c>
      <c r="M98" s="243">
        <v>45737</v>
      </c>
      <c r="N98" s="150">
        <v>20230517</v>
      </c>
      <c r="O98" s="150">
        <v>20250321</v>
      </c>
      <c r="P98" s="239" t="s">
        <v>375</v>
      </c>
      <c r="Q98" s="239" t="s">
        <v>375</v>
      </c>
      <c r="R98" s="239" t="s">
        <v>375</v>
      </c>
      <c r="S98" s="239" t="s">
        <v>376</v>
      </c>
      <c r="T98" s="239" t="s">
        <v>375</v>
      </c>
      <c r="U98" s="239" t="s">
        <v>375</v>
      </c>
      <c r="V98" s="239" t="s">
        <v>375</v>
      </c>
      <c r="W98" s="239" t="s">
        <v>375</v>
      </c>
      <c r="X98" s="239" t="s">
        <v>376</v>
      </c>
      <c r="Y98" s="239" t="s">
        <v>376</v>
      </c>
      <c r="Z98" s="239" t="s">
        <v>376</v>
      </c>
      <c r="AA98" s="239" t="s">
        <v>376</v>
      </c>
      <c r="AB98" s="239" t="s">
        <v>376</v>
      </c>
      <c r="AC98" s="239" t="s">
        <v>376</v>
      </c>
      <c r="AD98" s="239" t="s">
        <v>376</v>
      </c>
      <c r="AE98" s="239" t="s">
        <v>376</v>
      </c>
      <c r="AF98" s="239" t="s">
        <v>376</v>
      </c>
      <c r="AG98" s="164">
        <f t="shared" si="7"/>
        <v>4</v>
      </c>
      <c r="AH98" s="164">
        <f t="shared" si="8"/>
        <v>7</v>
      </c>
      <c r="AI98" s="160" t="e">
        <f>VLOOKUP(B98,'[15]rank 수집제한 리스트 (신,구)'!$F$3:$J$16,5,FALSE)</f>
        <v>#N/A</v>
      </c>
      <c r="AJ98" s="170"/>
      <c r="AK98" s="161" t="s">
        <v>244</v>
      </c>
      <c r="AL98" s="160" t="s">
        <v>189</v>
      </c>
    </row>
    <row r="99" spans="1:38" s="135" customFormat="1" hidden="1">
      <c r="A99" s="152"/>
      <c r="B99" s="239" t="str">
        <f t="shared" si="4"/>
        <v>VN_SHOPEE</v>
      </c>
      <c r="C99" s="239" t="s">
        <v>4</v>
      </c>
      <c r="D99" s="239" t="s">
        <v>12</v>
      </c>
      <c r="E99" s="239" t="s">
        <v>237</v>
      </c>
      <c r="F99" s="239" t="s">
        <v>127</v>
      </c>
      <c r="G99" s="239" t="s">
        <v>127</v>
      </c>
      <c r="H99" s="240" t="s">
        <v>398</v>
      </c>
      <c r="I99" s="241" t="s">
        <v>399</v>
      </c>
      <c r="J99" s="242"/>
      <c r="K99" s="239" t="s">
        <v>199</v>
      </c>
      <c r="L99" s="239" t="s">
        <v>374</v>
      </c>
      <c r="M99" s="243"/>
      <c r="N99" s="150">
        <v>20230726</v>
      </c>
      <c r="O99" s="150">
        <v>20241106</v>
      </c>
      <c r="P99" s="239" t="s">
        <v>375</v>
      </c>
      <c r="Q99" s="239" t="s">
        <v>375</v>
      </c>
      <c r="R99" s="239" t="s">
        <v>375</v>
      </c>
      <c r="S99" s="239" t="s">
        <v>375</v>
      </c>
      <c r="T99" s="239" t="s">
        <v>376</v>
      </c>
      <c r="U99" s="239" t="s">
        <v>375</v>
      </c>
      <c r="V99" s="239" t="s">
        <v>375</v>
      </c>
      <c r="W99" s="239" t="s">
        <v>375</v>
      </c>
      <c r="X99" s="239" t="s">
        <v>376</v>
      </c>
      <c r="Y99" s="239" t="s">
        <v>376</v>
      </c>
      <c r="Z99" s="239" t="s">
        <v>376</v>
      </c>
      <c r="AA99" s="239" t="s">
        <v>376</v>
      </c>
      <c r="AB99" s="239" t="s">
        <v>375</v>
      </c>
      <c r="AC99" s="239" t="s">
        <v>376</v>
      </c>
      <c r="AD99" s="239" t="s">
        <v>376</v>
      </c>
      <c r="AE99" s="239" t="s">
        <v>376</v>
      </c>
      <c r="AF99" s="239" t="s">
        <v>376</v>
      </c>
      <c r="AG99" s="164">
        <f t="shared" si="7"/>
        <v>4</v>
      </c>
      <c r="AH99" s="164">
        <f t="shared" si="8"/>
        <v>8</v>
      </c>
      <c r="AI99" s="160" t="e">
        <f>VLOOKUP(B99,'[15]rank 수집제한 리스트 (신,구)'!$F$3:$J$16,5,FALSE)</f>
        <v>#N/A</v>
      </c>
      <c r="AJ99" s="170"/>
      <c r="AK99" s="161" t="s">
        <v>244</v>
      </c>
      <c r="AL99" s="160" t="s">
        <v>189</v>
      </c>
    </row>
    <row r="100" spans="1:38" s="135" customFormat="1" hidden="1">
      <c r="A100" s="152"/>
      <c r="B100" s="239" t="str">
        <f t="shared" si="4"/>
        <v>BY_21VEK</v>
      </c>
      <c r="C100" s="239" t="s">
        <v>400</v>
      </c>
      <c r="D100" s="239" t="s">
        <v>401</v>
      </c>
      <c r="E100" s="239" t="s">
        <v>402</v>
      </c>
      <c r="F100" s="239" t="s">
        <v>127</v>
      </c>
      <c r="G100" s="239" t="s">
        <v>132</v>
      </c>
      <c r="H100" s="240" t="s">
        <v>403</v>
      </c>
      <c r="I100" s="241" t="s">
        <v>404</v>
      </c>
      <c r="J100" s="242"/>
      <c r="K100" s="239" t="s">
        <v>199</v>
      </c>
      <c r="L100" s="239" t="s">
        <v>374</v>
      </c>
      <c r="M100" s="243"/>
      <c r="N100" s="150">
        <v>20221027</v>
      </c>
      <c r="O100" s="150">
        <v>20240103</v>
      </c>
      <c r="P100" s="239" t="s">
        <v>375</v>
      </c>
      <c r="Q100" s="239" t="s">
        <v>375</v>
      </c>
      <c r="R100" s="239" t="s">
        <v>375</v>
      </c>
      <c r="S100" s="239" t="s">
        <v>376</v>
      </c>
      <c r="T100" s="239" t="s">
        <v>376</v>
      </c>
      <c r="U100" s="239" t="s">
        <v>375</v>
      </c>
      <c r="V100" s="239" t="s">
        <v>375</v>
      </c>
      <c r="W100" s="239" t="s">
        <v>375</v>
      </c>
      <c r="X100" s="239" t="s">
        <v>376</v>
      </c>
      <c r="Y100" s="239" t="s">
        <v>376</v>
      </c>
      <c r="Z100" s="239" t="s">
        <v>376</v>
      </c>
      <c r="AA100" s="239" t="s">
        <v>376</v>
      </c>
      <c r="AB100" s="239" t="s">
        <v>376</v>
      </c>
      <c r="AC100" s="239" t="s">
        <v>376</v>
      </c>
      <c r="AD100" s="239" t="s">
        <v>376</v>
      </c>
      <c r="AE100" s="239" t="s">
        <v>376</v>
      </c>
      <c r="AF100" s="239" t="s">
        <v>376</v>
      </c>
      <c r="AG100" s="164">
        <f t="shared" si="7"/>
        <v>3</v>
      </c>
      <c r="AH100" s="164">
        <f t="shared" si="8"/>
        <v>6</v>
      </c>
      <c r="AI100" s="160" t="e">
        <f>VLOOKUP(B100,'[15]rank 수집제한 리스트 (신,구)'!$F$3:$J$16,5,FALSE)</f>
        <v>#N/A</v>
      </c>
      <c r="AJ100" s="170"/>
      <c r="AK100" s="161" t="s">
        <v>244</v>
      </c>
      <c r="AL100" s="160" t="s">
        <v>189</v>
      </c>
    </row>
    <row r="101" spans="1:38" s="135" customFormat="1" hidden="1">
      <c r="A101" s="152"/>
      <c r="B101" s="239" t="str">
        <f t="shared" si="4"/>
        <v>BY_5ELEMENT</v>
      </c>
      <c r="C101" s="239" t="s">
        <v>400</v>
      </c>
      <c r="D101" s="239" t="s">
        <v>401</v>
      </c>
      <c r="E101" s="239" t="s">
        <v>402</v>
      </c>
      <c r="F101" s="239" t="s">
        <v>127</v>
      </c>
      <c r="G101" s="239" t="s">
        <v>132</v>
      </c>
      <c r="H101" s="240" t="s">
        <v>405</v>
      </c>
      <c r="I101" s="241" t="s">
        <v>406</v>
      </c>
      <c r="J101" s="242"/>
      <c r="K101" s="239" t="s">
        <v>205</v>
      </c>
      <c r="L101" s="239" t="s">
        <v>374</v>
      </c>
      <c r="M101" s="243"/>
      <c r="N101" s="150">
        <v>20221027</v>
      </c>
      <c r="O101" s="150">
        <v>20231208</v>
      </c>
      <c r="P101" s="239" t="s">
        <v>375</v>
      </c>
      <c r="Q101" s="239" t="s">
        <v>375</v>
      </c>
      <c r="R101" s="239" t="s">
        <v>375</v>
      </c>
      <c r="S101" s="239" t="s">
        <v>376</v>
      </c>
      <c r="T101" s="239" t="s">
        <v>376</v>
      </c>
      <c r="U101" s="239" t="s">
        <v>375</v>
      </c>
      <c r="V101" s="239" t="s">
        <v>375</v>
      </c>
      <c r="W101" s="239" t="s">
        <v>375</v>
      </c>
      <c r="X101" s="239" t="s">
        <v>376</v>
      </c>
      <c r="Y101" s="239" t="s">
        <v>376</v>
      </c>
      <c r="Z101" s="239" t="s">
        <v>376</v>
      </c>
      <c r="AA101" s="239" t="s">
        <v>376</v>
      </c>
      <c r="AB101" s="239" t="s">
        <v>376</v>
      </c>
      <c r="AC101" s="239" t="s">
        <v>376</v>
      </c>
      <c r="AD101" s="239" t="s">
        <v>376</v>
      </c>
      <c r="AE101" s="239" t="s">
        <v>376</v>
      </c>
      <c r="AF101" s="239" t="s">
        <v>376</v>
      </c>
      <c r="AG101" s="164">
        <f t="shared" si="7"/>
        <v>3</v>
      </c>
      <c r="AH101" s="164">
        <f t="shared" si="8"/>
        <v>6</v>
      </c>
      <c r="AI101" s="160" t="e">
        <f>VLOOKUP(B101,'[15]rank 수집제한 리스트 (신,구)'!$F$3:$J$16,5,FALSE)</f>
        <v>#N/A</v>
      </c>
      <c r="AJ101" s="170"/>
      <c r="AK101" s="161" t="s">
        <v>244</v>
      </c>
      <c r="AL101" s="160" t="s">
        <v>189</v>
      </c>
    </row>
    <row r="102" spans="1:38" s="135" customFormat="1" hidden="1">
      <c r="A102" s="152"/>
      <c r="B102" s="239" t="str">
        <f t="shared" si="4"/>
        <v>BY_SILA</v>
      </c>
      <c r="C102" s="239" t="s">
        <v>400</v>
      </c>
      <c r="D102" s="239" t="s">
        <v>401</v>
      </c>
      <c r="E102" s="239" t="s">
        <v>402</v>
      </c>
      <c r="F102" s="239" t="s">
        <v>127</v>
      </c>
      <c r="G102" s="239" t="s">
        <v>132</v>
      </c>
      <c r="H102" s="240" t="s">
        <v>407</v>
      </c>
      <c r="I102" s="241" t="s">
        <v>408</v>
      </c>
      <c r="J102" s="242"/>
      <c r="K102" s="239" t="s">
        <v>205</v>
      </c>
      <c r="L102" s="239" t="s">
        <v>374</v>
      </c>
      <c r="M102" s="243"/>
      <c r="N102" s="150">
        <v>20221027</v>
      </c>
      <c r="O102" s="150">
        <v>20240103</v>
      </c>
      <c r="P102" s="239" t="s">
        <v>375</v>
      </c>
      <c r="Q102" s="239" t="s">
        <v>375</v>
      </c>
      <c r="R102" s="239" t="s">
        <v>375</v>
      </c>
      <c r="S102" s="239" t="s">
        <v>376</v>
      </c>
      <c r="T102" s="239" t="s">
        <v>376</v>
      </c>
      <c r="U102" s="239" t="s">
        <v>375</v>
      </c>
      <c r="V102" s="239" t="s">
        <v>375</v>
      </c>
      <c r="W102" s="239" t="s">
        <v>375</v>
      </c>
      <c r="X102" s="239" t="s">
        <v>376</v>
      </c>
      <c r="Y102" s="239" t="s">
        <v>376</v>
      </c>
      <c r="Z102" s="239" t="s">
        <v>376</v>
      </c>
      <c r="AA102" s="239" t="s">
        <v>376</v>
      </c>
      <c r="AB102" s="239" t="s">
        <v>376</v>
      </c>
      <c r="AC102" s="239" t="s">
        <v>376</v>
      </c>
      <c r="AD102" s="239" t="s">
        <v>376</v>
      </c>
      <c r="AE102" s="239" t="s">
        <v>376</v>
      </c>
      <c r="AF102" s="239" t="s">
        <v>376</v>
      </c>
      <c r="AG102" s="164">
        <f t="shared" si="7"/>
        <v>3</v>
      </c>
      <c r="AH102" s="164">
        <f t="shared" si="8"/>
        <v>6</v>
      </c>
      <c r="AI102" s="160" t="e">
        <f>VLOOKUP(B102,'[15]rank 수집제한 리스트 (신,구)'!$F$3:$J$16,5,FALSE)</f>
        <v>#N/A</v>
      </c>
      <c r="AJ102" s="170"/>
      <c r="AK102" s="161" t="s">
        <v>244</v>
      </c>
      <c r="AL102" s="160" t="s">
        <v>189</v>
      </c>
    </row>
    <row r="103" spans="1:38" s="135" customFormat="1" hidden="1">
      <c r="A103" s="152"/>
      <c r="B103" s="239" t="str">
        <f t="shared" si="4"/>
        <v>KZ_SULPAK</v>
      </c>
      <c r="C103" s="239" t="s">
        <v>400</v>
      </c>
      <c r="D103" s="239" t="s">
        <v>409</v>
      </c>
      <c r="E103" s="239" t="s">
        <v>410</v>
      </c>
      <c r="F103" s="239" t="s">
        <v>127</v>
      </c>
      <c r="G103" s="239" t="s">
        <v>132</v>
      </c>
      <c r="H103" s="240" t="s">
        <v>411</v>
      </c>
      <c r="I103" s="241" t="s">
        <v>412</v>
      </c>
      <c r="J103" s="242"/>
      <c r="K103" s="239" t="s">
        <v>205</v>
      </c>
      <c r="L103" s="239" t="s">
        <v>374</v>
      </c>
      <c r="M103" s="243"/>
      <c r="N103" s="150">
        <v>20221027</v>
      </c>
      <c r="O103" s="150">
        <v>20250303</v>
      </c>
      <c r="P103" s="239" t="s">
        <v>375</v>
      </c>
      <c r="Q103" s="239" t="s">
        <v>375</v>
      </c>
      <c r="R103" s="239" t="s">
        <v>375</v>
      </c>
      <c r="S103" s="239" t="s">
        <v>376</v>
      </c>
      <c r="T103" s="239" t="s">
        <v>375</v>
      </c>
      <c r="U103" s="239" t="s">
        <v>375</v>
      </c>
      <c r="V103" s="239" t="s">
        <v>375</v>
      </c>
      <c r="W103" s="239" t="s">
        <v>375</v>
      </c>
      <c r="X103" s="239" t="s">
        <v>376</v>
      </c>
      <c r="Y103" s="239" t="s">
        <v>376</v>
      </c>
      <c r="Z103" s="239" t="s">
        <v>375</v>
      </c>
      <c r="AA103" s="239" t="s">
        <v>376</v>
      </c>
      <c r="AB103" s="239" t="s">
        <v>376</v>
      </c>
      <c r="AC103" s="239" t="s">
        <v>376</v>
      </c>
      <c r="AD103" s="239" t="s">
        <v>376</v>
      </c>
      <c r="AE103" s="239" t="s">
        <v>376</v>
      </c>
      <c r="AF103" s="239" t="s">
        <v>376</v>
      </c>
      <c r="AG103" s="164">
        <f t="shared" si="7"/>
        <v>4</v>
      </c>
      <c r="AH103" s="164">
        <f t="shared" si="8"/>
        <v>8</v>
      </c>
      <c r="AI103" s="160" t="e">
        <f>VLOOKUP(B103,'[15]rank 수집제한 리스트 (신,구)'!$F$3:$J$16,5,FALSE)</f>
        <v>#N/A</v>
      </c>
      <c r="AJ103" s="170"/>
      <c r="AK103" s="161" t="s">
        <v>244</v>
      </c>
      <c r="AL103" s="160" t="s">
        <v>189</v>
      </c>
    </row>
    <row r="104" spans="1:38" hidden="1">
      <c r="B104" s="239" t="str">
        <f t="shared" si="4"/>
        <v>KZ_TECHNODOM</v>
      </c>
      <c r="C104" s="239" t="s">
        <v>400</v>
      </c>
      <c r="D104" s="239" t="s">
        <v>409</v>
      </c>
      <c r="E104" s="239" t="s">
        <v>410</v>
      </c>
      <c r="F104" s="239" t="s">
        <v>127</v>
      </c>
      <c r="G104" s="239" t="s">
        <v>132</v>
      </c>
      <c r="H104" s="240" t="s">
        <v>413</v>
      </c>
      <c r="I104" s="241" t="s">
        <v>414</v>
      </c>
      <c r="J104" s="242"/>
      <c r="K104" s="239" t="s">
        <v>205</v>
      </c>
      <c r="L104" s="239" t="s">
        <v>374</v>
      </c>
      <c r="M104" s="243"/>
      <c r="N104" s="150">
        <v>20230517</v>
      </c>
      <c r="O104" s="150">
        <v>20250303</v>
      </c>
      <c r="P104" s="239" t="s">
        <v>375</v>
      </c>
      <c r="Q104" s="239" t="s">
        <v>375</v>
      </c>
      <c r="R104" s="239" t="s">
        <v>375</v>
      </c>
      <c r="S104" s="239" t="s">
        <v>376</v>
      </c>
      <c r="T104" s="239" t="s">
        <v>375</v>
      </c>
      <c r="U104" s="239" t="s">
        <v>375</v>
      </c>
      <c r="V104" s="239" t="s">
        <v>375</v>
      </c>
      <c r="W104" s="239" t="s">
        <v>375</v>
      </c>
      <c r="X104" s="239" t="s">
        <v>376</v>
      </c>
      <c r="Y104" s="239" t="s">
        <v>376</v>
      </c>
      <c r="Z104" s="239" t="s">
        <v>375</v>
      </c>
      <c r="AA104" s="239" t="s">
        <v>376</v>
      </c>
      <c r="AB104" s="239" t="s">
        <v>376</v>
      </c>
      <c r="AC104" s="239" t="s">
        <v>376</v>
      </c>
      <c r="AD104" s="239" t="s">
        <v>376</v>
      </c>
      <c r="AE104" s="239" t="s">
        <v>376</v>
      </c>
      <c r="AF104" s="239" t="s">
        <v>376</v>
      </c>
      <c r="AG104" s="164">
        <f t="shared" si="7"/>
        <v>4</v>
      </c>
      <c r="AH104" s="164">
        <f t="shared" si="8"/>
        <v>8</v>
      </c>
      <c r="AI104" s="160" t="e">
        <f>VLOOKUP(B104,'[15]rank 수집제한 리스트 (신,구)'!$F$3:$J$16,5,FALSE)</f>
        <v>#N/A</v>
      </c>
      <c r="AJ104" s="160"/>
      <c r="AK104" s="161" t="s">
        <v>244</v>
      </c>
      <c r="AL104" s="160" t="s">
        <v>189</v>
      </c>
    </row>
    <row r="105" spans="1:38" hidden="1">
      <c r="B105" s="239" t="str">
        <f t="shared" si="4"/>
        <v>RU_HOLODILNIK</v>
      </c>
      <c r="C105" s="239" t="s">
        <v>400</v>
      </c>
      <c r="D105" s="239" t="s">
        <v>415</v>
      </c>
      <c r="E105" s="239" t="s">
        <v>416</v>
      </c>
      <c r="F105" s="239" t="s">
        <v>127</v>
      </c>
      <c r="G105" s="239" t="s">
        <v>132</v>
      </c>
      <c r="H105" s="240" t="s">
        <v>417</v>
      </c>
      <c r="I105" s="241" t="s">
        <v>418</v>
      </c>
      <c r="J105" s="242"/>
      <c r="K105" s="239" t="s">
        <v>205</v>
      </c>
      <c r="L105" s="239" t="s">
        <v>374</v>
      </c>
      <c r="M105" s="243"/>
      <c r="N105" s="150">
        <v>20220805</v>
      </c>
      <c r="O105" s="150">
        <v>20231231</v>
      </c>
      <c r="P105" s="239" t="s">
        <v>375</v>
      </c>
      <c r="Q105" s="239" t="s">
        <v>375</v>
      </c>
      <c r="R105" s="239" t="s">
        <v>376</v>
      </c>
      <c r="S105" s="239" t="s">
        <v>376</v>
      </c>
      <c r="T105" s="239" t="s">
        <v>376</v>
      </c>
      <c r="U105" s="239" t="s">
        <v>376</v>
      </c>
      <c r="V105" s="239" t="s">
        <v>376</v>
      </c>
      <c r="W105" s="239" t="s">
        <v>376</v>
      </c>
      <c r="X105" s="239" t="s">
        <v>376</v>
      </c>
      <c r="Y105" s="239" t="s">
        <v>376</v>
      </c>
      <c r="Z105" s="239" t="s">
        <v>376</v>
      </c>
      <c r="AA105" s="239" t="s">
        <v>376</v>
      </c>
      <c r="AB105" s="239" t="s">
        <v>376</v>
      </c>
      <c r="AC105" s="239" t="s">
        <v>376</v>
      </c>
      <c r="AD105" s="239" t="s">
        <v>376</v>
      </c>
      <c r="AE105" s="239" t="s">
        <v>376</v>
      </c>
      <c r="AF105" s="239" t="s">
        <v>376</v>
      </c>
      <c r="AG105" s="164">
        <f t="shared" si="7"/>
        <v>2</v>
      </c>
      <c r="AH105" s="164">
        <f t="shared" si="8"/>
        <v>2</v>
      </c>
      <c r="AI105" s="160" t="e">
        <f>VLOOKUP(B105,'[15]rank 수집제한 리스트 (신,구)'!$F$3:$J$16,5,FALSE)</f>
        <v>#N/A</v>
      </c>
      <c r="AJ105" s="160"/>
      <c r="AK105" s="161" t="s">
        <v>244</v>
      </c>
      <c r="AL105" s="160" t="s">
        <v>189</v>
      </c>
    </row>
    <row r="106" spans="1:38" hidden="1">
      <c r="B106" s="239" t="str">
        <f t="shared" si="4"/>
        <v>RU_OZON</v>
      </c>
      <c r="C106" s="239" t="s">
        <v>400</v>
      </c>
      <c r="D106" s="239" t="s">
        <v>415</v>
      </c>
      <c r="E106" s="239" t="s">
        <v>416</v>
      </c>
      <c r="F106" s="239" t="s">
        <v>127</v>
      </c>
      <c r="G106" s="239" t="s">
        <v>132</v>
      </c>
      <c r="H106" s="240" t="s">
        <v>419</v>
      </c>
      <c r="I106" s="241" t="s">
        <v>420</v>
      </c>
      <c r="J106" s="242"/>
      <c r="K106" s="239" t="s">
        <v>199</v>
      </c>
      <c r="L106" s="239" t="s">
        <v>374</v>
      </c>
      <c r="M106" s="243"/>
      <c r="N106" s="150">
        <v>20220805</v>
      </c>
      <c r="O106" s="150">
        <v>20231231</v>
      </c>
      <c r="P106" s="239" t="s">
        <v>375</v>
      </c>
      <c r="Q106" s="239" t="s">
        <v>375</v>
      </c>
      <c r="R106" s="239" t="s">
        <v>375</v>
      </c>
      <c r="S106" s="239" t="s">
        <v>376</v>
      </c>
      <c r="T106" s="239" t="s">
        <v>376</v>
      </c>
      <c r="U106" s="239" t="s">
        <v>376</v>
      </c>
      <c r="V106" s="239" t="s">
        <v>376</v>
      </c>
      <c r="W106" s="239" t="s">
        <v>376</v>
      </c>
      <c r="X106" s="239" t="s">
        <v>376</v>
      </c>
      <c r="Y106" s="239" t="s">
        <v>375</v>
      </c>
      <c r="Z106" s="239" t="s">
        <v>376</v>
      </c>
      <c r="AA106" s="239" t="s">
        <v>376</v>
      </c>
      <c r="AB106" s="239" t="s">
        <v>376</v>
      </c>
      <c r="AC106" s="239" t="s">
        <v>376</v>
      </c>
      <c r="AD106" s="239" t="s">
        <v>376</v>
      </c>
      <c r="AE106" s="239" t="s">
        <v>376</v>
      </c>
      <c r="AF106" s="239" t="s">
        <v>376</v>
      </c>
      <c r="AG106" s="164">
        <f t="shared" si="7"/>
        <v>3</v>
      </c>
      <c r="AH106" s="164">
        <f t="shared" si="8"/>
        <v>4</v>
      </c>
      <c r="AI106" s="160" t="e">
        <f>VLOOKUP(B106,'[15]rank 수집제한 리스트 (신,구)'!$F$3:$J$16,5,FALSE)</f>
        <v>#N/A</v>
      </c>
      <c r="AJ106" s="160"/>
      <c r="AK106" s="161" t="s">
        <v>244</v>
      </c>
      <c r="AL106" s="160" t="s">
        <v>189</v>
      </c>
    </row>
    <row r="107" spans="1:38" hidden="1">
      <c r="B107" s="239" t="str">
        <f t="shared" si="4"/>
        <v>RU_CITILINK</v>
      </c>
      <c r="C107" s="239" t="s">
        <v>400</v>
      </c>
      <c r="D107" s="239" t="s">
        <v>415</v>
      </c>
      <c r="E107" s="239" t="s">
        <v>416</v>
      </c>
      <c r="F107" s="239" t="s">
        <v>127</v>
      </c>
      <c r="G107" s="239" t="s">
        <v>132</v>
      </c>
      <c r="H107" s="240" t="s">
        <v>421</v>
      </c>
      <c r="I107" s="241" t="s">
        <v>422</v>
      </c>
      <c r="J107" s="242"/>
      <c r="K107" s="239" t="s">
        <v>199</v>
      </c>
      <c r="L107" s="239" t="s">
        <v>374</v>
      </c>
      <c r="M107" s="243"/>
      <c r="N107" s="150">
        <v>20220805</v>
      </c>
      <c r="O107" s="150">
        <v>20250224</v>
      </c>
      <c r="P107" s="239" t="s">
        <v>375</v>
      </c>
      <c r="Q107" s="239" t="s">
        <v>375</v>
      </c>
      <c r="R107" s="239" t="s">
        <v>375</v>
      </c>
      <c r="S107" s="239" t="s">
        <v>376</v>
      </c>
      <c r="T107" s="239" t="s">
        <v>376</v>
      </c>
      <c r="U107" s="239" t="s">
        <v>375</v>
      </c>
      <c r="V107" s="239" t="s">
        <v>375</v>
      </c>
      <c r="W107" s="239" t="s">
        <v>375</v>
      </c>
      <c r="X107" s="239" t="s">
        <v>376</v>
      </c>
      <c r="Y107" s="239" t="s">
        <v>375</v>
      </c>
      <c r="Z107" s="239" t="s">
        <v>376</v>
      </c>
      <c r="AA107" s="239" t="s">
        <v>376</v>
      </c>
      <c r="AB107" s="239" t="s">
        <v>376</v>
      </c>
      <c r="AC107" s="239" t="s">
        <v>376</v>
      </c>
      <c r="AD107" s="239" t="s">
        <v>376</v>
      </c>
      <c r="AE107" s="239" t="s">
        <v>376</v>
      </c>
      <c r="AF107" s="239" t="s">
        <v>376</v>
      </c>
      <c r="AG107" s="164">
        <f t="shared" si="7"/>
        <v>3</v>
      </c>
      <c r="AH107" s="164">
        <f t="shared" si="8"/>
        <v>7</v>
      </c>
      <c r="AI107" s="160" t="e">
        <f>VLOOKUP(B107,'[15]rank 수집제한 리스트 (신,구)'!$F$3:$J$16,5,FALSE)</f>
        <v>#N/A</v>
      </c>
      <c r="AJ107" s="160"/>
      <c r="AK107" s="161" t="s">
        <v>244</v>
      </c>
      <c r="AL107" s="160" t="s">
        <v>189</v>
      </c>
    </row>
    <row r="108" spans="1:38" hidden="1">
      <c r="B108" s="239" t="str">
        <f t="shared" si="4"/>
        <v>RU_ELDORADO</v>
      </c>
      <c r="C108" s="239" t="s">
        <v>400</v>
      </c>
      <c r="D108" s="239" t="s">
        <v>415</v>
      </c>
      <c r="E108" s="239" t="s">
        <v>416</v>
      </c>
      <c r="F108" s="239" t="s">
        <v>127</v>
      </c>
      <c r="G108" s="239" t="s">
        <v>132</v>
      </c>
      <c r="H108" s="240" t="s">
        <v>423</v>
      </c>
      <c r="I108" s="241" t="s">
        <v>424</v>
      </c>
      <c r="J108" s="242"/>
      <c r="K108" s="239" t="s">
        <v>205</v>
      </c>
      <c r="L108" s="239" t="s">
        <v>374</v>
      </c>
      <c r="M108" s="243"/>
      <c r="N108" s="150">
        <v>20220805</v>
      </c>
      <c r="O108" s="150">
        <v>20250303</v>
      </c>
      <c r="P108" s="239" t="s">
        <v>375</v>
      </c>
      <c r="Q108" s="239" t="s">
        <v>375</v>
      </c>
      <c r="R108" s="239" t="s">
        <v>375</v>
      </c>
      <c r="S108" s="239" t="s">
        <v>376</v>
      </c>
      <c r="T108" s="239" t="s">
        <v>375</v>
      </c>
      <c r="U108" s="239" t="s">
        <v>375</v>
      </c>
      <c r="V108" s="239" t="s">
        <v>375</v>
      </c>
      <c r="W108" s="239" t="s">
        <v>375</v>
      </c>
      <c r="X108" s="239" t="s">
        <v>376</v>
      </c>
      <c r="Y108" s="239" t="s">
        <v>375</v>
      </c>
      <c r="Z108" s="239" t="s">
        <v>376</v>
      </c>
      <c r="AA108" s="239" t="s">
        <v>376</v>
      </c>
      <c r="AB108" s="239" t="s">
        <v>376</v>
      </c>
      <c r="AC108" s="239" t="s">
        <v>376</v>
      </c>
      <c r="AD108" s="239" t="s">
        <v>376</v>
      </c>
      <c r="AE108" s="239" t="s">
        <v>376</v>
      </c>
      <c r="AF108" s="239" t="s">
        <v>376</v>
      </c>
      <c r="AG108" s="164">
        <f t="shared" si="7"/>
        <v>4</v>
      </c>
      <c r="AH108" s="164">
        <f t="shared" si="8"/>
        <v>8</v>
      </c>
      <c r="AI108" s="160" t="e">
        <f>VLOOKUP(B108,'[15]rank 수집제한 리스트 (신,구)'!$F$3:$J$16,5,FALSE)</f>
        <v>#N/A</v>
      </c>
      <c r="AJ108" s="160"/>
      <c r="AK108" s="161" t="s">
        <v>244</v>
      </c>
      <c r="AL108" s="160" t="s">
        <v>189</v>
      </c>
    </row>
    <row r="109" spans="1:38" hidden="1">
      <c r="B109" s="239" t="str">
        <f t="shared" ref="B109:B140" si="9">E109&amp;"_"&amp;H109</f>
        <v>RU_MVIDEO</v>
      </c>
      <c r="C109" s="239" t="s">
        <v>400</v>
      </c>
      <c r="D109" s="239" t="s">
        <v>415</v>
      </c>
      <c r="E109" s="239" t="s">
        <v>416</v>
      </c>
      <c r="F109" s="239" t="s">
        <v>127</v>
      </c>
      <c r="G109" s="239" t="s">
        <v>132</v>
      </c>
      <c r="H109" s="240" t="s">
        <v>425</v>
      </c>
      <c r="I109" s="241" t="s">
        <v>426</v>
      </c>
      <c r="J109" s="242"/>
      <c r="K109" s="239" t="s">
        <v>205</v>
      </c>
      <c r="L109" s="239" t="s">
        <v>374</v>
      </c>
      <c r="M109" s="243"/>
      <c r="N109" s="150">
        <v>20220805</v>
      </c>
      <c r="O109" s="150">
        <v>20250303</v>
      </c>
      <c r="P109" s="239" t="s">
        <v>375</v>
      </c>
      <c r="Q109" s="239" t="s">
        <v>375</v>
      </c>
      <c r="R109" s="239" t="s">
        <v>375</v>
      </c>
      <c r="S109" s="239" t="s">
        <v>376</v>
      </c>
      <c r="T109" s="239" t="s">
        <v>375</v>
      </c>
      <c r="U109" s="239" t="s">
        <v>375</v>
      </c>
      <c r="V109" s="239" t="s">
        <v>375</v>
      </c>
      <c r="W109" s="239" t="s">
        <v>375</v>
      </c>
      <c r="X109" s="239" t="s">
        <v>376</v>
      </c>
      <c r="Y109" s="239" t="s">
        <v>375</v>
      </c>
      <c r="Z109" s="239" t="s">
        <v>376</v>
      </c>
      <c r="AA109" s="239" t="s">
        <v>376</v>
      </c>
      <c r="AB109" s="239" t="s">
        <v>376</v>
      </c>
      <c r="AC109" s="239" t="s">
        <v>376</v>
      </c>
      <c r="AD109" s="239" t="s">
        <v>376</v>
      </c>
      <c r="AE109" s="239" t="s">
        <v>375</v>
      </c>
      <c r="AF109" s="239" t="s">
        <v>376</v>
      </c>
      <c r="AG109" s="164">
        <f t="shared" si="7"/>
        <v>4</v>
      </c>
      <c r="AH109" s="164">
        <f t="shared" si="8"/>
        <v>9</v>
      </c>
      <c r="AI109" s="160" t="e">
        <f>VLOOKUP(B109,'[15]rank 수집제한 리스트 (신,구)'!$F$3:$J$16,5,FALSE)</f>
        <v>#N/A</v>
      </c>
      <c r="AJ109" s="160"/>
      <c r="AK109" s="161" t="s">
        <v>244</v>
      </c>
      <c r="AL109" s="160" t="s">
        <v>189</v>
      </c>
    </row>
    <row r="110" spans="1:38" hidden="1">
      <c r="B110" s="239" t="str">
        <f t="shared" si="9"/>
        <v>RU_DNSSHOP</v>
      </c>
      <c r="C110" s="239" t="s">
        <v>400</v>
      </c>
      <c r="D110" s="239" t="s">
        <v>415</v>
      </c>
      <c r="E110" s="239" t="s">
        <v>416</v>
      </c>
      <c r="F110" s="239" t="s">
        <v>127</v>
      </c>
      <c r="G110" s="239" t="s">
        <v>132</v>
      </c>
      <c r="H110" s="240" t="s">
        <v>427</v>
      </c>
      <c r="I110" s="241" t="s">
        <v>428</v>
      </c>
      <c r="J110" s="242"/>
      <c r="K110" s="239" t="s">
        <v>205</v>
      </c>
      <c r="L110" s="239" t="s">
        <v>374</v>
      </c>
      <c r="M110" s="243"/>
      <c r="N110" s="150">
        <v>20220805</v>
      </c>
      <c r="O110" s="150">
        <v>20231231</v>
      </c>
      <c r="P110" s="239" t="s">
        <v>375</v>
      </c>
      <c r="Q110" s="239" t="s">
        <v>375</v>
      </c>
      <c r="R110" s="239" t="s">
        <v>375</v>
      </c>
      <c r="S110" s="239" t="s">
        <v>376</v>
      </c>
      <c r="T110" s="239" t="s">
        <v>376</v>
      </c>
      <c r="U110" s="239" t="s">
        <v>375</v>
      </c>
      <c r="V110" s="239" t="s">
        <v>375</v>
      </c>
      <c r="W110" s="239" t="s">
        <v>375</v>
      </c>
      <c r="X110" s="239" t="s">
        <v>376</v>
      </c>
      <c r="Y110" s="239" t="s">
        <v>375</v>
      </c>
      <c r="Z110" s="239" t="s">
        <v>376</v>
      </c>
      <c r="AA110" s="239" t="s">
        <v>376</v>
      </c>
      <c r="AB110" s="239" t="s">
        <v>376</v>
      </c>
      <c r="AC110" s="239" t="s">
        <v>376</v>
      </c>
      <c r="AD110" s="239" t="s">
        <v>376</v>
      </c>
      <c r="AE110" s="239" t="s">
        <v>376</v>
      </c>
      <c r="AF110" s="239" t="s">
        <v>376</v>
      </c>
      <c r="AG110" s="164">
        <f t="shared" si="7"/>
        <v>3</v>
      </c>
      <c r="AH110" s="164">
        <f t="shared" si="8"/>
        <v>7</v>
      </c>
      <c r="AI110" s="160" t="e">
        <f>VLOOKUP(B110,'[15]rank 수집제한 리스트 (신,구)'!$F$3:$J$16,5,FALSE)</f>
        <v>#N/A</v>
      </c>
      <c r="AJ110" s="160"/>
      <c r="AK110" s="161" t="s">
        <v>244</v>
      </c>
      <c r="AL110" s="160" t="s">
        <v>189</v>
      </c>
    </row>
    <row r="111" spans="1:38" hidden="1">
      <c r="B111" s="239" t="str">
        <f t="shared" si="9"/>
        <v>AT_MEDIAMARKT</v>
      </c>
      <c r="C111" s="239" t="s">
        <v>14</v>
      </c>
      <c r="D111" s="239" t="s">
        <v>429</v>
      </c>
      <c r="E111" s="239" t="s">
        <v>430</v>
      </c>
      <c r="F111" s="239" t="s">
        <v>127</v>
      </c>
      <c r="G111" s="239" t="s">
        <v>132</v>
      </c>
      <c r="H111" s="240" t="s">
        <v>264</v>
      </c>
      <c r="I111" s="241" t="s">
        <v>431</v>
      </c>
      <c r="J111" s="242"/>
      <c r="K111" s="239" t="s">
        <v>205</v>
      </c>
      <c r="L111" s="239" t="s">
        <v>374</v>
      </c>
      <c r="M111" s="243"/>
      <c r="N111" s="150">
        <v>20240405</v>
      </c>
      <c r="O111" s="150">
        <v>20250303</v>
      </c>
      <c r="P111" s="239" t="s">
        <v>375</v>
      </c>
      <c r="Q111" s="239" t="s">
        <v>375</v>
      </c>
      <c r="R111" s="239" t="s">
        <v>375</v>
      </c>
      <c r="S111" s="239" t="s">
        <v>375</v>
      </c>
      <c r="T111" s="239" t="s">
        <v>375</v>
      </c>
      <c r="U111" s="239" t="s">
        <v>375</v>
      </c>
      <c r="V111" s="239" t="s">
        <v>375</v>
      </c>
      <c r="W111" s="239" t="s">
        <v>375</v>
      </c>
      <c r="X111" s="239" t="s">
        <v>375</v>
      </c>
      <c r="Y111" s="239" t="s">
        <v>375</v>
      </c>
      <c r="Z111" s="239" t="s">
        <v>375</v>
      </c>
      <c r="AA111" s="239" t="s">
        <v>375</v>
      </c>
      <c r="AB111" s="239" t="s">
        <v>375</v>
      </c>
      <c r="AC111" s="239" t="s">
        <v>376</v>
      </c>
      <c r="AD111" s="239" t="s">
        <v>375</v>
      </c>
      <c r="AE111" s="239" t="s">
        <v>375</v>
      </c>
      <c r="AF111" s="239" t="s">
        <v>375</v>
      </c>
      <c r="AG111" s="164">
        <f t="shared" si="7"/>
        <v>5</v>
      </c>
      <c r="AH111" s="164">
        <f t="shared" si="8"/>
        <v>16</v>
      </c>
      <c r="AI111" s="160" t="e">
        <f>VLOOKUP(B111,'[15]rank 수집제한 리스트 (신,구)'!$F$3:$J$16,5,FALSE)</f>
        <v>#N/A</v>
      </c>
      <c r="AJ111" s="160"/>
      <c r="AK111" s="161" t="s">
        <v>244</v>
      </c>
      <c r="AL111" s="160" t="s">
        <v>189</v>
      </c>
    </row>
    <row r="112" spans="1:38">
      <c r="B112" s="239" t="str">
        <f t="shared" si="9"/>
        <v>CZ_ALZA</v>
      </c>
      <c r="C112" s="239" t="s">
        <v>14</v>
      </c>
      <c r="D112" s="239" t="s">
        <v>432</v>
      </c>
      <c r="E112" s="239" t="s">
        <v>433</v>
      </c>
      <c r="F112" s="239" t="s">
        <v>127</v>
      </c>
      <c r="G112" s="239" t="s">
        <v>132</v>
      </c>
      <c r="H112" s="240" t="s">
        <v>434</v>
      </c>
      <c r="I112" s="241" t="s">
        <v>435</v>
      </c>
      <c r="J112" s="242"/>
      <c r="K112" s="239" t="s">
        <v>205</v>
      </c>
      <c r="L112" s="239" t="s">
        <v>374</v>
      </c>
      <c r="M112" s="243"/>
      <c r="N112" s="150">
        <v>20220901</v>
      </c>
      <c r="O112" s="150">
        <v>20250303</v>
      </c>
      <c r="P112" s="239" t="s">
        <v>375</v>
      </c>
      <c r="Q112" s="239" t="s">
        <v>375</v>
      </c>
      <c r="R112" s="239" t="s">
        <v>375</v>
      </c>
      <c r="S112" s="239" t="s">
        <v>376</v>
      </c>
      <c r="T112" s="239" t="s">
        <v>376</v>
      </c>
      <c r="U112" s="239" t="s">
        <v>375</v>
      </c>
      <c r="V112" s="239" t="s">
        <v>375</v>
      </c>
      <c r="W112" s="239" t="s">
        <v>375</v>
      </c>
      <c r="X112" s="239" t="s">
        <v>376</v>
      </c>
      <c r="Y112" s="239" t="s">
        <v>376</v>
      </c>
      <c r="Z112" s="239" t="s">
        <v>375</v>
      </c>
      <c r="AA112" s="239" t="s">
        <v>375</v>
      </c>
      <c r="AB112" s="239" t="s">
        <v>376</v>
      </c>
      <c r="AC112" s="239" t="s">
        <v>376</v>
      </c>
      <c r="AD112" s="239" t="s">
        <v>376</v>
      </c>
      <c r="AE112" s="239" t="s">
        <v>376</v>
      </c>
      <c r="AF112" s="239" t="s">
        <v>376</v>
      </c>
      <c r="AG112" s="164">
        <f t="shared" si="7"/>
        <v>3</v>
      </c>
      <c r="AH112" s="164">
        <f t="shared" si="8"/>
        <v>8</v>
      </c>
      <c r="AI112" s="160" t="e">
        <f>VLOOKUP(B112,'[15]rank 수집제한 리스트 (신,구)'!$F$3:$J$16,5,FALSE)</f>
        <v>#N/A</v>
      </c>
      <c r="AJ112" s="160"/>
      <c r="AK112" s="161" t="s">
        <v>244</v>
      </c>
      <c r="AL112" s="160" t="s">
        <v>189</v>
      </c>
    </row>
    <row r="113" spans="2:38">
      <c r="B113" s="239" t="str">
        <f t="shared" si="9"/>
        <v>CZ_Datart</v>
      </c>
      <c r="C113" s="239" t="s">
        <v>14</v>
      </c>
      <c r="D113" s="239" t="s">
        <v>432</v>
      </c>
      <c r="E113" s="239" t="s">
        <v>433</v>
      </c>
      <c r="F113" s="239" t="s">
        <v>127</v>
      </c>
      <c r="G113" s="239" t="s">
        <v>132</v>
      </c>
      <c r="H113" s="240" t="s">
        <v>436</v>
      </c>
      <c r="I113" s="241" t="s">
        <v>437</v>
      </c>
      <c r="J113" s="242"/>
      <c r="K113" s="239" t="e">
        <v>#N/A</v>
      </c>
      <c r="L113" s="239" t="s">
        <v>374</v>
      </c>
      <c r="M113" s="243"/>
      <c r="N113" s="150">
        <v>20221027</v>
      </c>
      <c r="O113" s="150">
        <v>20231011</v>
      </c>
      <c r="P113" s="239" t="s">
        <v>375</v>
      </c>
      <c r="Q113" s="239" t="s">
        <v>375</v>
      </c>
      <c r="R113" s="239" t="s">
        <v>375</v>
      </c>
      <c r="S113" s="239" t="s">
        <v>376</v>
      </c>
      <c r="T113" s="239" t="s">
        <v>376</v>
      </c>
      <c r="U113" s="239" t="s">
        <v>376</v>
      </c>
      <c r="V113" s="239" t="s">
        <v>376</v>
      </c>
      <c r="W113" s="239" t="s">
        <v>376</v>
      </c>
      <c r="X113" s="239" t="s">
        <v>376</v>
      </c>
      <c r="Y113" s="239" t="s">
        <v>376</v>
      </c>
      <c r="Z113" s="239" t="s">
        <v>376</v>
      </c>
      <c r="AA113" s="239" t="s">
        <v>375</v>
      </c>
      <c r="AB113" s="239" t="s">
        <v>376</v>
      </c>
      <c r="AC113" s="239" t="s">
        <v>376</v>
      </c>
      <c r="AD113" s="239" t="s">
        <v>376</v>
      </c>
      <c r="AE113" s="239" t="s">
        <v>376</v>
      </c>
      <c r="AF113" s="239" t="s">
        <v>376</v>
      </c>
      <c r="AG113" s="164">
        <f t="shared" si="7"/>
        <v>3</v>
      </c>
      <c r="AH113" s="164">
        <f t="shared" si="8"/>
        <v>4</v>
      </c>
      <c r="AI113" s="160" t="e">
        <f>VLOOKUP(B113,'[15]rank 수집제한 리스트 (신,구)'!$F$3:$J$16,5,FALSE)</f>
        <v>#N/A</v>
      </c>
      <c r="AJ113" s="160"/>
      <c r="AK113" s="161" t="s">
        <v>244</v>
      </c>
      <c r="AL113" s="160" t="s">
        <v>189</v>
      </c>
    </row>
    <row r="114" spans="2:38" hidden="1">
      <c r="B114" s="239" t="str">
        <f t="shared" si="9"/>
        <v>FR_AMAZON</v>
      </c>
      <c r="C114" s="239" t="s">
        <v>14</v>
      </c>
      <c r="D114" s="239" t="s">
        <v>16</v>
      </c>
      <c r="E114" s="239" t="s">
        <v>251</v>
      </c>
      <c r="F114" s="239" t="s">
        <v>127</v>
      </c>
      <c r="G114" s="239" t="s">
        <v>127</v>
      </c>
      <c r="H114" s="240" t="s">
        <v>262</v>
      </c>
      <c r="I114" s="241" t="s">
        <v>438</v>
      </c>
      <c r="J114" s="242"/>
      <c r="K114" s="239" t="s">
        <v>199</v>
      </c>
      <c r="L114" s="239" t="s">
        <v>374</v>
      </c>
      <c r="M114" s="243"/>
      <c r="N114" s="150">
        <v>20230301</v>
      </c>
      <c r="O114" s="150">
        <v>20240305</v>
      </c>
      <c r="P114" s="239" t="s">
        <v>376</v>
      </c>
      <c r="Q114" s="239" t="s">
        <v>376</v>
      </c>
      <c r="R114" s="239" t="s">
        <v>376</v>
      </c>
      <c r="S114" s="239" t="s">
        <v>375</v>
      </c>
      <c r="T114" s="239" t="s">
        <v>376</v>
      </c>
      <c r="U114" s="239" t="s">
        <v>375</v>
      </c>
      <c r="V114" s="239" t="s">
        <v>375</v>
      </c>
      <c r="W114" s="239" t="s">
        <v>375</v>
      </c>
      <c r="X114" s="239" t="s">
        <v>376</v>
      </c>
      <c r="Y114" s="239" t="s">
        <v>376</v>
      </c>
      <c r="Z114" s="239" t="s">
        <v>376</v>
      </c>
      <c r="AA114" s="239" t="s">
        <v>376</v>
      </c>
      <c r="AB114" s="239" t="s">
        <v>375</v>
      </c>
      <c r="AC114" s="239" t="s">
        <v>376</v>
      </c>
      <c r="AD114" s="239" t="s">
        <v>376</v>
      </c>
      <c r="AE114" s="239" t="s">
        <v>376</v>
      </c>
      <c r="AF114" s="239" t="s">
        <v>376</v>
      </c>
      <c r="AG114" s="164">
        <f t="shared" si="7"/>
        <v>1</v>
      </c>
      <c r="AH114" s="164">
        <f t="shared" si="8"/>
        <v>5</v>
      </c>
      <c r="AI114" s="160" t="e">
        <f>VLOOKUP(B114,'[15]rank 수집제한 리스트 (신,구)'!$F$3:$J$16,5,FALSE)</f>
        <v>#N/A</v>
      </c>
      <c r="AJ114" s="160"/>
      <c r="AK114" s="161" t="s">
        <v>244</v>
      </c>
      <c r="AL114" s="160" t="s">
        <v>189</v>
      </c>
    </row>
    <row r="115" spans="2:38" hidden="1">
      <c r="B115" s="239" t="str">
        <f t="shared" si="9"/>
        <v>DE_SATURN</v>
      </c>
      <c r="C115" s="239" t="s">
        <v>14</v>
      </c>
      <c r="D115" s="239" t="s">
        <v>18</v>
      </c>
      <c r="E115" s="239" t="s">
        <v>261</v>
      </c>
      <c r="F115" s="239" t="s">
        <v>127</v>
      </c>
      <c r="G115" s="239" t="s">
        <v>127</v>
      </c>
      <c r="H115" s="240" t="s">
        <v>439</v>
      </c>
      <c r="I115" s="241" t="s">
        <v>440</v>
      </c>
      <c r="J115" s="242"/>
      <c r="K115" s="239" t="s">
        <v>205</v>
      </c>
      <c r="L115" s="239" t="s">
        <v>374</v>
      </c>
      <c r="M115" s="243"/>
      <c r="N115" s="150">
        <v>20230301</v>
      </c>
      <c r="O115" s="150">
        <v>20241031</v>
      </c>
      <c r="P115" s="239" t="s">
        <v>375</v>
      </c>
      <c r="Q115" s="239" t="s">
        <v>375</v>
      </c>
      <c r="R115" s="239" t="s">
        <v>375</v>
      </c>
      <c r="S115" s="239" t="s">
        <v>375</v>
      </c>
      <c r="T115" s="239" t="s">
        <v>376</v>
      </c>
      <c r="U115" s="239" t="s">
        <v>375</v>
      </c>
      <c r="V115" s="239" t="s">
        <v>375</v>
      </c>
      <c r="W115" s="239" t="s">
        <v>375</v>
      </c>
      <c r="X115" s="239" t="s">
        <v>376</v>
      </c>
      <c r="Y115" s="239" t="s">
        <v>376</v>
      </c>
      <c r="Z115" s="239" t="s">
        <v>376</v>
      </c>
      <c r="AA115" s="239" t="s">
        <v>376</v>
      </c>
      <c r="AB115" s="239" t="s">
        <v>375</v>
      </c>
      <c r="AC115" s="239" t="s">
        <v>376</v>
      </c>
      <c r="AD115" s="239" t="s">
        <v>376</v>
      </c>
      <c r="AE115" s="239" t="s">
        <v>376</v>
      </c>
      <c r="AF115" s="239" t="s">
        <v>376</v>
      </c>
      <c r="AG115" s="164">
        <f t="shared" si="7"/>
        <v>4</v>
      </c>
      <c r="AH115" s="164">
        <f t="shared" si="8"/>
        <v>8</v>
      </c>
      <c r="AI115" s="160" t="e">
        <f>VLOOKUP(B115,'[15]rank 수집제한 리스트 (신,구)'!$F$3:$J$16,5,FALSE)</f>
        <v>#N/A</v>
      </c>
      <c r="AJ115" s="160"/>
      <c r="AK115" s="161" t="s">
        <v>244</v>
      </c>
      <c r="AL115" s="160" t="s">
        <v>189</v>
      </c>
    </row>
    <row r="116" spans="2:38" hidden="1">
      <c r="B116" s="239" t="str">
        <f t="shared" si="9"/>
        <v>HU_EURONICS</v>
      </c>
      <c r="C116" s="239" t="s">
        <v>14</v>
      </c>
      <c r="D116" s="239" t="s">
        <v>441</v>
      </c>
      <c r="E116" s="239" t="s">
        <v>442</v>
      </c>
      <c r="F116" s="239" t="s">
        <v>127</v>
      </c>
      <c r="G116" s="239" t="s">
        <v>132</v>
      </c>
      <c r="H116" s="240" t="s">
        <v>443</v>
      </c>
      <c r="I116" s="241" t="s">
        <v>444</v>
      </c>
      <c r="J116" s="242"/>
      <c r="K116" s="239" t="s">
        <v>205</v>
      </c>
      <c r="L116" s="239" t="s">
        <v>374</v>
      </c>
      <c r="M116" s="243"/>
      <c r="N116" s="150">
        <v>20230401</v>
      </c>
      <c r="O116" s="150">
        <v>20250303</v>
      </c>
      <c r="P116" s="239" t="s">
        <v>375</v>
      </c>
      <c r="Q116" s="239" t="s">
        <v>375</v>
      </c>
      <c r="R116" s="239" t="s">
        <v>375</v>
      </c>
      <c r="S116" s="239" t="s">
        <v>376</v>
      </c>
      <c r="T116" s="239" t="s">
        <v>376</v>
      </c>
      <c r="U116" s="239" t="s">
        <v>376</v>
      </c>
      <c r="V116" s="239" t="s">
        <v>375</v>
      </c>
      <c r="W116" s="239" t="s">
        <v>376</v>
      </c>
      <c r="X116" s="239" t="s">
        <v>376</v>
      </c>
      <c r="Y116" s="239" t="s">
        <v>376</v>
      </c>
      <c r="Z116" s="239" t="s">
        <v>375</v>
      </c>
      <c r="AA116" s="239" t="s">
        <v>375</v>
      </c>
      <c r="AB116" s="239" t="s">
        <v>376</v>
      </c>
      <c r="AC116" s="239" t="s">
        <v>376</v>
      </c>
      <c r="AD116" s="239" t="s">
        <v>376</v>
      </c>
      <c r="AE116" s="239" t="s">
        <v>376</v>
      </c>
      <c r="AF116" s="239" t="s">
        <v>376</v>
      </c>
      <c r="AG116" s="164">
        <f t="shared" si="7"/>
        <v>3</v>
      </c>
      <c r="AH116" s="164">
        <f t="shared" si="8"/>
        <v>6</v>
      </c>
      <c r="AI116" s="160" t="e">
        <f>VLOOKUP(B116,'[15]rank 수집제한 리스트 (신,구)'!$F$3:$J$16,5,FALSE)</f>
        <v>#N/A</v>
      </c>
      <c r="AJ116" s="160"/>
      <c r="AK116" s="161" t="s">
        <v>244</v>
      </c>
      <c r="AL116" s="160" t="s">
        <v>189</v>
      </c>
    </row>
    <row r="117" spans="2:38" hidden="1">
      <c r="B117" s="239" t="str">
        <f t="shared" si="9"/>
        <v>HU_MEDIAMARKT</v>
      </c>
      <c r="C117" s="239" t="s">
        <v>14</v>
      </c>
      <c r="D117" s="239" t="s">
        <v>441</v>
      </c>
      <c r="E117" s="239" t="s">
        <v>442</v>
      </c>
      <c r="F117" s="239" t="s">
        <v>127</v>
      </c>
      <c r="G117" s="239" t="s">
        <v>132</v>
      </c>
      <c r="H117" s="240" t="s">
        <v>264</v>
      </c>
      <c r="I117" s="241" t="s">
        <v>431</v>
      </c>
      <c r="J117" s="242"/>
      <c r="K117" s="239" t="s">
        <v>205</v>
      </c>
      <c r="L117" s="239" t="s">
        <v>374</v>
      </c>
      <c r="M117" s="243"/>
      <c r="N117" s="150">
        <v>20230401</v>
      </c>
      <c r="O117" s="150">
        <v>20250303</v>
      </c>
      <c r="P117" s="239" t="s">
        <v>375</v>
      </c>
      <c r="Q117" s="239" t="s">
        <v>375</v>
      </c>
      <c r="R117" s="239" t="s">
        <v>375</v>
      </c>
      <c r="S117" s="239" t="s">
        <v>375</v>
      </c>
      <c r="T117" s="239" t="s">
        <v>376</v>
      </c>
      <c r="U117" s="239" t="s">
        <v>376</v>
      </c>
      <c r="V117" s="239" t="s">
        <v>375</v>
      </c>
      <c r="W117" s="239" t="s">
        <v>376</v>
      </c>
      <c r="X117" s="239" t="s">
        <v>376</v>
      </c>
      <c r="Y117" s="239" t="s">
        <v>376</v>
      </c>
      <c r="Z117" s="239" t="s">
        <v>375</v>
      </c>
      <c r="AA117" s="239" t="s">
        <v>376</v>
      </c>
      <c r="AB117" s="239" t="s">
        <v>376</v>
      </c>
      <c r="AC117" s="239" t="s">
        <v>376</v>
      </c>
      <c r="AD117" s="239" t="s">
        <v>376</v>
      </c>
      <c r="AE117" s="239" t="s">
        <v>376</v>
      </c>
      <c r="AF117" s="239" t="s">
        <v>376</v>
      </c>
      <c r="AG117" s="164">
        <f t="shared" si="7"/>
        <v>4</v>
      </c>
      <c r="AH117" s="164">
        <f t="shared" si="8"/>
        <v>6</v>
      </c>
      <c r="AI117" s="160" t="e">
        <f>VLOOKUP(B117,'[15]rank 수집제한 리스트 (신,구)'!$F$3:$J$16,5,FALSE)</f>
        <v>#N/A</v>
      </c>
      <c r="AJ117" s="160"/>
      <c r="AK117" s="161" t="s">
        <v>244</v>
      </c>
      <c r="AL117" s="160" t="s">
        <v>189</v>
      </c>
    </row>
    <row r="118" spans="2:38" hidden="1">
      <c r="B118" s="239" t="str">
        <f t="shared" si="9"/>
        <v>NO_ELKJOP</v>
      </c>
      <c r="C118" s="239" t="s">
        <v>14</v>
      </c>
      <c r="D118" s="239" t="s">
        <v>445</v>
      </c>
      <c r="E118" s="239" t="s">
        <v>446</v>
      </c>
      <c r="F118" s="239" t="s">
        <v>127</v>
      </c>
      <c r="G118" s="239" t="s">
        <v>132</v>
      </c>
      <c r="H118" s="240" t="s">
        <v>447</v>
      </c>
      <c r="I118" s="241" t="s">
        <v>448</v>
      </c>
      <c r="J118" s="242"/>
      <c r="K118" s="239" t="s">
        <v>205</v>
      </c>
      <c r="L118" s="239" t="s">
        <v>374</v>
      </c>
      <c r="M118" s="243"/>
      <c r="N118" s="150">
        <v>20230401</v>
      </c>
      <c r="O118" s="150">
        <v>20250303</v>
      </c>
      <c r="P118" s="239" t="s">
        <v>375</v>
      </c>
      <c r="Q118" s="239" t="s">
        <v>375</v>
      </c>
      <c r="R118" s="239" t="s">
        <v>375</v>
      </c>
      <c r="S118" s="239" t="s">
        <v>375</v>
      </c>
      <c r="T118" s="239" t="s">
        <v>376</v>
      </c>
      <c r="U118" s="239" t="s">
        <v>375</v>
      </c>
      <c r="V118" s="239" t="s">
        <v>375</v>
      </c>
      <c r="W118" s="239" t="s">
        <v>375</v>
      </c>
      <c r="X118" s="239" t="s">
        <v>376</v>
      </c>
      <c r="Y118" s="239" t="s">
        <v>376</v>
      </c>
      <c r="Z118" s="239" t="s">
        <v>375</v>
      </c>
      <c r="AA118" s="239" t="s">
        <v>376</v>
      </c>
      <c r="AB118" s="239" t="s">
        <v>376</v>
      </c>
      <c r="AC118" s="239" t="s">
        <v>376</v>
      </c>
      <c r="AD118" s="239" t="s">
        <v>376</v>
      </c>
      <c r="AE118" s="239" t="s">
        <v>376</v>
      </c>
      <c r="AF118" s="239" t="s">
        <v>376</v>
      </c>
      <c r="AG118" s="164">
        <f t="shared" si="7"/>
        <v>4</v>
      </c>
      <c r="AH118" s="164">
        <f t="shared" si="8"/>
        <v>8</v>
      </c>
      <c r="AI118" s="160" t="e">
        <f>VLOOKUP(B118,'[15]rank 수집제한 리스트 (신,구)'!$F$3:$J$16,5,FALSE)</f>
        <v>#N/A</v>
      </c>
      <c r="AJ118" s="160"/>
      <c r="AK118" s="161" t="s">
        <v>244</v>
      </c>
      <c r="AL118" s="160" t="s">
        <v>189</v>
      </c>
    </row>
    <row r="119" spans="2:38" hidden="1">
      <c r="B119" s="239" t="str">
        <f t="shared" si="9"/>
        <v>PL_EURO-NET</v>
      </c>
      <c r="C119" s="239" t="s">
        <v>14</v>
      </c>
      <c r="D119" s="239" t="s">
        <v>449</v>
      </c>
      <c r="E119" s="239" t="s">
        <v>450</v>
      </c>
      <c r="F119" s="239" t="s">
        <v>127</v>
      </c>
      <c r="G119" s="239" t="s">
        <v>132</v>
      </c>
      <c r="H119" s="240" t="s">
        <v>451</v>
      </c>
      <c r="I119" s="241" t="s">
        <v>452</v>
      </c>
      <c r="J119" s="242"/>
      <c r="K119" s="239" t="s">
        <v>205</v>
      </c>
      <c r="L119" s="239" t="s">
        <v>374</v>
      </c>
      <c r="M119" s="243"/>
      <c r="N119" s="150">
        <v>20230401</v>
      </c>
      <c r="O119" s="150">
        <v>20250303</v>
      </c>
      <c r="P119" s="239" t="s">
        <v>375</v>
      </c>
      <c r="Q119" s="239" t="s">
        <v>375</v>
      </c>
      <c r="R119" s="239" t="s">
        <v>375</v>
      </c>
      <c r="S119" s="239" t="s">
        <v>375</v>
      </c>
      <c r="T119" s="239" t="s">
        <v>376</v>
      </c>
      <c r="U119" s="239" t="s">
        <v>375</v>
      </c>
      <c r="V119" s="239" t="s">
        <v>375</v>
      </c>
      <c r="W119" s="239" t="s">
        <v>375</v>
      </c>
      <c r="X119" s="239" t="s">
        <v>376</v>
      </c>
      <c r="Y119" s="239" t="s">
        <v>376</v>
      </c>
      <c r="Z119" s="239" t="s">
        <v>376</v>
      </c>
      <c r="AA119" s="239" t="s">
        <v>376</v>
      </c>
      <c r="AB119" s="239" t="s">
        <v>375</v>
      </c>
      <c r="AC119" s="239" t="s">
        <v>376</v>
      </c>
      <c r="AD119" s="239" t="s">
        <v>376</v>
      </c>
      <c r="AE119" s="239" t="s">
        <v>376</v>
      </c>
      <c r="AF119" s="239" t="s">
        <v>376</v>
      </c>
      <c r="AG119" s="164">
        <f t="shared" si="7"/>
        <v>4</v>
      </c>
      <c r="AH119" s="164">
        <f t="shared" si="8"/>
        <v>8</v>
      </c>
      <c r="AI119" s="160" t="e">
        <f>VLOOKUP(B119,'[15]rank 수집제한 리스트 (신,구)'!$F$3:$J$16,5,FALSE)</f>
        <v>#N/A</v>
      </c>
      <c r="AJ119" s="160"/>
      <c r="AK119" s="161" t="s">
        <v>244</v>
      </c>
      <c r="AL119" s="160" t="s">
        <v>189</v>
      </c>
    </row>
    <row r="120" spans="2:38" hidden="1">
      <c r="B120" s="239" t="str">
        <f t="shared" si="9"/>
        <v>PL_MEDIAEXPERT</v>
      </c>
      <c r="C120" s="239" t="s">
        <v>14</v>
      </c>
      <c r="D120" s="239" t="s">
        <v>449</v>
      </c>
      <c r="E120" s="239" t="s">
        <v>450</v>
      </c>
      <c r="F120" s="239" t="s">
        <v>127</v>
      </c>
      <c r="G120" s="239" t="s">
        <v>132</v>
      </c>
      <c r="H120" s="240" t="s">
        <v>453</v>
      </c>
      <c r="I120" s="241" t="s">
        <v>454</v>
      </c>
      <c r="J120" s="242"/>
      <c r="K120" s="239" t="s">
        <v>205</v>
      </c>
      <c r="L120" s="239" t="s">
        <v>374</v>
      </c>
      <c r="M120" s="243"/>
      <c r="N120" s="150">
        <v>20220901</v>
      </c>
      <c r="O120" s="150">
        <v>20231011</v>
      </c>
      <c r="P120" s="239" t="s">
        <v>375</v>
      </c>
      <c r="Q120" s="239" t="s">
        <v>375</v>
      </c>
      <c r="R120" s="239" t="s">
        <v>375</v>
      </c>
      <c r="S120" s="239" t="s">
        <v>375</v>
      </c>
      <c r="T120" s="239" t="s">
        <v>376</v>
      </c>
      <c r="U120" s="239" t="s">
        <v>375</v>
      </c>
      <c r="V120" s="239" t="s">
        <v>375</v>
      </c>
      <c r="W120" s="239" t="s">
        <v>375</v>
      </c>
      <c r="X120" s="239" t="s">
        <v>376</v>
      </c>
      <c r="Y120" s="239" t="s">
        <v>376</v>
      </c>
      <c r="Z120" s="239" t="s">
        <v>376</v>
      </c>
      <c r="AA120" s="239" t="s">
        <v>376</v>
      </c>
      <c r="AB120" s="239" t="s">
        <v>376</v>
      </c>
      <c r="AC120" s="239" t="s">
        <v>376</v>
      </c>
      <c r="AD120" s="239" t="s">
        <v>376</v>
      </c>
      <c r="AE120" s="239" t="s">
        <v>376</v>
      </c>
      <c r="AF120" s="239" t="s">
        <v>376</v>
      </c>
      <c r="AG120" s="164">
        <f t="shared" si="7"/>
        <v>4</v>
      </c>
      <c r="AH120" s="164">
        <f t="shared" si="8"/>
        <v>7</v>
      </c>
      <c r="AI120" s="160" t="e">
        <f>VLOOKUP(B120,'[15]rank 수집제한 리스트 (신,구)'!$F$3:$J$16,5,FALSE)</f>
        <v>#N/A</v>
      </c>
      <c r="AJ120" s="160"/>
      <c r="AK120" s="161" t="s">
        <v>244</v>
      </c>
      <c r="AL120" s="160" t="s">
        <v>189</v>
      </c>
    </row>
    <row r="121" spans="2:38" hidden="1">
      <c r="B121" s="239" t="str">
        <f t="shared" si="9"/>
        <v>PL_MEDIAMARKT</v>
      </c>
      <c r="C121" s="239" t="s">
        <v>14</v>
      </c>
      <c r="D121" s="239" t="s">
        <v>449</v>
      </c>
      <c r="E121" s="239" t="s">
        <v>450</v>
      </c>
      <c r="F121" s="239" t="s">
        <v>127</v>
      </c>
      <c r="G121" s="239" t="s">
        <v>132</v>
      </c>
      <c r="H121" s="240" t="s">
        <v>264</v>
      </c>
      <c r="I121" s="241" t="s">
        <v>455</v>
      </c>
      <c r="J121" s="242"/>
      <c r="K121" s="239" t="s">
        <v>205</v>
      </c>
      <c r="L121" s="239" t="s">
        <v>374</v>
      </c>
      <c r="M121" s="243"/>
      <c r="N121" s="150">
        <v>20230401</v>
      </c>
      <c r="O121" s="150">
        <v>20250303</v>
      </c>
      <c r="P121" s="239" t="s">
        <v>375</v>
      </c>
      <c r="Q121" s="239" t="s">
        <v>375</v>
      </c>
      <c r="R121" s="239" t="s">
        <v>375</v>
      </c>
      <c r="S121" s="239" t="s">
        <v>375</v>
      </c>
      <c r="T121" s="239" t="s">
        <v>376</v>
      </c>
      <c r="U121" s="239" t="s">
        <v>376</v>
      </c>
      <c r="V121" s="239" t="s">
        <v>376</v>
      </c>
      <c r="W121" s="239" t="s">
        <v>376</v>
      </c>
      <c r="X121" s="239" t="s">
        <v>376</v>
      </c>
      <c r="Y121" s="239" t="s">
        <v>376</v>
      </c>
      <c r="Z121" s="239" t="s">
        <v>376</v>
      </c>
      <c r="AA121" s="239" t="s">
        <v>376</v>
      </c>
      <c r="AB121" s="239" t="s">
        <v>375</v>
      </c>
      <c r="AC121" s="239" t="s">
        <v>376</v>
      </c>
      <c r="AD121" s="239" t="s">
        <v>376</v>
      </c>
      <c r="AE121" s="239" t="s">
        <v>376</v>
      </c>
      <c r="AF121" s="239" t="s">
        <v>376</v>
      </c>
      <c r="AG121" s="164">
        <f t="shared" si="7"/>
        <v>4</v>
      </c>
      <c r="AH121" s="164">
        <f t="shared" si="8"/>
        <v>5</v>
      </c>
      <c r="AI121" s="160" t="e">
        <f>VLOOKUP(B121,'[15]rank 수집제한 리스트 (신,구)'!$F$3:$J$16,5,FALSE)</f>
        <v>#N/A</v>
      </c>
      <c r="AJ121" s="160"/>
      <c r="AK121" s="161" t="s">
        <v>244</v>
      </c>
      <c r="AL121" s="160" t="s">
        <v>189</v>
      </c>
    </row>
    <row r="122" spans="2:38" hidden="1">
      <c r="B122" s="239" t="str">
        <f t="shared" si="9"/>
        <v>PT_RADIO POPULAR</v>
      </c>
      <c r="C122" s="239" t="s">
        <v>14</v>
      </c>
      <c r="D122" s="239" t="s">
        <v>456</v>
      </c>
      <c r="E122" s="239" t="s">
        <v>457</v>
      </c>
      <c r="F122" s="239" t="s">
        <v>127</v>
      </c>
      <c r="G122" s="239" t="s">
        <v>132</v>
      </c>
      <c r="H122" s="240" t="s">
        <v>458</v>
      </c>
      <c r="I122" s="241" t="s">
        <v>459</v>
      </c>
      <c r="J122" s="242"/>
      <c r="K122" s="239" t="s">
        <v>205</v>
      </c>
      <c r="L122" s="239" t="s">
        <v>374</v>
      </c>
      <c r="M122" s="243"/>
      <c r="N122" s="150">
        <v>20230401</v>
      </c>
      <c r="O122" s="150">
        <v>20250303</v>
      </c>
      <c r="P122" s="239" t="s">
        <v>375</v>
      </c>
      <c r="Q122" s="239" t="s">
        <v>375</v>
      </c>
      <c r="R122" s="239" t="s">
        <v>375</v>
      </c>
      <c r="S122" s="239" t="s">
        <v>376</v>
      </c>
      <c r="T122" s="239" t="s">
        <v>376</v>
      </c>
      <c r="U122" s="239" t="s">
        <v>375</v>
      </c>
      <c r="V122" s="239" t="s">
        <v>375</v>
      </c>
      <c r="W122" s="239" t="s">
        <v>375</v>
      </c>
      <c r="X122" s="239" t="s">
        <v>376</v>
      </c>
      <c r="Y122" s="239" t="s">
        <v>376</v>
      </c>
      <c r="Z122" s="239" t="s">
        <v>375</v>
      </c>
      <c r="AA122" s="239" t="s">
        <v>376</v>
      </c>
      <c r="AB122" s="239" t="s">
        <v>376</v>
      </c>
      <c r="AC122" s="239" t="s">
        <v>376</v>
      </c>
      <c r="AD122" s="239" t="s">
        <v>375</v>
      </c>
      <c r="AE122" s="239" t="s">
        <v>376</v>
      </c>
      <c r="AF122" s="239" t="s">
        <v>376</v>
      </c>
      <c r="AG122" s="164">
        <f t="shared" si="7"/>
        <v>3</v>
      </c>
      <c r="AH122" s="164">
        <f t="shared" si="8"/>
        <v>8</v>
      </c>
      <c r="AI122" s="160" t="e">
        <f>VLOOKUP(B122,'[15]rank 수집제한 리스트 (신,구)'!$F$3:$J$16,5,FALSE)</f>
        <v>#N/A</v>
      </c>
      <c r="AJ122" s="160"/>
      <c r="AK122" s="161" t="s">
        <v>244</v>
      </c>
      <c r="AL122" s="160" t="s">
        <v>189</v>
      </c>
    </row>
    <row r="123" spans="2:38" hidden="1">
      <c r="B123" s="239" t="str">
        <f t="shared" si="9"/>
        <v>PT_WORTEN</v>
      </c>
      <c r="C123" s="239" t="s">
        <v>14</v>
      </c>
      <c r="D123" s="239" t="s">
        <v>456</v>
      </c>
      <c r="E123" s="239" t="s">
        <v>457</v>
      </c>
      <c r="F123" s="239" t="s">
        <v>127</v>
      </c>
      <c r="G123" s="239" t="s">
        <v>132</v>
      </c>
      <c r="H123" s="240" t="s">
        <v>460</v>
      </c>
      <c r="I123" s="241" t="s">
        <v>461</v>
      </c>
      <c r="J123" s="242"/>
      <c r="K123" s="239" t="s">
        <v>205</v>
      </c>
      <c r="L123" s="239" t="s">
        <v>374</v>
      </c>
      <c r="M123" s="243"/>
      <c r="N123" s="150">
        <v>20230517</v>
      </c>
      <c r="O123" s="150">
        <v>20250303</v>
      </c>
      <c r="P123" s="239" t="s">
        <v>375</v>
      </c>
      <c r="Q123" s="239" t="s">
        <v>375</v>
      </c>
      <c r="R123" s="239" t="s">
        <v>375</v>
      </c>
      <c r="S123" s="239" t="s">
        <v>375</v>
      </c>
      <c r="T123" s="239" t="s">
        <v>376</v>
      </c>
      <c r="U123" s="239" t="s">
        <v>375</v>
      </c>
      <c r="V123" s="239" t="s">
        <v>375</v>
      </c>
      <c r="W123" s="239" t="s">
        <v>375</v>
      </c>
      <c r="X123" s="239" t="s">
        <v>376</v>
      </c>
      <c r="Y123" s="239" t="s">
        <v>376</v>
      </c>
      <c r="Z123" s="239" t="s">
        <v>375</v>
      </c>
      <c r="AA123" s="239" t="s">
        <v>376</v>
      </c>
      <c r="AB123" s="239" t="s">
        <v>375</v>
      </c>
      <c r="AC123" s="239" t="s">
        <v>376</v>
      </c>
      <c r="AD123" s="239" t="s">
        <v>375</v>
      </c>
      <c r="AE123" s="239" t="s">
        <v>376</v>
      </c>
      <c r="AF123" s="239" t="s">
        <v>376</v>
      </c>
      <c r="AG123" s="164">
        <f t="shared" si="7"/>
        <v>4</v>
      </c>
      <c r="AH123" s="164">
        <f t="shared" si="8"/>
        <v>10</v>
      </c>
      <c r="AI123" s="160" t="e">
        <f>VLOOKUP(B123,'[15]rank 수집제한 리스트 (신,구)'!$F$3:$J$16,5,FALSE)</f>
        <v>#N/A</v>
      </c>
      <c r="AJ123" s="160"/>
      <c r="AK123" s="161" t="s">
        <v>244</v>
      </c>
      <c r="AL123" s="160" t="s">
        <v>189</v>
      </c>
    </row>
    <row r="124" spans="2:38" hidden="1">
      <c r="B124" s="239" t="str">
        <f t="shared" si="9"/>
        <v>UK_ARGOS</v>
      </c>
      <c r="C124" s="239" t="s">
        <v>14</v>
      </c>
      <c r="D124" s="239" t="s">
        <v>27</v>
      </c>
      <c r="E124" s="239" t="s">
        <v>27</v>
      </c>
      <c r="F124" s="239" t="s">
        <v>127</v>
      </c>
      <c r="G124" s="239" t="s">
        <v>127</v>
      </c>
      <c r="H124" s="240" t="s">
        <v>462</v>
      </c>
      <c r="I124" s="241" t="s">
        <v>463</v>
      </c>
      <c r="J124" s="242"/>
      <c r="K124" s="239" t="s">
        <v>205</v>
      </c>
      <c r="L124" s="239" t="s">
        <v>374</v>
      </c>
      <c r="M124" s="243"/>
      <c r="N124" s="150">
        <v>20230301</v>
      </c>
      <c r="O124" s="150">
        <v>20240305</v>
      </c>
      <c r="P124" s="239" t="s">
        <v>376</v>
      </c>
      <c r="Q124" s="239" t="s">
        <v>376</v>
      </c>
      <c r="R124" s="239" t="s">
        <v>375</v>
      </c>
      <c r="S124" s="239" t="s">
        <v>375</v>
      </c>
      <c r="T124" s="239" t="s">
        <v>376</v>
      </c>
      <c r="U124" s="239" t="s">
        <v>375</v>
      </c>
      <c r="V124" s="239" t="s">
        <v>375</v>
      </c>
      <c r="W124" s="239" t="s">
        <v>375</v>
      </c>
      <c r="X124" s="239" t="s">
        <v>376</v>
      </c>
      <c r="Y124" s="239" t="s">
        <v>376</v>
      </c>
      <c r="Z124" s="239" t="s">
        <v>376</v>
      </c>
      <c r="AA124" s="239" t="s">
        <v>376</v>
      </c>
      <c r="AB124" s="239" t="s">
        <v>376</v>
      </c>
      <c r="AC124" s="239" t="s">
        <v>376</v>
      </c>
      <c r="AD124" s="239" t="s">
        <v>376</v>
      </c>
      <c r="AE124" s="239" t="s">
        <v>376</v>
      </c>
      <c r="AF124" s="239" t="s">
        <v>376</v>
      </c>
      <c r="AG124" s="164">
        <f t="shared" si="7"/>
        <v>2</v>
      </c>
      <c r="AH124" s="164">
        <f t="shared" si="8"/>
        <v>5</v>
      </c>
      <c r="AI124" s="160" t="e">
        <f>VLOOKUP(B124,'[15]rank 수집제한 리스트 (신,구)'!$F$3:$J$16,5,FALSE)</f>
        <v>#N/A</v>
      </c>
      <c r="AJ124" s="160"/>
      <c r="AK124" s="161" t="s">
        <v>244</v>
      </c>
      <c r="AL124" s="160" t="s">
        <v>189</v>
      </c>
    </row>
    <row r="125" spans="2:38" hidden="1">
      <c r="B125" s="239" t="str">
        <f t="shared" si="9"/>
        <v>IN_SS.com</v>
      </c>
      <c r="C125" s="239" t="s">
        <v>29</v>
      </c>
      <c r="D125" s="239" t="s">
        <v>29</v>
      </c>
      <c r="E125" s="239" t="s">
        <v>302</v>
      </c>
      <c r="F125" s="239" t="s">
        <v>127</v>
      </c>
      <c r="G125" s="239" t="s">
        <v>127</v>
      </c>
      <c r="H125" s="240" t="s">
        <v>184</v>
      </c>
      <c r="I125" s="241"/>
      <c r="J125" s="242"/>
      <c r="K125" s="239" t="s">
        <v>464</v>
      </c>
      <c r="L125" s="239" t="s">
        <v>374</v>
      </c>
      <c r="M125" s="243"/>
      <c r="N125" s="150">
        <v>20230401</v>
      </c>
      <c r="O125" s="150">
        <v>20240103</v>
      </c>
      <c r="P125" s="239" t="s">
        <v>375</v>
      </c>
      <c r="Q125" s="239" t="s">
        <v>375</v>
      </c>
      <c r="R125" s="239" t="s">
        <v>375</v>
      </c>
      <c r="S125" s="239" t="s">
        <v>375</v>
      </c>
      <c r="T125" s="239" t="s">
        <v>376</v>
      </c>
      <c r="U125" s="239" t="s">
        <v>376</v>
      </c>
      <c r="V125" s="239" t="s">
        <v>376</v>
      </c>
      <c r="W125" s="239" t="s">
        <v>376</v>
      </c>
      <c r="X125" s="239" t="s">
        <v>376</v>
      </c>
      <c r="Y125" s="239" t="s">
        <v>376</v>
      </c>
      <c r="Z125" s="239" t="s">
        <v>376</v>
      </c>
      <c r="AA125" s="239" t="s">
        <v>376</v>
      </c>
      <c r="AB125" s="239" t="s">
        <v>376</v>
      </c>
      <c r="AC125" s="239" t="s">
        <v>376</v>
      </c>
      <c r="AD125" s="239" t="s">
        <v>376</v>
      </c>
      <c r="AE125" s="239" t="s">
        <v>376</v>
      </c>
      <c r="AF125" s="239" t="s">
        <v>376</v>
      </c>
      <c r="AG125" s="164">
        <f t="shared" si="7"/>
        <v>4</v>
      </c>
      <c r="AH125" s="164">
        <f t="shared" si="8"/>
        <v>4</v>
      </c>
      <c r="AI125" s="160" t="e">
        <f>VLOOKUP(B125,'[15]rank 수집제한 리스트 (신,구)'!$F$3:$J$16,5,FALSE)</f>
        <v>#N/A</v>
      </c>
      <c r="AJ125" s="160"/>
      <c r="AK125" s="161" t="s">
        <v>244</v>
      </c>
      <c r="AL125" s="160" t="s">
        <v>189</v>
      </c>
    </row>
    <row r="126" spans="2:38" hidden="1">
      <c r="B126" s="239" t="str">
        <f t="shared" si="9"/>
        <v>CL_PARIS</v>
      </c>
      <c r="C126" s="239" t="s">
        <v>32</v>
      </c>
      <c r="D126" s="239" t="s">
        <v>34</v>
      </c>
      <c r="E126" s="239" t="s">
        <v>326</v>
      </c>
      <c r="F126" s="239" t="s">
        <v>127</v>
      </c>
      <c r="G126" s="239" t="s">
        <v>127</v>
      </c>
      <c r="H126" s="240" t="s">
        <v>465</v>
      </c>
      <c r="I126" s="241" t="s">
        <v>466</v>
      </c>
      <c r="J126" s="242"/>
      <c r="K126" s="239" t="s">
        <v>205</v>
      </c>
      <c r="L126" s="239" t="s">
        <v>374</v>
      </c>
      <c r="M126" s="243"/>
      <c r="N126" s="150">
        <v>20230401</v>
      </c>
      <c r="O126" s="150">
        <v>20230601</v>
      </c>
      <c r="P126" s="239" t="s">
        <v>375</v>
      </c>
      <c r="Q126" s="239" t="s">
        <v>375</v>
      </c>
      <c r="R126" s="239" t="s">
        <v>375</v>
      </c>
      <c r="S126" s="239" t="s">
        <v>376</v>
      </c>
      <c r="T126" s="239" t="s">
        <v>376</v>
      </c>
      <c r="U126" s="239" t="s">
        <v>375</v>
      </c>
      <c r="V126" s="239" t="s">
        <v>375</v>
      </c>
      <c r="W126" s="239" t="s">
        <v>375</v>
      </c>
      <c r="X126" s="239" t="s">
        <v>376</v>
      </c>
      <c r="Y126" s="239" t="s">
        <v>376</v>
      </c>
      <c r="Z126" s="239" t="s">
        <v>376</v>
      </c>
      <c r="AA126" s="239" t="s">
        <v>376</v>
      </c>
      <c r="AB126" s="239" t="s">
        <v>376</v>
      </c>
      <c r="AC126" s="239" t="s">
        <v>376</v>
      </c>
      <c r="AD126" s="239" t="s">
        <v>376</v>
      </c>
      <c r="AE126" s="239" t="s">
        <v>376</v>
      </c>
      <c r="AF126" s="239" t="s">
        <v>376</v>
      </c>
      <c r="AG126" s="164">
        <f t="shared" si="7"/>
        <v>3</v>
      </c>
      <c r="AH126" s="164">
        <f t="shared" si="8"/>
        <v>6</v>
      </c>
      <c r="AI126" s="160" t="e">
        <f>VLOOKUP(B126,'[15]rank 수집제한 리스트 (신,구)'!$F$3:$J$16,5,FALSE)</f>
        <v>#N/A</v>
      </c>
      <c r="AJ126" s="160"/>
      <c r="AK126" s="161" t="s">
        <v>244</v>
      </c>
      <c r="AL126" s="160" t="s">
        <v>189</v>
      </c>
    </row>
    <row r="127" spans="2:38" hidden="1">
      <c r="B127" s="239" t="str">
        <f t="shared" si="9"/>
        <v>CL_RIPLEY</v>
      </c>
      <c r="C127" s="239" t="s">
        <v>32</v>
      </c>
      <c r="D127" s="239" t="s">
        <v>34</v>
      </c>
      <c r="E127" s="239" t="s">
        <v>326</v>
      </c>
      <c r="F127" s="239" t="s">
        <v>127</v>
      </c>
      <c r="G127" s="239" t="s">
        <v>127</v>
      </c>
      <c r="H127" s="240" t="s">
        <v>467</v>
      </c>
      <c r="I127" s="241" t="s">
        <v>468</v>
      </c>
      <c r="J127" s="242"/>
      <c r="K127" s="239" t="s">
        <v>205</v>
      </c>
      <c r="L127" s="239" t="s">
        <v>374</v>
      </c>
      <c r="M127" s="243"/>
      <c r="N127" s="150">
        <v>20230517</v>
      </c>
      <c r="O127" s="150">
        <v>20230524</v>
      </c>
      <c r="P127" s="239" t="s">
        <v>375</v>
      </c>
      <c r="Q127" s="239" t="s">
        <v>375</v>
      </c>
      <c r="R127" s="239" t="s">
        <v>375</v>
      </c>
      <c r="S127" s="239" t="s">
        <v>376</v>
      </c>
      <c r="T127" s="239" t="s">
        <v>376</v>
      </c>
      <c r="U127" s="239" t="s">
        <v>375</v>
      </c>
      <c r="V127" s="239" t="s">
        <v>375</v>
      </c>
      <c r="W127" s="239" t="s">
        <v>375</v>
      </c>
      <c r="X127" s="239" t="s">
        <v>376</v>
      </c>
      <c r="Y127" s="239" t="s">
        <v>376</v>
      </c>
      <c r="Z127" s="239" t="s">
        <v>376</v>
      </c>
      <c r="AA127" s="239" t="s">
        <v>376</v>
      </c>
      <c r="AB127" s="239" t="s">
        <v>376</v>
      </c>
      <c r="AC127" s="239" t="s">
        <v>376</v>
      </c>
      <c r="AD127" s="239" t="s">
        <v>376</v>
      </c>
      <c r="AE127" s="239" t="s">
        <v>376</v>
      </c>
      <c r="AF127" s="239" t="s">
        <v>376</v>
      </c>
      <c r="AG127" s="164">
        <f t="shared" si="7"/>
        <v>3</v>
      </c>
      <c r="AH127" s="164">
        <f t="shared" si="8"/>
        <v>6</v>
      </c>
      <c r="AI127" s="160" t="e">
        <f>VLOOKUP(B127,'[15]rank 수집제한 리스트 (신,구)'!$F$3:$J$16,5,FALSE)</f>
        <v>#N/A</v>
      </c>
      <c r="AJ127" s="160"/>
      <c r="AK127" s="161" t="s">
        <v>244</v>
      </c>
      <c r="AL127" s="160" t="s">
        <v>189</v>
      </c>
    </row>
    <row r="128" spans="2:38" hidden="1">
      <c r="B128" s="239" t="str">
        <f t="shared" si="9"/>
        <v>CO_ALKOSTO</v>
      </c>
      <c r="C128" s="239" t="s">
        <v>32</v>
      </c>
      <c r="D128" s="239" t="s">
        <v>469</v>
      </c>
      <c r="E128" s="239" t="s">
        <v>470</v>
      </c>
      <c r="F128" s="239" t="s">
        <v>127</v>
      </c>
      <c r="G128" s="239" t="s">
        <v>127</v>
      </c>
      <c r="H128" s="240" t="s">
        <v>471</v>
      </c>
      <c r="I128" s="241" t="s">
        <v>472</v>
      </c>
      <c r="J128" s="242"/>
      <c r="K128" s="239" t="s">
        <v>205</v>
      </c>
      <c r="L128" s="239" t="s">
        <v>374</v>
      </c>
      <c r="M128" s="243"/>
      <c r="N128" s="150">
        <v>20230517</v>
      </c>
      <c r="O128" s="150">
        <v>20230601</v>
      </c>
      <c r="P128" s="239" t="s">
        <v>375</v>
      </c>
      <c r="Q128" s="239" t="s">
        <v>375</v>
      </c>
      <c r="R128" s="239" t="s">
        <v>375</v>
      </c>
      <c r="S128" s="239" t="s">
        <v>376</v>
      </c>
      <c r="T128" s="239" t="s">
        <v>375</v>
      </c>
      <c r="U128" s="239" t="s">
        <v>375</v>
      </c>
      <c r="V128" s="239" t="s">
        <v>375</v>
      </c>
      <c r="W128" s="239" t="s">
        <v>375</v>
      </c>
      <c r="X128" s="239" t="s">
        <v>376</v>
      </c>
      <c r="Y128" s="239" t="s">
        <v>376</v>
      </c>
      <c r="Z128" s="239" t="s">
        <v>376</v>
      </c>
      <c r="AA128" s="239" t="s">
        <v>376</v>
      </c>
      <c r="AB128" s="239" t="s">
        <v>376</v>
      </c>
      <c r="AC128" s="239" t="s">
        <v>376</v>
      </c>
      <c r="AD128" s="239" t="s">
        <v>376</v>
      </c>
      <c r="AE128" s="239" t="s">
        <v>376</v>
      </c>
      <c r="AF128" s="239" t="s">
        <v>376</v>
      </c>
      <c r="AG128" s="164">
        <f t="shared" si="7"/>
        <v>4</v>
      </c>
      <c r="AH128" s="164">
        <f t="shared" si="8"/>
        <v>7</v>
      </c>
      <c r="AI128" s="160" t="e">
        <f>VLOOKUP(B128,'[15]rank 수집제한 리스트 (신,구)'!$F$3:$J$16,5,FALSE)</f>
        <v>#N/A</v>
      </c>
      <c r="AJ128" s="160"/>
      <c r="AK128" s="161" t="s">
        <v>244</v>
      </c>
      <c r="AL128" s="160" t="s">
        <v>189</v>
      </c>
    </row>
    <row r="129" spans="2:38" hidden="1">
      <c r="B129" s="239" t="str">
        <f t="shared" si="9"/>
        <v>MX_COPPEL_이전</v>
      </c>
      <c r="C129" s="239" t="s">
        <v>32</v>
      </c>
      <c r="D129" s="239" t="s">
        <v>35</v>
      </c>
      <c r="E129" s="239" t="s">
        <v>331</v>
      </c>
      <c r="F129" s="239" t="s">
        <v>127</v>
      </c>
      <c r="G129" s="239" t="s">
        <v>127</v>
      </c>
      <c r="H129" s="240" t="s">
        <v>473</v>
      </c>
      <c r="I129" s="241" t="s">
        <v>474</v>
      </c>
      <c r="J129" s="242"/>
      <c r="K129" s="239" t="s">
        <v>205</v>
      </c>
      <c r="L129" s="239" t="s">
        <v>374</v>
      </c>
      <c r="M129" s="243"/>
      <c r="N129" s="150">
        <v>20230517</v>
      </c>
      <c r="O129" s="150">
        <v>20230601</v>
      </c>
      <c r="P129" s="239" t="s">
        <v>375</v>
      </c>
      <c r="Q129" s="239" t="s">
        <v>375</v>
      </c>
      <c r="R129" s="239" t="s">
        <v>375</v>
      </c>
      <c r="S129" s="239" t="s">
        <v>376</v>
      </c>
      <c r="T129" s="239" t="s">
        <v>376</v>
      </c>
      <c r="U129" s="239" t="s">
        <v>375</v>
      </c>
      <c r="V129" s="239" t="s">
        <v>376</v>
      </c>
      <c r="W129" s="239" t="s">
        <v>375</v>
      </c>
      <c r="X129" s="239" t="s">
        <v>376</v>
      </c>
      <c r="Y129" s="239" t="s">
        <v>376</v>
      </c>
      <c r="Z129" s="239" t="s">
        <v>376</v>
      </c>
      <c r="AA129" s="239" t="s">
        <v>376</v>
      </c>
      <c r="AB129" s="239" t="s">
        <v>376</v>
      </c>
      <c r="AC129" s="239" t="s">
        <v>376</v>
      </c>
      <c r="AD129" s="239" t="s">
        <v>376</v>
      </c>
      <c r="AE129" s="239" t="s">
        <v>376</v>
      </c>
      <c r="AF129" s="239" t="s">
        <v>376</v>
      </c>
      <c r="AG129" s="164">
        <f t="shared" si="7"/>
        <v>3</v>
      </c>
      <c r="AH129" s="164">
        <f t="shared" si="8"/>
        <v>5</v>
      </c>
      <c r="AI129" s="160" t="e">
        <f>VLOOKUP(B129,'[15]rank 수집제한 리스트 (신,구)'!$F$3:$J$16,5,FALSE)</f>
        <v>#N/A</v>
      </c>
      <c r="AJ129" s="160"/>
      <c r="AK129" s="161" t="s">
        <v>244</v>
      </c>
      <c r="AL129" s="160" t="s">
        <v>189</v>
      </c>
    </row>
    <row r="130" spans="2:38" hidden="1">
      <c r="B130" s="239" t="str">
        <f t="shared" si="9"/>
        <v>PA_PANAFOTO</v>
      </c>
      <c r="C130" s="239" t="s">
        <v>32</v>
      </c>
      <c r="D130" s="239" t="s">
        <v>475</v>
      </c>
      <c r="E130" s="239" t="s">
        <v>476</v>
      </c>
      <c r="F130" s="239" t="s">
        <v>127</v>
      </c>
      <c r="G130" s="239" t="s">
        <v>127</v>
      </c>
      <c r="H130" s="240" t="s">
        <v>477</v>
      </c>
      <c r="I130" s="241" t="s">
        <v>478</v>
      </c>
      <c r="J130" s="242"/>
      <c r="K130" s="239" t="s">
        <v>205</v>
      </c>
      <c r="L130" s="239" t="s">
        <v>374</v>
      </c>
      <c r="M130" s="243"/>
      <c r="N130" s="150">
        <v>20220928</v>
      </c>
      <c r="O130" s="150">
        <v>20231010</v>
      </c>
      <c r="P130" s="239" t="s">
        <v>375</v>
      </c>
      <c r="Q130" s="239" t="s">
        <v>375</v>
      </c>
      <c r="R130" s="239" t="s">
        <v>375</v>
      </c>
      <c r="S130" s="239" t="s">
        <v>376</v>
      </c>
      <c r="T130" s="239" t="s">
        <v>375</v>
      </c>
      <c r="U130" s="239" t="s">
        <v>375</v>
      </c>
      <c r="V130" s="239" t="s">
        <v>375</v>
      </c>
      <c r="W130" s="239" t="s">
        <v>375</v>
      </c>
      <c r="X130" s="239" t="s">
        <v>376</v>
      </c>
      <c r="Y130" s="239" t="s">
        <v>376</v>
      </c>
      <c r="Z130" s="239" t="s">
        <v>376</v>
      </c>
      <c r="AA130" s="239" t="s">
        <v>376</v>
      </c>
      <c r="AB130" s="239" t="s">
        <v>376</v>
      </c>
      <c r="AC130" s="239" t="s">
        <v>376</v>
      </c>
      <c r="AD130" s="239" t="s">
        <v>376</v>
      </c>
      <c r="AE130" s="239" t="s">
        <v>376</v>
      </c>
      <c r="AF130" s="239" t="s">
        <v>376</v>
      </c>
      <c r="AG130" s="164">
        <f t="shared" si="7"/>
        <v>4</v>
      </c>
      <c r="AH130" s="164">
        <f t="shared" si="8"/>
        <v>7</v>
      </c>
      <c r="AI130" s="160" t="e">
        <f>VLOOKUP(B130,'[15]rank 수집제한 리스트 (신,구)'!$F$3:$J$16,5,FALSE)</f>
        <v>#N/A</v>
      </c>
      <c r="AJ130" s="160"/>
      <c r="AK130" s="161" t="s">
        <v>244</v>
      </c>
      <c r="AL130" s="160" t="s">
        <v>189</v>
      </c>
    </row>
    <row r="131" spans="2:38" hidden="1">
      <c r="B131" s="239" t="str">
        <f t="shared" si="9"/>
        <v>PE_FALABELLA</v>
      </c>
      <c r="C131" s="239" t="s">
        <v>32</v>
      </c>
      <c r="D131" s="239" t="s">
        <v>479</v>
      </c>
      <c r="E131" s="239" t="s">
        <v>480</v>
      </c>
      <c r="F131" s="239" t="s">
        <v>127</v>
      </c>
      <c r="G131" s="239" t="s">
        <v>127</v>
      </c>
      <c r="H131" s="240" t="s">
        <v>327</v>
      </c>
      <c r="I131" s="241" t="s">
        <v>481</v>
      </c>
      <c r="J131" s="242"/>
      <c r="K131" s="239" t="s">
        <v>205</v>
      </c>
      <c r="L131" s="239" t="s">
        <v>374</v>
      </c>
      <c r="M131" s="243"/>
      <c r="N131" s="150">
        <v>20220901</v>
      </c>
      <c r="O131" s="150">
        <v>20230601</v>
      </c>
      <c r="P131" s="239" t="s">
        <v>375</v>
      </c>
      <c r="Q131" s="239" t="s">
        <v>375</v>
      </c>
      <c r="R131" s="239" t="s">
        <v>375</v>
      </c>
      <c r="S131" s="239" t="s">
        <v>376</v>
      </c>
      <c r="T131" s="239" t="s">
        <v>376</v>
      </c>
      <c r="U131" s="239" t="s">
        <v>375</v>
      </c>
      <c r="V131" s="239" t="s">
        <v>375</v>
      </c>
      <c r="W131" s="239" t="s">
        <v>375</v>
      </c>
      <c r="X131" s="239" t="s">
        <v>376</v>
      </c>
      <c r="Y131" s="239" t="s">
        <v>376</v>
      </c>
      <c r="Z131" s="239" t="s">
        <v>376</v>
      </c>
      <c r="AA131" s="239" t="s">
        <v>376</v>
      </c>
      <c r="AB131" s="239" t="s">
        <v>376</v>
      </c>
      <c r="AC131" s="239" t="s">
        <v>376</v>
      </c>
      <c r="AD131" s="239" t="s">
        <v>376</v>
      </c>
      <c r="AE131" s="239" t="s">
        <v>376</v>
      </c>
      <c r="AF131" s="239" t="s">
        <v>376</v>
      </c>
      <c r="AG131" s="164">
        <f t="shared" si="7"/>
        <v>3</v>
      </c>
      <c r="AH131" s="164">
        <f t="shared" si="8"/>
        <v>6</v>
      </c>
      <c r="AI131" s="160" t="e">
        <f>VLOOKUP(B131,'[15]rank 수집제한 리스트 (신,구)'!$F$3:$J$16,5,FALSE)</f>
        <v>#N/A</v>
      </c>
      <c r="AJ131" s="160"/>
      <c r="AK131" s="161" t="s">
        <v>244</v>
      </c>
      <c r="AL131" s="160" t="s">
        <v>189</v>
      </c>
    </row>
    <row r="132" spans="2:38" hidden="1">
      <c r="B132" s="239" t="str">
        <f t="shared" si="9"/>
        <v>PE_OECHSLE</v>
      </c>
      <c r="C132" s="239" t="s">
        <v>32</v>
      </c>
      <c r="D132" s="239" t="s">
        <v>479</v>
      </c>
      <c r="E132" s="239" t="s">
        <v>480</v>
      </c>
      <c r="F132" s="239" t="s">
        <v>127</v>
      </c>
      <c r="G132" s="239" t="s">
        <v>127</v>
      </c>
      <c r="H132" s="240" t="s">
        <v>482</v>
      </c>
      <c r="I132" s="241" t="s">
        <v>483</v>
      </c>
      <c r="J132" s="242"/>
      <c r="K132" s="239" t="s">
        <v>205</v>
      </c>
      <c r="L132" s="239" t="s">
        <v>374</v>
      </c>
      <c r="M132" s="243"/>
      <c r="N132" s="150">
        <v>20230517</v>
      </c>
      <c r="O132" s="150">
        <v>20230601</v>
      </c>
      <c r="P132" s="239" t="s">
        <v>375</v>
      </c>
      <c r="Q132" s="239" t="s">
        <v>375</v>
      </c>
      <c r="R132" s="239" t="s">
        <v>376</v>
      </c>
      <c r="S132" s="239" t="s">
        <v>376</v>
      </c>
      <c r="T132" s="239" t="s">
        <v>376</v>
      </c>
      <c r="U132" s="239" t="s">
        <v>376</v>
      </c>
      <c r="V132" s="239" t="s">
        <v>376</v>
      </c>
      <c r="W132" s="239" t="s">
        <v>376</v>
      </c>
      <c r="X132" s="239" t="s">
        <v>376</v>
      </c>
      <c r="Y132" s="239" t="s">
        <v>376</v>
      </c>
      <c r="Z132" s="239" t="s">
        <v>376</v>
      </c>
      <c r="AA132" s="239" t="s">
        <v>375</v>
      </c>
      <c r="AB132" s="239" t="s">
        <v>376</v>
      </c>
      <c r="AC132" s="239" t="s">
        <v>376</v>
      </c>
      <c r="AD132" s="239" t="s">
        <v>375</v>
      </c>
      <c r="AE132" s="239" t="s">
        <v>376</v>
      </c>
      <c r="AF132" s="239" t="s">
        <v>376</v>
      </c>
      <c r="AG132" s="164">
        <f t="shared" si="7"/>
        <v>2</v>
      </c>
      <c r="AH132" s="164">
        <f t="shared" si="8"/>
        <v>4</v>
      </c>
      <c r="AI132" s="160" t="e">
        <f>VLOOKUP(B132,'[15]rank 수집제한 리스트 (신,구)'!$F$3:$J$16,5,FALSE)</f>
        <v>#N/A</v>
      </c>
      <c r="AJ132" s="160"/>
      <c r="AK132" s="161" t="s">
        <v>244</v>
      </c>
      <c r="AL132" s="160" t="s">
        <v>189</v>
      </c>
    </row>
    <row r="133" spans="2:38" hidden="1">
      <c r="B133" s="239" t="str">
        <f t="shared" si="9"/>
        <v>ZA_HIRSCHS</v>
      </c>
      <c r="C133" s="239" t="s">
        <v>37</v>
      </c>
      <c r="D133" s="239" t="s">
        <v>484</v>
      </c>
      <c r="E133" s="239" t="s">
        <v>485</v>
      </c>
      <c r="F133" s="239" t="s">
        <v>127</v>
      </c>
      <c r="G133" s="239" t="s">
        <v>132</v>
      </c>
      <c r="H133" s="240" t="s">
        <v>486</v>
      </c>
      <c r="I133" s="241" t="s">
        <v>487</v>
      </c>
      <c r="J133" s="242"/>
      <c r="K133" s="239" t="s">
        <v>205</v>
      </c>
      <c r="L133" s="239" t="s">
        <v>374</v>
      </c>
      <c r="M133" s="243"/>
      <c r="N133" s="150">
        <v>20230401</v>
      </c>
      <c r="O133" s="150">
        <v>20240103</v>
      </c>
      <c r="P133" s="239" t="s">
        <v>375</v>
      </c>
      <c r="Q133" s="239" t="s">
        <v>375</v>
      </c>
      <c r="R133" s="239" t="s">
        <v>375</v>
      </c>
      <c r="S133" s="239" t="s">
        <v>376</v>
      </c>
      <c r="T133" s="239" t="s">
        <v>376</v>
      </c>
      <c r="U133" s="239" t="s">
        <v>375</v>
      </c>
      <c r="V133" s="239" t="s">
        <v>375</v>
      </c>
      <c r="W133" s="239" t="s">
        <v>375</v>
      </c>
      <c r="X133" s="239" t="s">
        <v>376</v>
      </c>
      <c r="Y133" s="239" t="s">
        <v>376</v>
      </c>
      <c r="Z133" s="239" t="s">
        <v>375</v>
      </c>
      <c r="AA133" s="239" t="s">
        <v>376</v>
      </c>
      <c r="AB133" s="239" t="s">
        <v>376</v>
      </c>
      <c r="AC133" s="239" t="s">
        <v>376</v>
      </c>
      <c r="AD133" s="239" t="s">
        <v>376</v>
      </c>
      <c r="AE133" s="239" t="s">
        <v>376</v>
      </c>
      <c r="AF133" s="239" t="s">
        <v>376</v>
      </c>
      <c r="AG133" s="164">
        <f t="shared" si="7"/>
        <v>3</v>
      </c>
      <c r="AH133" s="164">
        <f t="shared" si="8"/>
        <v>7</v>
      </c>
      <c r="AI133" s="160" t="e">
        <f>VLOOKUP(B133,'[15]rank 수집제한 리스트 (신,구)'!$F$3:$J$16,5,FALSE)</f>
        <v>#N/A</v>
      </c>
      <c r="AJ133" s="160"/>
      <c r="AK133" s="161" t="s">
        <v>244</v>
      </c>
      <c r="AL133" s="160" t="s">
        <v>189</v>
      </c>
    </row>
    <row r="134" spans="2:38" hidden="1">
      <c r="B134" s="239" t="str">
        <f t="shared" si="9"/>
        <v>ZA_MAKRO</v>
      </c>
      <c r="C134" s="239" t="s">
        <v>37</v>
      </c>
      <c r="D134" s="239" t="s">
        <v>484</v>
      </c>
      <c r="E134" s="239" t="s">
        <v>485</v>
      </c>
      <c r="F134" s="239" t="s">
        <v>127</v>
      </c>
      <c r="G134" s="239" t="s">
        <v>132</v>
      </c>
      <c r="H134" s="240" t="s">
        <v>488</v>
      </c>
      <c r="I134" s="241" t="s">
        <v>489</v>
      </c>
      <c r="J134" s="242"/>
      <c r="K134" s="239" t="s">
        <v>205</v>
      </c>
      <c r="L134" s="239" t="s">
        <v>374</v>
      </c>
      <c r="M134" s="243"/>
      <c r="N134" s="150">
        <v>20230401</v>
      </c>
      <c r="O134" s="150">
        <v>20240103</v>
      </c>
      <c r="P134" s="239" t="s">
        <v>375</v>
      </c>
      <c r="Q134" s="239" t="s">
        <v>375</v>
      </c>
      <c r="R134" s="239" t="s">
        <v>375</v>
      </c>
      <c r="S134" s="239" t="s">
        <v>375</v>
      </c>
      <c r="T134" s="239" t="s">
        <v>376</v>
      </c>
      <c r="U134" s="239" t="s">
        <v>375</v>
      </c>
      <c r="V134" s="239" t="s">
        <v>375</v>
      </c>
      <c r="W134" s="239" t="s">
        <v>375</v>
      </c>
      <c r="X134" s="239" t="s">
        <v>376</v>
      </c>
      <c r="Y134" s="239" t="s">
        <v>376</v>
      </c>
      <c r="Z134" s="239" t="s">
        <v>376</v>
      </c>
      <c r="AA134" s="239" t="s">
        <v>376</v>
      </c>
      <c r="AB134" s="239" t="s">
        <v>376</v>
      </c>
      <c r="AC134" s="239" t="s">
        <v>376</v>
      </c>
      <c r="AD134" s="239" t="s">
        <v>376</v>
      </c>
      <c r="AE134" s="239" t="s">
        <v>376</v>
      </c>
      <c r="AF134" s="239" t="s">
        <v>376</v>
      </c>
      <c r="AG134" s="164">
        <f t="shared" si="7"/>
        <v>4</v>
      </c>
      <c r="AH134" s="164">
        <f t="shared" si="8"/>
        <v>7</v>
      </c>
      <c r="AI134" s="160" t="e">
        <f>VLOOKUP(B134,'[15]rank 수집제한 리스트 (신,구)'!$F$3:$J$16,5,FALSE)</f>
        <v>#N/A</v>
      </c>
      <c r="AJ134" s="160"/>
      <c r="AK134" s="161" t="s">
        <v>244</v>
      </c>
      <c r="AL134" s="160" t="s">
        <v>189</v>
      </c>
    </row>
    <row r="135" spans="2:38" hidden="1">
      <c r="B135" s="239" t="str">
        <f t="shared" si="9"/>
        <v>TR_MEDIAMARKT</v>
      </c>
      <c r="C135" s="239" t="s">
        <v>37</v>
      </c>
      <c r="D135" s="239" t="s">
        <v>490</v>
      </c>
      <c r="E135" s="239" t="s">
        <v>491</v>
      </c>
      <c r="F135" s="239" t="s">
        <v>127</v>
      </c>
      <c r="G135" s="239" t="s">
        <v>132</v>
      </c>
      <c r="H135" s="240" t="s">
        <v>264</v>
      </c>
      <c r="I135" s="241" t="s">
        <v>492</v>
      </c>
      <c r="J135" s="242"/>
      <c r="K135" s="239" t="s">
        <v>205</v>
      </c>
      <c r="L135" s="239" t="s">
        <v>374</v>
      </c>
      <c r="M135" s="243"/>
      <c r="N135" s="150">
        <v>20230517</v>
      </c>
      <c r="O135" s="150">
        <v>20250303</v>
      </c>
      <c r="P135" s="239" t="s">
        <v>375</v>
      </c>
      <c r="Q135" s="239" t="s">
        <v>375</v>
      </c>
      <c r="R135" s="239" t="s">
        <v>375</v>
      </c>
      <c r="S135" s="239" t="s">
        <v>376</v>
      </c>
      <c r="T135" s="239" t="s">
        <v>376</v>
      </c>
      <c r="U135" s="239" t="s">
        <v>375</v>
      </c>
      <c r="V135" s="239" t="s">
        <v>375</v>
      </c>
      <c r="W135" s="239" t="s">
        <v>375</v>
      </c>
      <c r="X135" s="239" t="s">
        <v>376</v>
      </c>
      <c r="Y135" s="239" t="s">
        <v>376</v>
      </c>
      <c r="Z135" s="239" t="s">
        <v>376</v>
      </c>
      <c r="AA135" s="239" t="s">
        <v>376</v>
      </c>
      <c r="AB135" s="239" t="s">
        <v>376</v>
      </c>
      <c r="AC135" s="239" t="s">
        <v>376</v>
      </c>
      <c r="AD135" s="239" t="s">
        <v>376</v>
      </c>
      <c r="AE135" s="239" t="s">
        <v>376</v>
      </c>
      <c r="AF135" s="239" t="s">
        <v>376</v>
      </c>
      <c r="AG135" s="164">
        <f t="shared" si="7"/>
        <v>3</v>
      </c>
      <c r="AH135" s="164">
        <f t="shared" si="8"/>
        <v>6</v>
      </c>
      <c r="AI135" s="160" t="e">
        <f>VLOOKUP(B135,'[15]rank 수집제한 리스트 (신,구)'!$F$3:$J$16,5,FALSE)</f>
        <v>#N/A</v>
      </c>
      <c r="AJ135" s="160"/>
      <c r="AK135" s="161" t="s">
        <v>244</v>
      </c>
      <c r="AL135" s="160" t="s">
        <v>189</v>
      </c>
    </row>
    <row r="136" spans="2:38" hidden="1">
      <c r="B136" s="239" t="str">
        <f t="shared" si="9"/>
        <v>TR_TEKNOSA</v>
      </c>
      <c r="C136" s="239" t="s">
        <v>37</v>
      </c>
      <c r="D136" s="239" t="s">
        <v>490</v>
      </c>
      <c r="E136" s="239" t="s">
        <v>491</v>
      </c>
      <c r="F136" s="239" t="s">
        <v>127</v>
      </c>
      <c r="G136" s="239" t="s">
        <v>132</v>
      </c>
      <c r="H136" s="240" t="s">
        <v>493</v>
      </c>
      <c r="I136" s="241" t="s">
        <v>494</v>
      </c>
      <c r="J136" s="242"/>
      <c r="K136" s="239" t="s">
        <v>205</v>
      </c>
      <c r="L136" s="239" t="s">
        <v>374</v>
      </c>
      <c r="M136" s="243"/>
      <c r="N136" s="150">
        <v>20230517</v>
      </c>
      <c r="O136" s="150">
        <v>20250303</v>
      </c>
      <c r="P136" s="239" t="s">
        <v>375</v>
      </c>
      <c r="Q136" s="239" t="s">
        <v>375</v>
      </c>
      <c r="R136" s="239" t="s">
        <v>375</v>
      </c>
      <c r="S136" s="239" t="s">
        <v>375</v>
      </c>
      <c r="T136" s="239" t="s">
        <v>376</v>
      </c>
      <c r="U136" s="239" t="s">
        <v>375</v>
      </c>
      <c r="V136" s="239" t="s">
        <v>375</v>
      </c>
      <c r="W136" s="239" t="s">
        <v>375</v>
      </c>
      <c r="X136" s="239" t="s">
        <v>376</v>
      </c>
      <c r="Y136" s="239" t="s">
        <v>376</v>
      </c>
      <c r="Z136" s="239" t="s">
        <v>376</v>
      </c>
      <c r="AA136" s="239" t="s">
        <v>376</v>
      </c>
      <c r="AB136" s="239" t="s">
        <v>376</v>
      </c>
      <c r="AC136" s="239" t="s">
        <v>376</v>
      </c>
      <c r="AD136" s="239" t="s">
        <v>376</v>
      </c>
      <c r="AE136" s="239" t="s">
        <v>376</v>
      </c>
      <c r="AF136" s="239" t="s">
        <v>376</v>
      </c>
      <c r="AG136" s="164">
        <f t="shared" si="7"/>
        <v>4</v>
      </c>
      <c r="AH136" s="164">
        <f t="shared" si="8"/>
        <v>7</v>
      </c>
      <c r="AI136" s="160" t="e">
        <f>VLOOKUP(B136,'[15]rank 수집제한 리스트 (신,구)'!$F$3:$J$16,5,FALSE)</f>
        <v>#N/A</v>
      </c>
      <c r="AJ136" s="160"/>
      <c r="AK136" s="161" t="s">
        <v>244</v>
      </c>
      <c r="AL136" s="160" t="s">
        <v>189</v>
      </c>
    </row>
    <row r="137" spans="2:38" hidden="1">
      <c r="B137" s="239" t="str">
        <f t="shared" si="9"/>
        <v>TR_VATAN</v>
      </c>
      <c r="C137" s="239" t="s">
        <v>37</v>
      </c>
      <c r="D137" s="239" t="s">
        <v>490</v>
      </c>
      <c r="E137" s="239" t="s">
        <v>491</v>
      </c>
      <c r="F137" s="239" t="s">
        <v>127</v>
      </c>
      <c r="G137" s="239" t="s">
        <v>132</v>
      </c>
      <c r="H137" s="240" t="s">
        <v>495</v>
      </c>
      <c r="I137" s="241" t="s">
        <v>496</v>
      </c>
      <c r="J137" s="242"/>
      <c r="K137" s="239" t="s">
        <v>205</v>
      </c>
      <c r="L137" s="239" t="s">
        <v>374</v>
      </c>
      <c r="M137" s="243"/>
      <c r="N137" s="150">
        <v>20220928</v>
      </c>
      <c r="O137" s="150">
        <v>20250303</v>
      </c>
      <c r="P137" s="239" t="s">
        <v>376</v>
      </c>
      <c r="Q137" s="239" t="s">
        <v>376</v>
      </c>
      <c r="R137" s="239" t="s">
        <v>375</v>
      </c>
      <c r="S137" s="239" t="s">
        <v>375</v>
      </c>
      <c r="T137" s="239" t="s">
        <v>376</v>
      </c>
      <c r="U137" s="239" t="s">
        <v>375</v>
      </c>
      <c r="V137" s="239" t="s">
        <v>375</v>
      </c>
      <c r="W137" s="239" t="s">
        <v>375</v>
      </c>
      <c r="X137" s="239" t="s">
        <v>376</v>
      </c>
      <c r="Y137" s="239" t="s">
        <v>376</v>
      </c>
      <c r="Z137" s="239" t="s">
        <v>376</v>
      </c>
      <c r="AA137" s="239" t="s">
        <v>376</v>
      </c>
      <c r="AB137" s="239" t="s">
        <v>376</v>
      </c>
      <c r="AC137" s="239" t="s">
        <v>376</v>
      </c>
      <c r="AD137" s="239" t="s">
        <v>376</v>
      </c>
      <c r="AE137" s="239" t="s">
        <v>376</v>
      </c>
      <c r="AF137" s="239" t="s">
        <v>376</v>
      </c>
      <c r="AG137" s="164">
        <f t="shared" si="7"/>
        <v>2</v>
      </c>
      <c r="AH137" s="164">
        <f t="shared" si="8"/>
        <v>5</v>
      </c>
      <c r="AI137" s="160" t="e">
        <f>VLOOKUP(B137,'[15]rank 수집제한 리스트 (신,구)'!$F$3:$J$16,5,FALSE)</f>
        <v>#N/A</v>
      </c>
      <c r="AJ137" s="160"/>
      <c r="AK137" s="161" t="s">
        <v>244</v>
      </c>
      <c r="AL137" s="160" t="s">
        <v>189</v>
      </c>
    </row>
    <row r="138" spans="2:38" hidden="1">
      <c r="B138" s="239" t="str">
        <f t="shared" si="9"/>
        <v>AE_AMAZON</v>
      </c>
      <c r="C138" s="239" t="s">
        <v>37</v>
      </c>
      <c r="D138" s="239" t="s">
        <v>497</v>
      </c>
      <c r="E138" s="239" t="s">
        <v>498</v>
      </c>
      <c r="F138" s="239" t="s">
        <v>127</v>
      </c>
      <c r="G138" s="239" t="s">
        <v>132</v>
      </c>
      <c r="H138" s="240" t="s">
        <v>262</v>
      </c>
      <c r="I138" s="241" t="s">
        <v>499</v>
      </c>
      <c r="J138" s="242"/>
      <c r="K138" s="239" t="s">
        <v>199</v>
      </c>
      <c r="L138" s="239" t="s">
        <v>374</v>
      </c>
      <c r="M138" s="243"/>
      <c r="N138" s="150">
        <v>20230516</v>
      </c>
      <c r="O138" s="150">
        <v>20250303</v>
      </c>
      <c r="P138" s="239" t="s">
        <v>375</v>
      </c>
      <c r="Q138" s="239" t="s">
        <v>375</v>
      </c>
      <c r="R138" s="239" t="s">
        <v>376</v>
      </c>
      <c r="S138" s="239" t="s">
        <v>375</v>
      </c>
      <c r="T138" s="239" t="s">
        <v>376</v>
      </c>
      <c r="U138" s="239" t="s">
        <v>375</v>
      </c>
      <c r="V138" s="239" t="s">
        <v>376</v>
      </c>
      <c r="W138" s="239" t="s">
        <v>376</v>
      </c>
      <c r="X138" s="239" t="s">
        <v>376</v>
      </c>
      <c r="Y138" s="239" t="s">
        <v>376</v>
      </c>
      <c r="Z138" s="239" t="s">
        <v>376</v>
      </c>
      <c r="AA138" s="239" t="s">
        <v>376</v>
      </c>
      <c r="AB138" s="239" t="s">
        <v>376</v>
      </c>
      <c r="AC138" s="239" t="s">
        <v>376</v>
      </c>
      <c r="AD138" s="239" t="s">
        <v>376</v>
      </c>
      <c r="AE138" s="239" t="s">
        <v>376</v>
      </c>
      <c r="AF138" s="239" t="s">
        <v>376</v>
      </c>
      <c r="AG138" s="164">
        <f t="shared" si="7"/>
        <v>3</v>
      </c>
      <c r="AH138" s="164">
        <f t="shared" si="8"/>
        <v>4</v>
      </c>
      <c r="AI138" s="160" t="e">
        <f>VLOOKUP(B138,'[15]rank 수집제한 리스트 (신,구)'!$F$3:$J$16,5,FALSE)</f>
        <v>#N/A</v>
      </c>
      <c r="AJ138" s="160"/>
      <c r="AK138" s="161" t="s">
        <v>244</v>
      </c>
      <c r="AL138" s="160" t="s">
        <v>189</v>
      </c>
    </row>
    <row r="139" spans="2:38" hidden="1">
      <c r="B139" s="239" t="str">
        <f t="shared" si="9"/>
        <v>AE_LULU</v>
      </c>
      <c r="C139" s="239" t="s">
        <v>37</v>
      </c>
      <c r="D139" s="239" t="s">
        <v>497</v>
      </c>
      <c r="E139" s="239" t="s">
        <v>498</v>
      </c>
      <c r="F139" s="239" t="s">
        <v>127</v>
      </c>
      <c r="G139" s="239" t="s">
        <v>132</v>
      </c>
      <c r="H139" s="240" t="s">
        <v>500</v>
      </c>
      <c r="I139" s="241" t="s">
        <v>501</v>
      </c>
      <c r="J139" s="242"/>
      <c r="K139" s="239" t="s">
        <v>205</v>
      </c>
      <c r="L139" s="239" t="s">
        <v>374</v>
      </c>
      <c r="M139" s="243"/>
      <c r="N139" s="150">
        <v>20220930</v>
      </c>
      <c r="O139" s="150">
        <v>20250303</v>
      </c>
      <c r="P139" s="239" t="s">
        <v>375</v>
      </c>
      <c r="Q139" s="239" t="s">
        <v>375</v>
      </c>
      <c r="R139" s="239" t="s">
        <v>375</v>
      </c>
      <c r="S139" s="239" t="s">
        <v>376</v>
      </c>
      <c r="T139" s="239" t="s">
        <v>375</v>
      </c>
      <c r="U139" s="239" t="s">
        <v>375</v>
      </c>
      <c r="V139" s="239" t="s">
        <v>375</v>
      </c>
      <c r="W139" s="239" t="s">
        <v>375</v>
      </c>
      <c r="X139" s="239" t="s">
        <v>375</v>
      </c>
      <c r="Y139" s="239" t="s">
        <v>376</v>
      </c>
      <c r="Z139" s="239" t="s">
        <v>375</v>
      </c>
      <c r="AA139" s="239" t="s">
        <v>376</v>
      </c>
      <c r="AB139" s="239" t="s">
        <v>376</v>
      </c>
      <c r="AC139" s="239" t="s">
        <v>376</v>
      </c>
      <c r="AD139" s="239" t="s">
        <v>376</v>
      </c>
      <c r="AE139" s="239" t="s">
        <v>376</v>
      </c>
      <c r="AF139" s="239" t="s">
        <v>376</v>
      </c>
      <c r="AG139" s="164">
        <f t="shared" si="7"/>
        <v>4</v>
      </c>
      <c r="AH139" s="164">
        <f t="shared" si="8"/>
        <v>9</v>
      </c>
      <c r="AI139" s="160" t="e">
        <f>VLOOKUP(B139,'[15]rank 수집제한 리스트 (신,구)'!$F$3:$J$16,5,FALSE)</f>
        <v>#N/A</v>
      </c>
      <c r="AJ139" s="160"/>
      <c r="AK139" s="161" t="s">
        <v>244</v>
      </c>
      <c r="AL139" s="160" t="s">
        <v>189</v>
      </c>
    </row>
    <row r="140" spans="2:38" hidden="1">
      <c r="B140" s="239" t="str">
        <f t="shared" si="9"/>
        <v>AE_SHARAFDG</v>
      </c>
      <c r="C140" s="239" t="s">
        <v>37</v>
      </c>
      <c r="D140" s="239" t="s">
        <v>497</v>
      </c>
      <c r="E140" s="239" t="s">
        <v>498</v>
      </c>
      <c r="F140" s="239" t="s">
        <v>127</v>
      </c>
      <c r="G140" s="239" t="s">
        <v>132</v>
      </c>
      <c r="H140" s="240" t="s">
        <v>502</v>
      </c>
      <c r="I140" s="241" t="s">
        <v>503</v>
      </c>
      <c r="J140" s="242"/>
      <c r="K140" s="239" t="s">
        <v>205</v>
      </c>
      <c r="L140" s="239" t="s">
        <v>374</v>
      </c>
      <c r="M140" s="243"/>
      <c r="N140" s="150">
        <v>20220930</v>
      </c>
      <c r="O140" s="150">
        <v>20250303</v>
      </c>
      <c r="P140" s="239" t="s">
        <v>375</v>
      </c>
      <c r="Q140" s="239" t="s">
        <v>375</v>
      </c>
      <c r="R140" s="239" t="s">
        <v>375</v>
      </c>
      <c r="S140" s="239" t="s">
        <v>375</v>
      </c>
      <c r="T140" s="239" t="s">
        <v>376</v>
      </c>
      <c r="U140" s="239" t="s">
        <v>375</v>
      </c>
      <c r="V140" s="239" t="s">
        <v>375</v>
      </c>
      <c r="W140" s="239" t="s">
        <v>375</v>
      </c>
      <c r="X140" s="239" t="s">
        <v>375</v>
      </c>
      <c r="Y140" s="239" t="s">
        <v>376</v>
      </c>
      <c r="Z140" s="239" t="s">
        <v>376</v>
      </c>
      <c r="AA140" s="239" t="s">
        <v>376</v>
      </c>
      <c r="AB140" s="239" t="s">
        <v>376</v>
      </c>
      <c r="AC140" s="239" t="s">
        <v>376</v>
      </c>
      <c r="AD140" s="239" t="s">
        <v>376</v>
      </c>
      <c r="AE140" s="239" t="s">
        <v>376</v>
      </c>
      <c r="AF140" s="239" t="s">
        <v>376</v>
      </c>
      <c r="AG140" s="164">
        <f t="shared" si="7"/>
        <v>4</v>
      </c>
      <c r="AH140" s="164">
        <f t="shared" si="8"/>
        <v>8</v>
      </c>
      <c r="AI140" s="160" t="e">
        <f>VLOOKUP(B140,'[15]rank 수집제한 리스트 (신,구)'!$F$3:$J$16,5,FALSE)</f>
        <v>#N/A</v>
      </c>
      <c r="AJ140" s="160"/>
      <c r="AK140" s="161" t="s">
        <v>244</v>
      </c>
      <c r="AL140" s="160" t="s">
        <v>189</v>
      </c>
    </row>
    <row r="141" spans="2:38" hidden="1">
      <c r="B141" s="239" t="str">
        <f t="shared" ref="B141:B147" si="10">E141&amp;"_"&amp;H141</f>
        <v>CA_LOWES</v>
      </c>
      <c r="C141" s="239" t="s">
        <v>39</v>
      </c>
      <c r="D141" s="239" t="s">
        <v>40</v>
      </c>
      <c r="E141" s="239" t="s">
        <v>345</v>
      </c>
      <c r="F141" s="239" t="s">
        <v>127</v>
      </c>
      <c r="G141" s="239" t="s">
        <v>127</v>
      </c>
      <c r="H141" s="240" t="s">
        <v>504</v>
      </c>
      <c r="I141" s="241" t="s">
        <v>505</v>
      </c>
      <c r="J141" s="242"/>
      <c r="K141" s="239" t="s">
        <v>205</v>
      </c>
      <c r="L141" s="239" t="s">
        <v>374</v>
      </c>
      <c r="M141" s="243"/>
      <c r="N141" s="150">
        <v>20230403</v>
      </c>
      <c r="O141" s="150">
        <v>20231207</v>
      </c>
      <c r="P141" s="239" t="s">
        <v>375</v>
      </c>
      <c r="Q141" s="239" t="s">
        <v>375</v>
      </c>
      <c r="R141" s="239" t="s">
        <v>375</v>
      </c>
      <c r="S141" s="239" t="s">
        <v>376</v>
      </c>
      <c r="T141" s="239" t="s">
        <v>376</v>
      </c>
      <c r="U141" s="239" t="s">
        <v>376</v>
      </c>
      <c r="V141" s="239" t="s">
        <v>376</v>
      </c>
      <c r="W141" s="239" t="s">
        <v>376</v>
      </c>
      <c r="X141" s="239" t="s">
        <v>376</v>
      </c>
      <c r="Y141" s="239" t="s">
        <v>376</v>
      </c>
      <c r="Z141" s="239" t="s">
        <v>375</v>
      </c>
      <c r="AA141" s="239" t="s">
        <v>376</v>
      </c>
      <c r="AB141" s="239" t="s">
        <v>376</v>
      </c>
      <c r="AC141" s="239" t="s">
        <v>376</v>
      </c>
      <c r="AD141" s="239" t="s">
        <v>375</v>
      </c>
      <c r="AE141" s="239" t="s">
        <v>376</v>
      </c>
      <c r="AF141" s="239" t="s">
        <v>376</v>
      </c>
      <c r="AG141" s="164">
        <f t="shared" si="7"/>
        <v>3</v>
      </c>
      <c r="AH141" s="164">
        <f t="shared" si="8"/>
        <v>5</v>
      </c>
      <c r="AI141" s="160" t="e">
        <f>VLOOKUP(B141,'[15]rank 수집제한 리스트 (신,구)'!$F$3:$J$16,5,FALSE)</f>
        <v>#N/A</v>
      </c>
      <c r="AJ141" s="160"/>
      <c r="AK141" s="161" t="s">
        <v>244</v>
      </c>
      <c r="AL141" s="160" t="s">
        <v>189</v>
      </c>
    </row>
    <row r="142" spans="2:38" hidden="1">
      <c r="B142" s="239" t="str">
        <f t="shared" si="10"/>
        <v>CA_RONA</v>
      </c>
      <c r="C142" s="239" t="s">
        <v>39</v>
      </c>
      <c r="D142" s="239" t="s">
        <v>40</v>
      </c>
      <c r="E142" s="239" t="s">
        <v>345</v>
      </c>
      <c r="F142" s="239" t="s">
        <v>127</v>
      </c>
      <c r="G142" s="239" t="s">
        <v>127</v>
      </c>
      <c r="H142" s="240" t="s">
        <v>506</v>
      </c>
      <c r="I142" s="241" t="s">
        <v>507</v>
      </c>
      <c r="J142" s="242"/>
      <c r="K142" s="239" t="s">
        <v>205</v>
      </c>
      <c r="L142" s="239" t="s">
        <v>374</v>
      </c>
      <c r="M142" s="243"/>
      <c r="N142" s="150">
        <v>20240118</v>
      </c>
      <c r="O142" s="150">
        <v>20240305</v>
      </c>
      <c r="P142" s="239" t="s">
        <v>375</v>
      </c>
      <c r="Q142" s="239" t="s">
        <v>375</v>
      </c>
      <c r="R142" s="239" t="s">
        <v>375</v>
      </c>
      <c r="S142" s="239" t="s">
        <v>375</v>
      </c>
      <c r="T142" s="239" t="s">
        <v>376</v>
      </c>
      <c r="U142" s="239" t="s">
        <v>376</v>
      </c>
      <c r="V142" s="239" t="s">
        <v>376</v>
      </c>
      <c r="W142" s="239" t="s">
        <v>376</v>
      </c>
      <c r="X142" s="239" t="s">
        <v>376</v>
      </c>
      <c r="Y142" s="239" t="s">
        <v>376</v>
      </c>
      <c r="Z142" s="239" t="s">
        <v>376</v>
      </c>
      <c r="AA142" s="239" t="s">
        <v>376</v>
      </c>
      <c r="AB142" s="239" t="s">
        <v>376</v>
      </c>
      <c r="AC142" s="239" t="s">
        <v>376</v>
      </c>
      <c r="AD142" s="239" t="s">
        <v>376</v>
      </c>
      <c r="AE142" s="239" t="s">
        <v>376</v>
      </c>
      <c r="AF142" s="239" t="s">
        <v>376</v>
      </c>
      <c r="AG142" s="164">
        <f t="shared" si="7"/>
        <v>4</v>
      </c>
      <c r="AH142" s="164">
        <f t="shared" si="8"/>
        <v>4</v>
      </c>
      <c r="AI142" s="160" t="e">
        <f>VLOOKUP(B142,'[15]rank 수집제한 리스트 (신,구)'!$F$3:$J$16,5,FALSE)</f>
        <v>#N/A</v>
      </c>
      <c r="AJ142" s="160"/>
      <c r="AK142" s="161" t="s">
        <v>244</v>
      </c>
      <c r="AL142" s="160" t="s">
        <v>189</v>
      </c>
    </row>
    <row r="143" spans="2:38" hidden="1">
      <c r="B143" s="239" t="str">
        <f t="shared" si="10"/>
        <v>US_HOMEDEPOT_LG_이전</v>
      </c>
      <c r="C143" s="239" t="s">
        <v>39</v>
      </c>
      <c r="D143" s="239" t="s">
        <v>41</v>
      </c>
      <c r="E143" s="239" t="s">
        <v>359</v>
      </c>
      <c r="F143" s="239" t="s">
        <v>127</v>
      </c>
      <c r="G143" s="239" t="s">
        <v>132</v>
      </c>
      <c r="H143" s="240" t="s">
        <v>508</v>
      </c>
      <c r="I143" s="241" t="s">
        <v>509</v>
      </c>
      <c r="J143" s="242"/>
      <c r="K143" s="239" t="s">
        <v>205</v>
      </c>
      <c r="L143" s="239" t="s">
        <v>374</v>
      </c>
      <c r="M143" s="243"/>
      <c r="N143" s="150">
        <v>20230517</v>
      </c>
      <c r="O143" s="150">
        <v>20250303</v>
      </c>
      <c r="P143" s="239" t="s">
        <v>375</v>
      </c>
      <c r="Q143" s="239" t="s">
        <v>375</v>
      </c>
      <c r="R143" s="239" t="s">
        <v>376</v>
      </c>
      <c r="S143" s="239" t="s">
        <v>376</v>
      </c>
      <c r="T143" s="239" t="s">
        <v>375</v>
      </c>
      <c r="U143" s="239" t="s">
        <v>376</v>
      </c>
      <c r="V143" s="239" t="s">
        <v>376</v>
      </c>
      <c r="W143" s="239" t="s">
        <v>376</v>
      </c>
      <c r="X143" s="239" t="s">
        <v>376</v>
      </c>
      <c r="Y143" s="239" t="s">
        <v>375</v>
      </c>
      <c r="Z143" s="239" t="s">
        <v>375</v>
      </c>
      <c r="AA143" s="239" t="s">
        <v>375</v>
      </c>
      <c r="AB143" s="239" t="s">
        <v>376</v>
      </c>
      <c r="AC143" s="239" t="s">
        <v>376</v>
      </c>
      <c r="AD143" s="239" t="s">
        <v>375</v>
      </c>
      <c r="AE143" s="239" t="s">
        <v>375</v>
      </c>
      <c r="AF143" s="239" t="s">
        <v>376</v>
      </c>
      <c r="AG143" s="164">
        <f t="shared" si="7"/>
        <v>3</v>
      </c>
      <c r="AH143" s="164">
        <f t="shared" si="8"/>
        <v>8</v>
      </c>
      <c r="AI143" s="160" t="e">
        <f>VLOOKUP(B143,'[15]rank 수집제한 리스트 (신,구)'!$F$3:$J$16,5,FALSE)</f>
        <v>#N/A</v>
      </c>
      <c r="AJ143" s="160"/>
      <c r="AK143" s="161" t="s">
        <v>244</v>
      </c>
      <c r="AL143" s="160" t="s">
        <v>189</v>
      </c>
    </row>
    <row r="144" spans="2:38" hidden="1">
      <c r="B144" s="239" t="str">
        <f t="shared" si="10"/>
        <v>US_LOWES_LG_이전</v>
      </c>
      <c r="C144" s="239" t="s">
        <v>39</v>
      </c>
      <c r="D144" s="239" t="s">
        <v>41</v>
      </c>
      <c r="E144" s="239" t="s">
        <v>359</v>
      </c>
      <c r="F144" s="239" t="s">
        <v>127</v>
      </c>
      <c r="G144" s="239" t="s">
        <v>132</v>
      </c>
      <c r="H144" s="240" t="s">
        <v>510</v>
      </c>
      <c r="I144" s="241" t="s">
        <v>511</v>
      </c>
      <c r="J144" s="242"/>
      <c r="K144" s="239" t="s">
        <v>205</v>
      </c>
      <c r="L144" s="239" t="s">
        <v>374</v>
      </c>
      <c r="M144" s="243"/>
      <c r="N144" s="150">
        <v>20220601</v>
      </c>
      <c r="O144" s="150">
        <v>20250303</v>
      </c>
      <c r="P144" s="239" t="s">
        <v>375</v>
      </c>
      <c r="Q144" s="239" t="s">
        <v>375</v>
      </c>
      <c r="R144" s="239" t="s">
        <v>376</v>
      </c>
      <c r="S144" s="239" t="s">
        <v>376</v>
      </c>
      <c r="T144" s="239" t="s">
        <v>376</v>
      </c>
      <c r="U144" s="239" t="s">
        <v>376</v>
      </c>
      <c r="V144" s="239" t="s">
        <v>376</v>
      </c>
      <c r="W144" s="239" t="s">
        <v>376</v>
      </c>
      <c r="X144" s="239" t="s">
        <v>376</v>
      </c>
      <c r="Y144" s="239" t="s">
        <v>375</v>
      </c>
      <c r="Z144" s="239" t="s">
        <v>375</v>
      </c>
      <c r="AA144" s="239" t="s">
        <v>375</v>
      </c>
      <c r="AB144" s="239" t="s">
        <v>376</v>
      </c>
      <c r="AC144" s="239" t="s">
        <v>376</v>
      </c>
      <c r="AD144" s="239" t="s">
        <v>375</v>
      </c>
      <c r="AE144" s="239" t="s">
        <v>375</v>
      </c>
      <c r="AF144" s="239" t="s">
        <v>376</v>
      </c>
      <c r="AG144" s="164">
        <f t="shared" si="7"/>
        <v>2</v>
      </c>
      <c r="AH144" s="164">
        <f t="shared" si="8"/>
        <v>7</v>
      </c>
      <c r="AI144" s="160" t="e">
        <f>VLOOKUP(B144,'[15]rank 수집제한 리스트 (신,구)'!$F$3:$J$16,5,FALSE)</f>
        <v>#N/A</v>
      </c>
      <c r="AJ144" s="160"/>
      <c r="AK144" s="161" t="s">
        <v>244</v>
      </c>
      <c r="AL144" s="160" t="s">
        <v>189</v>
      </c>
    </row>
    <row r="145" spans="2:38" hidden="1">
      <c r="B145" s="239" t="str">
        <f t="shared" si="10"/>
        <v>US_TARGET</v>
      </c>
      <c r="C145" s="239" t="s">
        <v>39</v>
      </c>
      <c r="D145" s="239" t="s">
        <v>41</v>
      </c>
      <c r="E145" s="239" t="s">
        <v>359</v>
      </c>
      <c r="F145" s="239" t="s">
        <v>127</v>
      </c>
      <c r="G145" s="239" t="s">
        <v>132</v>
      </c>
      <c r="H145" s="240" t="s">
        <v>512</v>
      </c>
      <c r="I145" s="241" t="s">
        <v>513</v>
      </c>
      <c r="J145" s="242"/>
      <c r="K145" s="239" t="s">
        <v>205</v>
      </c>
      <c r="L145" s="239" t="s">
        <v>374</v>
      </c>
      <c r="M145" s="243"/>
      <c r="N145" s="150">
        <v>20220601</v>
      </c>
      <c r="O145" s="150">
        <v>20250304</v>
      </c>
      <c r="P145" s="239" t="s">
        <v>376</v>
      </c>
      <c r="Q145" s="239" t="s">
        <v>376</v>
      </c>
      <c r="R145" s="239" t="s">
        <v>375</v>
      </c>
      <c r="S145" s="239" t="s">
        <v>376</v>
      </c>
      <c r="T145" s="239" t="s">
        <v>376</v>
      </c>
      <c r="U145" s="239" t="s">
        <v>375</v>
      </c>
      <c r="V145" s="239" t="s">
        <v>375</v>
      </c>
      <c r="W145" s="239" t="s">
        <v>375</v>
      </c>
      <c r="X145" s="239" t="s">
        <v>376</v>
      </c>
      <c r="Y145" s="239" t="s">
        <v>375</v>
      </c>
      <c r="Z145" s="239" t="s">
        <v>376</v>
      </c>
      <c r="AA145" s="239" t="s">
        <v>376</v>
      </c>
      <c r="AB145" s="239" t="s">
        <v>376</v>
      </c>
      <c r="AC145" s="239" t="s">
        <v>376</v>
      </c>
      <c r="AD145" s="239" t="s">
        <v>376</v>
      </c>
      <c r="AE145" s="239" t="s">
        <v>376</v>
      </c>
      <c r="AF145" s="239" t="s">
        <v>376</v>
      </c>
      <c r="AG145" s="164">
        <f t="shared" si="7"/>
        <v>1</v>
      </c>
      <c r="AH145" s="164">
        <f t="shared" si="8"/>
        <v>5</v>
      </c>
      <c r="AI145" s="160" t="e">
        <f>VLOOKUP(B145,'[15]rank 수집제한 리스트 (신,구)'!$F$3:$J$16,5,FALSE)</f>
        <v>#N/A</v>
      </c>
      <c r="AJ145" s="160"/>
      <c r="AK145" s="161" t="s">
        <v>244</v>
      </c>
      <c r="AL145" s="160" t="s">
        <v>189</v>
      </c>
    </row>
    <row r="146" spans="2:38" hidden="1">
      <c r="B146" s="239" t="str">
        <f t="shared" si="10"/>
        <v>DK_ELGIGANTEN</v>
      </c>
      <c r="C146" s="239" t="s">
        <v>14</v>
      </c>
      <c r="D146" s="239" t="s">
        <v>514</v>
      </c>
      <c r="E146" s="239" t="s">
        <v>515</v>
      </c>
      <c r="F146" s="239" t="s">
        <v>279</v>
      </c>
      <c r="G146" s="239" t="s">
        <v>279</v>
      </c>
      <c r="H146" s="240" t="s">
        <v>516</v>
      </c>
      <c r="I146" s="241" t="s">
        <v>517</v>
      </c>
      <c r="J146" s="242"/>
      <c r="K146" s="239" t="s">
        <v>205</v>
      </c>
      <c r="L146" s="239" t="s">
        <v>374</v>
      </c>
      <c r="M146" s="243"/>
      <c r="N146" s="150">
        <v>20230301</v>
      </c>
      <c r="O146" s="150">
        <v>20250303</v>
      </c>
      <c r="P146" s="239" t="s">
        <v>375</v>
      </c>
      <c r="Q146" s="239" t="s">
        <v>375</v>
      </c>
      <c r="R146" s="239" t="s">
        <v>375</v>
      </c>
      <c r="S146" s="239" t="s">
        <v>375</v>
      </c>
      <c r="T146" s="239" t="s">
        <v>376</v>
      </c>
      <c r="U146" s="239" t="s">
        <v>375</v>
      </c>
      <c r="V146" s="239" t="s">
        <v>375</v>
      </c>
      <c r="W146" s="239" t="s">
        <v>375</v>
      </c>
      <c r="X146" s="239" t="s">
        <v>375</v>
      </c>
      <c r="Y146" s="239" t="s">
        <v>375</v>
      </c>
      <c r="Z146" s="239" t="s">
        <v>375</v>
      </c>
      <c r="AA146" s="239" t="s">
        <v>375</v>
      </c>
      <c r="AB146" s="239" t="s">
        <v>375</v>
      </c>
      <c r="AC146" s="239" t="s">
        <v>376</v>
      </c>
      <c r="AD146" s="239" t="s">
        <v>375</v>
      </c>
      <c r="AE146" s="239" t="s">
        <v>375</v>
      </c>
      <c r="AF146" s="239" t="s">
        <v>375</v>
      </c>
      <c r="AG146" s="164">
        <f t="shared" si="7"/>
        <v>4</v>
      </c>
      <c r="AH146" s="164">
        <f t="shared" si="8"/>
        <v>15</v>
      </c>
      <c r="AI146" s="160" t="e">
        <f>VLOOKUP(B146,'[15]rank 수집제한 리스트 (신,구)'!$F$3:$J$16,5,FALSE)</f>
        <v>#N/A</v>
      </c>
      <c r="AJ146" s="160"/>
      <c r="AK146" s="161" t="s">
        <v>244</v>
      </c>
      <c r="AL146" s="160" t="s">
        <v>189</v>
      </c>
    </row>
    <row r="147" spans="2:38" s="135" customFormat="1" hidden="1">
      <c r="B147" s="162" t="str">
        <f t="shared" si="10"/>
        <v>BR_Pontofrio</v>
      </c>
      <c r="C147" s="162" t="s">
        <v>17</v>
      </c>
      <c r="D147" s="162" t="s">
        <v>45</v>
      </c>
      <c r="E147" s="162" t="s">
        <v>311</v>
      </c>
      <c r="F147" s="162" t="s">
        <v>127</v>
      </c>
      <c r="G147" s="162" t="s">
        <v>183</v>
      </c>
      <c r="H147" s="192" t="s">
        <v>518</v>
      </c>
      <c r="I147" s="193" t="s">
        <v>519</v>
      </c>
      <c r="J147" s="164" t="s">
        <v>314</v>
      </c>
      <c r="K147" s="164" t="s">
        <v>205</v>
      </c>
      <c r="L147" s="162" t="s">
        <v>374</v>
      </c>
      <c r="M147" s="175" t="s">
        <v>520</v>
      </c>
      <c r="N147" s="162" t="e">
        <v>#N/A</v>
      </c>
      <c r="O147" s="162" t="e">
        <v>#N/A</v>
      </c>
      <c r="P147" s="170" t="s">
        <v>126</v>
      </c>
      <c r="Q147" s="170" t="s">
        <v>126</v>
      </c>
      <c r="R147" s="170" t="s">
        <v>126</v>
      </c>
      <c r="S147" s="170" t="s">
        <v>126</v>
      </c>
      <c r="T147" s="170" t="s">
        <v>126</v>
      </c>
      <c r="U147" s="170" t="s">
        <v>126</v>
      </c>
      <c r="V147" s="170" t="s">
        <v>126</v>
      </c>
      <c r="W147" s="170" t="s">
        <v>126</v>
      </c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64">
        <f>COUNTIF(P147:T147, "YY") + COUNTIF(P147:T147, "YN") + COUNTIF(P147:T147, "NY")</f>
        <v>5</v>
      </c>
      <c r="AH147" s="164">
        <f>COUNTIF(P147:AF147, "YY") + COUNTIF(P147:AF147, "YN") + COUNTIF(P147:AF147, "NY")</f>
        <v>8</v>
      </c>
      <c r="AI147" s="170" t="e">
        <f>VLOOKUP(B147,'[15]rank 수집제한 리스트 (신,구)'!$F$3:$J$16,5,FALSE)</f>
        <v>#N/A</v>
      </c>
      <c r="AJ147" s="170"/>
      <c r="AK147" s="238" t="s">
        <v>244</v>
      </c>
      <c r="AL147" s="170" t="s">
        <v>189</v>
      </c>
    </row>
    <row r="154" spans="2:38">
      <c r="L154" s="152">
        <f>135-118</f>
        <v>17</v>
      </c>
    </row>
    <row r="160" spans="2:38">
      <c r="I160" s="152">
        <v>135</v>
      </c>
      <c r="L160" s="152">
        <f>135-118</f>
        <v>17</v>
      </c>
    </row>
    <row r="161" spans="9:12">
      <c r="I161" s="152">
        <v>118</v>
      </c>
    </row>
    <row r="162" spans="9:12">
      <c r="I162" s="152">
        <f>I160-I161</f>
        <v>17</v>
      </c>
      <c r="L162" s="152">
        <f>23/57</f>
        <v>0.40350877192982454</v>
      </c>
    </row>
  </sheetData>
  <autoFilter ref="A12:AL147" xr:uid="{5C5A8E30-BCE5-49E2-9CC9-20FA890EEBE1}">
    <filterColumn colId="3">
      <filters>
        <filter val="Czech"/>
      </filters>
    </filterColumn>
  </autoFilter>
  <mergeCells count="6">
    <mergeCell ref="AI9:AU9"/>
    <mergeCell ref="AI4:AU4"/>
    <mergeCell ref="AI5:AU5"/>
    <mergeCell ref="AI6:AU6"/>
    <mergeCell ref="AI7:AU7"/>
    <mergeCell ref="AI8:AU8"/>
  </mergeCells>
  <phoneticPr fontId="2" type="noConversion"/>
  <hyperlinks>
    <hyperlink ref="I86" r:id="rId1" xr:uid="{FED7CD5A-04BB-4F38-A694-A79F3D01898B}"/>
    <hyperlink ref="I80" r:id="rId2" xr:uid="{689F54CB-6DC2-431E-9755-FE927A14313D}"/>
    <hyperlink ref="I58" r:id="rId3" xr:uid="{2D82CB85-BDA8-4DF7-B04A-D63D39103231}"/>
    <hyperlink ref="I36" r:id="rId4" xr:uid="{D7643ADC-BD41-4AC8-8267-C7969A14C5AA}"/>
    <hyperlink ref="I41" r:id="rId5" xr:uid="{1FCF0144-A4FB-4A50-8752-D09F2E095CC5}"/>
    <hyperlink ref="I46" r:id="rId6" xr:uid="{E58A5DB3-0EF2-407B-B79F-6C45B762DBA1}"/>
    <hyperlink ref="I52" r:id="rId7" xr:uid="{59DFE153-4995-4FEC-8236-C34C08F04641}"/>
    <hyperlink ref="I66" r:id="rId8" xr:uid="{9CD6151E-D98D-48A5-9CE3-D032A5CB3288}"/>
    <hyperlink ref="I74" r:id="rId9" xr:uid="{45411998-8FB7-4311-B30E-43B25DD0A8BE}"/>
    <hyperlink ref="I13" r:id="rId10" xr:uid="{90439A54-5D1C-45AB-9BAE-DF3F30E0DF1B}"/>
    <hyperlink ref="I70" r:id="rId11" xr:uid="{AF75FDFA-F80D-4A2F-96FA-D3C2D08E0B63}"/>
    <hyperlink ref="I71" r:id="rId12" xr:uid="{2DBB7C9F-6E92-4F3D-8A6D-D0AB2DA739AE}"/>
    <hyperlink ref="I147" r:id="rId13" xr:uid="{FF9BABD3-14AF-4255-92BE-C45A21A1D1D0}"/>
    <hyperlink ref="I72" r:id="rId14" xr:uid="{F0018A8B-0812-40F4-A9C6-37DEA880C2E0}"/>
    <hyperlink ref="I84" r:id="rId15" xr:uid="{9A2DDE02-E264-445C-A3FD-DA547F211E69}"/>
    <hyperlink ref="I51" r:id="rId16" xr:uid="{17178070-A8CA-4A46-90C0-27CC7FB93C19}"/>
    <hyperlink ref="I14" r:id="rId17" xr:uid="{AA55D7BF-5D38-4A0F-BFC3-C74B3D78E859}"/>
    <hyperlink ref="I45" r:id="rId18" xr:uid="{FA3DC4ED-67A4-4F6A-9448-1CB88C2B664E}"/>
    <hyperlink ref="I56" r:id="rId19" xr:uid="{AC470FD8-5F43-4C84-B1AF-790579DE0523}"/>
    <hyperlink ref="I40" r:id="rId20" xr:uid="{68ABA3EE-80D6-4675-B9AB-751B14C0E9E8}"/>
    <hyperlink ref="I50" r:id="rId21" xr:uid="{9203839B-211C-4101-8C2D-10A708EF79D7}"/>
    <hyperlink ref="I76" r:id="rId22" xr:uid="{710FF17C-CEF6-4210-A808-E79B35402171}"/>
    <hyperlink ref="I77" r:id="rId23" xr:uid="{9D5960AB-DE61-4725-9E84-1CE5D352A8AD}"/>
    <hyperlink ref="I29" r:id="rId24" xr:uid="{050684A1-2048-4D86-883E-B579AB9C8D4E}"/>
    <hyperlink ref="I30" r:id="rId25" xr:uid="{17DD157B-1BAB-44F4-9824-D066121197D6}"/>
    <hyperlink ref="I24" r:id="rId26" xr:uid="{C646D09D-94B9-4658-AD26-72DA044CED46}"/>
    <hyperlink ref="I25" r:id="rId27" xr:uid="{DE56AB33-6232-46A2-9B8E-0F208F582459}"/>
    <hyperlink ref="I62" r:id="rId28" xr:uid="{B9AA020B-6746-4AF2-88F9-7B3AA5568005}"/>
    <hyperlink ref="I34" r:id="rId29" xr:uid="{1585FEC6-0D1E-4877-92D0-9CCA8ADF1041}"/>
    <hyperlink ref="I35" r:id="rId30" xr:uid="{CD5AB4DA-613B-47EC-BE0D-0F704E19172E}"/>
    <hyperlink ref="I63" r:id="rId31" xr:uid="{E118B0D6-94D1-49A3-9746-C405BD1E9476}"/>
    <hyperlink ref="I79" r:id="rId32" xr:uid="{5C1F68AB-B862-4AFB-AB41-A44FC0E61DB7}"/>
    <hyperlink ref="I78" r:id="rId33" xr:uid="{53FB4ED0-FCEE-43AD-9FA8-B05BAB199D7E}"/>
    <hyperlink ref="I89" r:id="rId34" xr:uid="{64BD04C6-46D1-4F1D-B512-8B203B32EFD1}"/>
    <hyperlink ref="I43" r:id="rId35" xr:uid="{7BEC94D2-0ECA-4069-BCD9-989F2B0C2A54}"/>
    <hyperlink ref="I19" r:id="rId36" xr:uid="{585736EC-BC7B-4D7C-BB08-51A051399FE3}"/>
    <hyperlink ref="I27" r:id="rId37" xr:uid="{7C23E2B3-3C08-4FEB-8DA7-0E747BD5BA27}"/>
    <hyperlink ref="I31" r:id="rId38" xr:uid="{F399BB66-84CD-4D94-AA73-45B91FA6EA9D}"/>
    <hyperlink ref="I68" r:id="rId39" xr:uid="{EB8C9E5F-3110-42EE-B8D8-E9DE249A4F70}"/>
    <hyperlink ref="I49" r:id="rId40" xr:uid="{70026975-ECAA-4E7B-8283-6E1BE97D2674}"/>
  </hyperlinks>
  <pageMargins left="0.7" right="0.7" top="0.75" bottom="0.75" header="0.3" footer="0.3"/>
  <pageSetup paperSize="8" orientation="landscape" r:id="rId41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341E-EA23-45FC-94D0-A2E8B42D79D6}">
  <dimension ref="A2:Y97"/>
  <sheetViews>
    <sheetView zoomScale="85" zoomScaleNormal="85" workbookViewId="0">
      <selection activeCell="B50" sqref="B50"/>
    </sheetView>
  </sheetViews>
  <sheetFormatPr defaultRowHeight="17.399999999999999"/>
  <cols>
    <col min="1" max="1" width="17.19921875" customWidth="1"/>
    <col min="2" max="2" width="9.69921875" bestFit="1" customWidth="1"/>
    <col min="3" max="3" width="31.5" bestFit="1" customWidth="1"/>
    <col min="4" max="4" width="21.8984375" bestFit="1" customWidth="1"/>
    <col min="5" max="5" width="22.59765625" bestFit="1" customWidth="1"/>
    <col min="6" max="6" width="17.3984375" bestFit="1" customWidth="1"/>
    <col min="7" max="7" width="19.19921875" bestFit="1" customWidth="1"/>
    <col min="8" max="8" width="19.19921875" customWidth="1"/>
    <col min="9" max="9" width="24.3984375" bestFit="1" customWidth="1"/>
    <col min="10" max="10" width="21.8984375" bestFit="1" customWidth="1"/>
    <col min="11" max="11" width="22.69921875" bestFit="1" customWidth="1"/>
    <col min="12" max="12" width="26" bestFit="1" customWidth="1"/>
    <col min="13" max="13" width="32.19921875" bestFit="1" customWidth="1"/>
    <col min="14" max="14" width="20" bestFit="1" customWidth="1"/>
    <col min="15" max="15" width="21.3984375" bestFit="1" customWidth="1"/>
    <col min="16" max="16" width="17.69921875" bestFit="1" customWidth="1"/>
    <col min="17" max="17" width="20.3984375" bestFit="1" customWidth="1"/>
    <col min="18" max="18" width="18.8984375" bestFit="1" customWidth="1"/>
    <col min="19" max="19" width="18.19921875" bestFit="1" customWidth="1"/>
    <col min="20" max="20" width="19.19921875" bestFit="1" customWidth="1"/>
    <col min="21" max="21" width="3.5" bestFit="1" customWidth="1"/>
    <col min="23" max="23" width="33.19921875" bestFit="1" customWidth="1"/>
    <col min="25" max="25" width="4.19921875" bestFit="1" customWidth="1"/>
    <col min="26" max="26" width="9.69921875" bestFit="1" customWidth="1"/>
  </cols>
  <sheetData>
    <row r="2" spans="1:25">
      <c r="D2" s="269" t="s">
        <v>521</v>
      </c>
      <c r="E2" s="269" t="s">
        <v>522</v>
      </c>
      <c r="F2" s="269" t="s">
        <v>523</v>
      </c>
      <c r="G2" s="269" t="s">
        <v>524</v>
      </c>
      <c r="H2" s="269" t="s">
        <v>525</v>
      </c>
      <c r="I2" s="269" t="s">
        <v>526</v>
      </c>
      <c r="J2" s="269" t="s">
        <v>527</v>
      </c>
      <c r="K2" s="269" t="s">
        <v>528</v>
      </c>
      <c r="L2" s="269" t="s">
        <v>529</v>
      </c>
      <c r="M2" s="269" t="s">
        <v>530</v>
      </c>
      <c r="N2" s="269" t="s">
        <v>531</v>
      </c>
      <c r="O2" s="269" t="s">
        <v>532</v>
      </c>
      <c r="P2" s="269" t="s">
        <v>533</v>
      </c>
      <c r="Q2" s="269" t="s">
        <v>534</v>
      </c>
      <c r="R2" s="269" t="s">
        <v>535</v>
      </c>
      <c r="S2" s="269" t="s">
        <v>536</v>
      </c>
      <c r="T2" s="269" t="s">
        <v>537</v>
      </c>
    </row>
    <row r="3" spans="1:25">
      <c r="D3" s="259" t="s">
        <v>159</v>
      </c>
      <c r="E3" s="259" t="s">
        <v>160</v>
      </c>
      <c r="F3" s="259" t="s">
        <v>161</v>
      </c>
      <c r="G3" s="259" t="s">
        <v>162</v>
      </c>
      <c r="H3" s="259" t="s">
        <v>163</v>
      </c>
      <c r="I3" s="259" t="s">
        <v>164</v>
      </c>
      <c r="J3" s="259" t="s">
        <v>165</v>
      </c>
      <c r="K3" s="259" t="s">
        <v>538</v>
      </c>
      <c r="L3" s="259" t="s">
        <v>167</v>
      </c>
      <c r="M3" s="259" t="s">
        <v>168</v>
      </c>
      <c r="N3" s="259" t="s">
        <v>169</v>
      </c>
      <c r="O3" s="259" t="s">
        <v>539</v>
      </c>
      <c r="P3" s="259" t="s">
        <v>171</v>
      </c>
      <c r="Q3" s="259" t="s">
        <v>172</v>
      </c>
      <c r="R3" s="259" t="s">
        <v>173</v>
      </c>
      <c r="S3" s="259" t="s">
        <v>174</v>
      </c>
      <c r="T3" s="259" t="s">
        <v>175</v>
      </c>
    </row>
    <row r="4" spans="1:25">
      <c r="D4" s="270" t="s">
        <v>521</v>
      </c>
      <c r="E4" s="271" t="s">
        <v>522</v>
      </c>
      <c r="F4" s="271" t="s">
        <v>523</v>
      </c>
      <c r="G4" s="271" t="s">
        <v>524</v>
      </c>
      <c r="H4" s="271" t="s">
        <v>525</v>
      </c>
      <c r="I4" s="271" t="s">
        <v>526</v>
      </c>
      <c r="J4" s="271" t="s">
        <v>527</v>
      </c>
      <c r="K4" s="271" t="s">
        <v>528</v>
      </c>
      <c r="L4" s="271" t="s">
        <v>529</v>
      </c>
      <c r="M4" s="271" t="s">
        <v>540</v>
      </c>
      <c r="N4" s="271" t="s">
        <v>531</v>
      </c>
      <c r="O4" s="271" t="s">
        <v>532</v>
      </c>
      <c r="P4" s="271" t="s">
        <v>533</v>
      </c>
      <c r="Q4" s="271" t="s">
        <v>534</v>
      </c>
      <c r="R4" s="271" t="s">
        <v>535</v>
      </c>
      <c r="S4" s="271" t="s">
        <v>541</v>
      </c>
      <c r="T4" s="271" t="s">
        <v>537</v>
      </c>
    </row>
    <row r="5" spans="1:25">
      <c r="D5" s="272" t="s">
        <v>542</v>
      </c>
      <c r="E5" s="273" t="s">
        <v>543</v>
      </c>
      <c r="F5" s="273" t="s">
        <v>544</v>
      </c>
      <c r="G5" s="273" t="s">
        <v>545</v>
      </c>
      <c r="H5" s="273" t="s">
        <v>546</v>
      </c>
      <c r="I5" s="273" t="s">
        <v>547</v>
      </c>
      <c r="J5" s="273" t="s">
        <v>548</v>
      </c>
      <c r="K5" s="273" t="s">
        <v>549</v>
      </c>
      <c r="L5" s="273" t="s">
        <v>550</v>
      </c>
      <c r="M5" s="273" t="s">
        <v>551</v>
      </c>
      <c r="N5" s="273" t="s">
        <v>552</v>
      </c>
      <c r="O5" s="273" t="s">
        <v>553</v>
      </c>
      <c r="P5" s="273" t="s">
        <v>554</v>
      </c>
      <c r="Q5" s="273" t="s">
        <v>555</v>
      </c>
      <c r="R5" s="273" t="s">
        <v>556</v>
      </c>
      <c r="S5" s="273" t="s">
        <v>557</v>
      </c>
      <c r="T5" s="273" t="s">
        <v>558</v>
      </c>
    </row>
    <row r="8" spans="1:25">
      <c r="B8" s="274" t="s">
        <v>559</v>
      </c>
      <c r="C8" s="274" t="s">
        <v>151</v>
      </c>
      <c r="D8" s="259" t="s">
        <v>159</v>
      </c>
      <c r="E8" s="259" t="s">
        <v>160</v>
      </c>
      <c r="F8" s="259" t="s">
        <v>161</v>
      </c>
      <c r="G8" s="259" t="s">
        <v>162</v>
      </c>
      <c r="H8" s="259" t="s">
        <v>163</v>
      </c>
      <c r="I8" s="259" t="s">
        <v>164</v>
      </c>
      <c r="J8" s="259" t="s">
        <v>165</v>
      </c>
      <c r="K8" s="259" t="s">
        <v>538</v>
      </c>
      <c r="L8" s="259" t="s">
        <v>167</v>
      </c>
      <c r="M8" s="259" t="s">
        <v>168</v>
      </c>
      <c r="N8" s="259" t="s">
        <v>169</v>
      </c>
      <c r="O8" s="259" t="s">
        <v>539</v>
      </c>
      <c r="P8" s="259" t="s">
        <v>171</v>
      </c>
      <c r="Q8" s="259" t="s">
        <v>172</v>
      </c>
      <c r="R8" s="259" t="s">
        <v>173</v>
      </c>
      <c r="S8" s="259" t="s">
        <v>174</v>
      </c>
      <c r="T8" s="259" t="s">
        <v>175</v>
      </c>
      <c r="U8" s="80"/>
    </row>
    <row r="9" spans="1:25">
      <c r="A9" s="275" t="str">
        <f>B9&amp;"_"&amp;C9</f>
        <v>AU_AMAZON</v>
      </c>
      <c r="B9" s="276" t="s">
        <v>201</v>
      </c>
      <c r="C9" s="276" t="s">
        <v>196</v>
      </c>
      <c r="D9" s="277" t="s">
        <v>375</v>
      </c>
      <c r="E9" s="277" t="s">
        <v>375</v>
      </c>
      <c r="F9" s="277" t="s">
        <v>376</v>
      </c>
      <c r="G9" s="277" t="s">
        <v>375</v>
      </c>
      <c r="H9" s="277" t="s">
        <v>376</v>
      </c>
      <c r="I9" s="277" t="s">
        <v>376</v>
      </c>
      <c r="J9" s="277" t="s">
        <v>376</v>
      </c>
      <c r="K9" s="277" t="s">
        <v>376</v>
      </c>
      <c r="L9" s="277" t="s">
        <v>376</v>
      </c>
      <c r="M9" s="277" t="s">
        <v>376</v>
      </c>
      <c r="N9" s="277" t="s">
        <v>376</v>
      </c>
      <c r="O9" s="277" t="s">
        <v>376</v>
      </c>
      <c r="P9" s="277" t="s">
        <v>375</v>
      </c>
      <c r="Q9" s="277" t="s">
        <v>376</v>
      </c>
      <c r="R9" s="277" t="s">
        <v>376</v>
      </c>
      <c r="S9" s="277" t="s">
        <v>376</v>
      </c>
      <c r="T9" s="277" t="s">
        <v>376</v>
      </c>
      <c r="U9" s="80">
        <v>4</v>
      </c>
      <c r="W9" t="s">
        <v>560</v>
      </c>
      <c r="X9" t="str">
        <f>VLOOKUP(W9,$A$9:$A$73,1,FALSE)</f>
        <v>AU_SS.com</v>
      </c>
    </row>
    <row r="10" spans="1:25">
      <c r="A10" s="275" t="str">
        <f t="shared" ref="A10:A70" si="0">B10&amp;"_"&amp;C10</f>
        <v>AU_HARVEYNORMAN</v>
      </c>
      <c r="B10" s="276" t="s">
        <v>201</v>
      </c>
      <c r="C10" s="276" t="s">
        <v>202</v>
      </c>
      <c r="D10" s="277" t="s">
        <v>375</v>
      </c>
      <c r="E10" s="277" t="s">
        <v>375</v>
      </c>
      <c r="F10" s="277" t="s">
        <v>375</v>
      </c>
      <c r="G10" s="277" t="s">
        <v>375</v>
      </c>
      <c r="H10" s="277" t="s">
        <v>376</v>
      </c>
      <c r="I10" s="277" t="s">
        <v>375</v>
      </c>
      <c r="J10" s="277" t="s">
        <v>375</v>
      </c>
      <c r="K10" s="277" t="s">
        <v>375</v>
      </c>
      <c r="L10" s="277" t="s">
        <v>376</v>
      </c>
      <c r="M10" s="277" t="s">
        <v>375</v>
      </c>
      <c r="N10" s="277" t="s">
        <v>375</v>
      </c>
      <c r="O10" s="277" t="s">
        <v>375</v>
      </c>
      <c r="P10" s="277" t="s">
        <v>375</v>
      </c>
      <c r="Q10" s="277" t="s">
        <v>376</v>
      </c>
      <c r="R10" s="277" t="s">
        <v>376</v>
      </c>
      <c r="S10" s="277" t="s">
        <v>376</v>
      </c>
      <c r="T10" s="277" t="s">
        <v>376</v>
      </c>
      <c r="U10" s="80">
        <v>11</v>
      </c>
      <c r="W10" t="s">
        <v>561</v>
      </c>
      <c r="X10" t="str">
        <f t="shared" ref="X10:X71" si="1">VLOOKUP(W10,$A$9:$A$73,1,FALSE)</f>
        <v>AU_AMAZON</v>
      </c>
    </row>
    <row r="11" spans="1:25">
      <c r="A11" s="275" t="str">
        <f t="shared" si="0"/>
        <v>AU_JBHIFI</v>
      </c>
      <c r="B11" s="276" t="s">
        <v>201</v>
      </c>
      <c r="C11" s="276" t="s">
        <v>206</v>
      </c>
      <c r="D11" s="277" t="s">
        <v>375</v>
      </c>
      <c r="E11" s="277" t="s">
        <v>375</v>
      </c>
      <c r="F11" s="277" t="s">
        <v>375</v>
      </c>
      <c r="G11" s="277" t="s">
        <v>375</v>
      </c>
      <c r="H11" s="277" t="s">
        <v>376</v>
      </c>
      <c r="I11" s="277" t="s">
        <v>375</v>
      </c>
      <c r="J11" s="277" t="s">
        <v>375</v>
      </c>
      <c r="K11" s="277" t="s">
        <v>375</v>
      </c>
      <c r="L11" s="277" t="s">
        <v>376</v>
      </c>
      <c r="M11" s="277" t="s">
        <v>375</v>
      </c>
      <c r="N11" s="277" t="s">
        <v>375</v>
      </c>
      <c r="O11" s="277" t="s">
        <v>375</v>
      </c>
      <c r="P11" s="277" t="s">
        <v>375</v>
      </c>
      <c r="Q11" s="277" t="s">
        <v>376</v>
      </c>
      <c r="R11" s="277" t="s">
        <v>376</v>
      </c>
      <c r="S11" s="277" t="s">
        <v>376</v>
      </c>
      <c r="T11" s="277" t="s">
        <v>376</v>
      </c>
      <c r="U11" s="80">
        <v>11</v>
      </c>
      <c r="W11" t="s">
        <v>562</v>
      </c>
      <c r="X11" t="str">
        <f t="shared" si="1"/>
        <v>AU_HARVEYNORMAN</v>
      </c>
    </row>
    <row r="12" spans="1:25">
      <c r="A12" s="275" t="str">
        <f t="shared" si="0"/>
        <v>AU_SS.com</v>
      </c>
      <c r="B12" s="276" t="s">
        <v>201</v>
      </c>
      <c r="C12" s="276" t="s">
        <v>184</v>
      </c>
      <c r="D12" s="277" t="s">
        <v>375</v>
      </c>
      <c r="E12" s="277" t="s">
        <v>375</v>
      </c>
      <c r="F12" s="277" t="s">
        <v>375</v>
      </c>
      <c r="G12" s="277" t="s">
        <v>375</v>
      </c>
      <c r="H12" s="277" t="s">
        <v>375</v>
      </c>
      <c r="I12" s="277" t="s">
        <v>376</v>
      </c>
      <c r="J12" s="277" t="s">
        <v>376</v>
      </c>
      <c r="K12" s="277" t="s">
        <v>376</v>
      </c>
      <c r="L12" s="277" t="s">
        <v>376</v>
      </c>
      <c r="M12" s="277" t="s">
        <v>376</v>
      </c>
      <c r="N12" s="277" t="s">
        <v>376</v>
      </c>
      <c r="O12" s="277" t="s">
        <v>375</v>
      </c>
      <c r="P12" s="277" t="s">
        <v>376</v>
      </c>
      <c r="Q12" s="277" t="s">
        <v>376</v>
      </c>
      <c r="R12" s="277" t="s">
        <v>376</v>
      </c>
      <c r="S12" s="277" t="s">
        <v>376</v>
      </c>
      <c r="T12" s="277" t="s">
        <v>376</v>
      </c>
      <c r="U12" s="80">
        <v>6</v>
      </c>
      <c r="W12" t="s">
        <v>563</v>
      </c>
      <c r="X12" t="str">
        <f t="shared" si="1"/>
        <v>AU_JBHIFI</v>
      </c>
    </row>
    <row r="13" spans="1:25">
      <c r="A13" s="275" t="str">
        <f t="shared" si="0"/>
        <v>AU_THEGOODGUYS</v>
      </c>
      <c r="B13" s="276" t="s">
        <v>201</v>
      </c>
      <c r="C13" s="276" t="s">
        <v>209</v>
      </c>
      <c r="D13" s="277" t="s">
        <v>375</v>
      </c>
      <c r="E13" s="277" t="s">
        <v>375</v>
      </c>
      <c r="F13" s="277" t="s">
        <v>375</v>
      </c>
      <c r="G13" s="277" t="s">
        <v>375</v>
      </c>
      <c r="H13" s="277" t="s">
        <v>376</v>
      </c>
      <c r="I13" s="277" t="s">
        <v>375</v>
      </c>
      <c r="J13" s="277" t="s">
        <v>375</v>
      </c>
      <c r="K13" s="277" t="s">
        <v>375</v>
      </c>
      <c r="L13" s="277" t="s">
        <v>376</v>
      </c>
      <c r="M13" s="277" t="s">
        <v>375</v>
      </c>
      <c r="N13" s="277" t="s">
        <v>375</v>
      </c>
      <c r="O13" s="277" t="s">
        <v>375</v>
      </c>
      <c r="P13" s="277" t="s">
        <v>375</v>
      </c>
      <c r="Q13" s="277" t="s">
        <v>376</v>
      </c>
      <c r="R13" s="277" t="s">
        <v>376</v>
      </c>
      <c r="S13" s="277" t="s">
        <v>376</v>
      </c>
      <c r="T13" s="277" t="s">
        <v>376</v>
      </c>
      <c r="U13" s="80">
        <v>11</v>
      </c>
      <c r="W13" t="s">
        <v>564</v>
      </c>
      <c r="X13" t="str">
        <f t="shared" si="1"/>
        <v>AU_THEGOODGUYS</v>
      </c>
    </row>
    <row r="14" spans="1:25">
      <c r="A14" s="275" t="str">
        <f t="shared" si="0"/>
        <v>BR_AMAZON</v>
      </c>
      <c r="B14" s="276" t="s">
        <v>311</v>
      </c>
      <c r="C14" s="276" t="s">
        <v>262</v>
      </c>
      <c r="D14" s="277" t="s">
        <v>376</v>
      </c>
      <c r="E14" s="277" t="s">
        <v>376</v>
      </c>
      <c r="F14" s="277" t="s">
        <v>375</v>
      </c>
      <c r="G14" s="277" t="s">
        <v>375</v>
      </c>
      <c r="H14" s="277" t="s">
        <v>376</v>
      </c>
      <c r="I14" s="277" t="s">
        <v>376</v>
      </c>
      <c r="J14" s="277" t="s">
        <v>376</v>
      </c>
      <c r="K14" s="277" t="s">
        <v>376</v>
      </c>
      <c r="L14" s="277" t="s">
        <v>376</v>
      </c>
      <c r="M14" s="277" t="s">
        <v>376</v>
      </c>
      <c r="N14" s="277" t="s">
        <v>376</v>
      </c>
      <c r="O14" s="277" t="s">
        <v>376</v>
      </c>
      <c r="P14" s="277" t="s">
        <v>376</v>
      </c>
      <c r="Q14" s="277" t="s">
        <v>376</v>
      </c>
      <c r="R14" s="277" t="s">
        <v>376</v>
      </c>
      <c r="S14" s="277" t="s">
        <v>376</v>
      </c>
      <c r="T14" s="277" t="s">
        <v>376</v>
      </c>
      <c r="U14" s="80">
        <v>2</v>
      </c>
      <c r="W14" t="s">
        <v>565</v>
      </c>
      <c r="X14" t="str">
        <f t="shared" si="1"/>
        <v>SG_COURTS</v>
      </c>
    </row>
    <row r="15" spans="1:25">
      <c r="A15" s="275" t="str">
        <f t="shared" si="0"/>
        <v>BR_AMERICANAS</v>
      </c>
      <c r="B15" s="276" t="s">
        <v>311</v>
      </c>
      <c r="C15" s="276" t="s">
        <v>316</v>
      </c>
      <c r="D15" s="277" t="s">
        <v>375</v>
      </c>
      <c r="E15" s="277" t="s">
        <v>375</v>
      </c>
      <c r="F15" s="277" t="s">
        <v>375</v>
      </c>
      <c r="G15" s="277" t="s">
        <v>375</v>
      </c>
      <c r="H15" s="277" t="s">
        <v>375</v>
      </c>
      <c r="I15" s="277" t="s">
        <v>375</v>
      </c>
      <c r="J15" s="277" t="s">
        <v>375</v>
      </c>
      <c r="K15" s="277" t="s">
        <v>375</v>
      </c>
      <c r="L15" s="277" t="s">
        <v>376</v>
      </c>
      <c r="M15" s="277" t="s">
        <v>376</v>
      </c>
      <c r="N15" s="277" t="s">
        <v>376</v>
      </c>
      <c r="O15" s="277" t="s">
        <v>376</v>
      </c>
      <c r="P15" s="277" t="s">
        <v>376</v>
      </c>
      <c r="Q15" s="277" t="s">
        <v>376</v>
      </c>
      <c r="R15" s="277" t="s">
        <v>376</v>
      </c>
      <c r="S15" s="277" t="s">
        <v>376</v>
      </c>
      <c r="T15" s="277" t="s">
        <v>376</v>
      </c>
      <c r="U15" s="80">
        <v>8</v>
      </c>
      <c r="W15" t="s">
        <v>566</v>
      </c>
      <c r="X15" t="str">
        <f t="shared" si="1"/>
        <v>SG_HARVEYNORMAN</v>
      </c>
    </row>
    <row r="16" spans="1:25">
      <c r="A16" s="275" t="str">
        <f t="shared" si="0"/>
        <v>BR_LG.com</v>
      </c>
      <c r="B16" s="276" t="s">
        <v>311</v>
      </c>
      <c r="C16" s="276" t="s">
        <v>567</v>
      </c>
      <c r="D16" s="277" t="s">
        <v>375</v>
      </c>
      <c r="E16" s="277" t="s">
        <v>375</v>
      </c>
      <c r="F16" s="277" t="s">
        <v>375</v>
      </c>
      <c r="G16" s="277" t="s">
        <v>375</v>
      </c>
      <c r="H16" s="277" t="s">
        <v>375</v>
      </c>
      <c r="I16" s="277" t="s">
        <v>376</v>
      </c>
      <c r="J16" s="277" t="s">
        <v>376</v>
      </c>
      <c r="K16" s="277" t="s">
        <v>376</v>
      </c>
      <c r="L16" s="277" t="s">
        <v>376</v>
      </c>
      <c r="M16" s="277" t="s">
        <v>376</v>
      </c>
      <c r="N16" s="277" t="s">
        <v>376</v>
      </c>
      <c r="O16" s="277" t="s">
        <v>375</v>
      </c>
      <c r="P16" s="277" t="s">
        <v>376</v>
      </c>
      <c r="Q16" s="277" t="s">
        <v>376</v>
      </c>
      <c r="R16" s="277" t="s">
        <v>376</v>
      </c>
      <c r="S16" s="277" t="s">
        <v>376</v>
      </c>
      <c r="T16" s="277" t="s">
        <v>376</v>
      </c>
      <c r="U16" s="80">
        <v>6</v>
      </c>
      <c r="W16" t="s">
        <v>568</v>
      </c>
      <c r="X16" t="str">
        <f t="shared" si="1"/>
        <v>SG_LAZADA</v>
      </c>
      <c r="Y16" s="276" t="s">
        <v>201</v>
      </c>
    </row>
    <row r="17" spans="1:24">
      <c r="A17" s="275" t="str">
        <f t="shared" si="0"/>
        <v>BR_MAGAZINELUIZA</v>
      </c>
      <c r="B17" s="276" t="s">
        <v>311</v>
      </c>
      <c r="C17" s="276" t="s">
        <v>318</v>
      </c>
      <c r="D17" s="277" t="s">
        <v>375</v>
      </c>
      <c r="E17" s="277" t="s">
        <v>375</v>
      </c>
      <c r="F17" s="277" t="s">
        <v>375</v>
      </c>
      <c r="G17" s="277" t="s">
        <v>375</v>
      </c>
      <c r="H17" s="277" t="s">
        <v>375</v>
      </c>
      <c r="I17" s="277" t="s">
        <v>375</v>
      </c>
      <c r="J17" s="277" t="s">
        <v>375</v>
      </c>
      <c r="K17" s="277" t="s">
        <v>375</v>
      </c>
      <c r="L17" s="277" t="s">
        <v>376</v>
      </c>
      <c r="M17" s="277" t="s">
        <v>376</v>
      </c>
      <c r="N17" s="277" t="s">
        <v>376</v>
      </c>
      <c r="O17" s="277" t="s">
        <v>376</v>
      </c>
      <c r="P17" s="277" t="s">
        <v>376</v>
      </c>
      <c r="Q17" s="277" t="s">
        <v>376</v>
      </c>
      <c r="R17" s="277" t="s">
        <v>376</v>
      </c>
      <c r="S17" s="277" t="s">
        <v>376</v>
      </c>
      <c r="T17" s="277" t="s">
        <v>376</v>
      </c>
      <c r="U17" s="80">
        <v>8</v>
      </c>
      <c r="W17" t="s">
        <v>569</v>
      </c>
      <c r="X17" t="str">
        <f t="shared" si="1"/>
        <v>TW_MOMOSHOP</v>
      </c>
    </row>
    <row r="18" spans="1:24">
      <c r="A18" s="275" t="str">
        <f t="shared" si="0"/>
        <v>BR_MERCARDOLIVRE</v>
      </c>
      <c r="B18" s="276" t="s">
        <v>311</v>
      </c>
      <c r="C18" s="276" t="s">
        <v>570</v>
      </c>
      <c r="D18" s="277" t="s">
        <v>375</v>
      </c>
      <c r="E18" s="277" t="s">
        <v>375</v>
      </c>
      <c r="F18" s="277" t="s">
        <v>375</v>
      </c>
      <c r="G18" s="277" t="s">
        <v>375</v>
      </c>
      <c r="H18" s="277" t="s">
        <v>375</v>
      </c>
      <c r="I18" s="277" t="s">
        <v>375</v>
      </c>
      <c r="J18" s="277" t="s">
        <v>375</v>
      </c>
      <c r="K18" s="277" t="s">
        <v>375</v>
      </c>
      <c r="L18" s="277" t="s">
        <v>376</v>
      </c>
      <c r="M18" s="277" t="s">
        <v>376</v>
      </c>
      <c r="N18" s="277" t="s">
        <v>376</v>
      </c>
      <c r="O18" s="277" t="s">
        <v>376</v>
      </c>
      <c r="P18" s="277" t="s">
        <v>376</v>
      </c>
      <c r="Q18" s="277" t="s">
        <v>376</v>
      </c>
      <c r="R18" s="277" t="s">
        <v>376</v>
      </c>
      <c r="S18" s="277" t="s">
        <v>376</v>
      </c>
      <c r="T18" s="277" t="s">
        <v>376</v>
      </c>
      <c r="U18" s="80">
        <v>8</v>
      </c>
      <c r="W18" t="s">
        <v>571</v>
      </c>
      <c r="X18" t="str">
        <f t="shared" si="1"/>
        <v>TW_PCHOME</v>
      </c>
    </row>
    <row r="19" spans="1:24">
      <c r="A19" s="275" t="str">
        <f t="shared" si="0"/>
        <v xml:space="preserve">BR_Fast Shop </v>
      </c>
      <c r="B19" s="276" t="s">
        <v>311</v>
      </c>
      <c r="C19" s="276" t="s">
        <v>572</v>
      </c>
      <c r="D19" s="277" t="s">
        <v>375</v>
      </c>
      <c r="E19" s="277" t="s">
        <v>375</v>
      </c>
      <c r="F19" s="277" t="s">
        <v>375</v>
      </c>
      <c r="G19" s="277" t="s">
        <v>375</v>
      </c>
      <c r="H19" s="277" t="s">
        <v>375</v>
      </c>
      <c r="I19" s="277" t="s">
        <v>375</v>
      </c>
      <c r="J19" s="277" t="s">
        <v>375</v>
      </c>
      <c r="K19" s="277" t="s">
        <v>375</v>
      </c>
      <c r="L19" s="277" t="s">
        <v>376</v>
      </c>
      <c r="M19" s="277" t="s">
        <v>376</v>
      </c>
      <c r="N19" s="277" t="s">
        <v>376</v>
      </c>
      <c r="O19" s="277" t="s">
        <v>376</v>
      </c>
      <c r="P19" s="277" t="s">
        <v>376</v>
      </c>
      <c r="Q19" s="277" t="s">
        <v>376</v>
      </c>
      <c r="R19" s="277" t="s">
        <v>376</v>
      </c>
      <c r="S19" s="277" t="s">
        <v>376</v>
      </c>
      <c r="T19" s="277" t="s">
        <v>376</v>
      </c>
      <c r="U19" s="80">
        <v>8</v>
      </c>
      <c r="W19" t="s">
        <v>573</v>
      </c>
      <c r="X19" t="str">
        <f t="shared" si="1"/>
        <v>TH_HOMEPRO</v>
      </c>
    </row>
    <row r="20" spans="1:24">
      <c r="A20" s="275" t="str">
        <f t="shared" si="0"/>
        <v>BR_SS.com</v>
      </c>
      <c r="B20" s="276" t="s">
        <v>311</v>
      </c>
      <c r="C20" s="276" t="s">
        <v>184</v>
      </c>
      <c r="D20" s="277" t="s">
        <v>375</v>
      </c>
      <c r="E20" s="277" t="s">
        <v>375</v>
      </c>
      <c r="F20" s="277" t="s">
        <v>375</v>
      </c>
      <c r="G20" s="277" t="s">
        <v>375</v>
      </c>
      <c r="H20" s="277" t="s">
        <v>375</v>
      </c>
      <c r="I20" s="277" t="s">
        <v>376</v>
      </c>
      <c r="J20" s="277" t="s">
        <v>376</v>
      </c>
      <c r="K20" s="277" t="s">
        <v>376</v>
      </c>
      <c r="L20" s="277" t="s">
        <v>376</v>
      </c>
      <c r="M20" s="277" t="s">
        <v>376</v>
      </c>
      <c r="N20" s="277" t="s">
        <v>376</v>
      </c>
      <c r="O20" s="277" t="s">
        <v>375</v>
      </c>
      <c r="P20" s="277" t="s">
        <v>376</v>
      </c>
      <c r="Q20" s="277" t="s">
        <v>376</v>
      </c>
      <c r="R20" s="277" t="s">
        <v>376</v>
      </c>
      <c r="S20" s="277" t="s">
        <v>376</v>
      </c>
      <c r="T20" s="277" t="s">
        <v>376</v>
      </c>
      <c r="U20" s="80">
        <v>6</v>
      </c>
      <c r="W20" t="s">
        <v>574</v>
      </c>
      <c r="X20" t="str">
        <f t="shared" si="1"/>
        <v>TH_LAZADA</v>
      </c>
    </row>
    <row r="21" spans="1:24">
      <c r="A21" s="275" t="str">
        <f t="shared" si="0"/>
        <v>CA_AMAZON</v>
      </c>
      <c r="B21" s="276" t="s">
        <v>345</v>
      </c>
      <c r="C21" s="276" t="s">
        <v>262</v>
      </c>
      <c r="D21" s="277" t="s">
        <v>376</v>
      </c>
      <c r="E21" s="277" t="s">
        <v>376</v>
      </c>
      <c r="F21" s="277" t="s">
        <v>375</v>
      </c>
      <c r="G21" s="277" t="s">
        <v>375</v>
      </c>
      <c r="H21" s="277" t="s">
        <v>376</v>
      </c>
      <c r="I21" s="277" t="s">
        <v>376</v>
      </c>
      <c r="J21" s="277" t="s">
        <v>376</v>
      </c>
      <c r="K21" s="277" t="s">
        <v>376</v>
      </c>
      <c r="L21" s="277" t="s">
        <v>376</v>
      </c>
      <c r="M21" s="277" t="s">
        <v>376</v>
      </c>
      <c r="N21" s="277" t="s">
        <v>376</v>
      </c>
      <c r="O21" s="277" t="s">
        <v>376</v>
      </c>
      <c r="P21" s="277" t="s">
        <v>375</v>
      </c>
      <c r="Q21" s="277" t="s">
        <v>376</v>
      </c>
      <c r="R21" s="277" t="s">
        <v>376</v>
      </c>
      <c r="S21" s="277" t="s">
        <v>376</v>
      </c>
      <c r="T21" s="277" t="s">
        <v>376</v>
      </c>
      <c r="U21" s="80">
        <v>3</v>
      </c>
      <c r="W21" t="s">
        <v>575</v>
      </c>
      <c r="X21" t="str">
        <f t="shared" si="1"/>
        <v>TH_POWERBUY</v>
      </c>
    </row>
    <row r="22" spans="1:24">
      <c r="A22" s="275" t="str">
        <f t="shared" si="0"/>
        <v>CA_BESTBUY</v>
      </c>
      <c r="B22" s="276" t="s">
        <v>345</v>
      </c>
      <c r="C22" s="276" t="s">
        <v>348</v>
      </c>
      <c r="D22" s="277" t="s">
        <v>375</v>
      </c>
      <c r="E22" s="277" t="s">
        <v>375</v>
      </c>
      <c r="F22" s="277" t="s">
        <v>375</v>
      </c>
      <c r="G22" s="277" t="s">
        <v>375</v>
      </c>
      <c r="H22" s="277" t="s">
        <v>376</v>
      </c>
      <c r="I22" s="277" t="s">
        <v>375</v>
      </c>
      <c r="J22" s="277" t="s">
        <v>375</v>
      </c>
      <c r="K22" s="277" t="s">
        <v>375</v>
      </c>
      <c r="L22" s="277" t="s">
        <v>376</v>
      </c>
      <c r="M22" s="277" t="s">
        <v>376</v>
      </c>
      <c r="N22" s="277" t="s">
        <v>375</v>
      </c>
      <c r="O22" s="277" t="s">
        <v>376</v>
      </c>
      <c r="P22" s="277" t="s">
        <v>375</v>
      </c>
      <c r="Q22" s="277" t="s">
        <v>376</v>
      </c>
      <c r="R22" s="277" t="s">
        <v>375</v>
      </c>
      <c r="S22" s="277" t="s">
        <v>376</v>
      </c>
      <c r="T22" s="277" t="s">
        <v>376</v>
      </c>
      <c r="U22" s="80">
        <v>10</v>
      </c>
      <c r="W22" t="s">
        <v>576</v>
      </c>
      <c r="X22" t="str">
        <f t="shared" si="1"/>
        <v>VN_CAOPHONG</v>
      </c>
    </row>
    <row r="23" spans="1:24">
      <c r="A23" s="275" t="str">
        <f t="shared" si="0"/>
        <v>CA_COSTCO</v>
      </c>
      <c r="B23" s="276" t="s">
        <v>345</v>
      </c>
      <c r="C23" s="276" t="s">
        <v>350</v>
      </c>
      <c r="D23" s="277" t="s">
        <v>375</v>
      </c>
      <c r="E23" s="277" t="s">
        <v>375</v>
      </c>
      <c r="F23" s="277" t="s">
        <v>375</v>
      </c>
      <c r="G23" s="277" t="s">
        <v>375</v>
      </c>
      <c r="H23" s="277" t="s">
        <v>376</v>
      </c>
      <c r="I23" s="277" t="s">
        <v>375</v>
      </c>
      <c r="J23" s="277" t="s">
        <v>375</v>
      </c>
      <c r="K23" s="277" t="s">
        <v>375</v>
      </c>
      <c r="L23" s="277" t="s">
        <v>376</v>
      </c>
      <c r="M23" s="277" t="s">
        <v>376</v>
      </c>
      <c r="N23" s="277" t="s">
        <v>375</v>
      </c>
      <c r="O23" s="277" t="s">
        <v>376</v>
      </c>
      <c r="P23" s="277" t="s">
        <v>375</v>
      </c>
      <c r="Q23" s="277" t="s">
        <v>376</v>
      </c>
      <c r="R23" s="277" t="s">
        <v>375</v>
      </c>
      <c r="S23" s="277" t="s">
        <v>376</v>
      </c>
      <c r="T23" s="277" t="s">
        <v>376</v>
      </c>
      <c r="U23" s="80">
        <v>10</v>
      </c>
      <c r="W23" t="s">
        <v>577</v>
      </c>
      <c r="X23" t="str">
        <f t="shared" si="1"/>
        <v>VN_DIENMAYXANH</v>
      </c>
    </row>
    <row r="24" spans="1:24">
      <c r="A24" s="275" t="str">
        <f t="shared" si="0"/>
        <v>CA_HOMEDEPOT</v>
      </c>
      <c r="B24" s="276" t="s">
        <v>345</v>
      </c>
      <c r="C24" s="276" t="s">
        <v>352</v>
      </c>
      <c r="D24" s="277" t="s">
        <v>375</v>
      </c>
      <c r="E24" s="277" t="s">
        <v>375</v>
      </c>
      <c r="F24" s="277" t="s">
        <v>376</v>
      </c>
      <c r="G24" s="277" t="s">
        <v>376</v>
      </c>
      <c r="H24" s="277" t="s">
        <v>375</v>
      </c>
      <c r="I24" s="277" t="s">
        <v>376</v>
      </c>
      <c r="J24" s="277" t="s">
        <v>376</v>
      </c>
      <c r="K24" s="277" t="s">
        <v>376</v>
      </c>
      <c r="L24" s="277" t="s">
        <v>376</v>
      </c>
      <c r="M24" s="277" t="s">
        <v>376</v>
      </c>
      <c r="N24" s="277" t="s">
        <v>375</v>
      </c>
      <c r="O24" s="277" t="s">
        <v>376</v>
      </c>
      <c r="P24" s="277" t="s">
        <v>376</v>
      </c>
      <c r="Q24" s="277" t="s">
        <v>376</v>
      </c>
      <c r="R24" s="277" t="s">
        <v>375</v>
      </c>
      <c r="S24" s="277" t="s">
        <v>376</v>
      </c>
      <c r="T24" s="277" t="s">
        <v>376</v>
      </c>
      <c r="U24" s="80">
        <v>5</v>
      </c>
      <c r="W24" t="s">
        <v>578</v>
      </c>
      <c r="X24" t="str">
        <f t="shared" si="1"/>
        <v>VN_MEDIAMART</v>
      </c>
    </row>
    <row r="25" spans="1:24">
      <c r="A25" s="275" t="str">
        <f t="shared" si="0"/>
        <v>CA_SS.com</v>
      </c>
      <c r="B25" s="276" t="s">
        <v>345</v>
      </c>
      <c r="C25" s="276" t="s">
        <v>184</v>
      </c>
      <c r="D25" s="277" t="s">
        <v>375</v>
      </c>
      <c r="E25" s="277" t="s">
        <v>375</v>
      </c>
      <c r="F25" s="277" t="s">
        <v>375</v>
      </c>
      <c r="G25" s="277" t="s">
        <v>375</v>
      </c>
      <c r="H25" s="277" t="s">
        <v>375</v>
      </c>
      <c r="I25" s="277" t="s">
        <v>376</v>
      </c>
      <c r="J25" s="277" t="s">
        <v>376</v>
      </c>
      <c r="K25" s="277" t="s">
        <v>376</v>
      </c>
      <c r="L25" s="277" t="s">
        <v>376</v>
      </c>
      <c r="M25" s="277" t="s">
        <v>376</v>
      </c>
      <c r="N25" s="277" t="s">
        <v>376</v>
      </c>
      <c r="O25" s="277" t="s">
        <v>375</v>
      </c>
      <c r="P25" s="277" t="s">
        <v>376</v>
      </c>
      <c r="Q25" s="277" t="s">
        <v>376</v>
      </c>
      <c r="R25" s="277" t="s">
        <v>376</v>
      </c>
      <c r="S25" s="277" t="s">
        <v>376</v>
      </c>
      <c r="T25" s="277" t="s">
        <v>376</v>
      </c>
      <c r="U25" s="80">
        <v>6</v>
      </c>
      <c r="W25" t="s">
        <v>579</v>
      </c>
      <c r="X25" t="str">
        <f t="shared" si="1"/>
        <v>FR_SS.com</v>
      </c>
    </row>
    <row r="26" spans="1:24">
      <c r="A26" s="275" t="str">
        <f t="shared" si="0"/>
        <v>CA_THEBRICK</v>
      </c>
      <c r="B26" s="276" t="s">
        <v>345</v>
      </c>
      <c r="C26" s="276" t="s">
        <v>355</v>
      </c>
      <c r="D26" s="277" t="s">
        <v>375</v>
      </c>
      <c r="E26" s="277" t="s">
        <v>375</v>
      </c>
      <c r="F26" s="277" t="s">
        <v>376</v>
      </c>
      <c r="G26" s="277" t="s">
        <v>376</v>
      </c>
      <c r="H26" s="277" t="s">
        <v>376</v>
      </c>
      <c r="I26" s="277" t="s">
        <v>376</v>
      </c>
      <c r="J26" s="277" t="s">
        <v>376</v>
      </c>
      <c r="K26" s="277" t="s">
        <v>376</v>
      </c>
      <c r="L26" s="277" t="s">
        <v>376</v>
      </c>
      <c r="M26" s="277" t="s">
        <v>376</v>
      </c>
      <c r="N26" s="277" t="s">
        <v>375</v>
      </c>
      <c r="O26" s="277" t="s">
        <v>375</v>
      </c>
      <c r="P26" s="277" t="s">
        <v>376</v>
      </c>
      <c r="Q26" s="277" t="s">
        <v>376</v>
      </c>
      <c r="R26" s="277" t="s">
        <v>375</v>
      </c>
      <c r="S26" s="277" t="s">
        <v>375</v>
      </c>
      <c r="T26" s="277" t="s">
        <v>376</v>
      </c>
      <c r="U26" s="80">
        <v>6</v>
      </c>
      <c r="W26" t="s">
        <v>580</v>
      </c>
      <c r="X26" t="str">
        <f t="shared" si="1"/>
        <v>FR_BOULANGER</v>
      </c>
    </row>
    <row r="27" spans="1:24">
      <c r="A27" s="275" t="str">
        <f t="shared" si="0"/>
        <v>CL_FALABELLA</v>
      </c>
      <c r="B27" s="276" t="s">
        <v>326</v>
      </c>
      <c r="C27" s="276" t="s">
        <v>327</v>
      </c>
      <c r="D27" s="277" t="s">
        <v>375</v>
      </c>
      <c r="E27" s="277" t="s">
        <v>375</v>
      </c>
      <c r="F27" s="277" t="s">
        <v>375</v>
      </c>
      <c r="G27" s="277" t="s">
        <v>376</v>
      </c>
      <c r="H27" s="277" t="s">
        <v>376</v>
      </c>
      <c r="I27" s="277" t="s">
        <v>375</v>
      </c>
      <c r="J27" s="277" t="s">
        <v>375</v>
      </c>
      <c r="K27" s="277" t="s">
        <v>375</v>
      </c>
      <c r="L27" s="277" t="s">
        <v>376</v>
      </c>
      <c r="M27" s="277" t="s">
        <v>376</v>
      </c>
      <c r="N27" s="277" t="s">
        <v>376</v>
      </c>
      <c r="O27" s="277" t="s">
        <v>376</v>
      </c>
      <c r="P27" s="277" t="s">
        <v>376</v>
      </c>
      <c r="Q27" s="277" t="s">
        <v>376</v>
      </c>
      <c r="R27" s="277" t="s">
        <v>376</v>
      </c>
      <c r="S27" s="277" t="s">
        <v>376</v>
      </c>
      <c r="T27" s="277" t="s">
        <v>376</v>
      </c>
      <c r="U27" s="80">
        <v>6</v>
      </c>
      <c r="W27" t="s">
        <v>581</v>
      </c>
      <c r="X27" t="str">
        <f t="shared" si="1"/>
        <v>FR_DARTY</v>
      </c>
    </row>
    <row r="28" spans="1:24">
      <c r="A28" s="275" t="str">
        <f t="shared" si="0"/>
        <v>DE_AMAZON</v>
      </c>
      <c r="B28" s="276" t="s">
        <v>261</v>
      </c>
      <c r="C28" s="276" t="s">
        <v>262</v>
      </c>
      <c r="D28" s="277" t="s">
        <v>375</v>
      </c>
      <c r="E28" s="277" t="s">
        <v>375</v>
      </c>
      <c r="F28" s="277" t="s">
        <v>375</v>
      </c>
      <c r="G28" s="277" t="s">
        <v>375</v>
      </c>
      <c r="H28" s="277" t="s">
        <v>376</v>
      </c>
      <c r="I28" s="277" t="s">
        <v>375</v>
      </c>
      <c r="J28" s="277" t="s">
        <v>375</v>
      </c>
      <c r="K28" s="277" t="s">
        <v>375</v>
      </c>
      <c r="L28" s="277" t="s">
        <v>376</v>
      </c>
      <c r="M28" s="277" t="s">
        <v>376</v>
      </c>
      <c r="N28" s="277" t="s">
        <v>376</v>
      </c>
      <c r="O28" s="277" t="s">
        <v>376</v>
      </c>
      <c r="P28" s="277" t="s">
        <v>375</v>
      </c>
      <c r="Q28" s="277" t="s">
        <v>376</v>
      </c>
      <c r="R28" s="277" t="s">
        <v>375</v>
      </c>
      <c r="S28" s="277" t="s">
        <v>376</v>
      </c>
      <c r="T28" s="277" t="s">
        <v>376</v>
      </c>
      <c r="U28" s="80">
        <v>9</v>
      </c>
      <c r="W28" t="s">
        <v>582</v>
      </c>
      <c r="X28" t="str">
        <f t="shared" si="1"/>
        <v>FR_FNAC</v>
      </c>
    </row>
    <row r="29" spans="1:24">
      <c r="A29" s="275" t="str">
        <f t="shared" si="0"/>
        <v>DE_MEDIAMARKT</v>
      </c>
      <c r="B29" s="276" t="s">
        <v>261</v>
      </c>
      <c r="C29" s="276" t="s">
        <v>264</v>
      </c>
      <c r="D29" s="277" t="s">
        <v>375</v>
      </c>
      <c r="E29" s="277" t="s">
        <v>375</v>
      </c>
      <c r="F29" s="277" t="s">
        <v>375</v>
      </c>
      <c r="G29" s="277" t="s">
        <v>375</v>
      </c>
      <c r="H29" s="277" t="s">
        <v>376</v>
      </c>
      <c r="I29" s="277" t="s">
        <v>375</v>
      </c>
      <c r="J29" s="277" t="s">
        <v>375</v>
      </c>
      <c r="K29" s="277" t="s">
        <v>375</v>
      </c>
      <c r="L29" s="277" t="s">
        <v>376</v>
      </c>
      <c r="M29" s="277" t="s">
        <v>376</v>
      </c>
      <c r="N29" s="277" t="s">
        <v>376</v>
      </c>
      <c r="O29" s="277" t="s">
        <v>376</v>
      </c>
      <c r="P29" s="277" t="s">
        <v>375</v>
      </c>
      <c r="Q29" s="277" t="s">
        <v>376</v>
      </c>
      <c r="R29" s="277" t="s">
        <v>375</v>
      </c>
      <c r="S29" s="277" t="s">
        <v>376</v>
      </c>
      <c r="T29" s="277" t="s">
        <v>376</v>
      </c>
      <c r="U29" s="80">
        <v>9</v>
      </c>
      <c r="W29" t="s">
        <v>583</v>
      </c>
      <c r="X29" t="str">
        <f t="shared" si="1"/>
        <v>DE_SS.com</v>
      </c>
    </row>
    <row r="30" spans="1:24">
      <c r="A30" s="275" t="str">
        <f t="shared" si="0"/>
        <v>DE_OTTO</v>
      </c>
      <c r="B30" s="276" t="s">
        <v>261</v>
      </c>
      <c r="C30" s="276" t="s">
        <v>266</v>
      </c>
      <c r="D30" s="277" t="s">
        <v>375</v>
      </c>
      <c r="E30" s="277" t="s">
        <v>375</v>
      </c>
      <c r="F30" s="277" t="s">
        <v>375</v>
      </c>
      <c r="G30" s="277" t="s">
        <v>375</v>
      </c>
      <c r="H30" s="277" t="s">
        <v>376</v>
      </c>
      <c r="I30" s="277" t="s">
        <v>375</v>
      </c>
      <c r="J30" s="277" t="s">
        <v>375</v>
      </c>
      <c r="K30" s="277" t="s">
        <v>375</v>
      </c>
      <c r="L30" s="277" t="s">
        <v>376</v>
      </c>
      <c r="M30" s="277" t="s">
        <v>376</v>
      </c>
      <c r="N30" s="277" t="s">
        <v>376</v>
      </c>
      <c r="O30" s="277" t="s">
        <v>376</v>
      </c>
      <c r="P30" s="277" t="s">
        <v>375</v>
      </c>
      <c r="Q30" s="277" t="s">
        <v>376</v>
      </c>
      <c r="R30" s="277" t="s">
        <v>375</v>
      </c>
      <c r="S30" s="277" t="s">
        <v>376</v>
      </c>
      <c r="T30" s="277" t="s">
        <v>376</v>
      </c>
      <c r="U30" s="80">
        <v>9</v>
      </c>
      <c r="W30" t="s">
        <v>584</v>
      </c>
      <c r="X30" t="str">
        <f t="shared" si="1"/>
        <v>DE_AMAZON</v>
      </c>
    </row>
    <row r="31" spans="1:24">
      <c r="A31" s="275" t="str">
        <f t="shared" si="0"/>
        <v>DE_SS.com</v>
      </c>
      <c r="B31" s="276" t="s">
        <v>261</v>
      </c>
      <c r="C31" s="276" t="s">
        <v>184</v>
      </c>
      <c r="D31" s="277" t="s">
        <v>375</v>
      </c>
      <c r="E31" s="277" t="s">
        <v>375</v>
      </c>
      <c r="F31" s="277" t="s">
        <v>375</v>
      </c>
      <c r="G31" s="277" t="s">
        <v>375</v>
      </c>
      <c r="H31" s="277" t="s">
        <v>375</v>
      </c>
      <c r="I31" s="277" t="s">
        <v>376</v>
      </c>
      <c r="J31" s="277" t="s">
        <v>376</v>
      </c>
      <c r="K31" s="277" t="s">
        <v>376</v>
      </c>
      <c r="L31" s="277" t="s">
        <v>376</v>
      </c>
      <c r="M31" s="277" t="s">
        <v>376</v>
      </c>
      <c r="N31" s="277" t="s">
        <v>376</v>
      </c>
      <c r="O31" s="277" t="s">
        <v>375</v>
      </c>
      <c r="P31" s="277" t="s">
        <v>376</v>
      </c>
      <c r="Q31" s="277" t="s">
        <v>376</v>
      </c>
      <c r="R31" s="277" t="s">
        <v>376</v>
      </c>
      <c r="S31" s="277" t="s">
        <v>376</v>
      </c>
      <c r="T31" s="277" t="s">
        <v>376</v>
      </c>
      <c r="U31" s="80">
        <v>6</v>
      </c>
      <c r="W31" t="s">
        <v>585</v>
      </c>
      <c r="X31" t="str">
        <f t="shared" si="1"/>
        <v>DE_MEDIAMARKT</v>
      </c>
    </row>
    <row r="32" spans="1:24">
      <c r="A32" s="275" t="str">
        <f t="shared" si="0"/>
        <v>ES_AMAZON</v>
      </c>
      <c r="B32" s="276" t="s">
        <v>285</v>
      </c>
      <c r="C32" s="276" t="s">
        <v>262</v>
      </c>
      <c r="D32" s="277" t="s">
        <v>375</v>
      </c>
      <c r="E32" s="277" t="s">
        <v>375</v>
      </c>
      <c r="F32" s="277" t="s">
        <v>375</v>
      </c>
      <c r="G32" s="277" t="s">
        <v>375</v>
      </c>
      <c r="H32" s="277" t="s">
        <v>376</v>
      </c>
      <c r="I32" s="277" t="s">
        <v>376</v>
      </c>
      <c r="J32" s="277" t="s">
        <v>376</v>
      </c>
      <c r="K32" s="277" t="s">
        <v>375</v>
      </c>
      <c r="L32" s="277" t="s">
        <v>376</v>
      </c>
      <c r="M32" s="277" t="s">
        <v>376</v>
      </c>
      <c r="N32" s="277" t="s">
        <v>376</v>
      </c>
      <c r="O32" s="277" t="s">
        <v>376</v>
      </c>
      <c r="P32" s="277" t="s">
        <v>375</v>
      </c>
      <c r="Q32" s="277" t="s">
        <v>376</v>
      </c>
      <c r="R32" s="277" t="s">
        <v>375</v>
      </c>
      <c r="S32" s="277" t="s">
        <v>376</v>
      </c>
      <c r="T32" s="277" t="s">
        <v>376</v>
      </c>
      <c r="U32" s="80">
        <v>7</v>
      </c>
      <c r="W32" t="s">
        <v>586</v>
      </c>
      <c r="X32" t="str">
        <f t="shared" si="1"/>
        <v>DE_OTTO</v>
      </c>
    </row>
    <row r="33" spans="1:24">
      <c r="A33" s="275" t="str">
        <f t="shared" si="0"/>
        <v>ES_ELCORTEINGLES_ELECTRONICA</v>
      </c>
      <c r="B33" s="276" t="s">
        <v>285</v>
      </c>
      <c r="C33" s="276" t="s">
        <v>287</v>
      </c>
      <c r="D33" s="277" t="s">
        <v>375</v>
      </c>
      <c r="E33" s="277" t="s">
        <v>375</v>
      </c>
      <c r="F33" s="277" t="s">
        <v>375</v>
      </c>
      <c r="G33" s="277" t="s">
        <v>375</v>
      </c>
      <c r="H33" s="277" t="s">
        <v>376</v>
      </c>
      <c r="I33" s="277" t="s">
        <v>375</v>
      </c>
      <c r="J33" s="277" t="s">
        <v>375</v>
      </c>
      <c r="K33" s="277" t="s">
        <v>375</v>
      </c>
      <c r="L33" s="277" t="s">
        <v>376</v>
      </c>
      <c r="M33" s="277" t="s">
        <v>376</v>
      </c>
      <c r="N33" s="277" t="s">
        <v>375</v>
      </c>
      <c r="O33" s="277" t="s">
        <v>376</v>
      </c>
      <c r="P33" s="277" t="s">
        <v>376</v>
      </c>
      <c r="Q33" s="277" t="s">
        <v>376</v>
      </c>
      <c r="R33" s="277" t="s">
        <v>375</v>
      </c>
      <c r="S33" s="277" t="s">
        <v>376</v>
      </c>
      <c r="T33" s="277" t="s">
        <v>376</v>
      </c>
      <c r="U33" s="80">
        <v>9</v>
      </c>
      <c r="W33" t="s">
        <v>587</v>
      </c>
      <c r="X33" t="str">
        <f t="shared" si="1"/>
        <v>IT_SS.com</v>
      </c>
    </row>
    <row r="34" spans="1:24">
      <c r="A34" s="275" t="str">
        <f t="shared" si="0"/>
        <v>ES_MEDIAMARKT</v>
      </c>
      <c r="B34" s="276" t="s">
        <v>285</v>
      </c>
      <c r="C34" s="276" t="s">
        <v>264</v>
      </c>
      <c r="D34" s="277" t="s">
        <v>375</v>
      </c>
      <c r="E34" s="277" t="s">
        <v>375</v>
      </c>
      <c r="F34" s="277" t="s">
        <v>375</v>
      </c>
      <c r="G34" s="277" t="s">
        <v>375</v>
      </c>
      <c r="H34" s="277" t="s">
        <v>375</v>
      </c>
      <c r="I34" s="277" t="s">
        <v>375</v>
      </c>
      <c r="J34" s="277" t="s">
        <v>375</v>
      </c>
      <c r="K34" s="277" t="s">
        <v>375</v>
      </c>
      <c r="L34" s="277" t="s">
        <v>376</v>
      </c>
      <c r="M34" s="277" t="s">
        <v>376</v>
      </c>
      <c r="N34" s="277" t="s">
        <v>375</v>
      </c>
      <c r="O34" s="277" t="s">
        <v>376</v>
      </c>
      <c r="P34" s="277" t="s">
        <v>376</v>
      </c>
      <c r="Q34" s="277" t="s">
        <v>376</v>
      </c>
      <c r="R34" s="277" t="s">
        <v>375</v>
      </c>
      <c r="S34" s="277" t="s">
        <v>376</v>
      </c>
      <c r="T34" s="277" t="s">
        <v>376</v>
      </c>
      <c r="U34" s="80">
        <v>10</v>
      </c>
      <c r="W34" t="s">
        <v>588</v>
      </c>
      <c r="X34" t="str">
        <f t="shared" si="1"/>
        <v>IT_AMAZON</v>
      </c>
    </row>
    <row r="35" spans="1:24">
      <c r="A35" s="275" t="str">
        <f t="shared" si="0"/>
        <v>ES_SS.com</v>
      </c>
      <c r="B35" s="276" t="s">
        <v>285</v>
      </c>
      <c r="C35" s="276" t="s">
        <v>184</v>
      </c>
      <c r="D35" s="277" t="s">
        <v>375</v>
      </c>
      <c r="E35" s="277" t="s">
        <v>375</v>
      </c>
      <c r="F35" s="277" t="s">
        <v>375</v>
      </c>
      <c r="G35" s="277" t="s">
        <v>375</v>
      </c>
      <c r="H35" s="277" t="s">
        <v>375</v>
      </c>
      <c r="I35" s="277" t="s">
        <v>376</v>
      </c>
      <c r="J35" s="277" t="s">
        <v>376</v>
      </c>
      <c r="K35" s="277" t="s">
        <v>376</v>
      </c>
      <c r="L35" s="277" t="s">
        <v>376</v>
      </c>
      <c r="M35" s="277" t="s">
        <v>376</v>
      </c>
      <c r="N35" s="277" t="s">
        <v>376</v>
      </c>
      <c r="O35" s="277" t="s">
        <v>375</v>
      </c>
      <c r="P35" s="277" t="s">
        <v>376</v>
      </c>
      <c r="Q35" s="277" t="s">
        <v>376</v>
      </c>
      <c r="R35" s="277" t="s">
        <v>376</v>
      </c>
      <c r="S35" s="277" t="s">
        <v>376</v>
      </c>
      <c r="T35" s="277" t="s">
        <v>376</v>
      </c>
      <c r="U35" s="80">
        <v>6</v>
      </c>
      <c r="W35" t="s">
        <v>589</v>
      </c>
      <c r="X35" t="str">
        <f t="shared" si="1"/>
        <v>IT_MEDIAWORLD</v>
      </c>
    </row>
    <row r="36" spans="1:24">
      <c r="A36" s="275" t="str">
        <f t="shared" si="0"/>
        <v>FR_BOULANGER</v>
      </c>
      <c r="B36" s="276" t="s">
        <v>251</v>
      </c>
      <c r="C36" s="276" t="s">
        <v>252</v>
      </c>
      <c r="D36" s="277" t="s">
        <v>375</v>
      </c>
      <c r="E36" s="277" t="s">
        <v>375</v>
      </c>
      <c r="F36" s="277" t="s">
        <v>375</v>
      </c>
      <c r="G36" s="277" t="s">
        <v>375</v>
      </c>
      <c r="H36" s="277" t="s">
        <v>376</v>
      </c>
      <c r="I36" s="277" t="s">
        <v>375</v>
      </c>
      <c r="J36" s="277" t="s">
        <v>375</v>
      </c>
      <c r="K36" s="277" t="s">
        <v>375</v>
      </c>
      <c r="L36" s="277" t="s">
        <v>376</v>
      </c>
      <c r="M36" s="277" t="s">
        <v>376</v>
      </c>
      <c r="N36" s="277" t="s">
        <v>375</v>
      </c>
      <c r="O36" s="277" t="s">
        <v>376</v>
      </c>
      <c r="P36" s="277" t="s">
        <v>375</v>
      </c>
      <c r="Q36" s="277" t="s">
        <v>376</v>
      </c>
      <c r="R36" s="277" t="s">
        <v>375</v>
      </c>
      <c r="S36" s="277" t="s">
        <v>376</v>
      </c>
      <c r="T36" s="277" t="s">
        <v>376</v>
      </c>
      <c r="U36" s="80">
        <v>10</v>
      </c>
      <c r="W36" t="s">
        <v>590</v>
      </c>
      <c r="X36" t="str">
        <f t="shared" si="1"/>
        <v>IT_UNIEURO</v>
      </c>
    </row>
    <row r="37" spans="1:24">
      <c r="A37" s="275" t="str">
        <f t="shared" si="0"/>
        <v>FR_DARTY</v>
      </c>
      <c r="B37" s="276" t="s">
        <v>251</v>
      </c>
      <c r="C37" s="276" t="s">
        <v>254</v>
      </c>
      <c r="D37" s="277" t="s">
        <v>375</v>
      </c>
      <c r="E37" s="277" t="s">
        <v>375</v>
      </c>
      <c r="F37" s="277" t="s">
        <v>375</v>
      </c>
      <c r="G37" s="277" t="s">
        <v>375</v>
      </c>
      <c r="H37" s="277" t="s">
        <v>376</v>
      </c>
      <c r="I37" s="277" t="s">
        <v>375</v>
      </c>
      <c r="J37" s="277" t="s">
        <v>375</v>
      </c>
      <c r="K37" s="277" t="s">
        <v>375</v>
      </c>
      <c r="L37" s="277" t="s">
        <v>376</v>
      </c>
      <c r="M37" s="277" t="s">
        <v>376</v>
      </c>
      <c r="N37" s="277" t="s">
        <v>375</v>
      </c>
      <c r="O37" s="277" t="s">
        <v>376</v>
      </c>
      <c r="P37" s="277" t="s">
        <v>375</v>
      </c>
      <c r="Q37" s="277" t="s">
        <v>376</v>
      </c>
      <c r="R37" s="277" t="s">
        <v>375</v>
      </c>
      <c r="S37" s="277" t="s">
        <v>376</v>
      </c>
      <c r="T37" s="277" t="s">
        <v>376</v>
      </c>
      <c r="U37" s="80">
        <v>10</v>
      </c>
      <c r="W37" t="s">
        <v>591</v>
      </c>
      <c r="X37" t="str">
        <f t="shared" si="1"/>
        <v>NL_COOLBLUE</v>
      </c>
    </row>
    <row r="38" spans="1:24">
      <c r="A38" s="275" t="str">
        <f t="shared" si="0"/>
        <v>FR_FNAC</v>
      </c>
      <c r="B38" s="276" t="s">
        <v>251</v>
      </c>
      <c r="C38" s="276" t="s">
        <v>256</v>
      </c>
      <c r="D38" s="277" t="s">
        <v>375</v>
      </c>
      <c r="E38" s="277" t="s">
        <v>375</v>
      </c>
      <c r="F38" s="277" t="s">
        <v>375</v>
      </c>
      <c r="G38" s="277" t="s">
        <v>375</v>
      </c>
      <c r="H38" s="277" t="s">
        <v>376</v>
      </c>
      <c r="I38" s="277" t="s">
        <v>375</v>
      </c>
      <c r="J38" s="277" t="s">
        <v>375</v>
      </c>
      <c r="K38" s="277" t="s">
        <v>375</v>
      </c>
      <c r="L38" s="277" t="s">
        <v>376</v>
      </c>
      <c r="M38" s="277" t="s">
        <v>376</v>
      </c>
      <c r="N38" s="277" t="s">
        <v>375</v>
      </c>
      <c r="O38" s="277" t="s">
        <v>376</v>
      </c>
      <c r="P38" s="277" t="s">
        <v>376</v>
      </c>
      <c r="Q38" s="277" t="s">
        <v>376</v>
      </c>
      <c r="R38" s="277" t="s">
        <v>375</v>
      </c>
      <c r="S38" s="277" t="s">
        <v>376</v>
      </c>
      <c r="T38" s="277" t="s">
        <v>376</v>
      </c>
      <c r="U38" s="80">
        <v>9</v>
      </c>
      <c r="W38" t="s">
        <v>592</v>
      </c>
      <c r="X38" t="str">
        <f t="shared" si="1"/>
        <v>ES_SS.com</v>
      </c>
    </row>
    <row r="39" spans="1:24">
      <c r="A39" s="275" t="str">
        <f t="shared" si="0"/>
        <v>FR_SS.com</v>
      </c>
      <c r="B39" s="276" t="s">
        <v>251</v>
      </c>
      <c r="C39" s="276" t="s">
        <v>184</v>
      </c>
      <c r="D39" s="277" t="s">
        <v>375</v>
      </c>
      <c r="E39" s="277" t="s">
        <v>375</v>
      </c>
      <c r="F39" s="277" t="s">
        <v>375</v>
      </c>
      <c r="G39" s="277" t="s">
        <v>375</v>
      </c>
      <c r="H39" s="277" t="s">
        <v>375</v>
      </c>
      <c r="I39" s="277" t="s">
        <v>376</v>
      </c>
      <c r="J39" s="277" t="s">
        <v>376</v>
      </c>
      <c r="K39" s="277" t="s">
        <v>376</v>
      </c>
      <c r="L39" s="277" t="s">
        <v>376</v>
      </c>
      <c r="M39" s="277" t="s">
        <v>376</v>
      </c>
      <c r="N39" s="277" t="s">
        <v>376</v>
      </c>
      <c r="O39" s="277" t="s">
        <v>375</v>
      </c>
      <c r="P39" s="277" t="s">
        <v>376</v>
      </c>
      <c r="Q39" s="277" t="s">
        <v>376</v>
      </c>
      <c r="R39" s="277" t="s">
        <v>376</v>
      </c>
      <c r="S39" s="277" t="s">
        <v>376</v>
      </c>
      <c r="T39" s="277" t="s">
        <v>376</v>
      </c>
      <c r="U39" s="80">
        <v>6</v>
      </c>
      <c r="W39" t="s">
        <v>593</v>
      </c>
      <c r="X39" t="str">
        <f t="shared" si="1"/>
        <v>ES_AMAZON</v>
      </c>
    </row>
    <row r="40" spans="1:24">
      <c r="A40" s="275" t="str">
        <f t="shared" si="0"/>
        <v>IN_AMAZON_LG</v>
      </c>
      <c r="B40" s="276" t="s">
        <v>302</v>
      </c>
      <c r="C40" s="276" t="s">
        <v>303</v>
      </c>
      <c r="D40" s="277" t="s">
        <v>375</v>
      </c>
      <c r="E40" s="277" t="s">
        <v>375</v>
      </c>
      <c r="F40" s="277" t="s">
        <v>375</v>
      </c>
      <c r="G40" s="277" t="s">
        <v>375</v>
      </c>
      <c r="H40" s="277" t="s">
        <v>375</v>
      </c>
      <c r="I40" s="277" t="s">
        <v>375</v>
      </c>
      <c r="J40" s="277" t="s">
        <v>375</v>
      </c>
      <c r="K40" s="277" t="s">
        <v>375</v>
      </c>
      <c r="L40" s="277" t="s">
        <v>376</v>
      </c>
      <c r="M40" s="277" t="s">
        <v>376</v>
      </c>
      <c r="N40" s="277" t="s">
        <v>376</v>
      </c>
      <c r="O40" s="277" t="s">
        <v>376</v>
      </c>
      <c r="P40" s="277" t="s">
        <v>376</v>
      </c>
      <c r="Q40" s="277" t="s">
        <v>376</v>
      </c>
      <c r="R40" s="277" t="s">
        <v>376</v>
      </c>
      <c r="S40" s="277" t="s">
        <v>376</v>
      </c>
      <c r="T40" s="277" t="s">
        <v>375</v>
      </c>
      <c r="U40" s="80">
        <v>9</v>
      </c>
      <c r="W40" t="s">
        <v>594</v>
      </c>
      <c r="X40" t="str">
        <f t="shared" si="1"/>
        <v>ES_ELCORTEINGLES_ELECTRONICA</v>
      </c>
    </row>
    <row r="41" spans="1:24">
      <c r="A41" s="275" t="str">
        <f t="shared" si="0"/>
        <v>IN_FLIPKART</v>
      </c>
      <c r="B41" s="276" t="s">
        <v>302</v>
      </c>
      <c r="C41" s="276" t="s">
        <v>595</v>
      </c>
      <c r="D41" s="277" t="s">
        <v>375</v>
      </c>
      <c r="E41" s="277" t="s">
        <v>375</v>
      </c>
      <c r="F41" s="277" t="s">
        <v>375</v>
      </c>
      <c r="G41" s="277" t="s">
        <v>375</v>
      </c>
      <c r="H41" s="277" t="s">
        <v>376</v>
      </c>
      <c r="I41" s="277" t="s">
        <v>375</v>
      </c>
      <c r="J41" s="277" t="s">
        <v>375</v>
      </c>
      <c r="K41" s="277" t="s">
        <v>375</v>
      </c>
      <c r="L41" s="277" t="s">
        <v>376</v>
      </c>
      <c r="M41" s="277" t="s">
        <v>376</v>
      </c>
      <c r="N41" s="277" t="s">
        <v>375</v>
      </c>
      <c r="O41" s="277" t="s">
        <v>376</v>
      </c>
      <c r="P41" s="277" t="s">
        <v>376</v>
      </c>
      <c r="Q41" s="277" t="s">
        <v>376</v>
      </c>
      <c r="R41" s="277" t="s">
        <v>376</v>
      </c>
      <c r="S41" s="277" t="s">
        <v>376</v>
      </c>
      <c r="T41" s="277" t="s">
        <v>375</v>
      </c>
      <c r="U41" s="80">
        <v>9</v>
      </c>
      <c r="W41" t="s">
        <v>596</v>
      </c>
      <c r="X41" t="str">
        <f t="shared" si="1"/>
        <v>ES_MEDIAMARKT</v>
      </c>
    </row>
    <row r="42" spans="1:24">
      <c r="A42" s="275" t="str">
        <f t="shared" si="0"/>
        <v>IT_AMAZON</v>
      </c>
      <c r="B42" s="276" t="s">
        <v>271</v>
      </c>
      <c r="C42" s="276" t="s">
        <v>262</v>
      </c>
      <c r="D42" s="277" t="s">
        <v>375</v>
      </c>
      <c r="E42" s="277" t="s">
        <v>375</v>
      </c>
      <c r="F42" s="277" t="s">
        <v>375</v>
      </c>
      <c r="G42" s="277" t="s">
        <v>375</v>
      </c>
      <c r="H42" s="277" t="s">
        <v>376</v>
      </c>
      <c r="I42" s="277" t="s">
        <v>376</v>
      </c>
      <c r="J42" s="277" t="s">
        <v>376</v>
      </c>
      <c r="K42" s="277" t="s">
        <v>376</v>
      </c>
      <c r="L42" s="277" t="s">
        <v>376</v>
      </c>
      <c r="M42" s="277" t="s">
        <v>376</v>
      </c>
      <c r="N42" s="277" t="s">
        <v>376</v>
      </c>
      <c r="O42" s="277" t="s">
        <v>376</v>
      </c>
      <c r="P42" s="277" t="s">
        <v>375</v>
      </c>
      <c r="Q42" s="277" t="s">
        <v>376</v>
      </c>
      <c r="R42" s="277" t="s">
        <v>375</v>
      </c>
      <c r="S42" s="277" t="s">
        <v>376</v>
      </c>
      <c r="T42" s="277" t="s">
        <v>376</v>
      </c>
      <c r="U42" s="80">
        <v>6</v>
      </c>
      <c r="W42" t="s">
        <v>597</v>
      </c>
      <c r="X42" t="str">
        <f t="shared" si="1"/>
        <v>SE_ELGIGANTEN</v>
      </c>
    </row>
    <row r="43" spans="1:24">
      <c r="A43" s="275" t="str">
        <f t="shared" si="0"/>
        <v>IT_MEDIAWORLD</v>
      </c>
      <c r="B43" s="276" t="s">
        <v>271</v>
      </c>
      <c r="C43" s="276" t="s">
        <v>273</v>
      </c>
      <c r="D43" s="277" t="s">
        <v>375</v>
      </c>
      <c r="E43" s="277" t="s">
        <v>375</v>
      </c>
      <c r="F43" s="277" t="s">
        <v>375</v>
      </c>
      <c r="G43" s="277" t="s">
        <v>375</v>
      </c>
      <c r="H43" s="277" t="s">
        <v>376</v>
      </c>
      <c r="I43" s="277" t="s">
        <v>375</v>
      </c>
      <c r="J43" s="277" t="s">
        <v>375</v>
      </c>
      <c r="K43" s="277" t="s">
        <v>375</v>
      </c>
      <c r="L43" s="277" t="s">
        <v>376</v>
      </c>
      <c r="M43" s="277" t="s">
        <v>376</v>
      </c>
      <c r="N43" s="277" t="s">
        <v>375</v>
      </c>
      <c r="O43" s="277" t="s">
        <v>375</v>
      </c>
      <c r="P43" s="277" t="s">
        <v>376</v>
      </c>
      <c r="Q43" s="277" t="s">
        <v>376</v>
      </c>
      <c r="R43" s="277" t="s">
        <v>375</v>
      </c>
      <c r="S43" s="277" t="s">
        <v>376</v>
      </c>
      <c r="T43" s="277" t="s">
        <v>376</v>
      </c>
      <c r="U43" s="80">
        <v>10</v>
      </c>
      <c r="W43" t="s">
        <v>598</v>
      </c>
      <c r="X43" t="str">
        <f t="shared" si="1"/>
        <v>UK_SS.com</v>
      </c>
    </row>
    <row r="44" spans="1:24">
      <c r="A44" s="275" t="str">
        <f t="shared" si="0"/>
        <v>IT_SS.com</v>
      </c>
      <c r="B44" s="276" t="s">
        <v>271</v>
      </c>
      <c r="C44" s="276" t="s">
        <v>184</v>
      </c>
      <c r="D44" s="277" t="s">
        <v>375</v>
      </c>
      <c r="E44" s="277" t="s">
        <v>375</v>
      </c>
      <c r="F44" s="277" t="s">
        <v>375</v>
      </c>
      <c r="G44" s="277" t="s">
        <v>375</v>
      </c>
      <c r="H44" s="277" t="s">
        <v>375</v>
      </c>
      <c r="I44" s="277" t="s">
        <v>376</v>
      </c>
      <c r="J44" s="277" t="s">
        <v>376</v>
      </c>
      <c r="K44" s="277" t="s">
        <v>376</v>
      </c>
      <c r="L44" s="277" t="s">
        <v>376</v>
      </c>
      <c r="M44" s="277" t="s">
        <v>376</v>
      </c>
      <c r="N44" s="277" t="s">
        <v>376</v>
      </c>
      <c r="O44" s="277" t="s">
        <v>375</v>
      </c>
      <c r="P44" s="277" t="s">
        <v>376</v>
      </c>
      <c r="Q44" s="277" t="s">
        <v>376</v>
      </c>
      <c r="R44" s="277" t="s">
        <v>376</v>
      </c>
      <c r="S44" s="277" t="s">
        <v>376</v>
      </c>
      <c r="T44" s="277" t="s">
        <v>376</v>
      </c>
      <c r="U44" s="80">
        <v>6</v>
      </c>
      <c r="W44" t="s">
        <v>86</v>
      </c>
      <c r="X44" t="str">
        <f t="shared" si="1"/>
        <v>UK_AMAZON</v>
      </c>
    </row>
    <row r="45" spans="1:24">
      <c r="A45" s="275" t="str">
        <f t="shared" si="0"/>
        <v>IT_UNIEURO</v>
      </c>
      <c r="B45" s="276" t="s">
        <v>271</v>
      </c>
      <c r="C45" s="276" t="s">
        <v>275</v>
      </c>
      <c r="D45" s="277" t="s">
        <v>375</v>
      </c>
      <c r="E45" s="277" t="s">
        <v>375</v>
      </c>
      <c r="F45" s="277" t="s">
        <v>375</v>
      </c>
      <c r="G45" s="277" t="s">
        <v>375</v>
      </c>
      <c r="H45" s="277" t="s">
        <v>376</v>
      </c>
      <c r="I45" s="277" t="s">
        <v>375</v>
      </c>
      <c r="J45" s="277" t="s">
        <v>375</v>
      </c>
      <c r="K45" s="277" t="s">
        <v>375</v>
      </c>
      <c r="L45" s="277" t="s">
        <v>376</v>
      </c>
      <c r="M45" s="277" t="s">
        <v>376</v>
      </c>
      <c r="N45" s="277" t="s">
        <v>375</v>
      </c>
      <c r="O45" s="277" t="s">
        <v>375</v>
      </c>
      <c r="P45" s="277" t="s">
        <v>376</v>
      </c>
      <c r="Q45" s="277" t="s">
        <v>376</v>
      </c>
      <c r="R45" s="277" t="s">
        <v>375</v>
      </c>
      <c r="S45" s="277" t="s">
        <v>376</v>
      </c>
      <c r="T45" s="277" t="s">
        <v>376</v>
      </c>
      <c r="U45" s="80">
        <v>10</v>
      </c>
      <c r="W45" t="s">
        <v>87</v>
      </c>
      <c r="X45" t="str">
        <f t="shared" si="1"/>
        <v>UK_AO</v>
      </c>
    </row>
    <row r="46" spans="1:24">
      <c r="A46" s="275" t="str">
        <f t="shared" si="0"/>
        <v>JP_AMAZON</v>
      </c>
      <c r="B46" s="276" t="s">
        <v>307</v>
      </c>
      <c r="C46" s="276" t="s">
        <v>262</v>
      </c>
      <c r="D46" s="277" t="s">
        <v>375</v>
      </c>
      <c r="E46" s="277" t="s">
        <v>375</v>
      </c>
      <c r="F46" s="277" t="s">
        <v>375</v>
      </c>
      <c r="G46" s="277" t="s">
        <v>375</v>
      </c>
      <c r="H46" s="277" t="s">
        <v>376</v>
      </c>
      <c r="I46" s="277" t="s">
        <v>375</v>
      </c>
      <c r="J46" s="277" t="s">
        <v>375</v>
      </c>
      <c r="K46" s="277" t="s">
        <v>375</v>
      </c>
      <c r="L46" s="277" t="s">
        <v>376</v>
      </c>
      <c r="M46" s="277" t="s">
        <v>376</v>
      </c>
      <c r="N46" s="277" t="s">
        <v>376</v>
      </c>
      <c r="O46" s="277" t="s">
        <v>376</v>
      </c>
      <c r="P46" s="277" t="s">
        <v>375</v>
      </c>
      <c r="Q46" s="277" t="s">
        <v>376</v>
      </c>
      <c r="R46" s="277" t="s">
        <v>376</v>
      </c>
      <c r="S46" s="277" t="s">
        <v>376</v>
      </c>
      <c r="T46" s="277" t="s">
        <v>376</v>
      </c>
      <c r="U46" s="80">
        <v>8</v>
      </c>
      <c r="W46" t="s">
        <v>88</v>
      </c>
      <c r="X46" t="str">
        <f t="shared" si="1"/>
        <v>UK_CURRYS</v>
      </c>
    </row>
    <row r="47" spans="1:24">
      <c r="A47" s="275" t="str">
        <f t="shared" si="0"/>
        <v>MX_LIVERPOOL</v>
      </c>
      <c r="B47" s="276" t="s">
        <v>331</v>
      </c>
      <c r="C47" s="276" t="s">
        <v>332</v>
      </c>
      <c r="D47" s="277" t="s">
        <v>375</v>
      </c>
      <c r="E47" s="277" t="s">
        <v>375</v>
      </c>
      <c r="F47" s="277" t="s">
        <v>375</v>
      </c>
      <c r="G47" s="277" t="s">
        <v>375</v>
      </c>
      <c r="H47" s="277" t="s">
        <v>376</v>
      </c>
      <c r="I47" s="277" t="s">
        <v>376</v>
      </c>
      <c r="J47" s="277" t="s">
        <v>376</v>
      </c>
      <c r="K47" s="277" t="s">
        <v>376</v>
      </c>
      <c r="L47" s="277" t="s">
        <v>376</v>
      </c>
      <c r="M47" s="277" t="s">
        <v>376</v>
      </c>
      <c r="N47" s="277" t="s">
        <v>376</v>
      </c>
      <c r="O47" s="277" t="s">
        <v>376</v>
      </c>
      <c r="P47" s="277" t="s">
        <v>376</v>
      </c>
      <c r="Q47" s="277" t="s">
        <v>376</v>
      </c>
      <c r="R47" s="277" t="s">
        <v>376</v>
      </c>
      <c r="S47" s="277" t="s">
        <v>376</v>
      </c>
      <c r="T47" s="277" t="s">
        <v>376</v>
      </c>
      <c r="U47" s="80">
        <v>4</v>
      </c>
      <c r="W47" t="s">
        <v>599</v>
      </c>
      <c r="X47" t="str">
        <f t="shared" si="1"/>
        <v>IN_AMAZON_LG</v>
      </c>
    </row>
    <row r="48" spans="1:24">
      <c r="A48" s="275" t="str">
        <f t="shared" si="0"/>
        <v>MX_SS.com</v>
      </c>
      <c r="B48" s="276" t="s">
        <v>331</v>
      </c>
      <c r="C48" s="276" t="s">
        <v>184</v>
      </c>
      <c r="D48" s="277" t="s">
        <v>375</v>
      </c>
      <c r="E48" s="277" t="s">
        <v>375</v>
      </c>
      <c r="F48" s="277" t="s">
        <v>375</v>
      </c>
      <c r="G48" s="277" t="s">
        <v>375</v>
      </c>
      <c r="H48" s="277" t="s">
        <v>375</v>
      </c>
      <c r="I48" s="277" t="s">
        <v>376</v>
      </c>
      <c r="J48" s="277" t="s">
        <v>376</v>
      </c>
      <c r="K48" s="277" t="s">
        <v>376</v>
      </c>
      <c r="L48" s="277" t="s">
        <v>376</v>
      </c>
      <c r="M48" s="277" t="s">
        <v>376</v>
      </c>
      <c r="N48" s="277" t="s">
        <v>376</v>
      </c>
      <c r="O48" s="277" t="s">
        <v>375</v>
      </c>
      <c r="P48" s="277" t="s">
        <v>376</v>
      </c>
      <c r="Q48" s="277" t="s">
        <v>376</v>
      </c>
      <c r="R48" s="277" t="s">
        <v>376</v>
      </c>
      <c r="S48" s="277" t="s">
        <v>376</v>
      </c>
      <c r="T48" s="277" t="s">
        <v>376</v>
      </c>
      <c r="U48" s="80">
        <v>6</v>
      </c>
      <c r="W48" t="s">
        <v>600</v>
      </c>
      <c r="X48" t="str">
        <f t="shared" si="1"/>
        <v>IN_FLIPKART</v>
      </c>
    </row>
    <row r="49" spans="1:24">
      <c r="A49" s="275" t="str">
        <f t="shared" si="0"/>
        <v>NL_COOLBLUE</v>
      </c>
      <c r="B49" s="276" t="s">
        <v>278</v>
      </c>
      <c r="C49" s="276" t="s">
        <v>280</v>
      </c>
      <c r="D49" s="277" t="s">
        <v>375</v>
      </c>
      <c r="E49" s="277" t="s">
        <v>375</v>
      </c>
      <c r="F49" s="277" t="s">
        <v>375</v>
      </c>
      <c r="G49" s="277" t="s">
        <v>375</v>
      </c>
      <c r="H49" s="277" t="s">
        <v>375</v>
      </c>
      <c r="I49" s="277" t="s">
        <v>375</v>
      </c>
      <c r="J49" s="277" t="s">
        <v>375</v>
      </c>
      <c r="K49" s="277" t="s">
        <v>376</v>
      </c>
      <c r="L49" s="277" t="s">
        <v>376</v>
      </c>
      <c r="M49" s="277" t="s">
        <v>376</v>
      </c>
      <c r="N49" s="277" t="s">
        <v>376</v>
      </c>
      <c r="O49" s="277" t="s">
        <v>376</v>
      </c>
      <c r="P49" s="277" t="s">
        <v>376</v>
      </c>
      <c r="Q49" s="277" t="s">
        <v>376</v>
      </c>
      <c r="R49" s="277" t="s">
        <v>376</v>
      </c>
      <c r="S49" s="277" t="s">
        <v>376</v>
      </c>
      <c r="T49" s="277" t="s">
        <v>376</v>
      </c>
      <c r="U49" s="80">
        <v>7</v>
      </c>
      <c r="W49" t="s">
        <v>601</v>
      </c>
      <c r="X49" t="str">
        <f t="shared" si="1"/>
        <v>JP_AMAZON</v>
      </c>
    </row>
    <row r="50" spans="1:24">
      <c r="A50" s="275" t="str">
        <f t="shared" si="0"/>
        <v>SA_EXTRA</v>
      </c>
      <c r="B50" s="276" t="s">
        <v>339</v>
      </c>
      <c r="C50" s="276" t="s">
        <v>602</v>
      </c>
      <c r="D50" s="277" t="s">
        <v>375</v>
      </c>
      <c r="E50" s="277" t="s">
        <v>375</v>
      </c>
      <c r="F50" s="277" t="s">
        <v>375</v>
      </c>
      <c r="G50" s="277" t="s">
        <v>375</v>
      </c>
      <c r="H50" s="277" t="s">
        <v>375</v>
      </c>
      <c r="I50" s="277" t="s">
        <v>375</v>
      </c>
      <c r="J50" s="277" t="s">
        <v>375</v>
      </c>
      <c r="K50" s="277" t="s">
        <v>375</v>
      </c>
      <c r="L50" s="277" t="s">
        <v>376</v>
      </c>
      <c r="M50" s="277" t="s">
        <v>376</v>
      </c>
      <c r="N50" s="277" t="s">
        <v>375</v>
      </c>
      <c r="O50" s="277" t="s">
        <v>376</v>
      </c>
      <c r="P50" s="277" t="s">
        <v>376</v>
      </c>
      <c r="Q50" s="277" t="s">
        <v>376</v>
      </c>
      <c r="R50" s="277" t="s">
        <v>376</v>
      </c>
      <c r="S50" s="277" t="s">
        <v>376</v>
      </c>
      <c r="T50" s="277" t="s">
        <v>376</v>
      </c>
      <c r="U50" s="80">
        <v>9</v>
      </c>
      <c r="W50" t="s">
        <v>603</v>
      </c>
      <c r="X50" t="str">
        <f t="shared" si="1"/>
        <v>BR_SS.com</v>
      </c>
    </row>
    <row r="51" spans="1:24">
      <c r="A51" s="275" t="str">
        <f t="shared" si="0"/>
        <v>SE_ELGIGANTEN</v>
      </c>
      <c r="B51" s="276" t="s">
        <v>292</v>
      </c>
      <c r="C51" s="276" t="s">
        <v>293</v>
      </c>
      <c r="D51" s="277" t="s">
        <v>375</v>
      </c>
      <c r="E51" s="277" t="s">
        <v>375</v>
      </c>
      <c r="F51" s="277" t="s">
        <v>375</v>
      </c>
      <c r="G51" s="277" t="s">
        <v>375</v>
      </c>
      <c r="H51" s="277" t="s">
        <v>375</v>
      </c>
      <c r="I51" s="277" t="s">
        <v>375</v>
      </c>
      <c r="J51" s="277" t="s">
        <v>375</v>
      </c>
      <c r="K51" s="277" t="s">
        <v>376</v>
      </c>
      <c r="L51" s="277" t="s">
        <v>376</v>
      </c>
      <c r="M51" s="277" t="s">
        <v>376</v>
      </c>
      <c r="N51" s="277" t="s">
        <v>375</v>
      </c>
      <c r="O51" s="277" t="s">
        <v>375</v>
      </c>
      <c r="P51" s="277" t="s">
        <v>376</v>
      </c>
      <c r="Q51" s="277" t="s">
        <v>376</v>
      </c>
      <c r="R51" s="277" t="s">
        <v>376</v>
      </c>
      <c r="S51" s="277" t="s">
        <v>376</v>
      </c>
      <c r="T51" s="277" t="s">
        <v>376</v>
      </c>
      <c r="U51" s="80">
        <v>9</v>
      </c>
      <c r="W51" t="s">
        <v>604</v>
      </c>
      <c r="X51" t="str">
        <f t="shared" si="1"/>
        <v>BR_MERCADOLIVRE</v>
      </c>
    </row>
    <row r="52" spans="1:24">
      <c r="A52" s="275" t="str">
        <f t="shared" si="0"/>
        <v>SG_COURTS</v>
      </c>
      <c r="B52" s="276" t="s">
        <v>211</v>
      </c>
      <c r="C52" s="276" t="s">
        <v>212</v>
      </c>
      <c r="D52" s="277" t="s">
        <v>375</v>
      </c>
      <c r="E52" s="277" t="s">
        <v>375</v>
      </c>
      <c r="F52" s="277" t="s">
        <v>375</v>
      </c>
      <c r="G52" s="277" t="s">
        <v>376</v>
      </c>
      <c r="H52" s="277" t="s">
        <v>375</v>
      </c>
      <c r="I52" s="277" t="s">
        <v>375</v>
      </c>
      <c r="J52" s="277" t="s">
        <v>375</v>
      </c>
      <c r="K52" s="277" t="s">
        <v>375</v>
      </c>
      <c r="L52" s="277" t="s">
        <v>376</v>
      </c>
      <c r="M52" s="277" t="s">
        <v>375</v>
      </c>
      <c r="N52" s="277" t="s">
        <v>375</v>
      </c>
      <c r="O52" s="277" t="s">
        <v>375</v>
      </c>
      <c r="P52" s="277" t="s">
        <v>376</v>
      </c>
      <c r="Q52" s="277" t="s">
        <v>376</v>
      </c>
      <c r="R52" s="277" t="s">
        <v>376</v>
      </c>
      <c r="S52" s="277" t="s">
        <v>376</v>
      </c>
      <c r="T52" s="277" t="s">
        <v>376</v>
      </c>
      <c r="U52" s="80">
        <v>10</v>
      </c>
      <c r="W52" t="s">
        <v>605</v>
      </c>
      <c r="X52" t="str">
        <f t="shared" si="1"/>
        <v>BR_AMERICANAS</v>
      </c>
    </row>
    <row r="53" spans="1:24">
      <c r="A53" s="275" t="str">
        <f t="shared" si="0"/>
        <v>SG_HARVEYNORMAN</v>
      </c>
      <c r="B53" s="276" t="s">
        <v>211</v>
      </c>
      <c r="C53" s="276" t="s">
        <v>202</v>
      </c>
      <c r="D53" s="277" t="s">
        <v>375</v>
      </c>
      <c r="E53" s="277" t="s">
        <v>375</v>
      </c>
      <c r="F53" s="277" t="s">
        <v>375</v>
      </c>
      <c r="G53" s="277" t="s">
        <v>375</v>
      </c>
      <c r="H53" s="277" t="s">
        <v>376</v>
      </c>
      <c r="I53" s="277" t="s">
        <v>375</v>
      </c>
      <c r="J53" s="277" t="s">
        <v>375</v>
      </c>
      <c r="K53" s="277" t="s">
        <v>375</v>
      </c>
      <c r="L53" s="277" t="s">
        <v>375</v>
      </c>
      <c r="M53" s="277" t="s">
        <v>375</v>
      </c>
      <c r="N53" s="277" t="s">
        <v>375</v>
      </c>
      <c r="O53" s="277" t="s">
        <v>375</v>
      </c>
      <c r="P53" s="277" t="s">
        <v>375</v>
      </c>
      <c r="Q53" s="277" t="s">
        <v>376</v>
      </c>
      <c r="R53" s="277" t="s">
        <v>376</v>
      </c>
      <c r="S53" s="277" t="s">
        <v>375</v>
      </c>
      <c r="T53" s="277" t="s">
        <v>376</v>
      </c>
      <c r="U53" s="80">
        <v>13</v>
      </c>
      <c r="W53" t="s">
        <v>606</v>
      </c>
      <c r="X53" t="str">
        <f t="shared" si="1"/>
        <v>BR_MAGAZINELUIZA</v>
      </c>
    </row>
    <row r="54" spans="1:24">
      <c r="A54" s="275" t="str">
        <f t="shared" si="0"/>
        <v>SG_LAZADA</v>
      </c>
      <c r="B54" s="276" t="s">
        <v>211</v>
      </c>
      <c r="C54" s="276" t="s">
        <v>215</v>
      </c>
      <c r="D54" s="277" t="s">
        <v>375</v>
      </c>
      <c r="E54" s="277" t="s">
        <v>375</v>
      </c>
      <c r="F54" s="277" t="s">
        <v>375</v>
      </c>
      <c r="G54" s="277" t="s">
        <v>375</v>
      </c>
      <c r="H54" s="277" t="s">
        <v>376</v>
      </c>
      <c r="I54" s="277" t="s">
        <v>375</v>
      </c>
      <c r="J54" s="277" t="s">
        <v>375</v>
      </c>
      <c r="K54" s="277" t="s">
        <v>375</v>
      </c>
      <c r="L54" s="277" t="s">
        <v>376</v>
      </c>
      <c r="M54" s="277" t="s">
        <v>376</v>
      </c>
      <c r="N54" s="277" t="s">
        <v>376</v>
      </c>
      <c r="O54" s="277" t="s">
        <v>376</v>
      </c>
      <c r="P54" s="277" t="s">
        <v>376</v>
      </c>
      <c r="Q54" s="277" t="s">
        <v>376</v>
      </c>
      <c r="R54" s="277" t="s">
        <v>376</v>
      </c>
      <c r="S54" s="277" t="s">
        <v>376</v>
      </c>
      <c r="T54" s="277" t="s">
        <v>376</v>
      </c>
      <c r="U54" s="80">
        <v>7</v>
      </c>
      <c r="W54" t="s">
        <v>607</v>
      </c>
      <c r="X54" t="str">
        <f t="shared" si="1"/>
        <v>BR_AMAZON</v>
      </c>
    </row>
    <row r="55" spans="1:24">
      <c r="A55" s="275" t="str">
        <f t="shared" si="0"/>
        <v>TH_HOMEPRO</v>
      </c>
      <c r="B55" s="276" t="s">
        <v>230</v>
      </c>
      <c r="C55" s="276" t="s">
        <v>231</v>
      </c>
      <c r="D55" s="277" t="s">
        <v>375</v>
      </c>
      <c r="E55" s="277" t="s">
        <v>375</v>
      </c>
      <c r="F55" s="277" t="s">
        <v>375</v>
      </c>
      <c r="G55" s="277" t="s">
        <v>376</v>
      </c>
      <c r="H55" s="277" t="s">
        <v>375</v>
      </c>
      <c r="I55" s="277" t="s">
        <v>375</v>
      </c>
      <c r="J55" s="277" t="s">
        <v>375</v>
      </c>
      <c r="K55" s="277" t="s">
        <v>375</v>
      </c>
      <c r="L55" s="277" t="s">
        <v>375</v>
      </c>
      <c r="M55" s="277" t="s">
        <v>376</v>
      </c>
      <c r="N55" s="277" t="s">
        <v>376</v>
      </c>
      <c r="O55" s="277" t="s">
        <v>376</v>
      </c>
      <c r="P55" s="277" t="s">
        <v>376</v>
      </c>
      <c r="Q55" s="277" t="s">
        <v>376</v>
      </c>
      <c r="R55" s="277" t="s">
        <v>376</v>
      </c>
      <c r="S55" s="277" t="s">
        <v>376</v>
      </c>
      <c r="T55" s="277" t="s">
        <v>376</v>
      </c>
      <c r="U55" s="80">
        <v>8</v>
      </c>
      <c r="W55" t="s">
        <v>608</v>
      </c>
      <c r="X55" t="str">
        <f t="shared" si="1"/>
        <v>BR_LG.com</v>
      </c>
    </row>
    <row r="56" spans="1:24">
      <c r="A56" s="275" t="str">
        <f t="shared" si="0"/>
        <v>TH_LAZADA</v>
      </c>
      <c r="B56" s="276" t="s">
        <v>230</v>
      </c>
      <c r="C56" s="276" t="s">
        <v>215</v>
      </c>
      <c r="D56" s="277" t="s">
        <v>375</v>
      </c>
      <c r="E56" s="277" t="s">
        <v>375</v>
      </c>
      <c r="F56" s="277" t="s">
        <v>375</v>
      </c>
      <c r="G56" s="277" t="s">
        <v>375</v>
      </c>
      <c r="H56" s="277" t="s">
        <v>376</v>
      </c>
      <c r="I56" s="277" t="s">
        <v>375</v>
      </c>
      <c r="J56" s="277" t="s">
        <v>375</v>
      </c>
      <c r="K56" s="277" t="s">
        <v>375</v>
      </c>
      <c r="L56" s="277" t="s">
        <v>376</v>
      </c>
      <c r="M56" s="277" t="s">
        <v>376</v>
      </c>
      <c r="N56" s="277" t="s">
        <v>376</v>
      </c>
      <c r="O56" s="277" t="s">
        <v>376</v>
      </c>
      <c r="P56" s="277" t="s">
        <v>376</v>
      </c>
      <c r="Q56" s="277" t="s">
        <v>376</v>
      </c>
      <c r="R56" s="277" t="s">
        <v>376</v>
      </c>
      <c r="S56" s="277" t="s">
        <v>376</v>
      </c>
      <c r="T56" s="277" t="s">
        <v>376</v>
      </c>
      <c r="U56" s="80">
        <v>7</v>
      </c>
      <c r="W56" t="s">
        <v>609</v>
      </c>
      <c r="X56" t="str">
        <f t="shared" si="1"/>
        <v>BR_Pontofrio</v>
      </c>
    </row>
    <row r="57" spans="1:24">
      <c r="A57" s="275" t="str">
        <f t="shared" si="0"/>
        <v>TH_POWERBUY</v>
      </c>
      <c r="B57" s="276" t="s">
        <v>230</v>
      </c>
      <c r="C57" s="276" t="s">
        <v>233</v>
      </c>
      <c r="D57" s="277" t="s">
        <v>375</v>
      </c>
      <c r="E57" s="277" t="s">
        <v>375</v>
      </c>
      <c r="F57" s="277" t="s">
        <v>375</v>
      </c>
      <c r="G57" s="277" t="s">
        <v>376</v>
      </c>
      <c r="H57" s="277" t="s">
        <v>375</v>
      </c>
      <c r="I57" s="277" t="s">
        <v>375</v>
      </c>
      <c r="J57" s="277" t="s">
        <v>375</v>
      </c>
      <c r="K57" s="277" t="s">
        <v>375</v>
      </c>
      <c r="L57" s="277" t="s">
        <v>375</v>
      </c>
      <c r="M57" s="277" t="s">
        <v>376</v>
      </c>
      <c r="N57" s="277" t="s">
        <v>376</v>
      </c>
      <c r="O57" s="277" t="s">
        <v>376</v>
      </c>
      <c r="P57" s="277" t="s">
        <v>376</v>
      </c>
      <c r="Q57" s="277" t="s">
        <v>376</v>
      </c>
      <c r="R57" s="277" t="s">
        <v>376</v>
      </c>
      <c r="S57" s="277" t="s">
        <v>376</v>
      </c>
      <c r="T57" s="277" t="s">
        <v>376</v>
      </c>
      <c r="U57" s="80">
        <v>8</v>
      </c>
      <c r="W57" t="s">
        <v>610</v>
      </c>
      <c r="X57" t="str">
        <f t="shared" si="1"/>
        <v>BR_Fastshop</v>
      </c>
    </row>
    <row r="58" spans="1:24">
      <c r="A58" s="275" t="str">
        <f t="shared" si="0"/>
        <v>TW_MOMOSHOP</v>
      </c>
      <c r="B58" s="276" t="s">
        <v>218</v>
      </c>
      <c r="C58" s="276" t="s">
        <v>219</v>
      </c>
      <c r="D58" s="277" t="s">
        <v>375</v>
      </c>
      <c r="E58" s="277" t="s">
        <v>375</v>
      </c>
      <c r="F58" s="277" t="s">
        <v>375</v>
      </c>
      <c r="G58" s="277" t="s">
        <v>375</v>
      </c>
      <c r="H58" s="277" t="s">
        <v>376</v>
      </c>
      <c r="I58" s="277" t="s">
        <v>375</v>
      </c>
      <c r="J58" s="277" t="s">
        <v>375</v>
      </c>
      <c r="K58" s="277" t="s">
        <v>375</v>
      </c>
      <c r="L58" s="277" t="s">
        <v>375</v>
      </c>
      <c r="M58" s="277" t="s">
        <v>375</v>
      </c>
      <c r="N58" s="277" t="s">
        <v>376</v>
      </c>
      <c r="O58" s="277" t="s">
        <v>375</v>
      </c>
      <c r="P58" s="277" t="s">
        <v>375</v>
      </c>
      <c r="Q58" s="277" t="s">
        <v>376</v>
      </c>
      <c r="R58" s="277" t="s">
        <v>376</v>
      </c>
      <c r="S58" s="277" t="s">
        <v>375</v>
      </c>
      <c r="T58" s="277" t="s">
        <v>376</v>
      </c>
      <c r="U58" s="80">
        <v>12</v>
      </c>
      <c r="W58" t="s">
        <v>611</v>
      </c>
      <c r="X58" t="str">
        <f t="shared" si="1"/>
        <v>CL_FALABELLA</v>
      </c>
    </row>
    <row r="59" spans="1:24">
      <c r="A59" s="275" t="str">
        <f t="shared" si="0"/>
        <v>TW_PCHOME</v>
      </c>
      <c r="B59" s="276" t="s">
        <v>218</v>
      </c>
      <c r="C59" s="276" t="s">
        <v>222</v>
      </c>
      <c r="D59" s="277" t="s">
        <v>375</v>
      </c>
      <c r="E59" s="277" t="s">
        <v>375</v>
      </c>
      <c r="F59" s="277" t="s">
        <v>375</v>
      </c>
      <c r="G59" s="277" t="s">
        <v>375</v>
      </c>
      <c r="H59" s="277" t="s">
        <v>376</v>
      </c>
      <c r="I59" s="277" t="s">
        <v>375</v>
      </c>
      <c r="J59" s="277" t="s">
        <v>375</v>
      </c>
      <c r="K59" s="277" t="s">
        <v>375</v>
      </c>
      <c r="L59" s="277" t="s">
        <v>375</v>
      </c>
      <c r="M59" s="277" t="s">
        <v>376</v>
      </c>
      <c r="N59" s="277" t="s">
        <v>376</v>
      </c>
      <c r="O59" s="277" t="s">
        <v>375</v>
      </c>
      <c r="P59" s="277" t="s">
        <v>375</v>
      </c>
      <c r="Q59" s="277" t="s">
        <v>376</v>
      </c>
      <c r="R59" s="277" t="s">
        <v>376</v>
      </c>
      <c r="S59" s="277" t="s">
        <v>375</v>
      </c>
      <c r="T59" s="277" t="s">
        <v>376</v>
      </c>
      <c r="U59" s="80">
        <v>11</v>
      </c>
      <c r="W59" t="s">
        <v>612</v>
      </c>
      <c r="X59" t="str">
        <f t="shared" si="1"/>
        <v>MX_SS.com</v>
      </c>
    </row>
    <row r="60" spans="1:24">
      <c r="A60" s="275" t="str">
        <f t="shared" si="0"/>
        <v>UK_AMAZON</v>
      </c>
      <c r="B60" s="276" t="s">
        <v>27</v>
      </c>
      <c r="C60" s="276" t="s">
        <v>262</v>
      </c>
      <c r="D60" s="277" t="s">
        <v>375</v>
      </c>
      <c r="E60" s="277" t="s">
        <v>375</v>
      </c>
      <c r="F60" s="277" t="s">
        <v>375</v>
      </c>
      <c r="G60" s="277" t="s">
        <v>375</v>
      </c>
      <c r="H60" s="277" t="s">
        <v>376</v>
      </c>
      <c r="I60" s="277" t="s">
        <v>375</v>
      </c>
      <c r="J60" s="277" t="s">
        <v>375</v>
      </c>
      <c r="K60" s="277" t="s">
        <v>375</v>
      </c>
      <c r="L60" s="277" t="s">
        <v>376</v>
      </c>
      <c r="M60" s="277" t="s">
        <v>376</v>
      </c>
      <c r="N60" s="277" t="s">
        <v>376</v>
      </c>
      <c r="O60" s="277" t="s">
        <v>376</v>
      </c>
      <c r="P60" s="277" t="s">
        <v>375</v>
      </c>
      <c r="Q60" s="277" t="s">
        <v>376</v>
      </c>
      <c r="R60" s="277" t="s">
        <v>376</v>
      </c>
      <c r="S60" s="277" t="s">
        <v>376</v>
      </c>
      <c r="T60" s="277" t="s">
        <v>376</v>
      </c>
      <c r="U60" s="80">
        <v>8</v>
      </c>
      <c r="W60" t="s">
        <v>613</v>
      </c>
      <c r="X60" t="str">
        <f t="shared" si="1"/>
        <v>MX_LIVERPOOL</v>
      </c>
    </row>
    <row r="61" spans="1:24">
      <c r="A61" s="275" t="str">
        <f t="shared" si="0"/>
        <v>UK_AO</v>
      </c>
      <c r="B61" s="276" t="s">
        <v>27</v>
      </c>
      <c r="C61" s="276" t="s">
        <v>297</v>
      </c>
      <c r="D61" s="277" t="s">
        <v>375</v>
      </c>
      <c r="E61" s="277" t="s">
        <v>375</v>
      </c>
      <c r="F61" s="277" t="s">
        <v>375</v>
      </c>
      <c r="G61" s="277" t="s">
        <v>375</v>
      </c>
      <c r="H61" s="277" t="s">
        <v>376</v>
      </c>
      <c r="I61" s="277" t="s">
        <v>375</v>
      </c>
      <c r="J61" s="277" t="s">
        <v>375</v>
      </c>
      <c r="K61" s="277" t="s">
        <v>375</v>
      </c>
      <c r="L61" s="277" t="s">
        <v>376</v>
      </c>
      <c r="M61" s="277" t="s">
        <v>376</v>
      </c>
      <c r="N61" s="277" t="s">
        <v>375</v>
      </c>
      <c r="O61" s="277" t="s">
        <v>376</v>
      </c>
      <c r="P61" s="277" t="s">
        <v>376</v>
      </c>
      <c r="Q61" s="277" t="s">
        <v>376</v>
      </c>
      <c r="R61" s="277" t="s">
        <v>376</v>
      </c>
      <c r="S61" s="277" t="s">
        <v>376</v>
      </c>
      <c r="T61" s="277" t="s">
        <v>376</v>
      </c>
      <c r="U61" s="80">
        <v>8</v>
      </c>
      <c r="W61" t="s">
        <v>614</v>
      </c>
      <c r="X61" t="str">
        <f t="shared" si="1"/>
        <v>SA_EXTRA</v>
      </c>
    </row>
    <row r="62" spans="1:24">
      <c r="A62" s="275" t="str">
        <f t="shared" si="0"/>
        <v>UK_CURRYS</v>
      </c>
      <c r="B62" s="276" t="s">
        <v>27</v>
      </c>
      <c r="C62" s="276" t="s">
        <v>615</v>
      </c>
      <c r="D62" s="277" t="s">
        <v>375</v>
      </c>
      <c r="E62" s="277" t="s">
        <v>375</v>
      </c>
      <c r="F62" s="277" t="s">
        <v>375</v>
      </c>
      <c r="G62" s="277" t="s">
        <v>375</v>
      </c>
      <c r="H62" s="277" t="s">
        <v>376</v>
      </c>
      <c r="I62" s="277" t="s">
        <v>375</v>
      </c>
      <c r="J62" s="277" t="s">
        <v>375</v>
      </c>
      <c r="K62" s="277" t="s">
        <v>375</v>
      </c>
      <c r="L62" s="277" t="s">
        <v>376</v>
      </c>
      <c r="M62" s="277" t="s">
        <v>376</v>
      </c>
      <c r="N62" s="277" t="s">
        <v>375</v>
      </c>
      <c r="O62" s="277" t="s">
        <v>376</v>
      </c>
      <c r="P62" s="277" t="s">
        <v>375</v>
      </c>
      <c r="Q62" s="277" t="s">
        <v>376</v>
      </c>
      <c r="R62" s="277" t="s">
        <v>376</v>
      </c>
      <c r="S62" s="277" t="s">
        <v>376</v>
      </c>
      <c r="T62" s="277" t="s">
        <v>376</v>
      </c>
      <c r="U62" s="80">
        <v>9</v>
      </c>
      <c r="W62" t="s">
        <v>616</v>
      </c>
      <c r="X62" t="str">
        <f t="shared" si="1"/>
        <v>CA_SS.com</v>
      </c>
    </row>
    <row r="63" spans="1:24">
      <c r="A63" s="275" t="str">
        <f t="shared" si="0"/>
        <v>UK_SS.com</v>
      </c>
      <c r="B63" s="276" t="s">
        <v>27</v>
      </c>
      <c r="C63" s="276" t="s">
        <v>184</v>
      </c>
      <c r="D63" s="277" t="s">
        <v>375</v>
      </c>
      <c r="E63" s="277" t="s">
        <v>375</v>
      </c>
      <c r="F63" s="277" t="s">
        <v>375</v>
      </c>
      <c r="G63" s="277" t="s">
        <v>375</v>
      </c>
      <c r="H63" s="277" t="s">
        <v>375</v>
      </c>
      <c r="I63" s="277" t="s">
        <v>376</v>
      </c>
      <c r="J63" s="277" t="s">
        <v>376</v>
      </c>
      <c r="K63" s="277" t="s">
        <v>376</v>
      </c>
      <c r="L63" s="277" t="s">
        <v>376</v>
      </c>
      <c r="M63" s="277" t="s">
        <v>376</v>
      </c>
      <c r="N63" s="277" t="s">
        <v>376</v>
      </c>
      <c r="O63" s="277" t="s">
        <v>375</v>
      </c>
      <c r="P63" s="277" t="s">
        <v>376</v>
      </c>
      <c r="Q63" s="277" t="s">
        <v>376</v>
      </c>
      <c r="R63" s="277" t="s">
        <v>376</v>
      </c>
      <c r="S63" s="277" t="s">
        <v>376</v>
      </c>
      <c r="T63" s="277" t="s">
        <v>376</v>
      </c>
      <c r="U63" s="80">
        <v>6</v>
      </c>
      <c r="W63" t="s">
        <v>617</v>
      </c>
      <c r="X63" t="str">
        <f t="shared" si="1"/>
        <v>CA_AMAZON</v>
      </c>
    </row>
    <row r="64" spans="1:24">
      <c r="A64" s="275" t="str">
        <f t="shared" si="0"/>
        <v>US_AMAZON_LG</v>
      </c>
      <c r="B64" s="276" t="s">
        <v>359</v>
      </c>
      <c r="C64" s="276" t="s">
        <v>303</v>
      </c>
      <c r="D64" s="277" t="s">
        <v>375</v>
      </c>
      <c r="E64" s="277" t="s">
        <v>375</v>
      </c>
      <c r="F64" s="277" t="s">
        <v>375</v>
      </c>
      <c r="G64" s="277" t="s">
        <v>375</v>
      </c>
      <c r="H64" s="277" t="s">
        <v>375</v>
      </c>
      <c r="I64" s="277" t="s">
        <v>375</v>
      </c>
      <c r="J64" s="277" t="s">
        <v>375</v>
      </c>
      <c r="K64" s="277" t="s">
        <v>375</v>
      </c>
      <c r="L64" s="277" t="s">
        <v>376</v>
      </c>
      <c r="M64" s="277" t="s">
        <v>375</v>
      </c>
      <c r="N64" s="277" t="s">
        <v>375</v>
      </c>
      <c r="O64" s="277" t="s">
        <v>375</v>
      </c>
      <c r="P64" s="277" t="s">
        <v>375</v>
      </c>
      <c r="Q64" s="277" t="s">
        <v>376</v>
      </c>
      <c r="R64" s="277" t="s">
        <v>375</v>
      </c>
      <c r="S64" s="277" t="s">
        <v>375</v>
      </c>
      <c r="T64" s="277" t="s">
        <v>376</v>
      </c>
      <c r="U64" s="80">
        <v>14</v>
      </c>
      <c r="W64" t="s">
        <v>618</v>
      </c>
      <c r="X64" t="str">
        <f t="shared" si="1"/>
        <v>CA_BESTBUY</v>
      </c>
    </row>
    <row r="65" spans="1:24">
      <c r="A65" s="275" t="str">
        <f t="shared" si="0"/>
        <v>US_BESTBUY_LG</v>
      </c>
      <c r="B65" s="276" t="s">
        <v>359</v>
      </c>
      <c r="C65" s="276" t="s">
        <v>362</v>
      </c>
      <c r="D65" s="277" t="s">
        <v>375</v>
      </c>
      <c r="E65" s="277" t="s">
        <v>375</v>
      </c>
      <c r="F65" s="277" t="s">
        <v>375</v>
      </c>
      <c r="G65" s="277" t="s">
        <v>375</v>
      </c>
      <c r="H65" s="277" t="s">
        <v>376</v>
      </c>
      <c r="I65" s="277" t="s">
        <v>375</v>
      </c>
      <c r="J65" s="277" t="s">
        <v>375</v>
      </c>
      <c r="K65" s="277" t="s">
        <v>375</v>
      </c>
      <c r="L65" s="277" t="s">
        <v>376</v>
      </c>
      <c r="M65" s="277" t="s">
        <v>375</v>
      </c>
      <c r="N65" s="277" t="s">
        <v>375</v>
      </c>
      <c r="O65" s="277" t="s">
        <v>375</v>
      </c>
      <c r="P65" s="277" t="s">
        <v>376</v>
      </c>
      <c r="Q65" s="277" t="s">
        <v>376</v>
      </c>
      <c r="R65" s="277" t="s">
        <v>375</v>
      </c>
      <c r="S65" s="277" t="s">
        <v>375</v>
      </c>
      <c r="T65" s="277" t="s">
        <v>376</v>
      </c>
      <c r="U65" s="80">
        <v>12</v>
      </c>
      <c r="W65" t="s">
        <v>619</v>
      </c>
      <c r="X65" t="str">
        <f t="shared" si="1"/>
        <v>CA_COSTCO</v>
      </c>
    </row>
    <row r="66" spans="1:24">
      <c r="A66" s="275" t="str">
        <f t="shared" si="0"/>
        <v>US_COSTCO_LG</v>
      </c>
      <c r="B66" s="276" t="s">
        <v>359</v>
      </c>
      <c r="C66" s="276" t="s">
        <v>620</v>
      </c>
      <c r="D66" s="277" t="s">
        <v>375</v>
      </c>
      <c r="E66" s="277" t="s">
        <v>375</v>
      </c>
      <c r="F66" s="277" t="s">
        <v>375</v>
      </c>
      <c r="G66" s="277" t="s">
        <v>375</v>
      </c>
      <c r="H66" s="277" t="s">
        <v>376</v>
      </c>
      <c r="I66" s="277" t="s">
        <v>375</v>
      </c>
      <c r="J66" s="277" t="s">
        <v>375</v>
      </c>
      <c r="K66" s="277" t="s">
        <v>375</v>
      </c>
      <c r="L66" s="277" t="s">
        <v>376</v>
      </c>
      <c r="M66" s="277" t="s">
        <v>375</v>
      </c>
      <c r="N66" s="277" t="s">
        <v>376</v>
      </c>
      <c r="O66" s="277" t="s">
        <v>375</v>
      </c>
      <c r="P66" s="277" t="s">
        <v>375</v>
      </c>
      <c r="Q66" s="277" t="s">
        <v>376</v>
      </c>
      <c r="R66" s="277" t="s">
        <v>375</v>
      </c>
      <c r="S66" s="277" t="s">
        <v>375</v>
      </c>
      <c r="T66" s="277" t="s">
        <v>376</v>
      </c>
      <c r="U66" s="80">
        <v>12</v>
      </c>
      <c r="W66" t="s">
        <v>621</v>
      </c>
      <c r="X66" t="str">
        <f t="shared" si="1"/>
        <v>CA_HOMEDEPOT</v>
      </c>
    </row>
    <row r="67" spans="1:24">
      <c r="A67" s="275" t="str">
        <f t="shared" si="0"/>
        <v>US_SS.com</v>
      </c>
      <c r="B67" s="276" t="s">
        <v>359</v>
      </c>
      <c r="C67" s="276" t="s">
        <v>184</v>
      </c>
      <c r="D67" s="277" t="s">
        <v>375</v>
      </c>
      <c r="E67" s="277" t="s">
        <v>375</v>
      </c>
      <c r="F67" s="277" t="s">
        <v>375</v>
      </c>
      <c r="G67" s="277" t="s">
        <v>375</v>
      </c>
      <c r="H67" s="277" t="s">
        <v>375</v>
      </c>
      <c r="I67" s="277" t="s">
        <v>376</v>
      </c>
      <c r="J67" s="277" t="s">
        <v>376</v>
      </c>
      <c r="K67" s="277" t="s">
        <v>376</v>
      </c>
      <c r="L67" s="277" t="s">
        <v>376</v>
      </c>
      <c r="M67" s="277" t="s">
        <v>376</v>
      </c>
      <c r="N67" s="277" t="s">
        <v>376</v>
      </c>
      <c r="O67" s="277" t="s">
        <v>375</v>
      </c>
      <c r="P67" s="277" t="s">
        <v>376</v>
      </c>
      <c r="Q67" s="277" t="s">
        <v>376</v>
      </c>
      <c r="R67" s="277" t="s">
        <v>376</v>
      </c>
      <c r="S67" s="277" t="s">
        <v>376</v>
      </c>
      <c r="T67" s="277" t="s">
        <v>376</v>
      </c>
      <c r="U67" s="80">
        <v>6</v>
      </c>
      <c r="W67" t="s">
        <v>622</v>
      </c>
      <c r="X67" t="str">
        <f t="shared" si="1"/>
        <v>CA_THEBRICK</v>
      </c>
    </row>
    <row r="68" spans="1:24">
      <c r="A68" s="275" t="str">
        <f t="shared" si="0"/>
        <v>VN_CAOPHONG</v>
      </c>
      <c r="B68" s="276" t="s">
        <v>237</v>
      </c>
      <c r="C68" s="276" t="s">
        <v>238</v>
      </c>
      <c r="D68" s="277" t="s">
        <v>375</v>
      </c>
      <c r="E68" s="277" t="s">
        <v>375</v>
      </c>
      <c r="F68" s="277" t="s">
        <v>375</v>
      </c>
      <c r="G68" s="277" t="s">
        <v>376</v>
      </c>
      <c r="H68" s="277" t="s">
        <v>375</v>
      </c>
      <c r="I68" s="277" t="s">
        <v>375</v>
      </c>
      <c r="J68" s="277" t="s">
        <v>375</v>
      </c>
      <c r="K68" s="277" t="s">
        <v>375</v>
      </c>
      <c r="L68" s="277" t="s">
        <v>375</v>
      </c>
      <c r="M68" s="277" t="s">
        <v>376</v>
      </c>
      <c r="N68" s="277" t="s">
        <v>376</v>
      </c>
      <c r="O68" s="277" t="s">
        <v>375</v>
      </c>
      <c r="P68" s="277" t="s">
        <v>376</v>
      </c>
      <c r="Q68" s="277" t="s">
        <v>376</v>
      </c>
      <c r="R68" s="277" t="s">
        <v>376</v>
      </c>
      <c r="S68" s="277" t="s">
        <v>375</v>
      </c>
      <c r="T68" s="277" t="s">
        <v>376</v>
      </c>
      <c r="U68" s="80">
        <v>10</v>
      </c>
      <c r="W68" t="s">
        <v>623</v>
      </c>
      <c r="X68" t="str">
        <f t="shared" si="1"/>
        <v>US_SS.com</v>
      </c>
    </row>
    <row r="69" spans="1:24">
      <c r="A69" s="275" t="str">
        <f t="shared" si="0"/>
        <v>VN_DIENMAYXANH</v>
      </c>
      <c r="B69" s="276" t="s">
        <v>237</v>
      </c>
      <c r="C69" s="276" t="s">
        <v>240</v>
      </c>
      <c r="D69" s="277" t="s">
        <v>375</v>
      </c>
      <c r="E69" s="277" t="s">
        <v>375</v>
      </c>
      <c r="F69" s="277" t="s">
        <v>375</v>
      </c>
      <c r="G69" s="277" t="s">
        <v>376</v>
      </c>
      <c r="H69" s="277" t="s">
        <v>375</v>
      </c>
      <c r="I69" s="277" t="s">
        <v>375</v>
      </c>
      <c r="J69" s="277" t="s">
        <v>375</v>
      </c>
      <c r="K69" s="277" t="s">
        <v>375</v>
      </c>
      <c r="L69" s="277" t="s">
        <v>376</v>
      </c>
      <c r="M69" s="277" t="s">
        <v>376</v>
      </c>
      <c r="N69" s="277" t="s">
        <v>376</v>
      </c>
      <c r="O69" s="277" t="s">
        <v>376</v>
      </c>
      <c r="P69" s="277" t="s">
        <v>376</v>
      </c>
      <c r="Q69" s="277" t="s">
        <v>376</v>
      </c>
      <c r="R69" s="277" t="s">
        <v>376</v>
      </c>
      <c r="S69" s="277" t="s">
        <v>375</v>
      </c>
      <c r="T69" s="277" t="s">
        <v>376</v>
      </c>
      <c r="U69" s="80">
        <v>8</v>
      </c>
      <c r="W69" t="s">
        <v>624</v>
      </c>
      <c r="X69" t="str">
        <f t="shared" si="1"/>
        <v>US_AMAZON_LG</v>
      </c>
    </row>
    <row r="70" spans="1:24">
      <c r="A70" s="275" t="str">
        <f t="shared" si="0"/>
        <v>VN_MEDIAMART</v>
      </c>
      <c r="B70" s="276" t="s">
        <v>237</v>
      </c>
      <c r="C70" s="276" t="s">
        <v>242</v>
      </c>
      <c r="D70" s="277" t="s">
        <v>375</v>
      </c>
      <c r="E70" s="277" t="s">
        <v>375</v>
      </c>
      <c r="F70" s="277" t="s">
        <v>375</v>
      </c>
      <c r="G70" s="277" t="s">
        <v>375</v>
      </c>
      <c r="H70" s="277" t="s">
        <v>375</v>
      </c>
      <c r="I70" s="277" t="s">
        <v>375</v>
      </c>
      <c r="J70" s="277" t="s">
        <v>375</v>
      </c>
      <c r="K70" s="277" t="s">
        <v>375</v>
      </c>
      <c r="L70" s="277" t="s">
        <v>375</v>
      </c>
      <c r="M70" s="277" t="s">
        <v>376</v>
      </c>
      <c r="N70" s="277" t="s">
        <v>376</v>
      </c>
      <c r="O70" s="277" t="s">
        <v>375</v>
      </c>
      <c r="P70" s="277" t="s">
        <v>376</v>
      </c>
      <c r="Q70" s="277" t="s">
        <v>376</v>
      </c>
      <c r="R70" s="277" t="s">
        <v>376</v>
      </c>
      <c r="S70" s="277" t="s">
        <v>375</v>
      </c>
      <c r="T70" s="277" t="s">
        <v>376</v>
      </c>
      <c r="U70" s="80">
        <v>11</v>
      </c>
      <c r="W70" t="s">
        <v>625</v>
      </c>
      <c r="X70" t="str">
        <f t="shared" si="1"/>
        <v>US_BESTBUY_LG</v>
      </c>
    </row>
    <row r="71" spans="1:24">
      <c r="A71" t="s">
        <v>609</v>
      </c>
      <c r="D71" s="278" t="s">
        <v>375</v>
      </c>
      <c r="E71" s="278" t="s">
        <v>375</v>
      </c>
      <c r="F71" s="278" t="s">
        <v>375</v>
      </c>
      <c r="G71" s="278" t="s">
        <v>375</v>
      </c>
      <c r="H71" s="278" t="s">
        <v>375</v>
      </c>
      <c r="I71" s="278" t="s">
        <v>375</v>
      </c>
      <c r="J71" s="278" t="s">
        <v>375</v>
      </c>
      <c r="K71" s="278" t="s">
        <v>375</v>
      </c>
      <c r="L71" s="278" t="s">
        <v>376</v>
      </c>
      <c r="M71" s="278" t="s">
        <v>376</v>
      </c>
      <c r="N71" s="278" t="s">
        <v>376</v>
      </c>
      <c r="O71" s="278" t="s">
        <v>376</v>
      </c>
      <c r="P71" s="278" t="s">
        <v>376</v>
      </c>
      <c r="Q71" s="278" t="s">
        <v>376</v>
      </c>
      <c r="R71" s="278" t="s">
        <v>376</v>
      </c>
      <c r="S71" s="278" t="s">
        <v>376</v>
      </c>
      <c r="T71" s="278" t="s">
        <v>376</v>
      </c>
      <c r="W71" t="s">
        <v>626</v>
      </c>
      <c r="X71" t="str">
        <f t="shared" si="1"/>
        <v>US_COSTCO_LG</v>
      </c>
    </row>
    <row r="72" spans="1:24">
      <c r="A72" t="s">
        <v>610</v>
      </c>
      <c r="D72" s="278" t="s">
        <v>375</v>
      </c>
      <c r="E72" s="278" t="s">
        <v>375</v>
      </c>
      <c r="F72" s="278" t="s">
        <v>375</v>
      </c>
      <c r="G72" s="278" t="s">
        <v>375</v>
      </c>
      <c r="H72" s="278" t="s">
        <v>375</v>
      </c>
      <c r="I72" s="278" t="s">
        <v>375</v>
      </c>
      <c r="J72" s="278" t="s">
        <v>375</v>
      </c>
      <c r="K72" s="278" t="s">
        <v>375</v>
      </c>
      <c r="L72" s="278" t="s">
        <v>376</v>
      </c>
      <c r="M72" s="278" t="s">
        <v>376</v>
      </c>
      <c r="N72" s="278" t="s">
        <v>376</v>
      </c>
      <c r="O72" s="278" t="s">
        <v>376</v>
      </c>
      <c r="P72" s="278" t="s">
        <v>376</v>
      </c>
      <c r="Q72" s="278" t="s">
        <v>376</v>
      </c>
      <c r="R72" s="278" t="s">
        <v>376</v>
      </c>
      <c r="S72" s="278" t="s">
        <v>376</v>
      </c>
      <c r="T72" s="278" t="s">
        <v>376</v>
      </c>
    </row>
    <row r="73" spans="1:24">
      <c r="A73" t="s">
        <v>627</v>
      </c>
      <c r="D73" s="278" t="s">
        <v>375</v>
      </c>
      <c r="E73" s="278" t="s">
        <v>375</v>
      </c>
      <c r="F73" s="278" t="s">
        <v>375</v>
      </c>
      <c r="G73" s="278" t="s">
        <v>375</v>
      </c>
      <c r="H73" s="278" t="s">
        <v>375</v>
      </c>
      <c r="I73" s="278" t="s">
        <v>375</v>
      </c>
      <c r="J73" s="278" t="s">
        <v>375</v>
      </c>
      <c r="K73" s="278" t="s">
        <v>375</v>
      </c>
      <c r="L73" s="278" t="s">
        <v>376</v>
      </c>
      <c r="M73" s="278" t="s">
        <v>376</v>
      </c>
      <c r="N73" s="278" t="s">
        <v>376</v>
      </c>
      <c r="O73" s="278" t="s">
        <v>376</v>
      </c>
      <c r="P73" s="278" t="s">
        <v>376</v>
      </c>
      <c r="Q73" s="278" t="s">
        <v>376</v>
      </c>
      <c r="R73" s="278" t="s">
        <v>376</v>
      </c>
      <c r="S73" s="278" t="s">
        <v>376</v>
      </c>
      <c r="T73" s="278" t="s">
        <v>376</v>
      </c>
    </row>
    <row r="84" spans="4:20">
      <c r="D84" s="277" t="s">
        <v>375</v>
      </c>
      <c r="E84" s="277" t="s">
        <v>375</v>
      </c>
      <c r="F84" s="277" t="s">
        <v>375</v>
      </c>
      <c r="G84" s="277" t="s">
        <v>375</v>
      </c>
      <c r="H84" s="277" t="s">
        <v>375</v>
      </c>
      <c r="I84" s="277" t="s">
        <v>376</v>
      </c>
      <c r="J84" s="277" t="s">
        <v>376</v>
      </c>
      <c r="K84" s="277" t="s">
        <v>376</v>
      </c>
      <c r="L84" s="277" t="s">
        <v>376</v>
      </c>
      <c r="M84" s="277" t="s">
        <v>376</v>
      </c>
      <c r="N84" s="277" t="s">
        <v>376</v>
      </c>
      <c r="O84" s="277" t="s">
        <v>375</v>
      </c>
      <c r="P84" s="277" t="s">
        <v>376</v>
      </c>
      <c r="Q84" s="277" t="s">
        <v>376</v>
      </c>
      <c r="R84" s="277" t="s">
        <v>376</v>
      </c>
      <c r="S84" s="277" t="s">
        <v>376</v>
      </c>
      <c r="T84" s="277" t="s">
        <v>376</v>
      </c>
    </row>
    <row r="85" spans="4:20">
      <c r="D85" s="277" t="s">
        <v>375</v>
      </c>
      <c r="E85" s="277" t="s">
        <v>375</v>
      </c>
      <c r="F85" s="277" t="s">
        <v>375</v>
      </c>
      <c r="G85" s="277" t="s">
        <v>375</v>
      </c>
      <c r="H85" s="277" t="s">
        <v>375</v>
      </c>
      <c r="I85" s="277" t="s">
        <v>376</v>
      </c>
      <c r="J85" s="277" t="s">
        <v>376</v>
      </c>
      <c r="K85" s="277" t="s">
        <v>376</v>
      </c>
      <c r="L85" s="277" t="s">
        <v>376</v>
      </c>
      <c r="M85" s="277" t="s">
        <v>376</v>
      </c>
      <c r="N85" s="277" t="s">
        <v>376</v>
      </c>
      <c r="O85" s="277" t="s">
        <v>375</v>
      </c>
      <c r="P85" s="277" t="s">
        <v>376</v>
      </c>
      <c r="Q85" s="277" t="s">
        <v>376</v>
      </c>
      <c r="R85" s="277" t="s">
        <v>376</v>
      </c>
      <c r="S85" s="277" t="s">
        <v>376</v>
      </c>
      <c r="T85" s="277" t="s">
        <v>376</v>
      </c>
    </row>
    <row r="86" spans="4:20">
      <c r="D86" t="b">
        <f>D85=D84</f>
        <v>1</v>
      </c>
      <c r="E86" t="b">
        <f t="shared" ref="E86:T86" si="2">E85=E84</f>
        <v>1</v>
      </c>
      <c r="F86" t="b">
        <f t="shared" si="2"/>
        <v>1</v>
      </c>
      <c r="G86" t="b">
        <f t="shared" si="2"/>
        <v>1</v>
      </c>
      <c r="H86" t="b">
        <f t="shared" si="2"/>
        <v>1</v>
      </c>
      <c r="I86" t="b">
        <f t="shared" si="2"/>
        <v>1</v>
      </c>
      <c r="J86" t="b">
        <f t="shared" si="2"/>
        <v>1</v>
      </c>
      <c r="K86" t="b">
        <f t="shared" si="2"/>
        <v>1</v>
      </c>
      <c r="L86" t="b">
        <f t="shared" si="2"/>
        <v>1</v>
      </c>
      <c r="M86" t="b">
        <f t="shared" si="2"/>
        <v>1</v>
      </c>
      <c r="N86" t="b">
        <f t="shared" si="2"/>
        <v>1</v>
      </c>
      <c r="O86" t="b">
        <f t="shared" si="2"/>
        <v>1</v>
      </c>
      <c r="P86" t="b">
        <f t="shared" si="2"/>
        <v>1</v>
      </c>
      <c r="Q86" t="b">
        <f t="shared" si="2"/>
        <v>1</v>
      </c>
      <c r="R86" t="b">
        <f t="shared" si="2"/>
        <v>1</v>
      </c>
      <c r="S86" t="b">
        <f t="shared" si="2"/>
        <v>1</v>
      </c>
      <c r="T86" t="b">
        <f t="shared" si="2"/>
        <v>1</v>
      </c>
    </row>
    <row r="90" spans="4:20">
      <c r="D90" t="s">
        <v>375</v>
      </c>
      <c r="E90" t="s">
        <v>375</v>
      </c>
      <c r="F90" t="s">
        <v>375</v>
      </c>
      <c r="G90" t="s">
        <v>375</v>
      </c>
      <c r="H90" t="s">
        <v>376</v>
      </c>
      <c r="I90" t="s">
        <v>376</v>
      </c>
      <c r="J90" t="s">
        <v>376</v>
      </c>
      <c r="K90" t="s">
        <v>376</v>
      </c>
      <c r="L90" t="s">
        <v>376</v>
      </c>
      <c r="M90" t="s">
        <v>376</v>
      </c>
      <c r="N90" t="s">
        <v>376</v>
      </c>
      <c r="O90" t="s">
        <v>376</v>
      </c>
      <c r="P90" t="s">
        <v>375</v>
      </c>
      <c r="Q90" t="s">
        <v>376</v>
      </c>
      <c r="R90" t="s">
        <v>375</v>
      </c>
      <c r="S90" t="s">
        <v>376</v>
      </c>
      <c r="T90" t="s">
        <v>376</v>
      </c>
    </row>
    <row r="91" spans="4:20">
      <c r="D91" t="s">
        <v>375</v>
      </c>
      <c r="E91" t="s">
        <v>375</v>
      </c>
      <c r="F91" t="s">
        <v>375</v>
      </c>
      <c r="G91" t="s">
        <v>375</v>
      </c>
      <c r="H91" t="s">
        <v>376</v>
      </c>
      <c r="I91" t="s">
        <v>376</v>
      </c>
      <c r="J91" t="s">
        <v>376</v>
      </c>
      <c r="K91" t="s">
        <v>376</v>
      </c>
      <c r="L91" t="s">
        <v>376</v>
      </c>
      <c r="M91" t="s">
        <v>376</v>
      </c>
      <c r="N91" t="s">
        <v>376</v>
      </c>
      <c r="O91" t="s">
        <v>376</v>
      </c>
      <c r="P91" t="s">
        <v>375</v>
      </c>
      <c r="Q91" t="s">
        <v>376</v>
      </c>
      <c r="R91" t="s">
        <v>375</v>
      </c>
      <c r="S91" t="s">
        <v>376</v>
      </c>
      <c r="T91" t="s">
        <v>376</v>
      </c>
    </row>
    <row r="92" spans="4:20">
      <c r="D92" t="b">
        <f>D91=D90</f>
        <v>1</v>
      </c>
      <c r="E92" t="b">
        <f t="shared" ref="E92:T92" si="3">E91=E90</f>
        <v>1</v>
      </c>
      <c r="F92" t="b">
        <f t="shared" si="3"/>
        <v>1</v>
      </c>
      <c r="G92" t="b">
        <f t="shared" si="3"/>
        <v>1</v>
      </c>
      <c r="H92" t="b">
        <f t="shared" si="3"/>
        <v>1</v>
      </c>
      <c r="I92" t="b">
        <f t="shared" si="3"/>
        <v>1</v>
      </c>
      <c r="J92" t="b">
        <f t="shared" si="3"/>
        <v>1</v>
      </c>
      <c r="K92" t="b">
        <f t="shared" si="3"/>
        <v>1</v>
      </c>
      <c r="L92" t="b">
        <f t="shared" si="3"/>
        <v>1</v>
      </c>
      <c r="M92" t="b">
        <f t="shared" si="3"/>
        <v>1</v>
      </c>
      <c r="N92" t="b">
        <f t="shared" si="3"/>
        <v>1</v>
      </c>
      <c r="O92" t="b">
        <f t="shared" si="3"/>
        <v>1</v>
      </c>
      <c r="P92" t="b">
        <f t="shared" si="3"/>
        <v>1</v>
      </c>
      <c r="Q92" t="b">
        <f t="shared" si="3"/>
        <v>1</v>
      </c>
      <c r="R92" t="b">
        <f t="shared" si="3"/>
        <v>1</v>
      </c>
      <c r="S92" t="b">
        <f t="shared" si="3"/>
        <v>1</v>
      </c>
      <c r="T92" t="b">
        <f t="shared" si="3"/>
        <v>1</v>
      </c>
    </row>
    <row r="97" spans="4:20"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D4A4-00D6-48A3-8609-C6A6349EA1DF}">
  <sheetPr>
    <pageSetUpPr autoPageBreaks="0"/>
  </sheetPr>
  <dimension ref="B1:N38"/>
  <sheetViews>
    <sheetView showGridLines="0" zoomScaleNormal="100" workbookViewId="0">
      <pane xSplit="1" ySplit="10" topLeftCell="B24" activePane="bottomRight" state="frozen"/>
      <selection pane="topRight"/>
      <selection pane="bottomLeft"/>
      <selection pane="bottomRight" activeCell="C57" sqref="C57"/>
    </sheetView>
  </sheetViews>
  <sheetFormatPr defaultColWidth="9" defaultRowHeight="13.8"/>
  <cols>
    <col min="1" max="1" width="2.69921875" style="3" customWidth="1"/>
    <col min="2" max="2" width="14" style="3" customWidth="1"/>
    <col min="3" max="3" width="29.3984375" style="3" customWidth="1"/>
    <col min="4" max="4" width="16.3984375" style="11" customWidth="1"/>
    <col min="5" max="5" width="12.69921875" style="11" customWidth="1"/>
    <col min="6" max="6" width="9" style="11" customWidth="1"/>
    <col min="7" max="7" width="15.59765625" style="12" customWidth="1"/>
    <col min="8" max="8" width="12.09765625" style="12" customWidth="1"/>
    <col min="9" max="10" width="12.69921875" style="11" customWidth="1"/>
    <col min="11" max="11" width="21" style="11" customWidth="1"/>
    <col min="12" max="12" width="29.3984375" style="11" customWidth="1"/>
    <col min="13" max="13" width="22.59765625" style="11" customWidth="1"/>
    <col min="14" max="14" width="67.59765625" style="11" customWidth="1"/>
    <col min="15" max="16384" width="9" style="3"/>
  </cols>
  <sheetData>
    <row r="1" spans="2:14" ht="15.9" customHeight="1"/>
    <row r="2" spans="2:14" s="13" customFormat="1" ht="20.100000000000001" customHeight="1">
      <c r="B2" s="2" t="s">
        <v>628</v>
      </c>
      <c r="D2" s="14"/>
      <c r="G2" s="14"/>
      <c r="H2" s="14"/>
    </row>
    <row r="3" spans="2:14" s="1" customFormat="1" ht="15.9" customHeight="1">
      <c r="B3" s="57" t="s">
        <v>629</v>
      </c>
      <c r="D3" s="8"/>
      <c r="E3" s="9"/>
      <c r="F3" s="9"/>
      <c r="G3" s="58"/>
      <c r="H3" s="8"/>
      <c r="I3" s="9"/>
      <c r="J3" s="9"/>
      <c r="K3" s="9"/>
      <c r="L3" s="9"/>
      <c r="M3" s="9"/>
      <c r="N3" s="9"/>
    </row>
    <row r="4" spans="2:14" s="1" customFormat="1" ht="15.9" customHeight="1">
      <c r="B4" s="59" t="s">
        <v>630</v>
      </c>
      <c r="D4" s="8"/>
      <c r="E4" s="9"/>
      <c r="F4" s="9"/>
      <c r="G4" s="58"/>
      <c r="H4" s="8"/>
      <c r="I4" s="9"/>
      <c r="J4" s="9"/>
      <c r="K4" s="9"/>
      <c r="L4" s="9"/>
      <c r="M4" s="9"/>
      <c r="N4" s="9"/>
    </row>
    <row r="5" spans="2:14" s="1" customFormat="1" ht="15.9" customHeight="1">
      <c r="B5" s="59" t="s">
        <v>631</v>
      </c>
      <c r="D5" s="8"/>
      <c r="E5" s="9"/>
      <c r="F5" s="9"/>
      <c r="G5" s="8"/>
      <c r="H5" s="8"/>
      <c r="I5" s="9"/>
      <c r="J5" s="9"/>
      <c r="K5" s="9"/>
      <c r="L5" s="9"/>
      <c r="M5" s="9"/>
      <c r="N5" s="9"/>
    </row>
    <row r="6" spans="2:14" s="1" customFormat="1" ht="15.9" customHeight="1">
      <c r="B6" s="5"/>
      <c r="D6" s="8"/>
      <c r="E6" s="9"/>
      <c r="F6" s="9"/>
      <c r="G6" s="8"/>
      <c r="H6" s="8"/>
      <c r="I6" s="9"/>
      <c r="J6" s="9"/>
      <c r="K6" s="9"/>
      <c r="L6" s="9"/>
      <c r="M6" s="9"/>
      <c r="N6" s="9"/>
    </row>
    <row r="7" spans="2:14" s="1" customFormat="1" ht="15.9" customHeight="1">
      <c r="B7" s="5"/>
      <c r="D7" s="8"/>
      <c r="E7" s="9"/>
      <c r="F7" s="9"/>
      <c r="G7" s="8"/>
      <c r="H7" s="8"/>
      <c r="I7" s="9"/>
      <c r="J7" s="9"/>
      <c r="K7" s="9"/>
      <c r="L7" s="9"/>
      <c r="M7" s="9"/>
      <c r="N7" s="9"/>
    </row>
    <row r="8" spans="2:14" s="1" customFormat="1">
      <c r="B8" s="60" t="s">
        <v>632</v>
      </c>
      <c r="D8" s="8"/>
      <c r="E8" s="9"/>
      <c r="F8" s="9"/>
      <c r="G8" s="8"/>
      <c r="H8" s="8"/>
      <c r="I8" s="9"/>
      <c r="J8" s="9"/>
      <c r="K8" s="9"/>
      <c r="L8" s="9"/>
      <c r="M8" s="9"/>
      <c r="N8" s="9"/>
    </row>
    <row r="9" spans="2:14" s="1" customFormat="1">
      <c r="B9" s="61" t="s">
        <v>633</v>
      </c>
      <c r="C9" s="25"/>
      <c r="D9" s="62"/>
      <c r="E9" s="9"/>
      <c r="F9" s="9"/>
      <c r="G9" s="8"/>
      <c r="H9" s="8"/>
      <c r="I9" s="10" t="s">
        <v>634</v>
      </c>
      <c r="J9" s="10"/>
      <c r="K9" s="10"/>
      <c r="L9" s="10"/>
      <c r="M9" s="10"/>
      <c r="N9" s="9"/>
    </row>
    <row r="10" spans="2:14" s="1" customFormat="1" ht="24.9" customHeight="1">
      <c r="B10" s="279" t="s">
        <v>635</v>
      </c>
      <c r="C10" s="259" t="s">
        <v>50</v>
      </c>
      <c r="D10" s="279" t="s">
        <v>636</v>
      </c>
      <c r="E10" s="279" t="s">
        <v>637</v>
      </c>
      <c r="F10" s="279" t="s">
        <v>638</v>
      </c>
      <c r="G10" s="279" t="s">
        <v>639</v>
      </c>
      <c r="H10" s="279" t="s">
        <v>640</v>
      </c>
      <c r="I10" s="259" t="s">
        <v>0</v>
      </c>
      <c r="J10" s="259" t="s">
        <v>1</v>
      </c>
      <c r="K10" s="279" t="s">
        <v>151</v>
      </c>
      <c r="L10" s="259" t="s">
        <v>50</v>
      </c>
      <c r="M10" s="259" t="s">
        <v>152</v>
      </c>
      <c r="N10" s="279" t="s">
        <v>641</v>
      </c>
    </row>
    <row r="11" spans="2:14" hidden="1">
      <c r="B11" s="280">
        <v>45737</v>
      </c>
      <c r="C11" s="267" t="s">
        <v>642</v>
      </c>
      <c r="D11" s="281" t="s">
        <v>643</v>
      </c>
      <c r="E11" s="281" t="s">
        <v>644</v>
      </c>
      <c r="F11" s="282" t="s">
        <v>645</v>
      </c>
      <c r="G11" s="281" t="s">
        <v>646</v>
      </c>
      <c r="H11" s="281" t="s">
        <v>647</v>
      </c>
      <c r="I11" s="283" t="s">
        <v>4</v>
      </c>
      <c r="J11" s="283" t="s">
        <v>377</v>
      </c>
      <c r="K11" s="284" t="s">
        <v>379</v>
      </c>
      <c r="L11" s="284" t="s">
        <v>642</v>
      </c>
      <c r="M11" s="284" t="s">
        <v>380</v>
      </c>
      <c r="N11" s="285" t="s">
        <v>648</v>
      </c>
    </row>
    <row r="12" spans="2:14" hidden="1">
      <c r="B12" s="280">
        <v>45737</v>
      </c>
      <c r="C12" s="267" t="s">
        <v>649</v>
      </c>
      <c r="D12" s="281" t="s">
        <v>643</v>
      </c>
      <c r="E12" s="281" t="s">
        <v>644</v>
      </c>
      <c r="F12" s="282" t="s">
        <v>645</v>
      </c>
      <c r="G12" s="281" t="s">
        <v>646</v>
      </c>
      <c r="H12" s="281" t="s">
        <v>647</v>
      </c>
      <c r="I12" s="286" t="s">
        <v>4</v>
      </c>
      <c r="J12" s="286" t="s">
        <v>381</v>
      </c>
      <c r="K12" s="287" t="s">
        <v>383</v>
      </c>
      <c r="L12" s="284" t="s">
        <v>649</v>
      </c>
      <c r="M12" s="284" t="s">
        <v>384</v>
      </c>
      <c r="N12" s="285" t="s">
        <v>648</v>
      </c>
    </row>
    <row r="13" spans="2:14" hidden="1">
      <c r="B13" s="280">
        <v>45737</v>
      </c>
      <c r="C13" s="267" t="s">
        <v>650</v>
      </c>
      <c r="D13" s="281" t="s">
        <v>643</v>
      </c>
      <c r="E13" s="281" t="s">
        <v>644</v>
      </c>
      <c r="F13" s="282" t="s">
        <v>645</v>
      </c>
      <c r="G13" s="281" t="s">
        <v>646</v>
      </c>
      <c r="H13" s="281" t="s">
        <v>647</v>
      </c>
      <c r="I13" s="286" t="s">
        <v>4</v>
      </c>
      <c r="J13" s="286" t="s">
        <v>385</v>
      </c>
      <c r="K13" s="287" t="s">
        <v>387</v>
      </c>
      <c r="L13" s="284" t="s">
        <v>650</v>
      </c>
      <c r="M13" s="284" t="s">
        <v>388</v>
      </c>
      <c r="N13" s="285" t="s">
        <v>648</v>
      </c>
    </row>
    <row r="14" spans="2:14" hidden="1">
      <c r="B14" s="280">
        <v>45737</v>
      </c>
      <c r="C14" s="267" t="s">
        <v>79</v>
      </c>
      <c r="D14" s="281" t="s">
        <v>643</v>
      </c>
      <c r="E14" s="281" t="s">
        <v>651</v>
      </c>
      <c r="F14" s="282" t="s">
        <v>645</v>
      </c>
      <c r="G14" s="281" t="s">
        <v>647</v>
      </c>
      <c r="H14" s="281" t="s">
        <v>646</v>
      </c>
      <c r="I14" s="286" t="s">
        <v>14</v>
      </c>
      <c r="J14" s="286" t="s">
        <v>22</v>
      </c>
      <c r="K14" s="287" t="s">
        <v>280</v>
      </c>
      <c r="L14" s="288" t="s">
        <v>79</v>
      </c>
      <c r="M14" s="284" t="s">
        <v>652</v>
      </c>
      <c r="N14" s="289" t="s">
        <v>653</v>
      </c>
    </row>
    <row r="15" spans="2:14" hidden="1">
      <c r="B15" s="280">
        <v>45737</v>
      </c>
      <c r="C15" s="267" t="s">
        <v>654</v>
      </c>
      <c r="D15" s="281" t="s">
        <v>643</v>
      </c>
      <c r="E15" s="281" t="s">
        <v>644</v>
      </c>
      <c r="F15" s="282" t="s">
        <v>645</v>
      </c>
      <c r="G15" s="281" t="s">
        <v>646</v>
      </c>
      <c r="H15" s="281" t="s">
        <v>647</v>
      </c>
      <c r="I15" s="286" t="s">
        <v>4</v>
      </c>
      <c r="J15" s="286" t="s">
        <v>392</v>
      </c>
      <c r="K15" s="287" t="s">
        <v>394</v>
      </c>
      <c r="L15" s="284" t="s">
        <v>654</v>
      </c>
      <c r="M15" s="284" t="s">
        <v>395</v>
      </c>
      <c r="N15" s="285" t="s">
        <v>648</v>
      </c>
    </row>
    <row r="16" spans="2:14" hidden="1">
      <c r="B16" s="280">
        <v>45737</v>
      </c>
      <c r="C16" s="267" t="s">
        <v>655</v>
      </c>
      <c r="D16" s="281" t="s">
        <v>643</v>
      </c>
      <c r="E16" s="281" t="s">
        <v>644</v>
      </c>
      <c r="F16" s="282" t="s">
        <v>645</v>
      </c>
      <c r="G16" s="281" t="s">
        <v>646</v>
      </c>
      <c r="H16" s="281" t="s">
        <v>647</v>
      </c>
      <c r="I16" s="286" t="s">
        <v>4</v>
      </c>
      <c r="J16" s="286" t="s">
        <v>392</v>
      </c>
      <c r="K16" s="287" t="s">
        <v>396</v>
      </c>
      <c r="L16" s="284" t="s">
        <v>655</v>
      </c>
      <c r="M16" s="284" t="s">
        <v>397</v>
      </c>
      <c r="N16" s="285" t="s">
        <v>648</v>
      </c>
    </row>
    <row r="17" spans="2:14" hidden="1">
      <c r="B17" s="280">
        <v>45737</v>
      </c>
      <c r="C17" s="267" t="s">
        <v>84</v>
      </c>
      <c r="D17" s="281" t="s">
        <v>643</v>
      </c>
      <c r="E17" s="281" t="s">
        <v>651</v>
      </c>
      <c r="F17" s="282" t="s">
        <v>645</v>
      </c>
      <c r="G17" s="281" t="s">
        <v>647</v>
      </c>
      <c r="H17" s="281" t="s">
        <v>646</v>
      </c>
      <c r="I17" s="283" t="s">
        <v>14</v>
      </c>
      <c r="J17" s="283" t="s">
        <v>26</v>
      </c>
      <c r="K17" s="284" t="s">
        <v>293</v>
      </c>
      <c r="L17" s="288" t="s">
        <v>84</v>
      </c>
      <c r="M17" s="284" t="s">
        <v>294</v>
      </c>
      <c r="N17" s="289" t="s">
        <v>653</v>
      </c>
    </row>
    <row r="18" spans="2:14" hidden="1">
      <c r="B18" s="290">
        <v>45744</v>
      </c>
      <c r="C18" s="267" t="s">
        <v>72</v>
      </c>
      <c r="D18" s="281" t="s">
        <v>656</v>
      </c>
      <c r="E18" s="281" t="s">
        <v>657</v>
      </c>
      <c r="F18" s="291" t="s">
        <v>159</v>
      </c>
      <c r="G18" s="281" t="s">
        <v>647</v>
      </c>
      <c r="H18" s="281" t="s">
        <v>646</v>
      </c>
      <c r="I18" s="292" t="s">
        <v>15</v>
      </c>
      <c r="J18" s="292" t="s">
        <v>18</v>
      </c>
      <c r="K18" s="293" t="s">
        <v>262</v>
      </c>
      <c r="L18" s="294" t="s">
        <v>72</v>
      </c>
      <c r="M18" s="294" t="s">
        <v>263</v>
      </c>
      <c r="N18" s="295" t="s">
        <v>658</v>
      </c>
    </row>
    <row r="19" spans="2:14" hidden="1">
      <c r="B19" s="290">
        <v>45744</v>
      </c>
      <c r="C19" s="267" t="s">
        <v>72</v>
      </c>
      <c r="D19" s="281" t="s">
        <v>656</v>
      </c>
      <c r="E19" s="281" t="s">
        <v>657</v>
      </c>
      <c r="F19" s="291" t="s">
        <v>160</v>
      </c>
      <c r="G19" s="281" t="s">
        <v>647</v>
      </c>
      <c r="H19" s="281" t="s">
        <v>646</v>
      </c>
      <c r="I19" s="292" t="s">
        <v>15</v>
      </c>
      <c r="J19" s="292" t="s">
        <v>18</v>
      </c>
      <c r="K19" s="293" t="s">
        <v>262</v>
      </c>
      <c r="L19" s="294" t="s">
        <v>72</v>
      </c>
      <c r="M19" s="294" t="s">
        <v>263</v>
      </c>
      <c r="N19" s="295" t="s">
        <v>658</v>
      </c>
    </row>
    <row r="20" spans="2:14" hidden="1">
      <c r="B20" s="290">
        <v>45744</v>
      </c>
      <c r="C20" s="267" t="s">
        <v>81</v>
      </c>
      <c r="D20" s="281" t="s">
        <v>656</v>
      </c>
      <c r="E20" s="281" t="s">
        <v>657</v>
      </c>
      <c r="F20" s="291" t="s">
        <v>159</v>
      </c>
      <c r="G20" s="281" t="s">
        <v>647</v>
      </c>
      <c r="H20" s="281" t="s">
        <v>646</v>
      </c>
      <c r="I20" s="292" t="s">
        <v>14</v>
      </c>
      <c r="J20" s="292" t="s">
        <v>24</v>
      </c>
      <c r="K20" s="293" t="s">
        <v>262</v>
      </c>
      <c r="L20" s="294" t="s">
        <v>81</v>
      </c>
      <c r="M20" s="294" t="s">
        <v>286</v>
      </c>
      <c r="N20" s="295" t="s">
        <v>658</v>
      </c>
    </row>
    <row r="21" spans="2:14" hidden="1">
      <c r="B21" s="290">
        <v>45744</v>
      </c>
      <c r="C21" s="267" t="s">
        <v>81</v>
      </c>
      <c r="D21" s="281" t="s">
        <v>656</v>
      </c>
      <c r="E21" s="281" t="s">
        <v>657</v>
      </c>
      <c r="F21" s="291" t="s">
        <v>160</v>
      </c>
      <c r="G21" s="281" t="s">
        <v>647</v>
      </c>
      <c r="H21" s="281" t="s">
        <v>646</v>
      </c>
      <c r="I21" s="292" t="s">
        <v>14</v>
      </c>
      <c r="J21" s="292" t="s">
        <v>24</v>
      </c>
      <c r="K21" s="293" t="s">
        <v>262</v>
      </c>
      <c r="L21" s="294" t="s">
        <v>81</v>
      </c>
      <c r="M21" s="294" t="s">
        <v>286</v>
      </c>
      <c r="N21" s="295" t="s">
        <v>658</v>
      </c>
    </row>
    <row r="22" spans="2:14" hidden="1">
      <c r="B22" s="290">
        <v>45744</v>
      </c>
      <c r="C22" s="267" t="s">
        <v>86</v>
      </c>
      <c r="D22" s="281" t="s">
        <v>656</v>
      </c>
      <c r="E22" s="281" t="s">
        <v>657</v>
      </c>
      <c r="F22" s="291" t="s">
        <v>159</v>
      </c>
      <c r="G22" s="281" t="s">
        <v>647</v>
      </c>
      <c r="H22" s="281" t="s">
        <v>646</v>
      </c>
      <c r="I22" s="292" t="s">
        <v>14</v>
      </c>
      <c r="J22" s="292" t="s">
        <v>27</v>
      </c>
      <c r="K22" s="293" t="s">
        <v>262</v>
      </c>
      <c r="L22" s="294" t="s">
        <v>86</v>
      </c>
      <c r="M22" s="294" t="s">
        <v>296</v>
      </c>
      <c r="N22" s="295" t="s">
        <v>658</v>
      </c>
    </row>
    <row r="23" spans="2:14" hidden="1">
      <c r="B23" s="290">
        <v>45744</v>
      </c>
      <c r="C23" s="267" t="s">
        <v>86</v>
      </c>
      <c r="D23" s="281" t="s">
        <v>656</v>
      </c>
      <c r="E23" s="281" t="s">
        <v>657</v>
      </c>
      <c r="F23" s="291" t="s">
        <v>160</v>
      </c>
      <c r="G23" s="281" t="s">
        <v>647</v>
      </c>
      <c r="H23" s="281" t="s">
        <v>646</v>
      </c>
      <c r="I23" s="292" t="s">
        <v>14</v>
      </c>
      <c r="J23" s="292" t="s">
        <v>27</v>
      </c>
      <c r="K23" s="293" t="s">
        <v>262</v>
      </c>
      <c r="L23" s="294" t="s">
        <v>86</v>
      </c>
      <c r="M23" s="294" t="s">
        <v>296</v>
      </c>
      <c r="N23" s="295" t="s">
        <v>658</v>
      </c>
    </row>
    <row r="24" spans="2:14">
      <c r="B24" s="290">
        <v>45761</v>
      </c>
      <c r="C24" s="267" t="s">
        <v>94</v>
      </c>
      <c r="D24" s="281" t="s">
        <v>643</v>
      </c>
      <c r="E24" s="281" t="s">
        <v>657</v>
      </c>
      <c r="F24" s="282" t="s">
        <v>645</v>
      </c>
      <c r="G24" s="281" t="s">
        <v>647</v>
      </c>
      <c r="H24" s="281" t="s">
        <v>646</v>
      </c>
      <c r="I24" s="292" t="s">
        <v>32</v>
      </c>
      <c r="J24" s="292" t="s">
        <v>33</v>
      </c>
      <c r="K24" s="293" t="s">
        <v>316</v>
      </c>
      <c r="L24" s="296" t="s">
        <v>94</v>
      </c>
      <c r="M24" s="294" t="s">
        <v>659</v>
      </c>
      <c r="N24" s="297" t="s">
        <v>660</v>
      </c>
    </row>
    <row r="25" spans="2:14">
      <c r="B25" s="298">
        <v>45789</v>
      </c>
      <c r="C25" s="267" t="s">
        <v>661</v>
      </c>
      <c r="D25" s="281" t="s">
        <v>643</v>
      </c>
      <c r="E25" s="281" t="s">
        <v>657</v>
      </c>
      <c r="F25" s="282" t="s">
        <v>645</v>
      </c>
      <c r="G25" s="281" t="s">
        <v>647</v>
      </c>
      <c r="H25" s="281" t="s">
        <v>646</v>
      </c>
      <c r="I25" s="292" t="s">
        <v>17</v>
      </c>
      <c r="J25" s="292" t="s">
        <v>45</v>
      </c>
      <c r="K25" s="293" t="s">
        <v>662</v>
      </c>
      <c r="L25" s="296" t="s">
        <v>661</v>
      </c>
      <c r="M25" s="294" t="s">
        <v>663</v>
      </c>
      <c r="N25" s="299" t="s">
        <v>664</v>
      </c>
    </row>
    <row r="26" spans="2:14">
      <c r="B26" s="290">
        <v>45761</v>
      </c>
      <c r="C26" s="267" t="s">
        <v>93</v>
      </c>
      <c r="D26" s="281" t="s">
        <v>643</v>
      </c>
      <c r="E26" s="281" t="s">
        <v>657</v>
      </c>
      <c r="F26" s="282" t="s">
        <v>645</v>
      </c>
      <c r="G26" s="281" t="s">
        <v>647</v>
      </c>
      <c r="H26" s="281" t="s">
        <v>646</v>
      </c>
      <c r="I26" s="292" t="s">
        <v>32</v>
      </c>
      <c r="J26" s="292" t="s">
        <v>33</v>
      </c>
      <c r="K26" s="293" t="s">
        <v>570</v>
      </c>
      <c r="L26" s="296" t="s">
        <v>93</v>
      </c>
      <c r="M26" s="294" t="s">
        <v>313</v>
      </c>
      <c r="N26" s="299" t="s">
        <v>660</v>
      </c>
    </row>
    <row r="27" spans="2:14">
      <c r="B27" s="298">
        <v>45770</v>
      </c>
      <c r="C27" s="267" t="s">
        <v>665</v>
      </c>
      <c r="D27" s="281" t="s">
        <v>643</v>
      </c>
      <c r="E27" s="281" t="s">
        <v>657</v>
      </c>
      <c r="F27" s="282" t="s">
        <v>645</v>
      </c>
      <c r="G27" s="281" t="s">
        <v>647</v>
      </c>
      <c r="H27" s="281" t="s">
        <v>646</v>
      </c>
      <c r="I27" s="300" t="s">
        <v>17</v>
      </c>
      <c r="J27" s="300" t="s">
        <v>45</v>
      </c>
      <c r="K27" s="284" t="s">
        <v>184</v>
      </c>
      <c r="L27" s="288" t="s">
        <v>665</v>
      </c>
      <c r="M27" s="284" t="s">
        <v>310</v>
      </c>
      <c r="N27" s="301" t="s">
        <v>666</v>
      </c>
    </row>
    <row r="28" spans="2:14">
      <c r="B28" s="298">
        <v>45770</v>
      </c>
      <c r="C28" s="267" t="s">
        <v>667</v>
      </c>
      <c r="D28" s="281" t="s">
        <v>643</v>
      </c>
      <c r="E28" s="281" t="s">
        <v>657</v>
      </c>
      <c r="F28" s="282" t="s">
        <v>645</v>
      </c>
      <c r="G28" s="281" t="s">
        <v>647</v>
      </c>
      <c r="H28" s="281" t="s">
        <v>646</v>
      </c>
      <c r="I28" s="300" t="s">
        <v>15</v>
      </c>
      <c r="J28" s="300" t="s">
        <v>31</v>
      </c>
      <c r="K28" s="284" t="s">
        <v>184</v>
      </c>
      <c r="L28" s="302" t="s">
        <v>667</v>
      </c>
      <c r="M28" s="284" t="s">
        <v>260</v>
      </c>
      <c r="N28" s="301" t="s">
        <v>668</v>
      </c>
    </row>
    <row r="29" spans="2:14">
      <c r="B29" s="298">
        <v>45770</v>
      </c>
      <c r="C29" s="267" t="s">
        <v>598</v>
      </c>
      <c r="D29" s="281" t="s">
        <v>643</v>
      </c>
      <c r="E29" s="281" t="s">
        <v>657</v>
      </c>
      <c r="F29" s="282" t="s">
        <v>645</v>
      </c>
      <c r="G29" s="281" t="s">
        <v>647</v>
      </c>
      <c r="H29" s="281" t="s">
        <v>646</v>
      </c>
      <c r="I29" s="300" t="s">
        <v>15</v>
      </c>
      <c r="J29" s="300" t="s">
        <v>44</v>
      </c>
      <c r="K29" s="284" t="s">
        <v>184</v>
      </c>
      <c r="L29" s="302" t="s">
        <v>598</v>
      </c>
      <c r="M29" s="284" t="s">
        <v>295</v>
      </c>
      <c r="N29" s="301" t="s">
        <v>668</v>
      </c>
    </row>
    <row r="30" spans="2:14">
      <c r="B30" s="290">
        <v>45773</v>
      </c>
      <c r="C30" s="267" t="s">
        <v>669</v>
      </c>
      <c r="D30" s="281" t="s">
        <v>643</v>
      </c>
      <c r="E30" s="281" t="s">
        <v>657</v>
      </c>
      <c r="F30" s="282" t="s">
        <v>645</v>
      </c>
      <c r="G30" s="281" t="s">
        <v>647</v>
      </c>
      <c r="H30" s="281" t="s">
        <v>646</v>
      </c>
      <c r="I30" s="300" t="s">
        <v>15</v>
      </c>
      <c r="J30" s="300" t="s">
        <v>28</v>
      </c>
      <c r="K30" s="284" t="s">
        <v>184</v>
      </c>
      <c r="L30" s="302" t="s">
        <v>669</v>
      </c>
      <c r="M30" s="284" t="s">
        <v>249</v>
      </c>
      <c r="N30" s="303" t="s">
        <v>670</v>
      </c>
    </row>
    <row r="31" spans="2:14">
      <c r="B31" s="290">
        <v>45773</v>
      </c>
      <c r="C31" s="267" t="s">
        <v>671</v>
      </c>
      <c r="D31" s="281" t="s">
        <v>643</v>
      </c>
      <c r="E31" s="281" t="s">
        <v>657</v>
      </c>
      <c r="F31" s="282" t="s">
        <v>645</v>
      </c>
      <c r="G31" s="281" t="s">
        <v>647</v>
      </c>
      <c r="H31" s="281" t="s">
        <v>646</v>
      </c>
      <c r="I31" s="300" t="s">
        <v>15</v>
      </c>
      <c r="J31" s="300" t="s">
        <v>36</v>
      </c>
      <c r="K31" s="284" t="s">
        <v>184</v>
      </c>
      <c r="L31" s="302" t="s">
        <v>671</v>
      </c>
      <c r="M31" s="284" t="s">
        <v>270</v>
      </c>
      <c r="N31" s="303" t="s">
        <v>670</v>
      </c>
    </row>
    <row r="32" spans="2:14">
      <c r="B32" s="290">
        <v>45773</v>
      </c>
      <c r="C32" s="267" t="s">
        <v>672</v>
      </c>
      <c r="D32" s="281" t="s">
        <v>643</v>
      </c>
      <c r="E32" s="281" t="s">
        <v>657</v>
      </c>
      <c r="F32" s="282" t="s">
        <v>645</v>
      </c>
      <c r="G32" s="281" t="s">
        <v>647</v>
      </c>
      <c r="H32" s="281" t="s">
        <v>646</v>
      </c>
      <c r="I32" s="300" t="s">
        <v>47</v>
      </c>
      <c r="J32" s="300" t="s">
        <v>49</v>
      </c>
      <c r="K32" s="284" t="s">
        <v>184</v>
      </c>
      <c r="L32" s="302" t="s">
        <v>672</v>
      </c>
      <c r="M32" s="284" t="s">
        <v>358</v>
      </c>
      <c r="N32" s="303" t="s">
        <v>670</v>
      </c>
    </row>
    <row r="33" spans="2:14">
      <c r="B33" s="290">
        <v>45780</v>
      </c>
      <c r="C33" s="267" t="s">
        <v>673</v>
      </c>
      <c r="D33" s="281" t="s">
        <v>643</v>
      </c>
      <c r="E33" s="281" t="s">
        <v>657</v>
      </c>
      <c r="F33" s="282" t="s">
        <v>645</v>
      </c>
      <c r="G33" s="281" t="s">
        <v>647</v>
      </c>
      <c r="H33" s="281" t="s">
        <v>646</v>
      </c>
      <c r="I33" s="300" t="s">
        <v>2</v>
      </c>
      <c r="J33" s="300" t="s">
        <v>3</v>
      </c>
      <c r="K33" s="284" t="s">
        <v>184</v>
      </c>
      <c r="L33" s="288" t="s">
        <v>673</v>
      </c>
      <c r="M33" s="284" t="s">
        <v>185</v>
      </c>
      <c r="N33" s="304" t="s">
        <v>674</v>
      </c>
    </row>
    <row r="34" spans="2:14">
      <c r="B34" s="290">
        <v>45780</v>
      </c>
      <c r="C34" s="267" t="s">
        <v>675</v>
      </c>
      <c r="D34" s="281" t="s">
        <v>643</v>
      </c>
      <c r="E34" s="281" t="s">
        <v>657</v>
      </c>
      <c r="F34" s="282" t="s">
        <v>645</v>
      </c>
      <c r="G34" s="281" t="s">
        <v>647</v>
      </c>
      <c r="H34" s="281" t="s">
        <v>646</v>
      </c>
      <c r="I34" s="300" t="s">
        <v>47</v>
      </c>
      <c r="J34" s="300" t="s">
        <v>48</v>
      </c>
      <c r="K34" s="284" t="s">
        <v>184</v>
      </c>
      <c r="L34" s="288" t="s">
        <v>675</v>
      </c>
      <c r="M34" s="284" t="s">
        <v>343</v>
      </c>
      <c r="N34" s="304" t="s">
        <v>674</v>
      </c>
    </row>
    <row r="35" spans="2:14">
      <c r="B35" s="290">
        <v>45780</v>
      </c>
      <c r="C35" s="267" t="s">
        <v>676</v>
      </c>
      <c r="D35" s="281" t="s">
        <v>643</v>
      </c>
      <c r="E35" s="281" t="s">
        <v>657</v>
      </c>
      <c r="F35" s="282" t="s">
        <v>645</v>
      </c>
      <c r="G35" s="281" t="s">
        <v>647</v>
      </c>
      <c r="H35" s="281" t="s">
        <v>646</v>
      </c>
      <c r="I35" s="300" t="s">
        <v>17</v>
      </c>
      <c r="J35" s="300" t="s">
        <v>46</v>
      </c>
      <c r="K35" s="284" t="s">
        <v>184</v>
      </c>
      <c r="L35" s="302" t="s">
        <v>676</v>
      </c>
      <c r="M35" s="284" t="s">
        <v>330</v>
      </c>
      <c r="N35" s="304" t="s">
        <v>674</v>
      </c>
    </row>
    <row r="36" spans="2:14">
      <c r="B36" s="16">
        <v>45780</v>
      </c>
      <c r="C36" s="17" t="s">
        <v>677</v>
      </c>
      <c r="D36" s="18" t="s">
        <v>643</v>
      </c>
      <c r="E36" s="18" t="s">
        <v>657</v>
      </c>
      <c r="F36" s="19" t="s">
        <v>645</v>
      </c>
      <c r="G36" s="18" t="s">
        <v>647</v>
      </c>
      <c r="H36" s="18" t="s">
        <v>646</v>
      </c>
      <c r="I36" s="20" t="s">
        <v>15</v>
      </c>
      <c r="J36" s="20" t="s">
        <v>42</v>
      </c>
      <c r="K36" s="21" t="s">
        <v>184</v>
      </c>
      <c r="L36" s="22" t="s">
        <v>677</v>
      </c>
      <c r="M36" s="284" t="s">
        <v>284</v>
      </c>
      <c r="N36" s="63" t="s">
        <v>674</v>
      </c>
    </row>
    <row r="37" spans="2:14">
      <c r="B37" s="298">
        <v>45786</v>
      </c>
      <c r="C37" s="267" t="s">
        <v>678</v>
      </c>
      <c r="D37" s="281" t="s">
        <v>643</v>
      </c>
      <c r="E37" s="281" t="s">
        <v>657</v>
      </c>
      <c r="F37" s="282" t="s">
        <v>645</v>
      </c>
      <c r="G37" s="281" t="s">
        <v>647</v>
      </c>
      <c r="H37" s="281" t="s">
        <v>646</v>
      </c>
      <c r="I37" s="300" t="s">
        <v>17</v>
      </c>
      <c r="J37" s="300" t="s">
        <v>45</v>
      </c>
      <c r="K37" s="284" t="s">
        <v>567</v>
      </c>
      <c r="L37" s="302" t="s">
        <v>678</v>
      </c>
      <c r="M37" s="284" t="s">
        <v>322</v>
      </c>
      <c r="N37" s="305" t="s">
        <v>679</v>
      </c>
    </row>
    <row r="38" spans="2:14">
      <c r="B38" s="298">
        <v>45790</v>
      </c>
      <c r="C38" s="267" t="s">
        <v>680</v>
      </c>
      <c r="D38" s="281" t="s">
        <v>643</v>
      </c>
      <c r="E38" s="281" t="s">
        <v>657</v>
      </c>
      <c r="F38" s="282" t="s">
        <v>645</v>
      </c>
      <c r="G38" s="281" t="s">
        <v>647</v>
      </c>
      <c r="H38" s="281" t="s">
        <v>646</v>
      </c>
      <c r="I38" s="300" t="s">
        <v>17</v>
      </c>
      <c r="J38" s="300" t="s">
        <v>45</v>
      </c>
      <c r="K38" s="284" t="s">
        <v>662</v>
      </c>
      <c r="L38" s="302" t="s">
        <v>680</v>
      </c>
      <c r="M38" s="284" t="s">
        <v>663</v>
      </c>
      <c r="N38" s="306" t="s">
        <v>681</v>
      </c>
    </row>
  </sheetData>
  <phoneticPr fontId="2" type="noConversion"/>
  <hyperlinks>
    <hyperlink ref="M32" r:id="rId1" xr:uid="{9E0BC275-8577-4E04-8486-B28A8941E0A7}"/>
    <hyperlink ref="M34" r:id="rId2" xr:uid="{EAE9281C-1EAA-4DFA-BF94-AC95F7C3E2D9}"/>
    <hyperlink ref="M29" r:id="rId3" xr:uid="{1129499B-6924-454D-A61F-2EF5ADEF752E}"/>
    <hyperlink ref="M30" r:id="rId4" xr:uid="{6044E5C4-37D4-4EFD-A49D-1357AD14B876}"/>
    <hyperlink ref="M28" r:id="rId5" xr:uid="{CE3A5CB1-2DED-42E3-B9B9-0BCB9FD89205}"/>
    <hyperlink ref="M31" r:id="rId6" xr:uid="{31666904-54D6-4B49-8352-1BB7ECDB022A}"/>
    <hyperlink ref="M36" r:id="rId7" xr:uid="{1CE1FCDF-92E7-4FF4-B2EF-7E2AC387F11D}"/>
    <hyperlink ref="M27" r:id="rId8" xr:uid="{B5E7C5BE-B835-4418-BA6C-A23EC83C4340}"/>
    <hyperlink ref="M35" r:id="rId9" xr:uid="{846F1D77-D643-4844-807E-1CB11704309F}"/>
    <hyperlink ref="M33" r:id="rId10" xr:uid="{FBF7AC59-3308-445A-9939-7EEF5777B80F}"/>
    <hyperlink ref="M25" r:id="rId11" xr:uid="{1E06B5D7-343A-4FDC-9E33-ECF222CB290D}"/>
    <hyperlink ref="M37" r:id="rId12" xr:uid="{A9EF6C26-E047-4F18-9D5D-E3970E994AB7}"/>
  </hyperlinks>
  <pageMargins left="0.7" right="0.7" top="0.75" bottom="0.75" header="0.3" footer="0.3"/>
  <pageSetup paperSize="9" orientation="portrait" r:id="rId13"/>
  <headerFooter>
    <oddHeader>&amp;C&amp;"Calibri"&amp;12&amp;K000000 LGE Internal Use Only&amp;1#_x000D_</oddHeader>
  </headerFooter>
  <legacyDrawing r:id="rId14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635BCB46-B250-4A68-B490-52782C2033F5}">
          <x14:formula1>
            <xm:f>'LIST 목록 관리'!$F$5:$F$6</xm:f>
          </x14:formula1>
          <xm:sqref>D11:D38</xm:sqref>
        </x14:dataValidation>
        <x14:dataValidation type="list" allowBlank="1" showInputMessage="1" showErrorMessage="1" xr:uid="{2BC6F1F5-170D-47CA-BB31-32F7B8DDD91C}">
          <x14:formula1>
            <xm:f>'LIST 목록 관리'!$I$5:$I$22</xm:f>
          </x14:formula1>
          <xm:sqref>F11:F38</xm:sqref>
        </x14:dataValidation>
        <x14:dataValidation type="list" allowBlank="1" showInputMessage="1" showErrorMessage="1" xr:uid="{6E735B6A-1162-47FC-9702-41C87EFE1918}">
          <x14:formula1>
            <xm:f>'LIST 목록 관리'!$G$5:$G$7</xm:f>
          </x14:formula1>
          <xm:sqref>E11:E38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4D8C-6D6B-4B1F-AAF7-D3278101F2F5}">
  <sheetPr>
    <tabColor theme="1" tint="0.499984740745262"/>
  </sheetPr>
  <dimension ref="A1"/>
  <sheetViews>
    <sheetView workbookViewId="0"/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1042-EBAF-47A5-AAE5-28DF2292BDBE}">
  <dimension ref="A1:O1490"/>
  <sheetViews>
    <sheetView tabSelected="1" zoomScale="85" zoomScaleNormal="85" workbookViewId="0">
      <pane xSplit="3" ySplit="1" topLeftCell="D2" activePane="bottomRight" state="frozen"/>
      <selection pane="bottomRight"/>
    </sheetView>
  </sheetViews>
  <sheetFormatPr defaultColWidth="11.69921875" defaultRowHeight="17.399999999999999"/>
  <cols>
    <col min="1" max="1" width="9.796875" style="256" customWidth="1"/>
    <col min="2" max="2" width="28" style="256" bestFit="1" customWidth="1"/>
    <col min="3" max="3" width="86.09765625" style="256" customWidth="1"/>
    <col min="4" max="4" width="14" customWidth="1"/>
    <col min="5" max="5" width="14" customWidth="1"/>
    <col min="6" max="6" width="66" customWidth="1"/>
    <col min="7" max="7" width="15.09765625" style="256" bestFit="1" customWidth="1"/>
    <col min="8" max="8" width="15.09765625" style="256" customWidth="1"/>
    <col min="9" max="9" width="11.69921875" style="256"/>
    <col min="10" max="10" width="35.19921875" style="256" bestFit="1" customWidth="1"/>
    <col min="11" max="11" width="28.5" style="256" bestFit="1" customWidth="1"/>
    <col min="12" max="12" width="9.19921875" style="256" customWidth="1"/>
    <col min="13" max="13" width="12" style="256"/>
    <col min="14" max="14" width="24" style="256"/>
    <col min="15" max="15" width="38" style="256"/>
  </cols>
  <sheetData>
    <row r="1" spans="1:15" ht="32" customHeight="1">
      <c r="A1" s="255" t="s">
        <v>682</v>
      </c>
      <c r="B1" s="255" t="s">
        <v>683</v>
      </c>
      <c r="C1" s="255" t="s">
        <v>684</v>
      </c>
      <c r="D1" s="329" t="inlineStr">
        <is>
          <t xml:space="preserve">카테고리 코드</t>
        </is>
      </c>
      <c r="E1" s="329" t="inlineStr">
        <is>
          <t>제외 여부</t>
        </is>
      </c>
      <c r="F1" s="329" t="inlineStr">
        <is>
          <t xml:space="preserve">제외 사유</t>
        </is>
      </c>
      <c r="G1" s="258" t="s">
        <v>4857</v>
      </c>
      <c r="H1" s="258" t="s">
        <v>4859</v>
      </c>
    </row>
    <row r="2" spans="1:15" ht="32" customHeight="1">
      <c r="A2" s="256" t="s">
        <v>359</v>
      </c>
      <c r="B2" s="256" t="s">
        <v>303</v>
      </c>
      <c r="C2" s="256" t="s">
        <v>685</v>
      </c>
      <c r="D2" s="330" t="inlineStr">
        <is>
          <t xml:space="preserve">OVEN</t>
        </is>
      </c>
      <c r="E2" s="330" t="inlineStr">
        <is>
          <t>Y</t>
        </is>
      </c>
      <c r="F2" s="330" t="inlineStr">
        <is>
          <t xml:space="preserve">진단 대상 35개 국가·리테일러에 해당하지 않음</t>
        </is>
      </c>
      <c r="J2" s="65" t="s">
        <v>682</v>
      </c>
      <c r="K2" s="65" t="s">
        <v>683</v>
      </c>
      <c r="L2" s="65"/>
      <c r="M2" s="256" t="s">
        <v>686</v>
      </c>
      <c r="N2" s="256" t="s">
        <v>10</v>
      </c>
      <c r="O2" s="256" t="s">
        <v>687</v>
      </c>
    </row>
    <row r="3" spans="1:15">
      <c r="A3" s="256" t="s">
        <v>359</v>
      </c>
      <c r="B3" s="256" t="s">
        <v>303</v>
      </c>
      <c r="C3" s="256" t="s">
        <v>688</v>
      </c>
      <c r="D3" s="330" t="inlineStr">
        <is>
          <t xml:space="preserve">WM</t>
        </is>
      </c>
      <c r="E3" s="330" t="inlineStr">
        <is>
          <t>Y</t>
        </is>
      </c>
      <c r="F3" s="330" t="inlineStr">
        <is>
          <t xml:space="preserve">진단 대상 35개 국가·리테일러에 해당하지 않음</t>
        </is>
      </c>
      <c r="J3" t="s">
        <v>311</v>
      </c>
      <c r="K3" t="s">
        <v>318</v>
      </c>
      <c r="L3"/>
      <c r="M3" s="256" t="s">
        <v>345</v>
      </c>
      <c r="N3" s="256" t="s">
        <v>40</v>
      </c>
      <c r="O3" s="256" t="s">
        <v>689</v>
      </c>
    </row>
    <row r="4" spans="1:15">
      <c r="A4" s="256" t="s">
        <v>359</v>
      </c>
      <c r="B4" s="256" t="s">
        <v>303</v>
      </c>
      <c r="C4" s="256" t="s">
        <v>690</v>
      </c>
      <c r="D4" s="330" t="inlineStr">
        <is>
          <t xml:space="preserve">DRYER</t>
        </is>
      </c>
      <c r="E4" s="330" t="inlineStr">
        <is>
          <t>Y</t>
        </is>
      </c>
      <c r="F4" s="330" t="inlineStr">
        <is>
          <t xml:space="preserve">진단 대상 35개 국가·리테일러에 해당하지 않음</t>
        </is>
      </c>
      <c r="J4" t="s">
        <v>345</v>
      </c>
      <c r="K4" t="s">
        <v>350</v>
      </c>
      <c r="L4"/>
      <c r="M4" s="256" t="s">
        <v>326</v>
      </c>
      <c r="N4" s="256" t="s">
        <v>34</v>
      </c>
      <c r="O4" s="256" t="s">
        <v>327</v>
      </c>
    </row>
    <row r="5" spans="1:15">
      <c r="A5" s="256" t="s">
        <v>359</v>
      </c>
      <c r="B5" s="256" t="s">
        <v>303</v>
      </c>
      <c r="C5" s="256" t="s">
        <v>691</v>
      </c>
      <c r="D5" s="330" t="inlineStr">
        <is>
          <t xml:space="preserve">MNT</t>
        </is>
      </c>
      <c r="E5" s="330" t="inlineStr">
        <is>
          <t>Y</t>
        </is>
      </c>
      <c r="F5" s="330" t="inlineStr">
        <is>
          <t xml:space="preserve">진단 대상 35개 국가·리테일러에 해당하지 않음</t>
        </is>
      </c>
      <c r="J5" t="s">
        <v>326</v>
      </c>
      <c r="K5" t="s">
        <v>327</v>
      </c>
      <c r="L5"/>
      <c r="M5" s="256" t="s">
        <v>331</v>
      </c>
      <c r="N5" s="256" t="s">
        <v>35</v>
      </c>
      <c r="O5" s="256" t="s">
        <v>692</v>
      </c>
    </row>
    <row r="6" spans="1:15">
      <c r="A6" s="256" t="s">
        <v>359</v>
      </c>
      <c r="B6" s="256" t="s">
        <v>303</v>
      </c>
      <c r="C6" s="256" t="s">
        <v>693</v>
      </c>
      <c r="D6" s="330" t="inlineStr">
        <is>
          <t xml:space="preserve">DW</t>
        </is>
      </c>
      <c r="E6" s="330" t="inlineStr">
        <is>
          <t>Y</t>
        </is>
      </c>
      <c r="F6" s="330" t="inlineStr">
        <is>
          <t xml:space="preserve">진단 대상 35개 국가·리테일러에 해당하지 않음</t>
        </is>
      </c>
      <c r="J6" t="s">
        <v>261</v>
      </c>
      <c r="K6" t="s">
        <v>264</v>
      </c>
      <c r="L6"/>
      <c r="M6" s="256" t="s">
        <v>480</v>
      </c>
      <c r="N6" s="256" t="s">
        <v>479</v>
      </c>
      <c r="O6" s="256" t="s">
        <v>327</v>
      </c>
    </row>
    <row r="7" spans="1:15">
      <c r="A7" s="256" t="s">
        <v>359</v>
      </c>
      <c r="B7" s="256" t="s">
        <v>303</v>
      </c>
      <c r="C7" s="256" t="s">
        <v>694</v>
      </c>
      <c r="D7" s="330" t="inlineStr">
        <is>
          <t xml:space="preserve">STYLER</t>
        </is>
      </c>
      <c r="E7" s="330" t="inlineStr">
        <is>
          <t>Y</t>
        </is>
      </c>
      <c r="F7" s="330" t="inlineStr">
        <is>
          <t xml:space="preserve">진단 대상 35개 국가·리테일러에 해당하지 않음</t>
        </is>
      </c>
      <c r="J7"/>
      <c r="K7" t="s">
        <v>266</v>
      </c>
      <c r="L7"/>
      <c r="M7" s="256" t="s">
        <v>311</v>
      </c>
      <c r="N7" s="256" t="s">
        <v>33</v>
      </c>
      <c r="O7" s="256" t="s">
        <v>695</v>
      </c>
    </row>
    <row r="8" spans="1:15">
      <c r="A8" s="256" t="s">
        <v>359</v>
      </c>
      <c r="B8" s="256" t="s">
        <v>303</v>
      </c>
      <c r="C8" s="256" t="s">
        <v>696</v>
      </c>
      <c r="D8" s="330" t="inlineStr">
        <is>
          <t xml:space="preserve">LAPTOP</t>
        </is>
      </c>
      <c r="E8" s="330" t="inlineStr">
        <is>
          <t>Y</t>
        </is>
      </c>
      <c r="F8" s="330" t="inlineStr">
        <is>
          <t xml:space="preserve">진단 대상 35개 국가·리테일러에 해당하지 않음</t>
        </is>
      </c>
      <c r="J8" t="s">
        <v>285</v>
      </c>
      <c r="K8" t="s">
        <v>287</v>
      </c>
      <c r="L8"/>
      <c r="M8" s="256" t="s">
        <v>278</v>
      </c>
      <c r="N8" s="256" t="s">
        <v>22</v>
      </c>
      <c r="O8" s="256" t="s">
        <v>280</v>
      </c>
    </row>
    <row r="9" spans="1:15">
      <c r="A9" s="256" t="s">
        <v>359</v>
      </c>
      <c r="B9" s="256" t="s">
        <v>303</v>
      </c>
      <c r="C9" s="256" t="s">
        <v>697</v>
      </c>
      <c r="D9" s="330" t="inlineStr">
        <is>
          <t xml:space="preserve">VACUUM</t>
        </is>
      </c>
      <c r="E9" s="330" t="inlineStr">
        <is>
          <t>Y</t>
        </is>
      </c>
      <c r="F9" s="330" t="inlineStr">
        <is>
          <t xml:space="preserve">진단 대상 35개 국가·리테일러에 해당하지 않음</t>
        </is>
      </c>
      <c r="J9"/>
      <c r="K9" t="s">
        <v>264</v>
      </c>
      <c r="L9"/>
      <c r="M9" s="256" t="s">
        <v>278</v>
      </c>
      <c r="N9" s="256" t="s">
        <v>22</v>
      </c>
      <c r="O9" s="256" t="s">
        <v>698</v>
      </c>
    </row>
    <row r="10" spans="1:15">
      <c r="A10" s="256" t="s">
        <v>359</v>
      </c>
      <c r="B10" s="256" t="s">
        <v>303</v>
      </c>
      <c r="C10" s="256" t="s">
        <v>699</v>
      </c>
      <c r="D10" s="330" t="inlineStr">
        <is>
          <t xml:space="preserve">SOUNDBAR</t>
        </is>
      </c>
      <c r="E10" s="330" t="inlineStr">
        <is>
          <t>Y</t>
        </is>
      </c>
      <c r="F10" s="330" t="inlineStr">
        <is>
          <t xml:space="preserve">진단 대상 35개 국가·리테일러에 해당하지 않음</t>
        </is>
      </c>
      <c r="J10" t="s">
        <v>251</v>
      </c>
      <c r="K10" t="s">
        <v>252</v>
      </c>
      <c r="L10"/>
      <c r="M10" s="256" t="s">
        <v>450</v>
      </c>
      <c r="N10" s="256" t="s">
        <v>449</v>
      </c>
      <c r="O10" s="256" t="s">
        <v>700</v>
      </c>
    </row>
    <row r="11" spans="1:15">
      <c r="A11" s="256" t="s">
        <v>359</v>
      </c>
      <c r="B11" s="256" t="s">
        <v>303</v>
      </c>
      <c r="C11" s="256" t="s">
        <v>701</v>
      </c>
      <c r="D11" s="330" t="inlineStr">
        <is>
          <t xml:space="preserve">TV</t>
        </is>
      </c>
      <c r="E11" s="330" t="inlineStr">
        <is>
          <t>Y</t>
        </is>
      </c>
      <c r="F11" s="330" t="inlineStr">
        <is>
          <t xml:space="preserve">진단 대상 35개 국가·리테일러에 해당하지 않음</t>
        </is>
      </c>
      <c r="J11"/>
      <c r="K11" t="s">
        <v>254</v>
      </c>
      <c r="L11"/>
      <c r="M11" s="256" t="s">
        <v>450</v>
      </c>
      <c r="N11" s="256" t="s">
        <v>449</v>
      </c>
      <c r="O11" s="256" t="s">
        <v>702</v>
      </c>
    </row>
    <row r="12" spans="1:15">
      <c r="A12" s="256" t="s">
        <v>359</v>
      </c>
      <c r="B12" s="256" t="s">
        <v>303</v>
      </c>
      <c r="C12" s="256" t="s">
        <v>703</v>
      </c>
      <c r="D12" s="330" t="inlineStr">
        <is>
          <t xml:space="preserve">REF</t>
        </is>
      </c>
      <c r="E12" s="330" t="inlineStr">
        <is>
          <t>Y</t>
        </is>
      </c>
      <c r="F12" s="330" t="inlineStr">
        <is>
          <t xml:space="preserve">진단 대상 35개 국가·리테일러에 해당하지 않음</t>
        </is>
      </c>
      <c r="J12"/>
      <c r="K12" t="s">
        <v>256</v>
      </c>
      <c r="L12"/>
      <c r="M12" s="256" t="s">
        <v>704</v>
      </c>
      <c r="N12" s="256" t="s">
        <v>705</v>
      </c>
      <c r="O12" s="256" t="s">
        <v>436</v>
      </c>
    </row>
    <row r="13" spans="1:15">
      <c r="A13" s="256" t="s">
        <v>359</v>
      </c>
      <c r="B13" s="256" t="s">
        <v>303</v>
      </c>
      <c r="C13" s="256" t="s">
        <v>706</v>
      </c>
      <c r="D13" s="330" t="inlineStr">
        <is>
          <t xml:space="preserve">RAC</t>
        </is>
      </c>
      <c r="E13" s="330" t="inlineStr">
        <is>
          <t>Y</t>
        </is>
      </c>
      <c r="F13" s="330" t="inlineStr">
        <is>
          <t xml:space="preserve">진단 대상 35개 국가·리테일러에 해당하지 않음</t>
        </is>
      </c>
      <c r="J13" t="s">
        <v>302</v>
      </c>
      <c r="K13" t="s">
        <v>303</v>
      </c>
      <c r="L13"/>
      <c r="M13" s="256" t="s">
        <v>704</v>
      </c>
      <c r="N13" s="256" t="s">
        <v>705</v>
      </c>
      <c r="O13" s="256" t="s">
        <v>707</v>
      </c>
    </row>
    <row r="14" spans="1:15">
      <c r="A14" s="256" t="s">
        <v>359</v>
      </c>
      <c r="B14" s="256" t="s">
        <v>303</v>
      </c>
      <c r="C14" s="256" t="s">
        <v>708</v>
      </c>
      <c r="D14" s="330" t="inlineStr">
        <is>
          <t xml:space="preserve">BT_SPEAKER</t>
        </is>
      </c>
      <c r="E14" s="330" t="inlineStr">
        <is>
          <t>Y</t>
        </is>
      </c>
      <c r="F14" s="330" t="inlineStr">
        <is>
          <t xml:space="preserve">진단 대상 35개 국가·리테일러에 해당하지 않음</t>
        </is>
      </c>
      <c r="J14"/>
      <c r="K14" t="s">
        <v>595</v>
      </c>
      <c r="L14"/>
      <c r="M14" s="256" t="s">
        <v>442</v>
      </c>
      <c r="N14" s="256" t="s">
        <v>441</v>
      </c>
      <c r="O14" s="256" t="s">
        <v>698</v>
      </c>
    </row>
    <row r="15" spans="1:15">
      <c r="A15" s="256" t="s">
        <v>359</v>
      </c>
      <c r="B15" s="256" t="s">
        <v>303</v>
      </c>
      <c r="C15" s="256" t="s">
        <v>709</v>
      </c>
      <c r="D15" s="330" t="inlineStr">
        <is>
          <t xml:space="preserve">HEADSET</t>
        </is>
      </c>
      <c r="E15" s="330" t="inlineStr">
        <is>
          <t>Y</t>
        </is>
      </c>
      <c r="F15" s="330" t="inlineStr">
        <is>
          <t xml:space="preserve">진단 대상 35개 국가·리테일러에 해당하지 않음</t>
        </is>
      </c>
      <c r="J15" t="s">
        <v>271</v>
      </c>
      <c r="K15" t="s">
        <v>273</v>
      </c>
      <c r="L15"/>
      <c r="M15" s="256" t="s">
        <v>261</v>
      </c>
      <c r="N15" s="256" t="s">
        <v>18</v>
      </c>
      <c r="O15" s="256" t="s">
        <v>698</v>
      </c>
    </row>
    <row r="16" spans="1:15">
      <c r="A16" s="256" t="s">
        <v>201</v>
      </c>
      <c r="B16" s="256" t="s">
        <v>262</v>
      </c>
      <c r="C16" s="256" t="s">
        <v>710</v>
      </c>
      <c r="D16" s="330" t="inlineStr">
        <is>
          <t xml:space="preserve">MNT</t>
        </is>
      </c>
      <c r="E16" s="330" t="inlineStr">
        <is>
          <t>Y</t>
        </is>
      </c>
      <c r="F16" s="330" t="inlineStr">
        <is>
          <t xml:space="preserve">진단 대상 35개 국가·리테일러에 해당하지 않음</t>
        </is>
      </c>
      <c r="J16"/>
      <c r="K16" t="s">
        <v>275</v>
      </c>
      <c r="L16"/>
      <c r="M16" s="256" t="s">
        <v>261</v>
      </c>
      <c r="N16" s="256" t="s">
        <v>18</v>
      </c>
      <c r="O16" s="256" t="s">
        <v>711</v>
      </c>
    </row>
    <row r="17" spans="1:15">
      <c r="A17" s="256" t="s">
        <v>201</v>
      </c>
      <c r="B17" s="256" t="s">
        <v>262</v>
      </c>
      <c r="C17" s="256" t="s">
        <v>712</v>
      </c>
      <c r="D17" s="330" t="inlineStr">
        <is>
          <t xml:space="preserve">LAPTOP</t>
        </is>
      </c>
      <c r="E17" s="330" t="inlineStr">
        <is>
          <t>Y</t>
        </is>
      </c>
      <c r="F17" s="330" t="inlineStr">
        <is>
          <t xml:space="preserve">진단 대상 35개 국가·리테일러에 해당하지 않음</t>
        </is>
      </c>
      <c r="J17" t="s">
        <v>331</v>
      </c>
      <c r="K17" t="s">
        <v>713</v>
      </c>
      <c r="L17"/>
      <c r="M17" s="256" t="s">
        <v>261</v>
      </c>
      <c r="N17" s="256" t="s">
        <v>18</v>
      </c>
      <c r="O17" s="256" t="s">
        <v>714</v>
      </c>
    </row>
    <row r="18" spans="1:15">
      <c r="A18" s="256" t="s">
        <v>201</v>
      </c>
      <c r="B18" s="256" t="s">
        <v>262</v>
      </c>
      <c r="C18" s="256" t="s">
        <v>715</v>
      </c>
      <c r="D18" s="332" t="inlineStr">
        <is>
          <t xml:space="preserve">UNKNOWN</t>
        </is>
      </c>
      <c r="E18" s="330" t="inlineStr">
        <is>
          <t>Y</t>
        </is>
      </c>
      <c r="F18" s="330" t="inlineStr">
        <is>
          <t xml:space="preserve">진단 대상 35개 국가·리테일러에 해당하지 않음</t>
        </is>
      </c>
      <c r="J18"/>
      <c r="K18" t="s">
        <v>332</v>
      </c>
      <c r="L18"/>
      <c r="M18" s="256" t="s">
        <v>285</v>
      </c>
      <c r="N18" s="256" t="s">
        <v>24</v>
      </c>
      <c r="O18" s="256" t="s">
        <v>716</v>
      </c>
    </row>
    <row r="19" spans="1:15">
      <c r="A19" s="256" t="s">
        <v>201</v>
      </c>
      <c r="B19" s="256" t="s">
        <v>262</v>
      </c>
      <c r="C19" s="256" t="s">
        <v>717</v>
      </c>
      <c r="D19" s="332" t="inlineStr">
        <is>
          <t xml:space="preserve">UNKNOWN</t>
        </is>
      </c>
      <c r="E19" s="330" t="inlineStr">
        <is>
          <t>Y</t>
        </is>
      </c>
      <c r="F19" s="330" t="inlineStr">
        <is>
          <t xml:space="preserve">진단 대상 35개 국가·리테일러에 해당하지 않음</t>
        </is>
      </c>
      <c r="J19"/>
      <c r="K19" t="s">
        <v>718</v>
      </c>
      <c r="L19"/>
      <c r="M19" s="256" t="s">
        <v>285</v>
      </c>
      <c r="N19" s="256" t="s">
        <v>24</v>
      </c>
      <c r="O19" s="256" t="s">
        <v>698</v>
      </c>
    </row>
    <row r="20" spans="1:15">
      <c r="A20" s="256" t="s">
        <v>201</v>
      </c>
      <c r="B20" s="256" t="s">
        <v>262</v>
      </c>
      <c r="C20" s="256" t="s">
        <v>719</v>
      </c>
      <c r="D20" s="332" t="inlineStr">
        <is>
          <t xml:space="preserve">UNKNOWN</t>
        </is>
      </c>
      <c r="E20" s="330" t="inlineStr">
        <is>
          <t>Y</t>
        </is>
      </c>
      <c r="F20" s="330" t="inlineStr">
        <is>
          <t xml:space="preserve">진단 대상 35개 국가·리테일러에 해당하지 않음</t>
        </is>
      </c>
      <c r="J20" t="s">
        <v>278</v>
      </c>
      <c r="K20" t="s">
        <v>280</v>
      </c>
      <c r="L20"/>
      <c r="M20" s="256" t="s">
        <v>251</v>
      </c>
      <c r="N20" s="256" t="s">
        <v>16</v>
      </c>
      <c r="O20" s="256" t="s">
        <v>252</v>
      </c>
    </row>
    <row r="21" spans="1:15">
      <c r="A21" s="256" t="s">
        <v>201</v>
      </c>
      <c r="B21" s="256" t="s">
        <v>262</v>
      </c>
      <c r="C21" s="256" t="s">
        <v>720</v>
      </c>
      <c r="D21" s="332" t="inlineStr">
        <is>
          <t xml:space="preserve">UNKNOWN</t>
        </is>
      </c>
      <c r="E21" s="330" t="inlineStr">
        <is>
          <t>Y</t>
        </is>
      </c>
      <c r="F21" s="330" t="inlineStr">
        <is>
          <t xml:space="preserve">진단 대상 35개 국가·리테일러에 해당하지 않음</t>
        </is>
      </c>
      <c r="J21" t="s">
        <v>339</v>
      </c>
      <c r="K21" t="s">
        <v>602</v>
      </c>
      <c r="L21"/>
      <c r="M21" s="256" t="s">
        <v>251</v>
      </c>
      <c r="N21" s="256" t="s">
        <v>16</v>
      </c>
      <c r="O21" s="256" t="s">
        <v>254</v>
      </c>
    </row>
    <row r="22" spans="1:15">
      <c r="A22" s="256" t="s">
        <v>201</v>
      </c>
      <c r="B22" s="256" t="s">
        <v>262</v>
      </c>
      <c r="C22" s="256" t="s">
        <v>721</v>
      </c>
      <c r="D22" s="332" t="inlineStr">
        <is>
          <t xml:space="preserve">UNKNOWN</t>
        </is>
      </c>
      <c r="E22" s="330" t="inlineStr">
        <is>
          <t>Y</t>
        </is>
      </c>
      <c r="F22" s="330" t="inlineStr">
        <is>
          <t xml:space="preserve">진단 대상 35개 국가·리테일러에 해당하지 않음</t>
        </is>
      </c>
      <c r="J22" t="s">
        <v>292</v>
      </c>
      <c r="K22" t="s">
        <v>293</v>
      </c>
      <c r="L22"/>
      <c r="M22" s="256" t="s">
        <v>271</v>
      </c>
      <c r="N22" s="256" t="s">
        <v>20</v>
      </c>
      <c r="O22" s="256" t="s">
        <v>722</v>
      </c>
    </row>
    <row r="23" spans="1:15">
      <c r="A23" s="256" t="s">
        <v>311</v>
      </c>
      <c r="B23" s="256" t="s">
        <v>262</v>
      </c>
      <c r="C23" s="256" t="s">
        <v>723</v>
      </c>
      <c r="D23" s="330" t="inlineStr">
        <is>
          <t xml:space="preserve">TV</t>
        </is>
      </c>
      <c r="E23" s="330" t="inlineStr">
        <is>
          <t>Y</t>
        </is>
      </c>
      <c r="F23" s="330" t="inlineStr">
        <is>
          <t xml:space="preserve">진단 대상 35개 국가·리테일러에 해당하지 않음</t>
        </is>
      </c>
      <c r="J23" t="s">
        <v>211</v>
      </c>
      <c r="K23" t="s">
        <v>212</v>
      </c>
      <c r="L23"/>
      <c r="M23" s="256" t="s">
        <v>271</v>
      </c>
      <c r="N23" s="256" t="s">
        <v>20</v>
      </c>
      <c r="O23" s="256" t="s">
        <v>275</v>
      </c>
    </row>
    <row r="24" spans="1:15">
      <c r="A24" s="256" t="s">
        <v>311</v>
      </c>
      <c r="B24" s="256" t="s">
        <v>262</v>
      </c>
      <c r="C24" s="256" t="s">
        <v>724</v>
      </c>
      <c r="D24" s="330" t="inlineStr">
        <is>
          <t xml:space="preserve">MNT</t>
        </is>
      </c>
      <c r="E24" s="330" t="inlineStr">
        <is>
          <t>Y</t>
        </is>
      </c>
      <c r="F24" s="330" t="inlineStr">
        <is>
          <t xml:space="preserve">진단 대상 35개 국가·리테일러에 해당하지 않음</t>
        </is>
      </c>
      <c r="J24"/>
      <c r="K24" t="s">
        <v>202</v>
      </c>
      <c r="L24"/>
      <c r="M24" s="256" t="s">
        <v>271</v>
      </c>
      <c r="N24" s="256" t="s">
        <v>20</v>
      </c>
      <c r="O24" s="256" t="s">
        <v>711</v>
      </c>
    </row>
    <row r="25" spans="1:15">
      <c r="A25" s="256" t="s">
        <v>311</v>
      </c>
      <c r="B25" s="256" t="s">
        <v>262</v>
      </c>
      <c r="C25" s="256" t="s">
        <v>725</v>
      </c>
      <c r="D25" s="330" t="inlineStr">
        <is>
          <t xml:space="preserve">REF</t>
        </is>
      </c>
      <c r="E25" s="330" t="inlineStr">
        <is>
          <t>Y</t>
        </is>
      </c>
      <c r="F25" s="330" t="inlineStr">
        <is>
          <t xml:space="preserve">진단 대상 35개 국가·리테일러에 해당하지 않음</t>
        </is>
      </c>
      <c r="J25"/>
      <c r="K25" t="s">
        <v>215</v>
      </c>
      <c r="L25"/>
      <c r="M25" s="256" t="s">
        <v>457</v>
      </c>
      <c r="N25" s="256" t="s">
        <v>456</v>
      </c>
      <c r="O25" s="256" t="s">
        <v>726</v>
      </c>
    </row>
    <row r="26" spans="1:15">
      <c r="A26" s="256" t="s">
        <v>311</v>
      </c>
      <c r="B26" s="256" t="s">
        <v>262</v>
      </c>
      <c r="C26" s="256" t="s">
        <v>727</v>
      </c>
      <c r="D26" s="332" t="inlineStr">
        <is>
          <t xml:space="preserve">UNKNOWN</t>
        </is>
      </c>
      <c r="E26" s="330" t="inlineStr">
        <is>
          <t>Y</t>
        </is>
      </c>
      <c r="F26" s="330" t="inlineStr">
        <is>
          <t xml:space="preserve">진단 대상 35개 국가·리테일러에 해당하지 않음</t>
        </is>
      </c>
      <c r="J26" t="s">
        <v>230</v>
      </c>
      <c r="K26" t="s">
        <v>231</v>
      </c>
      <c r="L26"/>
      <c r="M26" s="256" t="s">
        <v>292</v>
      </c>
      <c r="N26" s="256" t="s">
        <v>26</v>
      </c>
      <c r="O26" s="256" t="s">
        <v>293</v>
      </c>
    </row>
    <row r="27" spans="1:15">
      <c r="A27" s="256" t="s">
        <v>311</v>
      </c>
      <c r="B27" s="256" t="s">
        <v>262</v>
      </c>
      <c r="C27" s="256" t="s">
        <v>728</v>
      </c>
      <c r="D27" s="332" t="inlineStr">
        <is>
          <t xml:space="preserve">UNKNOWN</t>
        </is>
      </c>
      <c r="E27" s="330" t="inlineStr">
        <is>
          <t>Y</t>
        </is>
      </c>
      <c r="F27" s="330" t="inlineStr">
        <is>
          <t xml:space="preserve">진단 대상 35개 국가·리테일러에 해당하지 않음</t>
        </is>
      </c>
      <c r="J27"/>
      <c r="K27" t="s">
        <v>215</v>
      </c>
      <c r="L27"/>
      <c r="M27" s="258" t="s">
        <v>44</v>
      </c>
      <c r="N27" s="258" t="s">
        <v>729</v>
      </c>
      <c r="O27" s="258" t="s">
        <v>297</v>
      </c>
    </row>
    <row r="28" spans="1:15">
      <c r="A28" s="256" t="s">
        <v>311</v>
      </c>
      <c r="B28" s="256" t="s">
        <v>262</v>
      </c>
      <c r="C28" s="256" t="s">
        <v>730</v>
      </c>
      <c r="D28" s="332" t="inlineStr">
        <is>
          <t xml:space="preserve">UNKNOWN</t>
        </is>
      </c>
      <c r="E28" s="330" t="inlineStr">
        <is>
          <t>Y</t>
        </is>
      </c>
      <c r="F28" s="330" t="inlineStr">
        <is>
          <t xml:space="preserve">진단 대상 35개 국가·리테일러에 해당하지 않음</t>
        </is>
      </c>
      <c r="J28"/>
      <c r="K28" t="s">
        <v>233</v>
      </c>
      <c r="L28"/>
      <c r="M28" s="258" t="s">
        <v>44</v>
      </c>
      <c r="N28" s="258" t="s">
        <v>729</v>
      </c>
      <c r="O28" s="258" t="s">
        <v>731</v>
      </c>
    </row>
    <row r="29" spans="1:15">
      <c r="A29" s="256" t="s">
        <v>311</v>
      </c>
      <c r="B29" s="256" t="s">
        <v>262</v>
      </c>
      <c r="C29" s="256" t="s">
        <v>732</v>
      </c>
      <c r="D29" s="332" t="inlineStr">
        <is>
          <t xml:space="preserve">UNKNOWN</t>
        </is>
      </c>
      <c r="E29" s="330" t="inlineStr">
        <is>
          <t>Y</t>
        </is>
      </c>
      <c r="F29" s="330" t="inlineStr">
        <is>
          <t xml:space="preserve">진단 대상 35개 국가·리테일러에 해당하지 않음</t>
        </is>
      </c>
      <c r="J29" t="s">
        <v>218</v>
      </c>
      <c r="K29" t="s">
        <v>219</v>
      </c>
      <c r="L29"/>
      <c r="M29" s="256" t="s">
        <v>704</v>
      </c>
      <c r="N29" s="256" t="s">
        <v>733</v>
      </c>
      <c r="O29" s="256" t="s">
        <v>734</v>
      </c>
    </row>
    <row r="30" spans="1:15">
      <c r="A30" s="256" t="s">
        <v>311</v>
      </c>
      <c r="B30" s="256" t="s">
        <v>262</v>
      </c>
      <c r="C30" s="256" t="s">
        <v>735</v>
      </c>
      <c r="D30" s="332" t="inlineStr">
        <is>
          <t xml:space="preserve">UNKNOWN</t>
        </is>
      </c>
      <c r="E30" s="330" t="inlineStr">
        <is>
          <t>Y</t>
        </is>
      </c>
      <c r="F30" s="330" t="inlineStr">
        <is>
          <t xml:space="preserve">진단 대상 35개 국가·리테일러에 해당하지 않음</t>
        </is>
      </c>
      <c r="J30"/>
      <c r="K30" t="s">
        <v>222</v>
      </c>
      <c r="L30"/>
      <c r="M30" s="256" t="s">
        <v>498</v>
      </c>
      <c r="N30" s="256" t="s">
        <v>497</v>
      </c>
      <c r="O30" s="256" t="s">
        <v>736</v>
      </c>
    </row>
    <row r="31" spans="1:15">
      <c r="A31" s="256" t="s">
        <v>311</v>
      </c>
      <c r="B31" s="256" t="s">
        <v>262</v>
      </c>
      <c r="C31" s="256" t="s">
        <v>737</v>
      </c>
      <c r="D31" s="332" t="inlineStr">
        <is>
          <t xml:space="preserve">UNKNOWN</t>
        </is>
      </c>
      <c r="E31" s="330" t="inlineStr">
        <is>
          <t>Y</t>
        </is>
      </c>
      <c r="F31" s="330" t="inlineStr">
        <is>
          <t xml:space="preserve">진단 대상 35개 국가·리테일러에 해당하지 않음</t>
        </is>
      </c>
      <c r="J31" t="s">
        <v>27</v>
      </c>
      <c r="K31" t="s">
        <v>297</v>
      </c>
      <c r="L31"/>
      <c r="M31" s="256" t="s">
        <v>704</v>
      </c>
      <c r="N31" s="256" t="s">
        <v>738</v>
      </c>
      <c r="O31" s="256" t="s">
        <v>739</v>
      </c>
    </row>
    <row r="32" spans="1:15">
      <c r="A32" s="256" t="s">
        <v>345</v>
      </c>
      <c r="B32" s="256" t="s">
        <v>262</v>
      </c>
      <c r="C32" s="256" t="s">
        <v>740</v>
      </c>
      <c r="D32" s="330" t="inlineStr">
        <is>
          <t xml:space="preserve">MNT</t>
        </is>
      </c>
      <c r="E32" s="330" t="inlineStr">
        <is>
          <t>Y</t>
        </is>
      </c>
      <c r="F32" s="330" t="inlineStr">
        <is>
          <t xml:space="preserve">진단 대상 35개 국가·리테일러에 해당하지 않음</t>
        </is>
      </c>
      <c r="J32"/>
      <c r="K32" t="s">
        <v>615</v>
      </c>
      <c r="L32"/>
      <c r="M32" s="258" t="s">
        <v>741</v>
      </c>
      <c r="N32" s="258" t="s">
        <v>742</v>
      </c>
      <c r="O32" s="258" t="s">
        <v>743</v>
      </c>
    </row>
    <row r="33" spans="1:15">
      <c r="A33" s="256" t="s">
        <v>345</v>
      </c>
      <c r="B33" s="256" t="s">
        <v>262</v>
      </c>
      <c r="C33" s="256" t="s">
        <v>744</v>
      </c>
      <c r="D33" s="330" t="inlineStr">
        <is>
          <t xml:space="preserve">LAPTOP</t>
        </is>
      </c>
      <c r="E33" s="330" t="inlineStr">
        <is>
          <t>Y</t>
        </is>
      </c>
      <c r="F33" s="330" t="inlineStr">
        <is>
          <t xml:space="preserve">진단 대상 35개 국가·리테일러에 해당하지 않음</t>
        </is>
      </c>
      <c r="J33" t="s">
        <v>359</v>
      </c>
      <c r="K33" t="s">
        <v>303</v>
      </c>
      <c r="L33"/>
      <c r="M33" s="256" t="s">
        <v>201</v>
      </c>
      <c r="N33" s="256" t="s">
        <v>5</v>
      </c>
      <c r="O33" s="256" t="s">
        <v>745</v>
      </c>
    </row>
    <row r="34" spans="1:15">
      <c r="A34" s="256" t="s">
        <v>345</v>
      </c>
      <c r="B34" s="256" t="s">
        <v>262</v>
      </c>
      <c r="C34" s="256" t="s">
        <v>746</v>
      </c>
      <c r="D34" s="330" t="inlineStr">
        <is>
          <t xml:space="preserve">TV</t>
        </is>
      </c>
      <c r="E34" s="330" t="inlineStr">
        <is>
          <t>Y</t>
        </is>
      </c>
      <c r="F34" s="330" t="inlineStr">
        <is>
          <t xml:space="preserve">진단 대상 35개 국가·리테일러에 해당하지 않음</t>
        </is>
      </c>
      <c r="J34"/>
      <c r="K34" t="s">
        <v>362</v>
      </c>
      <c r="L34"/>
      <c r="M34" s="256" t="s">
        <v>211</v>
      </c>
      <c r="N34" s="256" t="s">
        <v>7</v>
      </c>
      <c r="O34" s="256" t="s">
        <v>747</v>
      </c>
    </row>
    <row r="35" spans="1:15">
      <c r="A35" s="256" t="s">
        <v>345</v>
      </c>
      <c r="B35" s="256" t="s">
        <v>262</v>
      </c>
      <c r="C35" s="256" t="s">
        <v>748</v>
      </c>
      <c r="D35" s="332" t="inlineStr">
        <is>
          <t xml:space="preserve">UNKNOWN</t>
        </is>
      </c>
      <c r="E35" s="330" t="inlineStr">
        <is>
          <t>Y</t>
        </is>
      </c>
      <c r="F35" s="330" t="inlineStr">
        <is>
          <t xml:space="preserve">진단 대상 35개 국가·리테일러에 해당하지 않음</t>
        </is>
      </c>
      <c r="J35"/>
      <c r="K35" t="s">
        <v>620</v>
      </c>
      <c r="L35"/>
      <c r="M35" s="256" t="s">
        <v>230</v>
      </c>
      <c r="N35" s="256" t="s">
        <v>9</v>
      </c>
      <c r="O35" s="256" t="s">
        <v>747</v>
      </c>
    </row>
    <row r="36" spans="1:15">
      <c r="A36" s="256" t="s">
        <v>345</v>
      </c>
      <c r="B36" s="256" t="s">
        <v>262</v>
      </c>
      <c r="C36" s="256" t="s">
        <v>749</v>
      </c>
      <c r="D36" s="332" t="inlineStr">
        <is>
          <t xml:space="preserve">UNKNOWN</t>
        </is>
      </c>
      <c r="E36" s="330" t="inlineStr">
        <is>
          <t>Y</t>
        </is>
      </c>
      <c r="F36" s="330" t="inlineStr">
        <is>
          <t xml:space="preserve">진단 대상 35개 국가·리테일러에 해당하지 않음</t>
        </is>
      </c>
      <c r="J36"/>
      <c r="K36" t="s">
        <v>750</v>
      </c>
      <c r="L36"/>
      <c r="M36" s="256" t="s">
        <v>218</v>
      </c>
      <c r="N36" s="256" t="s">
        <v>8</v>
      </c>
      <c r="O36" s="256" t="s">
        <v>751</v>
      </c>
    </row>
    <row r="37" spans="1:15">
      <c r="A37" s="256" t="s">
        <v>345</v>
      </c>
      <c r="B37" s="256" t="s">
        <v>262</v>
      </c>
      <c r="C37" s="256" t="s">
        <v>752</v>
      </c>
      <c r="D37" s="332" t="inlineStr">
        <is>
          <t xml:space="preserve">UNKNOWN</t>
        </is>
      </c>
      <c r="E37" s="330" t="inlineStr">
        <is>
          <t>Y</t>
        </is>
      </c>
      <c r="F37" s="330" t="inlineStr">
        <is>
          <t xml:space="preserve">진단 대상 35개 국가·리테일러에 해당하지 않음</t>
        </is>
      </c>
      <c r="J37"/>
      <c r="K37" t="s">
        <v>753</v>
      </c>
      <c r="L37"/>
      <c r="M37" s="256" t="s">
        <v>237</v>
      </c>
      <c r="N37" s="256" t="s">
        <v>12</v>
      </c>
      <c r="O37" s="256" t="s">
        <v>240</v>
      </c>
    </row>
    <row r="38" spans="1:15">
      <c r="A38" s="256" t="s">
        <v>345</v>
      </c>
      <c r="B38" s="256" t="s">
        <v>262</v>
      </c>
      <c r="C38" s="256" t="s">
        <v>754</v>
      </c>
      <c r="D38" s="332" t="inlineStr">
        <is>
          <t xml:space="preserve">UNKNOWN</t>
        </is>
      </c>
      <c r="E38" s="330" t="inlineStr">
        <is>
          <t>Y</t>
        </is>
      </c>
      <c r="F38" s="330" t="inlineStr">
        <is>
          <t xml:space="preserve">진단 대상 35개 국가·리테일러에 해당하지 않음</t>
        </is>
      </c>
      <c r="J38" t="s">
        <v>237</v>
      </c>
      <c r="K38" t="s">
        <v>240</v>
      </c>
      <c r="L38"/>
    </row>
    <row r="39" spans="1:15">
      <c r="A39" s="256" t="s">
        <v>345</v>
      </c>
      <c r="B39" s="256" t="s">
        <v>262</v>
      </c>
      <c r="C39" s="256" t="s">
        <v>755</v>
      </c>
      <c r="D39" s="332" t="inlineStr">
        <is>
          <t xml:space="preserve">UNKNOWN</t>
        </is>
      </c>
      <c r="E39" s="330" t="inlineStr">
        <is>
          <t>Y</t>
        </is>
      </c>
      <c r="F39" s="330" t="inlineStr">
        <is>
          <t xml:space="preserve">진단 대상 35개 국가·리테일러에 해당하지 않음</t>
        </is>
      </c>
      <c r="J39"/>
      <c r="K39" t="s">
        <v>242</v>
      </c>
      <c r="L39"/>
    </row>
    <row r="40" spans="1:15">
      <c r="A40" s="256" t="s">
        <v>345</v>
      </c>
      <c r="B40" s="256" t="s">
        <v>262</v>
      </c>
      <c r="C40" s="256" t="s">
        <v>756</v>
      </c>
      <c r="D40" s="332" t="inlineStr">
        <is>
          <t xml:space="preserve">UNKNOWN</t>
        </is>
      </c>
      <c r="E40" s="330" t="inlineStr">
        <is>
          <t>Y</t>
        </is>
      </c>
      <c r="F40" s="330" t="inlineStr">
        <is>
          <t xml:space="preserve">진단 대상 35개 국가·리테일러에 해당하지 않음</t>
        </is>
      </c>
      <c r="J40"/>
      <c r="K40" t="s">
        <v>237</v>
      </c>
      <c r="L40"/>
    </row>
    <row r="41" spans="1:15">
      <c r="A41" s="256" t="s">
        <v>261</v>
      </c>
      <c r="B41" s="256" t="s">
        <v>262</v>
      </c>
      <c r="C41" s="256" t="s">
        <v>757</v>
      </c>
      <c r="D41" s="330" t="inlineStr">
        <is>
          <t xml:space="preserve">TV</t>
        </is>
      </c>
      <c r="E41" s="330" t="inlineStr">
        <is>
          <t>Y</t>
        </is>
      </c>
      <c r="F41" s="330" t="inlineStr">
        <is>
          <t xml:space="preserve">대상 제품군이 아님: TV</t>
        </is>
      </c>
      <c r="G41" s="256" t="s">
        <v>127</v>
      </c>
      <c r="J41"/>
      <c r="K41"/>
      <c r="L41"/>
    </row>
    <row r="42" spans="1:15">
      <c r="A42" s="256" t="s">
        <v>261</v>
      </c>
      <c r="B42" s="256" t="s">
        <v>262</v>
      </c>
      <c r="C42" s="256" t="s">
        <v>758</v>
      </c>
      <c r="D42" s="330" t="inlineStr">
        <is>
          <t xml:space="preserve">MNT</t>
        </is>
      </c>
      <c r="E42" s="330" t="inlineStr">
        <is>
          <t>Y</t>
        </is>
      </c>
      <c r="F42" s="330" t="inlineStr">
        <is>
          <t xml:space="preserve">대상 제품군이 아님: 모니터</t>
        </is>
      </c>
      <c r="G42" s="256" t="s">
        <v>127</v>
      </c>
      <c r="J42"/>
      <c r="K42"/>
      <c r="L42"/>
    </row>
    <row r="43" spans="1:15">
      <c r="A43" s="256" t="s">
        <v>261</v>
      </c>
      <c r="B43" s="256" t="s">
        <v>262</v>
      </c>
      <c r="C43" s="256" t="s">
        <v>759</v>
      </c>
      <c r="D43" s="330" t="inlineStr">
        <is>
          <t xml:space="preserve">BT_SPEAKER</t>
        </is>
      </c>
      <c r="E43" s="330" t="inlineStr">
        <is>
          <t>Y</t>
        </is>
      </c>
      <c r="F43" s="330" t="inlineStr">
        <is>
          <t xml:space="preserve">대상 제품군이 아님: 블루투스 스피커</t>
        </is>
      </c>
      <c r="G43" s="256" t="s">
        <v>127</v>
      </c>
      <c r="J43"/>
      <c r="K43"/>
      <c r="L43"/>
    </row>
    <row r="44" spans="1:15">
      <c r="A44" s="256" t="s">
        <v>261</v>
      </c>
      <c r="B44" s="256" t="s">
        <v>262</v>
      </c>
      <c r="C44" s="256" t="s">
        <v>760</v>
      </c>
      <c r="D44" s="330" t="inlineStr">
        <is>
          <t xml:space="preserve">SOUNDBAR</t>
        </is>
      </c>
      <c r="E44" s="330" t="inlineStr">
        <is>
          <t>Y</t>
        </is>
      </c>
      <c r="F44" s="330" t="inlineStr">
        <is>
          <t xml:space="preserve">대상 제품군이 아님: 사운드바</t>
        </is>
      </c>
      <c r="G44" s="256" t="s">
        <v>127</v>
      </c>
      <c r="J44"/>
      <c r="K44"/>
      <c r="L44"/>
    </row>
    <row r="45" spans="1:15">
      <c r="A45" s="256" t="s">
        <v>261</v>
      </c>
      <c r="B45" s="256" t="s">
        <v>262</v>
      </c>
      <c r="C45" s="256" t="s">
        <v>761</v>
      </c>
      <c r="D45" s="330" t="inlineStr">
        <is>
          <t xml:space="preserve">HEADSET</t>
        </is>
      </c>
      <c r="E45" s="330" t="inlineStr">
        <is>
          <t>Y</t>
        </is>
      </c>
      <c r="F45" s="330" t="inlineStr">
        <is>
          <t xml:space="preserve">대상 제품군이 아님: 이어폰·헤드셋</t>
        </is>
      </c>
      <c r="G45" s="256" t="s">
        <v>127</v>
      </c>
      <c r="J45"/>
      <c r="K45"/>
      <c r="L45"/>
    </row>
    <row r="46" spans="1:15">
      <c r="A46" s="256" t="s">
        <v>261</v>
      </c>
      <c r="B46" s="256" t="s">
        <v>262</v>
      </c>
      <c r="C46" s="256" t="s">
        <v>762</v>
      </c>
      <c r="D46" s="330" t="inlineStr">
        <is>
          <t xml:space="preserve">LAPTOP</t>
        </is>
      </c>
      <c r="E46" s="330" t="inlineStr">
        <is>
          <t>Y</t>
        </is>
      </c>
      <c r="F46" s="330" t="inlineStr">
        <is>
          <t xml:space="preserve">대상 제품군이 아님: 노트북</t>
        </is>
      </c>
      <c r="G46" s="256" t="s">
        <v>127</v>
      </c>
      <c r="J46"/>
      <c r="K46"/>
      <c r="L46"/>
    </row>
    <row r="47" spans="1:15">
      <c r="A47" s="256" t="s">
        <v>261</v>
      </c>
      <c r="B47" s="256" t="s">
        <v>262</v>
      </c>
      <c r="C47" s="256" t="s">
        <v>763</v>
      </c>
      <c r="D47" s="330" t="inlineStr">
        <is>
          <t xml:space="preserve">OVEN</t>
        </is>
      </c>
      <c r="E47" s="330" t="inlineStr">
        <is>
          <t>Y</t>
        </is>
      </c>
      <c r="F47" s="330" t="inlineStr">
        <is>
          <t xml:space="preserve">대상 제품군이 아님: 오븐·조리기기</t>
        </is>
      </c>
      <c r="G47" s="256" t="s">
        <v>127</v>
      </c>
      <c r="J47"/>
      <c r="K47"/>
      <c r="L47"/>
    </row>
    <row r="48" spans="1:15">
      <c r="A48" s="256" t="s">
        <v>261</v>
      </c>
      <c r="B48" s="256" t="s">
        <v>262</v>
      </c>
      <c r="C48" s="256" t="s">
        <v>764</v>
      </c>
      <c r="D48" s="330" t="inlineStr">
        <is>
          <t xml:space="preserve">REF</t>
        </is>
      </c>
      <c r="E48" s="335" t="inlineStr">
        <is>
          <t>N</t>
        </is>
      </c>
      <c r="F48" s="330" t="inlineStr">
        <is>
          <t xml:space="preserve">수집 대상</t>
        </is>
      </c>
      <c r="G48" s="256" t="s">
        <v>127</v>
      </c>
      <c r="J48"/>
      <c r="K48"/>
      <c r="L48"/>
    </row>
    <row r="49" spans="1:15">
      <c r="A49" s="256" t="s">
        <v>261</v>
      </c>
      <c r="B49" s="256" t="s">
        <v>262</v>
      </c>
      <c r="C49" s="256" t="s">
        <v>765</v>
      </c>
      <c r="D49" s="330" t="inlineStr">
        <is>
          <t xml:space="preserve">WM</t>
        </is>
      </c>
      <c r="E49" s="335" t="inlineStr">
        <is>
          <t>N</t>
        </is>
      </c>
      <c r="F49" s="330" t="inlineStr">
        <is>
          <t xml:space="preserve">수집 대상</t>
        </is>
      </c>
      <c r="G49" s="256" t="s">
        <v>127</v>
      </c>
      <c r="J49"/>
      <c r="K49"/>
      <c r="L49"/>
    </row>
    <row r="50" spans="1:15">
      <c r="A50" s="256" t="s">
        <v>261</v>
      </c>
      <c r="B50" s="256" t="s">
        <v>262</v>
      </c>
      <c r="C50" s="256" t="s">
        <v>766</v>
      </c>
      <c r="D50" s="330" t="inlineStr">
        <is>
          <t xml:space="preserve">RAC</t>
        </is>
      </c>
      <c r="E50" s="330" t="inlineStr">
        <is>
          <t>Y</t>
        </is>
      </c>
      <c r="F50" s="330" t="inlineStr">
        <is>
          <t xml:space="preserve">대상 제품군이 아님: 에어컨</t>
        </is>
      </c>
      <c r="G50" s="256" t="s">
        <v>127</v>
      </c>
      <c r="J50"/>
      <c r="K50"/>
      <c r="L50"/>
    </row>
    <row r="51" spans="1:15">
      <c r="A51" s="256" t="s">
        <v>261</v>
      </c>
      <c r="B51" s="256" t="s">
        <v>262</v>
      </c>
      <c r="C51" s="256" t="s">
        <v>767</v>
      </c>
      <c r="D51" s="330" t="inlineStr">
        <is>
          <t xml:space="preserve">DRYER</t>
        </is>
      </c>
      <c r="E51" s="335" t="inlineStr">
        <is>
          <t>N</t>
        </is>
      </c>
      <c r="F51" s="330" t="inlineStr">
        <is>
          <t xml:space="preserve">수집 대상</t>
        </is>
      </c>
      <c r="G51" s="256" t="s">
        <v>127</v>
      </c>
      <c r="J51"/>
      <c r="K51"/>
      <c r="L51"/>
    </row>
    <row r="52" spans="1:15">
      <c r="A52" s="256" t="s">
        <v>285</v>
      </c>
      <c r="B52" s="256" t="s">
        <v>262</v>
      </c>
      <c r="C52" s="256" t="s">
        <v>768</v>
      </c>
      <c r="D52" s="330" t="inlineStr">
        <is>
          <t xml:space="preserve">MNT</t>
        </is>
      </c>
      <c r="E52" s="330" t="inlineStr">
        <is>
          <t>Y</t>
        </is>
      </c>
      <c r="F52" s="330" t="inlineStr">
        <is>
          <t xml:space="preserve">진단 대상 35개 국가·리테일러에 해당하지 않음</t>
        </is>
      </c>
      <c r="J52"/>
      <c r="K52"/>
      <c r="L52"/>
    </row>
    <row r="53" spans="1:15">
      <c r="A53" s="256" t="s">
        <v>285</v>
      </c>
      <c r="B53" s="256" t="s">
        <v>262</v>
      </c>
      <c r="C53" s="256" t="s">
        <v>769</v>
      </c>
      <c r="D53" s="330" t="inlineStr">
        <is>
          <t xml:space="preserve">LAPTOP</t>
        </is>
      </c>
      <c r="E53" s="330" t="inlineStr">
        <is>
          <t>Y</t>
        </is>
      </c>
      <c r="F53" s="330" t="inlineStr">
        <is>
          <t xml:space="preserve">진단 대상 35개 국가·리테일러에 해당하지 않음</t>
        </is>
      </c>
      <c r="J53"/>
      <c r="K53"/>
      <c r="L53"/>
    </row>
    <row r="54" spans="1:15">
      <c r="A54" s="256" t="s">
        <v>285</v>
      </c>
      <c r="B54" s="256" t="s">
        <v>262</v>
      </c>
      <c r="C54" s="256" t="s">
        <v>770</v>
      </c>
      <c r="D54" s="330" t="inlineStr">
        <is>
          <t xml:space="preserve">OVEN</t>
        </is>
      </c>
      <c r="E54" s="330" t="inlineStr">
        <is>
          <t>Y</t>
        </is>
      </c>
      <c r="F54" s="330" t="inlineStr">
        <is>
          <t xml:space="preserve">진단 대상 35개 국가·리테일러에 해당하지 않음</t>
        </is>
      </c>
      <c r="J54"/>
      <c r="K54"/>
      <c r="L54"/>
    </row>
    <row r="55" spans="1:15">
      <c r="A55" s="256" t="s">
        <v>285</v>
      </c>
      <c r="B55" s="256" t="s">
        <v>262</v>
      </c>
      <c r="C55" s="256" t="s">
        <v>771</v>
      </c>
      <c r="D55" s="330" t="inlineStr">
        <is>
          <t xml:space="preserve">OVEN</t>
        </is>
      </c>
      <c r="E55" s="330" t="inlineStr">
        <is>
          <t>Y</t>
        </is>
      </c>
      <c r="F55" s="330" t="inlineStr">
        <is>
          <t xml:space="preserve">진단 대상 35개 국가·리테일러에 해당하지 않음</t>
        </is>
      </c>
      <c r="J55"/>
      <c r="K55"/>
      <c r="L55"/>
    </row>
    <row r="56" spans="1:15">
      <c r="A56" s="256" t="s">
        <v>285</v>
      </c>
      <c r="B56" s="256" t="s">
        <v>262</v>
      </c>
      <c r="C56" s="256" t="s">
        <v>772</v>
      </c>
      <c r="D56" s="330" t="inlineStr">
        <is>
          <t xml:space="preserve">TV</t>
        </is>
      </c>
      <c r="E56" s="330" t="inlineStr">
        <is>
          <t>Y</t>
        </is>
      </c>
      <c r="F56" s="330" t="inlineStr">
        <is>
          <t xml:space="preserve">진단 대상 35개 국가·리테일러에 해당하지 않음</t>
        </is>
      </c>
      <c r="J56"/>
      <c r="K56"/>
      <c r="L56"/>
    </row>
    <row r="57" spans="1:15">
      <c r="A57" s="256" t="s">
        <v>285</v>
      </c>
      <c r="B57" s="256" t="s">
        <v>262</v>
      </c>
      <c r="C57" s="256" t="s">
        <v>773</v>
      </c>
      <c r="D57" s="330" t="inlineStr">
        <is>
          <t xml:space="preserve">REF</t>
        </is>
      </c>
      <c r="E57" s="330" t="inlineStr">
        <is>
          <t>Y</t>
        </is>
      </c>
      <c r="F57" s="330" t="inlineStr">
        <is>
          <t xml:space="preserve">진단 대상 35개 국가·리테일러에 해당하지 않음</t>
        </is>
      </c>
      <c r="J57"/>
      <c r="K57"/>
      <c r="L57"/>
    </row>
    <row r="58" spans="1:15">
      <c r="A58" s="256" t="s">
        <v>285</v>
      </c>
      <c r="B58" s="256" t="s">
        <v>262</v>
      </c>
      <c r="C58" s="256" t="s">
        <v>774</v>
      </c>
      <c r="D58" s="330" t="inlineStr">
        <is>
          <t xml:space="preserve">WM</t>
        </is>
      </c>
      <c r="E58" s="330" t="inlineStr">
        <is>
          <t>Y</t>
        </is>
      </c>
      <c r="F58" s="330" t="inlineStr">
        <is>
          <t xml:space="preserve">진단 대상 35개 국가·리테일러에 해당하지 않음</t>
        </is>
      </c>
      <c r="J58"/>
      <c r="K58"/>
      <c r="L58"/>
    </row>
    <row r="59" spans="1:15">
      <c r="A59" s="256" t="s">
        <v>285</v>
      </c>
      <c r="B59" s="256" t="s">
        <v>262</v>
      </c>
      <c r="C59" s="256" t="s">
        <v>775</v>
      </c>
      <c r="D59" s="332" t="inlineStr">
        <is>
          <t xml:space="preserve">UNKNOWN</t>
        </is>
      </c>
      <c r="E59" s="330" t="inlineStr">
        <is>
          <t>Y</t>
        </is>
      </c>
      <c r="F59" s="330" t="inlineStr">
        <is>
          <t xml:space="preserve">진단 대상 35개 국가·리테일러에 해당하지 않음</t>
        </is>
      </c>
      <c r="J59"/>
      <c r="K59"/>
      <c r="L59"/>
    </row>
    <row r="60" spans="1:15">
      <c r="A60" s="256" t="s">
        <v>285</v>
      </c>
      <c r="B60" s="256" t="s">
        <v>262</v>
      </c>
      <c r="C60" s="256" t="s">
        <v>776</v>
      </c>
      <c r="D60" s="330" t="inlineStr">
        <is>
          <t xml:space="preserve">RAC</t>
        </is>
      </c>
      <c r="E60" s="330" t="inlineStr">
        <is>
          <t>Y</t>
        </is>
      </c>
      <c r="F60" s="330" t="inlineStr">
        <is>
          <t xml:space="preserve">진단 대상 35개 국가·리테일러에 해당하지 않음</t>
        </is>
      </c>
      <c r="J60"/>
      <c r="K60"/>
      <c r="L60"/>
    </row>
    <row r="61" spans="1:15">
      <c r="A61" s="256" t="s">
        <v>285</v>
      </c>
      <c r="B61" s="256" t="s">
        <v>262</v>
      </c>
      <c r="C61" s="256" t="s">
        <v>777</v>
      </c>
      <c r="D61" s="332" t="inlineStr">
        <is>
          <t xml:space="preserve">UNKNOWN</t>
        </is>
      </c>
      <c r="E61" s="330" t="inlineStr">
        <is>
          <t>Y</t>
        </is>
      </c>
      <c r="F61" s="330" t="inlineStr">
        <is>
          <t xml:space="preserve">진단 대상 35개 국가·리테일러에 해당하지 않음</t>
        </is>
      </c>
      <c r="J61"/>
      <c r="K61"/>
      <c r="L61"/>
    </row>
    <row r="62" spans="1:15">
      <c r="A62" s="256" t="s">
        <v>285</v>
      </c>
      <c r="B62" s="256" t="s">
        <v>262</v>
      </c>
      <c r="C62" s="256" t="s">
        <v>778</v>
      </c>
      <c r="D62" s="332" t="inlineStr">
        <is>
          <t xml:space="preserve">UNKNOWN</t>
        </is>
      </c>
      <c r="E62" s="330" t="inlineStr">
        <is>
          <t>Y</t>
        </is>
      </c>
      <c r="F62" s="330" t="inlineStr">
        <is>
          <t xml:space="preserve">진단 대상 35개 국가·리테일러에 해당하지 않음</t>
        </is>
      </c>
      <c r="J62"/>
      <c r="K62"/>
      <c r="L62"/>
    </row>
    <row r="63" spans="1:15">
      <c r="A63" s="256" t="s">
        <v>285</v>
      </c>
      <c r="B63" s="256" t="s">
        <v>262</v>
      </c>
      <c r="C63" s="256" t="s">
        <v>779</v>
      </c>
      <c r="D63" s="330" t="inlineStr">
        <is>
          <t xml:space="preserve">DRYER</t>
        </is>
      </c>
      <c r="E63" s="330" t="inlineStr">
        <is>
          <t>Y</t>
        </is>
      </c>
      <c r="F63" s="330" t="inlineStr">
        <is>
          <t xml:space="preserve">진단 대상 35개 국가·리테일러에 해당하지 않음</t>
        </is>
      </c>
      <c r="J63"/>
      <c r="K63"/>
      <c r="L63"/>
    </row>
    <row r="64" spans="1:15">
      <c r="A64" s="256" t="s">
        <v>302</v>
      </c>
      <c r="B64" s="256" t="s">
        <v>303</v>
      </c>
      <c r="C64" s="256" t="s">
        <v>780</v>
      </c>
      <c r="D64" s="330" t="inlineStr">
        <is>
          <t xml:space="preserve">REF</t>
        </is>
      </c>
      <c r="E64" s="330" t="inlineStr">
        <is>
          <t>Y</t>
        </is>
      </c>
      <c r="F64" s="330" t="inlineStr">
        <is>
          <t xml:space="preserve">진단 대상 35개 국가·리테일러에 해당하지 않음</t>
        </is>
      </c>
      <c r="J64"/>
      <c r="K64"/>
      <c r="L64"/>
    </row>
    <row r="65" spans="1:15">
      <c r="A65" s="256" t="s">
        <v>302</v>
      </c>
      <c r="B65" s="256" t="s">
        <v>303</v>
      </c>
      <c r="C65" s="256" t="s">
        <v>781</v>
      </c>
      <c r="D65" s="330" t="inlineStr">
        <is>
          <t xml:space="preserve">WM</t>
        </is>
      </c>
      <c r="E65" s="330" t="inlineStr">
        <is>
          <t>Y</t>
        </is>
      </c>
      <c r="F65" s="330" t="inlineStr">
        <is>
          <t xml:space="preserve">진단 대상 35개 국가·리테일러에 해당하지 않음</t>
        </is>
      </c>
      <c r="J65"/>
      <c r="K65"/>
      <c r="L65"/>
    </row>
    <row r="66" spans="1:15">
      <c r="A66" s="256" t="s">
        <v>302</v>
      </c>
      <c r="B66" s="256" t="s">
        <v>303</v>
      </c>
      <c r="C66" s="256" t="s">
        <v>782</v>
      </c>
      <c r="D66" s="330" t="inlineStr">
        <is>
          <t xml:space="preserve">TV</t>
        </is>
      </c>
      <c r="E66" s="330" t="inlineStr">
        <is>
          <t>Y</t>
        </is>
      </c>
      <c r="F66" s="330" t="inlineStr">
        <is>
          <t xml:space="preserve">진단 대상 35개 국가·리테일러에 해당하지 않음</t>
        </is>
      </c>
      <c r="J66"/>
      <c r="K66"/>
      <c r="L66"/>
    </row>
    <row r="67" spans="1:15">
      <c r="A67" s="256" t="s">
        <v>302</v>
      </c>
      <c r="B67" s="256" t="s">
        <v>303</v>
      </c>
      <c r="C67" s="256" t="s">
        <v>783</v>
      </c>
      <c r="D67" s="330" t="inlineStr">
        <is>
          <t xml:space="preserve">MNT</t>
        </is>
      </c>
      <c r="E67" s="330" t="inlineStr">
        <is>
          <t>Y</t>
        </is>
      </c>
      <c r="F67" s="330" t="inlineStr">
        <is>
          <t xml:space="preserve">진단 대상 35개 국가·리테일러에 해당하지 않음</t>
        </is>
      </c>
      <c r="J67"/>
      <c r="K67"/>
      <c r="L67"/>
    </row>
    <row r="68" spans="1:15">
      <c r="A68" s="256" t="s">
        <v>302</v>
      </c>
      <c r="B68" s="256" t="s">
        <v>303</v>
      </c>
      <c r="C68" s="256" t="s">
        <v>784</v>
      </c>
      <c r="D68" s="330" t="inlineStr">
        <is>
          <t xml:space="preserve">BT_SPEAKER</t>
        </is>
      </c>
      <c r="E68" s="330" t="inlineStr">
        <is>
          <t>Y</t>
        </is>
      </c>
      <c r="F68" s="330" t="inlineStr">
        <is>
          <t xml:space="preserve">진단 대상 35개 국가·리테일러에 해당하지 않음</t>
        </is>
      </c>
      <c r="J68"/>
      <c r="K68"/>
      <c r="L68"/>
    </row>
    <row r="69" spans="1:15">
      <c r="A69" s="256" t="s">
        <v>302</v>
      </c>
      <c r="B69" s="256" t="s">
        <v>303</v>
      </c>
      <c r="C69" s="256" t="s">
        <v>785</v>
      </c>
      <c r="D69" s="330" t="inlineStr">
        <is>
          <t xml:space="preserve">SOUNDBAR</t>
        </is>
      </c>
      <c r="E69" s="330" t="inlineStr">
        <is>
          <t>Y</t>
        </is>
      </c>
      <c r="F69" s="330" t="inlineStr">
        <is>
          <t xml:space="preserve">진단 대상 35개 국가·리테일러에 해당하지 않음</t>
        </is>
      </c>
      <c r="J69"/>
      <c r="K69"/>
      <c r="L69"/>
    </row>
    <row r="70" spans="1:15">
      <c r="A70" s="256" t="s">
        <v>302</v>
      </c>
      <c r="B70" s="256" t="s">
        <v>303</v>
      </c>
      <c r="C70" s="256" t="s">
        <v>786</v>
      </c>
      <c r="D70" s="330" t="inlineStr">
        <is>
          <t xml:space="preserve">RAC</t>
        </is>
      </c>
      <c r="E70" s="330" t="inlineStr">
        <is>
          <t>Y</t>
        </is>
      </c>
      <c r="F70" s="330" t="inlineStr">
        <is>
          <t xml:space="preserve">진단 대상 35개 국가·리테일러에 해당하지 않음</t>
        </is>
      </c>
      <c r="J70"/>
      <c r="K70"/>
      <c r="L70"/>
    </row>
    <row r="71" spans="1:15">
      <c r="A71" s="256" t="s">
        <v>302</v>
      </c>
      <c r="B71" s="256" t="s">
        <v>303</v>
      </c>
      <c r="C71" s="256" t="s">
        <v>787</v>
      </c>
      <c r="D71" s="330" t="inlineStr">
        <is>
          <t xml:space="preserve">HEADSET</t>
        </is>
      </c>
      <c r="E71" s="330" t="inlineStr">
        <is>
          <t>Y</t>
        </is>
      </c>
      <c r="F71" s="330" t="inlineStr">
        <is>
          <t xml:space="preserve">진단 대상 35개 국가·리테일러에 해당하지 않음</t>
        </is>
      </c>
      <c r="J71"/>
      <c r="K71"/>
      <c r="L71"/>
    </row>
    <row r="72" spans="1:15">
      <c r="A72" s="256" t="s">
        <v>302</v>
      </c>
      <c r="B72" s="256" t="s">
        <v>303</v>
      </c>
      <c r="C72" s="256" t="s">
        <v>788</v>
      </c>
      <c r="D72" s="330" t="inlineStr">
        <is>
          <t xml:space="preserve">WATER_PURIFIER</t>
        </is>
      </c>
      <c r="E72" s="330" t="inlineStr">
        <is>
          <t>Y</t>
        </is>
      </c>
      <c r="F72" s="330" t="inlineStr">
        <is>
          <t xml:space="preserve">진단 대상 35개 국가·리테일러에 해당하지 않음</t>
        </is>
      </c>
      <c r="J72"/>
      <c r="K72"/>
      <c r="L72"/>
    </row>
    <row r="73" spans="1:15">
      <c r="A73" s="256" t="s">
        <v>271</v>
      </c>
      <c r="B73" s="256" t="s">
        <v>262</v>
      </c>
      <c r="C73" s="256" t="s">
        <v>789</v>
      </c>
      <c r="D73" s="330" t="inlineStr">
        <is>
          <t xml:space="preserve">REF</t>
        </is>
      </c>
      <c r="E73" s="335" t="inlineStr">
        <is>
          <t>N</t>
        </is>
      </c>
      <c r="F73" s="330" t="inlineStr">
        <is>
          <t xml:space="preserve">수집 대상</t>
        </is>
      </c>
      <c r="G73" s="256" t="s">
        <v>127</v>
      </c>
      <c r="J73"/>
      <c r="K73"/>
      <c r="L73"/>
    </row>
    <row r="74" spans="1:15">
      <c r="A74" s="256" t="s">
        <v>271</v>
      </c>
      <c r="B74" s="256" t="s">
        <v>262</v>
      </c>
      <c r="C74" s="256" t="s">
        <v>790</v>
      </c>
      <c r="D74" s="330" t="inlineStr">
        <is>
          <t xml:space="preserve">MNT</t>
        </is>
      </c>
      <c r="E74" s="330" t="inlineStr">
        <is>
          <t>Y</t>
        </is>
      </c>
      <c r="F74" s="330" t="inlineStr">
        <is>
          <t xml:space="preserve">대상 제품군이 아님: 모니터</t>
        </is>
      </c>
      <c r="G74" s="256" t="s">
        <v>127</v>
      </c>
      <c r="J74"/>
      <c r="K74"/>
      <c r="L74"/>
    </row>
    <row r="75" spans="1:15">
      <c r="A75" s="256" t="s">
        <v>271</v>
      </c>
      <c r="B75" s="256" t="s">
        <v>262</v>
      </c>
      <c r="C75" s="256" t="s">
        <v>791</v>
      </c>
      <c r="D75" s="330" t="inlineStr">
        <is>
          <t xml:space="preserve">LAPTOP</t>
        </is>
      </c>
      <c r="E75" s="330" t="inlineStr">
        <is>
          <t>Y</t>
        </is>
      </c>
      <c r="F75" s="330" t="inlineStr">
        <is>
          <t xml:space="preserve">대상 제품군이 아님: 노트북</t>
        </is>
      </c>
      <c r="G75" s="256" t="s">
        <v>127</v>
      </c>
      <c r="J75"/>
      <c r="K75"/>
      <c r="L75"/>
    </row>
    <row r="76" spans="1:15">
      <c r="A76" s="256" t="s">
        <v>271</v>
      </c>
      <c r="B76" s="256" t="s">
        <v>262</v>
      </c>
      <c r="C76" s="256" t="s">
        <v>792</v>
      </c>
      <c r="D76" s="330" t="inlineStr">
        <is>
          <t xml:space="preserve">WM</t>
        </is>
      </c>
      <c r="E76" s="335" t="inlineStr">
        <is>
          <t>N</t>
        </is>
      </c>
      <c r="F76" s="330" t="inlineStr">
        <is>
          <t xml:space="preserve">수집 대상</t>
        </is>
      </c>
      <c r="G76" s="256" t="s">
        <v>127</v>
      </c>
      <c r="J76"/>
      <c r="K76"/>
      <c r="L76"/>
    </row>
    <row r="77" spans="1:15">
      <c r="A77" s="256" t="s">
        <v>271</v>
      </c>
      <c r="B77" s="256" t="s">
        <v>262</v>
      </c>
      <c r="C77" s="256" t="s">
        <v>793</v>
      </c>
      <c r="D77" s="330" t="inlineStr">
        <is>
          <t xml:space="preserve">TV</t>
        </is>
      </c>
      <c r="E77" s="330" t="inlineStr">
        <is>
          <t>Y</t>
        </is>
      </c>
      <c r="F77" s="330" t="inlineStr">
        <is>
          <t xml:space="preserve">대상 제품군이 아님: TV</t>
        </is>
      </c>
      <c r="G77" s="256" t="s">
        <v>127</v>
      </c>
      <c r="J77"/>
      <c r="K77"/>
      <c r="L77"/>
    </row>
    <row r="78" spans="1:15">
      <c r="A78" s="256" t="s">
        <v>271</v>
      </c>
      <c r="B78" s="256" t="s">
        <v>262</v>
      </c>
      <c r="C78" s="256" t="s">
        <v>794</v>
      </c>
      <c r="D78" s="330" t="inlineStr">
        <is>
          <t xml:space="preserve">OVEN</t>
        </is>
      </c>
      <c r="E78" s="330" t="inlineStr">
        <is>
          <t>Y</t>
        </is>
      </c>
      <c r="F78" s="330" t="inlineStr">
        <is>
          <t xml:space="preserve">대상 제품군이 아님: 오븐·조리기기</t>
        </is>
      </c>
      <c r="G78" s="256" t="s">
        <v>127</v>
      </c>
      <c r="J78"/>
      <c r="K78"/>
      <c r="L78"/>
    </row>
    <row r="79" spans="1:15">
      <c r="A79" s="256" t="s">
        <v>271</v>
      </c>
      <c r="B79" s="256" t="s">
        <v>262</v>
      </c>
      <c r="C79" s="256" t="s">
        <v>795</v>
      </c>
      <c r="D79" s="330" t="inlineStr">
        <is>
          <t xml:space="preserve">OVEN</t>
        </is>
      </c>
      <c r="E79" s="330" t="inlineStr">
        <is>
          <t>Y</t>
        </is>
      </c>
      <c r="F79" s="330" t="inlineStr">
        <is>
          <t xml:space="preserve">대상 제품군이 아님: 오븐·조리기기</t>
        </is>
      </c>
      <c r="G79" s="256" t="s">
        <v>127</v>
      </c>
      <c r="J79"/>
      <c r="K79"/>
      <c r="L79"/>
    </row>
    <row r="80" spans="1:15">
      <c r="A80" s="256" t="s">
        <v>271</v>
      </c>
      <c r="B80" s="256" t="s">
        <v>262</v>
      </c>
      <c r="C80" s="256" t="s">
        <v>796</v>
      </c>
      <c r="D80" s="330" t="inlineStr">
        <is>
          <t xml:space="preserve">OVEN</t>
        </is>
      </c>
      <c r="E80" s="330" t="inlineStr">
        <is>
          <t>Y</t>
        </is>
      </c>
      <c r="F80" s="330" t="inlineStr">
        <is>
          <t xml:space="preserve">대상 제품군이 아님: 오븐·조리기기</t>
        </is>
      </c>
      <c r="G80" s="256" t="s">
        <v>127</v>
      </c>
      <c r="J80"/>
      <c r="K80"/>
      <c r="L80"/>
    </row>
    <row r="81" spans="1:15">
      <c r="A81" s="256" t="s">
        <v>271</v>
      </c>
      <c r="B81" s="256" t="s">
        <v>262</v>
      </c>
      <c r="C81" s="256" t="s">
        <v>797</v>
      </c>
      <c r="D81" s="332" t="inlineStr">
        <is>
          <t xml:space="preserve">UNKNOWN</t>
        </is>
      </c>
      <c r="E81" s="330" t="inlineStr">
        <is>
          <t>Y</t>
        </is>
      </c>
      <c r="F81" s="330" t="inlineStr">
        <is>
          <t xml:space="preserve">기존 수집 대상 목록 미포함; 카테고리 확인 필요</t>
        </is>
      </c>
      <c r="G81" s="256" t="s">
        <v>127</v>
      </c>
      <c r="J81"/>
      <c r="K81"/>
      <c r="L81"/>
    </row>
    <row r="82" spans="1:15">
      <c r="A82" s="256" t="s">
        <v>271</v>
      </c>
      <c r="B82" s="256" t="s">
        <v>262</v>
      </c>
      <c r="C82" s="256" t="s">
        <v>798</v>
      </c>
      <c r="D82" s="330" t="inlineStr">
        <is>
          <t xml:space="preserve">AUDIO</t>
        </is>
      </c>
      <c r="E82" s="330" t="inlineStr">
        <is>
          <t>Y</t>
        </is>
      </c>
      <c r="F82" s="330" t="inlineStr">
        <is>
          <t xml:space="preserve">대상 제품군이 아님: 음향기기</t>
        </is>
      </c>
      <c r="G82" s="256" t="s">
        <v>127</v>
      </c>
      <c r="J82"/>
      <c r="K82"/>
      <c r="L82"/>
    </row>
    <row r="83" spans="1:15">
      <c r="A83" s="256" t="s">
        <v>271</v>
      </c>
      <c r="B83" s="256" t="s">
        <v>262</v>
      </c>
      <c r="C83" s="256" t="s">
        <v>799</v>
      </c>
      <c r="D83" s="330" t="inlineStr">
        <is>
          <t xml:space="preserve">HEADSET</t>
        </is>
      </c>
      <c r="E83" s="330" t="inlineStr">
        <is>
          <t>Y</t>
        </is>
      </c>
      <c r="F83" s="330" t="inlineStr">
        <is>
          <t xml:space="preserve">대상 제품군이 아님: 이어폰·헤드셋</t>
        </is>
      </c>
      <c r="G83" s="256" t="s">
        <v>127</v>
      </c>
      <c r="J83"/>
      <c r="K83"/>
      <c r="L83"/>
    </row>
    <row r="84" spans="1:15">
      <c r="A84" s="256" t="s">
        <v>271</v>
      </c>
      <c r="B84" s="256" t="s">
        <v>262</v>
      </c>
      <c r="C84" s="256" t="s">
        <v>800</v>
      </c>
      <c r="D84" s="330" t="inlineStr">
        <is>
          <t xml:space="preserve">RAC</t>
        </is>
      </c>
      <c r="E84" s="330" t="inlineStr">
        <is>
          <t>Y</t>
        </is>
      </c>
      <c r="F84" s="330" t="inlineStr">
        <is>
          <t xml:space="preserve">대상 제품군이 아님: 에어컨</t>
        </is>
      </c>
      <c r="G84" s="256" t="s">
        <v>127</v>
      </c>
      <c r="J84"/>
      <c r="K84"/>
      <c r="L84"/>
    </row>
    <row r="85" spans="1:15">
      <c r="A85" s="256" t="s">
        <v>271</v>
      </c>
      <c r="B85" s="256" t="s">
        <v>262</v>
      </c>
      <c r="C85" s="256" t="s">
        <v>801</v>
      </c>
      <c r="D85" s="330" t="inlineStr">
        <is>
          <t xml:space="preserve">DRYER</t>
        </is>
      </c>
      <c r="E85" s="335" t="inlineStr">
        <is>
          <t>N</t>
        </is>
      </c>
      <c r="F85" s="330" t="inlineStr">
        <is>
          <t xml:space="preserve">수집 대상</t>
        </is>
      </c>
      <c r="G85" s="256" t="s">
        <v>127</v>
      </c>
      <c r="J85"/>
      <c r="K85"/>
      <c r="L85"/>
    </row>
    <row r="86" spans="1:15">
      <c r="A86" s="256" t="s">
        <v>307</v>
      </c>
      <c r="B86" s="256" t="s">
        <v>262</v>
      </c>
      <c r="C86" s="256" t="s">
        <v>802</v>
      </c>
      <c r="D86" s="330" t="inlineStr">
        <is>
          <t xml:space="preserve">MNT</t>
        </is>
      </c>
      <c r="E86" s="330" t="inlineStr">
        <is>
          <t>Y</t>
        </is>
      </c>
      <c r="F86" s="330" t="inlineStr">
        <is>
          <t xml:space="preserve">진단 대상 35개 국가·리테일러에 해당하지 않음</t>
        </is>
      </c>
      <c r="J86"/>
      <c r="K86"/>
      <c r="L86"/>
    </row>
    <row r="87" spans="1:15">
      <c r="A87" s="256" t="s">
        <v>307</v>
      </c>
      <c r="B87" s="256" t="s">
        <v>262</v>
      </c>
      <c r="C87" s="256" t="s">
        <v>803</v>
      </c>
      <c r="D87" s="330" t="inlineStr">
        <is>
          <t xml:space="preserve">TV</t>
        </is>
      </c>
      <c r="E87" s="330" t="inlineStr">
        <is>
          <t>Y</t>
        </is>
      </c>
      <c r="F87" s="330" t="inlineStr">
        <is>
          <t xml:space="preserve">진단 대상 35개 국가·리테일러에 해당하지 않음</t>
        </is>
      </c>
      <c r="J87"/>
      <c r="K87"/>
      <c r="L87"/>
    </row>
    <row r="88" spans="1:15">
      <c r="A88" s="256" t="s">
        <v>307</v>
      </c>
      <c r="B88" s="256" t="s">
        <v>262</v>
      </c>
      <c r="C88" s="256" t="s">
        <v>804</v>
      </c>
      <c r="D88" s="330" t="inlineStr">
        <is>
          <t xml:space="preserve">BT_SPEAKER</t>
        </is>
      </c>
      <c r="E88" s="330" t="inlineStr">
        <is>
          <t>Y</t>
        </is>
      </c>
      <c r="F88" s="330" t="inlineStr">
        <is>
          <t xml:space="preserve">진단 대상 35개 국가·리테일러에 해당하지 않음</t>
        </is>
      </c>
      <c r="J88"/>
      <c r="K88"/>
      <c r="L88"/>
    </row>
    <row r="89" spans="1:15">
      <c r="A89" s="256" t="s">
        <v>307</v>
      </c>
      <c r="B89" s="256" t="s">
        <v>262</v>
      </c>
      <c r="C89" s="256" t="s">
        <v>805</v>
      </c>
      <c r="D89" s="330" t="inlineStr">
        <is>
          <t xml:space="preserve">SOUNDBAR</t>
        </is>
      </c>
      <c r="E89" s="330" t="inlineStr">
        <is>
          <t>Y</t>
        </is>
      </c>
      <c r="F89" s="330" t="inlineStr">
        <is>
          <t xml:space="preserve">진단 대상 35개 국가·리테일러에 해당하지 않음</t>
        </is>
      </c>
      <c r="J89"/>
      <c r="K89"/>
      <c r="L89"/>
    </row>
    <row r="90" spans="1:15">
      <c r="A90" s="256" t="s">
        <v>307</v>
      </c>
      <c r="B90" s="256" t="s">
        <v>262</v>
      </c>
      <c r="C90" s="256" t="s">
        <v>806</v>
      </c>
      <c r="D90" s="330" t="inlineStr">
        <is>
          <t xml:space="preserve">HEADSET</t>
        </is>
      </c>
      <c r="E90" s="330" t="inlineStr">
        <is>
          <t>Y</t>
        </is>
      </c>
      <c r="F90" s="330" t="inlineStr">
        <is>
          <t xml:space="preserve">진단 대상 35개 국가·리테일러에 해당하지 않음</t>
        </is>
      </c>
      <c r="J90"/>
      <c r="K90"/>
      <c r="L90"/>
    </row>
    <row r="91" spans="1:15">
      <c r="A91" s="256" t="s">
        <v>307</v>
      </c>
      <c r="B91" s="256" t="s">
        <v>262</v>
      </c>
      <c r="C91" s="256" t="s">
        <v>807</v>
      </c>
      <c r="D91" s="330" t="inlineStr">
        <is>
          <t xml:space="preserve">LAPTOP</t>
        </is>
      </c>
      <c r="E91" s="330" t="inlineStr">
        <is>
          <t>Y</t>
        </is>
      </c>
      <c r="F91" s="330" t="inlineStr">
        <is>
          <t xml:space="preserve">진단 대상 35개 국가·리테일러에 해당하지 않음</t>
        </is>
      </c>
      <c r="J91"/>
      <c r="K91"/>
      <c r="L91"/>
    </row>
    <row r="92" spans="1:15">
      <c r="A92" s="256" t="s">
        <v>307</v>
      </c>
      <c r="B92" s="256" t="s">
        <v>262</v>
      </c>
      <c r="C92" s="256" t="s">
        <v>808</v>
      </c>
      <c r="D92" s="330" t="inlineStr">
        <is>
          <t xml:space="preserve">REF</t>
        </is>
      </c>
      <c r="E92" s="330" t="inlineStr">
        <is>
          <t>Y</t>
        </is>
      </c>
      <c r="F92" s="330" t="inlineStr">
        <is>
          <t xml:space="preserve">진단 대상 35개 국가·리테일러에 해당하지 않음</t>
        </is>
      </c>
      <c r="J92"/>
      <c r="K92"/>
      <c r="L92"/>
    </row>
    <row r="93" spans="1:15">
      <c r="A93" s="256" t="s">
        <v>307</v>
      </c>
      <c r="B93" s="256" t="s">
        <v>262</v>
      </c>
      <c r="C93" s="256" t="s">
        <v>809</v>
      </c>
      <c r="D93" s="330" t="inlineStr">
        <is>
          <t xml:space="preserve">WM</t>
        </is>
      </c>
      <c r="E93" s="330" t="inlineStr">
        <is>
          <t>Y</t>
        </is>
      </c>
      <c r="F93" s="330" t="inlineStr">
        <is>
          <t xml:space="preserve">진단 대상 35개 국가·리테일러에 해당하지 않음</t>
        </is>
      </c>
      <c r="J93"/>
      <c r="K93"/>
      <c r="L93"/>
    </row>
    <row r="94" spans="1:15">
      <c r="A94" s="256" t="s">
        <v>307</v>
      </c>
      <c r="B94" s="256" t="s">
        <v>262</v>
      </c>
      <c r="C94" s="256" t="s">
        <v>810</v>
      </c>
      <c r="D94" s="332" t="inlineStr">
        <is>
          <t xml:space="preserve">UNKNOWN</t>
        </is>
      </c>
      <c r="E94" s="330" t="inlineStr">
        <is>
          <t>Y</t>
        </is>
      </c>
      <c r="F94" s="330" t="inlineStr">
        <is>
          <t xml:space="preserve">진단 대상 35개 국가·리테일러에 해당하지 않음</t>
        </is>
      </c>
      <c r="J94"/>
      <c r="K94"/>
      <c r="L94"/>
    </row>
    <row r="95" spans="1:15">
      <c r="A95" s="256" t="s">
        <v>307</v>
      </c>
      <c r="B95" s="256" t="s">
        <v>262</v>
      </c>
      <c r="C95" s="256" t="s">
        <v>811</v>
      </c>
      <c r="D95" s="332" t="inlineStr">
        <is>
          <t xml:space="preserve">UNKNOWN</t>
        </is>
      </c>
      <c r="E95" s="330" t="inlineStr">
        <is>
          <t>Y</t>
        </is>
      </c>
      <c r="F95" s="330" t="inlineStr">
        <is>
          <t xml:space="preserve">진단 대상 35개 국가·리테일러에 해당하지 않음</t>
        </is>
      </c>
      <c r="J95"/>
      <c r="K95"/>
      <c r="L95"/>
    </row>
    <row r="96" spans="1:15">
      <c r="A96" s="256" t="s">
        <v>27</v>
      </c>
      <c r="B96" s="256" t="s">
        <v>262</v>
      </c>
      <c r="C96" s="256" t="s">
        <v>812</v>
      </c>
      <c r="D96" s="330" t="inlineStr">
        <is>
          <t xml:space="preserve">TV</t>
        </is>
      </c>
      <c r="E96" s="330" t="inlineStr">
        <is>
          <t>Y</t>
        </is>
      </c>
      <c r="F96" s="330" t="inlineStr">
        <is>
          <t xml:space="preserve">진단 대상 35개 국가·리테일러에 해당하지 않음</t>
        </is>
      </c>
      <c r="J96"/>
      <c r="K96"/>
      <c r="L96"/>
    </row>
    <row r="97" spans="1:15">
      <c r="A97" s="256" t="s">
        <v>27</v>
      </c>
      <c r="B97" s="256" t="s">
        <v>262</v>
      </c>
      <c r="C97" s="256" t="s">
        <v>813</v>
      </c>
      <c r="D97" s="330" t="inlineStr">
        <is>
          <t xml:space="preserve">MNT</t>
        </is>
      </c>
      <c r="E97" s="330" t="inlineStr">
        <is>
          <t>Y</t>
        </is>
      </c>
      <c r="F97" s="330" t="inlineStr">
        <is>
          <t xml:space="preserve">진단 대상 35개 국가·리테일러에 해당하지 않음</t>
        </is>
      </c>
      <c r="J97"/>
      <c r="K97"/>
      <c r="L97"/>
    </row>
    <row r="98" spans="1:15">
      <c r="A98" s="256" t="s">
        <v>27</v>
      </c>
      <c r="B98" s="256" t="s">
        <v>262</v>
      </c>
      <c r="C98" s="256" t="s">
        <v>814</v>
      </c>
      <c r="D98" s="330" t="inlineStr">
        <is>
          <t xml:space="preserve">BT_SPEAKER</t>
        </is>
      </c>
      <c r="E98" s="330" t="inlineStr">
        <is>
          <t>Y</t>
        </is>
      </c>
      <c r="F98" s="330" t="inlineStr">
        <is>
          <t xml:space="preserve">진단 대상 35개 국가·리테일러에 해당하지 않음</t>
        </is>
      </c>
      <c r="J98"/>
      <c r="K98"/>
      <c r="L98"/>
    </row>
    <row r="99" spans="1:15">
      <c r="A99" s="256" t="s">
        <v>27</v>
      </c>
      <c r="B99" s="256" t="s">
        <v>262</v>
      </c>
      <c r="C99" s="256" t="s">
        <v>815</v>
      </c>
      <c r="D99" s="330" t="inlineStr">
        <is>
          <t xml:space="preserve">SOUNDBAR</t>
        </is>
      </c>
      <c r="E99" s="330" t="inlineStr">
        <is>
          <t>Y</t>
        </is>
      </c>
      <c r="F99" s="330" t="inlineStr">
        <is>
          <t xml:space="preserve">진단 대상 35개 국가·리테일러에 해당하지 않음</t>
        </is>
      </c>
      <c r="J99"/>
      <c r="K99"/>
      <c r="L99"/>
    </row>
    <row r="100" spans="1:15">
      <c r="A100" s="256" t="s">
        <v>27</v>
      </c>
      <c r="B100" s="256" t="s">
        <v>262</v>
      </c>
      <c r="C100" s="256" t="s">
        <v>816</v>
      </c>
      <c r="D100" s="330" t="inlineStr">
        <is>
          <t xml:space="preserve">HEADSET</t>
        </is>
      </c>
      <c r="E100" s="330" t="inlineStr">
        <is>
          <t>Y</t>
        </is>
      </c>
      <c r="F100" s="330" t="inlineStr">
        <is>
          <t xml:space="preserve">진단 대상 35개 국가·리테일러에 해당하지 않음</t>
        </is>
      </c>
      <c r="J100"/>
      <c r="K100"/>
      <c r="L100"/>
    </row>
    <row r="101" spans="1:15">
      <c r="A101" s="256" t="s">
        <v>27</v>
      </c>
      <c r="B101" s="256" t="s">
        <v>262</v>
      </c>
      <c r="C101" s="256" t="s">
        <v>817</v>
      </c>
      <c r="D101" s="330" t="inlineStr">
        <is>
          <t xml:space="preserve">LAPTOP</t>
        </is>
      </c>
      <c r="E101" s="330" t="inlineStr">
        <is>
          <t>Y</t>
        </is>
      </c>
      <c r="F101" s="330" t="inlineStr">
        <is>
          <t xml:space="preserve">진단 대상 35개 국가·리테일러에 해당하지 않음</t>
        </is>
      </c>
      <c r="J101"/>
      <c r="K101"/>
      <c r="L101"/>
    </row>
    <row r="102" spans="1:15">
      <c r="A102" s="256" t="s">
        <v>27</v>
      </c>
      <c r="B102" s="256" t="s">
        <v>262</v>
      </c>
      <c r="C102" s="256" t="s">
        <v>818</v>
      </c>
      <c r="D102" s="330" t="inlineStr">
        <is>
          <t xml:space="preserve">WM</t>
        </is>
      </c>
      <c r="E102" s="330" t="inlineStr">
        <is>
          <t>Y</t>
        </is>
      </c>
      <c r="F102" s="330" t="inlineStr">
        <is>
          <t xml:space="preserve">진단 대상 35개 국가·리테일러에 해당하지 않음</t>
        </is>
      </c>
      <c r="J102"/>
      <c r="K102"/>
      <c r="L102"/>
    </row>
    <row r="103" spans="1:15">
      <c r="A103" s="256" t="s">
        <v>27</v>
      </c>
      <c r="B103" s="256" t="s">
        <v>262</v>
      </c>
      <c r="C103" s="256" t="s">
        <v>819</v>
      </c>
      <c r="D103" s="330" t="inlineStr">
        <is>
          <t xml:space="preserve">REF</t>
        </is>
      </c>
      <c r="E103" s="330" t="inlineStr">
        <is>
          <t>Y</t>
        </is>
      </c>
      <c r="F103" s="330" t="inlineStr">
        <is>
          <t xml:space="preserve">진단 대상 35개 국가·리테일러에 해당하지 않음</t>
        </is>
      </c>
    </row>
    <row r="104" spans="1:15">
      <c r="A104" s="256" t="s">
        <v>27</v>
      </c>
      <c r="B104" s="256" t="s">
        <v>262</v>
      </c>
      <c r="C104" s="256" t="s">
        <v>820</v>
      </c>
      <c r="D104" s="330" t="inlineStr">
        <is>
          <t xml:space="preserve">RAC</t>
        </is>
      </c>
      <c r="E104" s="330" t="inlineStr">
        <is>
          <t>Y</t>
        </is>
      </c>
      <c r="F104" s="330" t="inlineStr">
        <is>
          <t xml:space="preserve">진단 대상 35개 국가·리테일러에 해당하지 않음</t>
        </is>
      </c>
    </row>
    <row r="105" spans="1:15">
      <c r="A105" s="256" t="s">
        <v>27</v>
      </c>
      <c r="B105" s="256" t="s">
        <v>262</v>
      </c>
      <c r="C105" s="256" t="s">
        <v>821</v>
      </c>
      <c r="D105" s="330" t="inlineStr">
        <is>
          <t xml:space="preserve">DRYER</t>
        </is>
      </c>
      <c r="E105" s="330" t="inlineStr">
        <is>
          <t>Y</t>
        </is>
      </c>
      <c r="F105" s="330" t="inlineStr">
        <is>
          <t xml:space="preserve">진단 대상 35개 국가·리테일러에 해당하지 않음</t>
        </is>
      </c>
    </row>
    <row r="106" spans="1:15">
      <c r="A106" s="256" t="s">
        <v>311</v>
      </c>
      <c r="B106" s="256" t="s">
        <v>822</v>
      </c>
      <c r="C106" s="256" t="s">
        <v>823</v>
      </c>
      <c r="D106" s="330" t="inlineStr">
        <is>
          <t xml:space="preserve">REF</t>
        </is>
      </c>
      <c r="E106" s="330" t="inlineStr">
        <is>
          <t>Y</t>
        </is>
      </c>
      <c r="F106" s="330" t="inlineStr">
        <is>
          <t xml:space="preserve">진단 대상 35개 국가·리테일러에 해당하지 않음</t>
        </is>
      </c>
    </row>
    <row r="107" spans="1:15">
      <c r="A107" s="256" t="s">
        <v>311</v>
      </c>
      <c r="B107" s="256" t="s">
        <v>822</v>
      </c>
      <c r="C107" s="256" t="s">
        <v>824</v>
      </c>
      <c r="D107" s="330" t="inlineStr">
        <is>
          <t xml:space="preserve">WM</t>
        </is>
      </c>
      <c r="E107" s="330" t="inlineStr">
        <is>
          <t>Y</t>
        </is>
      </c>
      <c r="F107" s="330" t="inlineStr">
        <is>
          <t xml:space="preserve">진단 대상 35개 국가·리테일러에 해당하지 않음</t>
        </is>
      </c>
    </row>
    <row r="108" spans="1:15">
      <c r="A108" s="256" t="s">
        <v>311</v>
      </c>
      <c r="B108" s="256" t="s">
        <v>822</v>
      </c>
      <c r="C108" s="256" t="s">
        <v>825</v>
      </c>
      <c r="D108" s="330" t="inlineStr">
        <is>
          <t xml:space="preserve">TV</t>
        </is>
      </c>
      <c r="E108" s="330" t="inlineStr">
        <is>
          <t>Y</t>
        </is>
      </c>
      <c r="F108" s="330" t="inlineStr">
        <is>
          <t xml:space="preserve">진단 대상 35개 국가·리테일러에 해당하지 않음</t>
        </is>
      </c>
    </row>
    <row r="109" spans="1:15">
      <c r="A109" s="256" t="s">
        <v>311</v>
      </c>
      <c r="B109" s="256" t="s">
        <v>822</v>
      </c>
      <c r="C109" s="256" t="s">
        <v>826</v>
      </c>
      <c r="D109" s="330" t="inlineStr">
        <is>
          <t xml:space="preserve">MNT</t>
        </is>
      </c>
      <c r="E109" s="330" t="inlineStr">
        <is>
          <t>Y</t>
        </is>
      </c>
      <c r="F109" s="330" t="inlineStr">
        <is>
          <t xml:space="preserve">진단 대상 35개 국가·리테일러에 해당하지 않음</t>
        </is>
      </c>
    </row>
    <row r="110" spans="1:15">
      <c r="A110" s="256" t="s">
        <v>311</v>
      </c>
      <c r="B110" s="256" t="s">
        <v>822</v>
      </c>
      <c r="C110" s="256" t="s">
        <v>827</v>
      </c>
      <c r="D110" s="330" t="inlineStr">
        <is>
          <t xml:space="preserve">RAC</t>
        </is>
      </c>
      <c r="E110" s="330" t="inlineStr">
        <is>
          <t>Y</t>
        </is>
      </c>
      <c r="F110" s="330" t="inlineStr">
        <is>
          <t xml:space="preserve">진단 대상 35개 국가·리테일러에 해당하지 않음</t>
        </is>
      </c>
    </row>
    <row r="111" spans="1:15">
      <c r="A111" s="256" t="s">
        <v>311</v>
      </c>
      <c r="B111" s="256" t="s">
        <v>822</v>
      </c>
      <c r="C111" s="256" t="s">
        <v>828</v>
      </c>
      <c r="D111" s="330" t="inlineStr">
        <is>
          <t xml:space="preserve">BT_SPEAKER</t>
        </is>
      </c>
      <c r="E111" s="330" t="inlineStr">
        <is>
          <t>Y</t>
        </is>
      </c>
      <c r="F111" s="330" t="inlineStr">
        <is>
          <t xml:space="preserve">진단 대상 35개 국가·리테일러에 해당하지 않음</t>
        </is>
      </c>
    </row>
    <row r="112" spans="1:15">
      <c r="A112" s="256" t="s">
        <v>311</v>
      </c>
      <c r="B112" s="256" t="s">
        <v>822</v>
      </c>
      <c r="C112" s="256" t="s">
        <v>829</v>
      </c>
      <c r="D112" s="330" t="inlineStr">
        <is>
          <t xml:space="preserve">SOUNDBAR</t>
        </is>
      </c>
      <c r="E112" s="330" t="inlineStr">
        <is>
          <t>Y</t>
        </is>
      </c>
      <c r="F112" s="330" t="inlineStr">
        <is>
          <t xml:space="preserve">진단 대상 35개 국가·리테일러에 해당하지 않음</t>
        </is>
      </c>
    </row>
    <row r="113" spans="1:15">
      <c r="A113" s="256" t="s">
        <v>311</v>
      </c>
      <c r="B113" s="256" t="s">
        <v>822</v>
      </c>
      <c r="C113" s="256" t="s">
        <v>830</v>
      </c>
      <c r="D113" s="330" t="inlineStr">
        <is>
          <t xml:space="preserve">HEADSET</t>
        </is>
      </c>
      <c r="E113" s="330" t="inlineStr">
        <is>
          <t>Y</t>
        </is>
      </c>
      <c r="F113" s="330" t="inlineStr">
        <is>
          <t xml:space="preserve">진단 대상 35개 국가·리테일러에 해당하지 않음</t>
        </is>
      </c>
    </row>
    <row r="114" spans="1:15">
      <c r="A114" s="256" t="s">
        <v>311</v>
      </c>
      <c r="B114" s="256" t="s">
        <v>822</v>
      </c>
      <c r="C114" s="256" t="s">
        <v>831</v>
      </c>
      <c r="D114" s="330" t="inlineStr">
        <is>
          <t xml:space="preserve">DRYER</t>
        </is>
      </c>
      <c r="E114" s="330" t="inlineStr">
        <is>
          <t>Y</t>
        </is>
      </c>
      <c r="F114" s="330" t="inlineStr">
        <is>
          <t xml:space="preserve">진단 대상 35개 국가·리테일러에 해당하지 않음</t>
        </is>
      </c>
    </row>
    <row r="115" spans="1:15">
      <c r="A115" s="256" t="s">
        <v>311</v>
      </c>
      <c r="B115" s="256" t="s">
        <v>822</v>
      </c>
      <c r="C115" s="256" t="s">
        <v>832</v>
      </c>
      <c r="D115" s="330" t="inlineStr">
        <is>
          <t xml:space="preserve">HEADSET</t>
        </is>
      </c>
      <c r="E115" s="330" t="inlineStr">
        <is>
          <t>Y</t>
        </is>
      </c>
      <c r="F115" s="330" t="inlineStr">
        <is>
          <t xml:space="preserve">진단 대상 35개 국가·리테일러에 해당하지 않음</t>
        </is>
      </c>
    </row>
    <row r="116" spans="1:15">
      <c r="A116" s="256" t="s">
        <v>27</v>
      </c>
      <c r="B116" s="256" t="s">
        <v>297</v>
      </c>
      <c r="C116" s="256" t="s">
        <v>833</v>
      </c>
      <c r="D116" s="330" t="inlineStr">
        <is>
          <t xml:space="preserve">WM</t>
        </is>
      </c>
      <c r="E116" s="335" t="inlineStr">
        <is>
          <t>N</t>
        </is>
      </c>
      <c r="F116" s="330" t="inlineStr">
        <is>
          <t xml:space="preserve">수집 대상</t>
        </is>
      </c>
      <c r="G116" s="256" t="s">
        <v>127</v>
      </c>
    </row>
    <row r="117" spans="1:15">
      <c r="A117" s="256" t="s">
        <v>27</v>
      </c>
      <c r="B117" s="256" t="s">
        <v>297</v>
      </c>
      <c r="C117" s="256" t="s">
        <v>834</v>
      </c>
      <c r="D117" s="330" t="inlineStr">
        <is>
          <t xml:space="preserve">WM</t>
        </is>
      </c>
      <c r="E117" s="335" t="inlineStr">
        <is>
          <t>N</t>
        </is>
      </c>
      <c r="F117" s="330" t="inlineStr">
        <is>
          <t xml:space="preserve">수집 대상</t>
        </is>
      </c>
      <c r="G117" s="256" t="s">
        <v>127</v>
      </c>
    </row>
    <row r="118" spans="1:15">
      <c r="A118" s="256" t="s">
        <v>27</v>
      </c>
      <c r="B118" s="256" t="s">
        <v>297</v>
      </c>
      <c r="C118" s="256" t="s">
        <v>835</v>
      </c>
      <c r="D118" s="330" t="inlineStr">
        <is>
          <t xml:space="preserve">WM</t>
        </is>
      </c>
      <c r="E118" s="335" t="inlineStr">
        <is>
          <t>N</t>
        </is>
      </c>
      <c r="F118" s="330" t="inlineStr">
        <is>
          <t xml:space="preserve">수집 대상</t>
        </is>
      </c>
      <c r="G118" s="256" t="s">
        <v>127</v>
      </c>
    </row>
    <row r="119" spans="1:15">
      <c r="A119" s="256" t="s">
        <v>27</v>
      </c>
      <c r="B119" s="256" t="s">
        <v>297</v>
      </c>
      <c r="C119" s="256" t="s">
        <v>836</v>
      </c>
      <c r="D119" s="330" t="inlineStr">
        <is>
          <t xml:space="preserve">WM</t>
        </is>
      </c>
      <c r="E119" s="335" t="inlineStr">
        <is>
          <t>N</t>
        </is>
      </c>
      <c r="F119" s="330" t="inlineStr">
        <is>
          <t xml:space="preserve">수집 대상</t>
        </is>
      </c>
      <c r="G119" s="256" t="s">
        <v>127</v>
      </c>
    </row>
    <row r="120" spans="1:15">
      <c r="A120" s="256" t="s">
        <v>27</v>
      </c>
      <c r="B120" s="256" t="s">
        <v>297</v>
      </c>
      <c r="C120" s="256" t="s">
        <v>837</v>
      </c>
      <c r="D120" s="330" t="inlineStr">
        <is>
          <t xml:space="preserve">WM</t>
        </is>
      </c>
      <c r="E120" s="335" t="inlineStr">
        <is>
          <t>N</t>
        </is>
      </c>
      <c r="F120" s="330" t="inlineStr">
        <is>
          <t xml:space="preserve">수집 대상</t>
        </is>
      </c>
      <c r="G120" s="256" t="s">
        <v>127</v>
      </c>
    </row>
    <row r="121" spans="1:15">
      <c r="A121" s="256" t="s">
        <v>27</v>
      </c>
      <c r="B121" s="256" t="s">
        <v>297</v>
      </c>
      <c r="C121" s="256" t="s">
        <v>838</v>
      </c>
      <c r="D121" s="330" t="inlineStr">
        <is>
          <t xml:space="preserve">WM</t>
        </is>
      </c>
      <c r="E121" s="335" t="inlineStr">
        <is>
          <t>N</t>
        </is>
      </c>
      <c r="F121" s="330" t="inlineStr">
        <is>
          <t xml:space="preserve">수집 대상</t>
        </is>
      </c>
      <c r="G121" s="256" t="s">
        <v>127</v>
      </c>
    </row>
    <row r="122" spans="1:15">
      <c r="A122" s="256" t="s">
        <v>27</v>
      </c>
      <c r="B122" s="256" t="s">
        <v>297</v>
      </c>
      <c r="C122" s="256" t="s">
        <v>839</v>
      </c>
      <c r="D122" s="330" t="inlineStr">
        <is>
          <t xml:space="preserve">WM</t>
        </is>
      </c>
      <c r="E122" s="335" t="inlineStr">
        <is>
          <t>N</t>
        </is>
      </c>
      <c r="F122" s="330" t="inlineStr">
        <is>
          <t xml:space="preserve">수집 대상</t>
        </is>
      </c>
      <c r="G122" s="256" t="s">
        <v>127</v>
      </c>
    </row>
    <row r="123" spans="1:15">
      <c r="A123" s="256" t="s">
        <v>27</v>
      </c>
      <c r="B123" s="256" t="s">
        <v>297</v>
      </c>
      <c r="C123" s="256" t="s">
        <v>840</v>
      </c>
      <c r="D123" s="330" t="inlineStr">
        <is>
          <t xml:space="preserve">WM</t>
        </is>
      </c>
      <c r="E123" s="335" t="inlineStr">
        <is>
          <t>N</t>
        </is>
      </c>
      <c r="F123" s="330" t="inlineStr">
        <is>
          <t xml:space="preserve">수집 대상</t>
        </is>
      </c>
      <c r="G123" s="256" t="s">
        <v>127</v>
      </c>
    </row>
    <row r="124" spans="1:15">
      <c r="A124" s="256" t="s">
        <v>27</v>
      </c>
      <c r="B124" s="256" t="s">
        <v>297</v>
      </c>
      <c r="C124" s="256" t="s">
        <v>841</v>
      </c>
      <c r="D124" s="330" t="inlineStr">
        <is>
          <t xml:space="preserve">WM</t>
        </is>
      </c>
      <c r="E124" s="335" t="inlineStr">
        <is>
          <t>N</t>
        </is>
      </c>
      <c r="F124" s="330" t="inlineStr">
        <is>
          <t xml:space="preserve">수집 대상</t>
        </is>
      </c>
      <c r="G124" s="256" t="s">
        <v>127</v>
      </c>
    </row>
    <row r="125" spans="1:15">
      <c r="A125" s="256" t="s">
        <v>27</v>
      </c>
      <c r="B125" s="256" t="s">
        <v>297</v>
      </c>
      <c r="C125" s="256" t="s">
        <v>842</v>
      </c>
      <c r="D125" s="330" t="inlineStr">
        <is>
          <t xml:space="preserve">WM</t>
        </is>
      </c>
      <c r="E125" s="335" t="inlineStr">
        <is>
          <t>N</t>
        </is>
      </c>
      <c r="F125" s="330" t="inlineStr">
        <is>
          <t xml:space="preserve">수집 대상</t>
        </is>
      </c>
      <c r="G125" s="256" t="s">
        <v>127</v>
      </c>
    </row>
    <row r="126" spans="1:15">
      <c r="A126" s="256" t="s">
        <v>27</v>
      </c>
      <c r="B126" s="256" t="s">
        <v>297</v>
      </c>
      <c r="C126" s="256" t="s">
        <v>843</v>
      </c>
      <c r="D126" s="330" t="inlineStr">
        <is>
          <t xml:space="preserve">WM</t>
        </is>
      </c>
      <c r="E126" s="335" t="inlineStr">
        <is>
          <t>N</t>
        </is>
      </c>
      <c r="F126" s="330" t="inlineStr">
        <is>
          <t xml:space="preserve">수집 대상</t>
        </is>
      </c>
      <c r="G126" s="256" t="s">
        <v>127</v>
      </c>
    </row>
    <row r="127" spans="1:15">
      <c r="A127" s="256" t="s">
        <v>27</v>
      </c>
      <c r="B127" s="256" t="s">
        <v>297</v>
      </c>
      <c r="C127" s="256" t="s">
        <v>844</v>
      </c>
      <c r="D127" s="330" t="inlineStr">
        <is>
          <t xml:space="preserve">WM</t>
        </is>
      </c>
      <c r="E127" s="335" t="inlineStr">
        <is>
          <t>N</t>
        </is>
      </c>
      <c r="F127" s="330" t="inlineStr">
        <is>
          <t xml:space="preserve">수집 대상</t>
        </is>
      </c>
      <c r="G127" s="256" t="s">
        <v>127</v>
      </c>
    </row>
    <row r="128" spans="1:15">
      <c r="A128" s="256" t="s">
        <v>27</v>
      </c>
      <c r="B128" s="256" t="s">
        <v>297</v>
      </c>
      <c r="C128" s="256" t="s">
        <v>845</v>
      </c>
      <c r="D128" s="330" t="inlineStr">
        <is>
          <t xml:space="preserve">REF</t>
        </is>
      </c>
      <c r="E128" s="335" t="inlineStr">
        <is>
          <t>N</t>
        </is>
      </c>
      <c r="F128" s="330" t="inlineStr">
        <is>
          <t xml:space="preserve">수집 대상</t>
        </is>
      </c>
      <c r="G128" s="256" t="s">
        <v>127</v>
      </c>
    </row>
    <row r="129" spans="1:15">
      <c r="A129" s="256" t="s">
        <v>27</v>
      </c>
      <c r="B129" s="256" t="s">
        <v>297</v>
      </c>
      <c r="C129" s="256" t="s">
        <v>846</v>
      </c>
      <c r="D129" s="330" t="inlineStr">
        <is>
          <t xml:space="preserve">REF</t>
        </is>
      </c>
      <c r="E129" s="335" t="inlineStr">
        <is>
          <t>N</t>
        </is>
      </c>
      <c r="F129" s="330" t="inlineStr">
        <is>
          <t xml:space="preserve">수집 대상</t>
        </is>
      </c>
      <c r="G129" s="256" t="s">
        <v>127</v>
      </c>
    </row>
    <row r="130" spans="1:15">
      <c r="A130" s="256" t="s">
        <v>27</v>
      </c>
      <c r="B130" s="256" t="s">
        <v>297</v>
      </c>
      <c r="C130" s="256" t="s">
        <v>847</v>
      </c>
      <c r="D130" s="330" t="inlineStr">
        <is>
          <t xml:space="preserve">REF</t>
        </is>
      </c>
      <c r="E130" s="335" t="inlineStr">
        <is>
          <t>N</t>
        </is>
      </c>
      <c r="F130" s="330" t="inlineStr">
        <is>
          <t xml:space="preserve">수집 대상</t>
        </is>
      </c>
      <c r="G130" s="256" t="s">
        <v>127</v>
      </c>
    </row>
    <row r="131" spans="1:15">
      <c r="A131" s="256" t="s">
        <v>27</v>
      </c>
      <c r="B131" s="256" t="s">
        <v>297</v>
      </c>
      <c r="C131" s="256" t="s">
        <v>848</v>
      </c>
      <c r="D131" s="330" t="inlineStr">
        <is>
          <t xml:space="preserve">REF</t>
        </is>
      </c>
      <c r="E131" s="335" t="inlineStr">
        <is>
          <t>N</t>
        </is>
      </c>
      <c r="F131" s="330" t="inlineStr">
        <is>
          <t xml:space="preserve">수집 대상</t>
        </is>
      </c>
      <c r="G131" s="256" t="s">
        <v>127</v>
      </c>
    </row>
    <row r="132" spans="1:15">
      <c r="A132" s="256" t="s">
        <v>27</v>
      </c>
      <c r="B132" s="256" t="s">
        <v>297</v>
      </c>
      <c r="C132" s="256" t="s">
        <v>849</v>
      </c>
      <c r="D132" s="330" t="inlineStr">
        <is>
          <t xml:space="preserve">REF</t>
        </is>
      </c>
      <c r="E132" s="335" t="inlineStr">
        <is>
          <t>N</t>
        </is>
      </c>
      <c r="F132" s="330" t="inlineStr">
        <is>
          <t xml:space="preserve">수집 대상</t>
        </is>
      </c>
      <c r="G132" s="256" t="s">
        <v>127</v>
      </c>
    </row>
    <row r="133" spans="1:15">
      <c r="A133" s="256" t="s">
        <v>27</v>
      </c>
      <c r="B133" s="256" t="s">
        <v>297</v>
      </c>
      <c r="C133" s="256" t="s">
        <v>850</v>
      </c>
      <c r="D133" s="330" t="inlineStr">
        <is>
          <t xml:space="preserve">TV</t>
        </is>
      </c>
      <c r="E133" s="330" t="inlineStr">
        <is>
          <t>Y</t>
        </is>
      </c>
      <c r="F133" s="330" t="inlineStr">
        <is>
          <t xml:space="preserve">대상 제품군이 아님: TV</t>
        </is>
      </c>
      <c r="G133" s="256" t="s">
        <v>127</v>
      </c>
    </row>
    <row r="134" spans="1:15">
      <c r="A134" s="256" t="s">
        <v>27</v>
      </c>
      <c r="B134" s="256" t="s">
        <v>297</v>
      </c>
      <c r="C134" s="256" t="s">
        <v>851</v>
      </c>
      <c r="D134" s="330" t="inlineStr">
        <is>
          <t xml:space="preserve">TV</t>
        </is>
      </c>
      <c r="E134" s="330" t="inlineStr">
        <is>
          <t>Y</t>
        </is>
      </c>
      <c r="F134" s="330" t="inlineStr">
        <is>
          <t xml:space="preserve">대상 제품군이 아님: TV</t>
        </is>
      </c>
      <c r="G134" s="256" t="s">
        <v>127</v>
      </c>
    </row>
    <row r="135" spans="1:15">
      <c r="A135" s="256" t="s">
        <v>27</v>
      </c>
      <c r="B135" s="256" t="s">
        <v>297</v>
      </c>
      <c r="C135" s="256" t="s">
        <v>852</v>
      </c>
      <c r="D135" s="330" t="inlineStr">
        <is>
          <t xml:space="preserve">TV</t>
        </is>
      </c>
      <c r="E135" s="330" t="inlineStr">
        <is>
          <t>Y</t>
        </is>
      </c>
      <c r="F135" s="330" t="inlineStr">
        <is>
          <t xml:space="preserve">대상 제품군이 아님: TV</t>
        </is>
      </c>
      <c r="G135" s="256" t="s">
        <v>127</v>
      </c>
    </row>
    <row r="136" spans="1:15">
      <c r="A136" s="256" t="s">
        <v>27</v>
      </c>
      <c r="B136" s="256" t="s">
        <v>297</v>
      </c>
      <c r="C136" s="256" t="s">
        <v>853</v>
      </c>
      <c r="D136" s="330" t="inlineStr">
        <is>
          <t xml:space="preserve">TV</t>
        </is>
      </c>
      <c r="E136" s="330" t="inlineStr">
        <is>
          <t>Y</t>
        </is>
      </c>
      <c r="F136" s="330" t="inlineStr">
        <is>
          <t xml:space="preserve">대상 제품군이 아님: TV</t>
        </is>
      </c>
      <c r="G136" s="256" t="s">
        <v>127</v>
      </c>
    </row>
    <row r="137" spans="1:15">
      <c r="A137" s="256" t="s">
        <v>27</v>
      </c>
      <c r="B137" s="256" t="s">
        <v>297</v>
      </c>
      <c r="C137" s="256" t="s">
        <v>854</v>
      </c>
      <c r="D137" s="330" t="inlineStr">
        <is>
          <t xml:space="preserve">TV</t>
        </is>
      </c>
      <c r="E137" s="330" t="inlineStr">
        <is>
          <t>Y</t>
        </is>
      </c>
      <c r="F137" s="330" t="inlineStr">
        <is>
          <t xml:space="preserve">대상 제품군이 아님: TV</t>
        </is>
      </c>
      <c r="G137" s="256" t="s">
        <v>127</v>
      </c>
    </row>
    <row r="138" spans="1:15">
      <c r="A138" s="256" t="s">
        <v>27</v>
      </c>
      <c r="B138" s="256" t="s">
        <v>297</v>
      </c>
      <c r="C138" s="256" t="s">
        <v>855</v>
      </c>
      <c r="D138" s="330" t="inlineStr">
        <is>
          <t xml:space="preserve">TV</t>
        </is>
      </c>
      <c r="E138" s="330" t="inlineStr">
        <is>
          <t>Y</t>
        </is>
      </c>
      <c r="F138" s="330" t="inlineStr">
        <is>
          <t xml:space="preserve">대상 제품군이 아님: TV</t>
        </is>
      </c>
      <c r="G138" s="256" t="s">
        <v>127</v>
      </c>
    </row>
    <row r="139" spans="1:15">
      <c r="A139" s="256" t="s">
        <v>27</v>
      </c>
      <c r="B139" s="256" t="s">
        <v>297</v>
      </c>
      <c r="C139" s="256" t="s">
        <v>856</v>
      </c>
      <c r="D139" s="330" t="inlineStr">
        <is>
          <t xml:space="preserve">TV</t>
        </is>
      </c>
      <c r="E139" s="330" t="inlineStr">
        <is>
          <t>Y</t>
        </is>
      </c>
      <c r="F139" s="330" t="inlineStr">
        <is>
          <t xml:space="preserve">대상 제품군이 아님: TV</t>
        </is>
      </c>
      <c r="G139" s="256" t="s">
        <v>127</v>
      </c>
    </row>
    <row r="140" spans="1:15">
      <c r="A140" s="256" t="s">
        <v>27</v>
      </c>
      <c r="B140" s="256" t="s">
        <v>297</v>
      </c>
      <c r="C140" s="256" t="s">
        <v>857</v>
      </c>
      <c r="D140" s="330" t="inlineStr">
        <is>
          <t xml:space="preserve">TV</t>
        </is>
      </c>
      <c r="E140" s="330" t="inlineStr">
        <is>
          <t>Y</t>
        </is>
      </c>
      <c r="F140" s="330" t="inlineStr">
        <is>
          <t xml:space="preserve">대상 제품군이 아님: TV</t>
        </is>
      </c>
      <c r="G140" s="256" t="s">
        <v>127</v>
      </c>
    </row>
    <row r="141" spans="1:15">
      <c r="A141" s="256" t="s">
        <v>27</v>
      </c>
      <c r="B141" s="256" t="s">
        <v>297</v>
      </c>
      <c r="C141" s="256" t="s">
        <v>858</v>
      </c>
      <c r="D141" s="330" t="inlineStr">
        <is>
          <t xml:space="preserve">TV</t>
        </is>
      </c>
      <c r="E141" s="330" t="inlineStr">
        <is>
          <t>Y</t>
        </is>
      </c>
      <c r="F141" s="330" t="inlineStr">
        <is>
          <t xml:space="preserve">대상 제품군이 아님: TV</t>
        </is>
      </c>
      <c r="G141" s="256" t="s">
        <v>127</v>
      </c>
    </row>
    <row r="142" spans="1:15">
      <c r="A142" s="256" t="s">
        <v>27</v>
      </c>
      <c r="B142" s="256" t="s">
        <v>297</v>
      </c>
      <c r="C142" s="256" t="s">
        <v>859</v>
      </c>
      <c r="D142" s="330" t="inlineStr">
        <is>
          <t xml:space="preserve">TV</t>
        </is>
      </c>
      <c r="E142" s="330" t="inlineStr">
        <is>
          <t>Y</t>
        </is>
      </c>
      <c r="F142" s="330" t="inlineStr">
        <is>
          <t xml:space="preserve">대상 제품군이 아님: TV</t>
        </is>
      </c>
      <c r="G142" s="256" t="s">
        <v>127</v>
      </c>
    </row>
    <row r="143" spans="1:15">
      <c r="A143" s="256" t="s">
        <v>27</v>
      </c>
      <c r="B143" s="256" t="s">
        <v>297</v>
      </c>
      <c r="C143" s="256" t="s">
        <v>860</v>
      </c>
      <c r="D143" s="330" t="inlineStr">
        <is>
          <t xml:space="preserve">TV</t>
        </is>
      </c>
      <c r="E143" s="330" t="inlineStr">
        <is>
          <t>Y</t>
        </is>
      </c>
      <c r="F143" s="330" t="inlineStr">
        <is>
          <t xml:space="preserve">대상 제품군이 아님: TV</t>
        </is>
      </c>
      <c r="G143" s="256" t="s">
        <v>127</v>
      </c>
    </row>
    <row r="144" spans="1:15">
      <c r="A144" s="256" t="s">
        <v>27</v>
      </c>
      <c r="B144" s="256" t="s">
        <v>297</v>
      </c>
      <c r="C144" s="256" t="s">
        <v>861</v>
      </c>
      <c r="D144" s="330" t="inlineStr">
        <is>
          <t xml:space="preserve">TV</t>
        </is>
      </c>
      <c r="E144" s="330" t="inlineStr">
        <is>
          <t>Y</t>
        </is>
      </c>
      <c r="F144" s="330" t="inlineStr">
        <is>
          <t xml:space="preserve">대상 제품군이 아님: TV</t>
        </is>
      </c>
      <c r="G144" s="256" t="s">
        <v>127</v>
      </c>
    </row>
    <row r="145" spans="1:15">
      <c r="A145" s="256" t="s">
        <v>27</v>
      </c>
      <c r="B145" s="256" t="s">
        <v>297</v>
      </c>
      <c r="C145" s="256" t="s">
        <v>862</v>
      </c>
      <c r="D145" s="330" t="inlineStr">
        <is>
          <t xml:space="preserve">TV</t>
        </is>
      </c>
      <c r="E145" s="330" t="inlineStr">
        <is>
          <t>Y</t>
        </is>
      </c>
      <c r="F145" s="330" t="inlineStr">
        <is>
          <t xml:space="preserve">대상 제품군이 아님: TV</t>
        </is>
      </c>
      <c r="G145" s="256" t="s">
        <v>127</v>
      </c>
    </row>
    <row r="146" spans="1:15">
      <c r="A146" s="256" t="s">
        <v>27</v>
      </c>
      <c r="B146" s="256" t="s">
        <v>297</v>
      </c>
      <c r="C146" s="256" t="s">
        <v>863</v>
      </c>
      <c r="D146" s="330" t="inlineStr">
        <is>
          <t xml:space="preserve">TV</t>
        </is>
      </c>
      <c r="E146" s="330" t="inlineStr">
        <is>
          <t>Y</t>
        </is>
      </c>
      <c r="F146" s="330" t="inlineStr">
        <is>
          <t xml:space="preserve">대상 제품군이 아님: TV</t>
        </is>
      </c>
      <c r="G146" s="256" t="s">
        <v>127</v>
      </c>
    </row>
    <row r="147" spans="1:15">
      <c r="A147" s="256" t="s">
        <v>27</v>
      </c>
      <c r="B147" s="256" t="s">
        <v>297</v>
      </c>
      <c r="C147" s="256" t="s">
        <v>864</v>
      </c>
      <c r="D147" s="330" t="inlineStr">
        <is>
          <t xml:space="preserve">TV</t>
        </is>
      </c>
      <c r="E147" s="330" t="inlineStr">
        <is>
          <t>Y</t>
        </is>
      </c>
      <c r="F147" s="330" t="inlineStr">
        <is>
          <t xml:space="preserve">대상 제품군이 아님: TV</t>
        </is>
      </c>
      <c r="G147" s="256" t="s">
        <v>127</v>
      </c>
    </row>
    <row r="148" spans="1:15">
      <c r="A148" s="256" t="s">
        <v>27</v>
      </c>
      <c r="B148" s="256" t="s">
        <v>297</v>
      </c>
      <c r="C148" s="256" t="s">
        <v>865</v>
      </c>
      <c r="D148" s="330" t="inlineStr">
        <is>
          <t xml:space="preserve">BT_SPEAKER</t>
        </is>
      </c>
      <c r="E148" s="330" t="inlineStr">
        <is>
          <t>Y</t>
        </is>
      </c>
      <c r="F148" s="330" t="inlineStr">
        <is>
          <t xml:space="preserve">대상 제품군이 아님: 블루투스 스피커</t>
        </is>
      </c>
      <c r="G148" s="256" t="s">
        <v>127</v>
      </c>
    </row>
    <row r="149" spans="1:15">
      <c r="A149" s="256" t="s">
        <v>27</v>
      </c>
      <c r="B149" s="256" t="s">
        <v>297</v>
      </c>
      <c r="C149" s="256" t="s">
        <v>866</v>
      </c>
      <c r="D149" s="330" t="inlineStr">
        <is>
          <t xml:space="preserve">HEADSET</t>
        </is>
      </c>
      <c r="E149" s="330" t="inlineStr">
        <is>
          <t>Y</t>
        </is>
      </c>
      <c r="F149" s="330" t="inlineStr">
        <is>
          <t xml:space="preserve">대상 제품군이 아님: 이어폰·헤드셋</t>
        </is>
      </c>
      <c r="G149" s="256" t="s">
        <v>127</v>
      </c>
    </row>
    <row r="150" spans="1:15">
      <c r="A150" s="256" t="s">
        <v>27</v>
      </c>
      <c r="B150" s="256" t="s">
        <v>297</v>
      </c>
      <c r="C150" s="256" t="s">
        <v>867</v>
      </c>
      <c r="D150" s="330" t="inlineStr">
        <is>
          <t xml:space="preserve">SOUNDBAR</t>
        </is>
      </c>
      <c r="E150" s="330" t="inlineStr">
        <is>
          <t>Y</t>
        </is>
      </c>
      <c r="F150" s="330" t="inlineStr">
        <is>
          <t xml:space="preserve">대상 제품군이 아님: 사운드바</t>
        </is>
      </c>
      <c r="G150" s="256" t="s">
        <v>127</v>
      </c>
    </row>
    <row r="151" spans="1:15">
      <c r="A151" s="256" t="s">
        <v>27</v>
      </c>
      <c r="B151" s="256" t="s">
        <v>297</v>
      </c>
      <c r="C151" s="256" t="s">
        <v>868</v>
      </c>
      <c r="D151" s="330" t="inlineStr">
        <is>
          <t xml:space="preserve">SOUNDBAR</t>
        </is>
      </c>
      <c r="E151" s="330" t="inlineStr">
        <is>
          <t>Y</t>
        </is>
      </c>
      <c r="F151" s="330" t="inlineStr">
        <is>
          <t xml:space="preserve">대상 제품군이 아님: 사운드바</t>
        </is>
      </c>
      <c r="G151" s="256" t="s">
        <v>127</v>
      </c>
    </row>
    <row r="152" spans="1:15">
      <c r="A152" s="256" t="s">
        <v>27</v>
      </c>
      <c r="B152" s="256" t="s">
        <v>297</v>
      </c>
      <c r="C152" s="256" t="s">
        <v>869</v>
      </c>
      <c r="D152" s="330" t="inlineStr">
        <is>
          <t xml:space="preserve">SOUNDBAR</t>
        </is>
      </c>
      <c r="E152" s="330" t="inlineStr">
        <is>
          <t>Y</t>
        </is>
      </c>
      <c r="F152" s="330" t="inlineStr">
        <is>
          <t xml:space="preserve">대상 제품군이 아님: 사운드바</t>
        </is>
      </c>
      <c r="G152" s="256" t="s">
        <v>127</v>
      </c>
    </row>
    <row r="153" spans="1:15">
      <c r="A153" s="256" t="s">
        <v>27</v>
      </c>
      <c r="B153" s="256" t="s">
        <v>297</v>
      </c>
      <c r="C153" s="256" t="s">
        <v>870</v>
      </c>
      <c r="D153" s="330" t="inlineStr">
        <is>
          <t xml:space="preserve">SOUNDBAR</t>
        </is>
      </c>
      <c r="E153" s="330" t="inlineStr">
        <is>
          <t>Y</t>
        </is>
      </c>
      <c r="F153" s="330" t="inlineStr">
        <is>
          <t xml:space="preserve">대상 제품군이 아님: 사운드바</t>
        </is>
      </c>
      <c r="G153" s="256" t="s">
        <v>127</v>
      </c>
    </row>
    <row r="154" spans="1:15">
      <c r="A154" s="256" t="s">
        <v>27</v>
      </c>
      <c r="B154" s="256" t="s">
        <v>297</v>
      </c>
      <c r="C154" s="256" t="s">
        <v>871</v>
      </c>
      <c r="D154" s="330" t="inlineStr">
        <is>
          <t xml:space="preserve">SOUNDBAR</t>
        </is>
      </c>
      <c r="E154" s="330" t="inlineStr">
        <is>
          <t>Y</t>
        </is>
      </c>
      <c r="F154" s="330" t="inlineStr">
        <is>
          <t xml:space="preserve">대상 제품군이 아님: 사운드바</t>
        </is>
      </c>
      <c r="G154" s="256" t="s">
        <v>127</v>
      </c>
    </row>
    <row r="155" spans="1:15">
      <c r="A155" s="256" t="s">
        <v>27</v>
      </c>
      <c r="B155" s="256" t="s">
        <v>297</v>
      </c>
      <c r="C155" s="256" t="s">
        <v>872</v>
      </c>
      <c r="D155" s="330" t="inlineStr">
        <is>
          <t xml:space="preserve">DW</t>
        </is>
      </c>
      <c r="E155" s="330" t="inlineStr">
        <is>
          <t>Y</t>
        </is>
      </c>
      <c r="F155" s="330" t="inlineStr">
        <is>
          <t xml:space="preserve">식기세척기는 스페인 ECI·MediaMarkt만 대상</t>
        </is>
      </c>
      <c r="G155" s="256" t="s">
        <v>127</v>
      </c>
    </row>
    <row r="156" spans="1:15">
      <c r="A156" s="256" t="s">
        <v>27</v>
      </c>
      <c r="B156" s="256" t="s">
        <v>297</v>
      </c>
      <c r="C156" s="256" t="s">
        <v>873</v>
      </c>
      <c r="D156" s="330" t="inlineStr">
        <is>
          <t xml:space="preserve">DW</t>
        </is>
      </c>
      <c r="E156" s="330" t="inlineStr">
        <is>
          <t>Y</t>
        </is>
      </c>
      <c r="F156" s="330" t="inlineStr">
        <is>
          <t xml:space="preserve">식기세척기는 스페인 ECI·MediaMarkt만 대상</t>
        </is>
      </c>
      <c r="G156" s="256" t="s">
        <v>127</v>
      </c>
    </row>
    <row r="157" spans="1:15">
      <c r="A157" s="256" t="s">
        <v>27</v>
      </c>
      <c r="B157" s="256" t="s">
        <v>297</v>
      </c>
      <c r="C157" s="256" t="s">
        <v>874</v>
      </c>
      <c r="D157" s="330" t="inlineStr">
        <is>
          <t xml:space="preserve">MNT</t>
        </is>
      </c>
      <c r="E157" s="330" t="inlineStr">
        <is>
          <t>Y</t>
        </is>
      </c>
      <c r="F157" s="330" t="inlineStr">
        <is>
          <t xml:space="preserve">대상 제품군이 아님: 모니터</t>
        </is>
      </c>
      <c r="G157" s="256" t="s">
        <v>127</v>
      </c>
    </row>
    <row r="158" spans="1:15">
      <c r="A158" s="256" t="s">
        <v>27</v>
      </c>
      <c r="B158" s="256" t="s">
        <v>297</v>
      </c>
      <c r="C158" s="257" t="s">
        <v>4858</v>
      </c>
      <c r="D158" s="330" t="inlineStr">
        <is>
          <t xml:space="preserve">DRYER</t>
        </is>
      </c>
      <c r="E158" s="335" t="inlineStr">
        <is>
          <t>N</t>
        </is>
      </c>
      <c r="F158" s="330" t="inlineStr">
        <is>
          <t xml:space="preserve">수집 대상</t>
        </is>
      </c>
      <c r="G158" s="256" t="s">
        <v>127</v>
      </c>
    </row>
    <row r="159" spans="1:15">
      <c r="A159" s="256" t="s">
        <v>27</v>
      </c>
      <c r="B159" s="256" t="s">
        <v>297</v>
      </c>
      <c r="C159" s="257" t="s">
        <v>875</v>
      </c>
      <c r="D159" s="330" t="inlineStr">
        <is>
          <t xml:space="preserve">WM</t>
        </is>
      </c>
      <c r="E159" s="335" t="inlineStr">
        <is>
          <t>N</t>
        </is>
      </c>
      <c r="F159" s="330" t="inlineStr">
        <is>
          <t xml:space="preserve">수집 대상</t>
        </is>
      </c>
      <c r="G159" s="257" t="s">
        <v>127</v>
      </c>
      <c r="H159" s="257"/>
    </row>
    <row r="160" spans="1:15">
      <c r="A160" s="256" t="s">
        <v>27</v>
      </c>
      <c r="B160" s="256" t="s">
        <v>297</v>
      </c>
      <c r="C160" s="256" t="s">
        <v>876</v>
      </c>
      <c r="D160" s="332" t="inlineStr">
        <is>
          <t xml:space="preserve">UNKNOWN</t>
        </is>
      </c>
      <c r="E160" s="330" t="inlineStr">
        <is>
          <t>Y</t>
        </is>
      </c>
      <c r="F160" s="330" t="inlineStr">
        <is>
          <t xml:space="preserve">기존 수집 대상 목록 미포함; 카테고리 확인 필요</t>
        </is>
      </c>
      <c r="G160" s="256" t="s">
        <v>127</v>
      </c>
    </row>
    <row r="161" spans="1:15">
      <c r="A161" s="256" t="s">
        <v>345</v>
      </c>
      <c r="B161" s="256" t="s">
        <v>348</v>
      </c>
      <c r="C161" s="256" t="s">
        <v>877</v>
      </c>
      <c r="D161" s="330" t="inlineStr">
        <is>
          <t xml:space="preserve">REF</t>
        </is>
      </c>
      <c r="E161" s="330" t="inlineStr">
        <is>
          <t>Y</t>
        </is>
      </c>
      <c r="F161" s="330" t="inlineStr">
        <is>
          <t xml:space="preserve">진단 대상 35개 국가·리테일러에 해당하지 않음</t>
        </is>
      </c>
    </row>
    <row r="162" spans="1:15">
      <c r="A162" s="256" t="s">
        <v>345</v>
      </c>
      <c r="B162" s="256" t="s">
        <v>348</v>
      </c>
      <c r="C162" s="256" t="s">
        <v>878</v>
      </c>
      <c r="D162" s="330" t="inlineStr">
        <is>
          <t xml:space="preserve">WM</t>
        </is>
      </c>
      <c r="E162" s="330" t="inlineStr">
        <is>
          <t>Y</t>
        </is>
      </c>
      <c r="F162" s="330" t="inlineStr">
        <is>
          <t xml:space="preserve">진단 대상 35개 국가·리테일러에 해당하지 않음</t>
        </is>
      </c>
    </row>
    <row r="163" spans="1:15">
      <c r="A163" s="256" t="s">
        <v>345</v>
      </c>
      <c r="B163" s="256" t="s">
        <v>348</v>
      </c>
      <c r="C163" s="256" t="s">
        <v>879</v>
      </c>
      <c r="D163" s="330" t="inlineStr">
        <is>
          <t xml:space="preserve">TV</t>
        </is>
      </c>
      <c r="E163" s="330" t="inlineStr">
        <is>
          <t>Y</t>
        </is>
      </c>
      <c r="F163" s="330" t="inlineStr">
        <is>
          <t xml:space="preserve">진단 대상 35개 국가·리테일러에 해당하지 않음</t>
        </is>
      </c>
    </row>
    <row r="164" spans="1:15">
      <c r="A164" s="256" t="s">
        <v>345</v>
      </c>
      <c r="B164" s="256" t="s">
        <v>348</v>
      </c>
      <c r="C164" s="256" t="s">
        <v>880</v>
      </c>
      <c r="D164" s="330" t="inlineStr">
        <is>
          <t xml:space="preserve">MNT</t>
        </is>
      </c>
      <c r="E164" s="330" t="inlineStr">
        <is>
          <t>Y</t>
        </is>
      </c>
      <c r="F164" s="330" t="inlineStr">
        <is>
          <t xml:space="preserve">진단 대상 35개 국가·리테일러에 해당하지 않음</t>
        </is>
      </c>
    </row>
    <row r="165" spans="1:15">
      <c r="A165" s="256" t="s">
        <v>345</v>
      </c>
      <c r="B165" s="256" t="s">
        <v>348</v>
      </c>
      <c r="C165" s="256" t="s">
        <v>881</v>
      </c>
      <c r="D165" s="330" t="inlineStr">
        <is>
          <t xml:space="preserve">BT_SPEAKER</t>
        </is>
      </c>
      <c r="E165" s="330" t="inlineStr">
        <is>
          <t>Y</t>
        </is>
      </c>
      <c r="F165" s="330" t="inlineStr">
        <is>
          <t xml:space="preserve">진단 대상 35개 국가·리테일러에 해당하지 않음</t>
        </is>
      </c>
    </row>
    <row r="166" spans="1:15">
      <c r="A166" s="256" t="s">
        <v>345</v>
      </c>
      <c r="B166" s="256" t="s">
        <v>348</v>
      </c>
      <c r="C166" s="256" t="s">
        <v>882</v>
      </c>
      <c r="D166" s="330" t="inlineStr">
        <is>
          <t xml:space="preserve">SOUNDBAR</t>
        </is>
      </c>
      <c r="E166" s="330" t="inlineStr">
        <is>
          <t>Y</t>
        </is>
      </c>
      <c r="F166" s="330" t="inlineStr">
        <is>
          <t xml:space="preserve">진단 대상 35개 국가·리테일러에 해당하지 않음</t>
        </is>
      </c>
    </row>
    <row r="167" spans="1:15">
      <c r="A167" s="256" t="s">
        <v>345</v>
      </c>
      <c r="B167" s="256" t="s">
        <v>348</v>
      </c>
      <c r="C167" s="256" t="s">
        <v>883</v>
      </c>
      <c r="D167" s="330" t="inlineStr">
        <is>
          <t xml:space="preserve">HEADSET</t>
        </is>
      </c>
      <c r="E167" s="330" t="inlineStr">
        <is>
          <t>Y</t>
        </is>
      </c>
      <c r="F167" s="330" t="inlineStr">
        <is>
          <t xml:space="preserve">진단 대상 35개 국가·리테일러에 해당하지 않음</t>
        </is>
      </c>
    </row>
    <row r="168" spans="1:15">
      <c r="A168" s="256" t="s">
        <v>345</v>
      </c>
      <c r="B168" s="256" t="s">
        <v>348</v>
      </c>
      <c r="C168" s="256" t="s">
        <v>884</v>
      </c>
      <c r="D168" s="330" t="inlineStr">
        <is>
          <t xml:space="preserve">DW</t>
        </is>
      </c>
      <c r="E168" s="330" t="inlineStr">
        <is>
          <t>Y</t>
        </is>
      </c>
      <c r="F168" s="330" t="inlineStr">
        <is>
          <t xml:space="preserve">진단 대상 35개 국가·리테일러에 해당하지 않음</t>
        </is>
      </c>
    </row>
    <row r="169" spans="1:15">
      <c r="A169" s="256" t="s">
        <v>345</v>
      </c>
      <c r="B169" s="256" t="s">
        <v>348</v>
      </c>
      <c r="C169" s="256" t="s">
        <v>885</v>
      </c>
      <c r="D169" s="330" t="inlineStr">
        <is>
          <t xml:space="preserve">LAPTOP</t>
        </is>
      </c>
      <c r="E169" s="330" t="inlineStr">
        <is>
          <t>Y</t>
        </is>
      </c>
      <c r="F169" s="330" t="inlineStr">
        <is>
          <t xml:space="preserve">진단 대상 35개 국가·리테일러에 해당하지 않음</t>
        </is>
      </c>
    </row>
    <row r="170" spans="1:15">
      <c r="A170" s="256" t="s">
        <v>345</v>
      </c>
      <c r="B170" s="256" t="s">
        <v>348</v>
      </c>
      <c r="C170" s="256" t="s">
        <v>886</v>
      </c>
      <c r="D170" s="330" t="inlineStr">
        <is>
          <t xml:space="preserve">OVEN</t>
        </is>
      </c>
      <c r="E170" s="330" t="inlineStr">
        <is>
          <t>Y</t>
        </is>
      </c>
      <c r="F170" s="330" t="inlineStr">
        <is>
          <t xml:space="preserve">진단 대상 35개 국가·리테일러에 해당하지 않음</t>
        </is>
      </c>
    </row>
    <row r="171" spans="1:15">
      <c r="A171" s="256" t="s">
        <v>345</v>
      </c>
      <c r="B171" s="256" t="s">
        <v>348</v>
      </c>
      <c r="C171" s="256" t="s">
        <v>887</v>
      </c>
      <c r="D171" s="330" t="inlineStr">
        <is>
          <t xml:space="preserve">DRYER</t>
        </is>
      </c>
      <c r="E171" s="330" t="inlineStr">
        <is>
          <t>Y</t>
        </is>
      </c>
      <c r="F171" s="330" t="inlineStr">
        <is>
          <t xml:space="preserve">진단 대상 35개 국가·리테일러에 해당하지 않음</t>
        </is>
      </c>
    </row>
    <row r="172" spans="1:15">
      <c r="A172" s="256" t="s">
        <v>345</v>
      </c>
      <c r="B172" s="256" t="s">
        <v>348</v>
      </c>
      <c r="C172" s="256" t="s">
        <v>888</v>
      </c>
      <c r="D172" s="330" t="inlineStr">
        <is>
          <t xml:space="preserve">RAC</t>
        </is>
      </c>
      <c r="E172" s="330" t="inlineStr">
        <is>
          <t>Y</t>
        </is>
      </c>
      <c r="F172" s="330" t="inlineStr">
        <is>
          <t xml:space="preserve">진단 대상 35개 국가·리테일러에 해당하지 않음</t>
        </is>
      </c>
    </row>
    <row r="173" spans="1:15">
      <c r="A173" s="256" t="s">
        <v>359</v>
      </c>
      <c r="B173" s="256" t="s">
        <v>362</v>
      </c>
      <c r="C173" s="256" t="s">
        <v>889</v>
      </c>
      <c r="D173" s="330" t="inlineStr">
        <is>
          <t xml:space="preserve">REF</t>
        </is>
      </c>
      <c r="E173" s="330" t="inlineStr">
        <is>
          <t>Y</t>
        </is>
      </c>
      <c r="F173" s="330" t="inlineStr">
        <is>
          <t xml:space="preserve">진단 대상 35개 국가·리테일러에 해당하지 않음</t>
        </is>
      </c>
    </row>
    <row r="174" spans="1:15">
      <c r="A174" s="256" t="s">
        <v>359</v>
      </c>
      <c r="B174" s="256" t="s">
        <v>362</v>
      </c>
      <c r="C174" s="256" t="s">
        <v>890</v>
      </c>
      <c r="D174" s="330" t="inlineStr">
        <is>
          <t xml:space="preserve">DRYER</t>
        </is>
      </c>
      <c r="E174" s="330" t="inlineStr">
        <is>
          <t>Y</t>
        </is>
      </c>
      <c r="F174" s="330" t="inlineStr">
        <is>
          <t xml:space="preserve">진단 대상 35개 국가·리테일러에 해당하지 않음</t>
        </is>
      </c>
    </row>
    <row r="175" spans="1:15">
      <c r="A175" s="256" t="s">
        <v>359</v>
      </c>
      <c r="B175" s="256" t="s">
        <v>362</v>
      </c>
      <c r="C175" s="256" t="s">
        <v>891</v>
      </c>
      <c r="D175" s="330" t="inlineStr">
        <is>
          <t xml:space="preserve">TV</t>
        </is>
      </c>
      <c r="E175" s="330" t="inlineStr">
        <is>
          <t>Y</t>
        </is>
      </c>
      <c r="F175" s="330" t="inlineStr">
        <is>
          <t xml:space="preserve">진단 대상 35개 국가·리테일러에 해당하지 않음</t>
        </is>
      </c>
    </row>
    <row r="176" spans="1:15">
      <c r="A176" s="256" t="s">
        <v>359</v>
      </c>
      <c r="B176" s="256" t="s">
        <v>362</v>
      </c>
      <c r="C176" s="256" t="s">
        <v>892</v>
      </c>
      <c r="D176" s="330" t="inlineStr">
        <is>
          <t xml:space="preserve">MNT</t>
        </is>
      </c>
      <c r="E176" s="330" t="inlineStr">
        <is>
          <t>Y</t>
        </is>
      </c>
      <c r="F176" s="330" t="inlineStr">
        <is>
          <t xml:space="preserve">진단 대상 35개 국가·리테일러에 해당하지 않음</t>
        </is>
      </c>
    </row>
    <row r="177" spans="1:15">
      <c r="A177" s="256" t="s">
        <v>359</v>
      </c>
      <c r="B177" s="256" t="s">
        <v>362</v>
      </c>
      <c r="C177" s="256" t="s">
        <v>893</v>
      </c>
      <c r="D177" s="330" t="inlineStr">
        <is>
          <t xml:space="preserve">BT_SPEAKER</t>
        </is>
      </c>
      <c r="E177" s="330" t="inlineStr">
        <is>
          <t>Y</t>
        </is>
      </c>
      <c r="F177" s="330" t="inlineStr">
        <is>
          <t xml:space="preserve">진단 대상 35개 국가·리테일러에 해당하지 않음</t>
        </is>
      </c>
    </row>
    <row r="178" spans="1:15">
      <c r="A178" s="256" t="s">
        <v>359</v>
      </c>
      <c r="B178" s="256" t="s">
        <v>362</v>
      </c>
      <c r="C178" s="256" t="s">
        <v>894</v>
      </c>
      <c r="D178" s="330" t="inlineStr">
        <is>
          <t xml:space="preserve">SOUNDBAR</t>
        </is>
      </c>
      <c r="E178" s="330" t="inlineStr">
        <is>
          <t>Y</t>
        </is>
      </c>
      <c r="F178" s="330" t="inlineStr">
        <is>
          <t xml:space="preserve">진단 대상 35개 국가·리테일러에 해당하지 않음</t>
        </is>
      </c>
    </row>
    <row r="179" spans="1:15">
      <c r="A179" s="256" t="s">
        <v>359</v>
      </c>
      <c r="B179" s="256" t="s">
        <v>362</v>
      </c>
      <c r="C179" s="256" t="s">
        <v>895</v>
      </c>
      <c r="D179" s="330" t="inlineStr">
        <is>
          <t xml:space="preserve">HEADSET</t>
        </is>
      </c>
      <c r="E179" s="330" t="inlineStr">
        <is>
          <t>Y</t>
        </is>
      </c>
      <c r="F179" s="330" t="inlineStr">
        <is>
          <t xml:space="preserve">진단 대상 35개 국가·리테일러에 해당하지 않음</t>
        </is>
      </c>
    </row>
    <row r="180" spans="1:15">
      <c r="A180" s="256" t="s">
        <v>359</v>
      </c>
      <c r="B180" s="256" t="s">
        <v>362</v>
      </c>
      <c r="C180" s="256" t="s">
        <v>896</v>
      </c>
      <c r="D180" s="330" t="inlineStr">
        <is>
          <t xml:space="preserve">VACUUM</t>
        </is>
      </c>
      <c r="E180" s="330" t="inlineStr">
        <is>
          <t>Y</t>
        </is>
      </c>
      <c r="F180" s="330" t="inlineStr">
        <is>
          <t xml:space="preserve">진단 대상 35개 국가·리테일러에 해당하지 않음</t>
        </is>
      </c>
    </row>
    <row r="181" spans="1:15">
      <c r="A181" s="256" t="s">
        <v>359</v>
      </c>
      <c r="B181" s="256" t="s">
        <v>362</v>
      </c>
      <c r="C181" s="256" t="s">
        <v>897</v>
      </c>
      <c r="D181" s="330" t="inlineStr">
        <is>
          <t xml:space="preserve">DW</t>
        </is>
      </c>
      <c r="E181" s="330" t="inlineStr">
        <is>
          <t>Y</t>
        </is>
      </c>
      <c r="F181" s="330" t="inlineStr">
        <is>
          <t xml:space="preserve">진단 대상 35개 국가·리테일러에 해당하지 않음</t>
        </is>
      </c>
    </row>
    <row r="182" spans="1:15">
      <c r="A182" s="256" t="s">
        <v>359</v>
      </c>
      <c r="B182" s="256" t="s">
        <v>362</v>
      </c>
      <c r="C182" s="256" t="s">
        <v>898</v>
      </c>
      <c r="D182" s="330" t="inlineStr">
        <is>
          <t xml:space="preserve">DRYER</t>
        </is>
      </c>
      <c r="E182" s="330" t="inlineStr">
        <is>
          <t>Y</t>
        </is>
      </c>
      <c r="F182" s="330" t="inlineStr">
        <is>
          <t xml:space="preserve">진단 대상 35개 국가·리테일러에 해당하지 않음</t>
        </is>
      </c>
    </row>
    <row r="183" spans="1:15">
      <c r="A183" s="256" t="s">
        <v>359</v>
      </c>
      <c r="B183" s="256" t="s">
        <v>362</v>
      </c>
      <c r="C183" s="256" t="s">
        <v>899</v>
      </c>
      <c r="D183" s="330" t="inlineStr">
        <is>
          <t xml:space="preserve">OVEN</t>
        </is>
      </c>
      <c r="E183" s="330" t="inlineStr">
        <is>
          <t>Y</t>
        </is>
      </c>
      <c r="F183" s="330" t="inlineStr">
        <is>
          <t xml:space="preserve">진단 대상 35개 국가·리테일러에 해당하지 않음</t>
        </is>
      </c>
    </row>
    <row r="184" spans="1:15">
      <c r="A184" s="256" t="s">
        <v>359</v>
      </c>
      <c r="B184" s="256" t="s">
        <v>362</v>
      </c>
      <c r="C184" s="256" t="s">
        <v>900</v>
      </c>
      <c r="D184" s="330" t="inlineStr">
        <is>
          <t xml:space="preserve">GARMENT_CARE</t>
        </is>
      </c>
      <c r="E184" s="330" t="inlineStr">
        <is>
          <t>Y</t>
        </is>
      </c>
      <c r="F184" s="330" t="inlineStr">
        <is>
          <t xml:space="preserve">진단 대상 35개 국가·리테일러에 해당하지 않음</t>
        </is>
      </c>
    </row>
    <row r="185" spans="1:15">
      <c r="A185" s="256" t="s">
        <v>359</v>
      </c>
      <c r="B185" s="256" t="s">
        <v>362</v>
      </c>
      <c r="C185" s="256" t="s">
        <v>901</v>
      </c>
      <c r="D185" s="330" t="inlineStr">
        <is>
          <t xml:space="preserve">RAC</t>
        </is>
      </c>
      <c r="E185" s="330" t="inlineStr">
        <is>
          <t>Y</t>
        </is>
      </c>
      <c r="F185" s="330" t="inlineStr">
        <is>
          <t xml:space="preserve">진단 대상 35개 국가·리테일러에 해당하지 않음</t>
        </is>
      </c>
    </row>
    <row r="186" spans="1:15">
      <c r="A186" s="256" t="s">
        <v>251</v>
      </c>
      <c r="B186" s="256" t="s">
        <v>252</v>
      </c>
      <c r="C186" s="256" t="s">
        <v>902</v>
      </c>
      <c r="D186" s="330" t="inlineStr">
        <is>
          <t xml:space="preserve">TV</t>
        </is>
      </c>
      <c r="E186" s="330" t="inlineStr">
        <is>
          <t>Y</t>
        </is>
      </c>
      <c r="F186" s="330" t="inlineStr">
        <is>
          <t xml:space="preserve">대상 제품군이 아님: TV</t>
        </is>
      </c>
      <c r="G186" s="256" t="s">
        <v>127</v>
      </c>
    </row>
    <row r="187" spans="1:15">
      <c r="A187" s="256" t="s">
        <v>251</v>
      </c>
      <c r="B187" s="256" t="s">
        <v>252</v>
      </c>
      <c r="C187" s="256" t="s">
        <v>903</v>
      </c>
      <c r="D187" s="330" t="inlineStr">
        <is>
          <t xml:space="preserve">TV</t>
        </is>
      </c>
      <c r="E187" s="330" t="inlineStr">
        <is>
          <t>Y</t>
        </is>
      </c>
      <c r="F187" s="330" t="inlineStr">
        <is>
          <t xml:space="preserve">대상 제품군이 아님: TV</t>
        </is>
      </c>
      <c r="G187" s="256" t="s">
        <v>127</v>
      </c>
    </row>
    <row r="188" spans="1:15">
      <c r="A188" s="256" t="s">
        <v>251</v>
      </c>
      <c r="B188" s="256" t="s">
        <v>252</v>
      </c>
      <c r="C188" s="256" t="s">
        <v>904</v>
      </c>
      <c r="D188" s="330" t="inlineStr">
        <is>
          <t xml:space="preserve">TV</t>
        </is>
      </c>
      <c r="E188" s="330" t="inlineStr">
        <is>
          <t>Y</t>
        </is>
      </c>
      <c r="F188" s="330" t="inlineStr">
        <is>
          <t xml:space="preserve">대상 제품군이 아님: TV</t>
        </is>
      </c>
      <c r="G188" s="256" t="s">
        <v>127</v>
      </c>
    </row>
    <row r="189" spans="1:15">
      <c r="A189" s="256" t="s">
        <v>251</v>
      </c>
      <c r="B189" s="256" t="s">
        <v>252</v>
      </c>
      <c r="C189" s="256" t="s">
        <v>905</v>
      </c>
      <c r="D189" s="330" t="inlineStr">
        <is>
          <t xml:space="preserve">TV</t>
        </is>
      </c>
      <c r="E189" s="330" t="inlineStr">
        <is>
          <t>Y</t>
        </is>
      </c>
      <c r="F189" s="330" t="inlineStr">
        <is>
          <t xml:space="preserve">대상 제품군이 아님: TV</t>
        </is>
      </c>
      <c r="G189" s="256" t="s">
        <v>127</v>
      </c>
    </row>
    <row r="190" spans="1:15">
      <c r="A190" s="256" t="s">
        <v>251</v>
      </c>
      <c r="B190" s="256" t="s">
        <v>252</v>
      </c>
      <c r="C190" s="256" t="s">
        <v>906</v>
      </c>
      <c r="D190" s="330" t="inlineStr">
        <is>
          <t xml:space="preserve">TV</t>
        </is>
      </c>
      <c r="E190" s="330" t="inlineStr">
        <is>
          <t>Y</t>
        </is>
      </c>
      <c r="F190" s="330" t="inlineStr">
        <is>
          <t xml:space="preserve">대상 제품군이 아님: TV</t>
        </is>
      </c>
      <c r="G190" s="256" t="s">
        <v>127</v>
      </c>
    </row>
    <row r="191" spans="1:15">
      <c r="A191" s="256" t="s">
        <v>251</v>
      </c>
      <c r="B191" s="256" t="s">
        <v>252</v>
      </c>
      <c r="C191" s="256" t="s">
        <v>907</v>
      </c>
      <c r="D191" s="330" t="inlineStr">
        <is>
          <t xml:space="preserve">TV</t>
        </is>
      </c>
      <c r="E191" s="330" t="inlineStr">
        <is>
          <t>Y</t>
        </is>
      </c>
      <c r="F191" s="330" t="inlineStr">
        <is>
          <t xml:space="preserve">대상 제품군이 아님: TV</t>
        </is>
      </c>
      <c r="G191" s="256" t="s">
        <v>127</v>
      </c>
    </row>
    <row r="192" spans="1:15">
      <c r="A192" s="256" t="s">
        <v>251</v>
      </c>
      <c r="B192" s="256" t="s">
        <v>252</v>
      </c>
      <c r="C192" s="256" t="s">
        <v>908</v>
      </c>
      <c r="D192" s="330" t="inlineStr">
        <is>
          <t xml:space="preserve">TV</t>
        </is>
      </c>
      <c r="E192" s="330" t="inlineStr">
        <is>
          <t>Y</t>
        </is>
      </c>
      <c r="F192" s="330" t="inlineStr">
        <is>
          <t xml:space="preserve">대상 제품군이 아님: TV</t>
        </is>
      </c>
      <c r="G192" s="256" t="s">
        <v>127</v>
      </c>
    </row>
    <row r="193" spans="1:15">
      <c r="A193" s="256" t="s">
        <v>251</v>
      </c>
      <c r="B193" s="256" t="s">
        <v>252</v>
      </c>
      <c r="C193" s="256" t="s">
        <v>909</v>
      </c>
      <c r="D193" s="330" t="inlineStr">
        <is>
          <t xml:space="preserve">TV</t>
        </is>
      </c>
      <c r="E193" s="330" t="inlineStr">
        <is>
          <t>Y</t>
        </is>
      </c>
      <c r="F193" s="330" t="inlineStr">
        <is>
          <t xml:space="preserve">대상 제품군이 아님: TV</t>
        </is>
      </c>
      <c r="G193" s="256" t="s">
        <v>127</v>
      </c>
    </row>
    <row r="194" spans="1:15">
      <c r="A194" s="256" t="s">
        <v>251</v>
      </c>
      <c r="B194" s="256" t="s">
        <v>252</v>
      </c>
      <c r="C194" s="256" t="s">
        <v>910</v>
      </c>
      <c r="D194" s="330" t="inlineStr">
        <is>
          <t xml:space="preserve">TV</t>
        </is>
      </c>
      <c r="E194" s="330" t="inlineStr">
        <is>
          <t>Y</t>
        </is>
      </c>
      <c r="F194" s="330" t="inlineStr">
        <is>
          <t xml:space="preserve">대상 제품군이 아님: TV</t>
        </is>
      </c>
      <c r="G194" s="256" t="s">
        <v>127</v>
      </c>
    </row>
    <row r="195" spans="1:15">
      <c r="A195" s="256" t="s">
        <v>251</v>
      </c>
      <c r="B195" s="256" t="s">
        <v>252</v>
      </c>
      <c r="C195" s="256" t="s">
        <v>911</v>
      </c>
      <c r="D195" s="330" t="inlineStr">
        <is>
          <t xml:space="preserve">TV</t>
        </is>
      </c>
      <c r="E195" s="330" t="inlineStr">
        <is>
          <t>Y</t>
        </is>
      </c>
      <c r="F195" s="330" t="inlineStr">
        <is>
          <t xml:space="preserve">대상 제품군이 아님: TV</t>
        </is>
      </c>
      <c r="G195" s="256" t="s">
        <v>127</v>
      </c>
    </row>
    <row r="196" spans="1:15">
      <c r="A196" s="256" t="s">
        <v>251</v>
      </c>
      <c r="B196" s="256" t="s">
        <v>252</v>
      </c>
      <c r="C196" s="256" t="s">
        <v>909</v>
      </c>
      <c r="D196" s="330" t="inlineStr">
        <is>
          <t xml:space="preserve">TV</t>
        </is>
      </c>
      <c r="E196" s="330" t="inlineStr">
        <is>
          <t>Y</t>
        </is>
      </c>
      <c r="F196" s="330" t="inlineStr">
        <is>
          <t xml:space="preserve">대상 제품군이 아님: TV</t>
        </is>
      </c>
      <c r="G196" s="256" t="s">
        <v>127</v>
      </c>
    </row>
    <row r="197" spans="1:15">
      <c r="A197" s="256" t="s">
        <v>251</v>
      </c>
      <c r="B197" s="256" t="s">
        <v>252</v>
      </c>
      <c r="C197" s="256" t="s">
        <v>912</v>
      </c>
      <c r="D197" s="330" t="inlineStr">
        <is>
          <t xml:space="preserve">BT_SPEAKER</t>
        </is>
      </c>
      <c r="E197" s="330" t="inlineStr">
        <is>
          <t>Y</t>
        </is>
      </c>
      <c r="F197" s="330" t="inlineStr">
        <is>
          <t xml:space="preserve">대상 제품군이 아님: 블루투스 스피커</t>
        </is>
      </c>
      <c r="G197" s="256" t="s">
        <v>127</v>
      </c>
    </row>
    <row r="198" spans="1:15">
      <c r="A198" s="256" t="s">
        <v>251</v>
      </c>
      <c r="B198" s="256" t="s">
        <v>252</v>
      </c>
      <c r="C198" s="256" t="s">
        <v>913</v>
      </c>
      <c r="D198" s="330" t="inlineStr">
        <is>
          <t xml:space="preserve">SOUNDBAR</t>
        </is>
      </c>
      <c r="E198" s="330" t="inlineStr">
        <is>
          <t>Y</t>
        </is>
      </c>
      <c r="F198" s="330" t="inlineStr">
        <is>
          <t xml:space="preserve">대상 제품군이 아님: 사운드바</t>
        </is>
      </c>
      <c r="G198" s="256" t="s">
        <v>127</v>
      </c>
    </row>
    <row r="199" spans="1:15">
      <c r="A199" s="256" t="s">
        <v>251</v>
      </c>
      <c r="B199" s="256" t="s">
        <v>252</v>
      </c>
      <c r="C199" s="256" t="s">
        <v>914</v>
      </c>
      <c r="D199" s="330" t="inlineStr">
        <is>
          <t xml:space="preserve">SOUNDBAR</t>
        </is>
      </c>
      <c r="E199" s="330" t="inlineStr">
        <is>
          <t>Y</t>
        </is>
      </c>
      <c r="F199" s="330" t="inlineStr">
        <is>
          <t xml:space="preserve">대상 제품군이 아님: 사운드바</t>
        </is>
      </c>
      <c r="G199" s="256" t="s">
        <v>127</v>
      </c>
    </row>
    <row r="200" spans="1:15">
      <c r="A200" s="256" t="s">
        <v>251</v>
      </c>
      <c r="B200" s="256" t="s">
        <v>252</v>
      </c>
      <c r="C200" s="256" t="s">
        <v>915</v>
      </c>
      <c r="D200" s="330" t="inlineStr">
        <is>
          <t xml:space="preserve">SOUNDBAR</t>
        </is>
      </c>
      <c r="E200" s="330" t="inlineStr">
        <is>
          <t>Y</t>
        </is>
      </c>
      <c r="F200" s="330" t="inlineStr">
        <is>
          <t xml:space="preserve">대상 제품군이 아님: 사운드바</t>
        </is>
      </c>
      <c r="G200" s="256" t="s">
        <v>127</v>
      </c>
    </row>
    <row r="201" spans="1:15">
      <c r="A201" s="256" t="s">
        <v>251</v>
      </c>
      <c r="B201" s="256" t="s">
        <v>252</v>
      </c>
      <c r="C201" s="256" t="s">
        <v>916</v>
      </c>
      <c r="D201" s="330" t="inlineStr">
        <is>
          <t xml:space="preserve">SOUNDBAR</t>
        </is>
      </c>
      <c r="E201" s="330" t="inlineStr">
        <is>
          <t>Y</t>
        </is>
      </c>
      <c r="F201" s="330" t="inlineStr">
        <is>
          <t xml:space="preserve">대상 제품군이 아님: 사운드바</t>
        </is>
      </c>
      <c r="G201" s="256" t="s">
        <v>127</v>
      </c>
    </row>
    <row r="202" spans="1:15">
      <c r="A202" s="256" t="s">
        <v>251</v>
      </c>
      <c r="B202" s="256" t="s">
        <v>252</v>
      </c>
      <c r="C202" s="256" t="s">
        <v>917</v>
      </c>
      <c r="D202" s="330" t="inlineStr">
        <is>
          <t xml:space="preserve">REF</t>
        </is>
      </c>
      <c r="E202" s="335" t="inlineStr">
        <is>
          <t>N</t>
        </is>
      </c>
      <c r="F202" s="330" t="inlineStr">
        <is>
          <t xml:space="preserve">수집 대상</t>
        </is>
      </c>
      <c r="G202" s="256" t="s">
        <v>127</v>
      </c>
    </row>
    <row r="203" spans="1:15">
      <c r="A203" s="256" t="s">
        <v>251</v>
      </c>
      <c r="B203" s="256" t="s">
        <v>252</v>
      </c>
      <c r="C203" s="256" t="s">
        <v>918</v>
      </c>
      <c r="D203" s="330" t="inlineStr">
        <is>
          <t xml:space="preserve">REF</t>
        </is>
      </c>
      <c r="E203" s="335" t="inlineStr">
        <is>
          <t>N</t>
        </is>
      </c>
      <c r="F203" s="330" t="inlineStr">
        <is>
          <t xml:space="preserve">수집 대상</t>
        </is>
      </c>
      <c r="G203" s="256" t="s">
        <v>127</v>
      </c>
    </row>
    <row r="204" spans="1:15">
      <c r="A204" s="256" t="s">
        <v>251</v>
      </c>
      <c r="B204" s="256" t="s">
        <v>252</v>
      </c>
      <c r="C204" s="256" t="s">
        <v>919</v>
      </c>
      <c r="D204" s="330" t="inlineStr">
        <is>
          <t xml:space="preserve">REF</t>
        </is>
      </c>
      <c r="E204" s="335" t="inlineStr">
        <is>
          <t>N</t>
        </is>
      </c>
      <c r="F204" s="330" t="inlineStr">
        <is>
          <t xml:space="preserve">수집 대상</t>
        </is>
      </c>
      <c r="G204" s="256" t="s">
        <v>127</v>
      </c>
    </row>
    <row r="205" spans="1:15">
      <c r="A205" s="256" t="s">
        <v>251</v>
      </c>
      <c r="B205" s="256" t="s">
        <v>252</v>
      </c>
      <c r="C205" s="256" t="s">
        <v>920</v>
      </c>
      <c r="D205" s="330" t="inlineStr">
        <is>
          <t xml:space="preserve">REF</t>
        </is>
      </c>
      <c r="E205" s="335" t="inlineStr">
        <is>
          <t>N</t>
        </is>
      </c>
      <c r="F205" s="330" t="inlineStr">
        <is>
          <t xml:space="preserve">수집 대상</t>
        </is>
      </c>
      <c r="G205" s="256" t="s">
        <v>127</v>
      </c>
    </row>
    <row r="206" spans="1:15">
      <c r="A206" s="256" t="s">
        <v>251</v>
      </c>
      <c r="B206" s="256" t="s">
        <v>252</v>
      </c>
      <c r="C206" s="256" t="s">
        <v>921</v>
      </c>
      <c r="D206" s="330" t="inlineStr">
        <is>
          <t xml:space="preserve">REF</t>
        </is>
      </c>
      <c r="E206" s="335" t="inlineStr">
        <is>
          <t>N</t>
        </is>
      </c>
      <c r="F206" s="330" t="inlineStr">
        <is>
          <t xml:space="preserve">수집 대상</t>
        </is>
      </c>
      <c r="G206" s="256" t="s">
        <v>127</v>
      </c>
    </row>
    <row r="207" spans="1:15">
      <c r="A207" s="256" t="s">
        <v>251</v>
      </c>
      <c r="B207" s="256" t="s">
        <v>252</v>
      </c>
      <c r="C207" s="256" t="s">
        <v>922</v>
      </c>
      <c r="D207" s="330" t="inlineStr">
        <is>
          <t xml:space="preserve">REF</t>
        </is>
      </c>
      <c r="E207" s="335" t="inlineStr">
        <is>
          <t>N</t>
        </is>
      </c>
      <c r="F207" s="330" t="inlineStr">
        <is>
          <t xml:space="preserve">수집 대상</t>
        </is>
      </c>
      <c r="G207" s="256" t="s">
        <v>127</v>
      </c>
    </row>
    <row r="208" spans="1:15">
      <c r="A208" s="256" t="s">
        <v>251</v>
      </c>
      <c r="B208" s="256" t="s">
        <v>252</v>
      </c>
      <c r="C208" s="256" t="s">
        <v>923</v>
      </c>
      <c r="D208" s="330" t="inlineStr">
        <is>
          <t xml:space="preserve">REF</t>
        </is>
      </c>
      <c r="E208" s="335" t="inlineStr">
        <is>
          <t>N</t>
        </is>
      </c>
      <c r="F208" s="330" t="inlineStr">
        <is>
          <t xml:space="preserve">수집 대상</t>
        </is>
      </c>
      <c r="G208" s="256" t="s">
        <v>127</v>
      </c>
    </row>
    <row r="209" spans="1:15">
      <c r="A209" s="256" t="s">
        <v>251</v>
      </c>
      <c r="B209" s="256" t="s">
        <v>252</v>
      </c>
      <c r="C209" s="256" t="s">
        <v>924</v>
      </c>
      <c r="D209" s="330" t="inlineStr">
        <is>
          <t xml:space="preserve">REF</t>
        </is>
      </c>
      <c r="E209" s="335" t="inlineStr">
        <is>
          <t>N</t>
        </is>
      </c>
      <c r="F209" s="330" t="inlineStr">
        <is>
          <t xml:space="preserve">수집 대상</t>
        </is>
      </c>
      <c r="G209" s="256" t="s">
        <v>127</v>
      </c>
    </row>
    <row r="210" spans="1:15">
      <c r="A210" s="256" t="s">
        <v>251</v>
      </c>
      <c r="B210" s="256" t="s">
        <v>252</v>
      </c>
      <c r="C210" s="256" t="s">
        <v>925</v>
      </c>
      <c r="D210" s="330" t="inlineStr">
        <is>
          <t xml:space="preserve">REF</t>
        </is>
      </c>
      <c r="E210" s="335" t="inlineStr">
        <is>
          <t>N</t>
        </is>
      </c>
      <c r="F210" s="330" t="inlineStr">
        <is>
          <t xml:space="preserve">수집 대상</t>
        </is>
      </c>
      <c r="G210" s="256" t="s">
        <v>127</v>
      </c>
    </row>
    <row r="211" spans="1:15">
      <c r="A211" s="256" t="s">
        <v>251</v>
      </c>
      <c r="B211" s="256" t="s">
        <v>252</v>
      </c>
      <c r="C211" s="256" t="s">
        <v>926</v>
      </c>
      <c r="D211" s="330" t="inlineStr">
        <is>
          <t xml:space="preserve">WM</t>
        </is>
      </c>
      <c r="E211" s="335" t="inlineStr">
        <is>
          <t>N</t>
        </is>
      </c>
      <c r="F211" s="330" t="inlineStr">
        <is>
          <t xml:space="preserve">수집 대상</t>
        </is>
      </c>
      <c r="G211" s="256" t="s">
        <v>127</v>
      </c>
    </row>
    <row r="212" spans="1:15">
      <c r="A212" s="256" t="s">
        <v>251</v>
      </c>
      <c r="B212" s="256" t="s">
        <v>252</v>
      </c>
      <c r="C212" s="256" t="s">
        <v>927</v>
      </c>
      <c r="D212" s="330" t="inlineStr">
        <is>
          <t xml:space="preserve">WM</t>
        </is>
      </c>
      <c r="E212" s="335" t="inlineStr">
        <is>
          <t>N</t>
        </is>
      </c>
      <c r="F212" s="330" t="inlineStr">
        <is>
          <t xml:space="preserve">수집 대상</t>
        </is>
      </c>
      <c r="G212" s="256" t="s">
        <v>127</v>
      </c>
    </row>
    <row r="213" spans="1:15">
      <c r="A213" s="256" t="s">
        <v>251</v>
      </c>
      <c r="B213" s="256" t="s">
        <v>252</v>
      </c>
      <c r="C213" s="256" t="s">
        <v>928</v>
      </c>
      <c r="D213" s="330" t="inlineStr">
        <is>
          <t xml:space="preserve">WM</t>
        </is>
      </c>
      <c r="E213" s="335" t="inlineStr">
        <is>
          <t>N</t>
        </is>
      </c>
      <c r="F213" s="330" t="inlineStr">
        <is>
          <t xml:space="preserve">수집 대상</t>
        </is>
      </c>
      <c r="G213" s="256" t="s">
        <v>127</v>
      </c>
    </row>
    <row r="214" spans="1:15">
      <c r="A214" s="256" t="s">
        <v>251</v>
      </c>
      <c r="B214" s="256" t="s">
        <v>252</v>
      </c>
      <c r="C214" s="256" t="s">
        <v>929</v>
      </c>
      <c r="D214" s="330" t="inlineStr">
        <is>
          <t xml:space="preserve">WM</t>
        </is>
      </c>
      <c r="E214" s="335" t="inlineStr">
        <is>
          <t>N</t>
        </is>
      </c>
      <c r="F214" s="330" t="inlineStr">
        <is>
          <t xml:space="preserve">수집 대상</t>
        </is>
      </c>
      <c r="G214" s="256" t="s">
        <v>127</v>
      </c>
    </row>
    <row r="215" spans="1:15">
      <c r="A215" s="256" t="s">
        <v>251</v>
      </c>
      <c r="B215" s="256" t="s">
        <v>252</v>
      </c>
      <c r="C215" s="256" t="s">
        <v>930</v>
      </c>
      <c r="D215" s="330" t="inlineStr">
        <is>
          <t xml:space="preserve">WM</t>
        </is>
      </c>
      <c r="E215" s="335" t="inlineStr">
        <is>
          <t>N</t>
        </is>
      </c>
      <c r="F215" s="330" t="inlineStr">
        <is>
          <t xml:space="preserve">수집 대상</t>
        </is>
      </c>
      <c r="G215" s="256" t="s">
        <v>127</v>
      </c>
    </row>
    <row r="216" spans="1:15">
      <c r="A216" s="256" t="s">
        <v>251</v>
      </c>
      <c r="B216" s="256" t="s">
        <v>252</v>
      </c>
      <c r="C216" s="256" t="s">
        <v>931</v>
      </c>
      <c r="D216" s="330" t="inlineStr">
        <is>
          <t xml:space="preserve">WM</t>
        </is>
      </c>
      <c r="E216" s="335" t="inlineStr">
        <is>
          <t>N</t>
        </is>
      </c>
      <c r="F216" s="330" t="inlineStr">
        <is>
          <t xml:space="preserve">수집 대상</t>
        </is>
      </c>
      <c r="G216" s="256" t="s">
        <v>127</v>
      </c>
    </row>
    <row r="217" spans="1:15">
      <c r="A217" s="256" t="s">
        <v>251</v>
      </c>
      <c r="B217" s="256" t="s">
        <v>252</v>
      </c>
      <c r="C217" s="256" t="s">
        <v>932</v>
      </c>
      <c r="D217" s="330" t="inlineStr">
        <is>
          <t xml:space="preserve">WM</t>
        </is>
      </c>
      <c r="E217" s="335" t="inlineStr">
        <is>
          <t>N</t>
        </is>
      </c>
      <c r="F217" s="330" t="inlineStr">
        <is>
          <t xml:space="preserve">수집 대상</t>
        </is>
      </c>
      <c r="G217" s="256" t="s">
        <v>127</v>
      </c>
    </row>
    <row r="218" spans="1:15">
      <c r="A218" s="256" t="s">
        <v>251</v>
      </c>
      <c r="B218" s="256" t="s">
        <v>252</v>
      </c>
      <c r="C218" s="256" t="s">
        <v>933</v>
      </c>
      <c r="D218" s="330" t="inlineStr">
        <is>
          <t xml:space="preserve">WM</t>
        </is>
      </c>
      <c r="E218" s="335" t="inlineStr">
        <is>
          <t>N</t>
        </is>
      </c>
      <c r="F218" s="330" t="inlineStr">
        <is>
          <t xml:space="preserve">수집 대상</t>
        </is>
      </c>
      <c r="G218" s="256" t="s">
        <v>127</v>
      </c>
    </row>
    <row r="219" spans="1:15">
      <c r="A219" s="256" t="s">
        <v>251</v>
      </c>
      <c r="B219" s="256" t="s">
        <v>252</v>
      </c>
      <c r="C219" s="256" t="s">
        <v>934</v>
      </c>
      <c r="D219" s="330" t="inlineStr">
        <is>
          <t xml:space="preserve">WM</t>
        </is>
      </c>
      <c r="E219" s="335" t="inlineStr">
        <is>
          <t>N</t>
        </is>
      </c>
      <c r="F219" s="330" t="inlineStr">
        <is>
          <t xml:space="preserve">수집 대상</t>
        </is>
      </c>
      <c r="G219" s="256" t="s">
        <v>127</v>
      </c>
    </row>
    <row r="220" spans="1:15">
      <c r="A220" s="256" t="s">
        <v>251</v>
      </c>
      <c r="B220" s="256" t="s">
        <v>252</v>
      </c>
      <c r="C220" s="256" t="s">
        <v>935</v>
      </c>
      <c r="D220" s="330" t="inlineStr">
        <is>
          <t xml:space="preserve">ACCESSORY</t>
        </is>
      </c>
      <c r="E220" s="330" t="inlineStr">
        <is>
          <t>Y</t>
        </is>
      </c>
      <c r="F220" s="330" t="inlineStr">
        <is>
          <t xml:space="preserve">제품 액세서리 전용 페이지</t>
        </is>
      </c>
      <c r="G220" s="256" t="s">
        <v>127</v>
      </c>
    </row>
    <row r="221" spans="1:15">
      <c r="A221" s="256" t="s">
        <v>251</v>
      </c>
      <c r="B221" s="256" t="s">
        <v>252</v>
      </c>
      <c r="C221" s="256" t="s">
        <v>936</v>
      </c>
      <c r="D221" s="330" t="inlineStr">
        <is>
          <t xml:space="preserve">WM</t>
        </is>
      </c>
      <c r="E221" s="335" t="inlineStr">
        <is>
          <t>N</t>
        </is>
      </c>
      <c r="F221" s="330" t="inlineStr">
        <is>
          <t xml:space="preserve">수집 대상</t>
        </is>
      </c>
      <c r="G221" s="256" t="s">
        <v>127</v>
      </c>
    </row>
    <row r="222" spans="1:15">
      <c r="A222" s="256" t="s">
        <v>251</v>
      </c>
      <c r="B222" s="256" t="s">
        <v>252</v>
      </c>
      <c r="C222" s="256" t="s">
        <v>937</v>
      </c>
      <c r="D222" s="330" t="inlineStr">
        <is>
          <t xml:space="preserve">DW</t>
        </is>
      </c>
      <c r="E222" s="330" t="inlineStr">
        <is>
          <t>Y</t>
        </is>
      </c>
      <c r="F222" s="330" t="inlineStr">
        <is>
          <t xml:space="preserve">식기세척기는 스페인 ECI·MediaMarkt만 대상</t>
        </is>
      </c>
      <c r="G222" s="256" t="s">
        <v>127</v>
      </c>
    </row>
    <row r="223" spans="1:15">
      <c r="A223" s="256" t="s">
        <v>251</v>
      </c>
      <c r="B223" s="256" t="s">
        <v>252</v>
      </c>
      <c r="C223" s="256" t="s">
        <v>938</v>
      </c>
      <c r="D223" s="330" t="inlineStr">
        <is>
          <t xml:space="preserve">DW</t>
        </is>
      </c>
      <c r="E223" s="330" t="inlineStr">
        <is>
          <t>Y</t>
        </is>
      </c>
      <c r="F223" s="330" t="inlineStr">
        <is>
          <t xml:space="preserve">식기세척기는 스페인 ECI·MediaMarkt만 대상</t>
        </is>
      </c>
      <c r="G223" s="256" t="s">
        <v>127</v>
      </c>
    </row>
    <row r="224" spans="1:15">
      <c r="A224" s="256" t="s">
        <v>251</v>
      </c>
      <c r="B224" s="256" t="s">
        <v>252</v>
      </c>
      <c r="C224" s="256" t="s">
        <v>939</v>
      </c>
      <c r="D224" s="330" t="inlineStr">
        <is>
          <t xml:space="preserve">DW</t>
        </is>
      </c>
      <c r="E224" s="330" t="inlineStr">
        <is>
          <t>Y</t>
        </is>
      </c>
      <c r="F224" s="330" t="inlineStr">
        <is>
          <t xml:space="preserve">식기세척기는 스페인 ECI·MediaMarkt만 대상</t>
        </is>
      </c>
      <c r="G224" s="256" t="s">
        <v>127</v>
      </c>
    </row>
    <row r="225" spans="1:15">
      <c r="A225" s="256" t="s">
        <v>251</v>
      </c>
      <c r="B225" s="256" t="s">
        <v>252</v>
      </c>
      <c r="C225" s="256" t="s">
        <v>940</v>
      </c>
      <c r="D225" s="330" t="inlineStr">
        <is>
          <t xml:space="preserve">DW</t>
        </is>
      </c>
      <c r="E225" s="330" t="inlineStr">
        <is>
          <t>Y</t>
        </is>
      </c>
      <c r="F225" s="330" t="inlineStr">
        <is>
          <t xml:space="preserve">식기세척기는 스페인 ECI·MediaMarkt만 대상</t>
        </is>
      </c>
      <c r="G225" s="256" t="s">
        <v>127</v>
      </c>
    </row>
    <row r="226" spans="1:15">
      <c r="A226" s="256" t="s">
        <v>251</v>
      </c>
      <c r="B226" s="256" t="s">
        <v>252</v>
      </c>
      <c r="C226" s="256" t="s">
        <v>941</v>
      </c>
      <c r="D226" s="330" t="inlineStr">
        <is>
          <t xml:space="preserve">DW</t>
        </is>
      </c>
      <c r="E226" s="330" t="inlineStr">
        <is>
          <t>Y</t>
        </is>
      </c>
      <c r="F226" s="330" t="inlineStr">
        <is>
          <t xml:space="preserve">식기세척기는 스페인 ECI·MediaMarkt만 대상</t>
        </is>
      </c>
      <c r="G226" s="256" t="s">
        <v>127</v>
      </c>
    </row>
    <row r="227" spans="1:15">
      <c r="A227" s="256" t="s">
        <v>251</v>
      </c>
      <c r="B227" s="256" t="s">
        <v>252</v>
      </c>
      <c r="C227" s="256" t="s">
        <v>942</v>
      </c>
      <c r="D227" s="330" t="inlineStr">
        <is>
          <t xml:space="preserve">DW</t>
        </is>
      </c>
      <c r="E227" s="330" t="inlineStr">
        <is>
          <t>Y</t>
        </is>
      </c>
      <c r="F227" s="330" t="inlineStr">
        <is>
          <t xml:space="preserve">식기세척기는 스페인 ECI·MediaMarkt만 대상</t>
        </is>
      </c>
      <c r="G227" s="256" t="s">
        <v>127</v>
      </c>
    </row>
    <row r="228" spans="1:15">
      <c r="A228" s="256" t="s">
        <v>251</v>
      </c>
      <c r="B228" s="256" t="s">
        <v>252</v>
      </c>
      <c r="C228" s="256" t="s">
        <v>943</v>
      </c>
      <c r="D228" s="330" t="inlineStr">
        <is>
          <t xml:space="preserve">DW</t>
        </is>
      </c>
      <c r="E228" s="330" t="inlineStr">
        <is>
          <t>Y</t>
        </is>
      </c>
      <c r="F228" s="330" t="inlineStr">
        <is>
          <t xml:space="preserve">식기세척기는 스페인 ECI·MediaMarkt만 대상</t>
        </is>
      </c>
      <c r="G228" s="256" t="s">
        <v>127</v>
      </c>
    </row>
    <row r="229" spans="1:15">
      <c r="A229" s="256" t="s">
        <v>251</v>
      </c>
      <c r="B229" s="256" t="s">
        <v>252</v>
      </c>
      <c r="C229" s="256" t="s">
        <v>944</v>
      </c>
      <c r="D229" s="330" t="inlineStr">
        <is>
          <t xml:space="preserve">DW</t>
        </is>
      </c>
      <c r="E229" s="330" t="inlineStr">
        <is>
          <t>Y</t>
        </is>
      </c>
      <c r="F229" s="330" t="inlineStr">
        <is>
          <t xml:space="preserve">식기세척기는 스페인 ECI·MediaMarkt만 대상</t>
        </is>
      </c>
      <c r="G229" s="256" t="s">
        <v>127</v>
      </c>
    </row>
    <row r="230" spans="1:15">
      <c r="A230" s="256" t="s">
        <v>251</v>
      </c>
      <c r="B230" s="256" t="s">
        <v>252</v>
      </c>
      <c r="C230" s="256" t="s">
        <v>945</v>
      </c>
      <c r="D230" s="330" t="inlineStr">
        <is>
          <t xml:space="preserve">DW</t>
        </is>
      </c>
      <c r="E230" s="330" t="inlineStr">
        <is>
          <t>Y</t>
        </is>
      </c>
      <c r="F230" s="330" t="inlineStr">
        <is>
          <t xml:space="preserve">식기세척기는 스페인 ECI·MediaMarkt만 대상</t>
        </is>
      </c>
      <c r="G230" s="256" t="s">
        <v>127</v>
      </c>
    </row>
    <row r="231" spans="1:15">
      <c r="A231" s="256" t="s">
        <v>251</v>
      </c>
      <c r="B231" s="256" t="s">
        <v>252</v>
      </c>
      <c r="C231" s="256" t="s">
        <v>946</v>
      </c>
      <c r="D231" s="330" t="inlineStr">
        <is>
          <t xml:space="preserve">ACCESSORY</t>
        </is>
      </c>
      <c r="E231" s="330" t="inlineStr">
        <is>
          <t>Y</t>
        </is>
      </c>
      <c r="F231" s="330" t="inlineStr">
        <is>
          <t xml:space="preserve">제품 액세서리 전용 페이지</t>
        </is>
      </c>
      <c r="G231" s="256" t="s">
        <v>127</v>
      </c>
    </row>
    <row r="232" spans="1:15">
      <c r="A232" s="256" t="s">
        <v>251</v>
      </c>
      <c r="B232" s="256" t="s">
        <v>252</v>
      </c>
      <c r="C232" s="256" t="s">
        <v>947</v>
      </c>
      <c r="D232" s="330" t="inlineStr">
        <is>
          <t xml:space="preserve">LAPTOP</t>
        </is>
      </c>
      <c r="E232" s="330" t="inlineStr">
        <is>
          <t>Y</t>
        </is>
      </c>
      <c r="F232" s="330" t="inlineStr">
        <is>
          <t xml:space="preserve">대상 제품군이 아님: 노트북</t>
        </is>
      </c>
      <c r="G232" s="256" t="s">
        <v>127</v>
      </c>
    </row>
    <row r="233" spans="1:15">
      <c r="A233" s="256" t="s">
        <v>251</v>
      </c>
      <c r="B233" s="256" t="s">
        <v>252</v>
      </c>
      <c r="C233" s="256" t="s">
        <v>948</v>
      </c>
      <c r="D233" s="330" t="inlineStr">
        <is>
          <t xml:space="preserve">LAPTOP</t>
        </is>
      </c>
      <c r="E233" s="330" t="inlineStr">
        <is>
          <t>Y</t>
        </is>
      </c>
      <c r="F233" s="330" t="inlineStr">
        <is>
          <t xml:space="preserve">대상 제품군이 아님: 노트북</t>
        </is>
      </c>
      <c r="G233" s="256" t="s">
        <v>127</v>
      </c>
    </row>
    <row r="234" spans="1:15">
      <c r="A234" s="256" t="s">
        <v>251</v>
      </c>
      <c r="B234" s="256" t="s">
        <v>252</v>
      </c>
      <c r="C234" s="256" t="s">
        <v>949</v>
      </c>
      <c r="D234" s="330" t="inlineStr">
        <is>
          <t xml:space="preserve">LAPTOP</t>
        </is>
      </c>
      <c r="E234" s="330" t="inlineStr">
        <is>
          <t>Y</t>
        </is>
      </c>
      <c r="F234" s="330" t="inlineStr">
        <is>
          <t xml:space="preserve">대상 제품군이 아님: 노트북</t>
        </is>
      </c>
      <c r="G234" s="256" t="s">
        <v>127</v>
      </c>
    </row>
    <row r="235" spans="1:15">
      <c r="A235" s="256" t="s">
        <v>251</v>
      </c>
      <c r="B235" s="256" t="s">
        <v>252</v>
      </c>
      <c r="C235" s="256" t="s">
        <v>950</v>
      </c>
      <c r="D235" s="330" t="inlineStr">
        <is>
          <t xml:space="preserve">LAPTOP</t>
        </is>
      </c>
      <c r="E235" s="330" t="inlineStr">
        <is>
          <t>Y</t>
        </is>
      </c>
      <c r="F235" s="330" t="inlineStr">
        <is>
          <t xml:space="preserve">대상 제품군이 아님: 노트북</t>
        </is>
      </c>
      <c r="G235" s="256" t="s">
        <v>127</v>
      </c>
    </row>
    <row r="236" spans="1:15">
      <c r="A236" s="256" t="s">
        <v>251</v>
      </c>
      <c r="B236" s="256" t="s">
        <v>252</v>
      </c>
      <c r="C236" s="256" t="s">
        <v>951</v>
      </c>
      <c r="D236" s="330" t="inlineStr">
        <is>
          <t xml:space="preserve">LAPTOP</t>
        </is>
      </c>
      <c r="E236" s="330" t="inlineStr">
        <is>
          <t>Y</t>
        </is>
      </c>
      <c r="F236" s="330" t="inlineStr">
        <is>
          <t xml:space="preserve">대상 제품군이 아님: 노트북</t>
        </is>
      </c>
      <c r="G236" s="256" t="s">
        <v>127</v>
      </c>
    </row>
    <row r="237" spans="1:15">
      <c r="A237" s="256" t="s">
        <v>251</v>
      </c>
      <c r="B237" s="256" t="s">
        <v>252</v>
      </c>
      <c r="C237" s="256" t="s">
        <v>952</v>
      </c>
      <c r="D237" s="330" t="inlineStr">
        <is>
          <t xml:space="preserve">LAPTOP</t>
        </is>
      </c>
      <c r="E237" s="330" t="inlineStr">
        <is>
          <t>Y</t>
        </is>
      </c>
      <c r="F237" s="330" t="inlineStr">
        <is>
          <t xml:space="preserve">대상 제품군이 아님: 노트북</t>
        </is>
      </c>
      <c r="G237" s="256" t="s">
        <v>127</v>
      </c>
    </row>
    <row r="238" spans="1:15">
      <c r="A238" s="256" t="s">
        <v>251</v>
      </c>
      <c r="B238" s="256" t="s">
        <v>252</v>
      </c>
      <c r="C238" s="256" t="s">
        <v>953</v>
      </c>
      <c r="D238" s="330" t="inlineStr">
        <is>
          <t xml:space="preserve">LAPTOP</t>
        </is>
      </c>
      <c r="E238" s="330" t="inlineStr">
        <is>
          <t>Y</t>
        </is>
      </c>
      <c r="F238" s="330" t="inlineStr">
        <is>
          <t xml:space="preserve">대상 제품군이 아님: 노트북</t>
        </is>
      </c>
      <c r="G238" s="256" t="s">
        <v>127</v>
      </c>
    </row>
    <row r="239" spans="1:15">
      <c r="A239" s="256" t="s">
        <v>251</v>
      </c>
      <c r="B239" s="256" t="s">
        <v>252</v>
      </c>
      <c r="C239" s="256" t="s">
        <v>954</v>
      </c>
      <c r="D239" s="330" t="inlineStr">
        <is>
          <t xml:space="preserve">LAPTOP</t>
        </is>
      </c>
      <c r="E239" s="330" t="inlineStr">
        <is>
          <t>Y</t>
        </is>
      </c>
      <c r="F239" s="330" t="inlineStr">
        <is>
          <t xml:space="preserve">대상 제품군이 아님: 노트북</t>
        </is>
      </c>
      <c r="G239" s="256" t="s">
        <v>127</v>
      </c>
    </row>
    <row r="240" spans="1:15">
      <c r="A240" s="256" t="s">
        <v>251</v>
      </c>
      <c r="B240" s="256" t="s">
        <v>252</v>
      </c>
      <c r="C240" s="256" t="s">
        <v>955</v>
      </c>
      <c r="D240" s="330" t="inlineStr">
        <is>
          <t xml:space="preserve">LAPTOP</t>
        </is>
      </c>
      <c r="E240" s="330" t="inlineStr">
        <is>
          <t>Y</t>
        </is>
      </c>
      <c r="F240" s="330" t="inlineStr">
        <is>
          <t xml:space="preserve">대상 제품군이 아님: 노트북</t>
        </is>
      </c>
      <c r="G240" s="256" t="s">
        <v>127</v>
      </c>
    </row>
    <row r="241" spans="1:15">
      <c r="A241" s="256" t="s">
        <v>251</v>
      </c>
      <c r="B241" s="256" t="s">
        <v>252</v>
      </c>
      <c r="C241" s="256" t="s">
        <v>956</v>
      </c>
      <c r="D241" s="330" t="inlineStr">
        <is>
          <t xml:space="preserve">LAPTOP</t>
        </is>
      </c>
      <c r="E241" s="330" t="inlineStr">
        <is>
          <t>Y</t>
        </is>
      </c>
      <c r="F241" s="330" t="inlineStr">
        <is>
          <t xml:space="preserve">대상 제품군이 아님: 노트북</t>
        </is>
      </c>
      <c r="G241" s="256" t="s">
        <v>127</v>
      </c>
    </row>
    <row r="242" spans="1:15">
      <c r="A242" s="256" t="s">
        <v>251</v>
      </c>
      <c r="B242" s="256" t="s">
        <v>252</v>
      </c>
      <c r="C242" s="256" t="s">
        <v>957</v>
      </c>
      <c r="D242" s="330" t="inlineStr">
        <is>
          <t xml:space="preserve">LAPTOP</t>
        </is>
      </c>
      <c r="E242" s="330" t="inlineStr">
        <is>
          <t>Y</t>
        </is>
      </c>
      <c r="F242" s="330" t="inlineStr">
        <is>
          <t xml:space="preserve">대상 제품군이 아님: 노트북</t>
        </is>
      </c>
      <c r="G242" s="256" t="s">
        <v>127</v>
      </c>
    </row>
    <row r="243" spans="1:15">
      <c r="A243" s="256" t="s">
        <v>251</v>
      </c>
      <c r="B243" s="256" t="s">
        <v>252</v>
      </c>
      <c r="C243" s="256" t="s">
        <v>958</v>
      </c>
      <c r="D243" s="330" t="inlineStr">
        <is>
          <t xml:space="preserve">LAPTOP</t>
        </is>
      </c>
      <c r="E243" s="330" t="inlineStr">
        <is>
          <t>Y</t>
        </is>
      </c>
      <c r="F243" s="330" t="inlineStr">
        <is>
          <t xml:space="preserve">대상 제품군이 아님: 노트북</t>
        </is>
      </c>
      <c r="G243" s="256" t="s">
        <v>127</v>
      </c>
    </row>
    <row r="244" spans="1:15">
      <c r="A244" s="256" t="s">
        <v>251</v>
      </c>
      <c r="B244" s="256" t="s">
        <v>252</v>
      </c>
      <c r="C244" s="256" t="s">
        <v>959</v>
      </c>
      <c r="D244" s="330" t="inlineStr">
        <is>
          <t xml:space="preserve">LAPTOP</t>
        </is>
      </c>
      <c r="E244" s="330" t="inlineStr">
        <is>
          <t>Y</t>
        </is>
      </c>
      <c r="F244" s="330" t="inlineStr">
        <is>
          <t xml:space="preserve">대상 제품군이 아님: 노트북</t>
        </is>
      </c>
      <c r="G244" s="256" t="s">
        <v>127</v>
      </c>
    </row>
    <row r="245" spans="1:15">
      <c r="A245" s="256" t="s">
        <v>251</v>
      </c>
      <c r="B245" s="256" t="s">
        <v>252</v>
      </c>
      <c r="C245" s="256" t="s">
        <v>960</v>
      </c>
      <c r="D245" s="330" t="inlineStr">
        <is>
          <t xml:space="preserve">OVEN</t>
        </is>
      </c>
      <c r="E245" s="330" t="inlineStr">
        <is>
          <t>Y</t>
        </is>
      </c>
      <c r="F245" s="330" t="inlineStr">
        <is>
          <t xml:space="preserve">대상 제품군이 아님: 오븐·조리기기</t>
        </is>
      </c>
      <c r="G245" s="256" t="s">
        <v>127</v>
      </c>
    </row>
    <row r="246" spans="1:15">
      <c r="A246" s="256" t="s">
        <v>251</v>
      </c>
      <c r="B246" s="256" t="s">
        <v>252</v>
      </c>
      <c r="C246" s="256" t="s">
        <v>961</v>
      </c>
      <c r="D246" s="330" t="inlineStr">
        <is>
          <t xml:space="preserve">OVEN</t>
        </is>
      </c>
      <c r="E246" s="330" t="inlineStr">
        <is>
          <t>Y</t>
        </is>
      </c>
      <c r="F246" s="330" t="inlineStr">
        <is>
          <t xml:space="preserve">대상 제품군이 아님: 오븐·조리기기</t>
        </is>
      </c>
      <c r="G246" s="256" t="s">
        <v>127</v>
      </c>
    </row>
    <row r="247" spans="1:15">
      <c r="A247" s="256" t="s">
        <v>251</v>
      </c>
      <c r="B247" s="256" t="s">
        <v>252</v>
      </c>
      <c r="C247" s="256" t="s">
        <v>962</v>
      </c>
      <c r="D247" s="330" t="inlineStr">
        <is>
          <t xml:space="preserve">OVEN</t>
        </is>
      </c>
      <c r="E247" s="330" t="inlineStr">
        <is>
          <t>Y</t>
        </is>
      </c>
      <c r="F247" s="330" t="inlineStr">
        <is>
          <t xml:space="preserve">대상 제품군이 아님: 오븐·조리기기</t>
        </is>
      </c>
      <c r="G247" s="256" t="s">
        <v>127</v>
      </c>
    </row>
    <row r="248" spans="1:15">
      <c r="A248" s="256" t="s">
        <v>251</v>
      </c>
      <c r="B248" s="256" t="s">
        <v>252</v>
      </c>
      <c r="C248" s="256" t="s">
        <v>963</v>
      </c>
      <c r="D248" s="330" t="inlineStr">
        <is>
          <t xml:space="preserve">OVEN</t>
        </is>
      </c>
      <c r="E248" s="330" t="inlineStr">
        <is>
          <t>Y</t>
        </is>
      </c>
      <c r="F248" s="330" t="inlineStr">
        <is>
          <t xml:space="preserve">대상 제품군이 아님: 오븐·조리기기</t>
        </is>
      </c>
      <c r="G248" s="256" t="s">
        <v>127</v>
      </c>
    </row>
    <row r="249" spans="1:15">
      <c r="A249" s="256" t="s">
        <v>251</v>
      </c>
      <c r="B249" s="256" t="s">
        <v>252</v>
      </c>
      <c r="C249" s="256" t="s">
        <v>964</v>
      </c>
      <c r="D249" s="330" t="inlineStr">
        <is>
          <t xml:space="preserve">HEADSET</t>
        </is>
      </c>
      <c r="E249" s="330" t="inlineStr">
        <is>
          <t>Y</t>
        </is>
      </c>
      <c r="F249" s="330" t="inlineStr">
        <is>
          <t xml:space="preserve">대상 제품군이 아님: 이어폰·헤드셋</t>
        </is>
      </c>
      <c r="G249" s="256" t="s">
        <v>127</v>
      </c>
    </row>
    <row r="250" spans="1:15">
      <c r="A250" s="256" t="s">
        <v>251</v>
      </c>
      <c r="B250" s="256" t="s">
        <v>252</v>
      </c>
      <c r="C250" s="256" t="s">
        <v>965</v>
      </c>
      <c r="D250" s="330" t="inlineStr">
        <is>
          <t xml:space="preserve">HEADSET</t>
        </is>
      </c>
      <c r="E250" s="330" t="inlineStr">
        <is>
          <t>Y</t>
        </is>
      </c>
      <c r="F250" s="330" t="inlineStr">
        <is>
          <t xml:space="preserve">대상 제품군이 아님: 이어폰·헤드셋</t>
        </is>
      </c>
      <c r="G250" s="256" t="s">
        <v>127</v>
      </c>
    </row>
    <row r="251" spans="1:15">
      <c r="A251" s="256" t="s">
        <v>251</v>
      </c>
      <c r="B251" s="256" t="s">
        <v>252</v>
      </c>
      <c r="C251" s="256" t="s">
        <v>966</v>
      </c>
      <c r="D251" s="330" t="inlineStr">
        <is>
          <t xml:space="preserve">MNT</t>
        </is>
      </c>
      <c r="E251" s="330" t="inlineStr">
        <is>
          <t>Y</t>
        </is>
      </c>
      <c r="F251" s="330" t="inlineStr">
        <is>
          <t xml:space="preserve">대상 제품군이 아님: 모니터</t>
        </is>
      </c>
      <c r="G251" s="256" t="s">
        <v>127</v>
      </c>
    </row>
    <row r="252" spans="1:15">
      <c r="A252" s="256" t="s">
        <v>251</v>
      </c>
      <c r="B252" s="256" t="s">
        <v>252</v>
      </c>
      <c r="C252" s="256" t="s">
        <v>967</v>
      </c>
      <c r="D252" s="330" t="inlineStr">
        <is>
          <t xml:space="preserve">WM</t>
        </is>
      </c>
      <c r="E252" s="335" t="inlineStr">
        <is>
          <t>N</t>
        </is>
      </c>
      <c r="F252" s="330" t="inlineStr">
        <is>
          <t xml:space="preserve">수집 대상</t>
        </is>
      </c>
      <c r="G252" s="256" t="s">
        <v>127</v>
      </c>
    </row>
    <row r="253" spans="1:15">
      <c r="A253" s="256" t="s">
        <v>251</v>
      </c>
      <c r="B253" s="256" t="s">
        <v>252</v>
      </c>
      <c r="C253" s="256" t="s">
        <v>968</v>
      </c>
      <c r="D253" s="330" t="inlineStr">
        <is>
          <t xml:space="preserve">RAC</t>
        </is>
      </c>
      <c r="E253" s="330" t="inlineStr">
        <is>
          <t>Y</t>
        </is>
      </c>
      <c r="F253" s="330" t="inlineStr">
        <is>
          <t xml:space="preserve">대상 제품군이 아님: 에어컨</t>
        </is>
      </c>
      <c r="G253" s="256" t="s">
        <v>127</v>
      </c>
    </row>
    <row r="254" spans="1:15">
      <c r="A254" s="256" t="s">
        <v>251</v>
      </c>
      <c r="B254" s="256" t="s">
        <v>252</v>
      </c>
      <c r="C254" s="256" t="s">
        <v>969</v>
      </c>
      <c r="D254" s="330" t="inlineStr">
        <is>
          <t xml:space="preserve">DRYER</t>
        </is>
      </c>
      <c r="E254" s="335" t="inlineStr">
        <is>
          <t>N</t>
        </is>
      </c>
      <c r="F254" s="330" t="inlineStr">
        <is>
          <t xml:space="preserve">수집 대상</t>
        </is>
      </c>
      <c r="G254" s="256" t="s">
        <v>127</v>
      </c>
    </row>
    <row r="255" spans="1:15">
      <c r="A255" s="256" t="s">
        <v>251</v>
      </c>
      <c r="B255" s="256" t="s">
        <v>252</v>
      </c>
      <c r="C255" s="256" t="s">
        <v>970</v>
      </c>
      <c r="D255" s="330" t="inlineStr">
        <is>
          <t xml:space="preserve">DRYER</t>
        </is>
      </c>
      <c r="E255" s="335" t="inlineStr">
        <is>
          <t>N</t>
        </is>
      </c>
      <c r="F255" s="330" t="inlineStr">
        <is>
          <t xml:space="preserve">수집 대상</t>
        </is>
      </c>
      <c r="G255" s="256" t="s">
        <v>127</v>
      </c>
    </row>
    <row r="256" spans="1:15">
      <c r="A256" s="256" t="s">
        <v>251</v>
      </c>
      <c r="B256" s="256" t="s">
        <v>252</v>
      </c>
      <c r="C256" s="256" t="s">
        <v>971</v>
      </c>
      <c r="D256" s="330" t="inlineStr">
        <is>
          <t xml:space="preserve">DRYER</t>
        </is>
      </c>
      <c r="E256" s="335" t="inlineStr">
        <is>
          <t>N</t>
        </is>
      </c>
      <c r="F256" s="330" t="inlineStr">
        <is>
          <t xml:space="preserve">수집 대상</t>
        </is>
      </c>
      <c r="G256" s="256" t="s">
        <v>127</v>
      </c>
    </row>
    <row r="257" spans="1:15">
      <c r="A257" s="256" t="s">
        <v>251</v>
      </c>
      <c r="B257" s="256" t="s">
        <v>252</v>
      </c>
      <c r="C257" s="256" t="s">
        <v>972</v>
      </c>
      <c r="D257" s="330" t="inlineStr">
        <is>
          <t xml:space="preserve">DRYER</t>
        </is>
      </c>
      <c r="E257" s="335" t="inlineStr">
        <is>
          <t>N</t>
        </is>
      </c>
      <c r="F257" s="330" t="inlineStr">
        <is>
          <t xml:space="preserve">수집 대상</t>
        </is>
      </c>
      <c r="G257" s="256" t="s">
        <v>127</v>
      </c>
    </row>
    <row r="258" spans="1:15">
      <c r="A258" s="256" t="s">
        <v>251</v>
      </c>
      <c r="B258" s="256" t="s">
        <v>252</v>
      </c>
      <c r="C258" s="256" t="s">
        <v>973</v>
      </c>
      <c r="D258" s="330" t="inlineStr">
        <is>
          <t xml:space="preserve">DRYER</t>
        </is>
      </c>
      <c r="E258" s="335" t="inlineStr">
        <is>
          <t>N</t>
        </is>
      </c>
      <c r="F258" s="330" t="inlineStr">
        <is>
          <t xml:space="preserve">수집 대상</t>
        </is>
      </c>
      <c r="G258" s="256" t="s">
        <v>127</v>
      </c>
    </row>
    <row r="259" spans="1:15">
      <c r="A259" s="256" t="s">
        <v>251</v>
      </c>
      <c r="B259" s="256" t="s">
        <v>252</v>
      </c>
      <c r="C259" s="256" t="s">
        <v>974</v>
      </c>
      <c r="D259" s="330" t="inlineStr">
        <is>
          <t xml:space="preserve">DRYER</t>
        </is>
      </c>
      <c r="E259" s="335" t="inlineStr">
        <is>
          <t>N</t>
        </is>
      </c>
      <c r="F259" s="330" t="inlineStr">
        <is>
          <t xml:space="preserve">수집 대상</t>
        </is>
      </c>
      <c r="G259" s="256" t="s">
        <v>127</v>
      </c>
    </row>
    <row r="260" spans="1:15">
      <c r="A260" s="256" t="s">
        <v>251</v>
      </c>
      <c r="B260" s="256" t="s">
        <v>252</v>
      </c>
      <c r="C260" s="256" t="s">
        <v>975</v>
      </c>
      <c r="D260" s="330" t="inlineStr">
        <is>
          <t xml:space="preserve">HEADSET</t>
        </is>
      </c>
      <c r="E260" s="330" t="inlineStr">
        <is>
          <t>Y</t>
        </is>
      </c>
      <c r="F260" s="330" t="inlineStr">
        <is>
          <t xml:space="preserve">대상 제품군이 아님: 이어폰·헤드셋</t>
        </is>
      </c>
      <c r="G260" s="256" t="s">
        <v>127</v>
      </c>
    </row>
    <row r="261" spans="1:15">
      <c r="A261" s="256" t="s">
        <v>237</v>
      </c>
      <c r="B261" s="256" t="s">
        <v>237</v>
      </c>
      <c r="C261" s="256" t="s">
        <v>976</v>
      </c>
      <c r="D261" s="330" t="inlineStr">
        <is>
          <t xml:space="preserve">TV</t>
        </is>
      </c>
      <c r="E261" s="330" t="inlineStr">
        <is>
          <t>Y</t>
        </is>
      </c>
      <c r="F261" s="330" t="inlineStr">
        <is>
          <t xml:space="preserve">진단 대상 35개 국가·리테일러에 해당하지 않음</t>
        </is>
      </c>
    </row>
    <row r="262" spans="1:15">
      <c r="A262" s="256" t="s">
        <v>237</v>
      </c>
      <c r="B262" s="256" t="s">
        <v>237</v>
      </c>
      <c r="C262" s="256" t="s">
        <v>977</v>
      </c>
      <c r="D262" s="330" t="inlineStr">
        <is>
          <t xml:space="preserve">REF</t>
        </is>
      </c>
      <c r="E262" s="330" t="inlineStr">
        <is>
          <t>Y</t>
        </is>
      </c>
      <c r="F262" s="330" t="inlineStr">
        <is>
          <t xml:space="preserve">진단 대상 35개 국가·리테일러에 해당하지 않음</t>
        </is>
      </c>
    </row>
    <row r="263" spans="1:15">
      <c r="A263" s="256" t="s">
        <v>237</v>
      </c>
      <c r="B263" s="256" t="s">
        <v>237</v>
      </c>
      <c r="C263" s="256" t="s">
        <v>978</v>
      </c>
      <c r="D263" s="330" t="inlineStr">
        <is>
          <t xml:space="preserve">FREEZER</t>
        </is>
      </c>
      <c r="E263" s="330" t="inlineStr">
        <is>
          <t>Y</t>
        </is>
      </c>
      <c r="F263" s="330" t="inlineStr">
        <is>
          <t xml:space="preserve">진단 대상 35개 국가·리테일러에 해당하지 않음</t>
        </is>
      </c>
    </row>
    <row r="264" spans="1:15">
      <c r="A264" s="256" t="s">
        <v>237</v>
      </c>
      <c r="B264" s="256" t="s">
        <v>237</v>
      </c>
      <c r="C264" s="256" t="s">
        <v>979</v>
      </c>
      <c r="D264" s="330" t="inlineStr">
        <is>
          <t xml:space="preserve">REF</t>
        </is>
      </c>
      <c r="E264" s="330" t="inlineStr">
        <is>
          <t>Y</t>
        </is>
      </c>
      <c r="F264" s="330" t="inlineStr">
        <is>
          <t xml:space="preserve">진단 대상 35개 국가·리테일러에 해당하지 않음</t>
        </is>
      </c>
    </row>
    <row r="265" spans="1:15">
      <c r="A265" s="256" t="s">
        <v>237</v>
      </c>
      <c r="B265" s="256" t="s">
        <v>237</v>
      </c>
      <c r="C265" s="256" t="s">
        <v>980</v>
      </c>
      <c r="D265" s="330" t="inlineStr">
        <is>
          <t xml:space="preserve">REF</t>
        </is>
      </c>
      <c r="E265" s="330" t="inlineStr">
        <is>
          <t>Y</t>
        </is>
      </c>
      <c r="F265" s="330" t="inlineStr">
        <is>
          <t xml:space="preserve">진단 대상 35개 국가·리테일러에 해당하지 않음</t>
        </is>
      </c>
    </row>
    <row r="266" spans="1:15">
      <c r="A266" s="256" t="s">
        <v>237</v>
      </c>
      <c r="B266" s="256" t="s">
        <v>237</v>
      </c>
      <c r="C266" s="256" t="s">
        <v>981</v>
      </c>
      <c r="D266" s="330" t="inlineStr">
        <is>
          <t xml:space="preserve">WM</t>
        </is>
      </c>
      <c r="E266" s="330" t="inlineStr">
        <is>
          <t>Y</t>
        </is>
      </c>
      <c r="F266" s="330" t="inlineStr">
        <is>
          <t xml:space="preserve">진단 대상 35개 국가·리테일러에 해당하지 않음</t>
        </is>
      </c>
    </row>
    <row r="267" spans="1:15">
      <c r="A267" s="256" t="s">
        <v>237</v>
      </c>
      <c r="B267" s="256" t="s">
        <v>237</v>
      </c>
      <c r="C267" s="256" t="s">
        <v>982</v>
      </c>
      <c r="D267" s="330" t="inlineStr">
        <is>
          <t xml:space="preserve">DRYER</t>
        </is>
      </c>
      <c r="E267" s="330" t="inlineStr">
        <is>
          <t>Y</t>
        </is>
      </c>
      <c r="F267" s="330" t="inlineStr">
        <is>
          <t xml:space="preserve">진단 대상 35개 국가·리테일러에 해당하지 않음</t>
        </is>
      </c>
    </row>
    <row r="268" spans="1:15">
      <c r="A268" s="256" t="s">
        <v>237</v>
      </c>
      <c r="B268" s="256" t="s">
        <v>237</v>
      </c>
      <c r="C268" s="256" t="s">
        <v>983</v>
      </c>
      <c r="D268" s="330" t="inlineStr">
        <is>
          <t xml:space="preserve">STYLER</t>
        </is>
      </c>
      <c r="E268" s="330" t="inlineStr">
        <is>
          <t>Y</t>
        </is>
      </c>
      <c r="F268" s="330" t="inlineStr">
        <is>
          <t xml:space="preserve">진단 대상 35개 국가·리테일러에 해당하지 않음</t>
        </is>
      </c>
    </row>
    <row r="269" spans="1:15">
      <c r="A269" s="256" t="s">
        <v>237</v>
      </c>
      <c r="B269" s="256" t="s">
        <v>237</v>
      </c>
      <c r="C269" s="256" t="s">
        <v>984</v>
      </c>
      <c r="D269" s="330" t="inlineStr">
        <is>
          <t xml:space="preserve">RAC</t>
        </is>
      </c>
      <c r="E269" s="330" t="inlineStr">
        <is>
          <t>Y</t>
        </is>
      </c>
      <c r="F269" s="330" t="inlineStr">
        <is>
          <t xml:space="preserve">진단 대상 35개 국가·리테일러에 해당하지 않음</t>
        </is>
      </c>
    </row>
    <row r="270" spans="1:15">
      <c r="A270" s="256" t="s">
        <v>237</v>
      </c>
      <c r="B270" s="256" t="s">
        <v>237</v>
      </c>
      <c r="C270" s="256" t="s">
        <v>985</v>
      </c>
      <c r="D270" s="330" t="inlineStr">
        <is>
          <t xml:space="preserve">RAC</t>
        </is>
      </c>
      <c r="E270" s="330" t="inlineStr">
        <is>
          <t>Y</t>
        </is>
      </c>
      <c r="F270" s="330" t="inlineStr">
        <is>
          <t xml:space="preserve">진단 대상 35개 국가·리테일러에 해당하지 않음</t>
        </is>
      </c>
    </row>
    <row r="271" spans="1:15">
      <c r="A271" s="256" t="s">
        <v>237</v>
      </c>
      <c r="B271" s="256" t="s">
        <v>237</v>
      </c>
      <c r="C271" s="256" t="s">
        <v>986</v>
      </c>
      <c r="D271" s="330" t="inlineStr">
        <is>
          <t xml:space="preserve">RAC</t>
        </is>
      </c>
      <c r="E271" s="330" t="inlineStr">
        <is>
          <t>Y</t>
        </is>
      </c>
      <c r="F271" s="330" t="inlineStr">
        <is>
          <t xml:space="preserve">진단 대상 35개 국가·리테일러에 해당하지 않음</t>
        </is>
      </c>
    </row>
    <row r="272" spans="1:15">
      <c r="A272" s="256" t="s">
        <v>237</v>
      </c>
      <c r="B272" s="256" t="s">
        <v>237</v>
      </c>
      <c r="C272" s="256" t="s">
        <v>987</v>
      </c>
      <c r="D272" s="330" t="inlineStr">
        <is>
          <t xml:space="preserve">RAC</t>
        </is>
      </c>
      <c r="E272" s="330" t="inlineStr">
        <is>
          <t>Y</t>
        </is>
      </c>
      <c r="F272" s="330" t="inlineStr">
        <is>
          <t xml:space="preserve">진단 대상 35개 국가·리테일러에 해당하지 않음</t>
        </is>
      </c>
    </row>
    <row r="273" spans="1:15">
      <c r="A273" s="256" t="s">
        <v>237</v>
      </c>
      <c r="B273" s="256" t="s">
        <v>237</v>
      </c>
      <c r="C273" s="256" t="s">
        <v>988</v>
      </c>
      <c r="D273" s="330" t="inlineStr">
        <is>
          <t xml:space="preserve">AIR_PURIFIER</t>
        </is>
      </c>
      <c r="E273" s="330" t="inlineStr">
        <is>
          <t>Y</t>
        </is>
      </c>
      <c r="F273" s="330" t="inlineStr">
        <is>
          <t xml:space="preserve">진단 대상 35개 국가·리테일러에 해당하지 않음</t>
        </is>
      </c>
    </row>
    <row r="274" spans="1:15">
      <c r="A274" s="256" t="s">
        <v>237</v>
      </c>
      <c r="B274" s="256" t="s">
        <v>237</v>
      </c>
      <c r="C274" s="256" t="s">
        <v>989</v>
      </c>
      <c r="D274" s="330" t="inlineStr">
        <is>
          <t xml:space="preserve">BT_SPEAKER</t>
        </is>
      </c>
      <c r="E274" s="330" t="inlineStr">
        <is>
          <t>Y</t>
        </is>
      </c>
      <c r="F274" s="330" t="inlineStr">
        <is>
          <t xml:space="preserve">진단 대상 35개 국가·리테일러에 해당하지 않음</t>
        </is>
      </c>
    </row>
    <row r="275" spans="1:15">
      <c r="A275" s="256" t="s">
        <v>237</v>
      </c>
      <c r="B275" s="256" t="s">
        <v>237</v>
      </c>
      <c r="C275" s="256" t="s">
        <v>990</v>
      </c>
      <c r="D275" s="330" t="inlineStr">
        <is>
          <t xml:space="preserve">SOUNDBAR</t>
        </is>
      </c>
      <c r="E275" s="330" t="inlineStr">
        <is>
          <t>Y</t>
        </is>
      </c>
      <c r="F275" s="330" t="inlineStr">
        <is>
          <t xml:space="preserve">진단 대상 35개 국가·리테일러에 해당하지 않음</t>
        </is>
      </c>
    </row>
    <row r="276" spans="1:15">
      <c r="A276" s="256" t="s">
        <v>237</v>
      </c>
      <c r="B276" s="256" t="s">
        <v>237</v>
      </c>
      <c r="C276" s="256" t="s">
        <v>991</v>
      </c>
      <c r="D276" s="330" t="inlineStr">
        <is>
          <t xml:space="preserve">TABLET</t>
        </is>
      </c>
      <c r="E276" s="330" t="inlineStr">
        <is>
          <t>Y</t>
        </is>
      </c>
      <c r="F276" s="330" t="inlineStr">
        <is>
          <t xml:space="preserve">진단 대상 35개 국가·리테일러에 해당하지 않음</t>
        </is>
      </c>
    </row>
    <row r="277" spans="1:15">
      <c r="A277" s="256" t="s">
        <v>237</v>
      </c>
      <c r="B277" s="256" t="s">
        <v>237</v>
      </c>
      <c r="C277" s="256" t="s">
        <v>992</v>
      </c>
      <c r="D277" s="330" t="inlineStr">
        <is>
          <t xml:space="preserve">HEADSET</t>
        </is>
      </c>
      <c r="E277" s="330" t="inlineStr">
        <is>
          <t>Y</t>
        </is>
      </c>
      <c r="F277" s="330" t="inlineStr">
        <is>
          <t xml:space="preserve">진단 대상 35개 국가·리테일러에 해당하지 않음</t>
        </is>
      </c>
    </row>
    <row r="278" spans="1:15">
      <c r="A278" s="256" t="s">
        <v>237</v>
      </c>
      <c r="B278" s="256" t="s">
        <v>237</v>
      </c>
      <c r="C278" s="256" t="s">
        <v>993</v>
      </c>
      <c r="D278" s="330" t="inlineStr">
        <is>
          <t xml:space="preserve">LAPTOP</t>
        </is>
      </c>
      <c r="E278" s="330" t="inlineStr">
        <is>
          <t>Y</t>
        </is>
      </c>
      <c r="F278" s="330" t="inlineStr">
        <is>
          <t xml:space="preserve">진단 대상 35개 국가·리테일러에 해당하지 않음</t>
        </is>
      </c>
    </row>
    <row r="279" spans="1:15">
      <c r="A279" s="256" t="s">
        <v>278</v>
      </c>
      <c r="B279" s="256" t="s">
        <v>280</v>
      </c>
      <c r="C279" s="256" t="s">
        <v>994</v>
      </c>
      <c r="D279" s="330" t="inlineStr">
        <is>
          <t xml:space="preserve">MNT</t>
        </is>
      </c>
      <c r="E279" s="330" t="inlineStr">
        <is>
          <t>Y</t>
        </is>
      </c>
      <c r="F279" s="330" t="inlineStr">
        <is>
          <t xml:space="preserve">대상 제품군이 아님: 모니터</t>
        </is>
      </c>
      <c r="G279" s="256" t="s">
        <v>127</v>
      </c>
    </row>
    <row r="280" spans="1:15">
      <c r="A280" s="256" t="s">
        <v>278</v>
      </c>
      <c r="B280" s="256" t="s">
        <v>280</v>
      </c>
      <c r="C280" s="256" t="s">
        <v>995</v>
      </c>
      <c r="D280" s="330" t="inlineStr">
        <is>
          <t xml:space="preserve">WM</t>
        </is>
      </c>
      <c r="E280" s="335" t="inlineStr">
        <is>
          <t>N</t>
        </is>
      </c>
      <c r="F280" s="330" t="inlineStr">
        <is>
          <t xml:space="preserve">수집 대상</t>
        </is>
      </c>
      <c r="G280" s="256" t="s">
        <v>127</v>
      </c>
    </row>
    <row r="281" spans="1:15">
      <c r="A281" s="256" t="s">
        <v>278</v>
      </c>
      <c r="B281" s="256" t="s">
        <v>280</v>
      </c>
      <c r="C281" s="256" t="s">
        <v>996</v>
      </c>
      <c r="D281" s="330" t="inlineStr">
        <is>
          <t xml:space="preserve">REF</t>
        </is>
      </c>
      <c r="E281" s="335" t="inlineStr">
        <is>
          <t>N</t>
        </is>
      </c>
      <c r="F281" s="330" t="inlineStr">
        <is>
          <t xml:space="preserve">수집 대상</t>
        </is>
      </c>
      <c r="G281" s="256" t="s">
        <v>127</v>
      </c>
    </row>
    <row r="282" spans="1:15">
      <c r="A282" s="256" t="s">
        <v>278</v>
      </c>
      <c r="B282" s="256" t="s">
        <v>280</v>
      </c>
      <c r="C282" s="256" t="s">
        <v>997</v>
      </c>
      <c r="D282" s="330" t="inlineStr">
        <is>
          <t xml:space="preserve">TV</t>
        </is>
      </c>
      <c r="E282" s="330" t="inlineStr">
        <is>
          <t>Y</t>
        </is>
      </c>
      <c r="F282" s="330" t="inlineStr">
        <is>
          <t xml:space="preserve">대상 제품군이 아님: TV</t>
        </is>
      </c>
      <c r="G282" s="256" t="s">
        <v>127</v>
      </c>
    </row>
    <row r="283" spans="1:15">
      <c r="A283" s="256" t="s">
        <v>278</v>
      </c>
      <c r="B283" s="256" t="s">
        <v>280</v>
      </c>
      <c r="C283" s="256" t="s">
        <v>998</v>
      </c>
      <c r="D283" s="330" t="inlineStr">
        <is>
          <t xml:space="preserve">BT_SPEAKER</t>
        </is>
      </c>
      <c r="E283" s="330" t="inlineStr">
        <is>
          <t>Y</t>
        </is>
      </c>
      <c r="F283" s="330" t="inlineStr">
        <is>
          <t xml:space="preserve">대상 제품군이 아님: 블루투스 스피커</t>
        </is>
      </c>
      <c r="G283" s="256" t="s">
        <v>127</v>
      </c>
    </row>
    <row r="284" spans="1:15">
      <c r="A284" s="256" t="s">
        <v>278</v>
      </c>
      <c r="B284" s="256" t="s">
        <v>280</v>
      </c>
      <c r="C284" s="256" t="s">
        <v>999</v>
      </c>
      <c r="D284" s="330" t="inlineStr">
        <is>
          <t xml:space="preserve">RAC</t>
        </is>
      </c>
      <c r="E284" s="330" t="inlineStr">
        <is>
          <t>Y</t>
        </is>
      </c>
      <c r="F284" s="330" t="inlineStr">
        <is>
          <t xml:space="preserve">대상 제품군이 아님: 에어컨</t>
        </is>
      </c>
      <c r="G284" s="256" t="s">
        <v>127</v>
      </c>
    </row>
    <row r="285" spans="1:15">
      <c r="A285" s="256" t="s">
        <v>278</v>
      </c>
      <c r="B285" s="256" t="s">
        <v>280</v>
      </c>
      <c r="C285" s="256" t="s">
        <v>1000</v>
      </c>
      <c r="D285" s="330" t="inlineStr">
        <is>
          <t xml:space="preserve">HEADSET</t>
        </is>
      </c>
      <c r="E285" s="330" t="inlineStr">
        <is>
          <t>Y</t>
        </is>
      </c>
      <c r="F285" s="330" t="inlineStr">
        <is>
          <t xml:space="preserve">대상 제품군이 아님: 이어폰·헤드셋</t>
        </is>
      </c>
      <c r="G285" s="256" t="s">
        <v>127</v>
      </c>
    </row>
    <row r="286" spans="1:15">
      <c r="A286" s="256" t="s">
        <v>278</v>
      </c>
      <c r="B286" s="256" t="s">
        <v>280</v>
      </c>
      <c r="C286" s="256" t="s">
        <v>1001</v>
      </c>
      <c r="D286" s="330" t="inlineStr">
        <is>
          <t xml:space="preserve">HEADSET</t>
        </is>
      </c>
      <c r="E286" s="330" t="inlineStr">
        <is>
          <t>Y</t>
        </is>
      </c>
      <c r="F286" s="330" t="inlineStr">
        <is>
          <t xml:space="preserve">대상 제품군이 아님: 이어폰·헤드셋</t>
        </is>
      </c>
      <c r="G286" s="256" t="s">
        <v>127</v>
      </c>
    </row>
    <row r="287" spans="1:15">
      <c r="A287" s="256" t="s">
        <v>278</v>
      </c>
      <c r="B287" s="256" t="s">
        <v>280</v>
      </c>
      <c r="C287" s="256" t="s">
        <v>1002</v>
      </c>
      <c r="D287" s="330" t="inlineStr">
        <is>
          <t xml:space="preserve">DRYER</t>
        </is>
      </c>
      <c r="E287" s="335" t="inlineStr">
        <is>
          <t>N</t>
        </is>
      </c>
      <c r="F287" s="330" t="inlineStr">
        <is>
          <t xml:space="preserve">수집 대상</t>
        </is>
      </c>
      <c r="G287" s="256" t="s">
        <v>127</v>
      </c>
    </row>
    <row r="288" spans="1:15">
      <c r="A288" s="256" t="s">
        <v>278</v>
      </c>
      <c r="B288" s="256" t="s">
        <v>280</v>
      </c>
      <c r="C288" s="256" t="s">
        <v>1003</v>
      </c>
      <c r="D288" s="330" t="inlineStr">
        <is>
          <t xml:space="preserve">SOUNDBAR</t>
        </is>
      </c>
      <c r="E288" s="330" t="inlineStr">
        <is>
          <t>Y</t>
        </is>
      </c>
      <c r="F288" s="330" t="inlineStr">
        <is>
          <t xml:space="preserve">대상 제품군이 아님: 사운드바</t>
        </is>
      </c>
      <c r="G288" s="256" t="s">
        <v>127</v>
      </c>
    </row>
    <row r="289" spans="1:15">
      <c r="A289" s="256" t="s">
        <v>278</v>
      </c>
      <c r="B289" s="256" t="s">
        <v>280</v>
      </c>
      <c r="C289" s="256" t="s">
        <v>1004</v>
      </c>
      <c r="D289" s="330" t="inlineStr">
        <is>
          <t xml:space="preserve">SOUNDBAR</t>
        </is>
      </c>
      <c r="E289" s="330" t="inlineStr">
        <is>
          <t>Y</t>
        </is>
      </c>
      <c r="F289" s="330" t="inlineStr">
        <is>
          <t xml:space="preserve">대상 제품군이 아님: 사운드바</t>
        </is>
      </c>
      <c r="G289" s="256" t="s">
        <v>127</v>
      </c>
    </row>
    <row r="290" spans="1:15">
      <c r="A290" s="256" t="s">
        <v>278</v>
      </c>
      <c r="B290" s="256" t="s">
        <v>280</v>
      </c>
      <c r="C290" s="256" t="s">
        <v>1005</v>
      </c>
      <c r="D290" s="330" t="inlineStr">
        <is>
          <t xml:space="preserve">SOUNDBAR</t>
        </is>
      </c>
      <c r="E290" s="330" t="inlineStr">
        <is>
          <t>Y</t>
        </is>
      </c>
      <c r="F290" s="330" t="inlineStr">
        <is>
          <t xml:space="preserve">대상 제품군이 아님: 사운드바</t>
        </is>
      </c>
      <c r="G290" s="256" t="s">
        <v>127</v>
      </c>
    </row>
    <row r="291" spans="1:15">
      <c r="A291" s="256" t="s">
        <v>278</v>
      </c>
      <c r="B291" s="256" t="s">
        <v>280</v>
      </c>
      <c r="C291" s="256" t="s">
        <v>1006</v>
      </c>
      <c r="D291" s="330" t="inlineStr">
        <is>
          <t xml:space="preserve">SOUNDBAR</t>
        </is>
      </c>
      <c r="E291" s="330" t="inlineStr">
        <is>
          <t>Y</t>
        </is>
      </c>
      <c r="F291" s="330" t="inlineStr">
        <is>
          <t xml:space="preserve">대상 제품군이 아님: 사운드바</t>
        </is>
      </c>
      <c r="G291" s="256" t="s">
        <v>127</v>
      </c>
    </row>
    <row r="292" spans="1:15">
      <c r="A292" s="256" t="s">
        <v>278</v>
      </c>
      <c r="B292" s="256" t="s">
        <v>280</v>
      </c>
      <c r="C292" s="256" t="s">
        <v>1007</v>
      </c>
      <c r="D292" s="330" t="inlineStr">
        <is>
          <t xml:space="preserve">SOUNDBAR</t>
        </is>
      </c>
      <c r="E292" s="330" t="inlineStr">
        <is>
          <t>Y</t>
        </is>
      </c>
      <c r="F292" s="330" t="inlineStr">
        <is>
          <t xml:space="preserve">대상 제품군이 아님: 사운드바</t>
        </is>
      </c>
      <c r="G292" s="256" t="s">
        <v>127</v>
      </c>
    </row>
    <row r="293" spans="1:15">
      <c r="A293" s="256" t="s">
        <v>278</v>
      </c>
      <c r="B293" s="256" t="s">
        <v>280</v>
      </c>
      <c r="C293" s="256" t="s">
        <v>1008</v>
      </c>
      <c r="D293" s="330" t="inlineStr">
        <is>
          <t xml:space="preserve">SOUNDBAR</t>
        </is>
      </c>
      <c r="E293" s="330" t="inlineStr">
        <is>
          <t>Y</t>
        </is>
      </c>
      <c r="F293" s="330" t="inlineStr">
        <is>
          <t xml:space="preserve">대상 제품군이 아님: 사운드바</t>
        </is>
      </c>
      <c r="G293" s="256" t="s">
        <v>127</v>
      </c>
    </row>
    <row r="294" spans="1:15">
      <c r="A294" s="256" t="s">
        <v>278</v>
      </c>
      <c r="B294" s="256" t="s">
        <v>280</v>
      </c>
      <c r="C294" s="256" t="s">
        <v>1009</v>
      </c>
      <c r="D294" s="330" t="inlineStr">
        <is>
          <t xml:space="preserve">SOUNDBAR</t>
        </is>
      </c>
      <c r="E294" s="330" t="inlineStr">
        <is>
          <t>Y</t>
        </is>
      </c>
      <c r="F294" s="330" t="inlineStr">
        <is>
          <t xml:space="preserve">대상 제품군이 아님: 사운드바</t>
        </is>
      </c>
      <c r="G294" s="256" t="s">
        <v>127</v>
      </c>
    </row>
    <row r="295" spans="1:15">
      <c r="A295" s="256" t="s">
        <v>278</v>
      </c>
      <c r="B295" s="256" t="s">
        <v>280</v>
      </c>
      <c r="C295" s="256" t="s">
        <v>1010</v>
      </c>
      <c r="D295" s="330" t="inlineStr">
        <is>
          <t xml:space="preserve">SOUNDBAR</t>
        </is>
      </c>
      <c r="E295" s="330" t="inlineStr">
        <is>
          <t>Y</t>
        </is>
      </c>
      <c r="F295" s="330" t="inlineStr">
        <is>
          <t xml:space="preserve">대상 제품군이 아님: 사운드바</t>
        </is>
      </c>
      <c r="G295" s="256" t="s">
        <v>127</v>
      </c>
    </row>
    <row r="296" spans="1:15">
      <c r="A296" s="256" t="s">
        <v>278</v>
      </c>
      <c r="B296" s="256" t="s">
        <v>280</v>
      </c>
      <c r="C296" s="256" t="s">
        <v>1011</v>
      </c>
      <c r="D296" s="330" t="inlineStr">
        <is>
          <t xml:space="preserve">ACCESSORY</t>
        </is>
      </c>
      <c r="E296" s="330" t="inlineStr">
        <is>
          <t>Y</t>
        </is>
      </c>
      <c r="F296" s="330" t="inlineStr">
        <is>
          <t xml:space="preserve">제품 액세서리 전용 페이지</t>
        </is>
      </c>
      <c r="G296" s="256" t="s">
        <v>127</v>
      </c>
    </row>
    <row r="297" spans="1:15">
      <c r="A297" s="256" t="s">
        <v>278</v>
      </c>
      <c r="B297" s="256" t="s">
        <v>280</v>
      </c>
      <c r="C297" s="256" t="s">
        <v>1012</v>
      </c>
      <c r="D297" s="330" t="inlineStr">
        <is>
          <t xml:space="preserve">SOUNDBAR</t>
        </is>
      </c>
      <c r="E297" s="330" t="inlineStr">
        <is>
          <t>Y</t>
        </is>
      </c>
      <c r="F297" s="330" t="inlineStr">
        <is>
          <t xml:space="preserve">대상 제품군이 아님: 사운드바</t>
        </is>
      </c>
      <c r="G297" s="256" t="s">
        <v>127</v>
      </c>
    </row>
    <row r="298" spans="1:15">
      <c r="A298" s="256" t="s">
        <v>278</v>
      </c>
      <c r="B298" s="256" t="s">
        <v>280</v>
      </c>
      <c r="C298" s="256" t="s">
        <v>1013</v>
      </c>
      <c r="D298" s="330" t="inlineStr">
        <is>
          <t xml:space="preserve">SOUNDBAR</t>
        </is>
      </c>
      <c r="E298" s="330" t="inlineStr">
        <is>
          <t>Y</t>
        </is>
      </c>
      <c r="F298" s="330" t="inlineStr">
        <is>
          <t xml:space="preserve">대상 제품군이 아님: 사운드바</t>
        </is>
      </c>
      <c r="G298" s="256" t="s">
        <v>127</v>
      </c>
    </row>
    <row r="299" spans="1:15">
      <c r="A299" s="256" t="s">
        <v>278</v>
      </c>
      <c r="B299" s="256" t="s">
        <v>280</v>
      </c>
      <c r="C299" s="256" t="s">
        <v>1014</v>
      </c>
      <c r="D299" s="330" t="inlineStr">
        <is>
          <t xml:space="preserve">SOUNDBAR</t>
        </is>
      </c>
      <c r="E299" s="330" t="inlineStr">
        <is>
          <t>Y</t>
        </is>
      </c>
      <c r="F299" s="330" t="inlineStr">
        <is>
          <t xml:space="preserve">대상 제품군이 아님: 사운드바</t>
        </is>
      </c>
      <c r="G299" s="256" t="s">
        <v>127</v>
      </c>
    </row>
    <row r="300" spans="1:15">
      <c r="A300" s="256" t="s">
        <v>331</v>
      </c>
      <c r="B300" s="256" t="s">
        <v>713</v>
      </c>
      <c r="C300" s="256" t="s">
        <v>1015</v>
      </c>
      <c r="D300" s="330" t="inlineStr">
        <is>
          <t xml:space="preserve">REF</t>
        </is>
      </c>
      <c r="E300" s="330" t="inlineStr">
        <is>
          <t>Y</t>
        </is>
      </c>
      <c r="F300" s="330" t="inlineStr">
        <is>
          <t xml:space="preserve">진단 대상 35개 국가·리테일러에 해당하지 않음</t>
        </is>
      </c>
    </row>
    <row r="301" spans="1:15">
      <c r="A301" s="256" t="s">
        <v>331</v>
      </c>
      <c r="B301" s="256" t="s">
        <v>713</v>
      </c>
      <c r="C301" s="256" t="s">
        <v>1016</v>
      </c>
      <c r="D301" s="330" t="inlineStr">
        <is>
          <t xml:space="preserve">DRYER</t>
        </is>
      </c>
      <c r="E301" s="330" t="inlineStr">
        <is>
          <t>Y</t>
        </is>
      </c>
      <c r="F301" s="330" t="inlineStr">
        <is>
          <t xml:space="preserve">진단 대상 35개 국가·리테일러에 해당하지 않음</t>
        </is>
      </c>
    </row>
    <row r="302" spans="1:15">
      <c r="A302" s="256" t="s">
        <v>331</v>
      </c>
      <c r="B302" s="256" t="s">
        <v>713</v>
      </c>
      <c r="C302" s="256" t="s">
        <v>1017</v>
      </c>
      <c r="D302" s="330" t="inlineStr">
        <is>
          <t xml:space="preserve">TV</t>
        </is>
      </c>
      <c r="E302" s="330" t="inlineStr">
        <is>
          <t>Y</t>
        </is>
      </c>
      <c r="F302" s="330" t="inlineStr">
        <is>
          <t xml:space="preserve">진단 대상 35개 국가·리테일러에 해당하지 않음</t>
        </is>
      </c>
    </row>
    <row r="303" spans="1:15">
      <c r="A303" s="256" t="s">
        <v>331</v>
      </c>
      <c r="B303" s="256" t="s">
        <v>713</v>
      </c>
      <c r="C303" s="256" t="s">
        <v>1018</v>
      </c>
      <c r="D303" s="330" t="inlineStr">
        <is>
          <t xml:space="preserve">MNT</t>
        </is>
      </c>
      <c r="E303" s="330" t="inlineStr">
        <is>
          <t>Y</t>
        </is>
      </c>
      <c r="F303" s="330" t="inlineStr">
        <is>
          <t xml:space="preserve">진단 대상 35개 국가·리테일러에 해당하지 않음</t>
        </is>
      </c>
    </row>
    <row r="304" spans="1:15">
      <c r="A304" s="256" t="s">
        <v>331</v>
      </c>
      <c r="B304" s="256" t="s">
        <v>713</v>
      </c>
      <c r="C304" s="256" t="s">
        <v>1019</v>
      </c>
      <c r="D304" s="330" t="inlineStr">
        <is>
          <t xml:space="preserve">RAC</t>
        </is>
      </c>
      <c r="E304" s="330" t="inlineStr">
        <is>
          <t>Y</t>
        </is>
      </c>
      <c r="F304" s="330" t="inlineStr">
        <is>
          <t xml:space="preserve">진단 대상 35개 국가·리테일러에 해당하지 않음</t>
        </is>
      </c>
    </row>
    <row r="305" spans="1:15">
      <c r="A305" s="256" t="s">
        <v>331</v>
      </c>
      <c r="B305" s="256" t="s">
        <v>713</v>
      </c>
      <c r="C305" s="256" t="s">
        <v>1020</v>
      </c>
      <c r="D305" s="332" t="inlineStr">
        <is>
          <t xml:space="preserve">UNKNOWN</t>
        </is>
      </c>
      <c r="E305" s="330" t="inlineStr">
        <is>
          <t>Y</t>
        </is>
      </c>
      <c r="F305" s="330" t="inlineStr">
        <is>
          <t xml:space="preserve">진단 대상 35개 국가·리테일러에 해당하지 않음</t>
        </is>
      </c>
    </row>
    <row r="306" spans="1:15">
      <c r="A306" s="256" t="s">
        <v>331</v>
      </c>
      <c r="B306" s="256" t="s">
        <v>713</v>
      </c>
      <c r="C306" s="256" t="s">
        <v>1021</v>
      </c>
      <c r="D306" s="330" t="inlineStr">
        <is>
          <t xml:space="preserve">SOUNDBAR</t>
        </is>
      </c>
      <c r="E306" s="330" t="inlineStr">
        <is>
          <t>Y</t>
        </is>
      </c>
      <c r="F306" s="330" t="inlineStr">
        <is>
          <t xml:space="preserve">진단 대상 35개 국가·리테일러에 해당하지 않음</t>
        </is>
      </c>
    </row>
    <row r="307" spans="1:15">
      <c r="A307" s="256" t="s">
        <v>331</v>
      </c>
      <c r="B307" s="256" t="s">
        <v>713</v>
      </c>
      <c r="C307" s="256" t="s">
        <v>1022</v>
      </c>
      <c r="D307" s="330" t="inlineStr">
        <is>
          <t xml:space="preserve">HEADSET</t>
        </is>
      </c>
      <c r="E307" s="330" t="inlineStr">
        <is>
          <t>Y</t>
        </is>
      </c>
      <c r="F307" s="330" t="inlineStr">
        <is>
          <t xml:space="preserve">진단 대상 35개 국가·리테일러에 해당하지 않음</t>
        </is>
      </c>
    </row>
    <row r="308" spans="1:15">
      <c r="A308" s="256" t="s">
        <v>331</v>
      </c>
      <c r="B308" s="256" t="s">
        <v>713</v>
      </c>
      <c r="C308" s="256" t="s">
        <v>1023</v>
      </c>
      <c r="D308" s="330" t="inlineStr">
        <is>
          <t xml:space="preserve">DRYER</t>
        </is>
      </c>
      <c r="E308" s="330" t="inlineStr">
        <is>
          <t>Y</t>
        </is>
      </c>
      <c r="F308" s="330" t="inlineStr">
        <is>
          <t xml:space="preserve">진단 대상 35개 국가·리테일러에 해당하지 않음</t>
        </is>
      </c>
    </row>
    <row r="309" spans="1:15">
      <c r="A309" s="256" t="s">
        <v>345</v>
      </c>
      <c r="B309" s="256" t="s">
        <v>350</v>
      </c>
      <c r="C309" s="256" t="s">
        <v>1024</v>
      </c>
      <c r="D309" s="330" t="inlineStr">
        <is>
          <t xml:space="preserve">WM</t>
        </is>
      </c>
      <c r="E309" s="335" t="inlineStr">
        <is>
          <t>N</t>
        </is>
      </c>
      <c r="F309" s="330" t="inlineStr">
        <is>
          <t xml:space="preserve">수집 대상</t>
        </is>
      </c>
      <c r="G309" s="256" t="s">
        <v>127</v>
      </c>
    </row>
    <row r="310" spans="1:15">
      <c r="A310" s="256" t="s">
        <v>345</v>
      </c>
      <c r="B310" s="256" t="s">
        <v>350</v>
      </c>
      <c r="C310" s="256" t="s">
        <v>1025</v>
      </c>
      <c r="D310" s="330" t="inlineStr">
        <is>
          <t xml:space="preserve">REF</t>
        </is>
      </c>
      <c r="E310" s="335" t="inlineStr">
        <is>
          <t>N</t>
        </is>
      </c>
      <c r="F310" s="330" t="inlineStr">
        <is>
          <t xml:space="preserve">수집 대상</t>
        </is>
      </c>
      <c r="G310" s="256" t="s">
        <v>127</v>
      </c>
      <c r="H310" s="256" t="s">
        <v>127</v>
      </c>
    </row>
    <row r="311" spans="1:15">
      <c r="A311" s="256" t="s">
        <v>345</v>
      </c>
      <c r="B311" s="256" t="s">
        <v>350</v>
      </c>
      <c r="C311" s="256" t="s">
        <v>1026</v>
      </c>
      <c r="D311" s="330" t="inlineStr">
        <is>
          <t xml:space="preserve">DW</t>
        </is>
      </c>
      <c r="E311" s="330" t="inlineStr">
        <is>
          <t>Y</t>
        </is>
      </c>
      <c r="F311" s="330" t="inlineStr">
        <is>
          <t xml:space="preserve">식기세척기는 스페인 ECI·MediaMarkt만 대상</t>
        </is>
      </c>
      <c r="G311" s="256" t="s">
        <v>127</v>
      </c>
    </row>
    <row r="312" spans="1:15">
      <c r="A312" s="256" t="s">
        <v>345</v>
      </c>
      <c r="B312" s="256" t="s">
        <v>350</v>
      </c>
      <c r="C312" s="256" t="s">
        <v>1027</v>
      </c>
      <c r="D312" s="330" t="inlineStr">
        <is>
          <t xml:space="preserve">OVEN</t>
        </is>
      </c>
      <c r="E312" s="330" t="inlineStr">
        <is>
          <t>Y</t>
        </is>
      </c>
      <c r="F312" s="330" t="inlineStr">
        <is>
          <t xml:space="preserve">대상 제품군이 아님: 오븐·조리기기</t>
        </is>
      </c>
      <c r="G312" s="256" t="s">
        <v>127</v>
      </c>
    </row>
    <row r="313" spans="1:15">
      <c r="A313" s="256" t="s">
        <v>345</v>
      </c>
      <c r="B313" s="256" t="s">
        <v>350</v>
      </c>
      <c r="C313" s="256" t="s">
        <v>1028</v>
      </c>
      <c r="D313" s="330" t="inlineStr">
        <is>
          <t xml:space="preserve">LAPTOP</t>
        </is>
      </c>
      <c r="E313" s="330" t="inlineStr">
        <is>
          <t>Y</t>
        </is>
      </c>
      <c r="F313" s="330" t="inlineStr">
        <is>
          <t xml:space="preserve">대상 제품군이 아님: 노트북</t>
        </is>
      </c>
      <c r="G313" s="256" t="s">
        <v>127</v>
      </c>
    </row>
    <row r="314" spans="1:15">
      <c r="A314" s="256" t="s">
        <v>345</v>
      </c>
      <c r="B314" s="256" t="s">
        <v>350</v>
      </c>
      <c r="C314" s="256" t="s">
        <v>1029</v>
      </c>
      <c r="D314" s="330" t="inlineStr">
        <is>
          <t xml:space="preserve">MNT</t>
        </is>
      </c>
      <c r="E314" s="330" t="inlineStr">
        <is>
          <t>Y</t>
        </is>
      </c>
      <c r="F314" s="330" t="inlineStr">
        <is>
          <t xml:space="preserve">대상 제품군이 아님: 모니터</t>
        </is>
      </c>
      <c r="G314" s="256" t="s">
        <v>127</v>
      </c>
    </row>
    <row r="315" spans="1:15">
      <c r="A315" s="256" t="s">
        <v>345</v>
      </c>
      <c r="B315" s="256" t="s">
        <v>350</v>
      </c>
      <c r="C315" s="256" t="s">
        <v>1030</v>
      </c>
      <c r="D315" s="330" t="inlineStr">
        <is>
          <t xml:space="preserve">AUDIO</t>
        </is>
      </c>
      <c r="E315" s="330" t="inlineStr">
        <is>
          <t>Y</t>
        </is>
      </c>
      <c r="F315" s="330" t="inlineStr">
        <is>
          <t xml:space="preserve">대상 제품군이 아님: 음향기기</t>
        </is>
      </c>
      <c r="G315" s="256" t="s">
        <v>127</v>
      </c>
    </row>
    <row r="316" spans="1:15">
      <c r="A316" s="256" t="s">
        <v>345</v>
      </c>
      <c r="B316" s="256" t="s">
        <v>350</v>
      </c>
      <c r="C316" s="256" t="s">
        <v>1031</v>
      </c>
      <c r="D316" s="330" t="inlineStr">
        <is>
          <t xml:space="preserve">HEADSET</t>
        </is>
      </c>
      <c r="E316" s="330" t="inlineStr">
        <is>
          <t>Y</t>
        </is>
      </c>
      <c r="F316" s="330" t="inlineStr">
        <is>
          <t xml:space="preserve">대상 제품군이 아님: 이어폰·헤드셋</t>
        </is>
      </c>
      <c r="G316" s="256" t="s">
        <v>127</v>
      </c>
    </row>
    <row r="317" spans="1:15">
      <c r="A317" s="256" t="s">
        <v>345</v>
      </c>
      <c r="B317" s="256" t="s">
        <v>350</v>
      </c>
      <c r="C317" s="256" t="s">
        <v>1032</v>
      </c>
      <c r="D317" s="330" t="inlineStr">
        <is>
          <t xml:space="preserve">BT_SPEAKER</t>
        </is>
      </c>
      <c r="E317" s="330" t="inlineStr">
        <is>
          <t>Y</t>
        </is>
      </c>
      <c r="F317" s="330" t="inlineStr">
        <is>
          <t xml:space="preserve">대상 제품군이 아님: 블루투스 스피커</t>
        </is>
      </c>
      <c r="G317" s="256" t="s">
        <v>127</v>
      </c>
    </row>
    <row r="318" spans="1:15">
      <c r="A318" s="256" t="s">
        <v>345</v>
      </c>
      <c r="B318" s="256" t="s">
        <v>350</v>
      </c>
      <c r="C318" s="256" t="s">
        <v>1033</v>
      </c>
      <c r="D318" s="330" t="inlineStr">
        <is>
          <t xml:space="preserve">TV</t>
        </is>
      </c>
      <c r="E318" s="330" t="inlineStr">
        <is>
          <t>Y</t>
        </is>
      </c>
      <c r="F318" s="330" t="inlineStr">
        <is>
          <t xml:space="preserve">대상 제품군이 아님: TV</t>
        </is>
      </c>
      <c r="G318" s="256" t="s">
        <v>127</v>
      </c>
    </row>
    <row r="319" spans="1:15">
      <c r="A319" s="256" t="s">
        <v>345</v>
      </c>
      <c r="B319" s="256" t="s">
        <v>350</v>
      </c>
      <c r="C319" s="256" t="s">
        <v>1034</v>
      </c>
      <c r="D319" s="330" t="inlineStr">
        <is>
          <t xml:space="preserve">RAC</t>
        </is>
      </c>
      <c r="E319" s="330" t="inlineStr">
        <is>
          <t>Y</t>
        </is>
      </c>
      <c r="F319" s="330" t="inlineStr">
        <is>
          <t xml:space="preserve">대상 제품군이 아님: 에어컨</t>
        </is>
      </c>
      <c r="G319" s="256" t="s">
        <v>127</v>
      </c>
    </row>
    <row r="320" spans="1:15">
      <c r="A320" s="256" t="s">
        <v>345</v>
      </c>
      <c r="B320" s="256" t="s">
        <v>350</v>
      </c>
      <c r="C320" s="256" t="s">
        <v>1035</v>
      </c>
      <c r="D320" s="330" t="inlineStr">
        <is>
          <t xml:space="preserve">DRYER</t>
        </is>
      </c>
      <c r="E320" s="335" t="inlineStr">
        <is>
          <t>N</t>
        </is>
      </c>
      <c r="F320" s="330" t="inlineStr">
        <is>
          <t xml:space="preserve">수집 대상</t>
        </is>
      </c>
      <c r="G320" s="256" t="s">
        <v>127</v>
      </c>
    </row>
    <row r="321" spans="1:15">
      <c r="A321" s="256" t="s">
        <v>359</v>
      </c>
      <c r="B321" s="256" t="s">
        <v>620</v>
      </c>
      <c r="C321" s="256" t="s">
        <v>1036</v>
      </c>
      <c r="D321" s="330" t="inlineStr">
        <is>
          <t xml:space="preserve">VACUUM</t>
        </is>
      </c>
      <c r="E321" s="330" t="inlineStr">
        <is>
          <t>Y</t>
        </is>
      </c>
      <c r="F321" s="330" t="inlineStr">
        <is>
          <t xml:space="preserve">진단 대상 35개 국가·리테일러에 해당하지 않음</t>
        </is>
      </c>
    </row>
    <row r="322" spans="1:15">
      <c r="A322" s="256" t="s">
        <v>359</v>
      </c>
      <c r="B322" s="256" t="s">
        <v>620</v>
      </c>
      <c r="C322" s="256" t="s">
        <v>1037</v>
      </c>
      <c r="D322" s="330" t="inlineStr">
        <is>
          <t xml:space="preserve">DW</t>
        </is>
      </c>
      <c r="E322" s="330" t="inlineStr">
        <is>
          <t>Y</t>
        </is>
      </c>
      <c r="F322" s="330" t="inlineStr">
        <is>
          <t xml:space="preserve">진단 대상 35개 국가·리테일러에 해당하지 않음</t>
        </is>
      </c>
    </row>
    <row r="323" spans="1:15">
      <c r="A323" s="256" t="s">
        <v>359</v>
      </c>
      <c r="B323" s="256" t="s">
        <v>620</v>
      </c>
      <c r="C323" s="256" t="s">
        <v>1038</v>
      </c>
      <c r="D323" s="330" t="inlineStr">
        <is>
          <t xml:space="preserve">DRYER</t>
        </is>
      </c>
      <c r="E323" s="330" t="inlineStr">
        <is>
          <t>Y</t>
        </is>
      </c>
      <c r="F323" s="330" t="inlineStr">
        <is>
          <t xml:space="preserve">진단 대상 35개 국가·리테일러에 해당하지 않음</t>
        </is>
      </c>
    </row>
    <row r="324" spans="1:15">
      <c r="A324" s="256" t="s">
        <v>359</v>
      </c>
      <c r="B324" s="256" t="s">
        <v>620</v>
      </c>
      <c r="C324" s="256" t="s">
        <v>1039</v>
      </c>
      <c r="D324" s="330" t="inlineStr">
        <is>
          <t xml:space="preserve">OVEN</t>
        </is>
      </c>
      <c r="E324" s="330" t="inlineStr">
        <is>
          <t>Y</t>
        </is>
      </c>
      <c r="F324" s="330" t="inlineStr">
        <is>
          <t xml:space="preserve">진단 대상 35개 국가·리테일러에 해당하지 않음</t>
        </is>
      </c>
    </row>
    <row r="325" spans="1:15">
      <c r="A325" s="256" t="s">
        <v>359</v>
      </c>
      <c r="B325" s="256" t="s">
        <v>620</v>
      </c>
      <c r="C325" s="256" t="s">
        <v>1040</v>
      </c>
      <c r="D325" s="330" t="inlineStr">
        <is>
          <t xml:space="preserve">REF</t>
        </is>
      </c>
      <c r="E325" s="330" t="inlineStr">
        <is>
          <t>Y</t>
        </is>
      </c>
      <c r="F325" s="330" t="inlineStr">
        <is>
          <t xml:space="preserve">진단 대상 35개 국가·리테일러에 해당하지 않음</t>
        </is>
      </c>
    </row>
    <row r="326" spans="1:15">
      <c r="A326" s="256" t="s">
        <v>359</v>
      </c>
      <c r="B326" s="256" t="s">
        <v>620</v>
      </c>
      <c r="C326" s="256" t="s">
        <v>1041</v>
      </c>
      <c r="D326" s="330" t="inlineStr">
        <is>
          <t xml:space="preserve">WM</t>
        </is>
      </c>
      <c r="E326" s="330" t="inlineStr">
        <is>
          <t>Y</t>
        </is>
      </c>
      <c r="F326" s="330" t="inlineStr">
        <is>
          <t xml:space="preserve">진단 대상 35개 국가·리테일러에 해당하지 않음</t>
        </is>
      </c>
    </row>
    <row r="327" spans="1:15">
      <c r="A327" s="256" t="s">
        <v>359</v>
      </c>
      <c r="B327" s="256" t="s">
        <v>620</v>
      </c>
      <c r="C327" s="256" t="s">
        <v>1042</v>
      </c>
      <c r="D327" s="330" t="inlineStr">
        <is>
          <t xml:space="preserve">LAPTOP</t>
        </is>
      </c>
      <c r="E327" s="330" t="inlineStr">
        <is>
          <t>Y</t>
        </is>
      </c>
      <c r="F327" s="330" t="inlineStr">
        <is>
          <t xml:space="preserve">진단 대상 35개 국가·리테일러에 해당하지 않음</t>
        </is>
      </c>
    </row>
    <row r="328" spans="1:15">
      <c r="A328" s="256" t="s">
        <v>359</v>
      </c>
      <c r="B328" s="256" t="s">
        <v>620</v>
      </c>
      <c r="C328" s="256" t="s">
        <v>1043</v>
      </c>
      <c r="D328" s="330" t="inlineStr">
        <is>
          <t xml:space="preserve">MNT</t>
        </is>
      </c>
      <c r="E328" s="330" t="inlineStr">
        <is>
          <t>Y</t>
        </is>
      </c>
      <c r="F328" s="330" t="inlineStr">
        <is>
          <t xml:space="preserve">진단 대상 35개 국가·리테일러에 해당하지 않음</t>
        </is>
      </c>
    </row>
    <row r="329" spans="1:15">
      <c r="A329" s="256" t="s">
        <v>359</v>
      </c>
      <c r="B329" s="256" t="s">
        <v>620</v>
      </c>
      <c r="C329" s="256" t="s">
        <v>1044</v>
      </c>
      <c r="D329" s="330" t="inlineStr">
        <is>
          <t xml:space="preserve">BT_SPEAKER</t>
        </is>
      </c>
      <c r="E329" s="330" t="inlineStr">
        <is>
          <t>Y</t>
        </is>
      </c>
      <c r="F329" s="330" t="inlineStr">
        <is>
          <t xml:space="preserve">진단 대상 35개 국가·리테일러에 해당하지 않음</t>
        </is>
      </c>
    </row>
    <row r="330" spans="1:15">
      <c r="A330" s="256" t="s">
        <v>359</v>
      </c>
      <c r="B330" s="256" t="s">
        <v>620</v>
      </c>
      <c r="C330" s="256" t="s">
        <v>1045</v>
      </c>
      <c r="D330" s="330" t="inlineStr">
        <is>
          <t xml:space="preserve">AUDIO</t>
        </is>
      </c>
      <c r="E330" s="330" t="inlineStr">
        <is>
          <t>Y</t>
        </is>
      </c>
      <c r="F330" s="330" t="inlineStr">
        <is>
          <t xml:space="preserve">진단 대상 35개 국가·리테일러에 해당하지 않음</t>
        </is>
      </c>
    </row>
    <row r="331" spans="1:15">
      <c r="A331" s="256" t="s">
        <v>359</v>
      </c>
      <c r="B331" s="256" t="s">
        <v>620</v>
      </c>
      <c r="C331" s="256" t="s">
        <v>1046</v>
      </c>
      <c r="D331" s="330" t="inlineStr">
        <is>
          <t xml:space="preserve">TV</t>
        </is>
      </c>
      <c r="E331" s="330" t="inlineStr">
        <is>
          <t>Y</t>
        </is>
      </c>
      <c r="F331" s="330" t="inlineStr">
        <is>
          <t xml:space="preserve">진단 대상 35개 국가·리테일러에 해당하지 않음</t>
        </is>
      </c>
    </row>
    <row r="332" spans="1:15">
      <c r="A332" s="256" t="s">
        <v>359</v>
      </c>
      <c r="B332" s="256" t="s">
        <v>620</v>
      </c>
      <c r="C332" s="256" t="s">
        <v>1047</v>
      </c>
      <c r="D332" s="330" t="inlineStr">
        <is>
          <t xml:space="preserve">STYLER</t>
        </is>
      </c>
      <c r="E332" s="330" t="inlineStr">
        <is>
          <t>Y</t>
        </is>
      </c>
      <c r="F332" s="330" t="inlineStr">
        <is>
          <t xml:space="preserve">진단 대상 35개 국가·리테일러에 해당하지 않음</t>
        </is>
      </c>
    </row>
    <row r="333" spans="1:15">
      <c r="A333" s="256" t="s">
        <v>359</v>
      </c>
      <c r="B333" s="256" t="s">
        <v>620</v>
      </c>
      <c r="C333" s="256" t="s">
        <v>1048</v>
      </c>
      <c r="D333" s="330" t="inlineStr">
        <is>
          <t xml:space="preserve">HEADSET</t>
        </is>
      </c>
      <c r="E333" s="330" t="inlineStr">
        <is>
          <t>Y</t>
        </is>
      </c>
      <c r="F333" s="330" t="inlineStr">
        <is>
          <t xml:space="preserve">진단 대상 35개 국가·리테일러에 해당하지 않음</t>
        </is>
      </c>
    </row>
    <row r="334" spans="1:15">
      <c r="A334" s="256" t="s">
        <v>359</v>
      </c>
      <c r="B334" s="256" t="s">
        <v>620</v>
      </c>
      <c r="C334" s="256" t="s">
        <v>1049</v>
      </c>
      <c r="D334" s="330" t="inlineStr">
        <is>
          <t xml:space="preserve">BT_SPEAKER</t>
        </is>
      </c>
      <c r="E334" s="330" t="inlineStr">
        <is>
          <t>Y</t>
        </is>
      </c>
      <c r="F334" s="330" t="inlineStr">
        <is>
          <t xml:space="preserve">진단 대상 35개 국가·리테일러에 해당하지 않음</t>
        </is>
      </c>
    </row>
    <row r="335" spans="1:15">
      <c r="A335" s="256" t="s">
        <v>359</v>
      </c>
      <c r="B335" s="256" t="s">
        <v>620</v>
      </c>
      <c r="C335" s="256" t="s">
        <v>1050</v>
      </c>
      <c r="D335" s="330" t="inlineStr">
        <is>
          <t xml:space="preserve">RAC</t>
        </is>
      </c>
      <c r="E335" s="330" t="inlineStr">
        <is>
          <t>Y</t>
        </is>
      </c>
      <c r="F335" s="330" t="inlineStr">
        <is>
          <t xml:space="preserve">진단 대상 35개 국가·리테일러에 해당하지 않음</t>
        </is>
      </c>
    </row>
    <row r="336" spans="1:15">
      <c r="A336" s="256" t="s">
        <v>211</v>
      </c>
      <c r="B336" s="256" t="s">
        <v>212</v>
      </c>
      <c r="C336" s="256" t="s">
        <v>1051</v>
      </c>
      <c r="D336" s="330" t="inlineStr">
        <is>
          <t xml:space="preserve">REF</t>
        </is>
      </c>
      <c r="E336" s="330" t="inlineStr">
        <is>
          <t>Y</t>
        </is>
      </c>
      <c r="F336" s="330" t="inlineStr">
        <is>
          <t xml:space="preserve">진단 대상 35개 국가·리테일러에 해당하지 않음</t>
        </is>
      </c>
    </row>
    <row r="337" spans="1:15">
      <c r="A337" s="256" t="s">
        <v>211</v>
      </c>
      <c r="B337" s="256" t="s">
        <v>212</v>
      </c>
      <c r="C337" s="256" t="s">
        <v>1052</v>
      </c>
      <c r="D337" s="330" t="inlineStr">
        <is>
          <t xml:space="preserve">WM</t>
        </is>
      </c>
      <c r="E337" s="330" t="inlineStr">
        <is>
          <t>Y</t>
        </is>
      </c>
      <c r="F337" s="330" t="inlineStr">
        <is>
          <t xml:space="preserve">진단 대상 35개 국가·리테일러에 해당하지 않음</t>
        </is>
      </c>
    </row>
    <row r="338" spans="1:15">
      <c r="A338" s="256" t="s">
        <v>211</v>
      </c>
      <c r="B338" s="256" t="s">
        <v>212</v>
      </c>
      <c r="C338" s="256" t="s">
        <v>1053</v>
      </c>
      <c r="D338" s="330" t="inlineStr">
        <is>
          <t xml:space="preserve">TV</t>
        </is>
      </c>
      <c r="E338" s="330" t="inlineStr">
        <is>
          <t>Y</t>
        </is>
      </c>
      <c r="F338" s="330" t="inlineStr">
        <is>
          <t xml:space="preserve">진단 대상 35개 국가·리테일러에 해당하지 않음</t>
        </is>
      </c>
    </row>
    <row r="339" spans="1:15">
      <c r="A339" s="256" t="s">
        <v>211</v>
      </c>
      <c r="B339" s="256" t="s">
        <v>212</v>
      </c>
      <c r="C339" s="256" t="s">
        <v>1054</v>
      </c>
      <c r="D339" s="330" t="inlineStr">
        <is>
          <t xml:space="preserve">TV</t>
        </is>
      </c>
      <c r="E339" s="330" t="inlineStr">
        <is>
          <t>Y</t>
        </is>
      </c>
      <c r="F339" s="330" t="inlineStr">
        <is>
          <t xml:space="preserve">진단 대상 35개 국가·리테일러에 해당하지 않음</t>
        </is>
      </c>
    </row>
    <row r="340" spans="1:15">
      <c r="A340" s="256" t="s">
        <v>211</v>
      </c>
      <c r="B340" s="256" t="s">
        <v>212</v>
      </c>
      <c r="C340" s="256" t="s">
        <v>1055</v>
      </c>
      <c r="D340" s="330" t="inlineStr">
        <is>
          <t xml:space="preserve">TV</t>
        </is>
      </c>
      <c r="E340" s="330" t="inlineStr">
        <is>
          <t>Y</t>
        </is>
      </c>
      <c r="F340" s="330" t="inlineStr">
        <is>
          <t xml:space="preserve">진단 대상 35개 국가·리테일러에 해당하지 않음</t>
        </is>
      </c>
    </row>
    <row r="341" spans="1:15">
      <c r="A341" s="256" t="s">
        <v>211</v>
      </c>
      <c r="B341" s="256" t="s">
        <v>212</v>
      </c>
      <c r="C341" s="256" t="s">
        <v>1056</v>
      </c>
      <c r="D341" s="330" t="inlineStr">
        <is>
          <t xml:space="preserve">HEADSET</t>
        </is>
      </c>
      <c r="E341" s="330" t="inlineStr">
        <is>
          <t>Y</t>
        </is>
      </c>
      <c r="F341" s="330" t="inlineStr">
        <is>
          <t xml:space="preserve">진단 대상 35개 국가·리테일러에 해당하지 않음</t>
        </is>
      </c>
    </row>
    <row r="342" spans="1:15">
      <c r="A342" s="256" t="s">
        <v>211</v>
      </c>
      <c r="B342" s="256" t="s">
        <v>212</v>
      </c>
      <c r="C342" s="256" t="s">
        <v>1057</v>
      </c>
      <c r="D342" s="330" t="inlineStr">
        <is>
          <t xml:space="preserve">RAC</t>
        </is>
      </c>
      <c r="E342" s="330" t="inlineStr">
        <is>
          <t>Y</t>
        </is>
      </c>
      <c r="F342" s="330" t="inlineStr">
        <is>
          <t xml:space="preserve">진단 대상 35개 국가·리테일러에 해당하지 않음</t>
        </is>
      </c>
    </row>
    <row r="343" spans="1:15">
      <c r="A343" s="256" t="s">
        <v>211</v>
      </c>
      <c r="B343" s="256" t="s">
        <v>212</v>
      </c>
      <c r="C343" s="256" t="s">
        <v>1058</v>
      </c>
      <c r="D343" s="330" t="inlineStr">
        <is>
          <t xml:space="preserve">VACUUM</t>
        </is>
      </c>
      <c r="E343" s="330" t="inlineStr">
        <is>
          <t>Y</t>
        </is>
      </c>
      <c r="F343" s="330" t="inlineStr">
        <is>
          <t xml:space="preserve">진단 대상 35개 국가·리테일러에 해당하지 않음</t>
        </is>
      </c>
    </row>
    <row r="344" spans="1:15">
      <c r="A344" s="256" t="s">
        <v>211</v>
      </c>
      <c r="B344" s="256" t="s">
        <v>212</v>
      </c>
      <c r="C344" s="256" t="s">
        <v>1059</v>
      </c>
      <c r="D344" s="330" t="inlineStr">
        <is>
          <t xml:space="preserve">DW</t>
        </is>
      </c>
      <c r="E344" s="330" t="inlineStr">
        <is>
          <t>Y</t>
        </is>
      </c>
      <c r="F344" s="330" t="inlineStr">
        <is>
          <t xml:space="preserve">진단 대상 35개 국가·리테일러에 해당하지 않음</t>
        </is>
      </c>
    </row>
    <row r="345" spans="1:15">
      <c r="A345" s="256" t="s">
        <v>211</v>
      </c>
      <c r="B345" s="256" t="s">
        <v>212</v>
      </c>
      <c r="C345" s="256" t="s">
        <v>1060</v>
      </c>
      <c r="D345" s="330" t="inlineStr">
        <is>
          <t xml:space="preserve">DRYER</t>
        </is>
      </c>
      <c r="E345" s="330" t="inlineStr">
        <is>
          <t>Y</t>
        </is>
      </c>
      <c r="F345" s="330" t="inlineStr">
        <is>
          <t xml:space="preserve">진단 대상 35개 국가·리테일러에 해당하지 않음</t>
        </is>
      </c>
    </row>
    <row r="346" spans="1:15">
      <c r="A346" s="256" t="s">
        <v>211</v>
      </c>
      <c r="B346" s="256" t="s">
        <v>212</v>
      </c>
      <c r="C346" s="256" t="s">
        <v>1061</v>
      </c>
      <c r="D346" s="330" t="inlineStr">
        <is>
          <t xml:space="preserve">MNT</t>
        </is>
      </c>
      <c r="E346" s="330" t="inlineStr">
        <is>
          <t>Y</t>
        </is>
      </c>
      <c r="F346" s="330" t="inlineStr">
        <is>
          <t xml:space="preserve">진단 대상 35개 국가·리테일러에 해당하지 않음</t>
        </is>
      </c>
    </row>
    <row r="347" spans="1:15">
      <c r="A347" s="256" t="s">
        <v>27</v>
      </c>
      <c r="B347" s="256" t="s">
        <v>615</v>
      </c>
      <c r="C347" s="256" t="s">
        <v>1062</v>
      </c>
      <c r="D347" s="330" t="inlineStr">
        <is>
          <t xml:space="preserve">REF</t>
        </is>
      </c>
      <c r="E347" s="335" t="inlineStr">
        <is>
          <t>N</t>
        </is>
      </c>
      <c r="F347" s="330" t="inlineStr">
        <is>
          <t xml:space="preserve">수집 대상</t>
        </is>
      </c>
      <c r="G347" s="256" t="s">
        <v>127</v>
      </c>
      <c r="H347" s="256" t="s">
        <v>127</v>
      </c>
    </row>
    <row r="348" spans="1:15">
      <c r="A348" s="256" t="s">
        <v>27</v>
      </c>
      <c r="B348" s="256" t="s">
        <v>615</v>
      </c>
      <c r="C348" s="256" t="s">
        <v>1063</v>
      </c>
      <c r="D348" s="330" t="inlineStr">
        <is>
          <t xml:space="preserve">WM</t>
        </is>
      </c>
      <c r="E348" s="335" t="inlineStr">
        <is>
          <t>N</t>
        </is>
      </c>
      <c r="F348" s="330" t="inlineStr">
        <is>
          <t xml:space="preserve">수집 대상</t>
        </is>
      </c>
      <c r="G348" s="256" t="s">
        <v>127</v>
      </c>
      <c r="H348" s="256" t="s">
        <v>127</v>
      </c>
    </row>
    <row r="349" spans="1:15">
      <c r="A349" s="256" t="s">
        <v>27</v>
      </c>
      <c r="B349" s="256" t="s">
        <v>615</v>
      </c>
      <c r="C349" s="256" t="s">
        <v>1064</v>
      </c>
      <c r="D349" s="330" t="inlineStr">
        <is>
          <t xml:space="preserve">LAPTOP</t>
        </is>
      </c>
      <c r="E349" s="330" t="inlineStr">
        <is>
          <t>Y</t>
        </is>
      </c>
      <c r="F349" s="330" t="inlineStr">
        <is>
          <t xml:space="preserve">대상 제품군이 아님: 노트북</t>
        </is>
      </c>
      <c r="G349" s="256" t="s">
        <v>127</v>
      </c>
    </row>
    <row r="350" spans="1:15">
      <c r="A350" s="256" t="s">
        <v>27</v>
      </c>
      <c r="B350" s="256" t="s">
        <v>615</v>
      </c>
      <c r="C350" s="256" t="s">
        <v>1065</v>
      </c>
      <c r="D350" s="330" t="inlineStr">
        <is>
          <t xml:space="preserve">MNT</t>
        </is>
      </c>
      <c r="E350" s="330" t="inlineStr">
        <is>
          <t>Y</t>
        </is>
      </c>
      <c r="F350" s="330" t="inlineStr">
        <is>
          <t xml:space="preserve">대상 제품군이 아님: 모니터</t>
        </is>
      </c>
      <c r="G350" s="256" t="s">
        <v>127</v>
      </c>
    </row>
    <row r="351" spans="1:15">
      <c r="A351" s="256" t="s">
        <v>27</v>
      </c>
      <c r="B351" s="256" t="s">
        <v>615</v>
      </c>
      <c r="C351" s="256" t="s">
        <v>1066</v>
      </c>
      <c r="D351" s="330" t="inlineStr">
        <is>
          <t xml:space="preserve">TV</t>
        </is>
      </c>
      <c r="E351" s="330" t="inlineStr">
        <is>
          <t>Y</t>
        </is>
      </c>
      <c r="F351" s="330" t="inlineStr">
        <is>
          <t xml:space="preserve">대상 제품군이 아님: TV</t>
        </is>
      </c>
      <c r="G351" s="256" t="s">
        <v>127</v>
      </c>
    </row>
    <row r="352" spans="1:15">
      <c r="A352" s="256" t="s">
        <v>27</v>
      </c>
      <c r="B352" s="256" t="s">
        <v>615</v>
      </c>
      <c r="C352" s="256" t="s">
        <v>1067</v>
      </c>
      <c r="D352" s="330" t="inlineStr">
        <is>
          <t xml:space="preserve">DW</t>
        </is>
      </c>
      <c r="E352" s="330" t="inlineStr">
        <is>
          <t>Y</t>
        </is>
      </c>
      <c r="F352" s="330" t="inlineStr">
        <is>
          <t xml:space="preserve">식기세척기는 스페인 ECI·MediaMarkt만 대상</t>
        </is>
      </c>
      <c r="G352" s="256" t="s">
        <v>127</v>
      </c>
    </row>
    <row r="353" spans="1:15">
      <c r="A353" s="256" t="s">
        <v>27</v>
      </c>
      <c r="B353" s="256" t="s">
        <v>615</v>
      </c>
      <c r="C353" s="256" t="s">
        <v>1068</v>
      </c>
      <c r="D353" s="330" t="inlineStr">
        <is>
          <t xml:space="preserve">DW</t>
        </is>
      </c>
      <c r="E353" s="330" t="inlineStr">
        <is>
          <t>Y</t>
        </is>
      </c>
      <c r="F353" s="330" t="inlineStr">
        <is>
          <t xml:space="preserve">식기세척기는 스페인 ECI·MediaMarkt만 대상</t>
        </is>
      </c>
      <c r="G353" s="256" t="s">
        <v>127</v>
      </c>
    </row>
    <row r="354" spans="1:15">
      <c r="A354" s="256" t="s">
        <v>27</v>
      </c>
      <c r="B354" s="256" t="s">
        <v>615</v>
      </c>
      <c r="C354" s="256" t="s">
        <v>1069</v>
      </c>
      <c r="D354" s="330" t="inlineStr">
        <is>
          <t xml:space="preserve">BT_SPEAKER</t>
        </is>
      </c>
      <c r="E354" s="330" t="inlineStr">
        <is>
          <t>Y</t>
        </is>
      </c>
      <c r="F354" s="330" t="inlineStr">
        <is>
          <t xml:space="preserve">대상 제품군이 아님: 블루투스 스피커</t>
        </is>
      </c>
      <c r="G354" s="256" t="s">
        <v>127</v>
      </c>
    </row>
    <row r="355" spans="1:15">
      <c r="A355" s="256" t="s">
        <v>27</v>
      </c>
      <c r="B355" s="256" t="s">
        <v>615</v>
      </c>
      <c r="C355" s="256" t="s">
        <v>1070</v>
      </c>
      <c r="D355" s="330" t="inlineStr">
        <is>
          <t xml:space="preserve">SOUNDBAR</t>
        </is>
      </c>
      <c r="E355" s="330" t="inlineStr">
        <is>
          <t>Y</t>
        </is>
      </c>
      <c r="F355" s="330" t="inlineStr">
        <is>
          <t xml:space="preserve">대상 제품군이 아님: 사운드바</t>
        </is>
      </c>
      <c r="G355" s="256" t="s">
        <v>127</v>
      </c>
    </row>
    <row r="356" spans="1:15">
      <c r="A356" s="256" t="s">
        <v>27</v>
      </c>
      <c r="B356" s="256" t="s">
        <v>615</v>
      </c>
      <c r="C356" s="256" t="s">
        <v>1071</v>
      </c>
      <c r="D356" s="330" t="inlineStr">
        <is>
          <t xml:space="preserve">HEADSET</t>
        </is>
      </c>
      <c r="E356" s="330" t="inlineStr">
        <is>
          <t>Y</t>
        </is>
      </c>
      <c r="F356" s="330" t="inlineStr">
        <is>
          <t xml:space="preserve">대상 제품군이 아님: 이어폰·헤드셋</t>
        </is>
      </c>
      <c r="G356" s="256" t="s">
        <v>127</v>
      </c>
    </row>
    <row r="357" spans="1:15">
      <c r="A357" s="256" t="s">
        <v>27</v>
      </c>
      <c r="B357" s="256" t="s">
        <v>615</v>
      </c>
      <c r="C357" s="256" t="s">
        <v>1072</v>
      </c>
      <c r="D357" s="330" t="inlineStr">
        <is>
          <t xml:space="preserve">RAC</t>
        </is>
      </c>
      <c r="E357" s="330" t="inlineStr">
        <is>
          <t>Y</t>
        </is>
      </c>
      <c r="F357" s="330" t="inlineStr">
        <is>
          <t xml:space="preserve">대상 제품군이 아님: 에어컨</t>
        </is>
      </c>
      <c r="G357" s="256" t="s">
        <v>127</v>
      </c>
    </row>
    <row r="358" spans="1:15">
      <c r="A358" s="256" t="s">
        <v>27</v>
      </c>
      <c r="B358" s="256" t="s">
        <v>615</v>
      </c>
      <c r="C358" s="256" t="s">
        <v>1073</v>
      </c>
      <c r="D358" s="330" t="inlineStr">
        <is>
          <t xml:space="preserve">WM</t>
        </is>
      </c>
      <c r="E358" s="335" t="inlineStr">
        <is>
          <t>N</t>
        </is>
      </c>
      <c r="F358" s="330" t="inlineStr">
        <is>
          <t xml:space="preserve">수집 대상</t>
        </is>
      </c>
      <c r="G358" s="256" t="s">
        <v>127</v>
      </c>
      <c r="H358" s="256" t="s">
        <v>127</v>
      </c>
    </row>
    <row r="359" spans="1:15">
      <c r="A359" s="256" t="s">
        <v>27</v>
      </c>
      <c r="B359" s="256" t="s">
        <v>615</v>
      </c>
      <c r="C359" s="256" t="s">
        <v>1074</v>
      </c>
      <c r="D359" s="330" t="inlineStr">
        <is>
          <t xml:space="preserve">DRYER</t>
        </is>
      </c>
      <c r="E359" s="335" t="inlineStr">
        <is>
          <t>N</t>
        </is>
      </c>
      <c r="F359" s="330" t="inlineStr">
        <is>
          <t xml:space="preserve">수집 대상</t>
        </is>
      </c>
      <c r="G359" s="256" t="s">
        <v>127</v>
      </c>
      <c r="H359" s="256" t="s">
        <v>127</v>
      </c>
    </row>
    <row r="360" spans="1:15">
      <c r="A360" s="256" t="s">
        <v>251</v>
      </c>
      <c r="B360" s="256" t="s">
        <v>254</v>
      </c>
      <c r="C360" s="256" t="s">
        <v>1075</v>
      </c>
      <c r="D360" s="330" t="inlineStr">
        <is>
          <t xml:space="preserve">TV</t>
        </is>
      </c>
      <c r="E360" s="330" t="inlineStr">
        <is>
          <t>Y</t>
        </is>
      </c>
      <c r="F360" s="330" t="inlineStr">
        <is>
          <t xml:space="preserve">대상 제품군이 아님: TV</t>
        </is>
      </c>
      <c r="G360" s="256" t="s">
        <v>127</v>
      </c>
    </row>
    <row r="361" spans="1:15">
      <c r="A361" s="256" t="s">
        <v>251</v>
      </c>
      <c r="B361" s="256" t="s">
        <v>254</v>
      </c>
      <c r="C361" s="256" t="s">
        <v>1076</v>
      </c>
      <c r="D361" s="330" t="inlineStr">
        <is>
          <t xml:space="preserve">TV</t>
        </is>
      </c>
      <c r="E361" s="330" t="inlineStr">
        <is>
          <t>Y</t>
        </is>
      </c>
      <c r="F361" s="330" t="inlineStr">
        <is>
          <t xml:space="preserve">대상 제품군이 아님: TV</t>
        </is>
      </c>
      <c r="G361" s="256" t="s">
        <v>127</v>
      </c>
    </row>
    <row r="362" spans="1:15">
      <c r="A362" s="256" t="s">
        <v>251</v>
      </c>
      <c r="B362" s="256" t="s">
        <v>254</v>
      </c>
      <c r="C362" s="256" t="s">
        <v>1077</v>
      </c>
      <c r="D362" s="330" t="inlineStr">
        <is>
          <t xml:space="preserve">TV</t>
        </is>
      </c>
      <c r="E362" s="330" t="inlineStr">
        <is>
          <t>Y</t>
        </is>
      </c>
      <c r="F362" s="330" t="inlineStr">
        <is>
          <t xml:space="preserve">대상 제품군이 아님: TV</t>
        </is>
      </c>
      <c r="G362" s="256" t="s">
        <v>127</v>
      </c>
    </row>
    <row r="363" spans="1:15">
      <c r="A363" s="256" t="s">
        <v>251</v>
      </c>
      <c r="B363" s="256" t="s">
        <v>254</v>
      </c>
      <c r="C363" s="256" t="s">
        <v>1078</v>
      </c>
      <c r="D363" s="330" t="inlineStr">
        <is>
          <t xml:space="preserve">TV</t>
        </is>
      </c>
      <c r="E363" s="330" t="inlineStr">
        <is>
          <t>Y</t>
        </is>
      </c>
      <c r="F363" s="330" t="inlineStr">
        <is>
          <t xml:space="preserve">대상 제품군이 아님: TV</t>
        </is>
      </c>
      <c r="G363" s="256" t="s">
        <v>127</v>
      </c>
    </row>
    <row r="364" spans="1:15">
      <c r="A364" s="256" t="s">
        <v>251</v>
      </c>
      <c r="B364" s="256" t="s">
        <v>254</v>
      </c>
      <c r="C364" s="256" t="s">
        <v>1079</v>
      </c>
      <c r="D364" s="330" t="inlineStr">
        <is>
          <t xml:space="preserve">TV</t>
        </is>
      </c>
      <c r="E364" s="330" t="inlineStr">
        <is>
          <t>Y</t>
        </is>
      </c>
      <c r="F364" s="330" t="inlineStr">
        <is>
          <t xml:space="preserve">대상 제품군이 아님: TV</t>
        </is>
      </c>
      <c r="G364" s="256" t="s">
        <v>127</v>
      </c>
    </row>
    <row r="365" spans="1:15">
      <c r="A365" s="256" t="s">
        <v>251</v>
      </c>
      <c r="B365" s="256" t="s">
        <v>254</v>
      </c>
      <c r="C365" s="256" t="s">
        <v>1080</v>
      </c>
      <c r="D365" s="332" t="inlineStr">
        <is>
          <t xml:space="preserve">UNKNOWN</t>
        </is>
      </c>
      <c r="E365" s="330" t="inlineStr">
        <is>
          <t>Y</t>
        </is>
      </c>
      <c r="F365" s="330" t="inlineStr">
        <is>
          <t xml:space="preserve">기존 수집 대상 목록 미포함; 카테고리 확인 필요</t>
        </is>
      </c>
      <c r="G365" s="256" t="s">
        <v>127</v>
      </c>
    </row>
    <row r="366" spans="1:15">
      <c r="A366" s="256" t="s">
        <v>251</v>
      </c>
      <c r="B366" s="256" t="s">
        <v>254</v>
      </c>
      <c r="C366" s="256" t="s">
        <v>1081</v>
      </c>
      <c r="D366" s="330" t="inlineStr">
        <is>
          <t xml:space="preserve">TV</t>
        </is>
      </c>
      <c r="E366" s="330" t="inlineStr">
        <is>
          <t>Y</t>
        </is>
      </c>
      <c r="F366" s="330" t="inlineStr">
        <is>
          <t xml:space="preserve">대상 제품군이 아님: TV</t>
        </is>
      </c>
      <c r="G366" s="256" t="s">
        <v>127</v>
      </c>
    </row>
    <row r="367" spans="1:15">
      <c r="A367" s="256" t="s">
        <v>251</v>
      </c>
      <c r="B367" s="256" t="s">
        <v>254</v>
      </c>
      <c r="C367" s="256" t="s">
        <v>1082</v>
      </c>
      <c r="D367" s="332" t="inlineStr">
        <is>
          <t xml:space="preserve">UNKNOWN</t>
        </is>
      </c>
      <c r="E367" s="330" t="inlineStr">
        <is>
          <t>Y</t>
        </is>
      </c>
      <c r="F367" s="330" t="inlineStr">
        <is>
          <t xml:space="preserve">기존 수집 대상 목록 미포함; 카테고리 확인 필요</t>
        </is>
      </c>
      <c r="G367" s="256" t="s">
        <v>127</v>
      </c>
    </row>
    <row r="368" spans="1:15">
      <c r="A368" s="256" t="s">
        <v>251</v>
      </c>
      <c r="B368" s="256" t="s">
        <v>254</v>
      </c>
      <c r="C368" s="256" t="s">
        <v>1083</v>
      </c>
      <c r="D368" s="330" t="inlineStr">
        <is>
          <t xml:space="preserve">TV</t>
        </is>
      </c>
      <c r="E368" s="330" t="inlineStr">
        <is>
          <t>Y</t>
        </is>
      </c>
      <c r="F368" s="330" t="inlineStr">
        <is>
          <t xml:space="preserve">대상 제품군이 아님: TV</t>
        </is>
      </c>
      <c r="G368" s="256" t="s">
        <v>127</v>
      </c>
    </row>
    <row r="369" spans="1:15">
      <c r="A369" s="256" t="s">
        <v>251</v>
      </c>
      <c r="B369" s="256" t="s">
        <v>254</v>
      </c>
      <c r="C369" s="256" t="s">
        <v>1084</v>
      </c>
      <c r="D369" s="330" t="inlineStr">
        <is>
          <t xml:space="preserve">REF</t>
        </is>
      </c>
      <c r="E369" s="335" t="inlineStr">
        <is>
          <t>N</t>
        </is>
      </c>
      <c r="F369" s="330" t="inlineStr">
        <is>
          <t xml:space="preserve">수집 대상</t>
        </is>
      </c>
      <c r="G369" s="256" t="s">
        <v>127</v>
      </c>
    </row>
    <row r="370" spans="1:15">
      <c r="A370" s="256" t="s">
        <v>251</v>
      </c>
      <c r="B370" s="256" t="s">
        <v>254</v>
      </c>
      <c r="C370" s="256" t="s">
        <v>1085</v>
      </c>
      <c r="D370" s="330" t="inlineStr">
        <is>
          <t xml:space="preserve">REF</t>
        </is>
      </c>
      <c r="E370" s="335" t="inlineStr">
        <is>
          <t>N</t>
        </is>
      </c>
      <c r="F370" s="330" t="inlineStr">
        <is>
          <t xml:space="preserve">수집 대상</t>
        </is>
      </c>
      <c r="G370" s="256" t="s">
        <v>127</v>
      </c>
    </row>
    <row r="371" spans="1:15">
      <c r="A371" s="256" t="s">
        <v>251</v>
      </c>
      <c r="B371" s="256" t="s">
        <v>254</v>
      </c>
      <c r="C371" s="256" t="s">
        <v>1086</v>
      </c>
      <c r="D371" s="330" t="inlineStr">
        <is>
          <t xml:space="preserve">REF</t>
        </is>
      </c>
      <c r="E371" s="335" t="inlineStr">
        <is>
          <t>N</t>
        </is>
      </c>
      <c r="F371" s="330" t="inlineStr">
        <is>
          <t xml:space="preserve">수집 대상</t>
        </is>
      </c>
      <c r="G371" s="256" t="s">
        <v>127</v>
      </c>
    </row>
    <row r="372" spans="1:15">
      <c r="A372" s="256" t="s">
        <v>251</v>
      </c>
      <c r="B372" s="256" t="s">
        <v>254</v>
      </c>
      <c r="C372" s="256" t="s">
        <v>1087</v>
      </c>
      <c r="D372" s="330" t="inlineStr">
        <is>
          <t xml:space="preserve">REF</t>
        </is>
      </c>
      <c r="E372" s="335" t="inlineStr">
        <is>
          <t>N</t>
        </is>
      </c>
      <c r="F372" s="330" t="inlineStr">
        <is>
          <t xml:space="preserve">수집 대상</t>
        </is>
      </c>
      <c r="G372" s="256" t="s">
        <v>127</v>
      </c>
    </row>
    <row r="373" spans="1:15">
      <c r="A373" s="256" t="s">
        <v>251</v>
      </c>
      <c r="B373" s="256" t="s">
        <v>254</v>
      </c>
      <c r="C373" s="256" t="s">
        <v>1088</v>
      </c>
      <c r="D373" s="330" t="inlineStr">
        <is>
          <t xml:space="preserve">REF</t>
        </is>
      </c>
      <c r="E373" s="335" t="inlineStr">
        <is>
          <t>N</t>
        </is>
      </c>
      <c r="F373" s="330" t="inlineStr">
        <is>
          <t xml:space="preserve">수집 대상</t>
        </is>
      </c>
      <c r="G373" s="256" t="s">
        <v>127</v>
      </c>
    </row>
    <row r="374" spans="1:15">
      <c r="A374" s="256" t="s">
        <v>251</v>
      </c>
      <c r="B374" s="256" t="s">
        <v>254</v>
      </c>
      <c r="C374" s="256" t="s">
        <v>1089</v>
      </c>
      <c r="D374" s="330" t="inlineStr">
        <is>
          <t xml:space="preserve">REF</t>
        </is>
      </c>
      <c r="E374" s="335" t="inlineStr">
        <is>
          <t>N</t>
        </is>
      </c>
      <c r="F374" s="330" t="inlineStr">
        <is>
          <t xml:space="preserve">수집 대상</t>
        </is>
      </c>
      <c r="G374" s="256" t="s">
        <v>127</v>
      </c>
    </row>
    <row r="375" spans="1:15">
      <c r="A375" s="256" t="s">
        <v>251</v>
      </c>
      <c r="B375" s="256" t="s">
        <v>254</v>
      </c>
      <c r="C375" s="256" t="s">
        <v>1090</v>
      </c>
      <c r="D375" s="330" t="inlineStr">
        <is>
          <t xml:space="preserve">WM</t>
        </is>
      </c>
      <c r="E375" s="335" t="inlineStr">
        <is>
          <t>N</t>
        </is>
      </c>
      <c r="F375" s="330" t="inlineStr">
        <is>
          <t xml:space="preserve">수집 대상</t>
        </is>
      </c>
      <c r="G375" s="256" t="s">
        <v>127</v>
      </c>
    </row>
    <row r="376" spans="1:15">
      <c r="A376" s="256" t="s">
        <v>251</v>
      </c>
      <c r="B376" s="256" t="s">
        <v>254</v>
      </c>
      <c r="C376" s="256" t="s">
        <v>1091</v>
      </c>
      <c r="D376" s="330" t="inlineStr">
        <is>
          <t xml:space="preserve">WM</t>
        </is>
      </c>
      <c r="E376" s="335" t="inlineStr">
        <is>
          <t>N</t>
        </is>
      </c>
      <c r="F376" s="330" t="inlineStr">
        <is>
          <t xml:space="preserve">수집 대상</t>
        </is>
      </c>
      <c r="G376" s="256" t="s">
        <v>127</v>
      </c>
    </row>
    <row r="377" spans="1:15">
      <c r="A377" s="256" t="s">
        <v>251</v>
      </c>
      <c r="B377" s="256" t="s">
        <v>254</v>
      </c>
      <c r="C377" s="256" t="s">
        <v>1092</v>
      </c>
      <c r="D377" s="330" t="inlineStr">
        <is>
          <t xml:space="preserve">WM</t>
        </is>
      </c>
      <c r="E377" s="335" t="inlineStr">
        <is>
          <t>N</t>
        </is>
      </c>
      <c r="F377" s="330" t="inlineStr">
        <is>
          <t xml:space="preserve">수집 대상</t>
        </is>
      </c>
      <c r="G377" s="256" t="s">
        <v>127</v>
      </c>
    </row>
    <row r="378" spans="1:15">
      <c r="A378" s="256" t="s">
        <v>251</v>
      </c>
      <c r="B378" s="256" t="s">
        <v>254</v>
      </c>
      <c r="C378" s="256" t="s">
        <v>1093</v>
      </c>
      <c r="D378" s="330" t="inlineStr">
        <is>
          <t xml:space="preserve">WM</t>
        </is>
      </c>
      <c r="E378" s="335" t="inlineStr">
        <is>
          <t>N</t>
        </is>
      </c>
      <c r="F378" s="330" t="inlineStr">
        <is>
          <t xml:space="preserve">수집 대상</t>
        </is>
      </c>
      <c r="G378" s="256" t="s">
        <v>127</v>
      </c>
    </row>
    <row r="379" spans="1:15">
      <c r="A379" s="256" t="s">
        <v>251</v>
      </c>
      <c r="B379" s="256" t="s">
        <v>254</v>
      </c>
      <c r="C379" s="256" t="s">
        <v>1094</v>
      </c>
      <c r="D379" s="330" t="inlineStr">
        <is>
          <t xml:space="preserve">MNT</t>
        </is>
      </c>
      <c r="E379" s="330" t="inlineStr">
        <is>
          <t>Y</t>
        </is>
      </c>
      <c r="F379" s="330" t="inlineStr">
        <is>
          <t xml:space="preserve">대상 제품군이 아님: 모니터</t>
        </is>
      </c>
      <c r="G379" s="256" t="s">
        <v>127</v>
      </c>
    </row>
    <row r="380" spans="1:15">
      <c r="A380" s="256" t="s">
        <v>251</v>
      </c>
      <c r="B380" s="256" t="s">
        <v>254</v>
      </c>
      <c r="C380" s="256" t="s">
        <v>1095</v>
      </c>
      <c r="D380" s="330" t="inlineStr">
        <is>
          <t xml:space="preserve">HEADSET</t>
        </is>
      </c>
      <c r="E380" s="330" t="inlineStr">
        <is>
          <t>Y</t>
        </is>
      </c>
      <c r="F380" s="330" t="inlineStr">
        <is>
          <t xml:space="preserve">대상 제품군이 아님: 이어폰·헤드셋</t>
        </is>
      </c>
      <c r="G380" s="256" t="s">
        <v>127</v>
      </c>
    </row>
    <row r="381" spans="1:15">
      <c r="A381" s="256" t="s">
        <v>251</v>
      </c>
      <c r="B381" s="256" t="s">
        <v>254</v>
      </c>
      <c r="C381" s="256" t="s">
        <v>1096</v>
      </c>
      <c r="D381" s="330" t="inlineStr">
        <is>
          <t xml:space="preserve">HEADSET</t>
        </is>
      </c>
      <c r="E381" s="330" t="inlineStr">
        <is>
          <t>Y</t>
        </is>
      </c>
      <c r="F381" s="330" t="inlineStr">
        <is>
          <t xml:space="preserve">대상 제품군이 아님: 이어폰·헤드셋</t>
        </is>
      </c>
      <c r="G381" s="256" t="s">
        <v>127</v>
      </c>
    </row>
    <row r="382" spans="1:15">
      <c r="A382" s="256" t="s">
        <v>251</v>
      </c>
      <c r="B382" s="256" t="s">
        <v>254</v>
      </c>
      <c r="C382" s="256" t="s">
        <v>1097</v>
      </c>
      <c r="D382" s="330" t="inlineStr">
        <is>
          <t xml:space="preserve">SOUNDBAR</t>
        </is>
      </c>
      <c r="E382" s="330" t="inlineStr">
        <is>
          <t>Y</t>
        </is>
      </c>
      <c r="F382" s="330" t="inlineStr">
        <is>
          <t xml:space="preserve">대상 제품군이 아님: 사운드바</t>
        </is>
      </c>
      <c r="G382" s="256" t="s">
        <v>127</v>
      </c>
    </row>
    <row r="383" spans="1:15">
      <c r="A383" s="256" t="s">
        <v>251</v>
      </c>
      <c r="B383" s="256" t="s">
        <v>254</v>
      </c>
      <c r="C383" s="256" t="s">
        <v>1098</v>
      </c>
      <c r="D383" s="330" t="inlineStr">
        <is>
          <t xml:space="preserve">SPEAKER</t>
        </is>
      </c>
      <c r="E383" s="330" t="inlineStr">
        <is>
          <t>Y</t>
        </is>
      </c>
      <c r="F383" s="330" t="inlineStr">
        <is>
          <t xml:space="preserve">대상 제품군이 아님: 스피커</t>
        </is>
      </c>
      <c r="G383" s="256" t="s">
        <v>127</v>
      </c>
    </row>
    <row r="384" spans="1:15">
      <c r="A384" s="256" t="s">
        <v>251</v>
      </c>
      <c r="B384" s="256" t="s">
        <v>254</v>
      </c>
      <c r="C384" s="256" t="s">
        <v>1099</v>
      </c>
      <c r="D384" s="330" t="inlineStr">
        <is>
          <t xml:space="preserve">DW</t>
        </is>
      </c>
      <c r="E384" s="330" t="inlineStr">
        <is>
          <t>Y</t>
        </is>
      </c>
      <c r="F384" s="330" t="inlineStr">
        <is>
          <t xml:space="preserve">식기세척기는 스페인 ECI·MediaMarkt만 대상</t>
        </is>
      </c>
      <c r="G384" s="256" t="s">
        <v>127</v>
      </c>
    </row>
    <row r="385" spans="1:15">
      <c r="A385" s="256" t="s">
        <v>251</v>
      </c>
      <c r="B385" s="256" t="s">
        <v>254</v>
      </c>
      <c r="C385" s="256" t="s">
        <v>1100</v>
      </c>
      <c r="D385" s="330" t="inlineStr">
        <is>
          <t xml:space="preserve">OVEN</t>
        </is>
      </c>
      <c r="E385" s="330" t="inlineStr">
        <is>
          <t>Y</t>
        </is>
      </c>
      <c r="F385" s="330" t="inlineStr">
        <is>
          <t xml:space="preserve">대상 제품군이 아님: 오븐·조리기기</t>
        </is>
      </c>
      <c r="G385" s="256" t="s">
        <v>127</v>
      </c>
    </row>
    <row r="386" spans="1:15">
      <c r="A386" s="256" t="s">
        <v>251</v>
      </c>
      <c r="B386" s="256" t="s">
        <v>254</v>
      </c>
      <c r="C386" s="256" t="s">
        <v>1101</v>
      </c>
      <c r="D386" s="330" t="inlineStr">
        <is>
          <t xml:space="preserve">LAPTOP</t>
        </is>
      </c>
      <c r="E386" s="330" t="inlineStr">
        <is>
          <t>Y</t>
        </is>
      </c>
      <c r="F386" s="330" t="inlineStr">
        <is>
          <t xml:space="preserve">대상 제품군이 아님: 노트북</t>
        </is>
      </c>
      <c r="G386" s="256" t="s">
        <v>127</v>
      </c>
    </row>
    <row r="387" spans="1:15">
      <c r="A387" s="256" t="s">
        <v>251</v>
      </c>
      <c r="B387" s="256" t="s">
        <v>254</v>
      </c>
      <c r="C387" s="256" t="s">
        <v>1102</v>
      </c>
      <c r="D387" s="332" t="inlineStr">
        <is>
          <t xml:space="preserve">UNKNOWN</t>
        </is>
      </c>
      <c r="E387" s="330" t="inlineStr">
        <is>
          <t>Y</t>
        </is>
      </c>
      <c r="F387" s="330" t="inlineStr">
        <is>
          <t xml:space="preserve">기존 수집 대상 목록 미포함; 카테고리 확인 필요</t>
        </is>
      </c>
      <c r="G387" s="256" t="s">
        <v>127</v>
      </c>
    </row>
    <row r="388" spans="1:15">
      <c r="A388" s="256" t="s">
        <v>251</v>
      </c>
      <c r="B388" s="256" t="s">
        <v>254</v>
      </c>
      <c r="C388" s="256" t="s">
        <v>1103</v>
      </c>
      <c r="D388" s="330" t="inlineStr">
        <is>
          <t xml:space="preserve">HEADSET</t>
        </is>
      </c>
      <c r="E388" s="330" t="inlineStr">
        <is>
          <t>Y</t>
        </is>
      </c>
      <c r="F388" s="330" t="inlineStr">
        <is>
          <t xml:space="preserve">대상 제품군이 아님: 이어폰·헤드셋</t>
        </is>
      </c>
      <c r="G388" s="256" t="s">
        <v>127</v>
      </c>
    </row>
    <row r="389" spans="1:15">
      <c r="A389" s="256" t="s">
        <v>251</v>
      </c>
      <c r="B389" s="256" t="s">
        <v>254</v>
      </c>
      <c r="C389" s="256" t="s">
        <v>1104</v>
      </c>
      <c r="D389" s="330" t="inlineStr">
        <is>
          <t xml:space="preserve">RAC</t>
        </is>
      </c>
      <c r="E389" s="330" t="inlineStr">
        <is>
          <t>Y</t>
        </is>
      </c>
      <c r="F389" s="330" t="inlineStr">
        <is>
          <t xml:space="preserve">대상 제품군이 아님: 에어컨</t>
        </is>
      </c>
      <c r="G389" s="256" t="s">
        <v>127</v>
      </c>
    </row>
    <row r="390" spans="1:15">
      <c r="A390" s="256" t="s">
        <v>251</v>
      </c>
      <c r="B390" s="256" t="s">
        <v>254</v>
      </c>
      <c r="C390" s="256" t="s">
        <v>1105</v>
      </c>
      <c r="D390" s="330" t="inlineStr">
        <is>
          <t xml:space="preserve">DRYER</t>
        </is>
      </c>
      <c r="E390" s="335" t="inlineStr">
        <is>
          <t>N</t>
        </is>
      </c>
      <c r="F390" s="330" t="inlineStr">
        <is>
          <t xml:space="preserve">수집 대상</t>
        </is>
      </c>
      <c r="G390" s="256" t="s">
        <v>127</v>
      </c>
    </row>
    <row r="391" spans="1:15">
      <c r="A391" s="256" t="s">
        <v>237</v>
      </c>
      <c r="B391" s="256" t="s">
        <v>240</v>
      </c>
      <c r="C391" s="256" t="s">
        <v>1106</v>
      </c>
      <c r="D391" s="330" t="inlineStr">
        <is>
          <t xml:space="preserve">REF</t>
        </is>
      </c>
      <c r="E391" s="335" t="inlineStr">
        <is>
          <t>N</t>
        </is>
      </c>
      <c r="F391" s="330" t="inlineStr">
        <is>
          <t xml:space="preserve">수집 대상</t>
        </is>
      </c>
      <c r="G391" s="256" t="s">
        <v>127</v>
      </c>
      <c r="H391" s="256" t="s">
        <v>127</v>
      </c>
    </row>
    <row r="392" spans="1:15">
      <c r="A392" s="256" t="s">
        <v>237</v>
      </c>
      <c r="B392" s="256" t="s">
        <v>240</v>
      </c>
      <c r="C392" s="256" t="s">
        <v>1107</v>
      </c>
      <c r="D392" s="330" t="inlineStr">
        <is>
          <t xml:space="preserve">WM</t>
        </is>
      </c>
      <c r="E392" s="335" t="inlineStr">
        <is>
          <t>N</t>
        </is>
      </c>
      <c r="F392" s="330" t="inlineStr">
        <is>
          <t xml:space="preserve">수집 대상</t>
        </is>
      </c>
      <c r="G392" s="256" t="s">
        <v>127</v>
      </c>
      <c r="H392" s="256" t="s">
        <v>127</v>
      </c>
    </row>
    <row r="393" spans="1:15">
      <c r="A393" s="256" t="s">
        <v>237</v>
      </c>
      <c r="B393" s="256" t="s">
        <v>240</v>
      </c>
      <c r="C393" s="256" t="s">
        <v>1108</v>
      </c>
      <c r="D393" s="330" t="inlineStr">
        <is>
          <t xml:space="preserve">TV</t>
        </is>
      </c>
      <c r="E393" s="330" t="inlineStr">
        <is>
          <t>Y</t>
        </is>
      </c>
      <c r="F393" s="330" t="inlineStr">
        <is>
          <t xml:space="preserve">대상 제품군이 아님: TV</t>
        </is>
      </c>
      <c r="G393" s="256" t="s">
        <v>127</v>
      </c>
    </row>
    <row r="394" spans="1:15">
      <c r="A394" s="256" t="s">
        <v>237</v>
      </c>
      <c r="B394" s="256" t="s">
        <v>240</v>
      </c>
      <c r="C394" s="256" t="s">
        <v>1109</v>
      </c>
      <c r="D394" s="330" t="inlineStr">
        <is>
          <t xml:space="preserve">BT_SPEAKER</t>
        </is>
      </c>
      <c r="E394" s="330" t="inlineStr">
        <is>
          <t>Y</t>
        </is>
      </c>
      <c r="F394" s="330" t="inlineStr">
        <is>
          <t xml:space="preserve">대상 제품군이 아님: 블루투스 스피커</t>
        </is>
      </c>
      <c r="G394" s="256" t="s">
        <v>127</v>
      </c>
    </row>
    <row r="395" spans="1:15">
      <c r="A395" s="256" t="s">
        <v>237</v>
      </c>
      <c r="B395" s="256" t="s">
        <v>240</v>
      </c>
      <c r="C395" s="256" t="s">
        <v>1110</v>
      </c>
      <c r="D395" s="330" t="inlineStr">
        <is>
          <t xml:space="preserve">SOUNDBAR</t>
        </is>
      </c>
      <c r="E395" s="330" t="inlineStr">
        <is>
          <t>Y</t>
        </is>
      </c>
      <c r="F395" s="330" t="inlineStr">
        <is>
          <t xml:space="preserve">대상 제품군이 아님: 사운드바</t>
        </is>
      </c>
      <c r="G395" s="256" t="s">
        <v>127</v>
      </c>
    </row>
    <row r="396" spans="1:15">
      <c r="A396" s="256" t="s">
        <v>237</v>
      </c>
      <c r="B396" s="256" t="s">
        <v>240</v>
      </c>
      <c r="C396" s="256" t="s">
        <v>1111</v>
      </c>
      <c r="D396" s="330" t="inlineStr">
        <is>
          <t xml:space="preserve">HEADSET</t>
        </is>
      </c>
      <c r="E396" s="330" t="inlineStr">
        <is>
          <t>Y</t>
        </is>
      </c>
      <c r="F396" s="330" t="inlineStr">
        <is>
          <t xml:space="preserve">대상 제품군이 아님: 이어폰·헤드셋</t>
        </is>
      </c>
      <c r="G396" s="256" t="s">
        <v>127</v>
      </c>
    </row>
    <row r="397" spans="1:15">
      <c r="A397" s="256" t="s">
        <v>237</v>
      </c>
      <c r="B397" s="256" t="s">
        <v>240</v>
      </c>
      <c r="C397" s="256" t="s">
        <v>1112</v>
      </c>
      <c r="D397" s="330" t="inlineStr">
        <is>
          <t xml:space="preserve">RAC</t>
        </is>
      </c>
      <c r="E397" s="330" t="inlineStr">
        <is>
          <t>Y</t>
        </is>
      </c>
      <c r="F397" s="330" t="inlineStr">
        <is>
          <t xml:space="preserve">대상 제품군이 아님: 에어컨</t>
        </is>
      </c>
      <c r="G397" s="256" t="s">
        <v>127</v>
      </c>
    </row>
    <row r="398" spans="1:15">
      <c r="A398" s="256" t="s">
        <v>237</v>
      </c>
      <c r="B398" s="256" t="s">
        <v>240</v>
      </c>
      <c r="C398" s="256" t="s">
        <v>1113</v>
      </c>
      <c r="D398" s="330" t="inlineStr">
        <is>
          <t xml:space="preserve">STYLER</t>
        </is>
      </c>
      <c r="E398" s="330" t="inlineStr">
        <is>
          <t>Y</t>
        </is>
      </c>
      <c r="F398" s="330" t="inlineStr">
        <is>
          <t xml:space="preserve">스타일러는 수집 대상에서 제외</t>
        </is>
      </c>
      <c r="G398" s="256" t="s">
        <v>127</v>
      </c>
    </row>
    <row r="399" spans="1:15">
      <c r="A399" s="256" t="s">
        <v>237</v>
      </c>
      <c r="B399" s="256" t="s">
        <v>240</v>
      </c>
      <c r="C399" s="256" t="s">
        <v>1114</v>
      </c>
      <c r="D399" s="330" t="inlineStr">
        <is>
          <t xml:space="preserve">MNT</t>
        </is>
      </c>
      <c r="E399" s="330" t="inlineStr">
        <is>
          <t>Y</t>
        </is>
      </c>
      <c r="F399" s="330" t="inlineStr">
        <is>
          <t xml:space="preserve">대상 제품군이 아님: 모니터</t>
        </is>
      </c>
      <c r="G399" s="256" t="s">
        <v>127</v>
      </c>
    </row>
    <row r="400" spans="1:15">
      <c r="A400" s="256" t="s">
        <v>237</v>
      </c>
      <c r="B400" s="256" t="s">
        <v>240</v>
      </c>
      <c r="C400" s="256" t="s">
        <v>1115</v>
      </c>
      <c r="D400" s="330" t="inlineStr">
        <is>
          <t xml:space="preserve">DRYER</t>
        </is>
      </c>
      <c r="E400" s="335" t="inlineStr">
        <is>
          <t>N</t>
        </is>
      </c>
      <c r="F400" s="330" t="inlineStr">
        <is>
          <t xml:space="preserve">수집 대상</t>
        </is>
      </c>
      <c r="G400" s="256" t="s">
        <v>127</v>
      </c>
    </row>
    <row r="401" spans="1:15">
      <c r="A401" s="256" t="s">
        <v>285</v>
      </c>
      <c r="B401" s="256" t="s">
        <v>287</v>
      </c>
      <c r="C401" s="257" t="s">
        <v>4860</v>
      </c>
      <c r="D401" s="330" t="inlineStr">
        <is>
          <t xml:space="preserve">REF</t>
        </is>
      </c>
      <c r="E401" s="335" t="inlineStr">
        <is>
          <t>N</t>
        </is>
      </c>
      <c r="F401" s="330" t="inlineStr">
        <is>
          <t xml:space="preserve">수집 대상</t>
        </is>
      </c>
      <c r="G401" s="256" t="s">
        <v>127</v>
      </c>
    </row>
    <row r="402" spans="1:15">
      <c r="A402" s="256" t="s">
        <v>285</v>
      </c>
      <c r="B402" s="256" t="s">
        <v>287</v>
      </c>
      <c r="C402" s="256" t="s">
        <v>1116</v>
      </c>
      <c r="D402" s="330" t="inlineStr">
        <is>
          <t xml:space="preserve">WM</t>
        </is>
      </c>
      <c r="E402" s="335" t="inlineStr">
        <is>
          <t>N</t>
        </is>
      </c>
      <c r="F402" s="330" t="inlineStr">
        <is>
          <t xml:space="preserve">수집 대상</t>
        </is>
      </c>
      <c r="G402" s="256" t="s">
        <v>127</v>
      </c>
      <c r="H402" s="256" t="s">
        <v>127</v>
      </c>
    </row>
    <row r="403" spans="1:15">
      <c r="A403" s="256" t="s">
        <v>285</v>
      </c>
      <c r="B403" s="256" t="s">
        <v>287</v>
      </c>
      <c r="C403" s="256" t="s">
        <v>1117</v>
      </c>
      <c r="D403" s="330" t="inlineStr">
        <is>
          <t xml:space="preserve">TV</t>
        </is>
      </c>
      <c r="E403" s="330" t="inlineStr">
        <is>
          <t>Y</t>
        </is>
      </c>
      <c r="F403" s="330" t="inlineStr">
        <is>
          <t xml:space="preserve">대상 제품군이 아님: TV</t>
        </is>
      </c>
      <c r="G403" s="256" t="s">
        <v>127</v>
      </c>
    </row>
    <row r="404" spans="1:15">
      <c r="A404" s="256" t="s">
        <v>285</v>
      </c>
      <c r="B404" s="256" t="s">
        <v>287</v>
      </c>
      <c r="C404" s="256" t="s">
        <v>1118</v>
      </c>
      <c r="D404" s="330" t="inlineStr">
        <is>
          <t xml:space="preserve">TV</t>
        </is>
      </c>
      <c r="E404" s="330" t="inlineStr">
        <is>
          <t>Y</t>
        </is>
      </c>
      <c r="F404" s="330" t="inlineStr">
        <is>
          <t xml:space="preserve">대상 제품군이 아님: TV</t>
        </is>
      </c>
      <c r="G404" s="256" t="s">
        <v>127</v>
      </c>
    </row>
    <row r="405" spans="1:15">
      <c r="A405" s="256" t="s">
        <v>285</v>
      </c>
      <c r="B405" s="256" t="s">
        <v>287</v>
      </c>
      <c r="C405" s="256" t="s">
        <v>1119</v>
      </c>
      <c r="D405" s="330" t="inlineStr">
        <is>
          <t xml:space="preserve">TV</t>
        </is>
      </c>
      <c r="E405" s="330" t="inlineStr">
        <is>
          <t>Y</t>
        </is>
      </c>
      <c r="F405" s="330" t="inlineStr">
        <is>
          <t xml:space="preserve">대상 제품군이 아님: TV</t>
        </is>
      </c>
      <c r="G405" s="256" t="s">
        <v>127</v>
      </c>
    </row>
    <row r="406" spans="1:15">
      <c r="A406" s="256" t="s">
        <v>285</v>
      </c>
      <c r="B406" s="256" t="s">
        <v>287</v>
      </c>
      <c r="C406" s="256" t="s">
        <v>1120</v>
      </c>
      <c r="D406" s="330" t="inlineStr">
        <is>
          <t xml:space="preserve">MNT</t>
        </is>
      </c>
      <c r="E406" s="330" t="inlineStr">
        <is>
          <t>Y</t>
        </is>
      </c>
      <c r="F406" s="330" t="inlineStr">
        <is>
          <t xml:space="preserve">대상 제품군이 아님: 모니터</t>
        </is>
      </c>
      <c r="G406" s="256" t="s">
        <v>127</v>
      </c>
    </row>
    <row r="407" spans="1:15">
      <c r="A407" s="256" t="s">
        <v>285</v>
      </c>
      <c r="B407" s="256" t="s">
        <v>287</v>
      </c>
      <c r="C407" s="256" t="s">
        <v>1121</v>
      </c>
      <c r="D407" s="330" t="inlineStr">
        <is>
          <t xml:space="preserve">BT_SPEAKER</t>
        </is>
      </c>
      <c r="E407" s="330" t="inlineStr">
        <is>
          <t>Y</t>
        </is>
      </c>
      <c r="F407" s="330" t="inlineStr">
        <is>
          <t xml:space="preserve">대상 제품군이 아님: 블루투스 스피커</t>
        </is>
      </c>
      <c r="G407" s="256" t="s">
        <v>127</v>
      </c>
    </row>
    <row r="408" spans="1:15">
      <c r="A408" s="256" t="s">
        <v>285</v>
      </c>
      <c r="B408" s="256" t="s">
        <v>287</v>
      </c>
      <c r="C408" s="256" t="s">
        <v>1122</v>
      </c>
      <c r="D408" s="330" t="inlineStr">
        <is>
          <t xml:space="preserve">SOUNDBAR</t>
        </is>
      </c>
      <c r="E408" s="330" t="inlineStr">
        <is>
          <t>Y</t>
        </is>
      </c>
      <c r="F408" s="330" t="inlineStr">
        <is>
          <t xml:space="preserve">대상 제품군이 아님: 사운드바</t>
        </is>
      </c>
      <c r="G408" s="256" t="s">
        <v>127</v>
      </c>
    </row>
    <row r="409" spans="1:15">
      <c r="A409" s="256" t="s">
        <v>285</v>
      </c>
      <c r="B409" s="256" t="s">
        <v>287</v>
      </c>
      <c r="C409" s="256" t="s">
        <v>1123</v>
      </c>
      <c r="D409" s="330" t="inlineStr">
        <is>
          <t xml:space="preserve">HEADSET</t>
        </is>
      </c>
      <c r="E409" s="330" t="inlineStr">
        <is>
          <t>Y</t>
        </is>
      </c>
      <c r="F409" s="330" t="inlineStr">
        <is>
          <t xml:space="preserve">대상 제품군이 아님: 이어폰·헤드셋</t>
        </is>
      </c>
      <c r="G409" s="256" t="s">
        <v>127</v>
      </c>
    </row>
    <row r="410" spans="1:15">
      <c r="A410" s="256" t="s">
        <v>285</v>
      </c>
      <c r="B410" s="256" t="s">
        <v>287</v>
      </c>
      <c r="C410" s="256" t="s">
        <v>1124</v>
      </c>
      <c r="D410" s="330" t="inlineStr">
        <is>
          <t xml:space="preserve">DW</t>
        </is>
      </c>
      <c r="E410" s="335" t="inlineStr">
        <is>
          <t>N</t>
        </is>
      </c>
      <c r="F410" s="330" t="inlineStr">
        <is>
          <t xml:space="preserve">수집 대상</t>
        </is>
      </c>
      <c r="G410" s="256" t="s">
        <v>127</v>
      </c>
      <c r="H410" s="256" t="s">
        <v>127</v>
      </c>
    </row>
    <row r="411" spans="1:15">
      <c r="A411" s="256" t="s">
        <v>285</v>
      </c>
      <c r="B411" s="256" t="s">
        <v>287</v>
      </c>
      <c r="C411" s="256" t="s">
        <v>1125</v>
      </c>
      <c r="D411" s="330" t="inlineStr">
        <is>
          <t xml:space="preserve">OVEN</t>
        </is>
      </c>
      <c r="E411" s="330" t="inlineStr">
        <is>
          <t>Y</t>
        </is>
      </c>
      <c r="F411" s="330" t="inlineStr">
        <is>
          <t xml:space="preserve">대상 제품군이 아님: 오븐·조리기기</t>
        </is>
      </c>
      <c r="G411" s="256" t="s">
        <v>127</v>
      </c>
    </row>
    <row r="412" spans="1:15">
      <c r="A412" s="256" t="s">
        <v>285</v>
      </c>
      <c r="B412" s="256" t="s">
        <v>287</v>
      </c>
      <c r="C412" s="256" t="s">
        <v>1126</v>
      </c>
      <c r="D412" s="330" t="inlineStr">
        <is>
          <t xml:space="preserve">RAC</t>
        </is>
      </c>
      <c r="E412" s="330" t="inlineStr">
        <is>
          <t>Y</t>
        </is>
      </c>
      <c r="F412" s="330" t="inlineStr">
        <is>
          <t xml:space="preserve">대상 제품군이 아님: 에어컨</t>
        </is>
      </c>
      <c r="G412" s="256" t="s">
        <v>127</v>
      </c>
    </row>
    <row r="413" spans="1:15">
      <c r="A413" s="256" t="s">
        <v>285</v>
      </c>
      <c r="B413" s="256" t="s">
        <v>287</v>
      </c>
      <c r="C413" s="256" t="s">
        <v>1127</v>
      </c>
      <c r="D413" s="330" t="inlineStr">
        <is>
          <t xml:space="preserve">RAC</t>
        </is>
      </c>
      <c r="E413" s="330" t="inlineStr">
        <is>
          <t>Y</t>
        </is>
      </c>
      <c r="F413" s="330" t="inlineStr">
        <is>
          <t xml:space="preserve">대상 제품군이 아님: 에어컨</t>
        </is>
      </c>
      <c r="G413" s="256" t="s">
        <v>127</v>
      </c>
    </row>
    <row r="414" spans="1:15">
      <c r="A414" s="256" t="s">
        <v>285</v>
      </c>
      <c r="B414" s="256" t="s">
        <v>287</v>
      </c>
      <c r="C414" s="256" t="s">
        <v>1128</v>
      </c>
      <c r="D414" s="330" t="inlineStr">
        <is>
          <t xml:space="preserve">RAC</t>
        </is>
      </c>
      <c r="E414" s="330" t="inlineStr">
        <is>
          <t>Y</t>
        </is>
      </c>
      <c r="F414" s="330" t="inlineStr">
        <is>
          <t xml:space="preserve">대상 제품군이 아님: 에어컨</t>
        </is>
      </c>
      <c r="G414" s="256" t="s">
        <v>127</v>
      </c>
    </row>
    <row r="415" spans="1:15">
      <c r="A415" s="256" t="s">
        <v>285</v>
      </c>
      <c r="B415" s="256" t="s">
        <v>287</v>
      </c>
      <c r="C415" s="256" t="s">
        <v>1129</v>
      </c>
      <c r="D415" s="330" t="inlineStr">
        <is>
          <t xml:space="preserve">RAC</t>
        </is>
      </c>
      <c r="E415" s="330" t="inlineStr">
        <is>
          <t>Y</t>
        </is>
      </c>
      <c r="F415" s="330" t="inlineStr">
        <is>
          <t xml:space="preserve">대상 제품군이 아님: 에어컨</t>
        </is>
      </c>
      <c r="G415" s="256" t="s">
        <v>127</v>
      </c>
    </row>
    <row r="416" spans="1:15">
      <c r="A416" s="256" t="s">
        <v>285</v>
      </c>
      <c r="B416" s="256" t="s">
        <v>287</v>
      </c>
      <c r="C416" s="256" t="s">
        <v>1130</v>
      </c>
      <c r="D416" s="330" t="inlineStr">
        <is>
          <t xml:space="preserve">DRYER</t>
        </is>
      </c>
      <c r="E416" s="335" t="inlineStr">
        <is>
          <t>N</t>
        </is>
      </c>
      <c r="F416" s="330" t="inlineStr">
        <is>
          <t xml:space="preserve">수집 대상</t>
        </is>
      </c>
      <c r="G416" s="256" t="s">
        <v>127</v>
      </c>
    </row>
    <row r="417" spans="1:15">
      <c r="A417" s="256" t="s">
        <v>285</v>
      </c>
      <c r="B417" s="256" t="s">
        <v>287</v>
      </c>
      <c r="C417" s="256" t="s">
        <v>1131</v>
      </c>
      <c r="D417" s="330" t="inlineStr">
        <is>
          <t xml:space="preserve">DRYER</t>
        </is>
      </c>
      <c r="E417" s="335" t="inlineStr">
        <is>
          <t>N</t>
        </is>
      </c>
      <c r="F417" s="330" t="inlineStr">
        <is>
          <t xml:space="preserve">수집 대상</t>
        </is>
      </c>
      <c r="G417" s="256" t="s">
        <v>127</v>
      </c>
    </row>
    <row r="418" spans="1:15">
      <c r="A418" s="256" t="s">
        <v>285</v>
      </c>
      <c r="B418" s="256" t="s">
        <v>287</v>
      </c>
      <c r="C418" s="256" t="s">
        <v>1132</v>
      </c>
      <c r="D418" s="330" t="inlineStr">
        <is>
          <t xml:space="preserve">DRYER</t>
        </is>
      </c>
      <c r="E418" s="335" t="inlineStr">
        <is>
          <t>N</t>
        </is>
      </c>
      <c r="F418" s="330" t="inlineStr">
        <is>
          <t xml:space="preserve">수집 대상</t>
        </is>
      </c>
      <c r="G418" s="256" t="s">
        <v>127</v>
      </c>
    </row>
    <row r="419" spans="1:15">
      <c r="A419" s="256" t="s">
        <v>285</v>
      </c>
      <c r="B419" s="256" t="s">
        <v>287</v>
      </c>
      <c r="C419" s="256" t="s">
        <v>1133</v>
      </c>
      <c r="D419" s="330" t="inlineStr">
        <is>
          <t xml:space="preserve">DRYER</t>
        </is>
      </c>
      <c r="E419" s="335" t="inlineStr">
        <is>
          <t>N</t>
        </is>
      </c>
      <c r="F419" s="330" t="inlineStr">
        <is>
          <t xml:space="preserve">수집 대상</t>
        </is>
      </c>
      <c r="G419" s="256" t="s">
        <v>127</v>
      </c>
    </row>
    <row r="420" spans="1:15">
      <c r="A420" s="256" t="s">
        <v>285</v>
      </c>
      <c r="B420" s="256" t="s">
        <v>287</v>
      </c>
      <c r="C420" s="256" t="s">
        <v>1134</v>
      </c>
      <c r="D420" s="330" t="inlineStr">
        <is>
          <t xml:space="preserve">WM</t>
        </is>
      </c>
      <c r="E420" s="335" t="inlineStr">
        <is>
          <t>N</t>
        </is>
      </c>
      <c r="F420" s="330" t="inlineStr">
        <is>
          <t xml:space="preserve">수집 대상</t>
        </is>
      </c>
      <c r="G420" s="256" t="s">
        <v>127</v>
      </c>
    </row>
    <row r="421" spans="1:15">
      <c r="A421" s="256" t="s">
        <v>292</v>
      </c>
      <c r="B421" s="256" t="s">
        <v>293</v>
      </c>
      <c r="C421" s="256" t="s">
        <v>1135</v>
      </c>
      <c r="D421" s="330" t="inlineStr">
        <is>
          <t xml:space="preserve">WM</t>
        </is>
      </c>
      <c r="E421" s="335" t="inlineStr">
        <is>
          <t>N</t>
        </is>
      </c>
      <c r="F421" s="330" t="inlineStr">
        <is>
          <t xml:space="preserve">수집 대상</t>
        </is>
      </c>
      <c r="G421" s="256" t="s">
        <v>127</v>
      </c>
      <c r="H421" s="256" t="s">
        <v>127</v>
      </c>
    </row>
    <row r="422" spans="1:15">
      <c r="A422" s="256" t="s">
        <v>292</v>
      </c>
      <c r="B422" s="256" t="s">
        <v>293</v>
      </c>
      <c r="C422" s="256" t="s">
        <v>1136</v>
      </c>
      <c r="D422" s="330" t="inlineStr">
        <is>
          <t xml:space="preserve">DRYER</t>
        </is>
      </c>
      <c r="E422" s="335" t="inlineStr">
        <is>
          <t>N</t>
        </is>
      </c>
      <c r="F422" s="330" t="inlineStr">
        <is>
          <t xml:space="preserve">수집 대상</t>
        </is>
      </c>
      <c r="G422" s="256" t="s">
        <v>127</v>
      </c>
    </row>
    <row r="423" spans="1:15">
      <c r="A423" s="256" t="s">
        <v>292</v>
      </c>
      <c r="B423" s="256" t="s">
        <v>293</v>
      </c>
      <c r="C423" s="256" t="s">
        <v>1137</v>
      </c>
      <c r="D423" s="330" t="inlineStr">
        <is>
          <t xml:space="preserve">TV</t>
        </is>
      </c>
      <c r="E423" s="330" t="inlineStr">
        <is>
          <t>Y</t>
        </is>
      </c>
      <c r="F423" s="330" t="inlineStr">
        <is>
          <t xml:space="preserve">대상 제품군이 아님: TV</t>
        </is>
      </c>
      <c r="G423" s="256" t="s">
        <v>127</v>
      </c>
    </row>
    <row r="424" spans="1:15">
      <c r="A424" s="256" t="s">
        <v>292</v>
      </c>
      <c r="B424" s="256" t="s">
        <v>293</v>
      </c>
      <c r="C424" s="256" t="s">
        <v>1138</v>
      </c>
      <c r="D424" s="330" t="inlineStr">
        <is>
          <t xml:space="preserve">SOUNDBAR</t>
        </is>
      </c>
      <c r="E424" s="330" t="inlineStr">
        <is>
          <t>Y</t>
        </is>
      </c>
      <c r="F424" s="330" t="inlineStr">
        <is>
          <t xml:space="preserve">대상 제품군이 아님: 사운드바</t>
        </is>
      </c>
      <c r="G424" s="256" t="s">
        <v>127</v>
      </c>
    </row>
    <row r="425" spans="1:15">
      <c r="A425" s="256" t="s">
        <v>292</v>
      </c>
      <c r="B425" s="256" t="s">
        <v>293</v>
      </c>
      <c r="C425" s="256" t="s">
        <v>1139</v>
      </c>
      <c r="D425" s="330" t="inlineStr">
        <is>
          <t xml:space="preserve">BT_SPEAKER</t>
        </is>
      </c>
      <c r="E425" s="330" t="inlineStr">
        <is>
          <t>Y</t>
        </is>
      </c>
      <c r="F425" s="330" t="inlineStr">
        <is>
          <t xml:space="preserve">대상 제품군이 아님: 블루투스 스피커</t>
        </is>
      </c>
      <c r="G425" s="256" t="s">
        <v>127</v>
      </c>
    </row>
    <row r="426" spans="1:15">
      <c r="A426" s="256" t="s">
        <v>292</v>
      </c>
      <c r="B426" s="256" t="s">
        <v>293</v>
      </c>
      <c r="C426" s="256" t="s">
        <v>1140</v>
      </c>
      <c r="D426" s="330" t="inlineStr">
        <is>
          <t xml:space="preserve">MNT</t>
        </is>
      </c>
      <c r="E426" s="330" t="inlineStr">
        <is>
          <t>Y</t>
        </is>
      </c>
      <c r="F426" s="330" t="inlineStr">
        <is>
          <t xml:space="preserve">대상 제품군이 아님: 모니터</t>
        </is>
      </c>
      <c r="G426" s="256" t="s">
        <v>127</v>
      </c>
    </row>
    <row r="427" spans="1:15">
      <c r="A427" s="256" t="s">
        <v>292</v>
      </c>
      <c r="B427" s="256" t="s">
        <v>293</v>
      </c>
      <c r="C427" s="256" t="s">
        <v>1141</v>
      </c>
      <c r="D427" s="330" t="inlineStr">
        <is>
          <t xml:space="preserve">REF</t>
        </is>
      </c>
      <c r="E427" s="335" t="inlineStr">
        <is>
          <t>N</t>
        </is>
      </c>
      <c r="F427" s="330" t="inlineStr">
        <is>
          <t xml:space="preserve">수집 대상</t>
        </is>
      </c>
      <c r="G427" s="256" t="s">
        <v>127</v>
      </c>
    </row>
    <row r="428" spans="1:15">
      <c r="A428" s="256" t="s">
        <v>292</v>
      </c>
      <c r="B428" s="256" t="s">
        <v>293</v>
      </c>
      <c r="C428" s="256" t="s">
        <v>1142</v>
      </c>
      <c r="D428" s="330" t="inlineStr">
        <is>
          <t xml:space="preserve">DW</t>
        </is>
      </c>
      <c r="E428" s="330" t="inlineStr">
        <is>
          <t>Y</t>
        </is>
      </c>
      <c r="F428" s="330" t="inlineStr">
        <is>
          <t xml:space="preserve">식기세척기는 스페인 ECI·MediaMarkt만 대상</t>
        </is>
      </c>
      <c r="G428" s="256" t="s">
        <v>127</v>
      </c>
    </row>
    <row r="429" spans="1:15">
      <c r="A429" s="256" t="s">
        <v>292</v>
      </c>
      <c r="B429" s="256" t="s">
        <v>293</v>
      </c>
      <c r="C429" s="256" t="s">
        <v>1143</v>
      </c>
      <c r="D429" s="330" t="inlineStr">
        <is>
          <t xml:space="preserve">RAC</t>
        </is>
      </c>
      <c r="E429" s="330" t="inlineStr">
        <is>
          <t>Y</t>
        </is>
      </c>
      <c r="F429" s="330" t="inlineStr">
        <is>
          <t xml:space="preserve">대상 제품군이 아님: 에어컨</t>
        </is>
      </c>
      <c r="G429" s="256" t="s">
        <v>127</v>
      </c>
    </row>
    <row r="430" spans="1:15">
      <c r="A430" s="256" t="s">
        <v>339</v>
      </c>
      <c r="B430" s="256" t="s">
        <v>602</v>
      </c>
      <c r="C430" s="256" t="s">
        <v>1144</v>
      </c>
      <c r="D430" s="330" t="inlineStr">
        <is>
          <t xml:space="preserve">MNT</t>
        </is>
      </c>
      <c r="E430" s="330" t="inlineStr">
        <is>
          <t>Y</t>
        </is>
      </c>
      <c r="F430" s="330" t="inlineStr">
        <is>
          <t xml:space="preserve">대상 제품군이 아님: 모니터</t>
        </is>
      </c>
      <c r="G430" s="256" t="s">
        <v>127</v>
      </c>
    </row>
    <row r="431" spans="1:15">
      <c r="A431" s="256" t="s">
        <v>339</v>
      </c>
      <c r="B431" s="256" t="s">
        <v>602</v>
      </c>
      <c r="C431" s="256" t="s">
        <v>1145</v>
      </c>
      <c r="D431" s="330" t="inlineStr">
        <is>
          <t xml:space="preserve">HEADSET</t>
        </is>
      </c>
      <c r="E431" s="330" t="inlineStr">
        <is>
          <t>Y</t>
        </is>
      </c>
      <c r="F431" s="330" t="inlineStr">
        <is>
          <t xml:space="preserve">대상 제품군이 아님: 이어폰·헤드셋</t>
        </is>
      </c>
      <c r="G431" s="256" t="s">
        <v>127</v>
      </c>
    </row>
    <row r="432" spans="1:15">
      <c r="A432" s="256" t="s">
        <v>339</v>
      </c>
      <c r="B432" s="256" t="s">
        <v>602</v>
      </c>
      <c r="C432" s="256" t="s">
        <v>1146</v>
      </c>
      <c r="D432" s="330" t="inlineStr">
        <is>
          <t xml:space="preserve">BT_SPEAKER</t>
        </is>
      </c>
      <c r="E432" s="330" t="inlineStr">
        <is>
          <t>Y</t>
        </is>
      </c>
      <c r="F432" s="330" t="inlineStr">
        <is>
          <t xml:space="preserve">대상 제품군이 아님: 블루투스 스피커</t>
        </is>
      </c>
      <c r="G432" s="256" t="s">
        <v>127</v>
      </c>
    </row>
    <row r="433" spans="1:15">
      <c r="A433" s="256" t="s">
        <v>339</v>
      </c>
      <c r="B433" s="256" t="s">
        <v>602</v>
      </c>
      <c r="C433" s="256" t="s">
        <v>1147</v>
      </c>
      <c r="D433" s="330" t="inlineStr">
        <is>
          <t xml:space="preserve">AUDIO</t>
        </is>
      </c>
      <c r="E433" s="330" t="inlineStr">
        <is>
          <t>Y</t>
        </is>
      </c>
      <c r="F433" s="330" t="inlineStr">
        <is>
          <t xml:space="preserve">대상 제품군이 아님: 음향기기</t>
        </is>
      </c>
      <c r="G433" s="256" t="s">
        <v>127</v>
      </c>
    </row>
    <row r="434" spans="1:15">
      <c r="A434" s="256" t="s">
        <v>339</v>
      </c>
      <c r="B434" s="256" t="s">
        <v>602</v>
      </c>
      <c r="C434" s="256" t="s">
        <v>1148</v>
      </c>
      <c r="D434" s="330" t="inlineStr">
        <is>
          <t xml:space="preserve">TV</t>
        </is>
      </c>
      <c r="E434" s="330" t="inlineStr">
        <is>
          <t>Y</t>
        </is>
      </c>
      <c r="F434" s="330" t="inlineStr">
        <is>
          <t xml:space="preserve">대상 제품군이 아님: TV</t>
        </is>
      </c>
      <c r="G434" s="256" t="s">
        <v>127</v>
      </c>
    </row>
    <row r="435" spans="1:15">
      <c r="A435" s="256" t="s">
        <v>339</v>
      </c>
      <c r="B435" s="256" t="s">
        <v>602</v>
      </c>
      <c r="C435" s="256" t="s">
        <v>1149</v>
      </c>
      <c r="D435" s="330" t="inlineStr">
        <is>
          <t xml:space="preserve">WM</t>
        </is>
      </c>
      <c r="E435" s="335" t="inlineStr">
        <is>
          <t>N</t>
        </is>
      </c>
      <c r="F435" s="330" t="inlineStr">
        <is>
          <t xml:space="preserve">수집 대상</t>
        </is>
      </c>
      <c r="G435" s="256" t="s">
        <v>127</v>
      </c>
    </row>
    <row r="436" spans="1:15">
      <c r="A436" s="256" t="s">
        <v>339</v>
      </c>
      <c r="B436" s="256" t="s">
        <v>602</v>
      </c>
      <c r="C436" s="256" t="s">
        <v>1150</v>
      </c>
      <c r="D436" s="330" t="inlineStr">
        <is>
          <t xml:space="preserve">REF</t>
        </is>
      </c>
      <c r="E436" s="335" t="inlineStr">
        <is>
          <t>N</t>
        </is>
      </c>
      <c r="F436" s="330" t="inlineStr">
        <is>
          <t xml:space="preserve">수집 대상</t>
        </is>
      </c>
      <c r="G436" s="256" t="s">
        <v>127</v>
      </c>
    </row>
    <row r="437" spans="1:15">
      <c r="A437" s="256" t="s">
        <v>339</v>
      </c>
      <c r="B437" s="256" t="s">
        <v>602</v>
      </c>
      <c r="C437" s="256" t="s">
        <v>1151</v>
      </c>
      <c r="D437" s="330" t="inlineStr">
        <is>
          <t xml:space="preserve">RAC</t>
        </is>
      </c>
      <c r="E437" s="330" t="inlineStr">
        <is>
          <t>Y</t>
        </is>
      </c>
      <c r="F437" s="330" t="inlineStr">
        <is>
          <t xml:space="preserve">대상 제품군이 아님: 에어컨</t>
        </is>
      </c>
      <c r="G437" s="256" t="s">
        <v>127</v>
      </c>
    </row>
    <row r="438" spans="1:15">
      <c r="A438" s="256" t="s">
        <v>339</v>
      </c>
      <c r="B438" s="256" t="s">
        <v>602</v>
      </c>
      <c r="C438" s="256" t="s">
        <v>1152</v>
      </c>
      <c r="D438" s="330" t="inlineStr">
        <is>
          <t xml:space="preserve">DW</t>
        </is>
      </c>
      <c r="E438" s="330" t="inlineStr">
        <is>
          <t>Y</t>
        </is>
      </c>
      <c r="F438" s="330" t="inlineStr">
        <is>
          <t xml:space="preserve">식기세척기는 스페인 ECI·MediaMarkt만 대상</t>
        </is>
      </c>
      <c r="G438" s="256" t="s">
        <v>127</v>
      </c>
    </row>
    <row r="439" spans="1:15">
      <c r="A439" s="256" t="s">
        <v>339</v>
      </c>
      <c r="B439" s="256" t="s">
        <v>602</v>
      </c>
      <c r="C439" s="256" t="s">
        <v>1153</v>
      </c>
      <c r="D439" s="330" t="inlineStr">
        <is>
          <t xml:space="preserve">DRYER</t>
        </is>
      </c>
      <c r="E439" s="335" t="inlineStr">
        <is>
          <t>N</t>
        </is>
      </c>
      <c r="F439" s="330" t="inlineStr">
        <is>
          <t xml:space="preserve">수집 대상</t>
        </is>
      </c>
      <c r="G439" s="256" t="s">
        <v>127</v>
      </c>
    </row>
    <row r="440" spans="1:15">
      <c r="A440" s="256" t="s">
        <v>326</v>
      </c>
      <c r="B440" s="256" t="s">
        <v>327</v>
      </c>
      <c r="C440" s="256" t="s">
        <v>1154</v>
      </c>
      <c r="D440" s="330" t="inlineStr">
        <is>
          <t xml:space="preserve">REF</t>
        </is>
      </c>
      <c r="E440" s="335" t="inlineStr">
        <is>
          <t>N</t>
        </is>
      </c>
      <c r="F440" s="330" t="inlineStr">
        <is>
          <t xml:space="preserve">수집 대상</t>
        </is>
      </c>
      <c r="G440" s="256" t="s">
        <v>127</v>
      </c>
    </row>
    <row r="441" spans="1:15">
      <c r="A441" s="256" t="s">
        <v>326</v>
      </c>
      <c r="B441" s="256" t="s">
        <v>327</v>
      </c>
      <c r="C441" s="256" t="s">
        <v>1155</v>
      </c>
      <c r="D441" s="330" t="inlineStr">
        <is>
          <t xml:space="preserve">WM</t>
        </is>
      </c>
      <c r="E441" s="335" t="inlineStr">
        <is>
          <t>N</t>
        </is>
      </c>
      <c r="F441" s="330" t="inlineStr">
        <is>
          <t xml:space="preserve">수집 대상</t>
        </is>
      </c>
      <c r="G441" s="256" t="s">
        <v>127</v>
      </c>
    </row>
    <row r="442" spans="1:15">
      <c r="A442" s="256" t="s">
        <v>326</v>
      </c>
      <c r="B442" s="256" t="s">
        <v>327</v>
      </c>
      <c r="C442" s="256" t="s">
        <v>1156</v>
      </c>
      <c r="D442" s="330" t="inlineStr">
        <is>
          <t xml:space="preserve">TV</t>
        </is>
      </c>
      <c r="E442" s="330" t="inlineStr">
        <is>
          <t>Y</t>
        </is>
      </c>
      <c r="F442" s="330" t="inlineStr">
        <is>
          <t xml:space="preserve">대상 제품군이 아님: TV</t>
        </is>
      </c>
      <c r="G442" s="256" t="s">
        <v>127</v>
      </c>
    </row>
    <row r="443" spans="1:15">
      <c r="A443" s="256" t="s">
        <v>326</v>
      </c>
      <c r="B443" s="256" t="s">
        <v>327</v>
      </c>
      <c r="C443" s="256" t="s">
        <v>1157</v>
      </c>
      <c r="D443" s="330" t="inlineStr">
        <is>
          <t xml:space="preserve">BT_SPEAKER</t>
        </is>
      </c>
      <c r="E443" s="330" t="inlineStr">
        <is>
          <t>Y</t>
        </is>
      </c>
      <c r="F443" s="330" t="inlineStr">
        <is>
          <t xml:space="preserve">대상 제품군이 아님: 블루투스 스피커</t>
        </is>
      </c>
      <c r="G443" s="256" t="s">
        <v>127</v>
      </c>
    </row>
    <row r="444" spans="1:15">
      <c r="A444" s="256" t="s">
        <v>326</v>
      </c>
      <c r="B444" s="256" t="s">
        <v>327</v>
      </c>
      <c r="C444" s="256" t="s">
        <v>1158</v>
      </c>
      <c r="D444" s="330" t="inlineStr">
        <is>
          <t xml:space="preserve">SOUNDBAR</t>
        </is>
      </c>
      <c r="E444" s="330" t="inlineStr">
        <is>
          <t>Y</t>
        </is>
      </c>
      <c r="F444" s="330" t="inlineStr">
        <is>
          <t xml:space="preserve">대상 제품군이 아님: 사운드바</t>
        </is>
      </c>
      <c r="G444" s="256" t="s">
        <v>127</v>
      </c>
    </row>
    <row r="445" spans="1:15">
      <c r="A445" s="256" t="s">
        <v>326</v>
      </c>
      <c r="B445" s="256" t="s">
        <v>327</v>
      </c>
      <c r="C445" s="256" t="s">
        <v>1159</v>
      </c>
      <c r="D445" s="330" t="inlineStr">
        <is>
          <t xml:space="preserve">HEADSET</t>
        </is>
      </c>
      <c r="E445" s="330" t="inlineStr">
        <is>
          <t>Y</t>
        </is>
      </c>
      <c r="F445" s="330" t="inlineStr">
        <is>
          <t xml:space="preserve">대상 제품군이 아님: 이어폰·헤드셋</t>
        </is>
      </c>
      <c r="G445" s="256" t="s">
        <v>127</v>
      </c>
    </row>
    <row r="446" spans="1:15">
      <c r="A446" s="256" t="s">
        <v>326</v>
      </c>
      <c r="B446" s="256" t="s">
        <v>327</v>
      </c>
      <c r="C446" s="256" t="s">
        <v>1160</v>
      </c>
      <c r="D446" s="330" t="inlineStr">
        <is>
          <t xml:space="preserve">MNT</t>
        </is>
      </c>
      <c r="E446" s="330" t="inlineStr">
        <is>
          <t>Y</t>
        </is>
      </c>
      <c r="F446" s="330" t="inlineStr">
        <is>
          <t xml:space="preserve">대상 제품군이 아님: 모니터</t>
        </is>
      </c>
      <c r="G446" s="256" t="s">
        <v>127</v>
      </c>
    </row>
    <row r="447" spans="1:15">
      <c r="A447" s="256" t="s">
        <v>326</v>
      </c>
      <c r="B447" s="256" t="s">
        <v>327</v>
      </c>
      <c r="C447" s="256" t="s">
        <v>1161</v>
      </c>
      <c r="D447" s="330" t="inlineStr">
        <is>
          <t xml:space="preserve">RAC</t>
        </is>
      </c>
      <c r="E447" s="330" t="inlineStr">
        <is>
          <t>Y</t>
        </is>
      </c>
      <c r="F447" s="330" t="inlineStr">
        <is>
          <t xml:space="preserve">대상 제품군이 아님: 에어컨</t>
        </is>
      </c>
      <c r="G447" s="256" t="s">
        <v>127</v>
      </c>
    </row>
    <row r="448" spans="1:15">
      <c r="A448" s="256" t="s">
        <v>326</v>
      </c>
      <c r="B448" s="256" t="s">
        <v>327</v>
      </c>
      <c r="C448" s="256" t="s">
        <v>1162</v>
      </c>
      <c r="D448" s="330" t="inlineStr">
        <is>
          <t xml:space="preserve">RAC</t>
        </is>
      </c>
      <c r="E448" s="330" t="inlineStr">
        <is>
          <t>Y</t>
        </is>
      </c>
      <c r="F448" s="330" t="inlineStr">
        <is>
          <t xml:space="preserve">대상 제품군이 아님: 에어컨</t>
        </is>
      </c>
      <c r="G448" s="256" t="s">
        <v>127</v>
      </c>
    </row>
    <row r="449" spans="1:15">
      <c r="A449" s="256" t="s">
        <v>326</v>
      </c>
      <c r="B449" s="256" t="s">
        <v>327</v>
      </c>
      <c r="C449" s="256" t="s">
        <v>1163</v>
      </c>
      <c r="D449" s="330" t="inlineStr">
        <is>
          <t xml:space="preserve">DRYER</t>
        </is>
      </c>
      <c r="E449" s="335" t="inlineStr">
        <is>
          <t>N</t>
        </is>
      </c>
      <c r="F449" s="330" t="inlineStr">
        <is>
          <t xml:space="preserve">수집 대상</t>
        </is>
      </c>
      <c r="G449" s="256" t="s">
        <v>127</v>
      </c>
    </row>
    <row r="450" spans="1:15">
      <c r="A450" s="256" t="s">
        <v>311</v>
      </c>
      <c r="B450" s="256" t="s">
        <v>1164</v>
      </c>
      <c r="C450" s="256" t="s">
        <v>1165</v>
      </c>
      <c r="D450" s="330" t="inlineStr">
        <is>
          <t xml:space="preserve">WM</t>
        </is>
      </c>
      <c r="E450" s="330" t="inlineStr">
        <is>
          <t>Y</t>
        </is>
      </c>
      <c r="F450" s="330" t="inlineStr">
        <is>
          <t xml:space="preserve">진단 대상 35개 국가·리테일러에 해당하지 않음</t>
        </is>
      </c>
    </row>
    <row r="451" spans="1:15">
      <c r="A451" s="256" t="s">
        <v>311</v>
      </c>
      <c r="B451" s="256" t="s">
        <v>1164</v>
      </c>
      <c r="C451" s="256" t="s">
        <v>1166</v>
      </c>
      <c r="D451" s="330" t="inlineStr">
        <is>
          <t xml:space="preserve">WM</t>
        </is>
      </c>
      <c r="E451" s="330" t="inlineStr">
        <is>
          <t>Y</t>
        </is>
      </c>
      <c r="F451" s="330" t="inlineStr">
        <is>
          <t xml:space="preserve">진단 대상 35개 국가·리테일러에 해당하지 않음</t>
        </is>
      </c>
    </row>
    <row r="452" spans="1:15">
      <c r="A452" s="256" t="s">
        <v>311</v>
      </c>
      <c r="B452" s="256" t="s">
        <v>1164</v>
      </c>
      <c r="C452" s="256" t="s">
        <v>1167</v>
      </c>
      <c r="D452" s="330" t="inlineStr">
        <is>
          <t xml:space="preserve">TV</t>
        </is>
      </c>
      <c r="E452" s="330" t="inlineStr">
        <is>
          <t>Y</t>
        </is>
      </c>
      <c r="F452" s="330" t="inlineStr">
        <is>
          <t xml:space="preserve">진단 대상 35개 국가·리테일러에 해당하지 않음</t>
        </is>
      </c>
    </row>
    <row r="453" spans="1:15">
      <c r="A453" s="256" t="s">
        <v>311</v>
      </c>
      <c r="B453" s="256" t="s">
        <v>1164</v>
      </c>
      <c r="C453" s="256" t="s">
        <v>1168</v>
      </c>
      <c r="D453" s="330" t="inlineStr">
        <is>
          <t xml:space="preserve">MNT</t>
        </is>
      </c>
      <c r="E453" s="330" t="inlineStr">
        <is>
          <t>Y</t>
        </is>
      </c>
      <c r="F453" s="330" t="inlineStr">
        <is>
          <t xml:space="preserve">진단 대상 35개 국가·리테일러에 해당하지 않음</t>
        </is>
      </c>
    </row>
    <row r="454" spans="1:15">
      <c r="A454" s="256" t="s">
        <v>311</v>
      </c>
      <c r="B454" s="256" t="s">
        <v>1164</v>
      </c>
      <c r="C454" s="256" t="s">
        <v>1169</v>
      </c>
      <c r="D454" s="330" t="inlineStr">
        <is>
          <t xml:space="preserve">RAC</t>
        </is>
      </c>
      <c r="E454" s="330" t="inlineStr">
        <is>
          <t>Y</t>
        </is>
      </c>
      <c r="F454" s="330" t="inlineStr">
        <is>
          <t xml:space="preserve">진단 대상 35개 국가·리테일러에 해당하지 않음</t>
        </is>
      </c>
    </row>
    <row r="455" spans="1:15">
      <c r="A455" s="256" t="s">
        <v>311</v>
      </c>
      <c r="B455" s="256" t="s">
        <v>1164</v>
      </c>
      <c r="C455" s="256" t="s">
        <v>1170</v>
      </c>
      <c r="D455" s="330" t="inlineStr">
        <is>
          <t xml:space="preserve">BT_SPEAKER</t>
        </is>
      </c>
      <c r="E455" s="330" t="inlineStr">
        <is>
          <t>Y</t>
        </is>
      </c>
      <c r="F455" s="330" t="inlineStr">
        <is>
          <t xml:space="preserve">진단 대상 35개 국가·리테일러에 해당하지 않음</t>
        </is>
      </c>
    </row>
    <row r="456" spans="1:15">
      <c r="A456" s="256" t="s">
        <v>311</v>
      </c>
      <c r="B456" s="256" t="s">
        <v>1164</v>
      </c>
      <c r="C456" s="256" t="s">
        <v>1171</v>
      </c>
      <c r="D456" s="330" t="inlineStr">
        <is>
          <t xml:space="preserve">HEADSET</t>
        </is>
      </c>
      <c r="E456" s="330" t="inlineStr">
        <is>
          <t>Y</t>
        </is>
      </c>
      <c r="F456" s="330" t="inlineStr">
        <is>
          <t xml:space="preserve">진단 대상 35개 국가·리테일러에 해당하지 않음</t>
        </is>
      </c>
    </row>
    <row r="457" spans="1:15">
      <c r="A457" s="256" t="s">
        <v>311</v>
      </c>
      <c r="B457" s="256" t="s">
        <v>1164</v>
      </c>
      <c r="C457" s="256" t="s">
        <v>1172</v>
      </c>
      <c r="D457" s="330" t="inlineStr">
        <is>
          <t xml:space="preserve">REF</t>
        </is>
      </c>
      <c r="E457" s="330" t="inlineStr">
        <is>
          <t>Y</t>
        </is>
      </c>
      <c r="F457" s="330" t="inlineStr">
        <is>
          <t xml:space="preserve">진단 대상 35개 국가·리테일러에 해당하지 않음</t>
        </is>
      </c>
    </row>
    <row r="458" spans="1:15">
      <c r="A458" s="256" t="s">
        <v>311</v>
      </c>
      <c r="B458" s="256" t="s">
        <v>1164</v>
      </c>
      <c r="C458" s="256" t="s">
        <v>1173</v>
      </c>
      <c r="D458" s="330" t="inlineStr">
        <is>
          <t xml:space="preserve">DRYER</t>
        </is>
      </c>
      <c r="E458" s="330" t="inlineStr">
        <is>
          <t>Y</t>
        </is>
      </c>
      <c r="F458" s="330" t="inlineStr">
        <is>
          <t xml:space="preserve">진단 대상 35개 국가·리테일러에 해당하지 않음</t>
        </is>
      </c>
    </row>
    <row r="459" spans="1:15">
      <c r="A459" s="256" t="s">
        <v>311</v>
      </c>
      <c r="B459" s="256" t="s">
        <v>1164</v>
      </c>
      <c r="C459" s="256" t="s">
        <v>1174</v>
      </c>
      <c r="D459" s="330" t="inlineStr">
        <is>
          <t xml:space="preserve">SOUNDBAR</t>
        </is>
      </c>
      <c r="E459" s="330" t="inlineStr">
        <is>
          <t>Y</t>
        </is>
      </c>
      <c r="F459" s="330" t="inlineStr">
        <is>
          <t xml:space="preserve">진단 대상 35개 국가·리테일러에 해당하지 않음</t>
        </is>
      </c>
    </row>
    <row r="460" spans="1:15">
      <c r="A460" s="256" t="s">
        <v>302</v>
      </c>
      <c r="B460" s="256" t="s">
        <v>595</v>
      </c>
      <c r="C460" s="256" t="s">
        <v>1175</v>
      </c>
      <c r="D460" s="330" t="inlineStr">
        <is>
          <t xml:space="preserve">TV</t>
        </is>
      </c>
      <c r="E460" s="330" t="inlineStr">
        <is>
          <t>Y</t>
        </is>
      </c>
      <c r="F460" s="330" t="inlineStr">
        <is>
          <t xml:space="preserve">진단 대상 35개 국가·리테일러에 해당하지 않음</t>
        </is>
      </c>
    </row>
    <row r="461" spans="1:15">
      <c r="A461" s="256" t="s">
        <v>302</v>
      </c>
      <c r="B461" s="256" t="s">
        <v>595</v>
      </c>
      <c r="C461" s="256" t="s">
        <v>1176</v>
      </c>
      <c r="D461" s="330" t="inlineStr">
        <is>
          <t xml:space="preserve">REF</t>
        </is>
      </c>
      <c r="E461" s="330" t="inlineStr">
        <is>
          <t>Y</t>
        </is>
      </c>
      <c r="F461" s="330" t="inlineStr">
        <is>
          <t xml:space="preserve">진단 대상 35개 국가·리테일러에 해당하지 않음</t>
        </is>
      </c>
    </row>
    <row r="462" spans="1:15">
      <c r="A462" s="256" t="s">
        <v>302</v>
      </c>
      <c r="B462" s="256" t="s">
        <v>595</v>
      </c>
      <c r="C462" s="256" t="s">
        <v>1177</v>
      </c>
      <c r="D462" s="330" t="inlineStr">
        <is>
          <t xml:space="preserve">REF</t>
        </is>
      </c>
      <c r="E462" s="330" t="inlineStr">
        <is>
          <t>Y</t>
        </is>
      </c>
      <c r="F462" s="330" t="inlineStr">
        <is>
          <t xml:space="preserve">진단 대상 35개 국가·리테일러에 해당하지 않음</t>
        </is>
      </c>
    </row>
    <row r="463" spans="1:15">
      <c r="A463" s="256" t="s">
        <v>302</v>
      </c>
      <c r="B463" s="256" t="s">
        <v>595</v>
      </c>
      <c r="C463" s="256" t="s">
        <v>1178</v>
      </c>
      <c r="D463" s="330" t="inlineStr">
        <is>
          <t xml:space="preserve">REF</t>
        </is>
      </c>
      <c r="E463" s="330" t="inlineStr">
        <is>
          <t>Y</t>
        </is>
      </c>
      <c r="F463" s="330" t="inlineStr">
        <is>
          <t xml:space="preserve">진단 대상 35개 국가·리테일러에 해당하지 않음</t>
        </is>
      </c>
    </row>
    <row r="464" spans="1:15">
      <c r="A464" s="256" t="s">
        <v>302</v>
      </c>
      <c r="B464" s="256" t="s">
        <v>595</v>
      </c>
      <c r="C464" s="256" t="s">
        <v>1179</v>
      </c>
      <c r="D464" s="330" t="inlineStr">
        <is>
          <t xml:space="preserve">WM</t>
        </is>
      </c>
      <c r="E464" s="330" t="inlineStr">
        <is>
          <t>Y</t>
        </is>
      </c>
      <c r="F464" s="330" t="inlineStr">
        <is>
          <t xml:space="preserve">진단 대상 35개 국가·리테일러에 해당하지 않음</t>
        </is>
      </c>
    </row>
    <row r="465" spans="1:15">
      <c r="A465" s="256" t="s">
        <v>302</v>
      </c>
      <c r="B465" s="256" t="s">
        <v>595</v>
      </c>
      <c r="C465" s="256" t="s">
        <v>1180</v>
      </c>
      <c r="D465" s="330" t="inlineStr">
        <is>
          <t xml:space="preserve">WM</t>
        </is>
      </c>
      <c r="E465" s="330" t="inlineStr">
        <is>
          <t>Y</t>
        </is>
      </c>
      <c r="F465" s="330" t="inlineStr">
        <is>
          <t xml:space="preserve">진단 대상 35개 국가·리테일러에 해당하지 않음</t>
        </is>
      </c>
    </row>
    <row r="466" spans="1:15">
      <c r="A466" s="256" t="s">
        <v>302</v>
      </c>
      <c r="B466" s="256" t="s">
        <v>595</v>
      </c>
      <c r="C466" s="256" t="s">
        <v>1181</v>
      </c>
      <c r="D466" s="330" t="inlineStr">
        <is>
          <t xml:space="preserve">WM</t>
        </is>
      </c>
      <c r="E466" s="330" t="inlineStr">
        <is>
          <t>Y</t>
        </is>
      </c>
      <c r="F466" s="330" t="inlineStr">
        <is>
          <t xml:space="preserve">진단 대상 35개 국가·리테일러에 해당하지 않음</t>
        </is>
      </c>
    </row>
    <row r="467" spans="1:15">
      <c r="A467" s="256" t="s">
        <v>302</v>
      </c>
      <c r="B467" s="256" t="s">
        <v>595</v>
      </c>
      <c r="C467" s="256" t="s">
        <v>1182</v>
      </c>
      <c r="D467" s="330" t="inlineStr">
        <is>
          <t xml:space="preserve">WATER_PURIFIER</t>
        </is>
      </c>
      <c r="E467" s="330" t="inlineStr">
        <is>
          <t>Y</t>
        </is>
      </c>
      <c r="F467" s="330" t="inlineStr">
        <is>
          <t xml:space="preserve">진단 대상 35개 국가·리테일러에 해당하지 않음</t>
        </is>
      </c>
    </row>
    <row r="468" spans="1:15">
      <c r="A468" s="256" t="s">
        <v>302</v>
      </c>
      <c r="B468" s="256" t="s">
        <v>595</v>
      </c>
      <c r="C468" s="256" t="s">
        <v>1183</v>
      </c>
      <c r="D468" s="330" t="inlineStr">
        <is>
          <t xml:space="preserve">MNT</t>
        </is>
      </c>
      <c r="E468" s="330" t="inlineStr">
        <is>
          <t>Y</t>
        </is>
      </c>
      <c r="F468" s="330" t="inlineStr">
        <is>
          <t xml:space="preserve">진단 대상 35개 국가·리테일러에 해당하지 않음</t>
        </is>
      </c>
    </row>
    <row r="469" spans="1:15">
      <c r="A469" s="256" t="s">
        <v>302</v>
      </c>
      <c r="B469" s="256" t="s">
        <v>595</v>
      </c>
      <c r="C469" s="256" t="s">
        <v>1184</v>
      </c>
      <c r="D469" s="330" t="inlineStr">
        <is>
          <t xml:space="preserve">BT_SPEAKER</t>
        </is>
      </c>
      <c r="E469" s="330" t="inlineStr">
        <is>
          <t>Y</t>
        </is>
      </c>
      <c r="F469" s="330" t="inlineStr">
        <is>
          <t xml:space="preserve">진단 대상 35개 국가·리테일러에 해당하지 않음</t>
        </is>
      </c>
    </row>
    <row r="470" spans="1:15">
      <c r="A470" s="256" t="s">
        <v>302</v>
      </c>
      <c r="B470" s="256" t="s">
        <v>595</v>
      </c>
      <c r="C470" s="256" t="s">
        <v>1185</v>
      </c>
      <c r="D470" s="330" t="inlineStr">
        <is>
          <t xml:space="preserve">TV</t>
        </is>
      </c>
      <c r="E470" s="330" t="inlineStr">
        <is>
          <t>Y</t>
        </is>
      </c>
      <c r="F470" s="330" t="inlineStr">
        <is>
          <t xml:space="preserve">진단 대상 35개 국가·리테일러에 해당하지 않음</t>
        </is>
      </c>
    </row>
    <row r="471" spans="1:15">
      <c r="A471" s="256" t="s">
        <v>302</v>
      </c>
      <c r="B471" s="256" t="s">
        <v>595</v>
      </c>
      <c r="C471" s="256" t="s">
        <v>1186</v>
      </c>
      <c r="D471" s="330" t="inlineStr">
        <is>
          <t xml:space="preserve">SOUNDBAR</t>
        </is>
      </c>
      <c r="E471" s="330" t="inlineStr">
        <is>
          <t>Y</t>
        </is>
      </c>
      <c r="F471" s="330" t="inlineStr">
        <is>
          <t xml:space="preserve">진단 대상 35개 국가·리테일러에 해당하지 않음</t>
        </is>
      </c>
    </row>
    <row r="472" spans="1:15">
      <c r="A472" s="256" t="s">
        <v>302</v>
      </c>
      <c r="B472" s="256" t="s">
        <v>595</v>
      </c>
      <c r="C472" s="256" t="s">
        <v>1187</v>
      </c>
      <c r="D472" s="330" t="inlineStr">
        <is>
          <t xml:space="preserve">DW</t>
        </is>
      </c>
      <c r="E472" s="330" t="inlineStr">
        <is>
          <t>Y</t>
        </is>
      </c>
      <c r="F472" s="330" t="inlineStr">
        <is>
          <t xml:space="preserve">진단 대상 35개 국가·리테일러에 해당하지 않음</t>
        </is>
      </c>
    </row>
    <row r="473" spans="1:15">
      <c r="A473" s="256" t="s">
        <v>302</v>
      </c>
      <c r="B473" s="256" t="s">
        <v>595</v>
      </c>
      <c r="C473" s="256" t="s">
        <v>1188</v>
      </c>
      <c r="D473" s="332" t="inlineStr">
        <is>
          <t xml:space="preserve">UNKNOWN</t>
        </is>
      </c>
      <c r="E473" s="330" t="inlineStr">
        <is>
          <t>Y</t>
        </is>
      </c>
      <c r="F473" s="330" t="inlineStr">
        <is>
          <t xml:space="preserve">진단 대상 35개 국가·리테일러에 해당하지 않음</t>
        </is>
      </c>
    </row>
    <row r="474" spans="1:15">
      <c r="A474" s="256" t="s">
        <v>302</v>
      </c>
      <c r="B474" s="256" t="s">
        <v>595</v>
      </c>
      <c r="C474" s="256" t="s">
        <v>1189</v>
      </c>
      <c r="D474" s="330" t="inlineStr">
        <is>
          <t xml:space="preserve">DRYER</t>
        </is>
      </c>
      <c r="E474" s="330" t="inlineStr">
        <is>
          <t>Y</t>
        </is>
      </c>
      <c r="F474" s="330" t="inlineStr">
        <is>
          <t xml:space="preserve">진단 대상 35개 국가·리테일러에 해당하지 않음</t>
        </is>
      </c>
    </row>
    <row r="475" spans="1:15">
      <c r="A475" s="256" t="s">
        <v>251</v>
      </c>
      <c r="B475" s="256" t="s">
        <v>256</v>
      </c>
      <c r="C475" s="256" t="s">
        <v>1190</v>
      </c>
      <c r="D475" s="330" t="inlineStr">
        <is>
          <t xml:space="preserve">TV</t>
        </is>
      </c>
      <c r="E475" s="330" t="inlineStr">
        <is>
          <t>Y</t>
        </is>
      </c>
      <c r="F475" s="330" t="inlineStr">
        <is>
          <t xml:space="preserve">진단 대상 35개 국가·리테일러에 해당하지 않음</t>
        </is>
      </c>
    </row>
    <row r="476" spans="1:15">
      <c r="A476" s="256" t="s">
        <v>251</v>
      </c>
      <c r="B476" s="256" t="s">
        <v>256</v>
      </c>
      <c r="C476" s="256" t="s">
        <v>1191</v>
      </c>
      <c r="D476" s="330" t="inlineStr">
        <is>
          <t xml:space="preserve">SOUNDBAR</t>
        </is>
      </c>
      <c r="E476" s="330" t="inlineStr">
        <is>
          <t>Y</t>
        </is>
      </c>
      <c r="F476" s="330" t="inlineStr">
        <is>
          <t xml:space="preserve">진단 대상 35개 국가·리테일러에 해당하지 않음</t>
        </is>
      </c>
    </row>
    <row r="477" spans="1:15">
      <c r="A477" s="256" t="s">
        <v>251</v>
      </c>
      <c r="B477" s="256" t="s">
        <v>256</v>
      </c>
      <c r="C477" s="256" t="s">
        <v>1192</v>
      </c>
      <c r="D477" s="330" t="inlineStr">
        <is>
          <t xml:space="preserve">BT_SPEAKER</t>
        </is>
      </c>
      <c r="E477" s="330" t="inlineStr">
        <is>
          <t>Y</t>
        </is>
      </c>
      <c r="F477" s="330" t="inlineStr">
        <is>
          <t xml:space="preserve">진단 대상 35개 국가·리테일러에 해당하지 않음</t>
        </is>
      </c>
    </row>
    <row r="478" spans="1:15">
      <c r="A478" s="256" t="s">
        <v>251</v>
      </c>
      <c r="B478" s="256" t="s">
        <v>256</v>
      </c>
      <c r="C478" s="256" t="s">
        <v>1193</v>
      </c>
      <c r="D478" s="330" t="inlineStr">
        <is>
          <t xml:space="preserve">HEADSET</t>
        </is>
      </c>
      <c r="E478" s="330" t="inlineStr">
        <is>
          <t>Y</t>
        </is>
      </c>
      <c r="F478" s="330" t="inlineStr">
        <is>
          <t xml:space="preserve">진단 대상 35개 국가·리테일러에 해당하지 않음</t>
        </is>
      </c>
    </row>
    <row r="479" spans="1:15">
      <c r="A479" s="256" t="s">
        <v>251</v>
      </c>
      <c r="B479" s="256" t="s">
        <v>256</v>
      </c>
      <c r="C479" s="256" t="s">
        <v>1194</v>
      </c>
      <c r="D479" s="330" t="inlineStr">
        <is>
          <t xml:space="preserve">REF</t>
        </is>
      </c>
      <c r="E479" s="330" t="inlineStr">
        <is>
          <t>Y</t>
        </is>
      </c>
      <c r="F479" s="330" t="inlineStr">
        <is>
          <t xml:space="preserve">진단 대상 35개 국가·리테일러에 해당하지 않음</t>
        </is>
      </c>
    </row>
    <row r="480" spans="1:15">
      <c r="A480" s="256" t="s">
        <v>251</v>
      </c>
      <c r="B480" s="256" t="s">
        <v>256</v>
      </c>
      <c r="C480" s="256" t="s">
        <v>1195</v>
      </c>
      <c r="D480" s="330" t="inlineStr">
        <is>
          <t xml:space="preserve">REF</t>
        </is>
      </c>
      <c r="E480" s="330" t="inlineStr">
        <is>
          <t>Y</t>
        </is>
      </c>
      <c r="F480" s="330" t="inlineStr">
        <is>
          <t xml:space="preserve">진단 대상 35개 국가·리테일러에 해당하지 않음</t>
        </is>
      </c>
    </row>
    <row r="481" spans="1:15">
      <c r="A481" s="256" t="s">
        <v>251</v>
      </c>
      <c r="B481" s="256" t="s">
        <v>256</v>
      </c>
      <c r="C481" s="256" t="s">
        <v>1196</v>
      </c>
      <c r="D481" s="330" t="inlineStr">
        <is>
          <t xml:space="preserve">REF</t>
        </is>
      </c>
      <c r="E481" s="330" t="inlineStr">
        <is>
          <t>Y</t>
        </is>
      </c>
      <c r="F481" s="330" t="inlineStr">
        <is>
          <t xml:space="preserve">진단 대상 35개 국가·리테일러에 해당하지 않음</t>
        </is>
      </c>
    </row>
    <row r="482" spans="1:15">
      <c r="A482" s="256" t="s">
        <v>251</v>
      </c>
      <c r="B482" s="256" t="s">
        <v>256</v>
      </c>
      <c r="C482" s="256" t="s">
        <v>1197</v>
      </c>
      <c r="D482" s="330" t="inlineStr">
        <is>
          <t xml:space="preserve">REF</t>
        </is>
      </c>
      <c r="E482" s="330" t="inlineStr">
        <is>
          <t>Y</t>
        </is>
      </c>
      <c r="F482" s="330" t="inlineStr">
        <is>
          <t xml:space="preserve">진단 대상 35개 국가·리테일러에 해당하지 않음</t>
        </is>
      </c>
    </row>
    <row r="483" spans="1:15">
      <c r="A483" s="256" t="s">
        <v>251</v>
      </c>
      <c r="B483" s="256" t="s">
        <v>256</v>
      </c>
      <c r="C483" s="256" t="s">
        <v>1198</v>
      </c>
      <c r="D483" s="330" t="inlineStr">
        <is>
          <t xml:space="preserve">WM</t>
        </is>
      </c>
      <c r="E483" s="330" t="inlineStr">
        <is>
          <t>Y</t>
        </is>
      </c>
      <c r="F483" s="330" t="inlineStr">
        <is>
          <t xml:space="preserve">진단 대상 35개 국가·리테일러에 해당하지 않음</t>
        </is>
      </c>
    </row>
    <row r="484" spans="1:15">
      <c r="A484" s="256" t="s">
        <v>251</v>
      </c>
      <c r="B484" s="256" t="s">
        <v>256</v>
      </c>
      <c r="C484" s="256" t="s">
        <v>1199</v>
      </c>
      <c r="D484" s="330" t="inlineStr">
        <is>
          <t xml:space="preserve">WM</t>
        </is>
      </c>
      <c r="E484" s="330" t="inlineStr">
        <is>
          <t>Y</t>
        </is>
      </c>
      <c r="F484" s="330" t="inlineStr">
        <is>
          <t xml:space="preserve">진단 대상 35개 국가·리테일러에 해당하지 않음</t>
        </is>
      </c>
    </row>
    <row r="485" spans="1:15">
      <c r="A485" s="256" t="s">
        <v>251</v>
      </c>
      <c r="B485" s="256" t="s">
        <v>256</v>
      </c>
      <c r="C485" s="256" t="s">
        <v>1200</v>
      </c>
      <c r="D485" s="330" t="inlineStr">
        <is>
          <t xml:space="preserve">WM</t>
        </is>
      </c>
      <c r="E485" s="330" t="inlineStr">
        <is>
          <t>Y</t>
        </is>
      </c>
      <c r="F485" s="330" t="inlineStr">
        <is>
          <t xml:space="preserve">진단 대상 35개 국가·리테일러에 해당하지 않음</t>
        </is>
      </c>
    </row>
    <row r="486" spans="1:15">
      <c r="A486" s="256" t="s">
        <v>251</v>
      </c>
      <c r="B486" s="256" t="s">
        <v>256</v>
      </c>
      <c r="C486" s="256" t="s">
        <v>1201</v>
      </c>
      <c r="D486" s="330" t="inlineStr">
        <is>
          <t xml:space="preserve">WM</t>
        </is>
      </c>
      <c r="E486" s="330" t="inlineStr">
        <is>
          <t>Y</t>
        </is>
      </c>
      <c r="F486" s="330" t="inlineStr">
        <is>
          <t xml:space="preserve">진단 대상 35개 국가·리테일러에 해당하지 않음</t>
        </is>
      </c>
    </row>
    <row r="487" spans="1:15">
      <c r="A487" s="256" t="s">
        <v>251</v>
      </c>
      <c r="B487" s="256" t="s">
        <v>256</v>
      </c>
      <c r="C487" s="256" t="s">
        <v>1202</v>
      </c>
      <c r="D487" s="330" t="inlineStr">
        <is>
          <t xml:space="preserve">MNT</t>
        </is>
      </c>
      <c r="E487" s="330" t="inlineStr">
        <is>
          <t>Y</t>
        </is>
      </c>
      <c r="F487" s="330" t="inlineStr">
        <is>
          <t xml:space="preserve">진단 대상 35개 국가·리테일러에 해당하지 않음</t>
        </is>
      </c>
    </row>
    <row r="488" spans="1:15">
      <c r="A488" s="256" t="s">
        <v>251</v>
      </c>
      <c r="B488" s="256" t="s">
        <v>256</v>
      </c>
      <c r="C488" s="256" t="s">
        <v>1203</v>
      </c>
      <c r="D488" s="330" t="inlineStr">
        <is>
          <t xml:space="preserve">MNT</t>
        </is>
      </c>
      <c r="E488" s="330" t="inlineStr">
        <is>
          <t>Y</t>
        </is>
      </c>
      <c r="F488" s="330" t="inlineStr">
        <is>
          <t xml:space="preserve">진단 대상 35개 국가·리테일러에 해당하지 않음</t>
        </is>
      </c>
    </row>
    <row r="489" spans="1:15">
      <c r="A489" s="256" t="s">
        <v>251</v>
      </c>
      <c r="B489" s="256" t="s">
        <v>256</v>
      </c>
      <c r="C489" s="256" t="s">
        <v>1204</v>
      </c>
      <c r="D489" s="330" t="inlineStr">
        <is>
          <t xml:space="preserve">MNT</t>
        </is>
      </c>
      <c r="E489" s="330" t="inlineStr">
        <is>
          <t>Y</t>
        </is>
      </c>
      <c r="F489" s="330" t="inlineStr">
        <is>
          <t xml:space="preserve">진단 대상 35개 국가·리테일러에 해당하지 않음</t>
        </is>
      </c>
    </row>
    <row r="490" spans="1:15">
      <c r="A490" s="256" t="s">
        <v>251</v>
      </c>
      <c r="B490" s="256" t="s">
        <v>256</v>
      </c>
      <c r="C490" s="256" t="s">
        <v>1205</v>
      </c>
      <c r="D490" s="330" t="inlineStr">
        <is>
          <t xml:space="preserve">DW</t>
        </is>
      </c>
      <c r="E490" s="330" t="inlineStr">
        <is>
          <t>Y</t>
        </is>
      </c>
      <c r="F490" s="330" t="inlineStr">
        <is>
          <t xml:space="preserve">진단 대상 35개 국가·리테일러에 해당하지 않음</t>
        </is>
      </c>
    </row>
    <row r="491" spans="1:15">
      <c r="A491" s="256" t="s">
        <v>251</v>
      </c>
      <c r="B491" s="256" t="s">
        <v>256</v>
      </c>
      <c r="C491" s="256" t="s">
        <v>1206</v>
      </c>
      <c r="D491" s="330" t="inlineStr">
        <is>
          <t xml:space="preserve">DW</t>
        </is>
      </c>
      <c r="E491" s="330" t="inlineStr">
        <is>
          <t>Y</t>
        </is>
      </c>
      <c r="F491" s="330" t="inlineStr">
        <is>
          <t xml:space="preserve">진단 대상 35개 국가·리테일러에 해당하지 않음</t>
        </is>
      </c>
    </row>
    <row r="492" spans="1:15">
      <c r="A492" s="256" t="s">
        <v>251</v>
      </c>
      <c r="B492" s="256" t="s">
        <v>256</v>
      </c>
      <c r="C492" s="256" t="s">
        <v>1207</v>
      </c>
      <c r="D492" s="330" t="inlineStr">
        <is>
          <t xml:space="preserve">DW</t>
        </is>
      </c>
      <c r="E492" s="330" t="inlineStr">
        <is>
          <t>Y</t>
        </is>
      </c>
      <c r="F492" s="330" t="inlineStr">
        <is>
          <t xml:space="preserve">진단 대상 35개 국가·리테일러에 해당하지 않음</t>
        </is>
      </c>
    </row>
    <row r="493" spans="1:15">
      <c r="A493" s="256" t="s">
        <v>251</v>
      </c>
      <c r="B493" s="256" t="s">
        <v>256</v>
      </c>
      <c r="C493" s="256" t="s">
        <v>1208</v>
      </c>
      <c r="D493" s="330" t="inlineStr">
        <is>
          <t xml:space="preserve">OVEN</t>
        </is>
      </c>
      <c r="E493" s="330" t="inlineStr">
        <is>
          <t>Y</t>
        </is>
      </c>
      <c r="F493" s="330" t="inlineStr">
        <is>
          <t xml:space="preserve">진단 대상 35개 국가·리테일러에 해당하지 않음</t>
        </is>
      </c>
    </row>
    <row r="494" spans="1:15">
      <c r="A494" s="256" t="s">
        <v>251</v>
      </c>
      <c r="B494" s="256" t="s">
        <v>256</v>
      </c>
      <c r="C494" s="256" t="s">
        <v>1209</v>
      </c>
      <c r="D494" s="330" t="inlineStr">
        <is>
          <t xml:space="preserve">RAC</t>
        </is>
      </c>
      <c r="E494" s="330" t="inlineStr">
        <is>
          <t>Y</t>
        </is>
      </c>
      <c r="F494" s="330" t="inlineStr">
        <is>
          <t xml:space="preserve">진단 대상 35개 국가·리테일러에 해당하지 않음</t>
        </is>
      </c>
    </row>
    <row r="495" spans="1:15">
      <c r="A495" s="256" t="s">
        <v>251</v>
      </c>
      <c r="B495" s="256" t="s">
        <v>256</v>
      </c>
      <c r="C495" s="256" t="s">
        <v>1210</v>
      </c>
      <c r="D495" s="330" t="inlineStr">
        <is>
          <t xml:space="preserve">DRYER</t>
        </is>
      </c>
      <c r="E495" s="330" t="inlineStr">
        <is>
          <t>Y</t>
        </is>
      </c>
      <c r="F495" s="330" t="inlineStr">
        <is>
          <t xml:space="preserve">진단 대상 35개 국가·리테일러에 해당하지 않음</t>
        </is>
      </c>
    </row>
    <row r="496" spans="1:15">
      <c r="A496" s="256" t="s">
        <v>201</v>
      </c>
      <c r="B496" s="256" t="s">
        <v>202</v>
      </c>
      <c r="C496" s="256" t="s">
        <v>1211</v>
      </c>
      <c r="D496" s="330" t="inlineStr">
        <is>
          <t xml:space="preserve">TV</t>
        </is>
      </c>
      <c r="E496" s="330" t="inlineStr">
        <is>
          <t>Y</t>
        </is>
      </c>
      <c r="F496" s="330" t="inlineStr">
        <is>
          <t xml:space="preserve">진단 대상 35개 국가·리테일러에 해당하지 않음</t>
        </is>
      </c>
    </row>
    <row r="497" spans="1:15">
      <c r="A497" s="256" t="s">
        <v>201</v>
      </c>
      <c r="B497" s="256" t="s">
        <v>202</v>
      </c>
      <c r="C497" s="256" t="s">
        <v>1212</v>
      </c>
      <c r="D497" s="330" t="inlineStr">
        <is>
          <t xml:space="preserve">TV</t>
        </is>
      </c>
      <c r="E497" s="330" t="inlineStr">
        <is>
          <t>Y</t>
        </is>
      </c>
      <c r="F497" s="330" t="inlineStr">
        <is>
          <t xml:space="preserve">진단 대상 35개 국가·리테일러에 해당하지 않음</t>
        </is>
      </c>
    </row>
    <row r="498" spans="1:15">
      <c r="A498" s="256" t="s">
        <v>201</v>
      </c>
      <c r="B498" s="256" t="s">
        <v>202</v>
      </c>
      <c r="C498" s="256" t="s">
        <v>1213</v>
      </c>
      <c r="D498" s="330" t="inlineStr">
        <is>
          <t xml:space="preserve">TV</t>
        </is>
      </c>
      <c r="E498" s="330" t="inlineStr">
        <is>
          <t>Y</t>
        </is>
      </c>
      <c r="F498" s="330" t="inlineStr">
        <is>
          <t xml:space="preserve">진단 대상 35개 국가·리테일러에 해당하지 않음</t>
        </is>
      </c>
    </row>
    <row r="499" spans="1:15">
      <c r="A499" s="256" t="s">
        <v>201</v>
      </c>
      <c r="B499" s="256" t="s">
        <v>202</v>
      </c>
      <c r="C499" s="256" t="s">
        <v>1214</v>
      </c>
      <c r="D499" s="330" t="inlineStr">
        <is>
          <t xml:space="preserve">TV</t>
        </is>
      </c>
      <c r="E499" s="330" t="inlineStr">
        <is>
          <t>Y</t>
        </is>
      </c>
      <c r="F499" s="330" t="inlineStr">
        <is>
          <t xml:space="preserve">진단 대상 35개 국가·리테일러에 해당하지 않음</t>
        </is>
      </c>
    </row>
    <row r="500" spans="1:15">
      <c r="A500" s="256" t="s">
        <v>201</v>
      </c>
      <c r="B500" s="256" t="s">
        <v>202</v>
      </c>
      <c r="C500" s="256" t="s">
        <v>1215</v>
      </c>
      <c r="D500" s="330" t="inlineStr">
        <is>
          <t xml:space="preserve">TV</t>
        </is>
      </c>
      <c r="E500" s="330" t="inlineStr">
        <is>
          <t>Y</t>
        </is>
      </c>
      <c r="F500" s="330" t="inlineStr">
        <is>
          <t xml:space="preserve">진단 대상 35개 국가·리테일러에 해당하지 않음</t>
        </is>
      </c>
    </row>
    <row r="501" spans="1:15">
      <c r="A501" s="256" t="s">
        <v>201</v>
      </c>
      <c r="B501" s="256" t="s">
        <v>202</v>
      </c>
      <c r="C501" s="256" t="s">
        <v>1216</v>
      </c>
      <c r="D501" s="330" t="inlineStr">
        <is>
          <t xml:space="preserve">REF</t>
        </is>
      </c>
      <c r="E501" s="330" t="inlineStr">
        <is>
          <t>Y</t>
        </is>
      </c>
      <c r="F501" s="330" t="inlineStr">
        <is>
          <t xml:space="preserve">진단 대상 35개 국가·리테일러에 해당하지 않음</t>
        </is>
      </c>
    </row>
    <row r="502" spans="1:15">
      <c r="A502" s="256" t="s">
        <v>201</v>
      </c>
      <c r="B502" s="256" t="s">
        <v>202</v>
      </c>
      <c r="C502" s="256" t="s">
        <v>1217</v>
      </c>
      <c r="D502" s="330" t="inlineStr">
        <is>
          <t xml:space="preserve">WM</t>
        </is>
      </c>
      <c r="E502" s="330" t="inlineStr">
        <is>
          <t>Y</t>
        </is>
      </c>
      <c r="F502" s="330" t="inlineStr">
        <is>
          <t xml:space="preserve">진단 대상 35개 국가·리테일러에 해당하지 않음</t>
        </is>
      </c>
    </row>
    <row r="503" spans="1:15">
      <c r="A503" s="256" t="s">
        <v>201</v>
      </c>
      <c r="B503" s="256" t="s">
        <v>202</v>
      </c>
      <c r="C503" s="256" t="s">
        <v>1218</v>
      </c>
      <c r="D503" s="330" t="inlineStr">
        <is>
          <t xml:space="preserve">TV</t>
        </is>
      </c>
      <c r="E503" s="330" t="inlineStr">
        <is>
          <t>Y</t>
        </is>
      </c>
      <c r="F503" s="330" t="inlineStr">
        <is>
          <t xml:space="preserve">진단 대상 35개 국가·리테일러에 해당하지 않음</t>
        </is>
      </c>
    </row>
    <row r="504" spans="1:15">
      <c r="A504" s="256" t="s">
        <v>201</v>
      </c>
      <c r="B504" s="256" t="s">
        <v>202</v>
      </c>
      <c r="C504" s="256" t="s">
        <v>1219</v>
      </c>
      <c r="D504" s="330" t="inlineStr">
        <is>
          <t xml:space="preserve">BT_SPEAKER</t>
        </is>
      </c>
      <c r="E504" s="330" t="inlineStr">
        <is>
          <t>Y</t>
        </is>
      </c>
      <c r="F504" s="330" t="inlineStr">
        <is>
          <t xml:space="preserve">진단 대상 35개 국가·리테일러에 해당하지 않음</t>
        </is>
      </c>
    </row>
    <row r="505" spans="1:15">
      <c r="A505" s="256" t="s">
        <v>201</v>
      </c>
      <c r="B505" s="256" t="s">
        <v>202</v>
      </c>
      <c r="C505" s="256" t="s">
        <v>1220</v>
      </c>
      <c r="D505" s="330" t="inlineStr">
        <is>
          <t xml:space="preserve">SOUNDBAR</t>
        </is>
      </c>
      <c r="E505" s="330" t="inlineStr">
        <is>
          <t>Y</t>
        </is>
      </c>
      <c r="F505" s="330" t="inlineStr">
        <is>
          <t xml:space="preserve">진단 대상 35개 국가·리테일러에 해당하지 않음</t>
        </is>
      </c>
    </row>
    <row r="506" spans="1:15">
      <c r="A506" s="256" t="s">
        <v>201</v>
      </c>
      <c r="B506" s="256" t="s">
        <v>202</v>
      </c>
      <c r="C506" s="256" t="s">
        <v>1221</v>
      </c>
      <c r="D506" s="330" t="inlineStr">
        <is>
          <t xml:space="preserve">HEADSET</t>
        </is>
      </c>
      <c r="E506" s="330" t="inlineStr">
        <is>
          <t>Y</t>
        </is>
      </c>
      <c r="F506" s="330" t="inlineStr">
        <is>
          <t xml:space="preserve">진단 대상 35개 국가·리테일러에 해당하지 않음</t>
        </is>
      </c>
    </row>
    <row r="507" spans="1:15">
      <c r="A507" s="256" t="s">
        <v>201</v>
      </c>
      <c r="B507" s="256" t="s">
        <v>202</v>
      </c>
      <c r="C507" s="256" t="s">
        <v>1222</v>
      </c>
      <c r="D507" s="330" t="inlineStr">
        <is>
          <t xml:space="preserve">VACUUM</t>
        </is>
      </c>
      <c r="E507" s="330" t="inlineStr">
        <is>
          <t>Y</t>
        </is>
      </c>
      <c r="F507" s="330" t="inlineStr">
        <is>
          <t xml:space="preserve">진단 대상 35개 국가·리테일러에 해당하지 않음</t>
        </is>
      </c>
    </row>
    <row r="508" spans="1:15">
      <c r="A508" s="256" t="s">
        <v>201</v>
      </c>
      <c r="B508" s="256" t="s">
        <v>202</v>
      </c>
      <c r="C508" s="256" t="s">
        <v>1223</v>
      </c>
      <c r="D508" s="330" t="inlineStr">
        <is>
          <t xml:space="preserve">DW</t>
        </is>
      </c>
      <c r="E508" s="330" t="inlineStr">
        <is>
          <t>Y</t>
        </is>
      </c>
      <c r="F508" s="330" t="inlineStr">
        <is>
          <t xml:space="preserve">진단 대상 35개 국가·리테일러에 해당하지 않음</t>
        </is>
      </c>
    </row>
    <row r="509" spans="1:15">
      <c r="A509" s="256" t="s">
        <v>201</v>
      </c>
      <c r="B509" s="256" t="s">
        <v>202</v>
      </c>
      <c r="C509" s="256" t="s">
        <v>1224</v>
      </c>
      <c r="D509" s="330" t="inlineStr">
        <is>
          <t xml:space="preserve">DRYER</t>
        </is>
      </c>
      <c r="E509" s="330" t="inlineStr">
        <is>
          <t>Y</t>
        </is>
      </c>
      <c r="F509" s="330" t="inlineStr">
        <is>
          <t xml:space="preserve">진단 대상 35개 국가·리테일러에 해당하지 않음</t>
        </is>
      </c>
    </row>
    <row r="510" spans="1:15">
      <c r="A510" s="256" t="s">
        <v>201</v>
      </c>
      <c r="B510" s="256" t="s">
        <v>202</v>
      </c>
      <c r="C510" s="256" t="s">
        <v>1225</v>
      </c>
      <c r="D510" s="330" t="inlineStr">
        <is>
          <t xml:space="preserve">COMPUTER</t>
        </is>
      </c>
      <c r="E510" s="330" t="inlineStr">
        <is>
          <t>Y</t>
        </is>
      </c>
      <c r="F510" s="330" t="inlineStr">
        <is>
          <t xml:space="preserve">진단 대상 35개 국가·리테일러에 해당하지 않음</t>
        </is>
      </c>
    </row>
    <row r="511" spans="1:15">
      <c r="A511" s="256" t="s">
        <v>201</v>
      </c>
      <c r="B511" s="256" t="s">
        <v>202</v>
      </c>
      <c r="C511" s="256" t="s">
        <v>1226</v>
      </c>
      <c r="D511" s="330" t="inlineStr">
        <is>
          <t xml:space="preserve">RAC</t>
        </is>
      </c>
      <c r="E511" s="330" t="inlineStr">
        <is>
          <t>Y</t>
        </is>
      </c>
      <c r="F511" s="330" t="inlineStr">
        <is>
          <t xml:space="preserve">진단 대상 35개 국가·리테일러에 해당하지 않음</t>
        </is>
      </c>
    </row>
    <row r="512" spans="1:15">
      <c r="A512" s="256" t="s">
        <v>201</v>
      </c>
      <c r="B512" s="256" t="s">
        <v>202</v>
      </c>
      <c r="C512" s="256" t="s">
        <v>1227</v>
      </c>
      <c r="D512" s="330" t="inlineStr">
        <is>
          <t xml:space="preserve">MNT</t>
        </is>
      </c>
      <c r="E512" s="330" t="inlineStr">
        <is>
          <t>Y</t>
        </is>
      </c>
      <c r="F512" s="330" t="inlineStr">
        <is>
          <t xml:space="preserve">진단 대상 35개 국가·리테일러에 해당하지 않음</t>
        </is>
      </c>
    </row>
    <row r="513" spans="1:15">
      <c r="A513" s="256" t="s">
        <v>211</v>
      </c>
      <c r="B513" s="256" t="s">
        <v>202</v>
      </c>
      <c r="C513" s="256" t="s">
        <v>1228</v>
      </c>
      <c r="D513" s="330" t="inlineStr">
        <is>
          <t xml:space="preserve">REF</t>
        </is>
      </c>
      <c r="E513" s="330" t="inlineStr">
        <is>
          <t>Y</t>
        </is>
      </c>
      <c r="F513" s="330" t="inlineStr">
        <is>
          <t xml:space="preserve">진단 대상 35개 국가·리테일러에 해당하지 않음</t>
        </is>
      </c>
    </row>
    <row r="514" spans="1:15">
      <c r="A514" s="256" t="s">
        <v>211</v>
      </c>
      <c r="B514" s="256" t="s">
        <v>202</v>
      </c>
      <c r="C514" s="256" t="s">
        <v>1229</v>
      </c>
      <c r="D514" s="330" t="inlineStr">
        <is>
          <t xml:space="preserve">WM</t>
        </is>
      </c>
      <c r="E514" s="330" t="inlineStr">
        <is>
          <t>Y</t>
        </is>
      </c>
      <c r="F514" s="330" t="inlineStr">
        <is>
          <t xml:space="preserve">진단 대상 35개 국가·리테일러에 해당하지 않음</t>
        </is>
      </c>
    </row>
    <row r="515" spans="1:15">
      <c r="A515" s="256" t="s">
        <v>211</v>
      </c>
      <c r="B515" s="256" t="s">
        <v>202</v>
      </c>
      <c r="C515" s="256" t="s">
        <v>1230</v>
      </c>
      <c r="D515" s="330" t="inlineStr">
        <is>
          <t xml:space="preserve">TV</t>
        </is>
      </c>
      <c r="E515" s="330" t="inlineStr">
        <is>
          <t>Y</t>
        </is>
      </c>
      <c r="F515" s="330" t="inlineStr">
        <is>
          <t xml:space="preserve">진단 대상 35개 국가·리테일러에 해당하지 않음</t>
        </is>
      </c>
    </row>
    <row r="516" spans="1:15">
      <c r="A516" s="256" t="s">
        <v>211</v>
      </c>
      <c r="B516" s="256" t="s">
        <v>202</v>
      </c>
      <c r="C516" s="256" t="s">
        <v>1231</v>
      </c>
      <c r="D516" s="330" t="inlineStr">
        <is>
          <t xml:space="preserve">MNT</t>
        </is>
      </c>
      <c r="E516" s="330" t="inlineStr">
        <is>
          <t>Y</t>
        </is>
      </c>
      <c r="F516" s="330" t="inlineStr">
        <is>
          <t xml:space="preserve">진단 대상 35개 국가·리테일러에 해당하지 않음</t>
        </is>
      </c>
    </row>
    <row r="517" spans="1:15">
      <c r="A517" s="256" t="s">
        <v>211</v>
      </c>
      <c r="B517" s="256" t="s">
        <v>202</v>
      </c>
      <c r="C517" s="256" t="s">
        <v>1232</v>
      </c>
      <c r="D517" s="330" t="inlineStr">
        <is>
          <t xml:space="preserve">BT_SPEAKER</t>
        </is>
      </c>
      <c r="E517" s="330" t="inlineStr">
        <is>
          <t>Y</t>
        </is>
      </c>
      <c r="F517" s="330" t="inlineStr">
        <is>
          <t xml:space="preserve">진단 대상 35개 국가·리테일러에 해당하지 않음</t>
        </is>
      </c>
    </row>
    <row r="518" spans="1:15">
      <c r="A518" s="256" t="s">
        <v>211</v>
      </c>
      <c r="B518" s="256" t="s">
        <v>202</v>
      </c>
      <c r="C518" s="256" t="s">
        <v>1233</v>
      </c>
      <c r="D518" s="330" t="inlineStr">
        <is>
          <t xml:space="preserve">SOUNDBAR</t>
        </is>
      </c>
      <c r="E518" s="330" t="inlineStr">
        <is>
          <t>Y</t>
        </is>
      </c>
      <c r="F518" s="330" t="inlineStr">
        <is>
          <t xml:space="preserve">진단 대상 35개 국가·리테일러에 해당하지 않음</t>
        </is>
      </c>
    </row>
    <row r="519" spans="1:15">
      <c r="A519" s="256" t="s">
        <v>211</v>
      </c>
      <c r="B519" s="256" t="s">
        <v>202</v>
      </c>
      <c r="C519" s="256" t="s">
        <v>1234</v>
      </c>
      <c r="D519" s="330" t="inlineStr">
        <is>
          <t xml:space="preserve">HEADSET</t>
        </is>
      </c>
      <c r="E519" s="330" t="inlineStr">
        <is>
          <t>Y</t>
        </is>
      </c>
      <c r="F519" s="330" t="inlineStr">
        <is>
          <t xml:space="preserve">진단 대상 35개 국가·리테일러에 해당하지 않음</t>
        </is>
      </c>
    </row>
    <row r="520" spans="1:15">
      <c r="A520" s="256" t="s">
        <v>211</v>
      </c>
      <c r="B520" s="256" t="s">
        <v>202</v>
      </c>
      <c r="C520" s="256" t="s">
        <v>1235</v>
      </c>
      <c r="D520" s="330" t="inlineStr">
        <is>
          <t xml:space="preserve">AIR_PURIFIER</t>
        </is>
      </c>
      <c r="E520" s="330" t="inlineStr">
        <is>
          <t>Y</t>
        </is>
      </c>
      <c r="F520" s="330" t="inlineStr">
        <is>
          <t xml:space="preserve">진단 대상 35개 국가·리테일러에 해당하지 않음</t>
        </is>
      </c>
    </row>
    <row r="521" spans="1:15">
      <c r="A521" s="256" t="s">
        <v>211</v>
      </c>
      <c r="B521" s="256" t="s">
        <v>202</v>
      </c>
      <c r="C521" s="256" t="s">
        <v>1236</v>
      </c>
      <c r="D521" s="330" t="inlineStr">
        <is>
          <t xml:space="preserve">VACUUM</t>
        </is>
      </c>
      <c r="E521" s="330" t="inlineStr">
        <is>
          <t>Y</t>
        </is>
      </c>
      <c r="F521" s="330" t="inlineStr">
        <is>
          <t xml:space="preserve">진단 대상 35개 국가·리테일러에 해당하지 않음</t>
        </is>
      </c>
    </row>
    <row r="522" spans="1:15">
      <c r="A522" s="256" t="s">
        <v>211</v>
      </c>
      <c r="B522" s="256" t="s">
        <v>202</v>
      </c>
      <c r="C522" s="256" t="s">
        <v>1237</v>
      </c>
      <c r="D522" s="330" t="inlineStr">
        <is>
          <t xml:space="preserve">DW</t>
        </is>
      </c>
      <c r="E522" s="330" t="inlineStr">
        <is>
          <t>Y</t>
        </is>
      </c>
      <c r="F522" s="330" t="inlineStr">
        <is>
          <t xml:space="preserve">진단 대상 35개 국가·리테일러에 해당하지 않음</t>
        </is>
      </c>
    </row>
    <row r="523" spans="1:15">
      <c r="A523" s="256" t="s">
        <v>211</v>
      </c>
      <c r="B523" s="256" t="s">
        <v>202</v>
      </c>
      <c r="C523" s="256" t="s">
        <v>1238</v>
      </c>
      <c r="D523" s="330" t="inlineStr">
        <is>
          <t xml:space="preserve">DRYER</t>
        </is>
      </c>
      <c r="E523" s="330" t="inlineStr">
        <is>
          <t>Y</t>
        </is>
      </c>
      <c r="F523" s="330" t="inlineStr">
        <is>
          <t xml:space="preserve">진단 대상 35개 국가·리테일러에 해당하지 않음</t>
        </is>
      </c>
    </row>
    <row r="524" spans="1:15">
      <c r="A524" s="256" t="s">
        <v>211</v>
      </c>
      <c r="B524" s="256" t="s">
        <v>202</v>
      </c>
      <c r="C524" s="256" t="s">
        <v>1239</v>
      </c>
      <c r="D524" s="330" t="inlineStr">
        <is>
          <t xml:space="preserve">LAPTOP</t>
        </is>
      </c>
      <c r="E524" s="330" t="inlineStr">
        <is>
          <t>Y</t>
        </is>
      </c>
      <c r="F524" s="330" t="inlineStr">
        <is>
          <t xml:space="preserve">진단 대상 35개 국가·리테일러에 해당하지 않음</t>
        </is>
      </c>
    </row>
    <row r="525" spans="1:15">
      <c r="A525" s="256" t="s">
        <v>211</v>
      </c>
      <c r="B525" s="256" t="s">
        <v>202</v>
      </c>
      <c r="C525" s="256" t="s">
        <v>1240</v>
      </c>
      <c r="D525" s="330" t="inlineStr">
        <is>
          <t xml:space="preserve">GARMENT_CARE</t>
        </is>
      </c>
      <c r="E525" s="330" t="inlineStr">
        <is>
          <t>Y</t>
        </is>
      </c>
      <c r="F525" s="330" t="inlineStr">
        <is>
          <t xml:space="preserve">진단 대상 35개 국가·리테일러에 해당하지 않음</t>
        </is>
      </c>
    </row>
    <row r="526" spans="1:15">
      <c r="A526" s="256" t="s">
        <v>211</v>
      </c>
      <c r="B526" s="256" t="s">
        <v>202</v>
      </c>
      <c r="C526" s="256" t="s">
        <v>1241</v>
      </c>
      <c r="D526" s="330" t="inlineStr">
        <is>
          <t xml:space="preserve">RAC</t>
        </is>
      </c>
      <c r="E526" s="330" t="inlineStr">
        <is>
          <t>Y</t>
        </is>
      </c>
      <c r="F526" s="330" t="inlineStr">
        <is>
          <t xml:space="preserve">진단 대상 35개 국가·리테일러에 해당하지 않음</t>
        </is>
      </c>
    </row>
    <row r="527" spans="1:15">
      <c r="A527" s="256" t="s">
        <v>345</v>
      </c>
      <c r="B527" s="256" t="s">
        <v>352</v>
      </c>
      <c r="C527" s="256" t="s">
        <v>1242</v>
      </c>
      <c r="D527" s="330" t="inlineStr">
        <is>
          <t xml:space="preserve">REF</t>
        </is>
      </c>
      <c r="E527" s="330" t="inlineStr">
        <is>
          <t>Y</t>
        </is>
      </c>
      <c r="F527" s="330" t="inlineStr">
        <is>
          <t xml:space="preserve">진단 대상 35개 국가·리테일러에 해당하지 않음</t>
        </is>
      </c>
    </row>
    <row r="528" spans="1:15">
      <c r="A528" s="256" t="s">
        <v>345</v>
      </c>
      <c r="B528" s="256" t="s">
        <v>352</v>
      </c>
      <c r="C528" s="256" t="s">
        <v>1243</v>
      </c>
      <c r="D528" s="330" t="inlineStr">
        <is>
          <t xml:space="preserve">WM</t>
        </is>
      </c>
      <c r="E528" s="330" t="inlineStr">
        <is>
          <t>Y</t>
        </is>
      </c>
      <c r="F528" s="330" t="inlineStr">
        <is>
          <t xml:space="preserve">진단 대상 35개 국가·리테일러에 해당하지 않음</t>
        </is>
      </c>
    </row>
    <row r="529" spans="1:15">
      <c r="A529" s="256" t="s">
        <v>345</v>
      </c>
      <c r="B529" s="256" t="s">
        <v>352</v>
      </c>
      <c r="C529" s="256" t="s">
        <v>1244</v>
      </c>
      <c r="D529" s="330" t="inlineStr">
        <is>
          <t xml:space="preserve">RAC</t>
        </is>
      </c>
      <c r="E529" s="330" t="inlineStr">
        <is>
          <t>Y</t>
        </is>
      </c>
      <c r="F529" s="330" t="inlineStr">
        <is>
          <t xml:space="preserve">진단 대상 35개 국가·리테일러에 해당하지 않음</t>
        </is>
      </c>
    </row>
    <row r="530" spans="1:15">
      <c r="A530" s="256" t="s">
        <v>345</v>
      </c>
      <c r="B530" s="256" t="s">
        <v>352</v>
      </c>
      <c r="C530" s="256" t="s">
        <v>1245</v>
      </c>
      <c r="D530" s="330" t="inlineStr">
        <is>
          <t xml:space="preserve">DW</t>
        </is>
      </c>
      <c r="E530" s="330" t="inlineStr">
        <is>
          <t>Y</t>
        </is>
      </c>
      <c r="F530" s="330" t="inlineStr">
        <is>
          <t xml:space="preserve">진단 대상 35개 국가·리테일러에 해당하지 않음</t>
        </is>
      </c>
    </row>
    <row r="531" spans="1:15">
      <c r="A531" s="256" t="s">
        <v>345</v>
      </c>
      <c r="B531" s="256" t="s">
        <v>352</v>
      </c>
      <c r="C531" s="256" t="s">
        <v>1246</v>
      </c>
      <c r="D531" s="330" t="inlineStr">
        <is>
          <t xml:space="preserve">OVEN</t>
        </is>
      </c>
      <c r="E531" s="330" t="inlineStr">
        <is>
          <t>Y</t>
        </is>
      </c>
      <c r="F531" s="330" t="inlineStr">
        <is>
          <t xml:space="preserve">진단 대상 35개 국가·리테일러에 해당하지 않음</t>
        </is>
      </c>
    </row>
    <row r="532" spans="1:15">
      <c r="A532" s="256" t="s">
        <v>345</v>
      </c>
      <c r="B532" s="256" t="s">
        <v>352</v>
      </c>
      <c r="C532" s="256" t="s">
        <v>1247</v>
      </c>
      <c r="D532" s="330" t="inlineStr">
        <is>
          <t xml:space="preserve">SOUNDBAR</t>
        </is>
      </c>
      <c r="E532" s="330" t="inlineStr">
        <is>
          <t>Y</t>
        </is>
      </c>
      <c r="F532" s="330" t="inlineStr">
        <is>
          <t xml:space="preserve">진단 대상 35개 국가·리테일러에 해당하지 않음</t>
        </is>
      </c>
    </row>
    <row r="533" spans="1:15">
      <c r="A533" s="256" t="s">
        <v>345</v>
      </c>
      <c r="B533" s="256" t="s">
        <v>352</v>
      </c>
      <c r="C533" s="256" t="s">
        <v>1248</v>
      </c>
      <c r="D533" s="330" t="inlineStr">
        <is>
          <t xml:space="preserve">BT_SPEAKER</t>
        </is>
      </c>
      <c r="E533" s="330" t="inlineStr">
        <is>
          <t>Y</t>
        </is>
      </c>
      <c r="F533" s="330" t="inlineStr">
        <is>
          <t xml:space="preserve">진단 대상 35개 국가·리테일러에 해당하지 않음</t>
        </is>
      </c>
    </row>
    <row r="534" spans="1:15">
      <c r="A534" s="256" t="s">
        <v>345</v>
      </c>
      <c r="B534" s="256" t="s">
        <v>352</v>
      </c>
      <c r="C534" s="256" t="s">
        <v>1249</v>
      </c>
      <c r="D534" s="330" t="inlineStr">
        <is>
          <t xml:space="preserve">HEADSET</t>
        </is>
      </c>
      <c r="E534" s="330" t="inlineStr">
        <is>
          <t>Y</t>
        </is>
      </c>
      <c r="F534" s="330" t="inlineStr">
        <is>
          <t xml:space="preserve">진단 대상 35개 국가·리테일러에 해당하지 않음</t>
        </is>
      </c>
    </row>
    <row r="535" spans="1:15">
      <c r="A535" s="256" t="s">
        <v>345</v>
      </c>
      <c r="B535" s="256" t="s">
        <v>352</v>
      </c>
      <c r="C535" s="256" t="s">
        <v>1250</v>
      </c>
      <c r="D535" s="330" t="inlineStr">
        <is>
          <t xml:space="preserve">DRYER</t>
        </is>
      </c>
      <c r="E535" s="330" t="inlineStr">
        <is>
          <t>Y</t>
        </is>
      </c>
      <c r="F535" s="330" t="inlineStr">
        <is>
          <t xml:space="preserve">진단 대상 35개 국가·리테일러에 해당하지 않음</t>
        </is>
      </c>
    </row>
    <row r="536" spans="1:15">
      <c r="A536" s="256" t="s">
        <v>359</v>
      </c>
      <c r="B536" s="256" t="s">
        <v>750</v>
      </c>
      <c r="C536" s="256" t="s">
        <v>1251</v>
      </c>
      <c r="D536" s="330" t="inlineStr">
        <is>
          <t xml:space="preserve">REF</t>
        </is>
      </c>
      <c r="E536" s="330" t="inlineStr">
        <is>
          <t>Y</t>
        </is>
      </c>
      <c r="F536" s="330" t="inlineStr">
        <is>
          <t xml:space="preserve">진단 대상 35개 국가·리테일러에 해당하지 않음</t>
        </is>
      </c>
    </row>
    <row r="537" spans="1:15">
      <c r="A537" s="256" t="s">
        <v>359</v>
      </c>
      <c r="B537" s="256" t="s">
        <v>750</v>
      </c>
      <c r="C537" s="256" t="s">
        <v>1252</v>
      </c>
      <c r="D537" s="330" t="inlineStr">
        <is>
          <t xml:space="preserve">DRYER</t>
        </is>
      </c>
      <c r="E537" s="330" t="inlineStr">
        <is>
          <t>Y</t>
        </is>
      </c>
      <c r="F537" s="330" t="inlineStr">
        <is>
          <t xml:space="preserve">진단 대상 35개 국가·리테일러에 해당하지 않음</t>
        </is>
      </c>
    </row>
    <row r="538" spans="1:15">
      <c r="A538" s="256" t="s">
        <v>359</v>
      </c>
      <c r="B538" s="256" t="s">
        <v>750</v>
      </c>
      <c r="C538" s="256" t="s">
        <v>1253</v>
      </c>
      <c r="D538" s="330" t="inlineStr">
        <is>
          <t xml:space="preserve">AUDIO</t>
        </is>
      </c>
      <c r="E538" s="330" t="inlineStr">
        <is>
          <t>Y</t>
        </is>
      </c>
      <c r="F538" s="330" t="inlineStr">
        <is>
          <t xml:space="preserve">진단 대상 35개 국가·리테일러에 해당하지 않음</t>
        </is>
      </c>
    </row>
    <row r="539" spans="1:15">
      <c r="A539" s="256" t="s">
        <v>359</v>
      </c>
      <c r="B539" s="256" t="s">
        <v>750</v>
      </c>
      <c r="C539" s="256" t="s">
        <v>1254</v>
      </c>
      <c r="D539" s="330" t="inlineStr">
        <is>
          <t xml:space="preserve">ACCESSORY</t>
        </is>
      </c>
      <c r="E539" s="330" t="inlineStr">
        <is>
          <t>Y</t>
        </is>
      </c>
      <c r="F539" s="330" t="inlineStr">
        <is>
          <t xml:space="preserve">진단 대상 35개 국가·리테일러에 해당하지 않음</t>
        </is>
      </c>
    </row>
    <row r="540" spans="1:15">
      <c r="A540" s="256" t="s">
        <v>359</v>
      </c>
      <c r="B540" s="256" t="s">
        <v>750</v>
      </c>
      <c r="C540" s="256" t="s">
        <v>1255</v>
      </c>
      <c r="D540" s="330" t="inlineStr">
        <is>
          <t xml:space="preserve">RAC</t>
        </is>
      </c>
      <c r="E540" s="330" t="inlineStr">
        <is>
          <t>Y</t>
        </is>
      </c>
      <c r="F540" s="330" t="inlineStr">
        <is>
          <t xml:space="preserve">진단 대상 35개 국가·리테일러에 해당하지 않음</t>
        </is>
      </c>
    </row>
    <row r="541" spans="1:15">
      <c r="A541" s="256" t="s">
        <v>359</v>
      </c>
      <c r="B541" s="256" t="s">
        <v>750</v>
      </c>
      <c r="C541" s="256" t="s">
        <v>1256</v>
      </c>
      <c r="D541" s="330" t="inlineStr">
        <is>
          <t xml:space="preserve">SOUNDBAR</t>
        </is>
      </c>
      <c r="E541" s="330" t="inlineStr">
        <is>
          <t>Y</t>
        </is>
      </c>
      <c r="F541" s="330" t="inlineStr">
        <is>
          <t xml:space="preserve">진단 대상 35개 국가·리테일러에 해당하지 않음</t>
        </is>
      </c>
    </row>
    <row r="542" spans="1:15">
      <c r="A542" s="256" t="s">
        <v>359</v>
      </c>
      <c r="B542" s="256" t="s">
        <v>750</v>
      </c>
      <c r="C542" s="256" t="s">
        <v>1257</v>
      </c>
      <c r="D542" s="330" t="inlineStr">
        <is>
          <t xml:space="preserve">BT_SPEAKER</t>
        </is>
      </c>
      <c r="E542" s="330" t="inlineStr">
        <is>
          <t>Y</t>
        </is>
      </c>
      <c r="F542" s="330" t="inlineStr">
        <is>
          <t xml:space="preserve">진단 대상 35개 국가·리테일러에 해당하지 않음</t>
        </is>
      </c>
    </row>
    <row r="543" spans="1:15">
      <c r="A543" s="256" t="s">
        <v>359</v>
      </c>
      <c r="B543" s="256" t="s">
        <v>750</v>
      </c>
      <c r="C543" s="256" t="s">
        <v>1258</v>
      </c>
      <c r="D543" s="330" t="inlineStr">
        <is>
          <t xml:space="preserve">HEADSET</t>
        </is>
      </c>
      <c r="E543" s="330" t="inlineStr">
        <is>
          <t>Y</t>
        </is>
      </c>
      <c r="F543" s="330" t="inlineStr">
        <is>
          <t xml:space="preserve">진단 대상 35개 국가·리테일러에 해당하지 않음</t>
        </is>
      </c>
    </row>
    <row r="544" spans="1:15">
      <c r="A544" s="256" t="s">
        <v>359</v>
      </c>
      <c r="B544" s="256" t="s">
        <v>750</v>
      </c>
      <c r="C544" s="256" t="s">
        <v>1259</v>
      </c>
      <c r="D544" s="330" t="inlineStr">
        <is>
          <t xml:space="preserve">VACUUM</t>
        </is>
      </c>
      <c r="E544" s="330" t="inlineStr">
        <is>
          <t>Y</t>
        </is>
      </c>
      <c r="F544" s="330" t="inlineStr">
        <is>
          <t xml:space="preserve">진단 대상 35개 국가·리테일러에 해당하지 않음</t>
        </is>
      </c>
    </row>
    <row r="545" spans="1:15">
      <c r="A545" s="256" t="s">
        <v>359</v>
      </c>
      <c r="B545" s="256" t="s">
        <v>750</v>
      </c>
      <c r="C545" s="256" t="s">
        <v>1260</v>
      </c>
      <c r="D545" s="330" t="inlineStr">
        <is>
          <t xml:space="preserve">DW</t>
        </is>
      </c>
      <c r="E545" s="330" t="inlineStr">
        <is>
          <t>Y</t>
        </is>
      </c>
      <c r="F545" s="330" t="inlineStr">
        <is>
          <t xml:space="preserve">진단 대상 35개 국가·리테일러에 해당하지 않음</t>
        </is>
      </c>
    </row>
    <row r="546" spans="1:15">
      <c r="A546" s="256" t="s">
        <v>359</v>
      </c>
      <c r="B546" s="256" t="s">
        <v>750</v>
      </c>
      <c r="C546" s="256" t="s">
        <v>1261</v>
      </c>
      <c r="D546" s="330" t="inlineStr">
        <is>
          <t xml:space="preserve">DRYER</t>
        </is>
      </c>
      <c r="E546" s="330" t="inlineStr">
        <is>
          <t>Y</t>
        </is>
      </c>
      <c r="F546" s="330" t="inlineStr">
        <is>
          <t xml:space="preserve">진단 대상 35개 국가·리테일러에 해당하지 않음</t>
        </is>
      </c>
    </row>
    <row r="547" spans="1:15">
      <c r="A547" s="256" t="s">
        <v>359</v>
      </c>
      <c r="B547" s="256" t="s">
        <v>750</v>
      </c>
      <c r="C547" s="256" t="s">
        <v>1262</v>
      </c>
      <c r="D547" s="330" t="inlineStr">
        <is>
          <t xml:space="preserve">OVEN</t>
        </is>
      </c>
      <c r="E547" s="330" t="inlineStr">
        <is>
          <t>Y</t>
        </is>
      </c>
      <c r="F547" s="330" t="inlineStr">
        <is>
          <t xml:space="preserve">진단 대상 35개 국가·리테일러에 해당하지 않음</t>
        </is>
      </c>
    </row>
    <row r="548" spans="1:15">
      <c r="A548" s="256" t="s">
        <v>359</v>
      </c>
      <c r="B548" s="256" t="s">
        <v>750</v>
      </c>
      <c r="C548" s="256" t="s">
        <v>1263</v>
      </c>
      <c r="D548" s="330" t="inlineStr">
        <is>
          <t xml:space="preserve">STYLER</t>
        </is>
      </c>
      <c r="E548" s="330" t="inlineStr">
        <is>
          <t>Y</t>
        </is>
      </c>
      <c r="F548" s="330" t="inlineStr">
        <is>
          <t xml:space="preserve">진단 대상 35개 국가·리테일러에 해당하지 않음</t>
        </is>
      </c>
    </row>
    <row r="549" spans="1:15">
      <c r="A549" s="256" t="s">
        <v>230</v>
      </c>
      <c r="B549" s="256" t="s">
        <v>231</v>
      </c>
      <c r="C549" s="256" t="s">
        <v>1264</v>
      </c>
      <c r="D549" s="330" t="inlineStr">
        <is>
          <t xml:space="preserve">RAC</t>
        </is>
      </c>
      <c r="E549" s="330" t="inlineStr">
        <is>
          <t>Y</t>
        </is>
      </c>
      <c r="F549" s="330" t="inlineStr">
        <is>
          <t xml:space="preserve">진단 대상 35개 국가·리테일러에 해당하지 않음</t>
        </is>
      </c>
    </row>
    <row r="550" spans="1:15">
      <c r="A550" s="256" t="s">
        <v>230</v>
      </c>
      <c r="B550" s="256" t="s">
        <v>231</v>
      </c>
      <c r="C550" s="256" t="s">
        <v>1264</v>
      </c>
      <c r="D550" s="330" t="inlineStr">
        <is>
          <t xml:space="preserve">RAC</t>
        </is>
      </c>
      <c r="E550" s="330" t="inlineStr">
        <is>
          <t>Y</t>
        </is>
      </c>
      <c r="F550" s="330" t="inlineStr">
        <is>
          <t xml:space="preserve">진단 대상 35개 국가·리테일러에 해당하지 않음</t>
        </is>
      </c>
    </row>
    <row r="551" spans="1:15">
      <c r="A551" s="256" t="s">
        <v>230</v>
      </c>
      <c r="B551" s="256" t="s">
        <v>231</v>
      </c>
      <c r="C551" s="256" t="s">
        <v>1265</v>
      </c>
      <c r="D551" s="330" t="inlineStr">
        <is>
          <t xml:space="preserve">RAC</t>
        </is>
      </c>
      <c r="E551" s="330" t="inlineStr">
        <is>
          <t>Y</t>
        </is>
      </c>
      <c r="F551" s="330" t="inlineStr">
        <is>
          <t xml:space="preserve">진단 대상 35개 국가·리테일러에 해당하지 않음</t>
        </is>
      </c>
    </row>
    <row r="552" spans="1:15">
      <c r="A552" s="256" t="s">
        <v>230</v>
      </c>
      <c r="B552" s="256" t="s">
        <v>231</v>
      </c>
      <c r="C552" s="256" t="s">
        <v>1266</v>
      </c>
      <c r="D552" s="330" t="inlineStr">
        <is>
          <t xml:space="preserve">RAC</t>
        </is>
      </c>
      <c r="E552" s="330" t="inlineStr">
        <is>
          <t>Y</t>
        </is>
      </c>
      <c r="F552" s="330" t="inlineStr">
        <is>
          <t xml:space="preserve">진단 대상 35개 국가·리테일러에 해당하지 않음</t>
        </is>
      </c>
    </row>
    <row r="553" spans="1:15">
      <c r="A553" s="256" t="s">
        <v>230</v>
      </c>
      <c r="B553" s="256" t="s">
        <v>231</v>
      </c>
      <c r="C553" s="256" t="s">
        <v>1267</v>
      </c>
      <c r="D553" s="330" t="inlineStr">
        <is>
          <t xml:space="preserve">RAC</t>
        </is>
      </c>
      <c r="E553" s="330" t="inlineStr">
        <is>
          <t>Y</t>
        </is>
      </c>
      <c r="F553" s="330" t="inlineStr">
        <is>
          <t xml:space="preserve">진단 대상 35개 국가·리테일러에 해당하지 않음</t>
        </is>
      </c>
    </row>
    <row r="554" spans="1:15">
      <c r="A554" s="256" t="s">
        <v>230</v>
      </c>
      <c r="B554" s="256" t="s">
        <v>231</v>
      </c>
      <c r="C554" s="256" t="s">
        <v>1268</v>
      </c>
      <c r="D554" s="330" t="inlineStr">
        <is>
          <t xml:space="preserve">REF</t>
        </is>
      </c>
      <c r="E554" s="330" t="inlineStr">
        <is>
          <t>Y</t>
        </is>
      </c>
      <c r="F554" s="330" t="inlineStr">
        <is>
          <t xml:space="preserve">진단 대상 35개 국가·리테일러에 해당하지 않음</t>
        </is>
      </c>
    </row>
    <row r="555" spans="1:15">
      <c r="A555" s="256" t="s">
        <v>230</v>
      </c>
      <c r="B555" s="256" t="s">
        <v>231</v>
      </c>
      <c r="C555" s="256" t="s">
        <v>1269</v>
      </c>
      <c r="D555" s="330" t="inlineStr">
        <is>
          <t xml:space="preserve">REF</t>
        </is>
      </c>
      <c r="E555" s="330" t="inlineStr">
        <is>
          <t>Y</t>
        </is>
      </c>
      <c r="F555" s="330" t="inlineStr">
        <is>
          <t xml:space="preserve">진단 대상 35개 국가·리테일러에 해당하지 않음</t>
        </is>
      </c>
    </row>
    <row r="556" spans="1:15">
      <c r="A556" s="256" t="s">
        <v>230</v>
      </c>
      <c r="B556" s="256" t="s">
        <v>231</v>
      </c>
      <c r="C556" s="256" t="s">
        <v>1270</v>
      </c>
      <c r="D556" s="330" t="inlineStr">
        <is>
          <t xml:space="preserve">REF</t>
        </is>
      </c>
      <c r="E556" s="330" t="inlineStr">
        <is>
          <t>Y</t>
        </is>
      </c>
      <c r="F556" s="330" t="inlineStr">
        <is>
          <t xml:space="preserve">진단 대상 35개 국가·리테일러에 해당하지 않음</t>
        </is>
      </c>
    </row>
    <row r="557" spans="1:15">
      <c r="A557" s="256" t="s">
        <v>230</v>
      </c>
      <c r="B557" s="256" t="s">
        <v>231</v>
      </c>
      <c r="C557" s="256" t="s">
        <v>1270</v>
      </c>
      <c r="D557" s="330" t="inlineStr">
        <is>
          <t xml:space="preserve">REF</t>
        </is>
      </c>
      <c r="E557" s="330" t="inlineStr">
        <is>
          <t>Y</t>
        </is>
      </c>
      <c r="F557" s="330" t="inlineStr">
        <is>
          <t xml:space="preserve">진단 대상 35개 국가·리테일러에 해당하지 않음</t>
        </is>
      </c>
    </row>
    <row r="558" spans="1:15">
      <c r="A558" s="256" t="s">
        <v>230</v>
      </c>
      <c r="B558" s="256" t="s">
        <v>231</v>
      </c>
      <c r="C558" s="256" t="s">
        <v>1271</v>
      </c>
      <c r="D558" s="330" t="inlineStr">
        <is>
          <t xml:space="preserve">REF</t>
        </is>
      </c>
      <c r="E558" s="330" t="inlineStr">
        <is>
          <t>Y</t>
        </is>
      </c>
      <c r="F558" s="330" t="inlineStr">
        <is>
          <t xml:space="preserve">진단 대상 35개 국가·리테일러에 해당하지 않음</t>
        </is>
      </c>
    </row>
    <row r="559" spans="1:15">
      <c r="A559" s="256" t="s">
        <v>230</v>
      </c>
      <c r="B559" s="256" t="s">
        <v>231</v>
      </c>
      <c r="C559" s="256" t="s">
        <v>1272</v>
      </c>
      <c r="D559" s="330" t="inlineStr">
        <is>
          <t xml:space="preserve">REF</t>
        </is>
      </c>
      <c r="E559" s="330" t="inlineStr">
        <is>
          <t>Y</t>
        </is>
      </c>
      <c r="F559" s="330" t="inlineStr">
        <is>
          <t xml:space="preserve">진단 대상 35개 국가·리테일러에 해당하지 않음</t>
        </is>
      </c>
    </row>
    <row r="560" spans="1:15">
      <c r="A560" s="256" t="s">
        <v>230</v>
      </c>
      <c r="B560" s="256" t="s">
        <v>231</v>
      </c>
      <c r="C560" s="256" t="s">
        <v>1273</v>
      </c>
      <c r="D560" s="330" t="inlineStr">
        <is>
          <t xml:space="preserve">WM</t>
        </is>
      </c>
      <c r="E560" s="330" t="inlineStr">
        <is>
          <t>Y</t>
        </is>
      </c>
      <c r="F560" s="330" t="inlineStr">
        <is>
          <t xml:space="preserve">진단 대상 35개 국가·리테일러에 해당하지 않음</t>
        </is>
      </c>
    </row>
    <row r="561" spans="1:15">
      <c r="A561" s="256" t="s">
        <v>230</v>
      </c>
      <c r="B561" s="256" t="s">
        <v>231</v>
      </c>
      <c r="C561" s="256" t="s">
        <v>1274</v>
      </c>
      <c r="D561" s="330" t="inlineStr">
        <is>
          <t xml:space="preserve">WM</t>
        </is>
      </c>
      <c r="E561" s="330" t="inlineStr">
        <is>
          <t>Y</t>
        </is>
      </c>
      <c r="F561" s="330" t="inlineStr">
        <is>
          <t xml:space="preserve">진단 대상 35개 국가·리테일러에 해당하지 않음</t>
        </is>
      </c>
    </row>
    <row r="562" spans="1:15">
      <c r="A562" s="256" t="s">
        <v>230</v>
      </c>
      <c r="B562" s="256" t="s">
        <v>231</v>
      </c>
      <c r="C562" s="256" t="s">
        <v>1275</v>
      </c>
      <c r="D562" s="330" t="inlineStr">
        <is>
          <t xml:space="preserve">WM</t>
        </is>
      </c>
      <c r="E562" s="330" t="inlineStr">
        <is>
          <t>Y</t>
        </is>
      </c>
      <c r="F562" s="330" t="inlineStr">
        <is>
          <t xml:space="preserve">진단 대상 35개 국가·리테일러에 해당하지 않음</t>
        </is>
      </c>
    </row>
    <row r="563" spans="1:15">
      <c r="A563" s="256" t="s">
        <v>230</v>
      </c>
      <c r="B563" s="256" t="s">
        <v>231</v>
      </c>
      <c r="C563" s="256" t="s">
        <v>1276</v>
      </c>
      <c r="D563" s="330" t="inlineStr">
        <is>
          <t xml:space="preserve">WM</t>
        </is>
      </c>
      <c r="E563" s="330" t="inlineStr">
        <is>
          <t>Y</t>
        </is>
      </c>
      <c r="F563" s="330" t="inlineStr">
        <is>
          <t xml:space="preserve">진단 대상 35개 국가·리테일러에 해당하지 않음</t>
        </is>
      </c>
    </row>
    <row r="564" spans="1:15">
      <c r="A564" s="256" t="s">
        <v>230</v>
      </c>
      <c r="B564" s="256" t="s">
        <v>231</v>
      </c>
      <c r="C564" s="256" t="s">
        <v>1277</v>
      </c>
      <c r="D564" s="330" t="inlineStr">
        <is>
          <t xml:space="preserve">WM</t>
        </is>
      </c>
      <c r="E564" s="330" t="inlineStr">
        <is>
          <t>Y</t>
        </is>
      </c>
      <c r="F564" s="330" t="inlineStr">
        <is>
          <t xml:space="preserve">진단 대상 35개 국가·리테일러에 해당하지 않음</t>
        </is>
      </c>
    </row>
    <row r="565" spans="1:15">
      <c r="A565" s="256" t="s">
        <v>230</v>
      </c>
      <c r="B565" s="256" t="s">
        <v>231</v>
      </c>
      <c r="C565" s="256" t="s">
        <v>1278</v>
      </c>
      <c r="D565" s="330" t="inlineStr">
        <is>
          <t xml:space="preserve">WM</t>
        </is>
      </c>
      <c r="E565" s="330" t="inlineStr">
        <is>
          <t>Y</t>
        </is>
      </c>
      <c r="F565" s="330" t="inlineStr">
        <is>
          <t xml:space="preserve">진단 대상 35개 국가·리테일러에 해당하지 않음</t>
        </is>
      </c>
    </row>
    <row r="566" spans="1:15">
      <c r="A566" s="256" t="s">
        <v>230</v>
      </c>
      <c r="B566" s="256" t="s">
        <v>231</v>
      </c>
      <c r="C566" s="256" t="s">
        <v>1279</v>
      </c>
      <c r="D566" s="330" t="inlineStr">
        <is>
          <t xml:space="preserve">AIR_PURIFIER</t>
        </is>
      </c>
      <c r="E566" s="330" t="inlineStr">
        <is>
          <t>Y</t>
        </is>
      </c>
      <c r="F566" s="330" t="inlineStr">
        <is>
          <t xml:space="preserve">진단 대상 35개 국가·리테일러에 해당하지 않음</t>
        </is>
      </c>
    </row>
    <row r="567" spans="1:15">
      <c r="A567" s="256" t="s">
        <v>230</v>
      </c>
      <c r="B567" s="256" t="s">
        <v>231</v>
      </c>
      <c r="C567" s="256" t="s">
        <v>1280</v>
      </c>
      <c r="D567" s="330" t="inlineStr">
        <is>
          <t xml:space="preserve">BT_SPEAKER</t>
        </is>
      </c>
      <c r="E567" s="330" t="inlineStr">
        <is>
          <t>Y</t>
        </is>
      </c>
      <c r="F567" s="330" t="inlineStr">
        <is>
          <t xml:space="preserve">진단 대상 35개 국가·리테일러에 해당하지 않음</t>
        </is>
      </c>
    </row>
    <row r="568" spans="1:15">
      <c r="A568" s="256" t="s">
        <v>230</v>
      </c>
      <c r="B568" s="256" t="s">
        <v>231</v>
      </c>
      <c r="C568" s="256" t="s">
        <v>1281</v>
      </c>
      <c r="D568" s="330" t="inlineStr">
        <is>
          <t xml:space="preserve">HEADSET</t>
        </is>
      </c>
      <c r="E568" s="330" t="inlineStr">
        <is>
          <t>Y</t>
        </is>
      </c>
      <c r="F568" s="330" t="inlineStr">
        <is>
          <t xml:space="preserve">진단 대상 35개 국가·리테일러에 해당하지 않음</t>
        </is>
      </c>
    </row>
    <row r="569" spans="1:15">
      <c r="A569" s="256" t="s">
        <v>230</v>
      </c>
      <c r="B569" s="256" t="s">
        <v>231</v>
      </c>
      <c r="C569" s="256" t="s">
        <v>1282</v>
      </c>
      <c r="D569" s="330" t="inlineStr">
        <is>
          <t xml:space="preserve">SOUNDBAR</t>
        </is>
      </c>
      <c r="E569" s="330" t="inlineStr">
        <is>
          <t>Y</t>
        </is>
      </c>
      <c r="F569" s="330" t="inlineStr">
        <is>
          <t xml:space="preserve">진단 대상 35개 국가·리테일러에 해당하지 않음</t>
        </is>
      </c>
    </row>
    <row r="570" spans="1:15">
      <c r="A570" s="256" t="s">
        <v>230</v>
      </c>
      <c r="B570" s="256" t="s">
        <v>231</v>
      </c>
      <c r="C570" s="256" t="s">
        <v>1283</v>
      </c>
      <c r="D570" s="330" t="inlineStr">
        <is>
          <t xml:space="preserve">TV</t>
        </is>
      </c>
      <c r="E570" s="330" t="inlineStr">
        <is>
          <t>Y</t>
        </is>
      </c>
      <c r="F570" s="330" t="inlineStr">
        <is>
          <t xml:space="preserve">진단 대상 35개 국가·리테일러에 해당하지 않음</t>
        </is>
      </c>
    </row>
    <row r="571" spans="1:15">
      <c r="A571" s="256" t="s">
        <v>230</v>
      </c>
      <c r="B571" s="256" t="s">
        <v>231</v>
      </c>
      <c r="C571" s="256" t="s">
        <v>1284</v>
      </c>
      <c r="D571" s="330" t="inlineStr">
        <is>
          <t xml:space="preserve">TV</t>
        </is>
      </c>
      <c r="E571" s="330" t="inlineStr">
        <is>
          <t>Y</t>
        </is>
      </c>
      <c r="F571" s="330" t="inlineStr">
        <is>
          <t xml:space="preserve">진단 대상 35개 국가·리테일러에 해당하지 않음</t>
        </is>
      </c>
    </row>
    <row r="572" spans="1:15">
      <c r="A572" s="256" t="s">
        <v>230</v>
      </c>
      <c r="B572" s="256" t="s">
        <v>231</v>
      </c>
      <c r="C572" s="256" t="s">
        <v>1285</v>
      </c>
      <c r="D572" s="330" t="inlineStr">
        <is>
          <t xml:space="preserve">TV</t>
        </is>
      </c>
      <c r="E572" s="330" t="inlineStr">
        <is>
          <t>Y</t>
        </is>
      </c>
      <c r="F572" s="330" t="inlineStr">
        <is>
          <t xml:space="preserve">진단 대상 35개 국가·리테일러에 해당하지 않음</t>
        </is>
      </c>
    </row>
    <row r="573" spans="1:15">
      <c r="A573" s="256" t="s">
        <v>230</v>
      </c>
      <c r="B573" s="256" t="s">
        <v>231</v>
      </c>
      <c r="C573" s="256" t="s">
        <v>1286</v>
      </c>
      <c r="D573" s="330" t="inlineStr">
        <is>
          <t xml:space="preserve">TV</t>
        </is>
      </c>
      <c r="E573" s="330" t="inlineStr">
        <is>
          <t>Y</t>
        </is>
      </c>
      <c r="F573" s="330" t="inlineStr">
        <is>
          <t xml:space="preserve">진단 대상 35개 국가·리테일러에 해당하지 않음</t>
        </is>
      </c>
    </row>
    <row r="574" spans="1:15">
      <c r="A574" s="256" t="s">
        <v>230</v>
      </c>
      <c r="B574" s="256" t="s">
        <v>231</v>
      </c>
      <c r="C574" s="256" t="s">
        <v>1287</v>
      </c>
      <c r="D574" s="330" t="inlineStr">
        <is>
          <t xml:space="preserve">MNT</t>
        </is>
      </c>
      <c r="E574" s="330" t="inlineStr">
        <is>
          <t>Y</t>
        </is>
      </c>
      <c r="F574" s="330" t="inlineStr">
        <is>
          <t xml:space="preserve">진단 대상 35개 국가·리테일러에 해당하지 않음</t>
        </is>
      </c>
    </row>
    <row r="575" spans="1:15">
      <c r="A575" s="256" t="s">
        <v>230</v>
      </c>
      <c r="B575" s="256" t="s">
        <v>231</v>
      </c>
      <c r="C575" s="256" t="s">
        <v>1288</v>
      </c>
      <c r="D575" s="330" t="inlineStr">
        <is>
          <t xml:space="preserve">DRYER</t>
        </is>
      </c>
      <c r="E575" s="330" t="inlineStr">
        <is>
          <t>Y</t>
        </is>
      </c>
      <c r="F575" s="330" t="inlineStr">
        <is>
          <t xml:space="preserve">진단 대상 35개 국가·리테일러에 해당하지 않음</t>
        </is>
      </c>
    </row>
    <row r="576" spans="1:15">
      <c r="A576" s="256" t="s">
        <v>230</v>
      </c>
      <c r="B576" s="256" t="s">
        <v>231</v>
      </c>
      <c r="C576" s="256" t="s">
        <v>1289</v>
      </c>
      <c r="D576" s="332" t="inlineStr">
        <is>
          <t xml:space="preserve">UNKNOWN</t>
        </is>
      </c>
      <c r="E576" s="330" t="inlineStr">
        <is>
          <t>Y</t>
        </is>
      </c>
      <c r="F576" s="330" t="inlineStr">
        <is>
          <t xml:space="preserve">진단 대상 35개 국가·리테일러에 해당하지 않음</t>
        </is>
      </c>
    </row>
    <row r="577" spans="1:15">
      <c r="A577" s="256" t="s">
        <v>201</v>
      </c>
      <c r="B577" s="256" t="s">
        <v>206</v>
      </c>
      <c r="C577" s="256" t="s">
        <v>1290</v>
      </c>
      <c r="D577" s="330" t="inlineStr">
        <is>
          <t xml:space="preserve">TV</t>
        </is>
      </c>
      <c r="E577" s="330" t="inlineStr">
        <is>
          <t>Y</t>
        </is>
      </c>
      <c r="F577" s="330" t="inlineStr">
        <is>
          <t xml:space="preserve">진단 대상 35개 국가·리테일러에 해당하지 않음</t>
        </is>
      </c>
    </row>
    <row r="578" spans="1:15">
      <c r="A578" s="256" t="s">
        <v>201</v>
      </c>
      <c r="B578" s="256" t="s">
        <v>206</v>
      </c>
      <c r="C578" s="256" t="s">
        <v>1291</v>
      </c>
      <c r="D578" s="330" t="inlineStr">
        <is>
          <t xml:space="preserve">TV</t>
        </is>
      </c>
      <c r="E578" s="330" t="inlineStr">
        <is>
          <t>Y</t>
        </is>
      </c>
      <c r="F578" s="330" t="inlineStr">
        <is>
          <t xml:space="preserve">진단 대상 35개 국가·리테일러에 해당하지 않음</t>
        </is>
      </c>
    </row>
    <row r="579" spans="1:15">
      <c r="A579" s="256" t="s">
        <v>201</v>
      </c>
      <c r="B579" s="256" t="s">
        <v>206</v>
      </c>
      <c r="C579" s="256" t="s">
        <v>1292</v>
      </c>
      <c r="D579" s="330" t="inlineStr">
        <is>
          <t xml:space="preserve">TV</t>
        </is>
      </c>
      <c r="E579" s="330" t="inlineStr">
        <is>
          <t>Y</t>
        </is>
      </c>
      <c r="F579" s="330" t="inlineStr">
        <is>
          <t xml:space="preserve">진단 대상 35개 국가·리테일러에 해당하지 않음</t>
        </is>
      </c>
    </row>
    <row r="580" spans="1:15">
      <c r="A580" s="256" t="s">
        <v>201</v>
      </c>
      <c r="B580" s="256" t="s">
        <v>206</v>
      </c>
      <c r="C580" s="256" t="s">
        <v>1293</v>
      </c>
      <c r="D580" s="330" t="inlineStr">
        <is>
          <t xml:space="preserve">TV</t>
        </is>
      </c>
      <c r="E580" s="330" t="inlineStr">
        <is>
          <t>Y</t>
        </is>
      </c>
      <c r="F580" s="330" t="inlineStr">
        <is>
          <t xml:space="preserve">진단 대상 35개 국가·리테일러에 해당하지 않음</t>
        </is>
      </c>
    </row>
    <row r="581" spans="1:15">
      <c r="A581" s="256" t="s">
        <v>201</v>
      </c>
      <c r="B581" s="256" t="s">
        <v>206</v>
      </c>
      <c r="C581" s="256" t="s">
        <v>1294</v>
      </c>
      <c r="D581" s="330" t="inlineStr">
        <is>
          <t xml:space="preserve">TV</t>
        </is>
      </c>
      <c r="E581" s="330" t="inlineStr">
        <is>
          <t>Y</t>
        </is>
      </c>
      <c r="F581" s="330" t="inlineStr">
        <is>
          <t xml:space="preserve">진단 대상 35개 국가·리테일러에 해당하지 않음</t>
        </is>
      </c>
    </row>
    <row r="582" spans="1:15">
      <c r="A582" s="256" t="s">
        <v>201</v>
      </c>
      <c r="B582" s="256" t="s">
        <v>206</v>
      </c>
      <c r="C582" s="256" t="s">
        <v>1295</v>
      </c>
      <c r="D582" s="330" t="inlineStr">
        <is>
          <t xml:space="preserve">REF</t>
        </is>
      </c>
      <c r="E582" s="330" t="inlineStr">
        <is>
          <t>Y</t>
        </is>
      </c>
      <c r="F582" s="330" t="inlineStr">
        <is>
          <t xml:space="preserve">진단 대상 35개 국가·리테일러에 해당하지 않음</t>
        </is>
      </c>
    </row>
    <row r="583" spans="1:15">
      <c r="A583" s="256" t="s">
        <v>201</v>
      </c>
      <c r="B583" s="256" t="s">
        <v>206</v>
      </c>
      <c r="C583" s="256" t="s">
        <v>1296</v>
      </c>
      <c r="D583" s="330" t="inlineStr">
        <is>
          <t xml:space="preserve">REF</t>
        </is>
      </c>
      <c r="E583" s="330" t="inlineStr">
        <is>
          <t>Y</t>
        </is>
      </c>
      <c r="F583" s="330" t="inlineStr">
        <is>
          <t xml:space="preserve">진단 대상 35개 국가·리테일러에 해당하지 않음</t>
        </is>
      </c>
    </row>
    <row r="584" spans="1:15">
      <c r="A584" s="256" t="s">
        <v>201</v>
      </c>
      <c r="B584" s="256" t="s">
        <v>206</v>
      </c>
      <c r="C584" s="256" t="s">
        <v>1297</v>
      </c>
      <c r="D584" s="330" t="inlineStr">
        <is>
          <t xml:space="preserve">REF</t>
        </is>
      </c>
      <c r="E584" s="330" t="inlineStr">
        <is>
          <t>Y</t>
        </is>
      </c>
      <c r="F584" s="330" t="inlineStr">
        <is>
          <t xml:space="preserve">진단 대상 35개 국가·리테일러에 해당하지 않음</t>
        </is>
      </c>
    </row>
    <row r="585" spans="1:15">
      <c r="A585" s="256" t="s">
        <v>201</v>
      </c>
      <c r="B585" s="256" t="s">
        <v>206</v>
      </c>
      <c r="C585" s="256" t="s">
        <v>1298</v>
      </c>
      <c r="D585" s="330" t="inlineStr">
        <is>
          <t xml:space="preserve">REF</t>
        </is>
      </c>
      <c r="E585" s="330" t="inlineStr">
        <is>
          <t>Y</t>
        </is>
      </c>
      <c r="F585" s="330" t="inlineStr">
        <is>
          <t xml:space="preserve">진단 대상 35개 국가·리테일러에 해당하지 않음</t>
        </is>
      </c>
    </row>
    <row r="586" spans="1:15">
      <c r="A586" s="256" t="s">
        <v>201</v>
      </c>
      <c r="B586" s="256" t="s">
        <v>206</v>
      </c>
      <c r="C586" s="256" t="s">
        <v>1299</v>
      </c>
      <c r="D586" s="330" t="inlineStr">
        <is>
          <t xml:space="preserve">REF</t>
        </is>
      </c>
      <c r="E586" s="330" t="inlineStr">
        <is>
          <t>Y</t>
        </is>
      </c>
      <c r="F586" s="330" t="inlineStr">
        <is>
          <t xml:space="preserve">진단 대상 35개 국가·리테일러에 해당하지 않음</t>
        </is>
      </c>
    </row>
    <row r="587" spans="1:15">
      <c r="A587" s="256" t="s">
        <v>201</v>
      </c>
      <c r="B587" s="256" t="s">
        <v>206</v>
      </c>
      <c r="C587" s="256" t="s">
        <v>1300</v>
      </c>
      <c r="D587" s="330" t="inlineStr">
        <is>
          <t xml:space="preserve">WM</t>
        </is>
      </c>
      <c r="E587" s="330" t="inlineStr">
        <is>
          <t>Y</t>
        </is>
      </c>
      <c r="F587" s="330" t="inlineStr">
        <is>
          <t xml:space="preserve">진단 대상 35개 국가·리테일러에 해당하지 않음</t>
        </is>
      </c>
    </row>
    <row r="588" spans="1:15">
      <c r="A588" s="256" t="s">
        <v>201</v>
      </c>
      <c r="B588" s="256" t="s">
        <v>206</v>
      </c>
      <c r="C588" s="256" t="s">
        <v>1301</v>
      </c>
      <c r="D588" s="330" t="inlineStr">
        <is>
          <t xml:space="preserve">WM</t>
        </is>
      </c>
      <c r="E588" s="330" t="inlineStr">
        <is>
          <t>Y</t>
        </is>
      </c>
      <c r="F588" s="330" t="inlineStr">
        <is>
          <t xml:space="preserve">진단 대상 35개 국가·리테일러에 해당하지 않음</t>
        </is>
      </c>
    </row>
    <row r="589" spans="1:15">
      <c r="A589" s="256" t="s">
        <v>201</v>
      </c>
      <c r="B589" s="256" t="s">
        <v>206</v>
      </c>
      <c r="C589" s="256" t="s">
        <v>1302</v>
      </c>
      <c r="D589" s="330" t="inlineStr">
        <is>
          <t xml:space="preserve">WM</t>
        </is>
      </c>
      <c r="E589" s="330" t="inlineStr">
        <is>
          <t>Y</t>
        </is>
      </c>
      <c r="F589" s="330" t="inlineStr">
        <is>
          <t xml:space="preserve">진단 대상 35개 국가·리테일러에 해당하지 않음</t>
        </is>
      </c>
    </row>
    <row r="590" spans="1:15">
      <c r="A590" s="256" t="s">
        <v>201</v>
      </c>
      <c r="B590" s="256" t="s">
        <v>206</v>
      </c>
      <c r="C590" s="256" t="s">
        <v>1303</v>
      </c>
      <c r="D590" s="330" t="inlineStr">
        <is>
          <t xml:space="preserve">WM</t>
        </is>
      </c>
      <c r="E590" s="330" t="inlineStr">
        <is>
          <t>Y</t>
        </is>
      </c>
      <c r="F590" s="330" t="inlineStr">
        <is>
          <t xml:space="preserve">진단 대상 35개 국가·리테일러에 해당하지 않음</t>
        </is>
      </c>
    </row>
    <row r="591" spans="1:15">
      <c r="A591" s="256" t="s">
        <v>201</v>
      </c>
      <c r="B591" s="256" t="s">
        <v>206</v>
      </c>
      <c r="C591" s="256" t="s">
        <v>1304</v>
      </c>
      <c r="D591" s="330" t="inlineStr">
        <is>
          <t xml:space="preserve">WM</t>
        </is>
      </c>
      <c r="E591" s="330" t="inlineStr">
        <is>
          <t>Y</t>
        </is>
      </c>
      <c r="F591" s="330" t="inlineStr">
        <is>
          <t xml:space="preserve">진단 대상 35개 국가·리테일러에 해당하지 않음</t>
        </is>
      </c>
    </row>
    <row r="592" spans="1:15">
      <c r="A592" s="256" t="s">
        <v>201</v>
      </c>
      <c r="B592" s="256" t="s">
        <v>206</v>
      </c>
      <c r="C592" s="256" t="s">
        <v>1305</v>
      </c>
      <c r="D592" s="330" t="inlineStr">
        <is>
          <t xml:space="preserve">DRYER</t>
        </is>
      </c>
      <c r="E592" s="330" t="inlineStr">
        <is>
          <t>Y</t>
        </is>
      </c>
      <c r="F592" s="330" t="inlineStr">
        <is>
          <t xml:space="preserve">진단 대상 35개 국가·리테일러에 해당하지 않음</t>
        </is>
      </c>
    </row>
    <row r="593" spans="1:15">
      <c r="A593" s="256" t="s">
        <v>201</v>
      </c>
      <c r="B593" s="256" t="s">
        <v>206</v>
      </c>
      <c r="C593" s="256" t="s">
        <v>1306</v>
      </c>
      <c r="D593" s="330" t="inlineStr">
        <is>
          <t xml:space="preserve">DRYER</t>
        </is>
      </c>
      <c r="E593" s="330" t="inlineStr">
        <is>
          <t>Y</t>
        </is>
      </c>
      <c r="F593" s="330" t="inlineStr">
        <is>
          <t xml:space="preserve">진단 대상 35개 국가·리테일러에 해당하지 않음</t>
        </is>
      </c>
    </row>
    <row r="594" spans="1:15">
      <c r="A594" s="256" t="s">
        <v>201</v>
      </c>
      <c r="B594" s="256" t="s">
        <v>206</v>
      </c>
      <c r="C594" s="256" t="s">
        <v>1307</v>
      </c>
      <c r="D594" s="330" t="inlineStr">
        <is>
          <t xml:space="preserve">DRYER</t>
        </is>
      </c>
      <c r="E594" s="330" t="inlineStr">
        <is>
          <t>Y</t>
        </is>
      </c>
      <c r="F594" s="330" t="inlineStr">
        <is>
          <t xml:space="preserve">진단 대상 35개 국가·리테일러에 해당하지 않음</t>
        </is>
      </c>
    </row>
    <row r="595" spans="1:15">
      <c r="A595" s="256" t="s">
        <v>201</v>
      </c>
      <c r="B595" s="256" t="s">
        <v>206</v>
      </c>
      <c r="C595" s="256" t="s">
        <v>1308</v>
      </c>
      <c r="D595" s="330" t="inlineStr">
        <is>
          <t xml:space="preserve">DRYER</t>
        </is>
      </c>
      <c r="E595" s="330" t="inlineStr">
        <is>
          <t>Y</t>
        </is>
      </c>
      <c r="F595" s="330" t="inlineStr">
        <is>
          <t xml:space="preserve">진단 대상 35개 국가·리테일러에 해당하지 않음</t>
        </is>
      </c>
    </row>
    <row r="596" spans="1:15">
      <c r="A596" s="256" t="s">
        <v>201</v>
      </c>
      <c r="B596" s="256" t="s">
        <v>206</v>
      </c>
      <c r="C596" s="256" t="s">
        <v>1309</v>
      </c>
      <c r="D596" s="330" t="inlineStr">
        <is>
          <t xml:space="preserve">DW</t>
        </is>
      </c>
      <c r="E596" s="330" t="inlineStr">
        <is>
          <t>Y</t>
        </is>
      </c>
      <c r="F596" s="330" t="inlineStr">
        <is>
          <t xml:space="preserve">진단 대상 35개 국가·리테일러에 해당하지 않음</t>
        </is>
      </c>
    </row>
    <row r="597" spans="1:15">
      <c r="A597" s="256" t="s">
        <v>201</v>
      </c>
      <c r="B597" s="256" t="s">
        <v>206</v>
      </c>
      <c r="C597" s="256" t="s">
        <v>1310</v>
      </c>
      <c r="D597" s="330" t="inlineStr">
        <is>
          <t xml:space="preserve">BT_SPEAKER</t>
        </is>
      </c>
      <c r="E597" s="330" t="inlineStr">
        <is>
          <t>Y</t>
        </is>
      </c>
      <c r="F597" s="330" t="inlineStr">
        <is>
          <t xml:space="preserve">진단 대상 35개 국가·리테일러에 해당하지 않음</t>
        </is>
      </c>
    </row>
    <row r="598" spans="1:15">
      <c r="A598" s="256" t="s">
        <v>201</v>
      </c>
      <c r="B598" s="256" t="s">
        <v>206</v>
      </c>
      <c r="C598" s="256" t="s">
        <v>1311</v>
      </c>
      <c r="D598" s="330" t="inlineStr">
        <is>
          <t xml:space="preserve">SOUNDBAR</t>
        </is>
      </c>
      <c r="E598" s="330" t="inlineStr">
        <is>
          <t>Y</t>
        </is>
      </c>
      <c r="F598" s="330" t="inlineStr">
        <is>
          <t xml:space="preserve">진단 대상 35개 국가·리테일러에 해당하지 않음</t>
        </is>
      </c>
    </row>
    <row r="599" spans="1:15">
      <c r="A599" s="256" t="s">
        <v>201</v>
      </c>
      <c r="B599" s="256" t="s">
        <v>206</v>
      </c>
      <c r="C599" s="256" t="s">
        <v>1312</v>
      </c>
      <c r="D599" s="330" t="inlineStr">
        <is>
          <t xml:space="preserve">BT_SPEAKER</t>
        </is>
      </c>
      <c r="E599" s="330" t="inlineStr">
        <is>
          <t>Y</t>
        </is>
      </c>
      <c r="F599" s="330" t="inlineStr">
        <is>
          <t xml:space="preserve">진단 대상 35개 국가·리테일러에 해당하지 않음</t>
        </is>
      </c>
    </row>
    <row r="600" spans="1:15">
      <c r="A600" s="256" t="s">
        <v>201</v>
      </c>
      <c r="B600" s="256" t="s">
        <v>206</v>
      </c>
      <c r="C600" s="256" t="s">
        <v>1313</v>
      </c>
      <c r="D600" s="330" t="inlineStr">
        <is>
          <t xml:space="preserve">BT_SPEAKER</t>
        </is>
      </c>
      <c r="E600" s="330" t="inlineStr">
        <is>
          <t>Y</t>
        </is>
      </c>
      <c r="F600" s="330" t="inlineStr">
        <is>
          <t xml:space="preserve">진단 대상 35개 국가·리테일러에 해당하지 않음</t>
        </is>
      </c>
    </row>
    <row r="601" spans="1:15">
      <c r="A601" s="256" t="s">
        <v>201</v>
      </c>
      <c r="B601" s="256" t="s">
        <v>206</v>
      </c>
      <c r="C601" s="256" t="s">
        <v>1314</v>
      </c>
      <c r="D601" s="330" t="inlineStr">
        <is>
          <t xml:space="preserve">BT_SPEAKER</t>
        </is>
      </c>
      <c r="E601" s="330" t="inlineStr">
        <is>
          <t>Y</t>
        </is>
      </c>
      <c r="F601" s="330" t="inlineStr">
        <is>
          <t xml:space="preserve">진단 대상 35개 국가·리테일러에 해당하지 않음</t>
        </is>
      </c>
    </row>
    <row r="602" spans="1:15">
      <c r="A602" s="256" t="s">
        <v>201</v>
      </c>
      <c r="B602" s="256" t="s">
        <v>206</v>
      </c>
      <c r="C602" s="256" t="s">
        <v>1311</v>
      </c>
      <c r="D602" s="330" t="inlineStr">
        <is>
          <t xml:space="preserve">SOUNDBAR</t>
        </is>
      </c>
      <c r="E602" s="330" t="inlineStr">
        <is>
          <t>Y</t>
        </is>
      </c>
      <c r="F602" s="330" t="inlineStr">
        <is>
          <t xml:space="preserve">진단 대상 35개 국가·리테일러에 해당하지 않음</t>
        </is>
      </c>
    </row>
    <row r="603" spans="1:15">
      <c r="A603" s="256" t="s">
        <v>201</v>
      </c>
      <c r="B603" s="256" t="s">
        <v>206</v>
      </c>
      <c r="C603" s="256" t="s">
        <v>1315</v>
      </c>
      <c r="D603" s="330" t="inlineStr">
        <is>
          <t xml:space="preserve">HEADSET</t>
        </is>
      </c>
      <c r="E603" s="330" t="inlineStr">
        <is>
          <t>Y</t>
        </is>
      </c>
      <c r="F603" s="330" t="inlineStr">
        <is>
          <t xml:space="preserve">진단 대상 35개 국가·리테일러에 해당하지 않음</t>
        </is>
      </c>
    </row>
    <row r="604" spans="1:15">
      <c r="A604" s="256" t="s">
        <v>201</v>
      </c>
      <c r="B604" s="256" t="s">
        <v>206</v>
      </c>
      <c r="C604" s="256" t="s">
        <v>1316</v>
      </c>
      <c r="D604" s="330" t="inlineStr">
        <is>
          <t xml:space="preserve">VACUUM</t>
        </is>
      </c>
      <c r="E604" s="330" t="inlineStr">
        <is>
          <t>Y</t>
        </is>
      </c>
      <c r="F604" s="330" t="inlineStr">
        <is>
          <t xml:space="preserve">진단 대상 35개 국가·리테일러에 해당하지 않음</t>
        </is>
      </c>
    </row>
    <row r="605" spans="1:15">
      <c r="A605" s="256" t="s">
        <v>201</v>
      </c>
      <c r="B605" s="256" t="s">
        <v>206</v>
      </c>
      <c r="C605" s="256" t="s">
        <v>1317</v>
      </c>
      <c r="D605" s="330" t="inlineStr">
        <is>
          <t xml:space="preserve">VACUUM</t>
        </is>
      </c>
      <c r="E605" s="330" t="inlineStr">
        <is>
          <t>Y</t>
        </is>
      </c>
      <c r="F605" s="330" t="inlineStr">
        <is>
          <t xml:space="preserve">진단 대상 35개 국가·리테일러에 해당하지 않음</t>
        </is>
      </c>
    </row>
    <row r="606" spans="1:15">
      <c r="A606" s="256" t="s">
        <v>201</v>
      </c>
      <c r="B606" s="256" t="s">
        <v>206</v>
      </c>
      <c r="C606" s="256" t="s">
        <v>1318</v>
      </c>
      <c r="D606" s="330" t="inlineStr">
        <is>
          <t xml:space="preserve">VACUUM</t>
        </is>
      </c>
      <c r="E606" s="330" t="inlineStr">
        <is>
          <t>Y</t>
        </is>
      </c>
      <c r="F606" s="330" t="inlineStr">
        <is>
          <t xml:space="preserve">진단 대상 35개 국가·리테일러에 해당하지 않음</t>
        </is>
      </c>
    </row>
    <row r="607" spans="1:15">
      <c r="A607" s="256" t="s">
        <v>201</v>
      </c>
      <c r="B607" s="256" t="s">
        <v>206</v>
      </c>
      <c r="C607" s="256" t="s">
        <v>1319</v>
      </c>
      <c r="D607" s="330" t="inlineStr">
        <is>
          <t xml:space="preserve">VACUUM</t>
        </is>
      </c>
      <c r="E607" s="330" t="inlineStr">
        <is>
          <t>Y</t>
        </is>
      </c>
      <c r="F607" s="330" t="inlineStr">
        <is>
          <t xml:space="preserve">진단 대상 35개 국가·리테일러에 해당하지 않음</t>
        </is>
      </c>
    </row>
    <row r="608" spans="1:15">
      <c r="A608" s="256" t="s">
        <v>201</v>
      </c>
      <c r="B608" s="256" t="s">
        <v>206</v>
      </c>
      <c r="C608" s="256" t="s">
        <v>1320</v>
      </c>
      <c r="D608" s="330" t="inlineStr">
        <is>
          <t xml:space="preserve">VACUUM</t>
        </is>
      </c>
      <c r="E608" s="330" t="inlineStr">
        <is>
          <t>Y</t>
        </is>
      </c>
      <c r="F608" s="330" t="inlineStr">
        <is>
          <t xml:space="preserve">진단 대상 35개 국가·리테일러에 해당하지 않음</t>
        </is>
      </c>
    </row>
    <row r="609" spans="1:15">
      <c r="A609" s="256" t="s">
        <v>201</v>
      </c>
      <c r="B609" s="256" t="s">
        <v>206</v>
      </c>
      <c r="C609" s="256" t="s">
        <v>1321</v>
      </c>
      <c r="D609" s="330" t="inlineStr">
        <is>
          <t xml:space="preserve">VACUUM</t>
        </is>
      </c>
      <c r="E609" s="330" t="inlineStr">
        <is>
          <t>Y</t>
        </is>
      </c>
      <c r="F609" s="330" t="inlineStr">
        <is>
          <t xml:space="preserve">진단 대상 35개 국가·리테일러에 해당하지 않음</t>
        </is>
      </c>
    </row>
    <row r="610" spans="1:15">
      <c r="A610" s="256" t="s">
        <v>201</v>
      </c>
      <c r="B610" s="256" t="s">
        <v>206</v>
      </c>
      <c r="C610" s="256" t="s">
        <v>1322</v>
      </c>
      <c r="D610" s="330" t="inlineStr">
        <is>
          <t xml:space="preserve">MNT</t>
        </is>
      </c>
      <c r="E610" s="330" t="inlineStr">
        <is>
          <t>Y</t>
        </is>
      </c>
      <c r="F610" s="330" t="inlineStr">
        <is>
          <t xml:space="preserve">진단 대상 35개 국가·리테일러에 해당하지 않음</t>
        </is>
      </c>
    </row>
    <row r="611" spans="1:15">
      <c r="A611" s="256" t="s">
        <v>201</v>
      </c>
      <c r="B611" s="256" t="s">
        <v>206</v>
      </c>
      <c r="C611" s="256" t="s">
        <v>1323</v>
      </c>
      <c r="D611" s="330" t="inlineStr">
        <is>
          <t xml:space="preserve">LAPTOP</t>
        </is>
      </c>
      <c r="E611" s="330" t="inlineStr">
        <is>
          <t>Y</t>
        </is>
      </c>
      <c r="F611" s="330" t="inlineStr">
        <is>
          <t xml:space="preserve">진단 대상 35개 국가·리테일러에 해당하지 않음</t>
        </is>
      </c>
    </row>
    <row r="612" spans="1:15">
      <c r="A612" s="256" t="s">
        <v>201</v>
      </c>
      <c r="B612" s="256" t="s">
        <v>206</v>
      </c>
      <c r="C612" s="256" t="s">
        <v>1324</v>
      </c>
      <c r="D612" s="330" t="inlineStr">
        <is>
          <t xml:space="preserve">RAC</t>
        </is>
      </c>
      <c r="E612" s="330" t="inlineStr">
        <is>
          <t>Y</t>
        </is>
      </c>
      <c r="F612" s="330" t="inlineStr">
        <is>
          <t xml:space="preserve">진단 대상 35개 국가·리테일러에 해당하지 않음</t>
        </is>
      </c>
    </row>
    <row r="613" spans="1:15">
      <c r="A613" s="256" t="s">
        <v>230</v>
      </c>
      <c r="B613" s="256" t="s">
        <v>215</v>
      </c>
      <c r="C613" s="256" t="s">
        <v>1325</v>
      </c>
      <c r="D613" s="330" t="inlineStr">
        <is>
          <t xml:space="preserve">REF</t>
        </is>
      </c>
      <c r="E613" s="335" t="inlineStr">
        <is>
          <t>N</t>
        </is>
      </c>
      <c r="F613" s="330" t="inlineStr">
        <is>
          <t xml:space="preserve">수집 대상</t>
        </is>
      </c>
      <c r="G613" s="256" t="s">
        <v>127</v>
      </c>
    </row>
    <row r="614" spans="1:15">
      <c r="A614" s="256" t="s">
        <v>230</v>
      </c>
      <c r="B614" s="256" t="s">
        <v>215</v>
      </c>
      <c r="C614" s="256" t="s">
        <v>1326</v>
      </c>
      <c r="D614" s="330" t="inlineStr">
        <is>
          <t xml:space="preserve">WM</t>
        </is>
      </c>
      <c r="E614" s="335" t="inlineStr">
        <is>
          <t>N</t>
        </is>
      </c>
      <c r="F614" s="330" t="inlineStr">
        <is>
          <t xml:space="preserve">수집 대상</t>
        </is>
      </c>
      <c r="G614" s="256" t="s">
        <v>127</v>
      </c>
    </row>
    <row r="615" spans="1:15">
      <c r="A615" s="256" t="s">
        <v>230</v>
      </c>
      <c r="B615" s="256" t="s">
        <v>215</v>
      </c>
      <c r="C615" s="256" t="s">
        <v>1327</v>
      </c>
      <c r="D615" s="330" t="inlineStr">
        <is>
          <t xml:space="preserve">DRYER</t>
        </is>
      </c>
      <c r="E615" s="335" t="inlineStr">
        <is>
          <t>N</t>
        </is>
      </c>
      <c r="F615" s="330" t="inlineStr">
        <is>
          <t xml:space="preserve">수집 대상</t>
        </is>
      </c>
      <c r="G615" s="256" t="s">
        <v>127</v>
      </c>
    </row>
    <row r="616" spans="1:15">
      <c r="A616" s="256" t="s">
        <v>230</v>
      </c>
      <c r="B616" s="256" t="s">
        <v>215</v>
      </c>
      <c r="C616" s="256" t="s">
        <v>1328</v>
      </c>
      <c r="D616" s="330" t="inlineStr">
        <is>
          <t xml:space="preserve">TV</t>
        </is>
      </c>
      <c r="E616" s="330" t="inlineStr">
        <is>
          <t>Y</t>
        </is>
      </c>
      <c r="F616" s="330" t="inlineStr">
        <is>
          <t xml:space="preserve">대상 제품군이 아님: TV</t>
        </is>
      </c>
      <c r="G616" s="256" t="s">
        <v>127</v>
      </c>
    </row>
    <row r="617" spans="1:15">
      <c r="A617" s="256" t="s">
        <v>230</v>
      </c>
      <c r="B617" s="256" t="s">
        <v>215</v>
      </c>
      <c r="C617" s="256" t="s">
        <v>1329</v>
      </c>
      <c r="D617" s="330" t="inlineStr">
        <is>
          <t xml:space="preserve">MNT</t>
        </is>
      </c>
      <c r="E617" s="330" t="inlineStr">
        <is>
          <t>Y</t>
        </is>
      </c>
      <c r="F617" s="330" t="inlineStr">
        <is>
          <t xml:space="preserve">대상 제품군이 아님: 모니터</t>
        </is>
      </c>
      <c r="G617" s="256" t="s">
        <v>127</v>
      </c>
    </row>
    <row r="618" spans="1:15">
      <c r="A618" s="256" t="s">
        <v>230</v>
      </c>
      <c r="B618" s="256" t="s">
        <v>215</v>
      </c>
      <c r="C618" s="256" t="s">
        <v>1330</v>
      </c>
      <c r="D618" s="330" t="inlineStr">
        <is>
          <t xml:space="preserve">BT_SPEAKER</t>
        </is>
      </c>
      <c r="E618" s="330" t="inlineStr">
        <is>
          <t>Y</t>
        </is>
      </c>
      <c r="F618" s="330" t="inlineStr">
        <is>
          <t xml:space="preserve">대상 제품군이 아님: 블루투스 스피커</t>
        </is>
      </c>
      <c r="G618" s="256" t="s">
        <v>127</v>
      </c>
    </row>
    <row r="619" spans="1:15">
      <c r="A619" s="256" t="s">
        <v>230</v>
      </c>
      <c r="B619" s="256" t="s">
        <v>215</v>
      </c>
      <c r="C619" s="256" t="s">
        <v>1331</v>
      </c>
      <c r="D619" s="330" t="inlineStr">
        <is>
          <t xml:space="preserve">SOUNDBAR</t>
        </is>
      </c>
      <c r="E619" s="330" t="inlineStr">
        <is>
          <t>Y</t>
        </is>
      </c>
      <c r="F619" s="330" t="inlineStr">
        <is>
          <t xml:space="preserve">대상 제품군이 아님: 사운드바</t>
        </is>
      </c>
      <c r="G619" s="256" t="s">
        <v>127</v>
      </c>
    </row>
    <row r="620" spans="1:15">
      <c r="A620" s="256" t="s">
        <v>230</v>
      </c>
      <c r="B620" s="256" t="s">
        <v>215</v>
      </c>
      <c r="C620" s="256" t="s">
        <v>1332</v>
      </c>
      <c r="D620" s="330" t="inlineStr">
        <is>
          <t xml:space="preserve">HEADSET</t>
        </is>
      </c>
      <c r="E620" s="330" t="inlineStr">
        <is>
          <t>Y</t>
        </is>
      </c>
      <c r="F620" s="330" t="inlineStr">
        <is>
          <t xml:space="preserve">대상 제품군이 아님: 이어폰·헤드셋</t>
        </is>
      </c>
      <c r="G620" s="256" t="s">
        <v>127</v>
      </c>
    </row>
    <row r="621" spans="1:15">
      <c r="A621" s="256" t="s">
        <v>230</v>
      </c>
      <c r="B621" s="256" t="s">
        <v>215</v>
      </c>
      <c r="C621" s="256" t="s">
        <v>1333</v>
      </c>
      <c r="D621" s="330" t="inlineStr">
        <is>
          <t xml:space="preserve">RAC</t>
        </is>
      </c>
      <c r="E621" s="330" t="inlineStr">
        <is>
          <t>Y</t>
        </is>
      </c>
      <c r="F621" s="330" t="inlineStr">
        <is>
          <t xml:space="preserve">대상 제품군이 아님: 에어컨</t>
        </is>
      </c>
      <c r="G621" s="256" t="s">
        <v>127</v>
      </c>
    </row>
    <row r="622" spans="1:15">
      <c r="A622" s="256" t="s">
        <v>230</v>
      </c>
      <c r="B622" s="256" t="s">
        <v>215</v>
      </c>
      <c r="C622" s="256" t="s">
        <v>1334</v>
      </c>
      <c r="D622" s="330" t="inlineStr">
        <is>
          <t xml:space="preserve">AIR_PURIFIER</t>
        </is>
      </c>
      <c r="E622" s="330" t="inlineStr">
        <is>
          <t>Y</t>
        </is>
      </c>
      <c r="F622" s="330" t="inlineStr">
        <is>
          <t xml:space="preserve">대상 제품군이 아님: 공기청정기</t>
        </is>
      </c>
      <c r="G622" s="256" t="s">
        <v>127</v>
      </c>
    </row>
    <row r="623" spans="1:15">
      <c r="A623" s="256" t="s">
        <v>230</v>
      </c>
      <c r="B623" s="256" t="s">
        <v>215</v>
      </c>
      <c r="C623" s="256" t="s">
        <v>1335</v>
      </c>
      <c r="D623" s="330" t="inlineStr">
        <is>
          <t xml:space="preserve">LAPTOP</t>
        </is>
      </c>
      <c r="E623" s="330" t="inlineStr">
        <is>
          <t>Y</t>
        </is>
      </c>
      <c r="F623" s="330" t="inlineStr">
        <is>
          <t xml:space="preserve">대상 제품군이 아님: 노트북</t>
        </is>
      </c>
      <c r="G623" s="256" t="s">
        <v>127</v>
      </c>
    </row>
    <row r="624" spans="1:15">
      <c r="A624" s="256" t="s">
        <v>230</v>
      </c>
      <c r="B624" s="256" t="s">
        <v>215</v>
      </c>
      <c r="C624" s="256" t="s">
        <v>1336</v>
      </c>
      <c r="D624" s="330" t="inlineStr">
        <is>
          <t xml:space="preserve">DRYER</t>
        </is>
      </c>
      <c r="E624" s="335" t="inlineStr">
        <is>
          <t>N</t>
        </is>
      </c>
      <c r="F624" s="330" t="inlineStr">
        <is>
          <t xml:space="preserve">수집 대상</t>
        </is>
      </c>
      <c r="G624" s="256" t="s">
        <v>127</v>
      </c>
    </row>
    <row r="625" spans="1:15">
      <c r="A625" s="256" t="s">
        <v>211</v>
      </c>
      <c r="B625" s="256" t="s">
        <v>215</v>
      </c>
      <c r="C625" s="256" t="s">
        <v>1337</v>
      </c>
      <c r="D625" s="330" t="inlineStr">
        <is>
          <t xml:space="preserve">TV</t>
        </is>
      </c>
      <c r="E625" s="330" t="inlineStr">
        <is>
          <t>Y</t>
        </is>
      </c>
      <c r="F625" s="330" t="inlineStr">
        <is>
          <t xml:space="preserve">대상 제품군이 아님: TV</t>
        </is>
      </c>
      <c r="G625" s="256" t="s">
        <v>127</v>
      </c>
    </row>
    <row r="626" spans="1:15">
      <c r="A626" s="256" t="s">
        <v>211</v>
      </c>
      <c r="B626" s="256" t="s">
        <v>215</v>
      </c>
      <c r="C626" s="256" t="s">
        <v>1338</v>
      </c>
      <c r="D626" s="330" t="inlineStr">
        <is>
          <t xml:space="preserve">WM</t>
        </is>
      </c>
      <c r="E626" s="335" t="inlineStr">
        <is>
          <t>N</t>
        </is>
      </c>
      <c r="F626" s="330" t="inlineStr">
        <is>
          <t xml:space="preserve">수집 대상</t>
        </is>
      </c>
      <c r="G626" s="256" t="s">
        <v>127</v>
      </c>
    </row>
    <row r="627" spans="1:15">
      <c r="A627" s="256" t="s">
        <v>211</v>
      </c>
      <c r="B627" s="256" t="s">
        <v>215</v>
      </c>
      <c r="C627" s="256" t="s">
        <v>1339</v>
      </c>
      <c r="D627" s="330" t="inlineStr">
        <is>
          <t xml:space="preserve">REF</t>
        </is>
      </c>
      <c r="E627" s="335" t="inlineStr">
        <is>
          <t>N</t>
        </is>
      </c>
      <c r="F627" s="330" t="inlineStr">
        <is>
          <t xml:space="preserve">수집 대상</t>
        </is>
      </c>
      <c r="G627" s="256" t="s">
        <v>127</v>
      </c>
    </row>
    <row r="628" spans="1:15">
      <c r="A628" s="256" t="s">
        <v>211</v>
      </c>
      <c r="B628" s="256" t="s">
        <v>215</v>
      </c>
      <c r="C628" s="256" t="s">
        <v>1340</v>
      </c>
      <c r="D628" s="330" t="inlineStr">
        <is>
          <t xml:space="preserve">MNT</t>
        </is>
      </c>
      <c r="E628" s="330" t="inlineStr">
        <is>
          <t>Y</t>
        </is>
      </c>
      <c r="F628" s="330" t="inlineStr">
        <is>
          <t xml:space="preserve">대상 제품군이 아님: 모니터</t>
        </is>
      </c>
      <c r="G628" s="256" t="s">
        <v>127</v>
      </c>
    </row>
    <row r="629" spans="1:15">
      <c r="A629" s="256" t="s">
        <v>211</v>
      </c>
      <c r="B629" s="256" t="s">
        <v>215</v>
      </c>
      <c r="C629" s="256" t="s">
        <v>1341</v>
      </c>
      <c r="D629" s="330" t="inlineStr">
        <is>
          <t xml:space="preserve">HEADSET</t>
        </is>
      </c>
      <c r="E629" s="330" t="inlineStr">
        <is>
          <t>Y</t>
        </is>
      </c>
      <c r="F629" s="330" t="inlineStr">
        <is>
          <t xml:space="preserve">대상 제품군이 아님: 이어폰·헤드셋</t>
        </is>
      </c>
      <c r="G629" s="256" t="s">
        <v>127</v>
      </c>
    </row>
    <row r="630" spans="1:15">
      <c r="A630" s="256" t="s">
        <v>211</v>
      </c>
      <c r="B630" s="256" t="s">
        <v>215</v>
      </c>
      <c r="C630" s="256" t="s">
        <v>1342</v>
      </c>
      <c r="D630" s="330" t="inlineStr">
        <is>
          <t xml:space="preserve">HEADSET</t>
        </is>
      </c>
      <c r="E630" s="330" t="inlineStr">
        <is>
          <t>Y</t>
        </is>
      </c>
      <c r="F630" s="330" t="inlineStr">
        <is>
          <t xml:space="preserve">대상 제품군이 아님: 이어폰·헤드셋</t>
        </is>
      </c>
      <c r="G630" s="256" t="s">
        <v>127</v>
      </c>
    </row>
    <row r="631" spans="1:15">
      <c r="A631" s="256" t="s">
        <v>211</v>
      </c>
      <c r="B631" s="256" t="s">
        <v>215</v>
      </c>
      <c r="C631" s="256" t="s">
        <v>1343</v>
      </c>
      <c r="D631" s="330" t="inlineStr">
        <is>
          <t xml:space="preserve">SOUNDBAR</t>
        </is>
      </c>
      <c r="E631" s="330" t="inlineStr">
        <is>
          <t>Y</t>
        </is>
      </c>
      <c r="F631" s="330" t="inlineStr">
        <is>
          <t xml:space="preserve">대상 제품군이 아님: 사운드바</t>
        </is>
      </c>
      <c r="G631" s="256" t="s">
        <v>127</v>
      </c>
    </row>
    <row r="632" spans="1:15">
      <c r="A632" s="256" t="s">
        <v>211</v>
      </c>
      <c r="B632" s="256" t="s">
        <v>215</v>
      </c>
      <c r="C632" s="256" t="s">
        <v>1344</v>
      </c>
      <c r="D632" s="330" t="inlineStr">
        <is>
          <t xml:space="preserve">BT_SPEAKER</t>
        </is>
      </c>
      <c r="E632" s="330" t="inlineStr">
        <is>
          <t>Y</t>
        </is>
      </c>
      <c r="F632" s="330" t="inlineStr">
        <is>
          <t xml:space="preserve">대상 제품군이 아님: 블루투스 스피커</t>
        </is>
      </c>
      <c r="G632" s="256" t="s">
        <v>127</v>
      </c>
    </row>
    <row r="633" spans="1:15">
      <c r="A633" s="256" t="s">
        <v>211</v>
      </c>
      <c r="B633" s="256" t="s">
        <v>215</v>
      </c>
      <c r="C633" s="256" t="s">
        <v>1345</v>
      </c>
      <c r="D633" s="330" t="inlineStr">
        <is>
          <t xml:space="preserve">RAC</t>
        </is>
      </c>
      <c r="E633" s="330" t="inlineStr">
        <is>
          <t>Y</t>
        </is>
      </c>
      <c r="F633" s="330" t="inlineStr">
        <is>
          <t xml:space="preserve">대상 제품군이 아님: 에어컨</t>
        </is>
      </c>
      <c r="G633" s="256" t="s">
        <v>127</v>
      </c>
    </row>
    <row r="634" spans="1:15">
      <c r="A634" s="256" t="s">
        <v>211</v>
      </c>
      <c r="B634" s="256" t="s">
        <v>215</v>
      </c>
      <c r="C634" s="256" t="s">
        <v>1346</v>
      </c>
      <c r="D634" s="330" t="inlineStr">
        <is>
          <t xml:space="preserve">AIR_PURIFIER</t>
        </is>
      </c>
      <c r="E634" s="330" t="inlineStr">
        <is>
          <t>Y</t>
        </is>
      </c>
      <c r="F634" s="330" t="inlineStr">
        <is>
          <t xml:space="preserve">대상 제품군이 아님: 공기청정기</t>
        </is>
      </c>
      <c r="G634" s="256" t="s">
        <v>127</v>
      </c>
    </row>
    <row r="635" spans="1:15">
      <c r="A635" s="256" t="s">
        <v>211</v>
      </c>
      <c r="B635" s="256" t="s">
        <v>215</v>
      </c>
      <c r="C635" s="256" t="s">
        <v>1347</v>
      </c>
      <c r="D635" s="330" t="inlineStr">
        <is>
          <t xml:space="preserve">VACUUM</t>
        </is>
      </c>
      <c r="E635" s="330" t="inlineStr">
        <is>
          <t>Y</t>
        </is>
      </c>
      <c r="F635" s="330" t="inlineStr">
        <is>
          <t xml:space="preserve">대상 제품군이 아님: 청소기</t>
        </is>
      </c>
      <c r="G635" s="256" t="s">
        <v>127</v>
      </c>
    </row>
    <row r="636" spans="1:15">
      <c r="A636" s="256" t="s">
        <v>211</v>
      </c>
      <c r="B636" s="256" t="s">
        <v>215</v>
      </c>
      <c r="C636" s="256" t="s">
        <v>1348</v>
      </c>
      <c r="D636" s="330" t="inlineStr">
        <is>
          <t xml:space="preserve">DW</t>
        </is>
      </c>
      <c r="E636" s="330" t="inlineStr">
        <is>
          <t>Y</t>
        </is>
      </c>
      <c r="F636" s="330" t="inlineStr">
        <is>
          <t xml:space="preserve">식기세척기는 스페인 ECI·MediaMarkt만 대상</t>
        </is>
      </c>
      <c r="G636" s="256" t="s">
        <v>127</v>
      </c>
    </row>
    <row r="637" spans="1:15">
      <c r="A637" s="256" t="s">
        <v>211</v>
      </c>
      <c r="B637" s="256" t="s">
        <v>215</v>
      </c>
      <c r="C637" s="256" t="s">
        <v>1349</v>
      </c>
      <c r="D637" s="330" t="inlineStr">
        <is>
          <t xml:space="preserve">DRYER</t>
        </is>
      </c>
      <c r="E637" s="335" t="inlineStr">
        <is>
          <t>N</t>
        </is>
      </c>
      <c r="F637" s="330" t="inlineStr">
        <is>
          <t xml:space="preserve">수집 대상</t>
        </is>
      </c>
      <c r="G637" s="256" t="s">
        <v>127</v>
      </c>
    </row>
    <row r="638" spans="1:15">
      <c r="A638" s="256" t="s">
        <v>211</v>
      </c>
      <c r="B638" s="256" t="s">
        <v>215</v>
      </c>
      <c r="C638" s="256" t="s">
        <v>1350</v>
      </c>
      <c r="D638" s="330" t="inlineStr">
        <is>
          <t xml:space="preserve">LAPTOP</t>
        </is>
      </c>
      <c r="E638" s="330" t="inlineStr">
        <is>
          <t>Y</t>
        </is>
      </c>
      <c r="F638" s="330" t="inlineStr">
        <is>
          <t xml:space="preserve">대상 제품군이 아님: 노트북</t>
        </is>
      </c>
      <c r="G638" s="256" t="s">
        <v>127</v>
      </c>
    </row>
    <row r="639" spans="1:15">
      <c r="A639" s="256" t="s">
        <v>201</v>
      </c>
      <c r="B639" s="256" t="s">
        <v>567</v>
      </c>
      <c r="C639" s="256" t="s">
        <v>1351</v>
      </c>
      <c r="D639" s="330" t="inlineStr">
        <is>
          <t xml:space="preserve">REF</t>
        </is>
      </c>
      <c r="E639" s="330" t="inlineStr">
        <is>
          <t>Y</t>
        </is>
      </c>
      <c r="F639" s="330" t="inlineStr">
        <is>
          <t xml:space="preserve">진단 대상 35개 국가·리테일러에 해당하지 않음</t>
        </is>
      </c>
    </row>
    <row r="640" spans="1:15">
      <c r="A640" s="256" t="s">
        <v>201</v>
      </c>
      <c r="B640" s="256" t="s">
        <v>567</v>
      </c>
      <c r="C640" s="256" t="s">
        <v>1352</v>
      </c>
      <c r="D640" s="330" t="inlineStr">
        <is>
          <t xml:space="preserve">WM</t>
        </is>
      </c>
      <c r="E640" s="330" t="inlineStr">
        <is>
          <t>Y</t>
        </is>
      </c>
      <c r="F640" s="330" t="inlineStr">
        <is>
          <t xml:space="preserve">진단 대상 35개 국가·리테일러에 해당하지 않음</t>
        </is>
      </c>
    </row>
    <row r="641" spans="1:15">
      <c r="A641" s="256" t="s">
        <v>201</v>
      </c>
      <c r="B641" s="256" t="s">
        <v>567</v>
      </c>
      <c r="C641" s="256" t="s">
        <v>1353</v>
      </c>
      <c r="D641" s="330" t="inlineStr">
        <is>
          <t xml:space="preserve">TV</t>
        </is>
      </c>
      <c r="E641" s="330" t="inlineStr">
        <is>
          <t>Y</t>
        </is>
      </c>
      <c r="F641" s="330" t="inlineStr">
        <is>
          <t xml:space="preserve">진단 대상 35개 국가·리테일러에 해당하지 않음</t>
        </is>
      </c>
    </row>
    <row r="642" spans="1:15">
      <c r="A642" s="256" t="s">
        <v>201</v>
      </c>
      <c r="B642" s="256" t="s">
        <v>567</v>
      </c>
      <c r="C642" s="256" t="s">
        <v>1354</v>
      </c>
      <c r="D642" s="330" t="inlineStr">
        <is>
          <t xml:space="preserve">TV</t>
        </is>
      </c>
      <c r="E642" s="330" t="inlineStr">
        <is>
          <t>Y</t>
        </is>
      </c>
      <c r="F642" s="330" t="inlineStr">
        <is>
          <t xml:space="preserve">진단 대상 35개 국가·리테일러에 해당하지 않음</t>
        </is>
      </c>
    </row>
    <row r="643" spans="1:15">
      <c r="A643" s="256" t="s">
        <v>201</v>
      </c>
      <c r="B643" s="256" t="s">
        <v>567</v>
      </c>
      <c r="C643" s="256" t="s">
        <v>1355</v>
      </c>
      <c r="D643" s="330" t="inlineStr">
        <is>
          <t xml:space="preserve">TV</t>
        </is>
      </c>
      <c r="E643" s="330" t="inlineStr">
        <is>
          <t>Y</t>
        </is>
      </c>
      <c r="F643" s="330" t="inlineStr">
        <is>
          <t xml:space="preserve">진단 대상 35개 국가·리테일러에 해당하지 않음</t>
        </is>
      </c>
    </row>
    <row r="644" spans="1:15">
      <c r="A644" s="256" t="s">
        <v>201</v>
      </c>
      <c r="B644" s="256" t="s">
        <v>567</v>
      </c>
      <c r="C644" s="256" t="s">
        <v>1356</v>
      </c>
      <c r="D644" s="330" t="inlineStr">
        <is>
          <t xml:space="preserve">TV</t>
        </is>
      </c>
      <c r="E644" s="330" t="inlineStr">
        <is>
          <t>Y</t>
        </is>
      </c>
      <c r="F644" s="330" t="inlineStr">
        <is>
          <t xml:space="preserve">진단 대상 35개 국가·리테일러에 해당하지 않음</t>
        </is>
      </c>
    </row>
    <row r="645" spans="1:15">
      <c r="A645" s="256" t="s">
        <v>201</v>
      </c>
      <c r="B645" s="256" t="s">
        <v>567</v>
      </c>
      <c r="C645" s="256" t="s">
        <v>1357</v>
      </c>
      <c r="D645" s="330" t="inlineStr">
        <is>
          <t xml:space="preserve">TV</t>
        </is>
      </c>
      <c r="E645" s="330" t="inlineStr">
        <is>
          <t>Y</t>
        </is>
      </c>
      <c r="F645" s="330" t="inlineStr">
        <is>
          <t xml:space="preserve">진단 대상 35개 국가·리테일러에 해당하지 않음</t>
        </is>
      </c>
    </row>
    <row r="646" spans="1:15">
      <c r="A646" s="256" t="s">
        <v>201</v>
      </c>
      <c r="B646" s="256" t="s">
        <v>567</v>
      </c>
      <c r="C646" s="256" t="s">
        <v>1358</v>
      </c>
      <c r="D646" s="330" t="inlineStr">
        <is>
          <t xml:space="preserve">SOUNDBAR</t>
        </is>
      </c>
      <c r="E646" s="330" t="inlineStr">
        <is>
          <t>Y</t>
        </is>
      </c>
      <c r="F646" s="330" t="inlineStr">
        <is>
          <t xml:space="preserve">진단 대상 35개 국가·리테일러에 해당하지 않음</t>
        </is>
      </c>
    </row>
    <row r="647" spans="1:15">
      <c r="A647" s="256" t="s">
        <v>201</v>
      </c>
      <c r="B647" s="256" t="s">
        <v>567</v>
      </c>
      <c r="C647" s="256" t="s">
        <v>1359</v>
      </c>
      <c r="D647" s="330" t="inlineStr">
        <is>
          <t xml:space="preserve">SOUNDBAR</t>
        </is>
      </c>
      <c r="E647" s="330" t="inlineStr">
        <is>
          <t>Y</t>
        </is>
      </c>
      <c r="F647" s="330" t="inlineStr">
        <is>
          <t xml:space="preserve">진단 대상 35개 국가·리테일러에 해당하지 않음</t>
        </is>
      </c>
    </row>
    <row r="648" spans="1:15">
      <c r="A648" s="256" t="s">
        <v>201</v>
      </c>
      <c r="B648" s="256" t="s">
        <v>567</v>
      </c>
      <c r="C648" s="256" t="s">
        <v>1360</v>
      </c>
      <c r="D648" s="330" t="inlineStr">
        <is>
          <t xml:space="preserve">BT_SPEAKER</t>
        </is>
      </c>
      <c r="E648" s="330" t="inlineStr">
        <is>
          <t>Y</t>
        </is>
      </c>
      <c r="F648" s="330" t="inlineStr">
        <is>
          <t xml:space="preserve">진단 대상 35개 국가·리테일러에 해당하지 않음</t>
        </is>
      </c>
    </row>
    <row r="649" spans="1:15">
      <c r="A649" s="256" t="s">
        <v>201</v>
      </c>
      <c r="B649" s="256" t="s">
        <v>567</v>
      </c>
      <c r="C649" s="256" t="s">
        <v>1361</v>
      </c>
      <c r="D649" s="330" t="inlineStr">
        <is>
          <t xml:space="preserve">TV_AUDIO</t>
        </is>
      </c>
      <c r="E649" s="330" t="inlineStr">
        <is>
          <t>Y</t>
        </is>
      </c>
      <c r="F649" s="330" t="inlineStr">
        <is>
          <t xml:space="preserve">진단 대상 35개 국가·리테일러에 해당하지 않음</t>
        </is>
      </c>
    </row>
    <row r="650" spans="1:15">
      <c r="A650" s="256" t="s">
        <v>201</v>
      </c>
      <c r="B650" s="256" t="s">
        <v>567</v>
      </c>
      <c r="C650" s="256" t="s">
        <v>1362</v>
      </c>
      <c r="D650" s="330" t="inlineStr">
        <is>
          <t xml:space="preserve">TV_AUDIO</t>
        </is>
      </c>
      <c r="E650" s="330" t="inlineStr">
        <is>
          <t>Y</t>
        </is>
      </c>
      <c r="F650" s="330" t="inlineStr">
        <is>
          <t xml:space="preserve">진단 대상 35개 국가·리테일러에 해당하지 않음</t>
        </is>
      </c>
    </row>
    <row r="651" spans="1:15">
      <c r="A651" s="256" t="s">
        <v>201</v>
      </c>
      <c r="B651" s="256" t="s">
        <v>567</v>
      </c>
      <c r="C651" s="256" t="s">
        <v>1363</v>
      </c>
      <c r="D651" s="330" t="inlineStr">
        <is>
          <t xml:space="preserve">MNT</t>
        </is>
      </c>
      <c r="E651" s="330" t="inlineStr">
        <is>
          <t>Y</t>
        </is>
      </c>
      <c r="F651" s="330" t="inlineStr">
        <is>
          <t xml:space="preserve">진단 대상 35개 국가·리테일러에 해당하지 않음</t>
        </is>
      </c>
    </row>
    <row r="652" spans="1:15">
      <c r="A652" s="256" t="s">
        <v>201</v>
      </c>
      <c r="B652" s="256" t="s">
        <v>567</v>
      </c>
      <c r="C652" s="256" t="s">
        <v>1364</v>
      </c>
      <c r="D652" s="330" t="inlineStr">
        <is>
          <t xml:space="preserve">RAC</t>
        </is>
      </c>
      <c r="E652" s="330" t="inlineStr">
        <is>
          <t>Y</t>
        </is>
      </c>
      <c r="F652" s="330" t="inlineStr">
        <is>
          <t xml:space="preserve">진단 대상 35개 국가·리테일러에 해당하지 않음</t>
        </is>
      </c>
    </row>
    <row r="653" spans="1:15">
      <c r="A653" s="256" t="s">
        <v>201</v>
      </c>
      <c r="B653" s="256" t="s">
        <v>567</v>
      </c>
      <c r="C653" s="256" t="s">
        <v>1365</v>
      </c>
      <c r="D653" s="330" t="inlineStr">
        <is>
          <t xml:space="preserve">HEADSET</t>
        </is>
      </c>
      <c r="E653" s="330" t="inlineStr">
        <is>
          <t>Y</t>
        </is>
      </c>
      <c r="F653" s="330" t="inlineStr">
        <is>
          <t xml:space="preserve">진단 대상 35개 국가·리테일러에 해당하지 않음</t>
        </is>
      </c>
    </row>
    <row r="654" spans="1:15">
      <c r="A654" s="256" t="s">
        <v>201</v>
      </c>
      <c r="B654" s="256" t="s">
        <v>567</v>
      </c>
      <c r="C654" s="256" t="s">
        <v>1366</v>
      </c>
      <c r="D654" s="330" t="inlineStr">
        <is>
          <t xml:space="preserve">DRYER</t>
        </is>
      </c>
      <c r="E654" s="330" t="inlineStr">
        <is>
          <t>Y</t>
        </is>
      </c>
      <c r="F654" s="330" t="inlineStr">
        <is>
          <t xml:space="preserve">진단 대상 35개 국가·리테일러에 해당하지 않음</t>
        </is>
      </c>
    </row>
    <row r="655" spans="1:15">
      <c r="A655" s="256" t="s">
        <v>311</v>
      </c>
      <c r="B655" s="256" t="s">
        <v>567</v>
      </c>
      <c r="C655" s="256" t="s">
        <v>1367</v>
      </c>
      <c r="D655" s="330" t="inlineStr">
        <is>
          <t xml:space="preserve">REF</t>
        </is>
      </c>
      <c r="E655" s="330" t="inlineStr">
        <is>
          <t>Y</t>
        </is>
      </c>
      <c r="F655" s="330" t="inlineStr">
        <is>
          <t xml:space="preserve">진단 대상 35개 국가·리테일러에 해당하지 않음</t>
        </is>
      </c>
    </row>
    <row r="656" spans="1:15">
      <c r="A656" s="256" t="s">
        <v>311</v>
      </c>
      <c r="B656" s="256" t="s">
        <v>567</v>
      </c>
      <c r="C656" s="256" t="s">
        <v>1368</v>
      </c>
      <c r="D656" s="330" t="inlineStr">
        <is>
          <t xml:space="preserve">WM</t>
        </is>
      </c>
      <c r="E656" s="330" t="inlineStr">
        <is>
          <t>Y</t>
        </is>
      </c>
      <c r="F656" s="330" t="inlineStr">
        <is>
          <t xml:space="preserve">진단 대상 35개 국가·리테일러에 해당하지 않음</t>
        </is>
      </c>
    </row>
    <row r="657" spans="1:15">
      <c r="A657" s="256" t="s">
        <v>311</v>
      </c>
      <c r="B657" s="256" t="s">
        <v>567</v>
      </c>
      <c r="C657" s="256" t="s">
        <v>1369</v>
      </c>
      <c r="D657" s="330" t="inlineStr">
        <is>
          <t xml:space="preserve">TV</t>
        </is>
      </c>
      <c r="E657" s="330" t="inlineStr">
        <is>
          <t>Y</t>
        </is>
      </c>
      <c r="F657" s="330" t="inlineStr">
        <is>
          <t xml:space="preserve">진단 대상 35개 국가·리테일러에 해당하지 않음</t>
        </is>
      </c>
    </row>
    <row r="658" spans="1:15">
      <c r="A658" s="256" t="s">
        <v>311</v>
      </c>
      <c r="B658" s="256" t="s">
        <v>567</v>
      </c>
      <c r="C658" s="256" t="s">
        <v>1370</v>
      </c>
      <c r="D658" s="330" t="inlineStr">
        <is>
          <t xml:space="preserve">TV</t>
        </is>
      </c>
      <c r="E658" s="330" t="inlineStr">
        <is>
          <t>Y</t>
        </is>
      </c>
      <c r="F658" s="330" t="inlineStr">
        <is>
          <t xml:space="preserve">진단 대상 35개 국가·리테일러에 해당하지 않음</t>
        </is>
      </c>
    </row>
    <row r="659" spans="1:15">
      <c r="A659" s="256" t="s">
        <v>311</v>
      </c>
      <c r="B659" s="256" t="s">
        <v>567</v>
      </c>
      <c r="C659" s="256" t="s">
        <v>1371</v>
      </c>
      <c r="D659" s="330" t="inlineStr">
        <is>
          <t xml:space="preserve">TV</t>
        </is>
      </c>
      <c r="E659" s="330" t="inlineStr">
        <is>
          <t>Y</t>
        </is>
      </c>
      <c r="F659" s="330" t="inlineStr">
        <is>
          <t xml:space="preserve">진단 대상 35개 국가·리테일러에 해당하지 않음</t>
        </is>
      </c>
    </row>
    <row r="660" spans="1:15">
      <c r="A660" s="256" t="s">
        <v>311</v>
      </c>
      <c r="B660" s="256" t="s">
        <v>567</v>
      </c>
      <c r="C660" s="256" t="s">
        <v>1372</v>
      </c>
      <c r="D660" s="330" t="inlineStr">
        <is>
          <t xml:space="preserve">TV</t>
        </is>
      </c>
      <c r="E660" s="330" t="inlineStr">
        <is>
          <t>Y</t>
        </is>
      </c>
      <c r="F660" s="330" t="inlineStr">
        <is>
          <t xml:space="preserve">진단 대상 35개 국가·리테일러에 해당하지 않음</t>
        </is>
      </c>
    </row>
    <row r="661" spans="1:15">
      <c r="A661" s="256" t="s">
        <v>311</v>
      </c>
      <c r="B661" s="256" t="s">
        <v>567</v>
      </c>
      <c r="C661" s="256" t="s">
        <v>1373</v>
      </c>
      <c r="D661" s="330" t="inlineStr">
        <is>
          <t xml:space="preserve">TV</t>
        </is>
      </c>
      <c r="E661" s="330" t="inlineStr">
        <is>
          <t>Y</t>
        </is>
      </c>
      <c r="F661" s="330" t="inlineStr">
        <is>
          <t xml:space="preserve">진단 대상 35개 국가·리테일러에 해당하지 않음</t>
        </is>
      </c>
    </row>
    <row r="662" spans="1:15">
      <c r="A662" s="256" t="s">
        <v>311</v>
      </c>
      <c r="B662" s="256" t="s">
        <v>567</v>
      </c>
      <c r="C662" s="256" t="s">
        <v>1374</v>
      </c>
      <c r="D662" s="330" t="inlineStr">
        <is>
          <t xml:space="preserve">SOUNDBAR</t>
        </is>
      </c>
      <c r="E662" s="330" t="inlineStr">
        <is>
          <t>Y</t>
        </is>
      </c>
      <c r="F662" s="330" t="inlineStr">
        <is>
          <t xml:space="preserve">진단 대상 35개 국가·리테일러에 해당하지 않음</t>
        </is>
      </c>
    </row>
    <row r="663" spans="1:15">
      <c r="A663" s="256" t="s">
        <v>311</v>
      </c>
      <c r="B663" s="256" t="s">
        <v>567</v>
      </c>
      <c r="C663" s="256" t="s">
        <v>1375</v>
      </c>
      <c r="D663" s="330" t="inlineStr">
        <is>
          <t xml:space="preserve">TV</t>
        </is>
      </c>
      <c r="E663" s="330" t="inlineStr">
        <is>
          <t>Y</t>
        </is>
      </c>
      <c r="F663" s="330" t="inlineStr">
        <is>
          <t xml:space="preserve">진단 대상 35개 국가·리테일러에 해당하지 않음</t>
        </is>
      </c>
    </row>
    <row r="664" spans="1:15">
      <c r="A664" s="256" t="s">
        <v>311</v>
      </c>
      <c r="B664" s="256" t="s">
        <v>567</v>
      </c>
      <c r="C664" s="256" t="s">
        <v>1376</v>
      </c>
      <c r="D664" s="330" t="inlineStr">
        <is>
          <t xml:space="preserve">SOUNDBAR</t>
        </is>
      </c>
      <c r="E664" s="330" t="inlineStr">
        <is>
          <t>Y</t>
        </is>
      </c>
      <c r="F664" s="330" t="inlineStr">
        <is>
          <t xml:space="preserve">진단 대상 35개 국가·리테일러에 해당하지 않음</t>
        </is>
      </c>
    </row>
    <row r="665" spans="1:15">
      <c r="A665" s="256" t="s">
        <v>311</v>
      </c>
      <c r="B665" s="256" t="s">
        <v>567</v>
      </c>
      <c r="C665" s="256" t="s">
        <v>1377</v>
      </c>
      <c r="D665" s="330" t="inlineStr">
        <is>
          <t xml:space="preserve">TV</t>
        </is>
      </c>
      <c r="E665" s="330" t="inlineStr">
        <is>
          <t>Y</t>
        </is>
      </c>
      <c r="F665" s="330" t="inlineStr">
        <is>
          <t xml:space="preserve">진단 대상 35개 국가·리테일러에 해당하지 않음</t>
        </is>
      </c>
    </row>
    <row r="666" spans="1:15">
      <c r="A666" s="256" t="s">
        <v>311</v>
      </c>
      <c r="B666" s="256" t="s">
        <v>567</v>
      </c>
      <c r="C666" s="256" t="s">
        <v>1378</v>
      </c>
      <c r="D666" s="330" t="inlineStr">
        <is>
          <t xml:space="preserve">TV</t>
        </is>
      </c>
      <c r="E666" s="330" t="inlineStr">
        <is>
          <t>Y</t>
        </is>
      </c>
      <c r="F666" s="330" t="inlineStr">
        <is>
          <t xml:space="preserve">진단 대상 35개 국가·리테일러에 해당하지 않음</t>
        </is>
      </c>
    </row>
    <row r="667" spans="1:15">
      <c r="A667" s="256" t="s">
        <v>311</v>
      </c>
      <c r="B667" s="256" t="s">
        <v>567</v>
      </c>
      <c r="C667" s="256" t="s">
        <v>1379</v>
      </c>
      <c r="D667" s="330" t="inlineStr">
        <is>
          <t xml:space="preserve">MNT</t>
        </is>
      </c>
      <c r="E667" s="330" t="inlineStr">
        <is>
          <t>Y</t>
        </is>
      </c>
      <c r="F667" s="330" t="inlineStr">
        <is>
          <t xml:space="preserve">진단 대상 35개 국가·리테일러에 해당하지 않음</t>
        </is>
      </c>
    </row>
    <row r="668" spans="1:15">
      <c r="A668" s="256" t="s">
        <v>311</v>
      </c>
      <c r="B668" s="256" t="s">
        <v>567</v>
      </c>
      <c r="C668" s="256" t="s">
        <v>1380</v>
      </c>
      <c r="D668" s="330" t="inlineStr">
        <is>
          <t xml:space="preserve">RAC</t>
        </is>
      </c>
      <c r="E668" s="330" t="inlineStr">
        <is>
          <t>Y</t>
        </is>
      </c>
      <c r="F668" s="330" t="inlineStr">
        <is>
          <t xml:space="preserve">진단 대상 35개 국가·리테일러에 해당하지 않음</t>
        </is>
      </c>
    </row>
    <row r="669" spans="1:15">
      <c r="A669" s="256" t="s">
        <v>311</v>
      </c>
      <c r="B669" s="256" t="s">
        <v>567</v>
      </c>
      <c r="C669" s="256" t="s">
        <v>1381</v>
      </c>
      <c r="D669" s="330" t="inlineStr">
        <is>
          <t xml:space="preserve">WM</t>
        </is>
      </c>
      <c r="E669" s="330" t="inlineStr">
        <is>
          <t>Y</t>
        </is>
      </c>
      <c r="F669" s="330" t="inlineStr">
        <is>
          <t xml:space="preserve">진단 대상 35개 국가·리테일러에 해당하지 않음</t>
        </is>
      </c>
    </row>
    <row r="670" spans="1:15">
      <c r="A670" s="256" t="s">
        <v>311</v>
      </c>
      <c r="B670" s="256" t="s">
        <v>567</v>
      </c>
      <c r="C670" s="256" t="s">
        <v>1382</v>
      </c>
      <c r="D670" s="330" t="inlineStr">
        <is>
          <t xml:space="preserve">AUDIO</t>
        </is>
      </c>
      <c r="E670" s="330" t="inlineStr">
        <is>
          <t>Y</t>
        </is>
      </c>
      <c r="F670" s="330" t="inlineStr">
        <is>
          <t xml:space="preserve">진단 대상 35개 국가·리테일러에 해당하지 않음</t>
        </is>
      </c>
    </row>
    <row r="671" spans="1:15">
      <c r="A671" s="256" t="s">
        <v>311</v>
      </c>
      <c r="B671" s="256" t="s">
        <v>567</v>
      </c>
      <c r="C671" s="256" t="s">
        <v>1383</v>
      </c>
      <c r="D671" s="330" t="inlineStr">
        <is>
          <t xml:space="preserve">SOUNDBAR</t>
        </is>
      </c>
      <c r="E671" s="330" t="inlineStr">
        <is>
          <t>Y</t>
        </is>
      </c>
      <c r="F671" s="330" t="inlineStr">
        <is>
          <t xml:space="preserve">진단 대상 35개 국가·리테일러에 해당하지 않음</t>
        </is>
      </c>
    </row>
    <row r="672" spans="1:15">
      <c r="A672" s="256" t="s">
        <v>311</v>
      </c>
      <c r="B672" s="256" t="s">
        <v>567</v>
      </c>
      <c r="C672" s="256" t="s">
        <v>1384</v>
      </c>
      <c r="D672" s="330" t="inlineStr">
        <is>
          <t xml:space="preserve">WM</t>
        </is>
      </c>
      <c r="E672" s="330" t="inlineStr">
        <is>
          <t>Y</t>
        </is>
      </c>
      <c r="F672" s="330" t="inlineStr">
        <is>
          <t xml:space="preserve">진단 대상 35개 국가·리테일러에 해당하지 않음</t>
        </is>
      </c>
    </row>
    <row r="673" spans="1:15">
      <c r="A673" s="256" t="s">
        <v>261</v>
      </c>
      <c r="B673" s="256" t="s">
        <v>567</v>
      </c>
      <c r="C673" s="256" t="s">
        <v>1385</v>
      </c>
      <c r="D673" s="330" t="inlineStr">
        <is>
          <t xml:space="preserve">REF</t>
        </is>
      </c>
      <c r="E673" s="330" t="inlineStr">
        <is>
          <t>Y</t>
        </is>
      </c>
      <c r="F673" s="330" t="inlineStr">
        <is>
          <t xml:space="preserve">진단 대상 35개 국가·리테일러에 해당하지 않음</t>
        </is>
      </c>
    </row>
    <row r="674" spans="1:15">
      <c r="A674" s="256" t="s">
        <v>261</v>
      </c>
      <c r="B674" s="256" t="s">
        <v>567</v>
      </c>
      <c r="C674" s="256" t="s">
        <v>1386</v>
      </c>
      <c r="D674" s="330" t="inlineStr">
        <is>
          <t xml:space="preserve">WM</t>
        </is>
      </c>
      <c r="E674" s="330" t="inlineStr">
        <is>
          <t>Y</t>
        </is>
      </c>
      <c r="F674" s="330" t="inlineStr">
        <is>
          <t xml:space="preserve">진단 대상 35개 국가·리테일러에 해당하지 않음</t>
        </is>
      </c>
    </row>
    <row r="675" spans="1:15">
      <c r="A675" s="256" t="s">
        <v>261</v>
      </c>
      <c r="B675" s="256" t="s">
        <v>567</v>
      </c>
      <c r="C675" s="256" t="s">
        <v>1387</v>
      </c>
      <c r="D675" s="330" t="inlineStr">
        <is>
          <t xml:space="preserve">WM</t>
        </is>
      </c>
      <c r="E675" s="330" t="inlineStr">
        <is>
          <t>Y</t>
        </is>
      </c>
      <c r="F675" s="330" t="inlineStr">
        <is>
          <t xml:space="preserve">진단 대상 35개 국가·리테일러에 해당하지 않음</t>
        </is>
      </c>
    </row>
    <row r="676" spans="1:15">
      <c r="A676" s="256" t="s">
        <v>261</v>
      </c>
      <c r="B676" s="256" t="s">
        <v>567</v>
      </c>
      <c r="C676" s="256" t="s">
        <v>1388</v>
      </c>
      <c r="D676" s="330" t="inlineStr">
        <is>
          <t xml:space="preserve">TV_AUDIO</t>
        </is>
      </c>
      <c r="E676" s="330" t="inlineStr">
        <is>
          <t>Y</t>
        </is>
      </c>
      <c r="F676" s="330" t="inlineStr">
        <is>
          <t xml:space="preserve">진단 대상 35개 국가·리테일러에 해당하지 않음</t>
        </is>
      </c>
    </row>
    <row r="677" spans="1:15">
      <c r="A677" s="256" t="s">
        <v>261</v>
      </c>
      <c r="B677" s="256" t="s">
        <v>567</v>
      </c>
      <c r="C677" s="256" t="s">
        <v>1389</v>
      </c>
      <c r="D677" s="330" t="inlineStr">
        <is>
          <t xml:space="preserve">MNT</t>
        </is>
      </c>
      <c r="E677" s="330" t="inlineStr">
        <is>
          <t>Y</t>
        </is>
      </c>
      <c r="F677" s="330" t="inlineStr">
        <is>
          <t xml:space="preserve">진단 대상 35개 국가·리테일러에 해당하지 않음</t>
        </is>
      </c>
    </row>
    <row r="678" spans="1:15">
      <c r="A678" s="256" t="s">
        <v>261</v>
      </c>
      <c r="B678" s="256" t="s">
        <v>567</v>
      </c>
      <c r="C678" s="256" t="s">
        <v>1390</v>
      </c>
      <c r="D678" s="330" t="inlineStr">
        <is>
          <t xml:space="preserve">RAC</t>
        </is>
      </c>
      <c r="E678" s="330" t="inlineStr">
        <is>
          <t>Y</t>
        </is>
      </c>
      <c r="F678" s="330" t="inlineStr">
        <is>
          <t xml:space="preserve">진단 대상 35개 국가·리테일러에 해당하지 않음</t>
        </is>
      </c>
    </row>
    <row r="679" spans="1:15">
      <c r="A679" s="256" t="s">
        <v>261</v>
      </c>
      <c r="B679" s="256" t="s">
        <v>567</v>
      </c>
      <c r="C679" s="256" t="s">
        <v>1391</v>
      </c>
      <c r="D679" s="330" t="inlineStr">
        <is>
          <t xml:space="preserve">BT_SPEAKER</t>
        </is>
      </c>
      <c r="E679" s="330" t="inlineStr">
        <is>
          <t>Y</t>
        </is>
      </c>
      <c r="F679" s="330" t="inlineStr">
        <is>
          <t xml:space="preserve">진단 대상 35개 국가·리테일러에 해당하지 않음</t>
        </is>
      </c>
    </row>
    <row r="680" spans="1:15">
      <c r="A680" s="256" t="s">
        <v>261</v>
      </c>
      <c r="B680" s="256" t="s">
        <v>567</v>
      </c>
      <c r="C680" s="256" t="s">
        <v>1392</v>
      </c>
      <c r="D680" s="330" t="inlineStr">
        <is>
          <t xml:space="preserve">SOUNDBAR</t>
        </is>
      </c>
      <c r="E680" s="330" t="inlineStr">
        <is>
          <t>Y</t>
        </is>
      </c>
      <c r="F680" s="330" t="inlineStr">
        <is>
          <t xml:space="preserve">진단 대상 35개 국가·리테일러에 해당하지 않음</t>
        </is>
      </c>
    </row>
    <row r="681" spans="1:15">
      <c r="A681" s="256" t="s">
        <v>261</v>
      </c>
      <c r="B681" s="256" t="s">
        <v>567</v>
      </c>
      <c r="C681" s="256" t="s">
        <v>1393</v>
      </c>
      <c r="D681" s="330" t="inlineStr">
        <is>
          <t xml:space="preserve">HEADSET</t>
        </is>
      </c>
      <c r="E681" s="330" t="inlineStr">
        <is>
          <t>Y</t>
        </is>
      </c>
      <c r="F681" s="330" t="inlineStr">
        <is>
          <t xml:space="preserve">진단 대상 35개 국가·리테일러에 해당하지 않음</t>
        </is>
      </c>
    </row>
    <row r="682" spans="1:15">
      <c r="A682" s="256" t="s">
        <v>261</v>
      </c>
      <c r="B682" s="256" t="s">
        <v>567</v>
      </c>
      <c r="C682" s="256" t="s">
        <v>1394</v>
      </c>
      <c r="D682" s="330" t="inlineStr">
        <is>
          <t xml:space="preserve">DRYER</t>
        </is>
      </c>
      <c r="E682" s="330" t="inlineStr">
        <is>
          <t>Y</t>
        </is>
      </c>
      <c r="F682" s="330" t="inlineStr">
        <is>
          <t xml:space="preserve">진단 대상 35개 국가·리테일러에 해당하지 않음</t>
        </is>
      </c>
    </row>
    <row r="683" spans="1:15">
      <c r="A683" s="256" t="s">
        <v>285</v>
      </c>
      <c r="B683" s="256" t="s">
        <v>567</v>
      </c>
      <c r="C683" s="256" t="s">
        <v>1395</v>
      </c>
      <c r="D683" s="330" t="inlineStr">
        <is>
          <t xml:space="preserve">REF</t>
        </is>
      </c>
      <c r="E683" s="330" t="inlineStr">
        <is>
          <t>Y</t>
        </is>
      </c>
      <c r="F683" s="330" t="inlineStr">
        <is>
          <t xml:space="preserve">진단 대상 35개 국가·리테일러에 해당하지 않음</t>
        </is>
      </c>
    </row>
    <row r="684" spans="1:15">
      <c r="A684" s="256" t="s">
        <v>285</v>
      </c>
      <c r="B684" s="256" t="s">
        <v>567</v>
      </c>
      <c r="C684" s="256" t="s">
        <v>1396</v>
      </c>
      <c r="D684" s="330" t="inlineStr">
        <is>
          <t xml:space="preserve">DRYER</t>
        </is>
      </c>
      <c r="E684" s="330" t="inlineStr">
        <is>
          <t>Y</t>
        </is>
      </c>
      <c r="F684" s="330" t="inlineStr">
        <is>
          <t xml:space="preserve">진단 대상 35개 국가·리테일러에 해당하지 않음</t>
        </is>
      </c>
    </row>
    <row r="685" spans="1:15">
      <c r="A685" s="256" t="s">
        <v>285</v>
      </c>
      <c r="B685" s="256" t="s">
        <v>567</v>
      </c>
      <c r="C685" s="256" t="s">
        <v>1397</v>
      </c>
      <c r="D685" s="330" t="inlineStr">
        <is>
          <t xml:space="preserve">DRYER</t>
        </is>
      </c>
      <c r="E685" s="330" t="inlineStr">
        <is>
          <t>Y</t>
        </is>
      </c>
      <c r="F685" s="330" t="inlineStr">
        <is>
          <t xml:space="preserve">진단 대상 35개 국가·리테일러에 해당하지 않음</t>
        </is>
      </c>
    </row>
    <row r="686" spans="1:15">
      <c r="A686" s="256" t="s">
        <v>285</v>
      </c>
      <c r="B686" s="256" t="s">
        <v>567</v>
      </c>
      <c r="C686" s="256" t="s">
        <v>1398</v>
      </c>
      <c r="D686" s="330" t="inlineStr">
        <is>
          <t xml:space="preserve">TV</t>
        </is>
      </c>
      <c r="E686" s="330" t="inlineStr">
        <is>
          <t>Y</t>
        </is>
      </c>
      <c r="F686" s="330" t="inlineStr">
        <is>
          <t xml:space="preserve">진단 대상 35개 국가·리테일러에 해당하지 않음</t>
        </is>
      </c>
    </row>
    <row r="687" spans="1:15">
      <c r="A687" s="256" t="s">
        <v>285</v>
      </c>
      <c r="B687" s="256" t="s">
        <v>567</v>
      </c>
      <c r="C687" s="256" t="s">
        <v>1399</v>
      </c>
      <c r="D687" s="330" t="inlineStr">
        <is>
          <t xml:space="preserve">SOUNDBAR</t>
        </is>
      </c>
      <c r="E687" s="330" t="inlineStr">
        <is>
          <t>Y</t>
        </is>
      </c>
      <c r="F687" s="330" t="inlineStr">
        <is>
          <t xml:space="preserve">진단 대상 35개 국가·리테일러에 해당하지 않음</t>
        </is>
      </c>
    </row>
    <row r="688" spans="1:15">
      <c r="A688" s="256" t="s">
        <v>285</v>
      </c>
      <c r="B688" s="256" t="s">
        <v>567</v>
      </c>
      <c r="C688" s="256" t="s">
        <v>1400</v>
      </c>
      <c r="D688" s="330" t="inlineStr">
        <is>
          <t xml:space="preserve">TV</t>
        </is>
      </c>
      <c r="E688" s="330" t="inlineStr">
        <is>
          <t>Y</t>
        </is>
      </c>
      <c r="F688" s="330" t="inlineStr">
        <is>
          <t xml:space="preserve">진단 대상 35개 국가·리테일러에 해당하지 않음</t>
        </is>
      </c>
    </row>
    <row r="689" spans="1:15">
      <c r="A689" s="256" t="s">
        <v>285</v>
      </c>
      <c r="B689" s="256" t="s">
        <v>567</v>
      </c>
      <c r="C689" s="256" t="s">
        <v>1401</v>
      </c>
      <c r="D689" s="330" t="inlineStr">
        <is>
          <t xml:space="preserve">TV</t>
        </is>
      </c>
      <c r="E689" s="330" t="inlineStr">
        <is>
          <t>Y</t>
        </is>
      </c>
      <c r="F689" s="330" t="inlineStr">
        <is>
          <t xml:space="preserve">진단 대상 35개 국가·리테일러에 해당하지 않음</t>
        </is>
      </c>
    </row>
    <row r="690" spans="1:15">
      <c r="A690" s="256" t="s">
        <v>285</v>
      </c>
      <c r="B690" s="256" t="s">
        <v>567</v>
      </c>
      <c r="C690" s="256" t="s">
        <v>1402</v>
      </c>
      <c r="D690" s="330" t="inlineStr">
        <is>
          <t xml:space="preserve">TV</t>
        </is>
      </c>
      <c r="E690" s="330" t="inlineStr">
        <is>
          <t>Y</t>
        </is>
      </c>
      <c r="F690" s="330" t="inlineStr">
        <is>
          <t xml:space="preserve">진단 대상 35개 국가·리테일러에 해당하지 않음</t>
        </is>
      </c>
    </row>
    <row r="691" spans="1:15">
      <c r="A691" s="256" t="s">
        <v>285</v>
      </c>
      <c r="B691" s="256" t="s">
        <v>567</v>
      </c>
      <c r="C691" s="256" t="s">
        <v>1403</v>
      </c>
      <c r="D691" s="330" t="inlineStr">
        <is>
          <t xml:space="preserve">TV</t>
        </is>
      </c>
      <c r="E691" s="330" t="inlineStr">
        <is>
          <t>Y</t>
        </is>
      </c>
      <c r="F691" s="330" t="inlineStr">
        <is>
          <t xml:space="preserve">진단 대상 35개 국가·리테일러에 해당하지 않음</t>
        </is>
      </c>
    </row>
    <row r="692" spans="1:15">
      <c r="A692" s="256" t="s">
        <v>285</v>
      </c>
      <c r="B692" s="256" t="s">
        <v>567</v>
      </c>
      <c r="C692" s="256" t="s">
        <v>1404</v>
      </c>
      <c r="D692" s="330" t="inlineStr">
        <is>
          <t xml:space="preserve">TV</t>
        </is>
      </c>
      <c r="E692" s="330" t="inlineStr">
        <is>
          <t>Y</t>
        </is>
      </c>
      <c r="F692" s="330" t="inlineStr">
        <is>
          <t xml:space="preserve">진단 대상 35개 국가·리테일러에 해당하지 않음</t>
        </is>
      </c>
    </row>
    <row r="693" spans="1:15">
      <c r="A693" s="256" t="s">
        <v>285</v>
      </c>
      <c r="B693" s="256" t="s">
        <v>567</v>
      </c>
      <c r="C693" s="256" t="s">
        <v>1405</v>
      </c>
      <c r="D693" s="330" t="inlineStr">
        <is>
          <t xml:space="preserve">TV</t>
        </is>
      </c>
      <c r="E693" s="330" t="inlineStr">
        <is>
          <t>Y</t>
        </is>
      </c>
      <c r="F693" s="330" t="inlineStr">
        <is>
          <t xml:space="preserve">진단 대상 35개 국가·리테일러에 해당하지 않음</t>
        </is>
      </c>
    </row>
    <row r="694" spans="1:15">
      <c r="A694" s="256" t="s">
        <v>285</v>
      </c>
      <c r="B694" s="256" t="s">
        <v>567</v>
      </c>
      <c r="C694" s="256" t="s">
        <v>1406</v>
      </c>
      <c r="D694" s="330" t="inlineStr">
        <is>
          <t xml:space="preserve">SOUNDBAR</t>
        </is>
      </c>
      <c r="E694" s="330" t="inlineStr">
        <is>
          <t>Y</t>
        </is>
      </c>
      <c r="F694" s="330" t="inlineStr">
        <is>
          <t xml:space="preserve">진단 대상 35개 국가·리테일러에 해당하지 않음</t>
        </is>
      </c>
    </row>
    <row r="695" spans="1:15">
      <c r="A695" s="256" t="s">
        <v>285</v>
      </c>
      <c r="B695" s="256" t="s">
        <v>567</v>
      </c>
      <c r="C695" s="256" t="s">
        <v>1407</v>
      </c>
      <c r="D695" s="330" t="inlineStr">
        <is>
          <t xml:space="preserve">SOUNDBAR</t>
        </is>
      </c>
      <c r="E695" s="330" t="inlineStr">
        <is>
          <t>Y</t>
        </is>
      </c>
      <c r="F695" s="330" t="inlineStr">
        <is>
          <t xml:space="preserve">진단 대상 35개 국가·리테일러에 해당하지 않음</t>
        </is>
      </c>
    </row>
    <row r="696" spans="1:15">
      <c r="A696" s="256" t="s">
        <v>285</v>
      </c>
      <c r="B696" s="256" t="s">
        <v>567</v>
      </c>
      <c r="C696" s="256" t="s">
        <v>1408</v>
      </c>
      <c r="D696" s="330" t="inlineStr">
        <is>
          <t xml:space="preserve">TV</t>
        </is>
      </c>
      <c r="E696" s="330" t="inlineStr">
        <is>
          <t>Y</t>
        </is>
      </c>
      <c r="F696" s="330" t="inlineStr">
        <is>
          <t xml:space="preserve">진단 대상 35개 국가·리테일러에 해당하지 않음</t>
        </is>
      </c>
    </row>
    <row r="697" spans="1:15">
      <c r="A697" s="256" t="s">
        <v>285</v>
      </c>
      <c r="B697" s="256" t="s">
        <v>567</v>
      </c>
      <c r="C697" s="256" t="s">
        <v>1409</v>
      </c>
      <c r="D697" s="330" t="inlineStr">
        <is>
          <t xml:space="preserve">SOUNDBAR</t>
        </is>
      </c>
      <c r="E697" s="330" t="inlineStr">
        <is>
          <t>Y</t>
        </is>
      </c>
      <c r="F697" s="330" t="inlineStr">
        <is>
          <t xml:space="preserve">진단 대상 35개 국가·리테일러에 해당하지 않음</t>
        </is>
      </c>
    </row>
    <row r="698" spans="1:15">
      <c r="A698" s="256" t="s">
        <v>285</v>
      </c>
      <c r="B698" s="256" t="s">
        <v>567</v>
      </c>
      <c r="C698" s="256" t="s">
        <v>1410</v>
      </c>
      <c r="D698" s="330" t="inlineStr">
        <is>
          <t xml:space="preserve">MNT</t>
        </is>
      </c>
      <c r="E698" s="330" t="inlineStr">
        <is>
          <t>Y</t>
        </is>
      </c>
      <c r="F698" s="330" t="inlineStr">
        <is>
          <t xml:space="preserve">진단 대상 35개 국가·리테일러에 해당하지 않음</t>
        </is>
      </c>
    </row>
    <row r="699" spans="1:15">
      <c r="A699" s="256" t="s">
        <v>285</v>
      </c>
      <c r="B699" s="256" t="s">
        <v>567</v>
      </c>
      <c r="C699" s="256" t="s">
        <v>1411</v>
      </c>
      <c r="D699" s="330" t="inlineStr">
        <is>
          <t xml:space="preserve">BT_SPEAKER</t>
        </is>
      </c>
      <c r="E699" s="330" t="inlineStr">
        <is>
          <t>Y</t>
        </is>
      </c>
      <c r="F699" s="330" t="inlineStr">
        <is>
          <t xml:space="preserve">진단 대상 35개 국가·리테일러에 해당하지 않음</t>
        </is>
      </c>
    </row>
    <row r="700" spans="1:15">
      <c r="A700" s="256" t="s">
        <v>285</v>
      </c>
      <c r="B700" s="256" t="s">
        <v>567</v>
      </c>
      <c r="C700" s="256" t="s">
        <v>1412</v>
      </c>
      <c r="D700" s="330" t="inlineStr">
        <is>
          <t xml:space="preserve">SOUNDBAR</t>
        </is>
      </c>
      <c r="E700" s="330" t="inlineStr">
        <is>
          <t>Y</t>
        </is>
      </c>
      <c r="F700" s="330" t="inlineStr">
        <is>
          <t xml:space="preserve">진단 대상 35개 국가·리테일러에 해당하지 않음</t>
        </is>
      </c>
    </row>
    <row r="701" spans="1:15">
      <c r="A701" s="256" t="s">
        <v>285</v>
      </c>
      <c r="B701" s="256" t="s">
        <v>567</v>
      </c>
      <c r="C701" s="256" t="s">
        <v>1413</v>
      </c>
      <c r="D701" s="330" t="inlineStr">
        <is>
          <t xml:space="preserve">RAC</t>
        </is>
      </c>
      <c r="E701" s="330" t="inlineStr">
        <is>
          <t>Y</t>
        </is>
      </c>
      <c r="F701" s="330" t="inlineStr">
        <is>
          <t xml:space="preserve">진단 대상 35개 국가·리테일러에 해당하지 않음</t>
        </is>
      </c>
    </row>
    <row r="702" spans="1:15">
      <c r="A702" s="256" t="s">
        <v>285</v>
      </c>
      <c r="B702" s="256" t="s">
        <v>567</v>
      </c>
      <c r="C702" s="256" t="s">
        <v>1414</v>
      </c>
      <c r="D702" s="330" t="inlineStr">
        <is>
          <t xml:space="preserve">HEADSET</t>
        </is>
      </c>
      <c r="E702" s="330" t="inlineStr">
        <is>
          <t>Y</t>
        </is>
      </c>
      <c r="F702" s="330" t="inlineStr">
        <is>
          <t xml:space="preserve">진단 대상 35개 국가·리테일러에 해당하지 않음</t>
        </is>
      </c>
    </row>
    <row r="703" spans="1:15">
      <c r="A703" s="256" t="s">
        <v>285</v>
      </c>
      <c r="B703" s="256" t="s">
        <v>567</v>
      </c>
      <c r="C703" s="256" t="s">
        <v>1415</v>
      </c>
      <c r="D703" s="330" t="inlineStr">
        <is>
          <t xml:space="preserve">RAC</t>
        </is>
      </c>
      <c r="E703" s="330" t="inlineStr">
        <is>
          <t>Y</t>
        </is>
      </c>
      <c r="F703" s="330" t="inlineStr">
        <is>
          <t xml:space="preserve">진단 대상 35개 국가·리테일러에 해당하지 않음</t>
        </is>
      </c>
    </row>
    <row r="704" spans="1:15">
      <c r="A704" s="256" t="s">
        <v>285</v>
      </c>
      <c r="B704" s="256" t="s">
        <v>567</v>
      </c>
      <c r="C704" s="256" t="s">
        <v>1415</v>
      </c>
      <c r="D704" s="330" t="inlineStr">
        <is>
          <t xml:space="preserve">RAC</t>
        </is>
      </c>
      <c r="E704" s="330" t="inlineStr">
        <is>
          <t>Y</t>
        </is>
      </c>
      <c r="F704" s="330" t="inlineStr">
        <is>
          <t xml:space="preserve">진단 대상 35개 국가·리테일러에 해당하지 않음</t>
        </is>
      </c>
    </row>
    <row r="705" spans="1:15">
      <c r="A705" s="256" t="s">
        <v>251</v>
      </c>
      <c r="B705" s="256" t="s">
        <v>567</v>
      </c>
      <c r="C705" s="256" t="s">
        <v>1416</v>
      </c>
      <c r="D705" s="330" t="inlineStr">
        <is>
          <t xml:space="preserve">REF</t>
        </is>
      </c>
      <c r="E705" s="330" t="inlineStr">
        <is>
          <t>Y</t>
        </is>
      </c>
      <c r="F705" s="330" t="inlineStr">
        <is>
          <t xml:space="preserve">진단 대상 35개 국가·리테일러에 해당하지 않음</t>
        </is>
      </c>
    </row>
    <row r="706" spans="1:15">
      <c r="A706" s="256" t="s">
        <v>251</v>
      </c>
      <c r="B706" s="256" t="s">
        <v>567</v>
      </c>
      <c r="C706" s="256" t="s">
        <v>1417</v>
      </c>
      <c r="D706" s="330" t="inlineStr">
        <is>
          <t xml:space="preserve">WM</t>
        </is>
      </c>
      <c r="E706" s="330" t="inlineStr">
        <is>
          <t>Y</t>
        </is>
      </c>
      <c r="F706" s="330" t="inlineStr">
        <is>
          <t xml:space="preserve">진단 대상 35개 국가·리테일러에 해당하지 않음</t>
        </is>
      </c>
    </row>
    <row r="707" spans="1:15">
      <c r="A707" s="256" t="s">
        <v>251</v>
      </c>
      <c r="B707" s="256" t="s">
        <v>567</v>
      </c>
      <c r="C707" s="256" t="s">
        <v>1418</v>
      </c>
      <c r="D707" s="330" t="inlineStr">
        <is>
          <t xml:space="preserve">WM</t>
        </is>
      </c>
      <c r="E707" s="330" t="inlineStr">
        <is>
          <t>Y</t>
        </is>
      </c>
      <c r="F707" s="330" t="inlineStr">
        <is>
          <t xml:space="preserve">진단 대상 35개 국가·리테일러에 해당하지 않음</t>
        </is>
      </c>
    </row>
    <row r="708" spans="1:15">
      <c r="A708" s="256" t="s">
        <v>251</v>
      </c>
      <c r="B708" s="256" t="s">
        <v>567</v>
      </c>
      <c r="C708" s="256" t="s">
        <v>1419</v>
      </c>
      <c r="D708" s="330" t="inlineStr">
        <is>
          <t xml:space="preserve">TV</t>
        </is>
      </c>
      <c r="E708" s="330" t="inlineStr">
        <is>
          <t>Y</t>
        </is>
      </c>
      <c r="F708" s="330" t="inlineStr">
        <is>
          <t xml:space="preserve">진단 대상 35개 국가·리테일러에 해당하지 않음</t>
        </is>
      </c>
    </row>
    <row r="709" spans="1:15">
      <c r="A709" s="256" t="s">
        <v>251</v>
      </c>
      <c r="B709" s="256" t="s">
        <v>567</v>
      </c>
      <c r="C709" s="256" t="s">
        <v>1420</v>
      </c>
      <c r="D709" s="330" t="inlineStr">
        <is>
          <t xml:space="preserve">TV</t>
        </is>
      </c>
      <c r="E709" s="330" t="inlineStr">
        <is>
          <t>Y</t>
        </is>
      </c>
      <c r="F709" s="330" t="inlineStr">
        <is>
          <t xml:space="preserve">진단 대상 35개 국가·리테일러에 해당하지 않음</t>
        </is>
      </c>
    </row>
    <row r="710" spans="1:15">
      <c r="A710" s="256" t="s">
        <v>251</v>
      </c>
      <c r="B710" s="256" t="s">
        <v>567</v>
      </c>
      <c r="C710" s="256" t="s">
        <v>1421</v>
      </c>
      <c r="D710" s="330" t="inlineStr">
        <is>
          <t xml:space="preserve">TV</t>
        </is>
      </c>
      <c r="E710" s="330" t="inlineStr">
        <is>
          <t>Y</t>
        </is>
      </c>
      <c r="F710" s="330" t="inlineStr">
        <is>
          <t xml:space="preserve">진단 대상 35개 국가·리테일러에 해당하지 않음</t>
        </is>
      </c>
    </row>
    <row r="711" spans="1:15">
      <c r="A711" s="256" t="s">
        <v>251</v>
      </c>
      <c r="B711" s="256" t="s">
        <v>567</v>
      </c>
      <c r="C711" s="256" t="s">
        <v>1422</v>
      </c>
      <c r="D711" s="330" t="inlineStr">
        <is>
          <t xml:space="preserve">TV</t>
        </is>
      </c>
      <c r="E711" s="330" t="inlineStr">
        <is>
          <t>Y</t>
        </is>
      </c>
      <c r="F711" s="330" t="inlineStr">
        <is>
          <t xml:space="preserve">진단 대상 35개 국가·리테일러에 해당하지 않음</t>
        </is>
      </c>
    </row>
    <row r="712" spans="1:15">
      <c r="A712" s="256" t="s">
        <v>251</v>
      </c>
      <c r="B712" s="256" t="s">
        <v>567</v>
      </c>
      <c r="C712" s="256" t="s">
        <v>1423</v>
      </c>
      <c r="D712" s="330" t="inlineStr">
        <is>
          <t xml:space="preserve">SOUNDBAR</t>
        </is>
      </c>
      <c r="E712" s="330" t="inlineStr">
        <is>
          <t>Y</t>
        </is>
      </c>
      <c r="F712" s="330" t="inlineStr">
        <is>
          <t xml:space="preserve">진단 대상 35개 국가·리테일러에 해당하지 않음</t>
        </is>
      </c>
    </row>
    <row r="713" spans="1:15">
      <c r="A713" s="256" t="s">
        <v>251</v>
      </c>
      <c r="B713" s="256" t="s">
        <v>567</v>
      </c>
      <c r="C713" s="256" t="s">
        <v>1424</v>
      </c>
      <c r="D713" s="330" t="inlineStr">
        <is>
          <t xml:space="preserve">TV</t>
        </is>
      </c>
      <c r="E713" s="330" t="inlineStr">
        <is>
          <t>Y</t>
        </is>
      </c>
      <c r="F713" s="330" t="inlineStr">
        <is>
          <t xml:space="preserve">진단 대상 35개 국가·리테일러에 해당하지 않음</t>
        </is>
      </c>
    </row>
    <row r="714" spans="1:15">
      <c r="A714" s="256" t="s">
        <v>251</v>
      </c>
      <c r="B714" s="256" t="s">
        <v>567</v>
      </c>
      <c r="C714" s="256" t="s">
        <v>1425</v>
      </c>
      <c r="D714" s="330" t="inlineStr">
        <is>
          <t xml:space="preserve">TV</t>
        </is>
      </c>
      <c r="E714" s="330" t="inlineStr">
        <is>
          <t>Y</t>
        </is>
      </c>
      <c r="F714" s="330" t="inlineStr">
        <is>
          <t xml:space="preserve">진단 대상 35개 국가·리테일러에 해당하지 않음</t>
        </is>
      </c>
    </row>
    <row r="715" spans="1:15">
      <c r="A715" s="256" t="s">
        <v>251</v>
      </c>
      <c r="B715" s="256" t="s">
        <v>567</v>
      </c>
      <c r="C715" s="256" t="s">
        <v>1426</v>
      </c>
      <c r="D715" s="330" t="inlineStr">
        <is>
          <t xml:space="preserve">MNT</t>
        </is>
      </c>
      <c r="E715" s="330" t="inlineStr">
        <is>
          <t>Y</t>
        </is>
      </c>
      <c r="F715" s="330" t="inlineStr">
        <is>
          <t xml:space="preserve">진단 대상 35개 국가·리테일러에 해당하지 않음</t>
        </is>
      </c>
    </row>
    <row r="716" spans="1:15">
      <c r="A716" s="256" t="s">
        <v>251</v>
      </c>
      <c r="B716" s="256" t="s">
        <v>567</v>
      </c>
      <c r="C716" s="256" t="s">
        <v>1427</v>
      </c>
      <c r="D716" s="330" t="inlineStr">
        <is>
          <t xml:space="preserve">RAC</t>
        </is>
      </c>
      <c r="E716" s="330" t="inlineStr">
        <is>
          <t>Y</t>
        </is>
      </c>
      <c r="F716" s="330" t="inlineStr">
        <is>
          <t xml:space="preserve">진단 대상 35개 국가·리테일러에 해당하지 않음</t>
        </is>
      </c>
    </row>
    <row r="717" spans="1:15">
      <c r="A717" s="256" t="s">
        <v>251</v>
      </c>
      <c r="B717" s="256" t="s">
        <v>567</v>
      </c>
      <c r="C717" s="256" t="s">
        <v>1428</v>
      </c>
      <c r="D717" s="330" t="inlineStr">
        <is>
          <t xml:space="preserve">BT_SPEAKER</t>
        </is>
      </c>
      <c r="E717" s="330" t="inlineStr">
        <is>
          <t>Y</t>
        </is>
      </c>
      <c r="F717" s="330" t="inlineStr">
        <is>
          <t xml:space="preserve">진단 대상 35개 국가·리테일러에 해당하지 않음</t>
        </is>
      </c>
    </row>
    <row r="718" spans="1:15">
      <c r="A718" s="256" t="s">
        <v>251</v>
      </c>
      <c r="B718" s="256" t="s">
        <v>567</v>
      </c>
      <c r="C718" s="256" t="s">
        <v>1429</v>
      </c>
      <c r="D718" s="330" t="inlineStr">
        <is>
          <t xml:space="preserve">SOUNDBAR</t>
        </is>
      </c>
      <c r="E718" s="330" t="inlineStr">
        <is>
          <t>Y</t>
        </is>
      </c>
      <c r="F718" s="330" t="inlineStr">
        <is>
          <t xml:space="preserve">진단 대상 35개 국가·리테일러에 해당하지 않음</t>
        </is>
      </c>
    </row>
    <row r="719" spans="1:15">
      <c r="A719" s="256" t="s">
        <v>251</v>
      </c>
      <c r="B719" s="256" t="s">
        <v>567</v>
      </c>
      <c r="C719" s="256" t="s">
        <v>1430</v>
      </c>
      <c r="D719" s="330" t="inlineStr">
        <is>
          <t xml:space="preserve">HEADSET</t>
        </is>
      </c>
      <c r="E719" s="330" t="inlineStr">
        <is>
          <t>Y</t>
        </is>
      </c>
      <c r="F719" s="330" t="inlineStr">
        <is>
          <t xml:space="preserve">진단 대상 35개 국가·리테일러에 해당하지 않음</t>
        </is>
      </c>
    </row>
    <row r="720" spans="1:15">
      <c r="A720" s="256" t="s">
        <v>271</v>
      </c>
      <c r="B720" s="256" t="s">
        <v>567</v>
      </c>
      <c r="C720" s="256" t="s">
        <v>1431</v>
      </c>
      <c r="D720" s="330" t="inlineStr">
        <is>
          <t xml:space="preserve">REF</t>
        </is>
      </c>
      <c r="E720" s="330" t="inlineStr">
        <is>
          <t>Y</t>
        </is>
      </c>
      <c r="F720" s="330" t="inlineStr">
        <is>
          <t xml:space="preserve">진단 대상 35개 국가·리테일러에 해당하지 않음</t>
        </is>
      </c>
    </row>
    <row r="721" spans="1:15">
      <c r="A721" s="256" t="s">
        <v>271</v>
      </c>
      <c r="B721" s="256" t="s">
        <v>567</v>
      </c>
      <c r="C721" s="256" t="s">
        <v>1432</v>
      </c>
      <c r="D721" s="330" t="inlineStr">
        <is>
          <t xml:space="preserve">DRYER</t>
        </is>
      </c>
      <c r="E721" s="330" t="inlineStr">
        <is>
          <t>Y</t>
        </is>
      </c>
      <c r="F721" s="330" t="inlineStr">
        <is>
          <t xml:space="preserve">진단 대상 35개 국가·리테일러에 해당하지 않음</t>
        </is>
      </c>
    </row>
    <row r="722" spans="1:15">
      <c r="A722" s="256" t="s">
        <v>271</v>
      </c>
      <c r="B722" s="256" t="s">
        <v>567</v>
      </c>
      <c r="C722" s="256" t="s">
        <v>1433</v>
      </c>
      <c r="D722" s="330" t="inlineStr">
        <is>
          <t xml:space="preserve">DRYER</t>
        </is>
      </c>
      <c r="E722" s="330" t="inlineStr">
        <is>
          <t>Y</t>
        </is>
      </c>
      <c r="F722" s="330" t="inlineStr">
        <is>
          <t xml:space="preserve">진단 대상 35개 국가·리테일러에 해당하지 않음</t>
        </is>
      </c>
    </row>
    <row r="723" spans="1:15">
      <c r="A723" s="256" t="s">
        <v>271</v>
      </c>
      <c r="B723" s="256" t="s">
        <v>567</v>
      </c>
      <c r="C723" s="256" t="s">
        <v>1434</v>
      </c>
      <c r="D723" s="330" t="inlineStr">
        <is>
          <t xml:space="preserve">TV</t>
        </is>
      </c>
      <c r="E723" s="330" t="inlineStr">
        <is>
          <t>Y</t>
        </is>
      </c>
      <c r="F723" s="330" t="inlineStr">
        <is>
          <t xml:space="preserve">진단 대상 35개 국가·리테일러에 해당하지 않음</t>
        </is>
      </c>
    </row>
    <row r="724" spans="1:15">
      <c r="A724" s="256" t="s">
        <v>271</v>
      </c>
      <c r="B724" s="256" t="s">
        <v>567</v>
      </c>
      <c r="C724" s="256" t="s">
        <v>1435</v>
      </c>
      <c r="D724" s="330" t="inlineStr">
        <is>
          <t xml:space="preserve">TV</t>
        </is>
      </c>
      <c r="E724" s="330" t="inlineStr">
        <is>
          <t>Y</t>
        </is>
      </c>
      <c r="F724" s="330" t="inlineStr">
        <is>
          <t xml:space="preserve">진단 대상 35개 국가·리테일러에 해당하지 않음</t>
        </is>
      </c>
    </row>
    <row r="725" spans="1:15">
      <c r="A725" s="256" t="s">
        <v>271</v>
      </c>
      <c r="B725" s="256" t="s">
        <v>567</v>
      </c>
      <c r="C725" s="256" t="s">
        <v>1436</v>
      </c>
      <c r="D725" s="330" t="inlineStr">
        <is>
          <t xml:space="preserve">TV</t>
        </is>
      </c>
      <c r="E725" s="330" t="inlineStr">
        <is>
          <t>Y</t>
        </is>
      </c>
      <c r="F725" s="330" t="inlineStr">
        <is>
          <t xml:space="preserve">진단 대상 35개 국가·리테일러에 해당하지 않음</t>
        </is>
      </c>
    </row>
    <row r="726" spans="1:15">
      <c r="A726" s="256" t="s">
        <v>271</v>
      </c>
      <c r="B726" s="256" t="s">
        <v>567</v>
      </c>
      <c r="C726" s="256" t="s">
        <v>1437</v>
      </c>
      <c r="D726" s="330" t="inlineStr">
        <is>
          <t xml:space="preserve">TV</t>
        </is>
      </c>
      <c r="E726" s="330" t="inlineStr">
        <is>
          <t>Y</t>
        </is>
      </c>
      <c r="F726" s="330" t="inlineStr">
        <is>
          <t xml:space="preserve">진단 대상 35개 국가·리테일러에 해당하지 않음</t>
        </is>
      </c>
    </row>
    <row r="727" spans="1:15">
      <c r="A727" s="256" t="s">
        <v>271</v>
      </c>
      <c r="B727" s="256" t="s">
        <v>567</v>
      </c>
      <c r="C727" s="256" t="s">
        <v>1438</v>
      </c>
      <c r="D727" s="330" t="inlineStr">
        <is>
          <t xml:space="preserve">TV</t>
        </is>
      </c>
      <c r="E727" s="330" t="inlineStr">
        <is>
          <t>Y</t>
        </is>
      </c>
      <c r="F727" s="330" t="inlineStr">
        <is>
          <t xml:space="preserve">진단 대상 35개 국가·리테일러에 해당하지 않음</t>
        </is>
      </c>
    </row>
    <row r="728" spans="1:15">
      <c r="A728" s="256" t="s">
        <v>271</v>
      </c>
      <c r="B728" s="256" t="s">
        <v>567</v>
      </c>
      <c r="C728" s="256" t="s">
        <v>1439</v>
      </c>
      <c r="D728" s="330" t="inlineStr">
        <is>
          <t xml:space="preserve">TV</t>
        </is>
      </c>
      <c r="E728" s="330" t="inlineStr">
        <is>
          <t>Y</t>
        </is>
      </c>
      <c r="F728" s="330" t="inlineStr">
        <is>
          <t xml:space="preserve">진단 대상 35개 국가·리테일러에 해당하지 않음</t>
        </is>
      </c>
    </row>
    <row r="729" spans="1:15">
      <c r="A729" s="256" t="s">
        <v>271</v>
      </c>
      <c r="B729" s="256" t="s">
        <v>567</v>
      </c>
      <c r="C729" s="256" t="s">
        <v>1440</v>
      </c>
      <c r="D729" s="330" t="inlineStr">
        <is>
          <t xml:space="preserve">TV</t>
        </is>
      </c>
      <c r="E729" s="330" t="inlineStr">
        <is>
          <t>Y</t>
        </is>
      </c>
      <c r="F729" s="330" t="inlineStr">
        <is>
          <t xml:space="preserve">진단 대상 35개 국가·리테일러에 해당하지 않음</t>
        </is>
      </c>
    </row>
    <row r="730" spans="1:15">
      <c r="A730" s="256" t="s">
        <v>271</v>
      </c>
      <c r="B730" s="256" t="s">
        <v>567</v>
      </c>
      <c r="C730" s="256" t="s">
        <v>1441</v>
      </c>
      <c r="D730" s="330" t="inlineStr">
        <is>
          <t xml:space="preserve">TV</t>
        </is>
      </c>
      <c r="E730" s="330" t="inlineStr">
        <is>
          <t>Y</t>
        </is>
      </c>
      <c r="F730" s="330" t="inlineStr">
        <is>
          <t xml:space="preserve">진단 대상 35개 국가·리테일러에 해당하지 않음</t>
        </is>
      </c>
    </row>
    <row r="731" spans="1:15">
      <c r="A731" s="256" t="s">
        <v>271</v>
      </c>
      <c r="B731" s="256" t="s">
        <v>567</v>
      </c>
      <c r="C731" s="256" t="s">
        <v>1442</v>
      </c>
      <c r="D731" s="330" t="inlineStr">
        <is>
          <t xml:space="preserve">TV</t>
        </is>
      </c>
      <c r="E731" s="330" t="inlineStr">
        <is>
          <t>Y</t>
        </is>
      </c>
      <c r="F731" s="330" t="inlineStr">
        <is>
          <t xml:space="preserve">진단 대상 35개 국가·리테일러에 해당하지 않음</t>
        </is>
      </c>
    </row>
    <row r="732" spans="1:15">
      <c r="A732" s="256" t="s">
        <v>271</v>
      </c>
      <c r="B732" s="256" t="s">
        <v>567</v>
      </c>
      <c r="C732" s="256" t="s">
        <v>1443</v>
      </c>
      <c r="D732" s="330" t="inlineStr">
        <is>
          <t xml:space="preserve">MNT</t>
        </is>
      </c>
      <c r="E732" s="330" t="inlineStr">
        <is>
          <t>Y</t>
        </is>
      </c>
      <c r="F732" s="330" t="inlineStr">
        <is>
          <t xml:space="preserve">진단 대상 35개 국가·리테일러에 해당하지 않음</t>
        </is>
      </c>
    </row>
    <row r="733" spans="1:15">
      <c r="A733" s="256" t="s">
        <v>271</v>
      </c>
      <c r="B733" s="256" t="s">
        <v>567</v>
      </c>
      <c r="C733" s="256" t="s">
        <v>1444</v>
      </c>
      <c r="D733" s="330" t="inlineStr">
        <is>
          <t xml:space="preserve">BT_SPEAKER</t>
        </is>
      </c>
      <c r="E733" s="330" t="inlineStr">
        <is>
          <t>Y</t>
        </is>
      </c>
      <c r="F733" s="330" t="inlineStr">
        <is>
          <t xml:space="preserve">진단 대상 35개 국가·리테일러에 해당하지 않음</t>
        </is>
      </c>
    </row>
    <row r="734" spans="1:15">
      <c r="A734" s="256" t="s">
        <v>271</v>
      </c>
      <c r="B734" s="256" t="s">
        <v>567</v>
      </c>
      <c r="C734" s="256" t="s">
        <v>1445</v>
      </c>
      <c r="D734" s="330" t="inlineStr">
        <is>
          <t xml:space="preserve">SOUNDBAR</t>
        </is>
      </c>
      <c r="E734" s="330" t="inlineStr">
        <is>
          <t>Y</t>
        </is>
      </c>
      <c r="F734" s="330" t="inlineStr">
        <is>
          <t xml:space="preserve">진단 대상 35개 국가·리테일러에 해당하지 않음</t>
        </is>
      </c>
    </row>
    <row r="735" spans="1:15">
      <c r="A735" s="256" t="s">
        <v>271</v>
      </c>
      <c r="B735" s="256" t="s">
        <v>567</v>
      </c>
      <c r="C735" s="256" t="s">
        <v>1446</v>
      </c>
      <c r="D735" s="330" t="inlineStr">
        <is>
          <t xml:space="preserve">RAC</t>
        </is>
      </c>
      <c r="E735" s="330" t="inlineStr">
        <is>
          <t>Y</t>
        </is>
      </c>
      <c r="F735" s="330" t="inlineStr">
        <is>
          <t xml:space="preserve">진단 대상 35개 국가·리테일러에 해당하지 않음</t>
        </is>
      </c>
    </row>
    <row r="736" spans="1:15">
      <c r="A736" s="256" t="s">
        <v>271</v>
      </c>
      <c r="B736" s="256" t="s">
        <v>567</v>
      </c>
      <c r="C736" s="256" t="s">
        <v>1447</v>
      </c>
      <c r="D736" s="330" t="inlineStr">
        <is>
          <t xml:space="preserve">RAC</t>
        </is>
      </c>
      <c r="E736" s="330" t="inlineStr">
        <is>
          <t>Y</t>
        </is>
      </c>
      <c r="F736" s="330" t="inlineStr">
        <is>
          <t xml:space="preserve">진단 대상 35개 국가·리테일러에 해당하지 않음</t>
        </is>
      </c>
    </row>
    <row r="737" spans="1:15">
      <c r="A737" s="256" t="s">
        <v>271</v>
      </c>
      <c r="B737" s="256" t="s">
        <v>567</v>
      </c>
      <c r="C737" s="256" t="s">
        <v>1448</v>
      </c>
      <c r="D737" s="330" t="inlineStr">
        <is>
          <t xml:space="preserve">HEADSET</t>
        </is>
      </c>
      <c r="E737" s="330" t="inlineStr">
        <is>
          <t>Y</t>
        </is>
      </c>
      <c r="F737" s="330" t="inlineStr">
        <is>
          <t xml:space="preserve">진단 대상 35개 국가·리테일러에 해당하지 않음</t>
        </is>
      </c>
    </row>
    <row r="738" spans="1:15">
      <c r="A738" s="256" t="s">
        <v>331</v>
      </c>
      <c r="B738" s="256" t="s">
        <v>567</v>
      </c>
      <c r="C738" s="256" t="s">
        <v>1449</v>
      </c>
      <c r="D738" s="330" t="inlineStr">
        <is>
          <t xml:space="preserve">REF</t>
        </is>
      </c>
      <c r="E738" s="330" t="inlineStr">
        <is>
          <t>Y</t>
        </is>
      </c>
      <c r="F738" s="330" t="inlineStr">
        <is>
          <t xml:space="preserve">진단 대상 35개 국가·리테일러에 해당하지 않음</t>
        </is>
      </c>
    </row>
    <row r="739" spans="1:15">
      <c r="A739" s="256" t="s">
        <v>331</v>
      </c>
      <c r="B739" s="256" t="s">
        <v>567</v>
      </c>
      <c r="C739" s="256" t="s">
        <v>1450</v>
      </c>
      <c r="D739" s="330" t="inlineStr">
        <is>
          <t xml:space="preserve">DRYER</t>
        </is>
      </c>
      <c r="E739" s="330" t="inlineStr">
        <is>
          <t>Y</t>
        </is>
      </c>
      <c r="F739" s="330" t="inlineStr">
        <is>
          <t xml:space="preserve">진단 대상 35개 국가·리테일러에 해당하지 않음</t>
        </is>
      </c>
    </row>
    <row r="740" spans="1:15">
      <c r="A740" s="256" t="s">
        <v>331</v>
      </c>
      <c r="B740" s="256" t="s">
        <v>567</v>
      </c>
      <c r="C740" s="256" t="s">
        <v>1451</v>
      </c>
      <c r="D740" s="330" t="inlineStr">
        <is>
          <t xml:space="preserve">WM</t>
        </is>
      </c>
      <c r="E740" s="330" t="inlineStr">
        <is>
          <t>Y</t>
        </is>
      </c>
      <c r="F740" s="330" t="inlineStr">
        <is>
          <t xml:space="preserve">진단 대상 35개 국가·리테일러에 해당하지 않음</t>
        </is>
      </c>
    </row>
    <row r="741" spans="1:15">
      <c r="A741" s="256" t="s">
        <v>331</v>
      </c>
      <c r="B741" s="256" t="s">
        <v>567</v>
      </c>
      <c r="C741" s="256" t="s">
        <v>1452</v>
      </c>
      <c r="D741" s="330" t="inlineStr">
        <is>
          <t xml:space="preserve">TV</t>
        </is>
      </c>
      <c r="E741" s="330" t="inlineStr">
        <is>
          <t>Y</t>
        </is>
      </c>
      <c r="F741" s="330" t="inlineStr">
        <is>
          <t xml:space="preserve">진단 대상 35개 국가·리테일러에 해당하지 않음</t>
        </is>
      </c>
    </row>
    <row r="742" spans="1:15">
      <c r="A742" s="256" t="s">
        <v>331</v>
      </c>
      <c r="B742" s="256" t="s">
        <v>567</v>
      </c>
      <c r="C742" s="256" t="s">
        <v>1453</v>
      </c>
      <c r="D742" s="330" t="inlineStr">
        <is>
          <t xml:space="preserve">TV</t>
        </is>
      </c>
      <c r="E742" s="330" t="inlineStr">
        <is>
          <t>Y</t>
        </is>
      </c>
      <c r="F742" s="330" t="inlineStr">
        <is>
          <t xml:space="preserve">진단 대상 35개 국가·리테일러에 해당하지 않음</t>
        </is>
      </c>
    </row>
    <row r="743" spans="1:15">
      <c r="A743" s="256" t="s">
        <v>331</v>
      </c>
      <c r="B743" s="256" t="s">
        <v>567</v>
      </c>
      <c r="C743" s="256" t="s">
        <v>1454</v>
      </c>
      <c r="D743" s="330" t="inlineStr">
        <is>
          <t xml:space="preserve">TV</t>
        </is>
      </c>
      <c r="E743" s="330" t="inlineStr">
        <is>
          <t>Y</t>
        </is>
      </c>
      <c r="F743" s="330" t="inlineStr">
        <is>
          <t xml:space="preserve">진단 대상 35개 국가·리테일러에 해당하지 않음</t>
        </is>
      </c>
    </row>
    <row r="744" spans="1:15">
      <c r="A744" s="256" t="s">
        <v>331</v>
      </c>
      <c r="B744" s="256" t="s">
        <v>567</v>
      </c>
      <c r="C744" s="256" t="s">
        <v>1455</v>
      </c>
      <c r="D744" s="330" t="inlineStr">
        <is>
          <t xml:space="preserve">TV</t>
        </is>
      </c>
      <c r="E744" s="330" t="inlineStr">
        <is>
          <t>Y</t>
        </is>
      </c>
      <c r="F744" s="330" t="inlineStr">
        <is>
          <t xml:space="preserve">진단 대상 35개 국가·리테일러에 해당하지 않음</t>
        </is>
      </c>
    </row>
    <row r="745" spans="1:15">
      <c r="A745" s="256" t="s">
        <v>331</v>
      </c>
      <c r="B745" s="256" t="s">
        <v>567</v>
      </c>
      <c r="C745" s="256" t="s">
        <v>1456</v>
      </c>
      <c r="D745" s="330" t="inlineStr">
        <is>
          <t xml:space="preserve">TV</t>
        </is>
      </c>
      <c r="E745" s="330" t="inlineStr">
        <is>
          <t>Y</t>
        </is>
      </c>
      <c r="F745" s="330" t="inlineStr">
        <is>
          <t xml:space="preserve">진단 대상 35개 국가·리테일러에 해당하지 않음</t>
        </is>
      </c>
    </row>
    <row r="746" spans="1:15">
      <c r="A746" s="256" t="s">
        <v>331</v>
      </c>
      <c r="B746" s="256" t="s">
        <v>567</v>
      </c>
      <c r="C746" s="256" t="s">
        <v>1457</v>
      </c>
      <c r="D746" s="330" t="inlineStr">
        <is>
          <t xml:space="preserve">TV</t>
        </is>
      </c>
      <c r="E746" s="330" t="inlineStr">
        <is>
          <t>Y</t>
        </is>
      </c>
      <c r="F746" s="330" t="inlineStr">
        <is>
          <t xml:space="preserve">진단 대상 35개 국가·리테일러에 해당하지 않음</t>
        </is>
      </c>
    </row>
    <row r="747" spans="1:15">
      <c r="A747" s="256" t="s">
        <v>331</v>
      </c>
      <c r="B747" s="256" t="s">
        <v>567</v>
      </c>
      <c r="C747" s="256" t="s">
        <v>1458</v>
      </c>
      <c r="D747" s="330" t="inlineStr">
        <is>
          <t xml:space="preserve">SOUNDBAR</t>
        </is>
      </c>
      <c r="E747" s="330" t="inlineStr">
        <is>
          <t>Y</t>
        </is>
      </c>
      <c r="F747" s="330" t="inlineStr">
        <is>
          <t xml:space="preserve">진단 대상 35개 국가·리테일러에 해당하지 않음</t>
        </is>
      </c>
    </row>
    <row r="748" spans="1:15">
      <c r="A748" s="256" t="s">
        <v>331</v>
      </c>
      <c r="B748" s="256" t="s">
        <v>567</v>
      </c>
      <c r="C748" s="256" t="s">
        <v>1459</v>
      </c>
      <c r="D748" s="330" t="inlineStr">
        <is>
          <t xml:space="preserve">TV</t>
        </is>
      </c>
      <c r="E748" s="330" t="inlineStr">
        <is>
          <t>Y</t>
        </is>
      </c>
      <c r="F748" s="330" t="inlineStr">
        <is>
          <t xml:space="preserve">진단 대상 35개 국가·리테일러에 해당하지 않음</t>
        </is>
      </c>
    </row>
    <row r="749" spans="1:15">
      <c r="A749" s="256" t="s">
        <v>331</v>
      </c>
      <c r="B749" s="256" t="s">
        <v>567</v>
      </c>
      <c r="C749" s="256" t="s">
        <v>1460</v>
      </c>
      <c r="D749" s="330" t="inlineStr">
        <is>
          <t xml:space="preserve">TV</t>
        </is>
      </c>
      <c r="E749" s="330" t="inlineStr">
        <is>
          <t>Y</t>
        </is>
      </c>
      <c r="F749" s="330" t="inlineStr">
        <is>
          <t xml:space="preserve">진단 대상 35개 국가·리테일러에 해당하지 않음</t>
        </is>
      </c>
    </row>
    <row r="750" spans="1:15">
      <c r="A750" s="256" t="s">
        <v>331</v>
      </c>
      <c r="B750" s="256" t="s">
        <v>567</v>
      </c>
      <c r="C750" s="256" t="s">
        <v>1461</v>
      </c>
      <c r="D750" s="330" t="inlineStr">
        <is>
          <t xml:space="preserve">MNT</t>
        </is>
      </c>
      <c r="E750" s="330" t="inlineStr">
        <is>
          <t>Y</t>
        </is>
      </c>
      <c r="F750" s="330" t="inlineStr">
        <is>
          <t xml:space="preserve">진단 대상 35개 국가·리테일러에 해당하지 않음</t>
        </is>
      </c>
    </row>
    <row r="751" spans="1:15">
      <c r="A751" s="256" t="s">
        <v>331</v>
      </c>
      <c r="B751" s="256" t="s">
        <v>567</v>
      </c>
      <c r="C751" s="256" t="s">
        <v>1462</v>
      </c>
      <c r="D751" s="330" t="inlineStr">
        <is>
          <t xml:space="preserve">RAC</t>
        </is>
      </c>
      <c r="E751" s="330" t="inlineStr">
        <is>
          <t>Y</t>
        </is>
      </c>
      <c r="F751" s="330" t="inlineStr">
        <is>
          <t xml:space="preserve">진단 대상 35개 국가·리테일러에 해당하지 않음</t>
        </is>
      </c>
    </row>
    <row r="752" spans="1:15">
      <c r="A752" s="256" t="s">
        <v>331</v>
      </c>
      <c r="B752" s="256" t="s">
        <v>567</v>
      </c>
      <c r="C752" s="256" t="s">
        <v>1463</v>
      </c>
      <c r="D752" s="330" t="inlineStr">
        <is>
          <t xml:space="preserve">SPEAKER</t>
        </is>
      </c>
      <c r="E752" s="330" t="inlineStr">
        <is>
          <t>Y</t>
        </is>
      </c>
      <c r="F752" s="330" t="inlineStr">
        <is>
          <t xml:space="preserve">진단 대상 35개 국가·리테일러에 해당하지 않음</t>
        </is>
      </c>
    </row>
    <row r="753" spans="1:15">
      <c r="A753" s="256" t="s">
        <v>331</v>
      </c>
      <c r="B753" s="256" t="s">
        <v>567</v>
      </c>
      <c r="C753" s="256" t="s">
        <v>1464</v>
      </c>
      <c r="D753" s="330" t="inlineStr">
        <is>
          <t xml:space="preserve">SOUNDBAR</t>
        </is>
      </c>
      <c r="E753" s="330" t="inlineStr">
        <is>
          <t>Y</t>
        </is>
      </c>
      <c r="F753" s="330" t="inlineStr">
        <is>
          <t xml:space="preserve">진단 대상 35개 국가·리테일러에 해당하지 않음</t>
        </is>
      </c>
    </row>
    <row r="754" spans="1:15">
      <c r="A754" s="256" t="s">
        <v>331</v>
      </c>
      <c r="B754" s="256" t="s">
        <v>567</v>
      </c>
      <c r="C754" s="256" t="s">
        <v>1465</v>
      </c>
      <c r="D754" s="330" t="inlineStr">
        <is>
          <t xml:space="preserve">DRYER</t>
        </is>
      </c>
      <c r="E754" s="330" t="inlineStr">
        <is>
          <t>Y</t>
        </is>
      </c>
      <c r="F754" s="330" t="inlineStr">
        <is>
          <t xml:space="preserve">진단 대상 35개 국가·리테일러에 해당하지 않음</t>
        </is>
      </c>
    </row>
    <row r="755" spans="1:15">
      <c r="A755" s="256" t="s">
        <v>331</v>
      </c>
      <c r="B755" s="256" t="s">
        <v>567</v>
      </c>
      <c r="C755" s="256" t="s">
        <v>1466</v>
      </c>
      <c r="D755" s="330" t="inlineStr">
        <is>
          <t xml:space="preserve">HEADSET</t>
        </is>
      </c>
      <c r="E755" s="330" t="inlineStr">
        <is>
          <t>Y</t>
        </is>
      </c>
      <c r="F755" s="330" t="inlineStr">
        <is>
          <t xml:space="preserve">진단 대상 35개 국가·리테일러에 해당하지 않음</t>
        </is>
      </c>
    </row>
    <row r="756" spans="1:15">
      <c r="A756" s="256" t="s">
        <v>230</v>
      </c>
      <c r="B756" s="256" t="s">
        <v>567</v>
      </c>
      <c r="C756" s="256" t="s">
        <v>1467</v>
      </c>
      <c r="D756" s="330" t="inlineStr">
        <is>
          <t xml:space="preserve">REF</t>
        </is>
      </c>
      <c r="E756" s="330" t="inlineStr">
        <is>
          <t>Y</t>
        </is>
      </c>
      <c r="F756" s="330" t="inlineStr">
        <is>
          <t xml:space="preserve">진단 대상 35개 국가·리테일러에 해당하지 않음</t>
        </is>
      </c>
    </row>
    <row r="757" spans="1:15">
      <c r="A757" s="256" t="s">
        <v>230</v>
      </c>
      <c r="B757" s="256" t="s">
        <v>567</v>
      </c>
      <c r="C757" s="256" t="s">
        <v>1468</v>
      </c>
      <c r="D757" s="330" t="inlineStr">
        <is>
          <t xml:space="preserve">WM</t>
        </is>
      </c>
      <c r="E757" s="330" t="inlineStr">
        <is>
          <t>Y</t>
        </is>
      </c>
      <c r="F757" s="330" t="inlineStr">
        <is>
          <t xml:space="preserve">진단 대상 35개 국가·리테일러에 해당하지 않음</t>
        </is>
      </c>
    </row>
    <row r="758" spans="1:15">
      <c r="A758" s="256" t="s">
        <v>230</v>
      </c>
      <c r="B758" s="256" t="s">
        <v>567</v>
      </c>
      <c r="C758" s="256" t="s">
        <v>1469</v>
      </c>
      <c r="D758" s="330" t="inlineStr">
        <is>
          <t xml:space="preserve">DRYER</t>
        </is>
      </c>
      <c r="E758" s="330" t="inlineStr">
        <is>
          <t>Y</t>
        </is>
      </c>
      <c r="F758" s="330" t="inlineStr">
        <is>
          <t xml:space="preserve">진단 대상 35개 국가·리테일러에 해당하지 않음</t>
        </is>
      </c>
    </row>
    <row r="759" spans="1:15">
      <c r="A759" s="256" t="s">
        <v>230</v>
      </c>
      <c r="B759" s="256" t="s">
        <v>567</v>
      </c>
      <c r="C759" s="256" t="s">
        <v>1470</v>
      </c>
      <c r="D759" s="330" t="inlineStr">
        <is>
          <t xml:space="preserve">TV</t>
        </is>
      </c>
      <c r="E759" s="330" t="inlineStr">
        <is>
          <t>Y</t>
        </is>
      </c>
      <c r="F759" s="330" t="inlineStr">
        <is>
          <t xml:space="preserve">진단 대상 35개 국가·리테일러에 해당하지 않음</t>
        </is>
      </c>
    </row>
    <row r="760" spans="1:15">
      <c r="A760" s="256" t="s">
        <v>230</v>
      </c>
      <c r="B760" s="256" t="s">
        <v>567</v>
      </c>
      <c r="C760" s="256" t="s">
        <v>1471</v>
      </c>
      <c r="D760" s="330" t="inlineStr">
        <is>
          <t xml:space="preserve">TV</t>
        </is>
      </c>
      <c r="E760" s="330" t="inlineStr">
        <is>
          <t>Y</t>
        </is>
      </c>
      <c r="F760" s="330" t="inlineStr">
        <is>
          <t xml:space="preserve">진단 대상 35개 국가·리테일러에 해당하지 않음</t>
        </is>
      </c>
    </row>
    <row r="761" spans="1:15">
      <c r="A761" s="256" t="s">
        <v>230</v>
      </c>
      <c r="B761" s="256" t="s">
        <v>567</v>
      </c>
      <c r="C761" s="256" t="s">
        <v>1472</v>
      </c>
      <c r="D761" s="330" t="inlineStr">
        <is>
          <t xml:space="preserve">TV</t>
        </is>
      </c>
      <c r="E761" s="330" t="inlineStr">
        <is>
          <t>Y</t>
        </is>
      </c>
      <c r="F761" s="330" t="inlineStr">
        <is>
          <t xml:space="preserve">진단 대상 35개 국가·리테일러에 해당하지 않음</t>
        </is>
      </c>
    </row>
    <row r="762" spans="1:15">
      <c r="A762" s="256" t="s">
        <v>230</v>
      </c>
      <c r="B762" s="256" t="s">
        <v>567</v>
      </c>
      <c r="C762" s="256" t="s">
        <v>1473</v>
      </c>
      <c r="D762" s="330" t="inlineStr">
        <is>
          <t xml:space="preserve">TV</t>
        </is>
      </c>
      <c r="E762" s="330" t="inlineStr">
        <is>
          <t>Y</t>
        </is>
      </c>
      <c r="F762" s="330" t="inlineStr">
        <is>
          <t xml:space="preserve">진단 대상 35개 국가·리테일러에 해당하지 않음</t>
        </is>
      </c>
    </row>
    <row r="763" spans="1:15">
      <c r="A763" s="256" t="s">
        <v>230</v>
      </c>
      <c r="B763" s="256" t="s">
        <v>567</v>
      </c>
      <c r="C763" s="256" t="s">
        <v>1474</v>
      </c>
      <c r="D763" s="330" t="inlineStr">
        <is>
          <t xml:space="preserve">TV</t>
        </is>
      </c>
      <c r="E763" s="330" t="inlineStr">
        <is>
          <t>Y</t>
        </is>
      </c>
      <c r="F763" s="330" t="inlineStr">
        <is>
          <t xml:space="preserve">진단 대상 35개 국가·리테일러에 해당하지 않음</t>
        </is>
      </c>
    </row>
    <row r="764" spans="1:15">
      <c r="A764" s="256" t="s">
        <v>230</v>
      </c>
      <c r="B764" s="256" t="s">
        <v>567</v>
      </c>
      <c r="C764" s="256" t="s">
        <v>1475</v>
      </c>
      <c r="D764" s="330" t="inlineStr">
        <is>
          <t xml:space="preserve">TV</t>
        </is>
      </c>
      <c r="E764" s="330" t="inlineStr">
        <is>
          <t>Y</t>
        </is>
      </c>
      <c r="F764" s="330" t="inlineStr">
        <is>
          <t xml:space="preserve">진단 대상 35개 국가·리테일러에 해당하지 않음</t>
        </is>
      </c>
    </row>
    <row r="765" spans="1:15">
      <c r="A765" s="256" t="s">
        <v>230</v>
      </c>
      <c r="B765" s="256" t="s">
        <v>567</v>
      </c>
      <c r="C765" s="256" t="s">
        <v>1476</v>
      </c>
      <c r="D765" s="330" t="inlineStr">
        <is>
          <t xml:space="preserve">SOUNDBAR</t>
        </is>
      </c>
      <c r="E765" s="330" t="inlineStr">
        <is>
          <t>Y</t>
        </is>
      </c>
      <c r="F765" s="330" t="inlineStr">
        <is>
          <t xml:space="preserve">진단 대상 35개 국가·리테일러에 해당하지 않음</t>
        </is>
      </c>
    </row>
    <row r="766" spans="1:15">
      <c r="A766" s="256" t="s">
        <v>230</v>
      </c>
      <c r="B766" s="256" t="s">
        <v>567</v>
      </c>
      <c r="C766" s="256" t="s">
        <v>1477</v>
      </c>
      <c r="D766" s="330" t="inlineStr">
        <is>
          <t xml:space="preserve">TV</t>
        </is>
      </c>
      <c r="E766" s="330" t="inlineStr">
        <is>
          <t>Y</t>
        </is>
      </c>
      <c r="F766" s="330" t="inlineStr">
        <is>
          <t xml:space="preserve">진단 대상 35개 국가·리테일러에 해당하지 않음</t>
        </is>
      </c>
    </row>
    <row r="767" spans="1:15">
      <c r="A767" s="256" t="s">
        <v>230</v>
      </c>
      <c r="B767" s="256" t="s">
        <v>567</v>
      </c>
      <c r="C767" s="256" t="s">
        <v>1478</v>
      </c>
      <c r="D767" s="330" t="inlineStr">
        <is>
          <t xml:space="preserve">RAC</t>
        </is>
      </c>
      <c r="E767" s="330" t="inlineStr">
        <is>
          <t>Y</t>
        </is>
      </c>
      <c r="F767" s="330" t="inlineStr">
        <is>
          <t xml:space="preserve">진단 대상 35개 국가·리테일러에 해당하지 않음</t>
        </is>
      </c>
    </row>
    <row r="768" spans="1:15">
      <c r="A768" s="256" t="s">
        <v>230</v>
      </c>
      <c r="B768" s="256" t="s">
        <v>567</v>
      </c>
      <c r="C768" s="256" t="s">
        <v>1479</v>
      </c>
      <c r="D768" s="330" t="inlineStr">
        <is>
          <t xml:space="preserve">BT_SPEAKER</t>
        </is>
      </c>
      <c r="E768" s="330" t="inlineStr">
        <is>
          <t>Y</t>
        </is>
      </c>
      <c r="F768" s="330" t="inlineStr">
        <is>
          <t xml:space="preserve">진단 대상 35개 국가·리테일러에 해당하지 않음</t>
        </is>
      </c>
    </row>
    <row r="769" spans="1:15">
      <c r="A769" s="256" t="s">
        <v>230</v>
      </c>
      <c r="B769" s="256" t="s">
        <v>567</v>
      </c>
      <c r="C769" s="256" t="s">
        <v>1480</v>
      </c>
      <c r="D769" s="330" t="inlineStr">
        <is>
          <t xml:space="preserve">SOUNDBAR</t>
        </is>
      </c>
      <c r="E769" s="330" t="inlineStr">
        <is>
          <t>Y</t>
        </is>
      </c>
      <c r="F769" s="330" t="inlineStr">
        <is>
          <t xml:space="preserve">진단 대상 35개 국가·리테일러에 해당하지 않음</t>
        </is>
      </c>
    </row>
    <row r="770" spans="1:15">
      <c r="A770" s="256" t="s">
        <v>230</v>
      </c>
      <c r="B770" s="256" t="s">
        <v>567</v>
      </c>
      <c r="C770" s="256" t="s">
        <v>1481</v>
      </c>
      <c r="D770" s="330" t="inlineStr">
        <is>
          <t xml:space="preserve">MNT</t>
        </is>
      </c>
      <c r="E770" s="330" t="inlineStr">
        <is>
          <t>Y</t>
        </is>
      </c>
      <c r="F770" s="330" t="inlineStr">
        <is>
          <t xml:space="preserve">진단 대상 35개 국가·리테일러에 해당하지 않음</t>
        </is>
      </c>
    </row>
    <row r="771" spans="1:15">
      <c r="A771" s="256" t="s">
        <v>218</v>
      </c>
      <c r="B771" s="256" t="s">
        <v>567</v>
      </c>
      <c r="C771" s="256" t="s">
        <v>1482</v>
      </c>
      <c r="D771" s="330" t="inlineStr">
        <is>
          <t xml:space="preserve">REF</t>
        </is>
      </c>
      <c r="E771" s="330" t="inlineStr">
        <is>
          <t>Y</t>
        </is>
      </c>
      <c r="F771" s="330" t="inlineStr">
        <is>
          <t xml:space="preserve">진단 대상 35개 국가·리테일러에 해당하지 않음</t>
        </is>
      </c>
    </row>
    <row r="772" spans="1:15">
      <c r="A772" s="256" t="s">
        <v>218</v>
      </c>
      <c r="B772" s="256" t="s">
        <v>567</v>
      </c>
      <c r="C772" s="256" t="s">
        <v>1483</v>
      </c>
      <c r="D772" s="330" t="inlineStr">
        <is>
          <t xml:space="preserve">WM</t>
        </is>
      </c>
      <c r="E772" s="330" t="inlineStr">
        <is>
          <t>Y</t>
        </is>
      </c>
      <c r="F772" s="330" t="inlineStr">
        <is>
          <t xml:space="preserve">진단 대상 35개 국가·리테일러에 해당하지 않음</t>
        </is>
      </c>
    </row>
    <row r="773" spans="1:15">
      <c r="A773" s="256" t="s">
        <v>218</v>
      </c>
      <c r="B773" s="256" t="s">
        <v>567</v>
      </c>
      <c r="C773" s="256" t="s">
        <v>1484</v>
      </c>
      <c r="D773" s="330" t="inlineStr">
        <is>
          <t xml:space="preserve">DRYER</t>
        </is>
      </c>
      <c r="E773" s="330" t="inlineStr">
        <is>
          <t>Y</t>
        </is>
      </c>
      <c r="F773" s="330" t="inlineStr">
        <is>
          <t xml:space="preserve">진단 대상 35개 국가·리테일러에 해당하지 않음</t>
        </is>
      </c>
    </row>
    <row r="774" spans="1:15">
      <c r="A774" s="256" t="s">
        <v>218</v>
      </c>
      <c r="B774" s="256" t="s">
        <v>567</v>
      </c>
      <c r="C774" s="256" t="s">
        <v>1485</v>
      </c>
      <c r="D774" s="330" t="inlineStr">
        <is>
          <t xml:space="preserve">TV</t>
        </is>
      </c>
      <c r="E774" s="330" t="inlineStr">
        <is>
          <t>Y</t>
        </is>
      </c>
      <c r="F774" s="330" t="inlineStr">
        <is>
          <t xml:space="preserve">진단 대상 35개 국가·리테일러에 해당하지 않음</t>
        </is>
      </c>
    </row>
    <row r="775" spans="1:15">
      <c r="A775" s="256" t="s">
        <v>218</v>
      </c>
      <c r="B775" s="256" t="s">
        <v>567</v>
      </c>
      <c r="C775" s="256" t="s">
        <v>1486</v>
      </c>
      <c r="D775" s="330" t="inlineStr">
        <is>
          <t xml:space="preserve">TV</t>
        </is>
      </c>
      <c r="E775" s="330" t="inlineStr">
        <is>
          <t>Y</t>
        </is>
      </c>
      <c r="F775" s="330" t="inlineStr">
        <is>
          <t xml:space="preserve">진단 대상 35개 국가·리테일러에 해당하지 않음</t>
        </is>
      </c>
    </row>
    <row r="776" spans="1:15">
      <c r="A776" s="256" t="s">
        <v>218</v>
      </c>
      <c r="B776" s="256" t="s">
        <v>567</v>
      </c>
      <c r="C776" s="256" t="s">
        <v>1487</v>
      </c>
      <c r="D776" s="330" t="inlineStr">
        <is>
          <t xml:space="preserve">TV</t>
        </is>
      </c>
      <c r="E776" s="330" t="inlineStr">
        <is>
          <t>Y</t>
        </is>
      </c>
      <c r="F776" s="330" t="inlineStr">
        <is>
          <t xml:space="preserve">진단 대상 35개 국가·리테일러에 해당하지 않음</t>
        </is>
      </c>
    </row>
    <row r="777" spans="1:15">
      <c r="A777" s="256" t="s">
        <v>218</v>
      </c>
      <c r="B777" s="256" t="s">
        <v>567</v>
      </c>
      <c r="C777" s="256" t="s">
        <v>1488</v>
      </c>
      <c r="D777" s="330" t="inlineStr">
        <is>
          <t xml:space="preserve">TV</t>
        </is>
      </c>
      <c r="E777" s="330" t="inlineStr">
        <is>
          <t>Y</t>
        </is>
      </c>
      <c r="F777" s="330" t="inlineStr">
        <is>
          <t xml:space="preserve">진단 대상 35개 국가·리테일러에 해당하지 않음</t>
        </is>
      </c>
    </row>
    <row r="778" spans="1:15">
      <c r="A778" s="256" t="s">
        <v>218</v>
      </c>
      <c r="B778" s="256" t="s">
        <v>567</v>
      </c>
      <c r="C778" s="256" t="s">
        <v>1489</v>
      </c>
      <c r="D778" s="330" t="inlineStr">
        <is>
          <t xml:space="preserve">SOUNDBAR</t>
        </is>
      </c>
      <c r="E778" s="330" t="inlineStr">
        <is>
          <t>Y</t>
        </is>
      </c>
      <c r="F778" s="330" t="inlineStr">
        <is>
          <t xml:space="preserve">진단 대상 35개 국가·리테일러에 해당하지 않음</t>
        </is>
      </c>
    </row>
    <row r="779" spans="1:15">
      <c r="A779" s="256" t="s">
        <v>218</v>
      </c>
      <c r="B779" s="256" t="s">
        <v>567</v>
      </c>
      <c r="C779" s="256" t="s">
        <v>1490</v>
      </c>
      <c r="D779" s="330" t="inlineStr">
        <is>
          <t xml:space="preserve">TV</t>
        </is>
      </c>
      <c r="E779" s="330" t="inlineStr">
        <is>
          <t>Y</t>
        </is>
      </c>
      <c r="F779" s="330" t="inlineStr">
        <is>
          <t xml:space="preserve">진단 대상 35개 국가·리테일러에 해당하지 않음</t>
        </is>
      </c>
    </row>
    <row r="780" spans="1:15">
      <c r="A780" s="256" t="s">
        <v>218</v>
      </c>
      <c r="B780" s="256" t="s">
        <v>567</v>
      </c>
      <c r="C780" s="256" t="s">
        <v>1491</v>
      </c>
      <c r="D780" s="330" t="inlineStr">
        <is>
          <t xml:space="preserve">MNT</t>
        </is>
      </c>
      <c r="E780" s="330" t="inlineStr">
        <is>
          <t>Y</t>
        </is>
      </c>
      <c r="F780" s="330" t="inlineStr">
        <is>
          <t xml:space="preserve">진단 대상 35개 국가·리테일러에 해당하지 않음</t>
        </is>
      </c>
    </row>
    <row r="781" spans="1:15">
      <c r="A781" s="256" t="s">
        <v>218</v>
      </c>
      <c r="B781" s="256" t="s">
        <v>567</v>
      </c>
      <c r="C781" s="256" t="s">
        <v>1492</v>
      </c>
      <c r="D781" s="330" t="inlineStr">
        <is>
          <t xml:space="preserve">RAC</t>
        </is>
      </c>
      <c r="E781" s="330" t="inlineStr">
        <is>
          <t>Y</t>
        </is>
      </c>
      <c r="F781" s="330" t="inlineStr">
        <is>
          <t xml:space="preserve">진단 대상 35개 국가·리테일러에 해당하지 않음</t>
        </is>
      </c>
    </row>
    <row r="782" spans="1:15">
      <c r="A782" s="256" t="s">
        <v>218</v>
      </c>
      <c r="B782" s="256" t="s">
        <v>567</v>
      </c>
      <c r="C782" s="256" t="s">
        <v>1493</v>
      </c>
      <c r="D782" s="330" t="inlineStr">
        <is>
          <t xml:space="preserve">SPEAKER</t>
        </is>
      </c>
      <c r="E782" s="330" t="inlineStr">
        <is>
          <t>Y</t>
        </is>
      </c>
      <c r="F782" s="330" t="inlineStr">
        <is>
          <t xml:space="preserve">진단 대상 35개 국가·리테일러에 해당하지 않음</t>
        </is>
      </c>
    </row>
    <row r="783" spans="1:15">
      <c r="A783" s="256" t="s">
        <v>218</v>
      </c>
      <c r="B783" s="256" t="s">
        <v>567</v>
      </c>
      <c r="C783" s="256" t="s">
        <v>1494</v>
      </c>
      <c r="D783" s="330" t="inlineStr">
        <is>
          <t xml:space="preserve">SPEAKER</t>
        </is>
      </c>
      <c r="E783" s="330" t="inlineStr">
        <is>
          <t>Y</t>
        </is>
      </c>
      <c r="F783" s="330" t="inlineStr">
        <is>
          <t xml:space="preserve">진단 대상 35개 국가·리테일러에 해당하지 않음</t>
        </is>
      </c>
    </row>
    <row r="784" spans="1:15">
      <c r="A784" s="256" t="s">
        <v>218</v>
      </c>
      <c r="B784" s="256" t="s">
        <v>567</v>
      </c>
      <c r="C784" s="256" t="s">
        <v>1495</v>
      </c>
      <c r="D784" s="330" t="inlineStr">
        <is>
          <t xml:space="preserve">SOUNDBAR</t>
        </is>
      </c>
      <c r="E784" s="330" t="inlineStr">
        <is>
          <t>Y</t>
        </is>
      </c>
      <c r="F784" s="330" t="inlineStr">
        <is>
          <t xml:space="preserve">진단 대상 35개 국가·리테일러에 해당하지 않음</t>
        </is>
      </c>
    </row>
    <row r="785" spans="1:15">
      <c r="A785" s="256" t="s">
        <v>218</v>
      </c>
      <c r="B785" s="256" t="s">
        <v>567</v>
      </c>
      <c r="C785" s="256" t="s">
        <v>1496</v>
      </c>
      <c r="D785" s="330" t="inlineStr">
        <is>
          <t xml:space="preserve">SOUNDBAR</t>
        </is>
      </c>
      <c r="E785" s="330" t="inlineStr">
        <is>
          <t>Y</t>
        </is>
      </c>
      <c r="F785" s="330" t="inlineStr">
        <is>
          <t xml:space="preserve">진단 대상 35개 국가·리테일러에 해당하지 않음</t>
        </is>
      </c>
    </row>
    <row r="786" spans="1:15">
      <c r="A786" s="256" t="s">
        <v>27</v>
      </c>
      <c r="B786" s="256" t="s">
        <v>567</v>
      </c>
      <c r="C786" s="256" t="s">
        <v>1497</v>
      </c>
      <c r="D786" s="330" t="inlineStr">
        <is>
          <t xml:space="preserve">REF</t>
        </is>
      </c>
      <c r="E786" s="330" t="inlineStr">
        <is>
          <t>Y</t>
        </is>
      </c>
      <c r="F786" s="330" t="inlineStr">
        <is>
          <t xml:space="preserve">진단 대상 35개 국가·리테일러에 해당하지 않음</t>
        </is>
      </c>
    </row>
    <row r="787" spans="1:15">
      <c r="A787" s="256" t="s">
        <v>27</v>
      </c>
      <c r="B787" s="256" t="s">
        <v>567</v>
      </c>
      <c r="C787" s="256" t="s">
        <v>1498</v>
      </c>
      <c r="D787" s="330" t="inlineStr">
        <is>
          <t xml:space="preserve">WM</t>
        </is>
      </c>
      <c r="E787" s="330" t="inlineStr">
        <is>
          <t>Y</t>
        </is>
      </c>
      <c r="F787" s="330" t="inlineStr">
        <is>
          <t xml:space="preserve">진단 대상 35개 국가·리테일러에 해당하지 않음</t>
        </is>
      </c>
    </row>
    <row r="788" spans="1:15">
      <c r="A788" s="256" t="s">
        <v>27</v>
      </c>
      <c r="B788" s="256" t="s">
        <v>567</v>
      </c>
      <c r="C788" s="256" t="s">
        <v>1499</v>
      </c>
      <c r="D788" s="330" t="inlineStr">
        <is>
          <t xml:space="preserve">DRYER</t>
        </is>
      </c>
      <c r="E788" s="330" t="inlineStr">
        <is>
          <t>Y</t>
        </is>
      </c>
      <c r="F788" s="330" t="inlineStr">
        <is>
          <t xml:space="preserve">진단 대상 35개 국가·리테일러에 해당하지 않음</t>
        </is>
      </c>
    </row>
    <row r="789" spans="1:15">
      <c r="A789" s="256" t="s">
        <v>27</v>
      </c>
      <c r="B789" s="256" t="s">
        <v>567</v>
      </c>
      <c r="C789" s="256" t="s">
        <v>1500</v>
      </c>
      <c r="D789" s="330" t="inlineStr">
        <is>
          <t xml:space="preserve">TV</t>
        </is>
      </c>
      <c r="E789" s="330" t="inlineStr">
        <is>
          <t>Y</t>
        </is>
      </c>
      <c r="F789" s="330" t="inlineStr">
        <is>
          <t xml:space="preserve">진단 대상 35개 국가·리테일러에 해당하지 않음</t>
        </is>
      </c>
    </row>
    <row r="790" spans="1:15">
      <c r="A790" s="256" t="s">
        <v>27</v>
      </c>
      <c r="B790" s="256" t="s">
        <v>567</v>
      </c>
      <c r="C790" s="256" t="s">
        <v>1501</v>
      </c>
      <c r="D790" s="330" t="inlineStr">
        <is>
          <t xml:space="preserve">TV</t>
        </is>
      </c>
      <c r="E790" s="330" t="inlineStr">
        <is>
          <t>Y</t>
        </is>
      </c>
      <c r="F790" s="330" t="inlineStr">
        <is>
          <t xml:space="preserve">진단 대상 35개 국가·리테일러에 해당하지 않음</t>
        </is>
      </c>
    </row>
    <row r="791" spans="1:15">
      <c r="A791" s="256" t="s">
        <v>27</v>
      </c>
      <c r="B791" s="256" t="s">
        <v>567</v>
      </c>
      <c r="C791" s="256" t="s">
        <v>1502</v>
      </c>
      <c r="D791" s="330" t="inlineStr">
        <is>
          <t xml:space="preserve">TV</t>
        </is>
      </c>
      <c r="E791" s="330" t="inlineStr">
        <is>
          <t>Y</t>
        </is>
      </c>
      <c r="F791" s="330" t="inlineStr">
        <is>
          <t xml:space="preserve">진단 대상 35개 국가·리테일러에 해당하지 않음</t>
        </is>
      </c>
    </row>
    <row r="792" spans="1:15">
      <c r="A792" s="256" t="s">
        <v>27</v>
      </c>
      <c r="B792" s="256" t="s">
        <v>567</v>
      </c>
      <c r="C792" s="256" t="s">
        <v>1503</v>
      </c>
      <c r="D792" s="330" t="inlineStr">
        <is>
          <t xml:space="preserve">TV</t>
        </is>
      </c>
      <c r="E792" s="330" t="inlineStr">
        <is>
          <t>Y</t>
        </is>
      </c>
      <c r="F792" s="330" t="inlineStr">
        <is>
          <t xml:space="preserve">진단 대상 35개 국가·리테일러에 해당하지 않음</t>
        </is>
      </c>
    </row>
    <row r="793" spans="1:15">
      <c r="A793" s="256" t="s">
        <v>27</v>
      </c>
      <c r="B793" s="256" t="s">
        <v>567</v>
      </c>
      <c r="C793" s="256" t="s">
        <v>1504</v>
      </c>
      <c r="D793" s="330" t="inlineStr">
        <is>
          <t xml:space="preserve">TV</t>
        </is>
      </c>
      <c r="E793" s="330" t="inlineStr">
        <is>
          <t>Y</t>
        </is>
      </c>
      <c r="F793" s="330" t="inlineStr">
        <is>
          <t xml:space="preserve">진단 대상 35개 국가·리테일러에 해당하지 않음</t>
        </is>
      </c>
    </row>
    <row r="794" spans="1:15">
      <c r="A794" s="256" t="s">
        <v>27</v>
      </c>
      <c r="B794" s="256" t="s">
        <v>567</v>
      </c>
      <c r="C794" s="256" t="s">
        <v>1505</v>
      </c>
      <c r="D794" s="330" t="inlineStr">
        <is>
          <t xml:space="preserve">TV</t>
        </is>
      </c>
      <c r="E794" s="330" t="inlineStr">
        <is>
          <t>Y</t>
        </is>
      </c>
      <c r="F794" s="330" t="inlineStr">
        <is>
          <t xml:space="preserve">진단 대상 35개 국가·리테일러에 해당하지 않음</t>
        </is>
      </c>
    </row>
    <row r="795" spans="1:15">
      <c r="A795" s="256" t="s">
        <v>27</v>
      </c>
      <c r="B795" s="256" t="s">
        <v>567</v>
      </c>
      <c r="C795" s="256" t="s">
        <v>1506</v>
      </c>
      <c r="D795" s="330" t="inlineStr">
        <is>
          <t xml:space="preserve">SOUNDBAR</t>
        </is>
      </c>
      <c r="E795" s="330" t="inlineStr">
        <is>
          <t>Y</t>
        </is>
      </c>
      <c r="F795" s="330" t="inlineStr">
        <is>
          <t xml:space="preserve">진단 대상 35개 국가·리테일러에 해당하지 않음</t>
        </is>
      </c>
    </row>
    <row r="796" spans="1:15">
      <c r="A796" s="256" t="s">
        <v>27</v>
      </c>
      <c r="B796" s="256" t="s">
        <v>567</v>
      </c>
      <c r="C796" s="256" t="s">
        <v>1507</v>
      </c>
      <c r="D796" s="330" t="inlineStr">
        <is>
          <t xml:space="preserve">TV</t>
        </is>
      </c>
      <c r="E796" s="330" t="inlineStr">
        <is>
          <t>Y</t>
        </is>
      </c>
      <c r="F796" s="330" t="inlineStr">
        <is>
          <t xml:space="preserve">진단 대상 35개 국가·리테일러에 해당하지 않음</t>
        </is>
      </c>
    </row>
    <row r="797" spans="1:15">
      <c r="A797" s="256" t="s">
        <v>27</v>
      </c>
      <c r="B797" s="256" t="s">
        <v>567</v>
      </c>
      <c r="C797" s="256" t="s">
        <v>1508</v>
      </c>
      <c r="D797" s="330" t="inlineStr">
        <is>
          <t xml:space="preserve">TV</t>
        </is>
      </c>
      <c r="E797" s="330" t="inlineStr">
        <is>
          <t>Y</t>
        </is>
      </c>
      <c r="F797" s="330" t="inlineStr">
        <is>
          <t xml:space="preserve">진단 대상 35개 국가·리테일러에 해당하지 않음</t>
        </is>
      </c>
    </row>
    <row r="798" spans="1:15">
      <c r="A798" s="256" t="s">
        <v>27</v>
      </c>
      <c r="B798" s="256" t="s">
        <v>567</v>
      </c>
      <c r="C798" s="256" t="s">
        <v>1509</v>
      </c>
      <c r="D798" s="330" t="inlineStr">
        <is>
          <t xml:space="preserve">MNT</t>
        </is>
      </c>
      <c r="E798" s="330" t="inlineStr">
        <is>
          <t>Y</t>
        </is>
      </c>
      <c r="F798" s="330" t="inlineStr">
        <is>
          <t xml:space="preserve">진단 대상 35개 국가·리테일러에 해당하지 않음</t>
        </is>
      </c>
    </row>
    <row r="799" spans="1:15">
      <c r="A799" s="256" t="s">
        <v>27</v>
      </c>
      <c r="B799" s="256" t="s">
        <v>567</v>
      </c>
      <c r="C799" s="256" t="s">
        <v>1510</v>
      </c>
      <c r="D799" s="330" t="inlineStr">
        <is>
          <t xml:space="preserve">RAC</t>
        </is>
      </c>
      <c r="E799" s="330" t="inlineStr">
        <is>
          <t>Y</t>
        </is>
      </c>
      <c r="F799" s="330" t="inlineStr">
        <is>
          <t xml:space="preserve">진단 대상 35개 국가·리테일러에 해당하지 않음</t>
        </is>
      </c>
    </row>
    <row r="800" spans="1:15">
      <c r="A800" s="256" t="s">
        <v>27</v>
      </c>
      <c r="B800" s="256" t="s">
        <v>567</v>
      </c>
      <c r="C800" s="256" t="s">
        <v>1511</v>
      </c>
      <c r="D800" s="330" t="inlineStr">
        <is>
          <t xml:space="preserve">SPEAKER</t>
        </is>
      </c>
      <c r="E800" s="330" t="inlineStr">
        <is>
          <t>Y</t>
        </is>
      </c>
      <c r="F800" s="330" t="inlineStr">
        <is>
          <t xml:space="preserve">진단 대상 35개 국가·리테일러에 해당하지 않음</t>
        </is>
      </c>
    </row>
    <row r="801" spans="1:15">
      <c r="A801" s="256" t="s">
        <v>27</v>
      </c>
      <c r="B801" s="256" t="s">
        <v>567</v>
      </c>
      <c r="C801" s="256" t="s">
        <v>1512</v>
      </c>
      <c r="D801" s="330" t="inlineStr">
        <is>
          <t xml:space="preserve">SOUNDBAR</t>
        </is>
      </c>
      <c r="E801" s="330" t="inlineStr">
        <is>
          <t>Y</t>
        </is>
      </c>
      <c r="F801" s="330" t="inlineStr">
        <is>
          <t xml:space="preserve">진단 대상 35개 국가·리테일러에 해당하지 않음</t>
        </is>
      </c>
    </row>
    <row r="802" spans="1:15">
      <c r="A802" s="256" t="s">
        <v>27</v>
      </c>
      <c r="B802" s="256" t="s">
        <v>567</v>
      </c>
      <c r="C802" s="256" t="s">
        <v>1513</v>
      </c>
      <c r="D802" s="330" t="inlineStr">
        <is>
          <t xml:space="preserve">HEADSET</t>
        </is>
      </c>
      <c r="E802" s="330" t="inlineStr">
        <is>
          <t>Y</t>
        </is>
      </c>
      <c r="F802" s="330" t="inlineStr">
        <is>
          <t xml:space="preserve">진단 대상 35개 국가·리테일러에 해당하지 않음</t>
        </is>
      </c>
    </row>
    <row r="803" spans="1:15">
      <c r="A803" s="256" t="s">
        <v>237</v>
      </c>
      <c r="B803" s="256" t="s">
        <v>567</v>
      </c>
      <c r="C803" s="256" t="s">
        <v>1514</v>
      </c>
      <c r="D803" s="330" t="inlineStr">
        <is>
          <t xml:space="preserve">REF</t>
        </is>
      </c>
      <c r="E803" s="330" t="inlineStr">
        <is>
          <t>Y</t>
        </is>
      </c>
      <c r="F803" s="330" t="inlineStr">
        <is>
          <t xml:space="preserve">진단 대상 35개 국가·리테일러에 해당하지 않음</t>
        </is>
      </c>
    </row>
    <row r="804" spans="1:15">
      <c r="A804" s="256" t="s">
        <v>237</v>
      </c>
      <c r="B804" s="256" t="s">
        <v>567</v>
      </c>
      <c r="C804" s="256" t="s">
        <v>1515</v>
      </c>
      <c r="D804" s="330" t="inlineStr">
        <is>
          <t xml:space="preserve">DRYER</t>
        </is>
      </c>
      <c r="E804" s="330" t="inlineStr">
        <is>
          <t>Y</t>
        </is>
      </c>
      <c r="F804" s="330" t="inlineStr">
        <is>
          <t xml:space="preserve">진단 대상 35개 국가·리테일러에 해당하지 않음</t>
        </is>
      </c>
    </row>
    <row r="805" spans="1:15">
      <c r="A805" s="256" t="s">
        <v>237</v>
      </c>
      <c r="B805" s="256" t="s">
        <v>567</v>
      </c>
      <c r="C805" s="256" t="s">
        <v>1516</v>
      </c>
      <c r="D805" s="330" t="inlineStr">
        <is>
          <t xml:space="preserve">DRYER</t>
        </is>
      </c>
      <c r="E805" s="330" t="inlineStr">
        <is>
          <t>Y</t>
        </is>
      </c>
      <c r="F805" s="330" t="inlineStr">
        <is>
          <t xml:space="preserve">진단 대상 35개 국가·리테일러에 해당하지 않음</t>
        </is>
      </c>
    </row>
    <row r="806" spans="1:15">
      <c r="A806" s="256" t="s">
        <v>237</v>
      </c>
      <c r="B806" s="256" t="s">
        <v>567</v>
      </c>
      <c r="C806" s="256" t="s">
        <v>1517</v>
      </c>
      <c r="D806" s="330" t="inlineStr">
        <is>
          <t xml:space="preserve">TV</t>
        </is>
      </c>
      <c r="E806" s="330" t="inlineStr">
        <is>
          <t>Y</t>
        </is>
      </c>
      <c r="F806" s="330" t="inlineStr">
        <is>
          <t xml:space="preserve">진단 대상 35개 국가·리테일러에 해당하지 않음</t>
        </is>
      </c>
    </row>
    <row r="807" spans="1:15">
      <c r="A807" s="256" t="s">
        <v>237</v>
      </c>
      <c r="B807" s="256" t="s">
        <v>567</v>
      </c>
      <c r="C807" s="256" t="s">
        <v>1518</v>
      </c>
      <c r="D807" s="330" t="inlineStr">
        <is>
          <t xml:space="preserve">TV</t>
        </is>
      </c>
      <c r="E807" s="330" t="inlineStr">
        <is>
          <t>Y</t>
        </is>
      </c>
      <c r="F807" s="330" t="inlineStr">
        <is>
          <t xml:space="preserve">진단 대상 35개 국가·리테일러에 해당하지 않음</t>
        </is>
      </c>
    </row>
    <row r="808" spans="1:15">
      <c r="A808" s="256" t="s">
        <v>237</v>
      </c>
      <c r="B808" s="256" t="s">
        <v>567</v>
      </c>
      <c r="C808" s="256" t="s">
        <v>1519</v>
      </c>
      <c r="D808" s="330" t="inlineStr">
        <is>
          <t xml:space="preserve">TV</t>
        </is>
      </c>
      <c r="E808" s="330" t="inlineStr">
        <is>
          <t>Y</t>
        </is>
      </c>
      <c r="F808" s="330" t="inlineStr">
        <is>
          <t xml:space="preserve">진단 대상 35개 국가·리테일러에 해당하지 않음</t>
        </is>
      </c>
    </row>
    <row r="809" spans="1:15">
      <c r="A809" s="256" t="s">
        <v>237</v>
      </c>
      <c r="B809" s="256" t="s">
        <v>567</v>
      </c>
      <c r="C809" s="256" t="s">
        <v>1520</v>
      </c>
      <c r="D809" s="330" t="inlineStr">
        <is>
          <t xml:space="preserve">TV</t>
        </is>
      </c>
      <c r="E809" s="330" t="inlineStr">
        <is>
          <t>Y</t>
        </is>
      </c>
      <c r="F809" s="330" t="inlineStr">
        <is>
          <t xml:space="preserve">진단 대상 35개 국가·리테일러에 해당하지 않음</t>
        </is>
      </c>
    </row>
    <row r="810" spans="1:15">
      <c r="A810" s="256" t="s">
        <v>237</v>
      </c>
      <c r="B810" s="256" t="s">
        <v>567</v>
      </c>
      <c r="C810" s="256" t="s">
        <v>1521</v>
      </c>
      <c r="D810" s="330" t="inlineStr">
        <is>
          <t xml:space="preserve">TV</t>
        </is>
      </c>
      <c r="E810" s="330" t="inlineStr">
        <is>
          <t>Y</t>
        </is>
      </c>
      <c r="F810" s="330" t="inlineStr">
        <is>
          <t xml:space="preserve">진단 대상 35개 국가·리테일러에 해당하지 않음</t>
        </is>
      </c>
    </row>
    <row r="811" spans="1:15">
      <c r="A811" s="256" t="s">
        <v>237</v>
      </c>
      <c r="B811" s="256" t="s">
        <v>567</v>
      </c>
      <c r="C811" s="256" t="s">
        <v>1522</v>
      </c>
      <c r="D811" s="330" t="inlineStr">
        <is>
          <t xml:space="preserve">TV</t>
        </is>
      </c>
      <c r="E811" s="330" t="inlineStr">
        <is>
          <t>Y</t>
        </is>
      </c>
      <c r="F811" s="330" t="inlineStr">
        <is>
          <t xml:space="preserve">진단 대상 35개 국가·리테일러에 해당하지 않음</t>
        </is>
      </c>
    </row>
    <row r="812" spans="1:15">
      <c r="A812" s="256" t="s">
        <v>237</v>
      </c>
      <c r="B812" s="256" t="s">
        <v>567</v>
      </c>
      <c r="C812" s="256" t="s">
        <v>1523</v>
      </c>
      <c r="D812" s="330" t="inlineStr">
        <is>
          <t xml:space="preserve">TV</t>
        </is>
      </c>
      <c r="E812" s="330" t="inlineStr">
        <is>
          <t>Y</t>
        </is>
      </c>
      <c r="F812" s="330" t="inlineStr">
        <is>
          <t xml:space="preserve">진단 대상 35개 국가·리테일러에 해당하지 않음</t>
        </is>
      </c>
    </row>
    <row r="813" spans="1:15">
      <c r="A813" s="256" t="s">
        <v>237</v>
      </c>
      <c r="B813" s="256" t="s">
        <v>567</v>
      </c>
      <c r="C813" s="256" t="s">
        <v>1524</v>
      </c>
      <c r="D813" s="330" t="inlineStr">
        <is>
          <t xml:space="preserve">TV</t>
        </is>
      </c>
      <c r="E813" s="330" t="inlineStr">
        <is>
          <t>Y</t>
        </is>
      </c>
      <c r="F813" s="330" t="inlineStr">
        <is>
          <t xml:space="preserve">진단 대상 35개 국가·리테일러에 해당하지 않음</t>
        </is>
      </c>
    </row>
    <row r="814" spans="1:15">
      <c r="A814" s="256" t="s">
        <v>237</v>
      </c>
      <c r="B814" s="256" t="s">
        <v>567</v>
      </c>
      <c r="C814" s="256" t="s">
        <v>1525</v>
      </c>
      <c r="D814" s="330" t="inlineStr">
        <is>
          <t xml:space="preserve">TV</t>
        </is>
      </c>
      <c r="E814" s="330" t="inlineStr">
        <is>
          <t>Y</t>
        </is>
      </c>
      <c r="F814" s="330" t="inlineStr">
        <is>
          <t xml:space="preserve">진단 대상 35개 국가·리테일러에 해당하지 않음</t>
        </is>
      </c>
    </row>
    <row r="815" spans="1:15">
      <c r="A815" s="256" t="s">
        <v>237</v>
      </c>
      <c r="B815" s="256" t="s">
        <v>567</v>
      </c>
      <c r="C815" s="256" t="s">
        <v>1526</v>
      </c>
      <c r="D815" s="330" t="inlineStr">
        <is>
          <t xml:space="preserve">TV</t>
        </is>
      </c>
      <c r="E815" s="330" t="inlineStr">
        <is>
          <t>Y</t>
        </is>
      </c>
      <c r="F815" s="330" t="inlineStr">
        <is>
          <t xml:space="preserve">진단 대상 35개 국가·리테일러에 해당하지 않음</t>
        </is>
      </c>
    </row>
    <row r="816" spans="1:15">
      <c r="A816" s="256" t="s">
        <v>237</v>
      </c>
      <c r="B816" s="256" t="s">
        <v>567</v>
      </c>
      <c r="C816" s="256" t="s">
        <v>1527</v>
      </c>
      <c r="D816" s="330" t="inlineStr">
        <is>
          <t xml:space="preserve">RAC</t>
        </is>
      </c>
      <c r="E816" s="330" t="inlineStr">
        <is>
          <t>Y</t>
        </is>
      </c>
      <c r="F816" s="330" t="inlineStr">
        <is>
          <t xml:space="preserve">진단 대상 35개 국가·리테일러에 해당하지 않음</t>
        </is>
      </c>
    </row>
    <row r="817" spans="1:15">
      <c r="A817" s="256" t="s">
        <v>237</v>
      </c>
      <c r="B817" s="256" t="s">
        <v>567</v>
      </c>
      <c r="C817" s="256" t="s">
        <v>1528</v>
      </c>
      <c r="D817" s="330" t="inlineStr">
        <is>
          <t xml:space="preserve">BT_SPEAKER</t>
        </is>
      </c>
      <c r="E817" s="330" t="inlineStr">
        <is>
          <t>Y</t>
        </is>
      </c>
      <c r="F817" s="330" t="inlineStr">
        <is>
          <t xml:space="preserve">진단 대상 35개 국가·리테일러에 해당하지 않음</t>
        </is>
      </c>
    </row>
    <row r="818" spans="1:15">
      <c r="A818" s="256" t="s">
        <v>237</v>
      </c>
      <c r="B818" s="256" t="s">
        <v>567</v>
      </c>
      <c r="C818" s="256" t="s">
        <v>1529</v>
      </c>
      <c r="D818" s="330" t="inlineStr">
        <is>
          <t xml:space="preserve">SOUNDBAR</t>
        </is>
      </c>
      <c r="E818" s="330" t="inlineStr">
        <is>
          <t>Y</t>
        </is>
      </c>
      <c r="F818" s="330" t="inlineStr">
        <is>
          <t xml:space="preserve">진단 대상 35개 국가·리테일러에 해당하지 않음</t>
        </is>
      </c>
    </row>
    <row r="819" spans="1:15">
      <c r="A819" s="256" t="s">
        <v>237</v>
      </c>
      <c r="B819" s="256" t="s">
        <v>567</v>
      </c>
      <c r="C819" s="256" t="s">
        <v>1530</v>
      </c>
      <c r="D819" s="330" t="inlineStr">
        <is>
          <t xml:space="preserve">HEADSET</t>
        </is>
      </c>
      <c r="E819" s="330" t="inlineStr">
        <is>
          <t>Y</t>
        </is>
      </c>
      <c r="F819" s="330" t="inlineStr">
        <is>
          <t xml:space="preserve">진단 대상 35개 국가·리테일러에 해당하지 않음</t>
        </is>
      </c>
    </row>
    <row r="820" spans="1:15">
      <c r="A820" s="256" t="s">
        <v>237</v>
      </c>
      <c r="B820" s="256" t="s">
        <v>567</v>
      </c>
      <c r="C820" s="256" t="s">
        <v>1531</v>
      </c>
      <c r="D820" s="330" t="inlineStr">
        <is>
          <t xml:space="preserve">MNT</t>
        </is>
      </c>
      <c r="E820" s="330" t="inlineStr">
        <is>
          <t>Y</t>
        </is>
      </c>
      <c r="F820" s="330" t="inlineStr">
        <is>
          <t xml:space="preserve">진단 대상 35개 국가·리테일러에 해당하지 않음</t>
        </is>
      </c>
    </row>
    <row r="821" spans="1:15">
      <c r="A821" s="256" t="s">
        <v>331</v>
      </c>
      <c r="B821" s="256" t="s">
        <v>332</v>
      </c>
      <c r="C821" s="256" t="s">
        <v>1532</v>
      </c>
      <c r="D821" s="330" t="inlineStr">
        <is>
          <t xml:space="preserve">REF</t>
        </is>
      </c>
      <c r="E821" s="335" t="inlineStr">
        <is>
          <t>N</t>
        </is>
      </c>
      <c r="F821" s="330" t="inlineStr">
        <is>
          <t xml:space="preserve">수집 대상</t>
        </is>
      </c>
      <c r="G821" s="256" t="s">
        <v>127</v>
      </c>
    </row>
    <row r="822" spans="1:15">
      <c r="A822" s="256" t="s">
        <v>331</v>
      </c>
      <c r="B822" s="256" t="s">
        <v>332</v>
      </c>
      <c r="C822" s="256" t="s">
        <v>1533</v>
      </c>
      <c r="D822" s="330" t="inlineStr">
        <is>
          <t xml:space="preserve">WM</t>
        </is>
      </c>
      <c r="E822" s="335" t="inlineStr">
        <is>
          <t>N</t>
        </is>
      </c>
      <c r="F822" s="330" t="inlineStr">
        <is>
          <t xml:space="preserve">수집 대상</t>
        </is>
      </c>
      <c r="G822" s="256" t="s">
        <v>127</v>
      </c>
    </row>
    <row r="823" spans="1:15">
      <c r="A823" s="256" t="s">
        <v>331</v>
      </c>
      <c r="B823" s="256" t="s">
        <v>332</v>
      </c>
      <c r="C823" s="256" t="s">
        <v>1534</v>
      </c>
      <c r="D823" s="330" t="inlineStr">
        <is>
          <t xml:space="preserve">TV</t>
        </is>
      </c>
      <c r="E823" s="330" t="inlineStr">
        <is>
          <t>Y</t>
        </is>
      </c>
      <c r="F823" s="330" t="inlineStr">
        <is>
          <t xml:space="preserve">대상 제품군이 아님: TV</t>
        </is>
      </c>
      <c r="G823" s="256" t="s">
        <v>127</v>
      </c>
    </row>
    <row r="824" spans="1:15">
      <c r="A824" s="256" t="s">
        <v>331</v>
      </c>
      <c r="B824" s="256" t="s">
        <v>332</v>
      </c>
      <c r="C824" s="256" t="s">
        <v>1535</v>
      </c>
      <c r="D824" s="330" t="inlineStr">
        <is>
          <t xml:space="preserve">MNT</t>
        </is>
      </c>
      <c r="E824" s="330" t="inlineStr">
        <is>
          <t>Y</t>
        </is>
      </c>
      <c r="F824" s="330" t="inlineStr">
        <is>
          <t xml:space="preserve">대상 제품군이 아님: 모니터</t>
        </is>
      </c>
      <c r="G824" s="256" t="s">
        <v>127</v>
      </c>
    </row>
    <row r="825" spans="1:15">
      <c r="A825" s="256" t="s">
        <v>331</v>
      </c>
      <c r="B825" s="256" t="s">
        <v>332</v>
      </c>
      <c r="C825" s="256" t="s">
        <v>1536</v>
      </c>
      <c r="D825" s="330" t="inlineStr">
        <is>
          <t xml:space="preserve">RAC</t>
        </is>
      </c>
      <c r="E825" s="330" t="inlineStr">
        <is>
          <t>Y</t>
        </is>
      </c>
      <c r="F825" s="330" t="inlineStr">
        <is>
          <t xml:space="preserve">대상 제품군이 아님: 에어컨</t>
        </is>
      </c>
      <c r="G825" s="256" t="s">
        <v>127</v>
      </c>
    </row>
    <row r="826" spans="1:15">
      <c r="A826" s="256" t="s">
        <v>331</v>
      </c>
      <c r="B826" s="256" t="s">
        <v>332</v>
      </c>
      <c r="C826" s="256" t="s">
        <v>1537</v>
      </c>
      <c r="D826" s="330" t="inlineStr">
        <is>
          <t xml:space="preserve">WM</t>
        </is>
      </c>
      <c r="E826" s="335" t="inlineStr">
        <is>
          <t>N</t>
        </is>
      </c>
      <c r="F826" s="330" t="inlineStr">
        <is>
          <t xml:space="preserve">수집 대상</t>
        </is>
      </c>
      <c r="G826" s="256" t="s">
        <v>127</v>
      </c>
    </row>
    <row r="827" spans="1:15">
      <c r="A827" s="256" t="s">
        <v>331</v>
      </c>
      <c r="B827" s="256" t="s">
        <v>332</v>
      </c>
      <c r="C827" s="256" t="s">
        <v>1538</v>
      </c>
      <c r="D827" s="330" t="inlineStr">
        <is>
          <t xml:space="preserve">DRYER</t>
        </is>
      </c>
      <c r="E827" s="335" t="inlineStr">
        <is>
          <t>N</t>
        </is>
      </c>
      <c r="F827" s="330" t="inlineStr">
        <is>
          <t xml:space="preserve">수집 대상</t>
        </is>
      </c>
      <c r="G827" s="256" t="s">
        <v>127</v>
      </c>
    </row>
    <row r="828" spans="1:15">
      <c r="A828" s="256" t="s">
        <v>331</v>
      </c>
      <c r="B828" s="256" t="s">
        <v>332</v>
      </c>
      <c r="C828" s="256" t="s">
        <v>1539</v>
      </c>
      <c r="D828" s="330" t="inlineStr">
        <is>
          <t xml:space="preserve">HEADSET</t>
        </is>
      </c>
      <c r="E828" s="330" t="inlineStr">
        <is>
          <t>Y</t>
        </is>
      </c>
      <c r="F828" s="330" t="inlineStr">
        <is>
          <t xml:space="preserve">대상 제품군이 아님: 이어폰·헤드셋</t>
        </is>
      </c>
      <c r="G828" s="256" t="s">
        <v>127</v>
      </c>
    </row>
    <row r="829" spans="1:15">
      <c r="A829" s="256" t="s">
        <v>331</v>
      </c>
      <c r="B829" s="256" t="s">
        <v>332</v>
      </c>
      <c r="C829" s="256" t="s">
        <v>1540</v>
      </c>
      <c r="D829" s="330" t="inlineStr">
        <is>
          <t xml:space="preserve">SPEAKER</t>
        </is>
      </c>
      <c r="E829" s="330" t="inlineStr">
        <is>
          <t>Y</t>
        </is>
      </c>
      <c r="F829" s="330" t="inlineStr">
        <is>
          <t xml:space="preserve">대상 제품군이 아님: 스피커</t>
        </is>
      </c>
      <c r="G829" s="256" t="s">
        <v>127</v>
      </c>
    </row>
    <row r="830" spans="1:15">
      <c r="A830" s="256" t="s">
        <v>331</v>
      </c>
      <c r="B830" s="256" t="s">
        <v>332</v>
      </c>
      <c r="C830" s="256" t="s">
        <v>1541</v>
      </c>
      <c r="D830" s="330" t="inlineStr">
        <is>
          <t xml:space="preserve">SOUNDBAR</t>
        </is>
      </c>
      <c r="E830" s="330" t="inlineStr">
        <is>
          <t>Y</t>
        </is>
      </c>
      <c r="F830" s="330" t="inlineStr">
        <is>
          <t xml:space="preserve">대상 제품군이 아님: 사운드바</t>
        </is>
      </c>
      <c r="G830" s="256" t="s">
        <v>127</v>
      </c>
    </row>
    <row r="831" spans="1:15">
      <c r="A831" s="256" t="s">
        <v>359</v>
      </c>
      <c r="B831" s="256" t="s">
        <v>753</v>
      </c>
      <c r="C831" s="256" t="s">
        <v>1542</v>
      </c>
      <c r="D831" s="330" t="inlineStr">
        <is>
          <t xml:space="preserve">REF</t>
        </is>
      </c>
      <c r="E831" s="330" t="inlineStr">
        <is>
          <t>Y</t>
        </is>
      </c>
      <c r="F831" s="330" t="inlineStr">
        <is>
          <t xml:space="preserve">진단 대상 35개 국가·리테일러에 해당하지 않음</t>
        </is>
      </c>
    </row>
    <row r="832" spans="1:15">
      <c r="A832" s="256" t="s">
        <v>359</v>
      </c>
      <c r="B832" s="256" t="s">
        <v>753</v>
      </c>
      <c r="C832" s="256" t="s">
        <v>1543</v>
      </c>
      <c r="D832" s="330" t="inlineStr">
        <is>
          <t xml:space="preserve">WM</t>
        </is>
      </c>
      <c r="E832" s="330" t="inlineStr">
        <is>
          <t>Y</t>
        </is>
      </c>
      <c r="F832" s="330" t="inlineStr">
        <is>
          <t xml:space="preserve">진단 대상 35개 국가·리테일러에 해당하지 않음</t>
        </is>
      </c>
    </row>
    <row r="833" spans="1:15">
      <c r="A833" s="256" t="s">
        <v>359</v>
      </c>
      <c r="B833" s="256" t="s">
        <v>753</v>
      </c>
      <c r="C833" s="256" t="s">
        <v>1544</v>
      </c>
      <c r="D833" s="330" t="inlineStr">
        <is>
          <t xml:space="preserve">WM</t>
        </is>
      </c>
      <c r="E833" s="330" t="inlineStr">
        <is>
          <t>Y</t>
        </is>
      </c>
      <c r="F833" s="330" t="inlineStr">
        <is>
          <t xml:space="preserve">진단 대상 35개 국가·리테일러에 해당하지 않음</t>
        </is>
      </c>
    </row>
    <row r="834" spans="1:15">
      <c r="A834" s="256" t="s">
        <v>359</v>
      </c>
      <c r="B834" s="256" t="s">
        <v>753</v>
      </c>
      <c r="C834" s="256" t="s">
        <v>1545</v>
      </c>
      <c r="D834" s="330" t="inlineStr">
        <is>
          <t xml:space="preserve">WM</t>
        </is>
      </c>
      <c r="E834" s="330" t="inlineStr">
        <is>
          <t>Y</t>
        </is>
      </c>
      <c r="F834" s="330" t="inlineStr">
        <is>
          <t xml:space="preserve">진단 대상 35개 국가·리테일러에 해당하지 않음</t>
        </is>
      </c>
    </row>
    <row r="835" spans="1:15">
      <c r="A835" s="256" t="s">
        <v>359</v>
      </c>
      <c r="B835" s="256" t="s">
        <v>753</v>
      </c>
      <c r="C835" s="256" t="s">
        <v>1546</v>
      </c>
      <c r="D835" s="330" t="inlineStr">
        <is>
          <t xml:space="preserve">WM</t>
        </is>
      </c>
      <c r="E835" s="330" t="inlineStr">
        <is>
          <t>Y</t>
        </is>
      </c>
      <c r="F835" s="330" t="inlineStr">
        <is>
          <t xml:space="preserve">진단 대상 35개 국가·리테일러에 해당하지 않음</t>
        </is>
      </c>
    </row>
    <row r="836" spans="1:15">
      <c r="A836" s="256" t="s">
        <v>359</v>
      </c>
      <c r="B836" s="256" t="s">
        <v>753</v>
      </c>
      <c r="C836" s="256" t="s">
        <v>1547</v>
      </c>
      <c r="D836" s="330" t="inlineStr">
        <is>
          <t xml:space="preserve">WM</t>
        </is>
      </c>
      <c r="E836" s="330" t="inlineStr">
        <is>
          <t>Y</t>
        </is>
      </c>
      <c r="F836" s="330" t="inlineStr">
        <is>
          <t xml:space="preserve">진단 대상 35개 국가·리테일러에 해당하지 않음</t>
        </is>
      </c>
    </row>
    <row r="837" spans="1:15">
      <c r="A837" s="256" t="s">
        <v>359</v>
      </c>
      <c r="B837" s="256" t="s">
        <v>753</v>
      </c>
      <c r="C837" s="256" t="s">
        <v>1547</v>
      </c>
      <c r="D837" s="330" t="inlineStr">
        <is>
          <t xml:space="preserve">WM</t>
        </is>
      </c>
      <c r="E837" s="330" t="inlineStr">
        <is>
          <t>Y</t>
        </is>
      </c>
      <c r="F837" s="330" t="inlineStr">
        <is>
          <t xml:space="preserve">진단 대상 35개 국가·리테일러에 해당하지 않음</t>
        </is>
      </c>
    </row>
    <row r="838" spans="1:15">
      <c r="A838" s="256" t="s">
        <v>359</v>
      </c>
      <c r="B838" s="256" t="s">
        <v>753</v>
      </c>
      <c r="C838" s="256" t="s">
        <v>1548</v>
      </c>
      <c r="D838" s="330" t="inlineStr">
        <is>
          <t xml:space="preserve">DRYER</t>
        </is>
      </c>
      <c r="E838" s="330" t="inlineStr">
        <is>
          <t>Y</t>
        </is>
      </c>
      <c r="F838" s="330" t="inlineStr">
        <is>
          <t xml:space="preserve">진단 대상 35개 국가·리테일러에 해당하지 않음</t>
        </is>
      </c>
    </row>
    <row r="839" spans="1:15">
      <c r="A839" s="256" t="s">
        <v>359</v>
      </c>
      <c r="B839" s="256" t="s">
        <v>753</v>
      </c>
      <c r="C839" s="256" t="s">
        <v>1549</v>
      </c>
      <c r="D839" s="330" t="inlineStr">
        <is>
          <t xml:space="preserve">DRYER</t>
        </is>
      </c>
      <c r="E839" s="330" t="inlineStr">
        <is>
          <t>Y</t>
        </is>
      </c>
      <c r="F839" s="330" t="inlineStr">
        <is>
          <t xml:space="preserve">진단 대상 35개 국가·리테일러에 해당하지 않음</t>
        </is>
      </c>
    </row>
    <row r="840" spans="1:15">
      <c r="A840" s="256" t="s">
        <v>359</v>
      </c>
      <c r="B840" s="256" t="s">
        <v>753</v>
      </c>
      <c r="C840" s="256" t="s">
        <v>1550</v>
      </c>
      <c r="D840" s="330" t="inlineStr">
        <is>
          <t xml:space="preserve">DRYER</t>
        </is>
      </c>
      <c r="E840" s="330" t="inlineStr">
        <is>
          <t>Y</t>
        </is>
      </c>
      <c r="F840" s="330" t="inlineStr">
        <is>
          <t xml:space="preserve">진단 대상 35개 국가·리테일러에 해당하지 않음</t>
        </is>
      </c>
    </row>
    <row r="841" spans="1:15">
      <c r="A841" s="256" t="s">
        <v>359</v>
      </c>
      <c r="B841" s="256" t="s">
        <v>753</v>
      </c>
      <c r="C841" s="256" t="s">
        <v>1551</v>
      </c>
      <c r="D841" s="330" t="inlineStr">
        <is>
          <t xml:space="preserve">TV</t>
        </is>
      </c>
      <c r="E841" s="330" t="inlineStr">
        <is>
          <t>Y</t>
        </is>
      </c>
      <c r="F841" s="330" t="inlineStr">
        <is>
          <t xml:space="preserve">진단 대상 35개 국가·리테일러에 해당하지 않음</t>
        </is>
      </c>
    </row>
    <row r="842" spans="1:15">
      <c r="A842" s="256" t="s">
        <v>359</v>
      </c>
      <c r="B842" s="256" t="s">
        <v>753</v>
      </c>
      <c r="C842" s="256" t="s">
        <v>1552</v>
      </c>
      <c r="D842" s="330" t="inlineStr">
        <is>
          <t xml:space="preserve">RAC</t>
        </is>
      </c>
      <c r="E842" s="330" t="inlineStr">
        <is>
          <t>Y</t>
        </is>
      </c>
      <c r="F842" s="330" t="inlineStr">
        <is>
          <t xml:space="preserve">진단 대상 35개 국가·리테일러에 해당하지 않음</t>
        </is>
      </c>
    </row>
    <row r="843" spans="1:15">
      <c r="A843" s="256" t="s">
        <v>359</v>
      </c>
      <c r="B843" s="256" t="s">
        <v>753</v>
      </c>
      <c r="C843" s="256" t="s">
        <v>1553</v>
      </c>
      <c r="D843" s="330" t="inlineStr">
        <is>
          <t xml:space="preserve">RAC</t>
        </is>
      </c>
      <c r="E843" s="330" t="inlineStr">
        <is>
          <t>Y</t>
        </is>
      </c>
      <c r="F843" s="330" t="inlineStr">
        <is>
          <t xml:space="preserve">진단 대상 35개 국가·리테일러에 해당하지 않음</t>
        </is>
      </c>
    </row>
    <row r="844" spans="1:15">
      <c r="A844" s="256" t="s">
        <v>359</v>
      </c>
      <c r="B844" s="256" t="s">
        <v>753</v>
      </c>
      <c r="C844" s="256" t="s">
        <v>1554</v>
      </c>
      <c r="D844" s="330" t="inlineStr">
        <is>
          <t xml:space="preserve">RAC</t>
        </is>
      </c>
      <c r="E844" s="330" t="inlineStr">
        <is>
          <t>Y</t>
        </is>
      </c>
      <c r="F844" s="330" t="inlineStr">
        <is>
          <t xml:space="preserve">진단 대상 35개 국가·리테일러에 해당하지 않음</t>
        </is>
      </c>
    </row>
    <row r="845" spans="1:15">
      <c r="A845" s="256" t="s">
        <v>359</v>
      </c>
      <c r="B845" s="256" t="s">
        <v>753</v>
      </c>
      <c r="C845" s="256" t="s">
        <v>1555</v>
      </c>
      <c r="D845" s="330" t="inlineStr">
        <is>
          <t xml:space="preserve">RAC</t>
        </is>
      </c>
      <c r="E845" s="330" t="inlineStr">
        <is>
          <t>Y</t>
        </is>
      </c>
      <c r="F845" s="330" t="inlineStr">
        <is>
          <t xml:space="preserve">진단 대상 35개 국가·리테일러에 해당하지 않음</t>
        </is>
      </c>
    </row>
    <row r="846" spans="1:15">
      <c r="A846" s="256" t="s">
        <v>359</v>
      </c>
      <c r="B846" s="256" t="s">
        <v>753</v>
      </c>
      <c r="C846" s="256" t="s">
        <v>1556</v>
      </c>
      <c r="D846" s="330" t="inlineStr">
        <is>
          <t xml:space="preserve">MNT</t>
        </is>
      </c>
      <c r="E846" s="330" t="inlineStr">
        <is>
          <t>Y</t>
        </is>
      </c>
      <c r="F846" s="330" t="inlineStr">
        <is>
          <t xml:space="preserve">진단 대상 35개 국가·리테일러에 해당하지 않음</t>
        </is>
      </c>
    </row>
    <row r="847" spans="1:15">
      <c r="A847" s="256" t="s">
        <v>359</v>
      </c>
      <c r="B847" s="256" t="s">
        <v>753</v>
      </c>
      <c r="C847" s="256" t="s">
        <v>1557</v>
      </c>
      <c r="D847" s="330" t="inlineStr">
        <is>
          <t xml:space="preserve">SPEAKER</t>
        </is>
      </c>
      <c r="E847" s="330" t="inlineStr">
        <is>
          <t>Y</t>
        </is>
      </c>
      <c r="F847" s="330" t="inlineStr">
        <is>
          <t xml:space="preserve">진단 대상 35개 국가·리테일러에 해당하지 않음</t>
        </is>
      </c>
    </row>
    <row r="848" spans="1:15">
      <c r="A848" s="256" t="s">
        <v>359</v>
      </c>
      <c r="B848" s="256" t="s">
        <v>753</v>
      </c>
      <c r="C848" s="256" t="s">
        <v>1558</v>
      </c>
      <c r="D848" s="330" t="inlineStr">
        <is>
          <t xml:space="preserve">SOUNDBAR</t>
        </is>
      </c>
      <c r="E848" s="330" t="inlineStr">
        <is>
          <t>Y</t>
        </is>
      </c>
      <c r="F848" s="330" t="inlineStr">
        <is>
          <t xml:space="preserve">진단 대상 35개 국가·리테일러에 해당하지 않음</t>
        </is>
      </c>
    </row>
    <row r="849" spans="1:15">
      <c r="A849" s="256" t="s">
        <v>359</v>
      </c>
      <c r="B849" s="256" t="s">
        <v>753</v>
      </c>
      <c r="C849" s="256" t="s">
        <v>1559</v>
      </c>
      <c r="D849" s="330" t="inlineStr">
        <is>
          <t xml:space="preserve">HEADSET</t>
        </is>
      </c>
      <c r="E849" s="330" t="inlineStr">
        <is>
          <t>Y</t>
        </is>
      </c>
      <c r="F849" s="330" t="inlineStr">
        <is>
          <t xml:space="preserve">진단 대상 35개 국가·리테일러에 해당하지 않음</t>
        </is>
      </c>
    </row>
    <row r="850" spans="1:15">
      <c r="A850" s="256" t="s">
        <v>359</v>
      </c>
      <c r="B850" s="256" t="s">
        <v>753</v>
      </c>
      <c r="C850" s="256" t="s">
        <v>1560</v>
      </c>
      <c r="D850" s="330" t="inlineStr">
        <is>
          <t xml:space="preserve">VACUUM</t>
        </is>
      </c>
      <c r="E850" s="330" t="inlineStr">
        <is>
          <t>Y</t>
        </is>
      </c>
      <c r="F850" s="330" t="inlineStr">
        <is>
          <t xml:space="preserve">진단 대상 35개 국가·리테일러에 해당하지 않음</t>
        </is>
      </c>
    </row>
    <row r="851" spans="1:15">
      <c r="A851" s="256" t="s">
        <v>359</v>
      </c>
      <c r="B851" s="256" t="s">
        <v>753</v>
      </c>
      <c r="C851" s="256" t="s">
        <v>1561</v>
      </c>
      <c r="D851" s="330" t="inlineStr">
        <is>
          <t xml:space="preserve">DW</t>
        </is>
      </c>
      <c r="E851" s="330" t="inlineStr">
        <is>
          <t>Y</t>
        </is>
      </c>
      <c r="F851" s="330" t="inlineStr">
        <is>
          <t xml:space="preserve">진단 대상 35개 국가·리테일러에 해당하지 않음</t>
        </is>
      </c>
    </row>
    <row r="852" spans="1:15">
      <c r="A852" s="256" t="s">
        <v>359</v>
      </c>
      <c r="B852" s="256" t="s">
        <v>753</v>
      </c>
      <c r="C852" s="256" t="s">
        <v>1562</v>
      </c>
      <c r="D852" s="330" t="inlineStr">
        <is>
          <t xml:space="preserve">OVEN</t>
        </is>
      </c>
      <c r="E852" s="330" t="inlineStr">
        <is>
          <t>Y</t>
        </is>
      </c>
      <c r="F852" s="330" t="inlineStr">
        <is>
          <t xml:space="preserve">진단 대상 35개 국가·리테일러에 해당하지 않음</t>
        </is>
      </c>
    </row>
    <row r="853" spans="1:15">
      <c r="A853" s="256" t="s">
        <v>359</v>
      </c>
      <c r="B853" s="256" t="s">
        <v>753</v>
      </c>
      <c r="C853" s="256" t="s">
        <v>1563</v>
      </c>
      <c r="D853" s="330" t="inlineStr">
        <is>
          <t xml:space="preserve">STYLER</t>
        </is>
      </c>
      <c r="E853" s="330" t="inlineStr">
        <is>
          <t>Y</t>
        </is>
      </c>
      <c r="F853" s="330" t="inlineStr">
        <is>
          <t xml:space="preserve">진단 대상 35개 국가·리테일러에 해당하지 않음</t>
        </is>
      </c>
    </row>
    <row r="854" spans="1:15">
      <c r="A854" s="256" t="s">
        <v>311</v>
      </c>
      <c r="B854" s="256" t="s">
        <v>318</v>
      </c>
      <c r="C854" s="256" t="s">
        <v>1564</v>
      </c>
      <c r="D854" s="330" t="inlineStr">
        <is>
          <t xml:space="preserve">REF</t>
        </is>
      </c>
      <c r="E854" s="335" t="inlineStr">
        <is>
          <t>N</t>
        </is>
      </c>
      <c r="F854" s="330" t="inlineStr">
        <is>
          <t xml:space="preserve">수집 대상</t>
        </is>
      </c>
      <c r="G854" s="256" t="s">
        <v>127</v>
      </c>
      <c r="H854" s="256" t="s">
        <v>127</v>
      </c>
    </row>
    <row r="855" spans="1:15">
      <c r="A855" s="256" t="s">
        <v>311</v>
      </c>
      <c r="B855" s="256" t="s">
        <v>318</v>
      </c>
      <c r="C855" s="256" t="s">
        <v>1565</v>
      </c>
      <c r="D855" s="330" t="inlineStr">
        <is>
          <t xml:space="preserve">WM</t>
        </is>
      </c>
      <c r="E855" s="335" t="inlineStr">
        <is>
          <t>N</t>
        </is>
      </c>
      <c r="F855" s="330" t="inlineStr">
        <is>
          <t xml:space="preserve">수집 대상</t>
        </is>
      </c>
      <c r="G855" s="256" t="s">
        <v>127</v>
      </c>
      <c r="H855" s="256" t="s">
        <v>127</v>
      </c>
    </row>
    <row r="856" spans="1:15">
      <c r="A856" s="256" t="s">
        <v>311</v>
      </c>
      <c r="B856" s="256" t="s">
        <v>318</v>
      </c>
      <c r="C856" s="256" t="s">
        <v>1566</v>
      </c>
      <c r="D856" s="330" t="inlineStr">
        <is>
          <t xml:space="preserve">TV</t>
        </is>
      </c>
      <c r="E856" s="330" t="inlineStr">
        <is>
          <t>Y</t>
        </is>
      </c>
      <c r="F856" s="330" t="inlineStr">
        <is>
          <t xml:space="preserve">대상 제품군이 아님: TV</t>
        </is>
      </c>
      <c r="G856" s="256" t="s">
        <v>127</v>
      </c>
    </row>
    <row r="857" spans="1:15">
      <c r="A857" s="256" t="s">
        <v>311</v>
      </c>
      <c r="B857" s="256" t="s">
        <v>318</v>
      </c>
      <c r="C857" s="256" t="s">
        <v>1567</v>
      </c>
      <c r="D857" s="330" t="inlineStr">
        <is>
          <t xml:space="preserve">COMPUTER</t>
        </is>
      </c>
      <c r="E857" s="330" t="inlineStr">
        <is>
          <t>Y</t>
        </is>
      </c>
      <c r="F857" s="330" t="inlineStr">
        <is>
          <t xml:space="preserve">대상 제품군이 아님: 컴퓨터</t>
        </is>
      </c>
      <c r="G857" s="256" t="s">
        <v>127</v>
      </c>
    </row>
    <row r="858" spans="1:15">
      <c r="A858" s="256" t="s">
        <v>311</v>
      </c>
      <c r="B858" s="256" t="s">
        <v>318</v>
      </c>
      <c r="C858" s="256" t="s">
        <v>1568</v>
      </c>
      <c r="D858" s="330" t="inlineStr">
        <is>
          <t xml:space="preserve">BT_SPEAKER</t>
        </is>
      </c>
      <c r="E858" s="330" t="inlineStr">
        <is>
          <t>Y</t>
        </is>
      </c>
      <c r="F858" s="330" t="inlineStr">
        <is>
          <t xml:space="preserve">대상 제품군이 아님: 블루투스 스피커</t>
        </is>
      </c>
      <c r="G858" s="256" t="s">
        <v>127</v>
      </c>
    </row>
    <row r="859" spans="1:15">
      <c r="A859" s="256" t="s">
        <v>311</v>
      </c>
      <c r="B859" s="256" t="s">
        <v>318</v>
      </c>
      <c r="C859" s="256" t="s">
        <v>1569</v>
      </c>
      <c r="D859" s="330" t="inlineStr">
        <is>
          <t xml:space="preserve">SOUNDBAR</t>
        </is>
      </c>
      <c r="E859" s="330" t="inlineStr">
        <is>
          <t>Y</t>
        </is>
      </c>
      <c r="F859" s="330" t="inlineStr">
        <is>
          <t xml:space="preserve">대상 제품군이 아님: 사운드바</t>
        </is>
      </c>
      <c r="G859" s="256" t="s">
        <v>127</v>
      </c>
    </row>
    <row r="860" spans="1:15">
      <c r="A860" s="256" t="s">
        <v>311</v>
      </c>
      <c r="B860" s="256" t="s">
        <v>318</v>
      </c>
      <c r="C860" s="256" t="s">
        <v>1570</v>
      </c>
      <c r="D860" s="330" t="inlineStr">
        <is>
          <t xml:space="preserve">HEADSET</t>
        </is>
      </c>
      <c r="E860" s="330" t="inlineStr">
        <is>
          <t>Y</t>
        </is>
      </c>
      <c r="F860" s="330" t="inlineStr">
        <is>
          <t xml:space="preserve">대상 제품군이 아님: 이어폰·헤드셋</t>
        </is>
      </c>
      <c r="G860" s="256" t="s">
        <v>127</v>
      </c>
    </row>
    <row r="861" spans="1:15">
      <c r="A861" s="256" t="s">
        <v>311</v>
      </c>
      <c r="B861" s="256" t="s">
        <v>318</v>
      </c>
      <c r="C861" s="256" t="s">
        <v>1571</v>
      </c>
      <c r="D861" s="330" t="inlineStr">
        <is>
          <t xml:space="preserve">RAC</t>
        </is>
      </c>
      <c r="E861" s="330" t="inlineStr">
        <is>
          <t>Y</t>
        </is>
      </c>
      <c r="F861" s="330" t="inlineStr">
        <is>
          <t xml:space="preserve">대상 제품군이 아님: 에어컨</t>
        </is>
      </c>
      <c r="G861" s="256" t="s">
        <v>127</v>
      </c>
    </row>
    <row r="862" spans="1:15">
      <c r="A862" s="256" t="s">
        <v>311</v>
      </c>
      <c r="B862" s="256" t="s">
        <v>318</v>
      </c>
      <c r="C862" s="256" t="s">
        <v>1572</v>
      </c>
      <c r="D862" s="330" t="inlineStr">
        <is>
          <t xml:space="preserve">WM</t>
        </is>
      </c>
      <c r="E862" s="335" t="inlineStr">
        <is>
          <t>N</t>
        </is>
      </c>
      <c r="F862" s="330" t="inlineStr">
        <is>
          <t xml:space="preserve">수집 대상</t>
        </is>
      </c>
      <c r="G862" s="256" t="s">
        <v>127</v>
      </c>
      <c r="H862" s="256" t="s">
        <v>127</v>
      </c>
    </row>
    <row r="863" spans="1:15">
      <c r="A863" s="256" t="s">
        <v>311</v>
      </c>
      <c r="B863" s="256" t="s">
        <v>318</v>
      </c>
      <c r="C863" s="256" t="s">
        <v>1573</v>
      </c>
      <c r="D863" s="330" t="inlineStr">
        <is>
          <t xml:space="preserve">DRYER</t>
        </is>
      </c>
      <c r="E863" s="335" t="inlineStr">
        <is>
          <t>N</t>
        </is>
      </c>
      <c r="F863" s="330" t="inlineStr">
        <is>
          <t xml:space="preserve">수집 대상</t>
        </is>
      </c>
      <c r="G863" s="256" t="s">
        <v>127</v>
      </c>
    </row>
    <row r="864" spans="1:15">
      <c r="A864" s="256" t="s">
        <v>261</v>
      </c>
      <c r="B864" s="256" t="s">
        <v>264</v>
      </c>
      <c r="C864" s="256" t="s">
        <v>1574</v>
      </c>
      <c r="D864" s="330" t="inlineStr">
        <is>
          <t xml:space="preserve">REF</t>
        </is>
      </c>
      <c r="E864" s="335" t="inlineStr">
        <is>
          <t>N</t>
        </is>
      </c>
      <c r="F864" s="330" t="inlineStr">
        <is>
          <t xml:space="preserve">수집 대상</t>
        </is>
      </c>
      <c r="G864" s="256" t="s">
        <v>127</v>
      </c>
    </row>
    <row r="865" spans="1:15">
      <c r="A865" s="256" t="s">
        <v>261</v>
      </c>
      <c r="B865" s="256" t="s">
        <v>264</v>
      </c>
      <c r="C865" s="256" t="s">
        <v>1575</v>
      </c>
      <c r="D865" s="330" t="inlineStr">
        <is>
          <t xml:space="preserve">REF</t>
        </is>
      </c>
      <c r="E865" s="335" t="inlineStr">
        <is>
          <t>N</t>
        </is>
      </c>
      <c r="F865" s="330" t="inlineStr">
        <is>
          <t xml:space="preserve">수집 대상</t>
        </is>
      </c>
      <c r="G865" s="256" t="s">
        <v>127</v>
      </c>
    </row>
    <row r="866" spans="1:15">
      <c r="A866" s="256" t="s">
        <v>261</v>
      </c>
      <c r="B866" s="256" t="s">
        <v>264</v>
      </c>
      <c r="C866" s="256" t="s">
        <v>1576</v>
      </c>
      <c r="D866" s="330" t="inlineStr">
        <is>
          <t xml:space="preserve">REF</t>
        </is>
      </c>
      <c r="E866" s="335" t="inlineStr">
        <is>
          <t>N</t>
        </is>
      </c>
      <c r="F866" s="330" t="inlineStr">
        <is>
          <t xml:space="preserve">수집 대상</t>
        </is>
      </c>
      <c r="G866" s="256" t="s">
        <v>127</v>
      </c>
    </row>
    <row r="867" spans="1:15">
      <c r="A867" s="256" t="s">
        <v>261</v>
      </c>
      <c r="B867" s="256" t="s">
        <v>264</v>
      </c>
      <c r="C867" s="256" t="s">
        <v>1577</v>
      </c>
      <c r="D867" s="330" t="inlineStr">
        <is>
          <t xml:space="preserve">WM</t>
        </is>
      </c>
      <c r="E867" s="335" t="inlineStr">
        <is>
          <t>N</t>
        </is>
      </c>
      <c r="F867" s="330" t="inlineStr">
        <is>
          <t xml:space="preserve">수집 대상</t>
        </is>
      </c>
      <c r="G867" s="256" t="s">
        <v>127</v>
      </c>
    </row>
    <row r="868" spans="1:15">
      <c r="A868" s="256" t="s">
        <v>261</v>
      </c>
      <c r="B868" s="256" t="s">
        <v>264</v>
      </c>
      <c r="C868" s="256" t="s">
        <v>1578</v>
      </c>
      <c r="D868" s="330" t="inlineStr">
        <is>
          <t xml:space="preserve">WM</t>
        </is>
      </c>
      <c r="E868" s="335" t="inlineStr">
        <is>
          <t>N</t>
        </is>
      </c>
      <c r="F868" s="330" t="inlineStr">
        <is>
          <t xml:space="preserve">수집 대상</t>
        </is>
      </c>
      <c r="G868" s="256" t="s">
        <v>127</v>
      </c>
    </row>
    <row r="869" spans="1:15">
      <c r="A869" s="256" t="s">
        <v>261</v>
      </c>
      <c r="B869" s="256" t="s">
        <v>264</v>
      </c>
      <c r="C869" s="256" t="s">
        <v>1579</v>
      </c>
      <c r="D869" s="330" t="inlineStr">
        <is>
          <t xml:space="preserve">WM</t>
        </is>
      </c>
      <c r="E869" s="335" t="inlineStr">
        <is>
          <t>N</t>
        </is>
      </c>
      <c r="F869" s="330" t="inlineStr">
        <is>
          <t xml:space="preserve">수집 대상</t>
        </is>
      </c>
      <c r="G869" s="256" t="s">
        <v>127</v>
      </c>
    </row>
    <row r="870" spans="1:15">
      <c r="A870" s="256" t="s">
        <v>261</v>
      </c>
      <c r="B870" s="256" t="s">
        <v>264</v>
      </c>
      <c r="C870" s="256" t="s">
        <v>1580</v>
      </c>
      <c r="D870" s="330" t="inlineStr">
        <is>
          <t xml:space="preserve">WM</t>
        </is>
      </c>
      <c r="E870" s="335" t="inlineStr">
        <is>
          <t>N</t>
        </is>
      </c>
      <c r="F870" s="330" t="inlineStr">
        <is>
          <t xml:space="preserve">수집 대상</t>
        </is>
      </c>
      <c r="G870" s="256" t="s">
        <v>127</v>
      </c>
    </row>
    <row r="871" spans="1:15">
      <c r="A871" s="256" t="s">
        <v>261</v>
      </c>
      <c r="B871" s="256" t="s">
        <v>264</v>
      </c>
      <c r="C871" s="256" t="s">
        <v>1581</v>
      </c>
      <c r="D871" s="330" t="inlineStr">
        <is>
          <t xml:space="preserve">TV</t>
        </is>
      </c>
      <c r="E871" s="330" t="inlineStr">
        <is>
          <t>Y</t>
        </is>
      </c>
      <c r="F871" s="330" t="inlineStr">
        <is>
          <t xml:space="preserve">대상 제품군이 아님: TV</t>
        </is>
      </c>
      <c r="G871" s="256" t="s">
        <v>127</v>
      </c>
    </row>
    <row r="872" spans="1:15">
      <c r="A872" s="256" t="s">
        <v>261</v>
      </c>
      <c r="B872" s="256" t="s">
        <v>264</v>
      </c>
      <c r="C872" s="256" t="s">
        <v>1582</v>
      </c>
      <c r="D872" s="330" t="inlineStr">
        <is>
          <t xml:space="preserve">TV</t>
        </is>
      </c>
      <c r="E872" s="330" t="inlineStr">
        <is>
          <t>Y</t>
        </is>
      </c>
      <c r="F872" s="330" t="inlineStr">
        <is>
          <t xml:space="preserve">대상 제품군이 아님: TV</t>
        </is>
      </c>
      <c r="G872" s="256" t="s">
        <v>127</v>
      </c>
    </row>
    <row r="873" spans="1:15">
      <c r="A873" s="256" t="s">
        <v>261</v>
      </c>
      <c r="B873" s="256" t="s">
        <v>264</v>
      </c>
      <c r="C873" s="256" t="s">
        <v>1583</v>
      </c>
      <c r="D873" s="330" t="inlineStr">
        <is>
          <t xml:space="preserve">TV</t>
        </is>
      </c>
      <c r="E873" s="330" t="inlineStr">
        <is>
          <t>Y</t>
        </is>
      </c>
      <c r="F873" s="330" t="inlineStr">
        <is>
          <t xml:space="preserve">대상 제품군이 아님: TV</t>
        </is>
      </c>
      <c r="G873" s="256" t="s">
        <v>127</v>
      </c>
    </row>
    <row r="874" spans="1:15">
      <c r="A874" s="256" t="s">
        <v>261</v>
      </c>
      <c r="B874" s="256" t="s">
        <v>264</v>
      </c>
      <c r="C874" s="256" t="s">
        <v>1584</v>
      </c>
      <c r="D874" s="330" t="inlineStr">
        <is>
          <t xml:space="preserve">TV</t>
        </is>
      </c>
      <c r="E874" s="330" t="inlineStr">
        <is>
          <t>Y</t>
        </is>
      </c>
      <c r="F874" s="330" t="inlineStr">
        <is>
          <t xml:space="preserve">대상 제품군이 아님: TV</t>
        </is>
      </c>
      <c r="G874" s="256" t="s">
        <v>127</v>
      </c>
    </row>
    <row r="875" spans="1:15">
      <c r="A875" s="256" t="s">
        <v>261</v>
      </c>
      <c r="B875" s="256" t="s">
        <v>264</v>
      </c>
      <c r="C875" s="256" t="s">
        <v>1585</v>
      </c>
      <c r="D875" s="330" t="inlineStr">
        <is>
          <t xml:space="preserve">TV</t>
        </is>
      </c>
      <c r="E875" s="330" t="inlineStr">
        <is>
          <t>Y</t>
        </is>
      </c>
      <c r="F875" s="330" t="inlineStr">
        <is>
          <t xml:space="preserve">대상 제품군이 아님: TV</t>
        </is>
      </c>
      <c r="G875" s="256" t="s">
        <v>127</v>
      </c>
    </row>
    <row r="876" spans="1:15">
      <c r="A876" s="256" t="s">
        <v>261</v>
      </c>
      <c r="B876" s="256" t="s">
        <v>264</v>
      </c>
      <c r="C876" s="256" t="s">
        <v>1586</v>
      </c>
      <c r="D876" s="330" t="inlineStr">
        <is>
          <t xml:space="preserve">TV</t>
        </is>
      </c>
      <c r="E876" s="330" t="inlineStr">
        <is>
          <t>Y</t>
        </is>
      </c>
      <c r="F876" s="330" t="inlineStr">
        <is>
          <t xml:space="preserve">대상 제품군이 아님: TV</t>
        </is>
      </c>
      <c r="G876" s="256" t="s">
        <v>127</v>
      </c>
    </row>
    <row r="877" spans="1:15">
      <c r="A877" s="256" t="s">
        <v>261</v>
      </c>
      <c r="B877" s="256" t="s">
        <v>264</v>
      </c>
      <c r="C877" s="256" t="s">
        <v>1587</v>
      </c>
      <c r="D877" s="330" t="inlineStr">
        <is>
          <t xml:space="preserve">TV</t>
        </is>
      </c>
      <c r="E877" s="330" t="inlineStr">
        <is>
          <t>Y</t>
        </is>
      </c>
      <c r="F877" s="330" t="inlineStr">
        <is>
          <t xml:space="preserve">대상 제품군이 아님: TV</t>
        </is>
      </c>
      <c r="G877" s="256" t="s">
        <v>127</v>
      </c>
    </row>
    <row r="878" spans="1:15">
      <c r="A878" s="256" t="s">
        <v>261</v>
      </c>
      <c r="B878" s="256" t="s">
        <v>264</v>
      </c>
      <c r="C878" s="256" t="s">
        <v>1588</v>
      </c>
      <c r="D878" s="330" t="inlineStr">
        <is>
          <t xml:space="preserve">TV</t>
        </is>
      </c>
      <c r="E878" s="330" t="inlineStr">
        <is>
          <t>Y</t>
        </is>
      </c>
      <c r="F878" s="330" t="inlineStr">
        <is>
          <t xml:space="preserve">대상 제품군이 아님: TV</t>
        </is>
      </c>
      <c r="G878" s="256" t="s">
        <v>127</v>
      </c>
    </row>
    <row r="879" spans="1:15">
      <c r="A879" s="256" t="s">
        <v>261</v>
      </c>
      <c r="B879" s="256" t="s">
        <v>264</v>
      </c>
      <c r="C879" s="256" t="s">
        <v>1589</v>
      </c>
      <c r="D879" s="330" t="inlineStr">
        <is>
          <t xml:space="preserve">TV</t>
        </is>
      </c>
      <c r="E879" s="330" t="inlineStr">
        <is>
          <t>Y</t>
        </is>
      </c>
      <c r="F879" s="330" t="inlineStr">
        <is>
          <t xml:space="preserve">대상 제품군이 아님: TV</t>
        </is>
      </c>
      <c r="G879" s="256" t="s">
        <v>127</v>
      </c>
    </row>
    <row r="880" spans="1:15">
      <c r="A880" s="256" t="s">
        <v>261</v>
      </c>
      <c r="B880" s="256" t="s">
        <v>264</v>
      </c>
      <c r="C880" s="256" t="s">
        <v>1590</v>
      </c>
      <c r="D880" s="330" t="inlineStr">
        <is>
          <t xml:space="preserve">TV</t>
        </is>
      </c>
      <c r="E880" s="330" t="inlineStr">
        <is>
          <t>Y</t>
        </is>
      </c>
      <c r="F880" s="330" t="inlineStr">
        <is>
          <t xml:space="preserve">대상 제품군이 아님: TV</t>
        </is>
      </c>
      <c r="G880" s="256" t="s">
        <v>127</v>
      </c>
    </row>
    <row r="881" spans="1:15">
      <c r="A881" s="256" t="s">
        <v>261</v>
      </c>
      <c r="B881" s="256" t="s">
        <v>264</v>
      </c>
      <c r="C881" s="256" t="s">
        <v>1591</v>
      </c>
      <c r="D881" s="330" t="inlineStr">
        <is>
          <t xml:space="preserve">TV</t>
        </is>
      </c>
      <c r="E881" s="330" t="inlineStr">
        <is>
          <t>Y</t>
        </is>
      </c>
      <c r="F881" s="330" t="inlineStr">
        <is>
          <t xml:space="preserve">대상 제품군이 아님: TV</t>
        </is>
      </c>
      <c r="G881" s="256" t="s">
        <v>127</v>
      </c>
    </row>
    <row r="882" spans="1:15">
      <c r="A882" s="256" t="s">
        <v>261</v>
      </c>
      <c r="B882" s="256" t="s">
        <v>264</v>
      </c>
      <c r="C882" s="256" t="s">
        <v>1592</v>
      </c>
      <c r="D882" s="330" t="inlineStr">
        <is>
          <t xml:space="preserve">TV</t>
        </is>
      </c>
      <c r="E882" s="330" t="inlineStr">
        <is>
          <t>Y</t>
        </is>
      </c>
      <c r="F882" s="330" t="inlineStr">
        <is>
          <t xml:space="preserve">대상 제품군이 아님: TV</t>
        </is>
      </c>
      <c r="G882" s="256" t="s">
        <v>127</v>
      </c>
    </row>
    <row r="883" spans="1:15">
      <c r="A883" s="256" t="s">
        <v>261</v>
      </c>
      <c r="B883" s="256" t="s">
        <v>264</v>
      </c>
      <c r="C883" s="256" t="s">
        <v>1593</v>
      </c>
      <c r="D883" s="330" t="inlineStr">
        <is>
          <t xml:space="preserve">MNT</t>
        </is>
      </c>
      <c r="E883" s="330" t="inlineStr">
        <is>
          <t>Y</t>
        </is>
      </c>
      <c r="F883" s="330" t="inlineStr">
        <is>
          <t xml:space="preserve">대상 제품군이 아님: 모니터</t>
        </is>
      </c>
      <c r="G883" s="256" t="s">
        <v>127</v>
      </c>
    </row>
    <row r="884" spans="1:15">
      <c r="A884" s="256" t="s">
        <v>261</v>
      </c>
      <c r="B884" s="256" t="s">
        <v>264</v>
      </c>
      <c r="C884" s="256" t="s">
        <v>1594</v>
      </c>
      <c r="D884" s="330" t="inlineStr">
        <is>
          <t xml:space="preserve">HEADSET</t>
        </is>
      </c>
      <c r="E884" s="330" t="inlineStr">
        <is>
          <t>Y</t>
        </is>
      </c>
      <c r="F884" s="330" t="inlineStr">
        <is>
          <t xml:space="preserve">대상 제품군이 아님: 이어폰·헤드셋</t>
        </is>
      </c>
      <c r="G884" s="256" t="s">
        <v>127</v>
      </c>
    </row>
    <row r="885" spans="1:15">
      <c r="A885" s="256" t="s">
        <v>261</v>
      </c>
      <c r="B885" s="256" t="s">
        <v>264</v>
      </c>
      <c r="C885" s="256" t="s">
        <v>1595</v>
      </c>
      <c r="D885" s="330" t="inlineStr">
        <is>
          <t xml:space="preserve">SOUNDBAR</t>
        </is>
      </c>
      <c r="E885" s="330" t="inlineStr">
        <is>
          <t>Y</t>
        </is>
      </c>
      <c r="F885" s="330" t="inlineStr">
        <is>
          <t xml:space="preserve">대상 제품군이 아님: 사운드바</t>
        </is>
      </c>
      <c r="G885" s="256" t="s">
        <v>127</v>
      </c>
    </row>
    <row r="886" spans="1:15">
      <c r="A886" s="256" t="s">
        <v>261</v>
      </c>
      <c r="B886" s="256" t="s">
        <v>264</v>
      </c>
      <c r="C886" s="256" t="s">
        <v>1596</v>
      </c>
      <c r="D886" s="330" t="inlineStr">
        <is>
          <t xml:space="preserve">BT_SPEAKER</t>
        </is>
      </c>
      <c r="E886" s="330" t="inlineStr">
        <is>
          <t>Y</t>
        </is>
      </c>
      <c r="F886" s="330" t="inlineStr">
        <is>
          <t xml:space="preserve">대상 제품군이 아님: 블루투스 스피커</t>
        </is>
      </c>
      <c r="G886" s="256" t="s">
        <v>127</v>
      </c>
    </row>
    <row r="887" spans="1:15">
      <c r="A887" s="256" t="s">
        <v>261</v>
      </c>
      <c r="B887" s="256" t="s">
        <v>264</v>
      </c>
      <c r="C887" s="256" t="s">
        <v>1597</v>
      </c>
      <c r="D887" s="330" t="inlineStr">
        <is>
          <t xml:space="preserve">OVEN</t>
        </is>
      </c>
      <c r="E887" s="330" t="inlineStr">
        <is>
          <t>Y</t>
        </is>
      </c>
      <c r="F887" s="330" t="inlineStr">
        <is>
          <t xml:space="preserve">대상 제품군이 아님: 오븐·조리기기</t>
        </is>
      </c>
      <c r="G887" s="256" t="s">
        <v>127</v>
      </c>
    </row>
    <row r="888" spans="1:15">
      <c r="A888" s="256" t="s">
        <v>261</v>
      </c>
      <c r="B888" s="256" t="s">
        <v>264</v>
      </c>
      <c r="C888" s="256" t="s">
        <v>1597</v>
      </c>
      <c r="D888" s="330" t="inlineStr">
        <is>
          <t xml:space="preserve">OVEN</t>
        </is>
      </c>
      <c r="E888" s="330" t="inlineStr">
        <is>
          <t>Y</t>
        </is>
      </c>
      <c r="F888" s="330" t="inlineStr">
        <is>
          <t xml:space="preserve">대상 제품군이 아님: 오븐·조리기기</t>
        </is>
      </c>
      <c r="G888" s="256" t="s">
        <v>127</v>
      </c>
    </row>
    <row r="889" spans="1:15">
      <c r="A889" s="256" t="s">
        <v>261</v>
      </c>
      <c r="B889" s="256" t="s">
        <v>264</v>
      </c>
      <c r="C889" s="256" t="s">
        <v>1597</v>
      </c>
      <c r="D889" s="330" t="inlineStr">
        <is>
          <t xml:space="preserve">OVEN</t>
        </is>
      </c>
      <c r="E889" s="330" t="inlineStr">
        <is>
          <t>Y</t>
        </is>
      </c>
      <c r="F889" s="330" t="inlineStr">
        <is>
          <t xml:space="preserve">대상 제품군이 아님: 오븐·조리기기</t>
        </is>
      </c>
      <c r="G889" s="256" t="s">
        <v>127</v>
      </c>
    </row>
    <row r="890" spans="1:15">
      <c r="A890" s="256" t="s">
        <v>261</v>
      </c>
      <c r="B890" s="256" t="s">
        <v>264</v>
      </c>
      <c r="C890" s="256" t="s">
        <v>1598</v>
      </c>
      <c r="D890" s="330" t="inlineStr">
        <is>
          <t xml:space="preserve">LAPTOP</t>
        </is>
      </c>
      <c r="E890" s="330" t="inlineStr">
        <is>
          <t>Y</t>
        </is>
      </c>
      <c r="F890" s="330" t="inlineStr">
        <is>
          <t xml:space="preserve">대상 제품군이 아님: 노트북</t>
        </is>
      </c>
      <c r="G890" s="256" t="s">
        <v>127</v>
      </c>
    </row>
    <row r="891" spans="1:15">
      <c r="A891" s="256" t="s">
        <v>261</v>
      </c>
      <c r="B891" s="256" t="s">
        <v>264</v>
      </c>
      <c r="C891" s="256" t="s">
        <v>1599</v>
      </c>
      <c r="D891" s="330" t="inlineStr">
        <is>
          <t xml:space="preserve">DRYER</t>
        </is>
      </c>
      <c r="E891" s="335" t="inlineStr">
        <is>
          <t>N</t>
        </is>
      </c>
      <c r="F891" s="330" t="inlineStr">
        <is>
          <t xml:space="preserve">수집 대상</t>
        </is>
      </c>
      <c r="G891" s="256" t="s">
        <v>127</v>
      </c>
    </row>
    <row r="892" spans="1:15">
      <c r="A892" s="256" t="s">
        <v>261</v>
      </c>
      <c r="B892" s="256" t="s">
        <v>264</v>
      </c>
      <c r="C892" s="256" t="s">
        <v>1600</v>
      </c>
      <c r="D892" s="330" t="inlineStr">
        <is>
          <t xml:space="preserve">RAC</t>
        </is>
      </c>
      <c r="E892" s="330" t="inlineStr">
        <is>
          <t>Y</t>
        </is>
      </c>
      <c r="F892" s="330" t="inlineStr">
        <is>
          <t xml:space="preserve">대상 제품군이 아님: 에어컨</t>
        </is>
      </c>
      <c r="G892" s="256" t="s">
        <v>127</v>
      </c>
    </row>
    <row r="893" spans="1:15">
      <c r="A893" s="256" t="s">
        <v>285</v>
      </c>
      <c r="B893" s="256" t="s">
        <v>264</v>
      </c>
      <c r="C893" s="256" t="s">
        <v>1601</v>
      </c>
      <c r="D893" s="330" t="inlineStr">
        <is>
          <t xml:space="preserve">TV</t>
        </is>
      </c>
      <c r="E893" s="330" t="inlineStr">
        <is>
          <t>Y</t>
        </is>
      </c>
      <c r="F893" s="330" t="inlineStr">
        <is>
          <t xml:space="preserve">대상 제품군이 아님: TV</t>
        </is>
      </c>
      <c r="G893" s="256" t="s">
        <v>127</v>
      </c>
    </row>
    <row r="894" spans="1:15">
      <c r="A894" s="256" t="s">
        <v>285</v>
      </c>
      <c r="B894" s="256" t="s">
        <v>264</v>
      </c>
      <c r="C894" s="256" t="s">
        <v>1602</v>
      </c>
      <c r="D894" s="330" t="inlineStr">
        <is>
          <t xml:space="preserve">WM</t>
        </is>
      </c>
      <c r="E894" s="335" t="inlineStr">
        <is>
          <t>N</t>
        </is>
      </c>
      <c r="F894" s="330" t="inlineStr">
        <is>
          <t xml:space="preserve">수집 대상</t>
        </is>
      </c>
      <c r="G894" s="256" t="s">
        <v>127</v>
      </c>
      <c r="H894" s="256" t="s">
        <v>127</v>
      </c>
    </row>
    <row r="895" spans="1:15">
      <c r="A895" s="256" t="s">
        <v>285</v>
      </c>
      <c r="B895" s="256" t="s">
        <v>264</v>
      </c>
      <c r="C895" s="256" t="s">
        <v>1603</v>
      </c>
      <c r="D895" s="330" t="inlineStr">
        <is>
          <t xml:space="preserve">REF</t>
        </is>
      </c>
      <c r="E895" s="335" t="inlineStr">
        <is>
          <t>N</t>
        </is>
      </c>
      <c r="F895" s="330" t="inlineStr">
        <is>
          <t xml:space="preserve">수집 대상</t>
        </is>
      </c>
      <c r="G895" s="256" t="s">
        <v>127</v>
      </c>
      <c r="H895" s="256" t="s">
        <v>127</v>
      </c>
    </row>
    <row r="896" spans="1:15">
      <c r="A896" s="256" t="s">
        <v>285</v>
      </c>
      <c r="B896" s="256" t="s">
        <v>264</v>
      </c>
      <c r="C896" s="256" t="s">
        <v>1604</v>
      </c>
      <c r="D896" s="330" t="inlineStr">
        <is>
          <t xml:space="preserve">MNT</t>
        </is>
      </c>
      <c r="E896" s="330" t="inlineStr">
        <is>
          <t>Y</t>
        </is>
      </c>
      <c r="F896" s="330" t="inlineStr">
        <is>
          <t xml:space="preserve">대상 제품군이 아님: 모니터</t>
        </is>
      </c>
      <c r="G896" s="256" t="s">
        <v>127</v>
      </c>
    </row>
    <row r="897" spans="1:15">
      <c r="A897" s="256" t="s">
        <v>285</v>
      </c>
      <c r="B897" s="256" t="s">
        <v>264</v>
      </c>
      <c r="C897" s="256" t="s">
        <v>1605</v>
      </c>
      <c r="D897" s="330" t="inlineStr">
        <is>
          <t xml:space="preserve">BT_SPEAKER</t>
        </is>
      </c>
      <c r="E897" s="330" t="inlineStr">
        <is>
          <t>Y</t>
        </is>
      </c>
      <c r="F897" s="330" t="inlineStr">
        <is>
          <t xml:space="preserve">대상 제품군이 아님: 블루투스 스피커</t>
        </is>
      </c>
      <c r="G897" s="256" t="s">
        <v>127</v>
      </c>
    </row>
    <row r="898" spans="1:15">
      <c r="A898" s="256" t="s">
        <v>285</v>
      </c>
      <c r="B898" s="256" t="s">
        <v>264</v>
      </c>
      <c r="C898" s="256" t="s">
        <v>1606</v>
      </c>
      <c r="D898" s="330" t="inlineStr">
        <is>
          <t xml:space="preserve">SOUNDBAR</t>
        </is>
      </c>
      <c r="E898" s="330" t="inlineStr">
        <is>
          <t>Y</t>
        </is>
      </c>
      <c r="F898" s="330" t="inlineStr">
        <is>
          <t xml:space="preserve">대상 제품군이 아님: 사운드바</t>
        </is>
      </c>
      <c r="G898" s="256" t="s">
        <v>127</v>
      </c>
    </row>
    <row r="899" spans="1:15">
      <c r="A899" s="256" t="s">
        <v>285</v>
      </c>
      <c r="B899" s="256" t="s">
        <v>264</v>
      </c>
      <c r="C899" s="256" t="s">
        <v>1607</v>
      </c>
      <c r="D899" s="330" t="inlineStr">
        <is>
          <t xml:space="preserve">HEADSET</t>
        </is>
      </c>
      <c r="E899" s="330" t="inlineStr">
        <is>
          <t>Y</t>
        </is>
      </c>
      <c r="F899" s="330" t="inlineStr">
        <is>
          <t xml:space="preserve">대상 제품군이 아님: 이어폰·헤드셋</t>
        </is>
      </c>
      <c r="G899" s="256" t="s">
        <v>127</v>
      </c>
    </row>
    <row r="900" spans="1:15">
      <c r="A900" s="256" t="s">
        <v>285</v>
      </c>
      <c r="B900" s="256" t="s">
        <v>264</v>
      </c>
      <c r="C900" s="256" t="s">
        <v>1608</v>
      </c>
      <c r="D900" s="330" t="inlineStr">
        <is>
          <t xml:space="preserve">RAC</t>
        </is>
      </c>
      <c r="E900" s="330" t="inlineStr">
        <is>
          <t>Y</t>
        </is>
      </c>
      <c r="F900" s="330" t="inlineStr">
        <is>
          <t xml:space="preserve">대상 제품군이 아님: 에어컨</t>
        </is>
      </c>
      <c r="G900" s="256" t="s">
        <v>127</v>
      </c>
    </row>
    <row r="901" spans="1:15">
      <c r="A901" s="256" t="s">
        <v>285</v>
      </c>
      <c r="B901" s="256" t="s">
        <v>264</v>
      </c>
      <c r="C901" s="256" t="s">
        <v>1609</v>
      </c>
      <c r="D901" s="330" t="inlineStr">
        <is>
          <t xml:space="preserve">DW</t>
        </is>
      </c>
      <c r="E901" s="335" t="inlineStr">
        <is>
          <t>N</t>
        </is>
      </c>
      <c r="F901" s="330" t="inlineStr">
        <is>
          <t xml:space="preserve">수집 대상</t>
        </is>
      </c>
      <c r="G901" s="256" t="s">
        <v>127</v>
      </c>
      <c r="H901" s="256" t="s">
        <v>127</v>
      </c>
    </row>
    <row r="902" spans="1:15">
      <c r="A902" s="256" t="s">
        <v>285</v>
      </c>
      <c r="B902" s="256" t="s">
        <v>264</v>
      </c>
      <c r="C902" s="256" t="s">
        <v>1610</v>
      </c>
      <c r="D902" s="330" t="inlineStr">
        <is>
          <t xml:space="preserve">OVEN</t>
        </is>
      </c>
      <c r="E902" s="330" t="inlineStr">
        <is>
          <t>Y</t>
        </is>
      </c>
      <c r="F902" s="330" t="inlineStr">
        <is>
          <t xml:space="preserve">대상 제품군이 아님: 오븐·조리기기</t>
        </is>
      </c>
      <c r="G902" s="256" t="s">
        <v>127</v>
      </c>
    </row>
    <row r="903" spans="1:15">
      <c r="A903" s="256" t="s">
        <v>285</v>
      </c>
      <c r="B903" s="256" t="s">
        <v>264</v>
      </c>
      <c r="C903" s="256" t="s">
        <v>1611</v>
      </c>
      <c r="D903" s="330" t="inlineStr">
        <is>
          <t xml:space="preserve">DRYER</t>
        </is>
      </c>
      <c r="E903" s="335" t="inlineStr">
        <is>
          <t>N</t>
        </is>
      </c>
      <c r="F903" s="330" t="inlineStr">
        <is>
          <t xml:space="preserve">수집 대상</t>
        </is>
      </c>
      <c r="G903" s="256" t="s">
        <v>127</v>
      </c>
    </row>
    <row r="904" spans="1:15">
      <c r="A904" s="256" t="s">
        <v>237</v>
      </c>
      <c r="B904" s="256" t="s">
        <v>242</v>
      </c>
      <c r="C904" s="256" t="s">
        <v>1612</v>
      </c>
      <c r="D904" s="330" t="inlineStr">
        <is>
          <t xml:space="preserve">REF</t>
        </is>
      </c>
      <c r="E904" s="330" t="inlineStr">
        <is>
          <t>Y</t>
        </is>
      </c>
      <c r="F904" s="330" t="inlineStr">
        <is>
          <t xml:space="preserve">진단 대상 35개 국가·리테일러에 해당하지 않음</t>
        </is>
      </c>
    </row>
    <row r="905" spans="1:15">
      <c r="A905" s="256" t="s">
        <v>237</v>
      </c>
      <c r="B905" s="256" t="s">
        <v>242</v>
      </c>
      <c r="C905" s="256" t="s">
        <v>1613</v>
      </c>
      <c r="D905" s="330" t="inlineStr">
        <is>
          <t xml:space="preserve">WM</t>
        </is>
      </c>
      <c r="E905" s="330" t="inlineStr">
        <is>
          <t>Y</t>
        </is>
      </c>
      <c r="F905" s="330" t="inlineStr">
        <is>
          <t xml:space="preserve">진단 대상 35개 국가·리테일러에 해당하지 않음</t>
        </is>
      </c>
    </row>
    <row r="906" spans="1:15">
      <c r="A906" s="256" t="s">
        <v>237</v>
      </c>
      <c r="B906" s="256" t="s">
        <v>242</v>
      </c>
      <c r="C906" s="256" t="s">
        <v>1614</v>
      </c>
      <c r="D906" s="330" t="inlineStr">
        <is>
          <t xml:space="preserve">TV</t>
        </is>
      </c>
      <c r="E906" s="330" t="inlineStr">
        <is>
          <t>Y</t>
        </is>
      </c>
      <c r="F906" s="330" t="inlineStr">
        <is>
          <t xml:space="preserve">진단 대상 35개 국가·리테일러에 해당하지 않음</t>
        </is>
      </c>
    </row>
    <row r="907" spans="1:15">
      <c r="A907" s="256" t="s">
        <v>237</v>
      </c>
      <c r="B907" s="256" t="s">
        <v>242</v>
      </c>
      <c r="C907" s="256" t="s">
        <v>1615</v>
      </c>
      <c r="D907" s="330" t="inlineStr">
        <is>
          <t xml:space="preserve">MNT</t>
        </is>
      </c>
      <c r="E907" s="330" t="inlineStr">
        <is>
          <t>Y</t>
        </is>
      </c>
      <c r="F907" s="330" t="inlineStr">
        <is>
          <t xml:space="preserve">진단 대상 35개 국가·리테일러에 해당하지 않음</t>
        </is>
      </c>
    </row>
    <row r="908" spans="1:15">
      <c r="A908" s="256" t="s">
        <v>237</v>
      </c>
      <c r="B908" s="256" t="s">
        <v>242</v>
      </c>
      <c r="C908" s="256" t="s">
        <v>1616</v>
      </c>
      <c r="D908" s="330" t="inlineStr">
        <is>
          <t xml:space="preserve">BT_SPEAKER</t>
        </is>
      </c>
      <c r="E908" s="330" t="inlineStr">
        <is>
          <t>Y</t>
        </is>
      </c>
      <c r="F908" s="330" t="inlineStr">
        <is>
          <t xml:space="preserve">진단 대상 35개 국가·리테일러에 해당하지 않음</t>
        </is>
      </c>
    </row>
    <row r="909" spans="1:15">
      <c r="A909" s="256" t="s">
        <v>237</v>
      </c>
      <c r="B909" s="256" t="s">
        <v>242</v>
      </c>
      <c r="C909" s="256" t="s">
        <v>1617</v>
      </c>
      <c r="D909" s="330" t="inlineStr">
        <is>
          <t xml:space="preserve">SOUNDBAR</t>
        </is>
      </c>
      <c r="E909" s="330" t="inlineStr">
        <is>
          <t>Y</t>
        </is>
      </c>
      <c r="F909" s="330" t="inlineStr">
        <is>
          <t xml:space="preserve">진단 대상 35개 국가·리테일러에 해당하지 않음</t>
        </is>
      </c>
    </row>
    <row r="910" spans="1:15">
      <c r="A910" s="256" t="s">
        <v>237</v>
      </c>
      <c r="B910" s="256" t="s">
        <v>242</v>
      </c>
      <c r="C910" s="256" t="s">
        <v>1618</v>
      </c>
      <c r="D910" s="330" t="inlineStr">
        <is>
          <t xml:space="preserve">HEADSET</t>
        </is>
      </c>
      <c r="E910" s="330" t="inlineStr">
        <is>
          <t>Y</t>
        </is>
      </c>
      <c r="F910" s="330" t="inlineStr">
        <is>
          <t xml:space="preserve">진단 대상 35개 국가·리테일러에 해당하지 않음</t>
        </is>
      </c>
    </row>
    <row r="911" spans="1:15">
      <c r="A911" s="256" t="s">
        <v>237</v>
      </c>
      <c r="B911" s="256" t="s">
        <v>242</v>
      </c>
      <c r="C911" s="256" t="s">
        <v>1619</v>
      </c>
      <c r="D911" s="330" t="inlineStr">
        <is>
          <t xml:space="preserve">AIR_PURIFIER</t>
        </is>
      </c>
      <c r="E911" s="330" t="inlineStr">
        <is>
          <t>Y</t>
        </is>
      </c>
      <c r="F911" s="330" t="inlineStr">
        <is>
          <t xml:space="preserve">진단 대상 35개 국가·리테일러에 해당하지 않음</t>
        </is>
      </c>
    </row>
    <row r="912" spans="1:15">
      <c r="A912" s="256" t="s">
        <v>237</v>
      </c>
      <c r="B912" s="256" t="s">
        <v>242</v>
      </c>
      <c r="C912" s="256" t="s">
        <v>1620</v>
      </c>
      <c r="D912" s="330" t="inlineStr">
        <is>
          <t xml:space="preserve">RAC</t>
        </is>
      </c>
      <c r="E912" s="330" t="inlineStr">
        <is>
          <t>Y</t>
        </is>
      </c>
      <c r="F912" s="330" t="inlineStr">
        <is>
          <t xml:space="preserve">진단 대상 35개 국가·리테일러에 해당하지 않음</t>
        </is>
      </c>
    </row>
    <row r="913" spans="1:15">
      <c r="A913" s="256" t="s">
        <v>237</v>
      </c>
      <c r="B913" s="256" t="s">
        <v>242</v>
      </c>
      <c r="C913" s="256" t="s">
        <v>1621</v>
      </c>
      <c r="D913" s="330" t="inlineStr">
        <is>
          <t xml:space="preserve">DRYER</t>
        </is>
      </c>
      <c r="E913" s="330" t="inlineStr">
        <is>
          <t>Y</t>
        </is>
      </c>
      <c r="F913" s="330" t="inlineStr">
        <is>
          <t xml:space="preserve">진단 대상 35개 국가·리테일러에 해당하지 않음</t>
        </is>
      </c>
    </row>
    <row r="914" spans="1:15">
      <c r="A914" s="256" t="s">
        <v>237</v>
      </c>
      <c r="B914" s="256" t="s">
        <v>242</v>
      </c>
      <c r="C914" s="256" t="s">
        <v>1622</v>
      </c>
      <c r="D914" s="330" t="inlineStr">
        <is>
          <t xml:space="preserve">DRYER</t>
        </is>
      </c>
      <c r="E914" s="330" t="inlineStr">
        <is>
          <t>Y</t>
        </is>
      </c>
      <c r="F914" s="330" t="inlineStr">
        <is>
          <t xml:space="preserve">진단 대상 35개 국가·리테일러에 해당하지 않음</t>
        </is>
      </c>
    </row>
    <row r="915" spans="1:15">
      <c r="A915" s="256" t="s">
        <v>271</v>
      </c>
      <c r="B915" s="256" t="s">
        <v>273</v>
      </c>
      <c r="C915" s="256" t="s">
        <v>1623</v>
      </c>
      <c r="D915" s="330" t="inlineStr">
        <is>
          <t xml:space="preserve">TV</t>
        </is>
      </c>
      <c r="E915" s="330" t="inlineStr">
        <is>
          <t>Y</t>
        </is>
      </c>
      <c r="F915" s="330" t="inlineStr">
        <is>
          <t xml:space="preserve">대상 제품군이 아님: TV</t>
        </is>
      </c>
      <c r="G915" s="256" t="s">
        <v>127</v>
      </c>
    </row>
    <row r="916" spans="1:15">
      <c r="A916" s="256" t="s">
        <v>271</v>
      </c>
      <c r="B916" s="256" t="s">
        <v>273</v>
      </c>
      <c r="C916" s="256" t="s">
        <v>1624</v>
      </c>
      <c r="D916" s="330" t="inlineStr">
        <is>
          <t xml:space="preserve">TV</t>
        </is>
      </c>
      <c r="E916" s="330" t="inlineStr">
        <is>
          <t>Y</t>
        </is>
      </c>
      <c r="F916" s="330" t="inlineStr">
        <is>
          <t xml:space="preserve">대상 제품군이 아님: TV</t>
        </is>
      </c>
      <c r="G916" s="256" t="s">
        <v>127</v>
      </c>
    </row>
    <row r="917" spans="1:15">
      <c r="A917" s="256" t="s">
        <v>271</v>
      </c>
      <c r="B917" s="256" t="s">
        <v>273</v>
      </c>
      <c r="C917" s="256" t="s">
        <v>1625</v>
      </c>
      <c r="D917" s="330" t="inlineStr">
        <is>
          <t xml:space="preserve">TV</t>
        </is>
      </c>
      <c r="E917" s="330" t="inlineStr">
        <is>
          <t>Y</t>
        </is>
      </c>
      <c r="F917" s="330" t="inlineStr">
        <is>
          <t xml:space="preserve">대상 제품군이 아님: TV</t>
        </is>
      </c>
      <c r="G917" s="256" t="s">
        <v>127</v>
      </c>
    </row>
    <row r="918" spans="1:15">
      <c r="A918" s="256" t="s">
        <v>271</v>
      </c>
      <c r="B918" s="256" t="s">
        <v>273</v>
      </c>
      <c r="C918" s="256" t="s">
        <v>1626</v>
      </c>
      <c r="D918" s="330" t="inlineStr">
        <is>
          <t xml:space="preserve">TV</t>
        </is>
      </c>
      <c r="E918" s="330" t="inlineStr">
        <is>
          <t>Y</t>
        </is>
      </c>
      <c r="F918" s="330" t="inlineStr">
        <is>
          <t xml:space="preserve">대상 제품군이 아님: TV</t>
        </is>
      </c>
      <c r="G918" s="256" t="s">
        <v>127</v>
      </c>
    </row>
    <row r="919" spans="1:15">
      <c r="A919" s="256" t="s">
        <v>271</v>
      </c>
      <c r="B919" s="256" t="s">
        <v>273</v>
      </c>
      <c r="C919" s="256" t="s">
        <v>1627</v>
      </c>
      <c r="D919" s="330" t="inlineStr">
        <is>
          <t xml:space="preserve">TV</t>
        </is>
      </c>
      <c r="E919" s="330" t="inlineStr">
        <is>
          <t>Y</t>
        </is>
      </c>
      <c r="F919" s="330" t="inlineStr">
        <is>
          <t xml:space="preserve">대상 제품군이 아님: TV</t>
        </is>
      </c>
      <c r="G919" s="256" t="s">
        <v>127</v>
      </c>
    </row>
    <row r="920" spans="1:15">
      <c r="A920" s="256" t="s">
        <v>271</v>
      </c>
      <c r="B920" s="256" t="s">
        <v>273</v>
      </c>
      <c r="C920" s="256" t="s">
        <v>1628</v>
      </c>
      <c r="D920" s="330" t="inlineStr">
        <is>
          <t xml:space="preserve">TV</t>
        </is>
      </c>
      <c r="E920" s="330" t="inlineStr">
        <is>
          <t>Y</t>
        </is>
      </c>
      <c r="F920" s="330" t="inlineStr">
        <is>
          <t xml:space="preserve">대상 제품군이 아님: TV</t>
        </is>
      </c>
      <c r="G920" s="256" t="s">
        <v>127</v>
      </c>
    </row>
    <row r="921" spans="1:15">
      <c r="A921" s="256" t="s">
        <v>271</v>
      </c>
      <c r="B921" s="256" t="s">
        <v>273</v>
      </c>
      <c r="C921" s="256" t="s">
        <v>1629</v>
      </c>
      <c r="D921" s="330" t="inlineStr">
        <is>
          <t xml:space="preserve">WM</t>
        </is>
      </c>
      <c r="E921" s="335" t="inlineStr">
        <is>
          <t>N</t>
        </is>
      </c>
      <c r="F921" s="330" t="inlineStr">
        <is>
          <t xml:space="preserve">수집 대상</t>
        </is>
      </c>
      <c r="G921" s="256" t="s">
        <v>127</v>
      </c>
      <c r="H921" s="256" t="s">
        <v>127</v>
      </c>
    </row>
    <row r="922" spans="1:15">
      <c r="A922" s="256" t="s">
        <v>271</v>
      </c>
      <c r="B922" s="256" t="s">
        <v>273</v>
      </c>
      <c r="C922" s="256" t="s">
        <v>1630</v>
      </c>
      <c r="D922" s="330" t="inlineStr">
        <is>
          <t xml:space="preserve">REF</t>
        </is>
      </c>
      <c r="E922" s="335" t="inlineStr">
        <is>
          <t>N</t>
        </is>
      </c>
      <c r="F922" s="330" t="inlineStr">
        <is>
          <t xml:space="preserve">수집 대상</t>
        </is>
      </c>
      <c r="G922" s="256" t="s">
        <v>127</v>
      </c>
      <c r="H922" s="256" t="s">
        <v>127</v>
      </c>
    </row>
    <row r="923" spans="1:15">
      <c r="A923" s="256" t="s">
        <v>271</v>
      </c>
      <c r="B923" s="256" t="s">
        <v>273</v>
      </c>
      <c r="C923" s="256" t="s">
        <v>1631</v>
      </c>
      <c r="D923" s="330" t="inlineStr">
        <is>
          <t xml:space="preserve">BT_SPEAKER</t>
        </is>
      </c>
      <c r="E923" s="330" t="inlineStr">
        <is>
          <t>Y</t>
        </is>
      </c>
      <c r="F923" s="330" t="inlineStr">
        <is>
          <t xml:space="preserve">대상 제품군이 아님: 블루투스 스피커</t>
        </is>
      </c>
      <c r="G923" s="256" t="s">
        <v>127</v>
      </c>
    </row>
    <row r="924" spans="1:15">
      <c r="A924" s="256" t="s">
        <v>271</v>
      </c>
      <c r="B924" s="256" t="s">
        <v>273</v>
      </c>
      <c r="C924" s="256" t="s">
        <v>1632</v>
      </c>
      <c r="D924" s="330" t="inlineStr">
        <is>
          <t xml:space="preserve">SOUNDBAR</t>
        </is>
      </c>
      <c r="E924" s="330" t="inlineStr">
        <is>
          <t>Y</t>
        </is>
      </c>
      <c r="F924" s="330" t="inlineStr">
        <is>
          <t xml:space="preserve">대상 제품군이 아님: 사운드바</t>
        </is>
      </c>
      <c r="G924" s="256" t="s">
        <v>127</v>
      </c>
    </row>
    <row r="925" spans="1:15">
      <c r="A925" s="256" t="s">
        <v>271</v>
      </c>
      <c r="B925" s="256" t="s">
        <v>273</v>
      </c>
      <c r="C925" s="256" t="s">
        <v>1633</v>
      </c>
      <c r="D925" s="330" t="inlineStr">
        <is>
          <t xml:space="preserve">HEADSET</t>
        </is>
      </c>
      <c r="E925" s="330" t="inlineStr">
        <is>
          <t>Y</t>
        </is>
      </c>
      <c r="F925" s="330" t="inlineStr">
        <is>
          <t xml:space="preserve">대상 제품군이 아님: 이어폰·헤드셋</t>
        </is>
      </c>
      <c r="G925" s="256" t="s">
        <v>127</v>
      </c>
    </row>
    <row r="926" spans="1:15">
      <c r="A926" s="256" t="s">
        <v>271</v>
      </c>
      <c r="B926" s="256" t="s">
        <v>273</v>
      </c>
      <c r="C926" s="256" t="s">
        <v>1634</v>
      </c>
      <c r="D926" s="330" t="inlineStr">
        <is>
          <t xml:space="preserve">DRYER</t>
        </is>
      </c>
      <c r="E926" s="335" t="inlineStr">
        <is>
          <t>N</t>
        </is>
      </c>
      <c r="F926" s="330" t="inlineStr">
        <is>
          <t xml:space="preserve">수집 대상</t>
        </is>
      </c>
      <c r="G926" s="256" t="s">
        <v>127</v>
      </c>
    </row>
    <row r="927" spans="1:15">
      <c r="A927" s="256" t="s">
        <v>271</v>
      </c>
      <c r="B927" s="256" t="s">
        <v>273</v>
      </c>
      <c r="C927" s="256" t="s">
        <v>1635</v>
      </c>
      <c r="D927" s="330" t="inlineStr">
        <is>
          <t xml:space="preserve">MNT</t>
        </is>
      </c>
      <c r="E927" s="330" t="inlineStr">
        <is>
          <t>Y</t>
        </is>
      </c>
      <c r="F927" s="330" t="inlineStr">
        <is>
          <t xml:space="preserve">대상 제품군이 아님: 모니터</t>
        </is>
      </c>
      <c r="G927" s="256" t="s">
        <v>127</v>
      </c>
    </row>
    <row r="928" spans="1:15">
      <c r="A928" s="256" t="s">
        <v>271</v>
      </c>
      <c r="B928" s="256" t="s">
        <v>273</v>
      </c>
      <c r="C928" s="256" t="s">
        <v>1636</v>
      </c>
      <c r="D928" s="330" t="inlineStr">
        <is>
          <t xml:space="preserve">DW</t>
        </is>
      </c>
      <c r="E928" s="330" t="inlineStr">
        <is>
          <t>Y</t>
        </is>
      </c>
      <c r="F928" s="330" t="inlineStr">
        <is>
          <t xml:space="preserve">식기세척기는 스페인 ECI·MediaMarkt만 대상</t>
        </is>
      </c>
      <c r="G928" s="256" t="s">
        <v>127</v>
      </c>
    </row>
    <row r="929" spans="1:15">
      <c r="A929" s="256" t="s">
        <v>271</v>
      </c>
      <c r="B929" s="256" t="s">
        <v>273</v>
      </c>
      <c r="C929" s="256" t="s">
        <v>1637</v>
      </c>
      <c r="D929" s="330" t="inlineStr">
        <is>
          <t xml:space="preserve">OVEN</t>
        </is>
      </c>
      <c r="E929" s="330" t="inlineStr">
        <is>
          <t>Y</t>
        </is>
      </c>
      <c r="F929" s="330" t="inlineStr">
        <is>
          <t xml:space="preserve">대상 제품군이 아님: 오븐·조리기기</t>
        </is>
      </c>
      <c r="G929" s="256" t="s">
        <v>127</v>
      </c>
    </row>
    <row r="930" spans="1:15">
      <c r="A930" s="256" t="s">
        <v>271</v>
      </c>
      <c r="B930" s="256" t="s">
        <v>273</v>
      </c>
      <c r="C930" s="256" t="s">
        <v>1638</v>
      </c>
      <c r="D930" s="330" t="inlineStr">
        <is>
          <t xml:space="preserve">OVEN</t>
        </is>
      </c>
      <c r="E930" s="330" t="inlineStr">
        <is>
          <t>Y</t>
        </is>
      </c>
      <c r="F930" s="330" t="inlineStr">
        <is>
          <t xml:space="preserve">대상 제품군이 아님: 오븐·조리기기</t>
        </is>
      </c>
      <c r="G930" s="256" t="s">
        <v>127</v>
      </c>
    </row>
    <row r="931" spans="1:15">
      <c r="A931" s="256" t="s">
        <v>271</v>
      </c>
      <c r="B931" s="256" t="s">
        <v>273</v>
      </c>
      <c r="C931" s="256" t="s">
        <v>1639</v>
      </c>
      <c r="D931" s="330" t="inlineStr">
        <is>
          <t xml:space="preserve">RAC</t>
        </is>
      </c>
      <c r="E931" s="330" t="inlineStr">
        <is>
          <t>Y</t>
        </is>
      </c>
      <c r="F931" s="330" t="inlineStr">
        <is>
          <t xml:space="preserve">대상 제품군이 아님: 에어컨</t>
        </is>
      </c>
      <c r="G931" s="256" t="s">
        <v>127</v>
      </c>
    </row>
    <row r="932" spans="1:15">
      <c r="A932" s="256" t="s">
        <v>271</v>
      </c>
      <c r="B932" s="256" t="s">
        <v>273</v>
      </c>
      <c r="C932" s="256" t="s">
        <v>1640</v>
      </c>
      <c r="D932" s="330" t="inlineStr">
        <is>
          <t xml:space="preserve">RAC</t>
        </is>
      </c>
      <c r="E932" s="330" t="inlineStr">
        <is>
          <t>Y</t>
        </is>
      </c>
      <c r="F932" s="330" t="inlineStr">
        <is>
          <t xml:space="preserve">대상 제품군이 아님: 에어컨</t>
        </is>
      </c>
      <c r="G932" s="256" t="s">
        <v>127</v>
      </c>
    </row>
    <row r="933" spans="1:15">
      <c r="A933" s="256" t="s">
        <v>271</v>
      </c>
      <c r="B933" s="256" t="s">
        <v>273</v>
      </c>
      <c r="C933" s="256" t="s">
        <v>1641</v>
      </c>
      <c r="D933" s="330" t="inlineStr">
        <is>
          <t xml:space="preserve">RAC</t>
        </is>
      </c>
      <c r="E933" s="330" t="inlineStr">
        <is>
          <t>Y</t>
        </is>
      </c>
      <c r="F933" s="330" t="inlineStr">
        <is>
          <t xml:space="preserve">대상 제품군이 아님: 에어컨</t>
        </is>
      </c>
      <c r="G933" s="256" t="s">
        <v>127</v>
      </c>
    </row>
    <row r="934" spans="1:15">
      <c r="A934" s="256" t="s">
        <v>311</v>
      </c>
      <c r="B934" s="256" t="s">
        <v>312</v>
      </c>
      <c r="C934" s="256" t="s">
        <v>1642</v>
      </c>
      <c r="D934" s="330" t="inlineStr">
        <is>
          <t xml:space="preserve">REF</t>
        </is>
      </c>
      <c r="E934" s="330" t="inlineStr">
        <is>
          <t>Y</t>
        </is>
      </c>
      <c r="F934" s="330" t="inlineStr">
        <is>
          <t xml:space="preserve">진단 대상 35개 국가·리테일러에 해당하지 않음</t>
        </is>
      </c>
    </row>
    <row r="935" spans="1:15">
      <c r="A935" s="256" t="s">
        <v>311</v>
      </c>
      <c r="B935" s="256" t="s">
        <v>312</v>
      </c>
      <c r="C935" s="256" t="s">
        <v>1643</v>
      </c>
      <c r="D935" s="330" t="inlineStr">
        <is>
          <t xml:space="preserve">WM</t>
        </is>
      </c>
      <c r="E935" s="330" t="inlineStr">
        <is>
          <t>Y</t>
        </is>
      </c>
      <c r="F935" s="330" t="inlineStr">
        <is>
          <t xml:space="preserve">진단 대상 35개 국가·리테일러에 해당하지 않음</t>
        </is>
      </c>
    </row>
    <row r="936" spans="1:15">
      <c r="A936" s="256" t="s">
        <v>311</v>
      </c>
      <c r="B936" s="256" t="s">
        <v>312</v>
      </c>
      <c r="C936" s="256" t="s">
        <v>1644</v>
      </c>
      <c r="D936" s="330" t="inlineStr">
        <is>
          <t xml:space="preserve">MNT</t>
        </is>
      </c>
      <c r="E936" s="330" t="inlineStr">
        <is>
          <t>Y</t>
        </is>
      </c>
      <c r="F936" s="330" t="inlineStr">
        <is>
          <t xml:space="preserve">진단 대상 35개 국가·리테일러에 해당하지 않음</t>
        </is>
      </c>
    </row>
    <row r="937" spans="1:15">
      <c r="A937" s="256" t="s">
        <v>311</v>
      </c>
      <c r="B937" s="256" t="s">
        <v>312</v>
      </c>
      <c r="C937" s="256" t="s">
        <v>1645</v>
      </c>
      <c r="D937" s="330" t="inlineStr">
        <is>
          <t xml:space="preserve">RAC</t>
        </is>
      </c>
      <c r="E937" s="330" t="inlineStr">
        <is>
          <t>Y</t>
        </is>
      </c>
      <c r="F937" s="330" t="inlineStr">
        <is>
          <t xml:space="preserve">진단 대상 35개 국가·리테일러에 해당하지 않음</t>
        </is>
      </c>
    </row>
    <row r="938" spans="1:15">
      <c r="A938" s="256" t="s">
        <v>311</v>
      </c>
      <c r="B938" s="256" t="s">
        <v>312</v>
      </c>
      <c r="C938" s="256" t="s">
        <v>1646</v>
      </c>
      <c r="D938" s="330" t="inlineStr">
        <is>
          <t xml:space="preserve">BT_SPEAKER</t>
        </is>
      </c>
      <c r="E938" s="330" t="inlineStr">
        <is>
          <t>Y</t>
        </is>
      </c>
      <c r="F938" s="330" t="inlineStr">
        <is>
          <t xml:space="preserve">진단 대상 35개 국가·리테일러에 해당하지 않음</t>
        </is>
      </c>
    </row>
    <row r="939" spans="1:15">
      <c r="A939" s="256" t="s">
        <v>311</v>
      </c>
      <c r="B939" s="256" t="s">
        <v>312</v>
      </c>
      <c r="C939" s="256" t="s">
        <v>1647</v>
      </c>
      <c r="D939" s="330" t="inlineStr">
        <is>
          <t xml:space="preserve">SOUNDBAR</t>
        </is>
      </c>
      <c r="E939" s="330" t="inlineStr">
        <is>
          <t>Y</t>
        </is>
      </c>
      <c r="F939" s="330" t="inlineStr">
        <is>
          <t xml:space="preserve">진단 대상 35개 국가·리테일러에 해당하지 않음</t>
        </is>
      </c>
    </row>
    <row r="940" spans="1:15">
      <c r="A940" s="256" t="s">
        <v>311</v>
      </c>
      <c r="B940" s="256" t="s">
        <v>312</v>
      </c>
      <c r="C940" s="256" t="s">
        <v>1648</v>
      </c>
      <c r="D940" s="330" t="inlineStr">
        <is>
          <t xml:space="preserve">HEADSET</t>
        </is>
      </c>
      <c r="E940" s="330" t="inlineStr">
        <is>
          <t>Y</t>
        </is>
      </c>
      <c r="F940" s="330" t="inlineStr">
        <is>
          <t xml:space="preserve">진단 대상 35개 국가·리테일러에 해당하지 않음</t>
        </is>
      </c>
    </row>
    <row r="941" spans="1:15">
      <c r="A941" s="256" t="s">
        <v>311</v>
      </c>
      <c r="B941" s="256" t="s">
        <v>312</v>
      </c>
      <c r="C941" s="256" t="s">
        <v>1649</v>
      </c>
      <c r="D941" s="330" t="inlineStr">
        <is>
          <t xml:space="preserve">DRYER</t>
        </is>
      </c>
      <c r="E941" s="330" t="inlineStr">
        <is>
          <t>Y</t>
        </is>
      </c>
      <c r="F941" s="330" t="inlineStr">
        <is>
          <t xml:space="preserve">진단 대상 35개 국가·리테일러에 해당하지 않음</t>
        </is>
      </c>
    </row>
    <row r="942" spans="1:15">
      <c r="A942" s="256" t="s">
        <v>311</v>
      </c>
      <c r="B942" s="256" t="s">
        <v>312</v>
      </c>
      <c r="C942" s="256" t="s">
        <v>1650</v>
      </c>
      <c r="D942" s="330" t="inlineStr">
        <is>
          <t xml:space="preserve">TV</t>
        </is>
      </c>
      <c r="E942" s="330" t="inlineStr">
        <is>
          <t>Y</t>
        </is>
      </c>
      <c r="F942" s="330" t="inlineStr">
        <is>
          <t xml:space="preserve">진단 대상 35개 국가·리테일러에 해당하지 않음</t>
        </is>
      </c>
    </row>
    <row r="943" spans="1:15">
      <c r="A943" s="256" t="s">
        <v>311</v>
      </c>
      <c r="B943" s="256" t="s">
        <v>312</v>
      </c>
      <c r="C943" s="256" t="s">
        <v>1651</v>
      </c>
      <c r="D943" s="330" t="inlineStr">
        <is>
          <t xml:space="preserve">DRYER</t>
        </is>
      </c>
      <c r="E943" s="330" t="inlineStr">
        <is>
          <t>Y</t>
        </is>
      </c>
      <c r="F943" s="330" t="inlineStr">
        <is>
          <t xml:space="preserve">진단 대상 35개 국가·리테일러에 해당하지 않음</t>
        </is>
      </c>
    </row>
    <row r="944" spans="1:15">
      <c r="A944" s="256" t="s">
        <v>218</v>
      </c>
      <c r="B944" s="256" t="s">
        <v>219</v>
      </c>
      <c r="C944" s="256" t="s">
        <v>1652</v>
      </c>
      <c r="D944" s="330" t="inlineStr">
        <is>
          <t xml:space="preserve">REF</t>
        </is>
      </c>
      <c r="E944" s="335" t="inlineStr">
        <is>
          <t>N</t>
        </is>
      </c>
      <c r="F944" s="330" t="inlineStr">
        <is>
          <t xml:space="preserve">수집 대상</t>
        </is>
      </c>
      <c r="G944" s="256" t="s">
        <v>127</v>
      </c>
    </row>
    <row r="945" spans="1:15">
      <c r="A945" s="256" t="s">
        <v>218</v>
      </c>
      <c r="B945" s="256" t="s">
        <v>219</v>
      </c>
      <c r="C945" s="256" t="s">
        <v>1653</v>
      </c>
      <c r="D945" s="330" t="inlineStr">
        <is>
          <t xml:space="preserve">REF</t>
        </is>
      </c>
      <c r="E945" s="335" t="inlineStr">
        <is>
          <t>N</t>
        </is>
      </c>
      <c r="F945" s="330" t="inlineStr">
        <is>
          <t xml:space="preserve">수집 대상</t>
        </is>
      </c>
      <c r="G945" s="256" t="s">
        <v>127</v>
      </c>
    </row>
    <row r="946" spans="1:15">
      <c r="A946" s="256" t="s">
        <v>218</v>
      </c>
      <c r="B946" s="256" t="s">
        <v>219</v>
      </c>
      <c r="C946" s="256" t="s">
        <v>1654</v>
      </c>
      <c r="D946" s="330" t="inlineStr">
        <is>
          <t xml:space="preserve">REF</t>
        </is>
      </c>
      <c r="E946" s="335" t="inlineStr">
        <is>
          <t>N</t>
        </is>
      </c>
      <c r="F946" s="330" t="inlineStr">
        <is>
          <t xml:space="preserve">수집 대상</t>
        </is>
      </c>
      <c r="G946" s="256" t="s">
        <v>127</v>
      </c>
    </row>
    <row r="947" spans="1:15">
      <c r="A947" s="256" t="s">
        <v>218</v>
      </c>
      <c r="B947" s="256" t="s">
        <v>219</v>
      </c>
      <c r="C947" s="256" t="s">
        <v>1655</v>
      </c>
      <c r="D947" s="330" t="inlineStr">
        <is>
          <t xml:space="preserve">WM</t>
        </is>
      </c>
      <c r="E947" s="335" t="inlineStr">
        <is>
          <t>N</t>
        </is>
      </c>
      <c r="F947" s="330" t="inlineStr">
        <is>
          <t xml:space="preserve">수집 대상</t>
        </is>
      </c>
      <c r="G947" s="256" t="s">
        <v>127</v>
      </c>
    </row>
    <row r="948" spans="1:15">
      <c r="A948" s="256" t="s">
        <v>218</v>
      </c>
      <c r="B948" s="256" t="s">
        <v>219</v>
      </c>
      <c r="C948" s="256" t="s">
        <v>1656</v>
      </c>
      <c r="D948" s="330" t="inlineStr">
        <is>
          <t xml:space="preserve">WM</t>
        </is>
      </c>
      <c r="E948" s="335" t="inlineStr">
        <is>
          <t>N</t>
        </is>
      </c>
      <c r="F948" s="330" t="inlineStr">
        <is>
          <t xml:space="preserve">수집 대상</t>
        </is>
      </c>
      <c r="G948" s="256" t="s">
        <v>127</v>
      </c>
    </row>
    <row r="949" spans="1:15">
      <c r="A949" s="256" t="s">
        <v>218</v>
      </c>
      <c r="B949" s="256" t="s">
        <v>219</v>
      </c>
      <c r="C949" s="256" t="s">
        <v>1657</v>
      </c>
      <c r="D949" s="330" t="inlineStr">
        <is>
          <t xml:space="preserve">WM</t>
        </is>
      </c>
      <c r="E949" s="335" t="inlineStr">
        <is>
          <t>N</t>
        </is>
      </c>
      <c r="F949" s="330" t="inlineStr">
        <is>
          <t xml:space="preserve">수집 대상</t>
        </is>
      </c>
      <c r="G949" s="256" t="s">
        <v>127</v>
      </c>
    </row>
    <row r="950" spans="1:15">
      <c r="A950" s="256" t="s">
        <v>218</v>
      </c>
      <c r="B950" s="256" t="s">
        <v>219</v>
      </c>
      <c r="C950" s="256" t="s">
        <v>1658</v>
      </c>
      <c r="D950" s="330" t="inlineStr">
        <is>
          <t xml:space="preserve">WM</t>
        </is>
      </c>
      <c r="E950" s="335" t="inlineStr">
        <is>
          <t>N</t>
        </is>
      </c>
      <c r="F950" s="330" t="inlineStr">
        <is>
          <t xml:space="preserve">수집 대상</t>
        </is>
      </c>
      <c r="G950" s="256" t="s">
        <v>127</v>
      </c>
    </row>
    <row r="951" spans="1:15">
      <c r="A951" s="256" t="s">
        <v>218</v>
      </c>
      <c r="B951" s="256" t="s">
        <v>219</v>
      </c>
      <c r="C951" s="256" t="s">
        <v>1659</v>
      </c>
      <c r="D951" s="330" t="inlineStr">
        <is>
          <t xml:space="preserve">WM</t>
        </is>
      </c>
      <c r="E951" s="335" t="inlineStr">
        <is>
          <t>N</t>
        </is>
      </c>
      <c r="F951" s="330" t="inlineStr">
        <is>
          <t xml:space="preserve">수집 대상</t>
        </is>
      </c>
      <c r="G951" s="256" t="s">
        <v>127</v>
      </c>
    </row>
    <row r="952" spans="1:15">
      <c r="A952" s="256" t="s">
        <v>218</v>
      </c>
      <c r="B952" s="256" t="s">
        <v>219</v>
      </c>
      <c r="C952" s="256" t="s">
        <v>1660</v>
      </c>
      <c r="D952" s="330" t="inlineStr">
        <is>
          <t xml:space="preserve">TV</t>
        </is>
      </c>
      <c r="E952" s="330" t="inlineStr">
        <is>
          <t>Y</t>
        </is>
      </c>
      <c r="F952" s="330" t="inlineStr">
        <is>
          <t xml:space="preserve">대상 제품군이 아님: TV</t>
        </is>
      </c>
      <c r="G952" s="256" t="s">
        <v>127</v>
      </c>
    </row>
    <row r="953" spans="1:15">
      <c r="A953" s="256" t="s">
        <v>218</v>
      </c>
      <c r="B953" s="256" t="s">
        <v>219</v>
      </c>
      <c r="C953" s="256" t="s">
        <v>1661</v>
      </c>
      <c r="D953" s="330" t="inlineStr">
        <is>
          <t xml:space="preserve">TV</t>
        </is>
      </c>
      <c r="E953" s="330" t="inlineStr">
        <is>
          <t>Y</t>
        </is>
      </c>
      <c r="F953" s="330" t="inlineStr">
        <is>
          <t xml:space="preserve">대상 제품군이 아님: TV</t>
        </is>
      </c>
      <c r="G953" s="256" t="s">
        <v>127</v>
      </c>
    </row>
    <row r="954" spans="1:15">
      <c r="A954" s="256" t="s">
        <v>218</v>
      </c>
      <c r="B954" s="256" t="s">
        <v>219</v>
      </c>
      <c r="C954" s="256" t="s">
        <v>1662</v>
      </c>
      <c r="D954" s="330" t="inlineStr">
        <is>
          <t xml:space="preserve">BT_SPEAKER</t>
        </is>
      </c>
      <c r="E954" s="330" t="inlineStr">
        <is>
          <t>Y</t>
        </is>
      </c>
      <c r="F954" s="330" t="inlineStr">
        <is>
          <t xml:space="preserve">대상 제품군이 아님: 블루투스 스피커</t>
        </is>
      </c>
      <c r="G954" s="256" t="s">
        <v>127</v>
      </c>
    </row>
    <row r="955" spans="1:15">
      <c r="A955" s="256" t="s">
        <v>218</v>
      </c>
      <c r="B955" s="256" t="s">
        <v>219</v>
      </c>
      <c r="C955" s="256" t="s">
        <v>1663</v>
      </c>
      <c r="D955" s="330" t="inlineStr">
        <is>
          <t xml:space="preserve">HEADSET</t>
        </is>
      </c>
      <c r="E955" s="330" t="inlineStr">
        <is>
          <t>Y</t>
        </is>
      </c>
      <c r="F955" s="330" t="inlineStr">
        <is>
          <t xml:space="preserve">대상 제품군이 아님: 이어폰·헤드셋</t>
        </is>
      </c>
      <c r="G955" s="256" t="s">
        <v>127</v>
      </c>
    </row>
    <row r="956" spans="1:15">
      <c r="A956" s="256" t="s">
        <v>218</v>
      </c>
      <c r="B956" s="256" t="s">
        <v>219</v>
      </c>
      <c r="C956" s="256" t="s">
        <v>1664</v>
      </c>
      <c r="D956" s="330" t="inlineStr">
        <is>
          <t xml:space="preserve">SOUNDBAR</t>
        </is>
      </c>
      <c r="E956" s="330" t="inlineStr">
        <is>
          <t>Y</t>
        </is>
      </c>
      <c r="F956" s="330" t="inlineStr">
        <is>
          <t xml:space="preserve">대상 제품군이 아님: 사운드바</t>
        </is>
      </c>
      <c r="G956" s="256" t="s">
        <v>127</v>
      </c>
    </row>
    <row r="957" spans="1:15">
      <c r="A957" s="256" t="s">
        <v>218</v>
      </c>
      <c r="B957" s="256" t="s">
        <v>219</v>
      </c>
      <c r="C957" s="256" t="s">
        <v>1665</v>
      </c>
      <c r="D957" s="330" t="inlineStr">
        <is>
          <t xml:space="preserve">BT_SPEAKER</t>
        </is>
      </c>
      <c r="E957" s="330" t="inlineStr">
        <is>
          <t>Y</t>
        </is>
      </c>
      <c r="F957" s="330" t="inlineStr">
        <is>
          <t xml:space="preserve">대상 제품군이 아님: 블루투스 스피커</t>
        </is>
      </c>
      <c r="G957" s="256" t="s">
        <v>127</v>
      </c>
    </row>
    <row r="958" spans="1:15">
      <c r="A958" s="256" t="s">
        <v>218</v>
      </c>
      <c r="B958" s="256" t="s">
        <v>219</v>
      </c>
      <c r="C958" s="256" t="s">
        <v>1666</v>
      </c>
      <c r="D958" s="330" t="inlineStr">
        <is>
          <t xml:space="preserve">AIR_PURIFIER</t>
        </is>
      </c>
      <c r="E958" s="330" t="inlineStr">
        <is>
          <t>Y</t>
        </is>
      </c>
      <c r="F958" s="330" t="inlineStr">
        <is>
          <t xml:space="preserve">대상 제품군이 아님: 공기청정기</t>
        </is>
      </c>
      <c r="G958" s="256" t="s">
        <v>127</v>
      </c>
    </row>
    <row r="959" spans="1:15">
      <c r="A959" s="256" t="s">
        <v>218</v>
      </c>
      <c r="B959" s="256" t="s">
        <v>219</v>
      </c>
      <c r="C959" s="256" t="s">
        <v>1667</v>
      </c>
      <c r="D959" s="330" t="inlineStr">
        <is>
          <t xml:space="preserve">VACUUM</t>
        </is>
      </c>
      <c r="E959" s="330" t="inlineStr">
        <is>
          <t>Y</t>
        </is>
      </c>
      <c r="F959" s="330" t="inlineStr">
        <is>
          <t xml:space="preserve">대상 제품군이 아님: 청소기</t>
        </is>
      </c>
      <c r="G959" s="256" t="s">
        <v>127</v>
      </c>
    </row>
    <row r="960" spans="1:15">
      <c r="A960" s="256" t="s">
        <v>218</v>
      </c>
      <c r="B960" s="256" t="s">
        <v>219</v>
      </c>
      <c r="C960" s="256" t="s">
        <v>1668</v>
      </c>
      <c r="D960" s="330" t="inlineStr">
        <is>
          <t xml:space="preserve">VACUUM</t>
        </is>
      </c>
      <c r="E960" s="330" t="inlineStr">
        <is>
          <t>Y</t>
        </is>
      </c>
      <c r="F960" s="330" t="inlineStr">
        <is>
          <t xml:space="preserve">대상 제품군이 아님: 청소기</t>
        </is>
      </c>
      <c r="G960" s="256" t="s">
        <v>127</v>
      </c>
    </row>
    <row r="961" spans="1:15">
      <c r="A961" s="256" t="s">
        <v>218</v>
      </c>
      <c r="B961" s="256" t="s">
        <v>219</v>
      </c>
      <c r="C961" s="256" t="s">
        <v>1669</v>
      </c>
      <c r="D961" s="330" t="inlineStr">
        <is>
          <t xml:space="preserve">DRYER</t>
        </is>
      </c>
      <c r="E961" s="335" t="inlineStr">
        <is>
          <t>N</t>
        </is>
      </c>
      <c r="F961" s="330" t="inlineStr">
        <is>
          <t xml:space="preserve">수집 대상</t>
        </is>
      </c>
      <c r="G961" s="256" t="s">
        <v>127</v>
      </c>
    </row>
    <row r="962" spans="1:15">
      <c r="A962" s="256" t="s">
        <v>218</v>
      </c>
      <c r="B962" s="256" t="s">
        <v>219</v>
      </c>
      <c r="C962" s="256" t="s">
        <v>1670</v>
      </c>
      <c r="D962" s="330" t="inlineStr">
        <is>
          <t xml:space="preserve">LAPTOP</t>
        </is>
      </c>
      <c r="E962" s="330" t="inlineStr">
        <is>
          <t>Y</t>
        </is>
      </c>
      <c r="F962" s="330" t="inlineStr">
        <is>
          <t xml:space="preserve">대상 제품군이 아님: 노트북</t>
        </is>
      </c>
      <c r="G962" s="256" t="s">
        <v>127</v>
      </c>
    </row>
    <row r="963" spans="1:15">
      <c r="A963" s="256" t="s">
        <v>218</v>
      </c>
      <c r="B963" s="256" t="s">
        <v>219</v>
      </c>
      <c r="C963" s="256" t="s">
        <v>1671</v>
      </c>
      <c r="D963" s="330" t="inlineStr">
        <is>
          <t xml:space="preserve">STYLER</t>
        </is>
      </c>
      <c r="E963" s="330" t="inlineStr">
        <is>
          <t>Y</t>
        </is>
      </c>
      <c r="F963" s="330" t="inlineStr">
        <is>
          <t xml:space="preserve">스타일러는 수집 대상에서 제외</t>
        </is>
      </c>
      <c r="G963" s="256" t="s">
        <v>127</v>
      </c>
    </row>
    <row r="964" spans="1:15">
      <c r="A964" s="256" t="s">
        <v>218</v>
      </c>
      <c r="B964" s="256" t="s">
        <v>219</v>
      </c>
      <c r="C964" s="256" t="s">
        <v>1672</v>
      </c>
      <c r="D964" s="330" t="inlineStr">
        <is>
          <t xml:space="preserve">RAC</t>
        </is>
      </c>
      <c r="E964" s="330" t="inlineStr">
        <is>
          <t>Y</t>
        </is>
      </c>
      <c r="F964" s="330" t="inlineStr">
        <is>
          <t xml:space="preserve">대상 제품군이 아님: 에어컨</t>
        </is>
      </c>
      <c r="G964" s="256" t="s">
        <v>127</v>
      </c>
    </row>
    <row r="965" spans="1:15">
      <c r="A965" s="256" t="s">
        <v>218</v>
      </c>
      <c r="B965" s="256" t="s">
        <v>219</v>
      </c>
      <c r="C965" s="256" t="s">
        <v>1673</v>
      </c>
      <c r="D965" s="330" t="inlineStr">
        <is>
          <t xml:space="preserve">WM</t>
        </is>
      </c>
      <c r="E965" s="335" t="inlineStr">
        <is>
          <t>N</t>
        </is>
      </c>
      <c r="F965" s="330" t="inlineStr">
        <is>
          <t xml:space="preserve">수집 대상</t>
        </is>
      </c>
      <c r="G965" s="256" t="s">
        <v>127</v>
      </c>
    </row>
    <row r="966" spans="1:15">
      <c r="A966" s="256" t="s">
        <v>218</v>
      </c>
      <c r="B966" s="256" t="s">
        <v>219</v>
      </c>
      <c r="C966" s="256" t="s">
        <v>1674</v>
      </c>
      <c r="D966" s="330" t="inlineStr">
        <is>
          <t xml:space="preserve">WM</t>
        </is>
      </c>
      <c r="E966" s="335" t="inlineStr">
        <is>
          <t>N</t>
        </is>
      </c>
      <c r="F966" s="330" t="inlineStr">
        <is>
          <t xml:space="preserve">수집 대상</t>
        </is>
      </c>
      <c r="G966" s="256" t="s">
        <v>127</v>
      </c>
    </row>
    <row r="967" spans="1:15">
      <c r="A967" s="256" t="s">
        <v>218</v>
      </c>
      <c r="B967" s="256" t="s">
        <v>219</v>
      </c>
      <c r="C967" s="256" t="s">
        <v>1675</v>
      </c>
      <c r="D967" s="330" t="inlineStr">
        <is>
          <t xml:space="preserve">WM</t>
        </is>
      </c>
      <c r="E967" s="335" t="inlineStr">
        <is>
          <t>N</t>
        </is>
      </c>
      <c r="F967" s="330" t="inlineStr">
        <is>
          <t xml:space="preserve">수집 대상</t>
        </is>
      </c>
      <c r="G967" s="256" t="s">
        <v>127</v>
      </c>
    </row>
    <row r="968" spans="1:15">
      <c r="A968" s="256" t="s">
        <v>218</v>
      </c>
      <c r="B968" s="256" t="s">
        <v>219</v>
      </c>
      <c r="C968" s="256" t="s">
        <v>1676</v>
      </c>
      <c r="D968" s="330" t="inlineStr">
        <is>
          <t xml:space="preserve">WM</t>
        </is>
      </c>
      <c r="E968" s="335" t="inlineStr">
        <is>
          <t>N</t>
        </is>
      </c>
      <c r="F968" s="330" t="inlineStr">
        <is>
          <t xml:space="preserve">수집 대상</t>
        </is>
      </c>
      <c r="G968" s="256" t="s">
        <v>127</v>
      </c>
    </row>
    <row r="969" spans="1:15">
      <c r="A969" s="256" t="s">
        <v>218</v>
      </c>
      <c r="B969" s="256" t="s">
        <v>219</v>
      </c>
      <c r="C969" s="256" t="s">
        <v>1677</v>
      </c>
      <c r="D969" s="330" t="inlineStr">
        <is>
          <t xml:space="preserve">WM</t>
        </is>
      </c>
      <c r="E969" s="335" t="inlineStr">
        <is>
          <t>N</t>
        </is>
      </c>
      <c r="F969" s="330" t="inlineStr">
        <is>
          <t xml:space="preserve">수집 대상</t>
        </is>
      </c>
      <c r="G969" s="256" t="s">
        <v>127</v>
      </c>
    </row>
    <row r="970" spans="1:15">
      <c r="A970" s="256" t="s">
        <v>218</v>
      </c>
      <c r="B970" s="256" t="s">
        <v>219</v>
      </c>
      <c r="C970" s="256" t="s">
        <v>1678</v>
      </c>
      <c r="D970" s="330" t="inlineStr">
        <is>
          <t xml:space="preserve">WM</t>
        </is>
      </c>
      <c r="E970" s="335" t="inlineStr">
        <is>
          <t>N</t>
        </is>
      </c>
      <c r="F970" s="330" t="inlineStr">
        <is>
          <t xml:space="preserve">수집 대상</t>
        </is>
      </c>
      <c r="G970" s="256" t="s">
        <v>127</v>
      </c>
    </row>
    <row r="971" spans="1:15">
      <c r="A971" s="256" t="s">
        <v>218</v>
      </c>
      <c r="B971" s="256" t="s">
        <v>219</v>
      </c>
      <c r="C971" s="256" t="s">
        <v>1679</v>
      </c>
      <c r="D971" s="330" t="inlineStr">
        <is>
          <t xml:space="preserve">TV</t>
        </is>
      </c>
      <c r="E971" s="330" t="inlineStr">
        <is>
          <t>Y</t>
        </is>
      </c>
      <c r="F971" s="330" t="inlineStr">
        <is>
          <t xml:space="preserve">대상 제품군이 아님: TV</t>
        </is>
      </c>
      <c r="G971" s="256" t="s">
        <v>127</v>
      </c>
    </row>
    <row r="972" spans="1:15">
      <c r="A972" s="256" t="s">
        <v>218</v>
      </c>
      <c r="B972" s="256" t="s">
        <v>219</v>
      </c>
      <c r="C972" s="256" t="s">
        <v>1680</v>
      </c>
      <c r="D972" s="330" t="inlineStr">
        <is>
          <t xml:space="preserve">MNT</t>
        </is>
      </c>
      <c r="E972" s="330" t="inlineStr">
        <is>
          <t>Y</t>
        </is>
      </c>
      <c r="F972" s="330" t="inlineStr">
        <is>
          <t xml:space="preserve">대상 제품군이 아님: 모니터</t>
        </is>
      </c>
      <c r="G972" s="256" t="s">
        <v>127</v>
      </c>
    </row>
    <row r="973" spans="1:15">
      <c r="A973" s="256" t="s">
        <v>218</v>
      </c>
      <c r="B973" s="256" t="s">
        <v>219</v>
      </c>
      <c r="C973" s="256" t="s">
        <v>1681</v>
      </c>
      <c r="D973" s="330" t="inlineStr">
        <is>
          <t xml:space="preserve">MNT</t>
        </is>
      </c>
      <c r="E973" s="330" t="inlineStr">
        <is>
          <t>Y</t>
        </is>
      </c>
      <c r="F973" s="330" t="inlineStr">
        <is>
          <t xml:space="preserve">대상 제품군이 아님: 모니터</t>
        </is>
      </c>
      <c r="G973" s="256" t="s">
        <v>127</v>
      </c>
    </row>
    <row r="974" spans="1:15">
      <c r="A974" s="256" t="s">
        <v>218</v>
      </c>
      <c r="B974" s="256" t="s">
        <v>219</v>
      </c>
      <c r="C974" s="256" t="s">
        <v>1682</v>
      </c>
      <c r="D974" s="330" t="inlineStr">
        <is>
          <t xml:space="preserve">MNT</t>
        </is>
      </c>
      <c r="E974" s="330" t="inlineStr">
        <is>
          <t>Y</t>
        </is>
      </c>
      <c r="F974" s="330" t="inlineStr">
        <is>
          <t xml:space="preserve">대상 제품군이 아님: 모니터</t>
        </is>
      </c>
      <c r="G974" s="256" t="s">
        <v>127</v>
      </c>
    </row>
    <row r="975" spans="1:15">
      <c r="A975" s="256" t="s">
        <v>218</v>
      </c>
      <c r="B975" s="256" t="s">
        <v>219</v>
      </c>
      <c r="C975" s="256" t="s">
        <v>1683</v>
      </c>
      <c r="D975" s="330" t="inlineStr">
        <is>
          <t xml:space="preserve">MNT</t>
        </is>
      </c>
      <c r="E975" s="330" t="inlineStr">
        <is>
          <t>Y</t>
        </is>
      </c>
      <c r="F975" s="330" t="inlineStr">
        <is>
          <t xml:space="preserve">대상 제품군이 아님: 모니터</t>
        </is>
      </c>
      <c r="G975" s="256" t="s">
        <v>127</v>
      </c>
    </row>
    <row r="976" spans="1:15">
      <c r="A976" s="256" t="s">
        <v>218</v>
      </c>
      <c r="B976" s="256" t="s">
        <v>219</v>
      </c>
      <c r="C976" s="256" t="s">
        <v>1684</v>
      </c>
      <c r="D976" s="330" t="inlineStr">
        <is>
          <t xml:space="preserve">MNT</t>
        </is>
      </c>
      <c r="E976" s="330" t="inlineStr">
        <is>
          <t>Y</t>
        </is>
      </c>
      <c r="F976" s="330" t="inlineStr">
        <is>
          <t xml:space="preserve">대상 제품군이 아님: 모니터</t>
        </is>
      </c>
      <c r="G976" s="256" t="s">
        <v>127</v>
      </c>
    </row>
    <row r="977" spans="1:15">
      <c r="A977" s="256" t="s">
        <v>218</v>
      </c>
      <c r="B977" s="256" t="s">
        <v>219</v>
      </c>
      <c r="C977" s="256" t="s">
        <v>1685</v>
      </c>
      <c r="D977" s="330" t="inlineStr">
        <is>
          <t xml:space="preserve">MNT</t>
        </is>
      </c>
      <c r="E977" s="330" t="inlineStr">
        <is>
          <t>Y</t>
        </is>
      </c>
      <c r="F977" s="330" t="inlineStr">
        <is>
          <t xml:space="preserve">대상 제품군이 아님: 모니터</t>
        </is>
      </c>
      <c r="G977" s="256" t="s">
        <v>127</v>
      </c>
    </row>
    <row r="978" spans="1:15">
      <c r="A978" s="256" t="s">
        <v>218</v>
      </c>
      <c r="B978" s="256" t="s">
        <v>219</v>
      </c>
      <c r="C978" s="256" t="s">
        <v>1686</v>
      </c>
      <c r="D978" s="330" t="inlineStr">
        <is>
          <t xml:space="preserve">MNT</t>
        </is>
      </c>
      <c r="E978" s="330" t="inlineStr">
        <is>
          <t>Y</t>
        </is>
      </c>
      <c r="F978" s="330" t="inlineStr">
        <is>
          <t xml:space="preserve">대상 제품군이 아님: 모니터</t>
        </is>
      </c>
      <c r="G978" s="256" t="s">
        <v>127</v>
      </c>
    </row>
    <row r="979" spans="1:15">
      <c r="A979" s="256" t="s">
        <v>218</v>
      </c>
      <c r="B979" s="256" t="s">
        <v>219</v>
      </c>
      <c r="C979" s="256" t="s">
        <v>1687</v>
      </c>
      <c r="D979" s="330" t="inlineStr">
        <is>
          <t xml:space="preserve">MNT</t>
        </is>
      </c>
      <c r="E979" s="330" t="inlineStr">
        <is>
          <t>Y</t>
        </is>
      </c>
      <c r="F979" s="330" t="inlineStr">
        <is>
          <t xml:space="preserve">대상 제품군이 아님: 모니터</t>
        </is>
      </c>
      <c r="G979" s="256" t="s">
        <v>127</v>
      </c>
    </row>
    <row r="980" spans="1:15">
      <c r="A980" s="256" t="s">
        <v>218</v>
      </c>
      <c r="B980" s="256" t="s">
        <v>219</v>
      </c>
      <c r="C980" s="256" t="s">
        <v>1688</v>
      </c>
      <c r="D980" s="330" t="inlineStr">
        <is>
          <t xml:space="preserve">MNT</t>
        </is>
      </c>
      <c r="E980" s="330" t="inlineStr">
        <is>
          <t>Y</t>
        </is>
      </c>
      <c r="F980" s="330" t="inlineStr">
        <is>
          <t xml:space="preserve">대상 제품군이 아님: 모니터</t>
        </is>
      </c>
      <c r="G980" s="256" t="s">
        <v>127</v>
      </c>
    </row>
    <row r="981" spans="1:15">
      <c r="A981" s="256" t="s">
        <v>218</v>
      </c>
      <c r="B981" s="256" t="s">
        <v>219</v>
      </c>
      <c r="C981" s="256" t="s">
        <v>1689</v>
      </c>
      <c r="D981" s="330" t="inlineStr">
        <is>
          <t xml:space="preserve">MNT</t>
        </is>
      </c>
      <c r="E981" s="330" t="inlineStr">
        <is>
          <t>Y</t>
        </is>
      </c>
      <c r="F981" s="330" t="inlineStr">
        <is>
          <t xml:space="preserve">대상 제품군이 아님: 모니터</t>
        </is>
      </c>
      <c r="G981" s="256" t="s">
        <v>127</v>
      </c>
    </row>
    <row r="982" spans="1:15">
      <c r="A982" s="256" t="s">
        <v>218</v>
      </c>
      <c r="B982" s="256" t="s">
        <v>219</v>
      </c>
      <c r="C982" s="256" t="s">
        <v>1690</v>
      </c>
      <c r="D982" s="330" t="inlineStr">
        <is>
          <t xml:space="preserve">MNT</t>
        </is>
      </c>
      <c r="E982" s="330" t="inlineStr">
        <is>
          <t>Y</t>
        </is>
      </c>
      <c r="F982" s="330" t="inlineStr">
        <is>
          <t xml:space="preserve">대상 제품군이 아님: 모니터</t>
        </is>
      </c>
      <c r="G982" s="256" t="s">
        <v>127</v>
      </c>
    </row>
    <row r="983" spans="1:15">
      <c r="A983" s="256" t="s">
        <v>218</v>
      </c>
      <c r="B983" s="256" t="s">
        <v>219</v>
      </c>
      <c r="C983" s="256" t="s">
        <v>1691</v>
      </c>
      <c r="D983" s="330" t="inlineStr">
        <is>
          <t xml:space="preserve">MNT</t>
        </is>
      </c>
      <c r="E983" s="330" t="inlineStr">
        <is>
          <t>Y</t>
        </is>
      </c>
      <c r="F983" s="330" t="inlineStr">
        <is>
          <t xml:space="preserve">대상 제품군이 아님: 모니터</t>
        </is>
      </c>
      <c r="G983" s="256" t="s">
        <v>127</v>
      </c>
    </row>
    <row r="984" spans="1:15">
      <c r="A984" s="256" t="s">
        <v>218</v>
      </c>
      <c r="B984" s="256" t="s">
        <v>219</v>
      </c>
      <c r="C984" s="256" t="s">
        <v>1692</v>
      </c>
      <c r="D984" s="330" t="inlineStr">
        <is>
          <t xml:space="preserve">MNT</t>
        </is>
      </c>
      <c r="E984" s="330" t="inlineStr">
        <is>
          <t>Y</t>
        </is>
      </c>
      <c r="F984" s="330" t="inlineStr">
        <is>
          <t xml:space="preserve">대상 제품군이 아님: 모니터</t>
        </is>
      </c>
      <c r="G984" s="256" t="s">
        <v>127</v>
      </c>
    </row>
    <row r="985" spans="1:15">
      <c r="A985" s="256" t="s">
        <v>218</v>
      </c>
      <c r="B985" s="256" t="s">
        <v>219</v>
      </c>
      <c r="C985" s="256" t="s">
        <v>1693</v>
      </c>
      <c r="D985" s="330" t="inlineStr">
        <is>
          <t xml:space="preserve">MNT</t>
        </is>
      </c>
      <c r="E985" s="330" t="inlineStr">
        <is>
          <t>Y</t>
        </is>
      </c>
      <c r="F985" s="330" t="inlineStr">
        <is>
          <t xml:space="preserve">대상 제품군이 아님: 모니터</t>
        </is>
      </c>
      <c r="G985" s="256" t="s">
        <v>127</v>
      </c>
    </row>
    <row r="986" spans="1:15">
      <c r="A986" s="256" t="s">
        <v>218</v>
      </c>
      <c r="B986" s="256" t="s">
        <v>219</v>
      </c>
      <c r="C986" s="256" t="s">
        <v>1694</v>
      </c>
      <c r="D986" s="330" t="inlineStr">
        <is>
          <t xml:space="preserve">MNT</t>
        </is>
      </c>
      <c r="E986" s="330" t="inlineStr">
        <is>
          <t>Y</t>
        </is>
      </c>
      <c r="F986" s="330" t="inlineStr">
        <is>
          <t xml:space="preserve">대상 제품군이 아님: 모니터</t>
        </is>
      </c>
      <c r="G986" s="256" t="s">
        <v>127</v>
      </c>
    </row>
    <row r="987" spans="1:15">
      <c r="A987" s="256" t="s">
        <v>218</v>
      </c>
      <c r="B987" s="256" t="s">
        <v>219</v>
      </c>
      <c r="C987" s="256" t="s">
        <v>1695</v>
      </c>
      <c r="D987" s="330" t="inlineStr">
        <is>
          <t xml:space="preserve">MNT</t>
        </is>
      </c>
      <c r="E987" s="330" t="inlineStr">
        <is>
          <t>Y</t>
        </is>
      </c>
      <c r="F987" s="330" t="inlineStr">
        <is>
          <t xml:space="preserve">대상 제품군이 아님: 모니터</t>
        </is>
      </c>
      <c r="G987" s="256" t="s">
        <v>127</v>
      </c>
    </row>
    <row r="988" spans="1:15">
      <c r="A988" s="256" t="s">
        <v>218</v>
      </c>
      <c r="B988" s="256" t="s">
        <v>219</v>
      </c>
      <c r="C988" s="256" t="s">
        <v>1696</v>
      </c>
      <c r="D988" s="330" t="inlineStr">
        <is>
          <t xml:space="preserve">MNT</t>
        </is>
      </c>
      <c r="E988" s="330" t="inlineStr">
        <is>
          <t>Y</t>
        </is>
      </c>
      <c r="F988" s="330" t="inlineStr">
        <is>
          <t xml:space="preserve">대상 제품군이 아님: 모니터</t>
        </is>
      </c>
      <c r="G988" s="256" t="s">
        <v>127</v>
      </c>
    </row>
    <row r="989" spans="1:15">
      <c r="A989" s="256" t="s">
        <v>218</v>
      </c>
      <c r="B989" s="256" t="s">
        <v>219</v>
      </c>
      <c r="C989" s="256" t="s">
        <v>1697</v>
      </c>
      <c r="D989" s="330" t="inlineStr">
        <is>
          <t xml:space="preserve">MNT</t>
        </is>
      </c>
      <c r="E989" s="330" t="inlineStr">
        <is>
          <t>Y</t>
        </is>
      </c>
      <c r="F989" s="330" t="inlineStr">
        <is>
          <t xml:space="preserve">대상 제품군이 아님: 모니터</t>
        </is>
      </c>
      <c r="G989" s="256" t="s">
        <v>127</v>
      </c>
    </row>
    <row r="990" spans="1:15">
      <c r="A990" s="256" t="s">
        <v>218</v>
      </c>
      <c r="B990" s="256" t="s">
        <v>219</v>
      </c>
      <c r="C990" s="256" t="s">
        <v>1698</v>
      </c>
      <c r="D990" s="330" t="inlineStr">
        <is>
          <t xml:space="preserve">MNT</t>
        </is>
      </c>
      <c r="E990" s="330" t="inlineStr">
        <is>
          <t>Y</t>
        </is>
      </c>
      <c r="F990" s="330" t="inlineStr">
        <is>
          <t xml:space="preserve">대상 제품군이 아님: 모니터</t>
        </is>
      </c>
      <c r="G990" s="256" t="s">
        <v>127</v>
      </c>
    </row>
    <row r="991" spans="1:15">
      <c r="A991" s="256" t="s">
        <v>218</v>
      </c>
      <c r="B991" s="256" t="s">
        <v>219</v>
      </c>
      <c r="C991" s="256" t="s">
        <v>1699</v>
      </c>
      <c r="D991" s="330" t="inlineStr">
        <is>
          <t xml:space="preserve">MNT</t>
        </is>
      </c>
      <c r="E991" s="330" t="inlineStr">
        <is>
          <t>Y</t>
        </is>
      </c>
      <c r="F991" s="330" t="inlineStr">
        <is>
          <t xml:space="preserve">대상 제품군이 아님: 모니터</t>
        </is>
      </c>
      <c r="G991" s="256" t="s">
        <v>127</v>
      </c>
    </row>
    <row r="992" spans="1:15">
      <c r="A992" s="256" t="s">
        <v>218</v>
      </c>
      <c r="B992" s="256" t="s">
        <v>219</v>
      </c>
      <c r="C992" s="256" t="s">
        <v>1700</v>
      </c>
      <c r="D992" s="330" t="inlineStr">
        <is>
          <t xml:space="preserve">MNT</t>
        </is>
      </c>
      <c r="E992" s="330" t="inlineStr">
        <is>
          <t>Y</t>
        </is>
      </c>
      <c r="F992" s="330" t="inlineStr">
        <is>
          <t xml:space="preserve">대상 제품군이 아님: 모니터</t>
        </is>
      </c>
      <c r="G992" s="256" t="s">
        <v>127</v>
      </c>
    </row>
    <row r="993" spans="1:15">
      <c r="A993" s="256" t="s">
        <v>261</v>
      </c>
      <c r="B993" s="256" t="s">
        <v>266</v>
      </c>
      <c r="C993" s="256" t="s">
        <v>1701</v>
      </c>
      <c r="D993" s="330" t="inlineStr">
        <is>
          <t xml:space="preserve">WM</t>
        </is>
      </c>
      <c r="E993" s="335" t="inlineStr">
        <is>
          <t>N</t>
        </is>
      </c>
      <c r="F993" s="330" t="inlineStr">
        <is>
          <t xml:space="preserve">수집 대상</t>
        </is>
      </c>
      <c r="G993" s="256" t="s">
        <v>127</v>
      </c>
    </row>
    <row r="994" spans="1:15">
      <c r="A994" s="256" t="s">
        <v>261</v>
      </c>
      <c r="B994" s="256" t="s">
        <v>266</v>
      </c>
      <c r="C994" s="256" t="s">
        <v>1702</v>
      </c>
      <c r="D994" s="330" t="inlineStr">
        <is>
          <t xml:space="preserve">LAPTOP</t>
        </is>
      </c>
      <c r="E994" s="330" t="inlineStr">
        <is>
          <t>Y</t>
        </is>
      </c>
      <c r="F994" s="330" t="inlineStr">
        <is>
          <t xml:space="preserve">대상 제품군이 아님: 노트북</t>
        </is>
      </c>
      <c r="G994" s="256" t="s">
        <v>127</v>
      </c>
    </row>
    <row r="995" spans="1:15">
      <c r="A995" s="256" t="s">
        <v>261</v>
      </c>
      <c r="B995" s="256" t="s">
        <v>266</v>
      </c>
      <c r="C995" s="256" t="s">
        <v>1703</v>
      </c>
      <c r="D995" s="330" t="inlineStr">
        <is>
          <t xml:space="preserve">HEADSET</t>
        </is>
      </c>
      <c r="E995" s="330" t="inlineStr">
        <is>
          <t>Y</t>
        </is>
      </c>
      <c r="F995" s="330" t="inlineStr">
        <is>
          <t xml:space="preserve">대상 제품군이 아님: 이어폰·헤드셋</t>
        </is>
      </c>
      <c r="G995" s="256" t="s">
        <v>127</v>
      </c>
    </row>
    <row r="996" spans="1:15">
      <c r="A996" s="256" t="s">
        <v>261</v>
      </c>
      <c r="B996" s="256" t="s">
        <v>266</v>
      </c>
      <c r="C996" s="256" t="s">
        <v>1704</v>
      </c>
      <c r="D996" s="330" t="inlineStr">
        <is>
          <t xml:space="preserve">REF</t>
        </is>
      </c>
      <c r="E996" s="335" t="inlineStr">
        <is>
          <t>N</t>
        </is>
      </c>
      <c r="F996" s="330" t="inlineStr">
        <is>
          <t xml:space="preserve">수집 대상</t>
        </is>
      </c>
      <c r="G996" s="256" t="s">
        <v>127</v>
      </c>
    </row>
    <row r="997" spans="1:15">
      <c r="A997" s="256" t="s">
        <v>261</v>
      </c>
      <c r="B997" s="256" t="s">
        <v>266</v>
      </c>
      <c r="C997" s="256" t="s">
        <v>1705</v>
      </c>
      <c r="D997" s="330" t="inlineStr">
        <is>
          <t xml:space="preserve">TV</t>
        </is>
      </c>
      <c r="E997" s="330" t="inlineStr">
        <is>
          <t>Y</t>
        </is>
      </c>
      <c r="F997" s="330" t="inlineStr">
        <is>
          <t xml:space="preserve">대상 제품군이 아님: TV</t>
        </is>
      </c>
      <c r="G997" s="256" t="s">
        <v>127</v>
      </c>
    </row>
    <row r="998" spans="1:15">
      <c r="A998" s="256" t="s">
        <v>261</v>
      </c>
      <c r="B998" s="256" t="s">
        <v>266</v>
      </c>
      <c r="C998" s="256" t="s">
        <v>1706</v>
      </c>
      <c r="D998" s="330" t="inlineStr">
        <is>
          <t xml:space="preserve">BT_SPEAKER</t>
        </is>
      </c>
      <c r="E998" s="330" t="inlineStr">
        <is>
          <t>Y</t>
        </is>
      </c>
      <c r="F998" s="330" t="inlineStr">
        <is>
          <t xml:space="preserve">대상 제품군이 아님: 블루투스 스피커</t>
        </is>
      </c>
      <c r="G998" s="256" t="s">
        <v>127</v>
      </c>
    </row>
    <row r="999" spans="1:15">
      <c r="A999" s="256" t="s">
        <v>261</v>
      </c>
      <c r="B999" s="256" t="s">
        <v>266</v>
      </c>
      <c r="C999" s="256" t="s">
        <v>1707</v>
      </c>
      <c r="D999" s="330" t="inlineStr">
        <is>
          <t xml:space="preserve">SOUNDBAR</t>
        </is>
      </c>
      <c r="E999" s="330" t="inlineStr">
        <is>
          <t>Y</t>
        </is>
      </c>
      <c r="F999" s="330" t="inlineStr">
        <is>
          <t xml:space="preserve">대상 제품군이 아님: 사운드바</t>
        </is>
      </c>
      <c r="G999" s="256" t="s">
        <v>127</v>
      </c>
    </row>
    <row r="1000" spans="1:15">
      <c r="A1000" s="256" t="s">
        <v>261</v>
      </c>
      <c r="B1000" s="256" t="s">
        <v>266</v>
      </c>
      <c r="C1000" s="256" t="s">
        <v>1708</v>
      </c>
      <c r="D1000" s="330" t="inlineStr">
        <is>
          <t xml:space="preserve">MNT</t>
        </is>
      </c>
      <c r="E1000" s="330" t="inlineStr">
        <is>
          <t>Y</t>
        </is>
      </c>
      <c r="F1000" s="330" t="inlineStr">
        <is>
          <t xml:space="preserve">대상 제품군이 아님: 모니터</t>
        </is>
      </c>
      <c r="G1000" s="256" t="s">
        <v>127</v>
      </c>
    </row>
    <row r="1001" spans="1:15">
      <c r="A1001" s="256" t="s">
        <v>261</v>
      </c>
      <c r="B1001" s="256" t="s">
        <v>266</v>
      </c>
      <c r="C1001" s="256" t="s">
        <v>1709</v>
      </c>
      <c r="D1001" s="330" t="inlineStr">
        <is>
          <t xml:space="preserve">OVEN</t>
        </is>
      </c>
      <c r="E1001" s="330" t="inlineStr">
        <is>
          <t>Y</t>
        </is>
      </c>
      <c r="F1001" s="330" t="inlineStr">
        <is>
          <t xml:space="preserve">대상 제품군이 아님: 오븐·조리기기</t>
        </is>
      </c>
      <c r="G1001" s="256" t="s">
        <v>127</v>
      </c>
    </row>
    <row r="1002" spans="1:15">
      <c r="A1002" s="256" t="s">
        <v>261</v>
      </c>
      <c r="B1002" s="256" t="s">
        <v>266</v>
      </c>
      <c r="C1002" s="256" t="s">
        <v>1710</v>
      </c>
      <c r="D1002" s="330" t="inlineStr">
        <is>
          <t xml:space="preserve">RAC</t>
        </is>
      </c>
      <c r="E1002" s="330" t="inlineStr">
        <is>
          <t>Y</t>
        </is>
      </c>
      <c r="F1002" s="330" t="inlineStr">
        <is>
          <t xml:space="preserve">대상 제품군이 아님: 에어컨</t>
        </is>
      </c>
      <c r="G1002" s="256" t="s">
        <v>127</v>
      </c>
    </row>
    <row r="1003" spans="1:15">
      <c r="A1003" s="256" t="s">
        <v>261</v>
      </c>
      <c r="B1003" s="256" t="s">
        <v>266</v>
      </c>
      <c r="C1003" s="256" t="s">
        <v>1711</v>
      </c>
      <c r="D1003" s="330" t="inlineStr">
        <is>
          <t xml:space="preserve">DRYER</t>
        </is>
      </c>
      <c r="E1003" s="335" t="inlineStr">
        <is>
          <t>N</t>
        </is>
      </c>
      <c r="F1003" s="330" t="inlineStr">
        <is>
          <t xml:space="preserve">수집 대상</t>
        </is>
      </c>
      <c r="G1003" s="256" t="s">
        <v>127</v>
      </c>
      <c r="H1003" s="256" t="s">
        <v>127</v>
      </c>
    </row>
    <row r="1004" spans="1:15">
      <c r="A1004" s="256" t="s">
        <v>218</v>
      </c>
      <c r="B1004" s="256" t="s">
        <v>222</v>
      </c>
      <c r="C1004" s="256" t="s">
        <v>1712</v>
      </c>
      <c r="D1004" s="330" t="inlineStr">
        <is>
          <t xml:space="preserve">TV</t>
        </is>
      </c>
      <c r="E1004" s="330" t="inlineStr">
        <is>
          <t>Y</t>
        </is>
      </c>
      <c r="F1004" s="330" t="inlineStr">
        <is>
          <t xml:space="preserve">진단 대상 35개 국가·리테일러에 해당하지 않음</t>
        </is>
      </c>
    </row>
    <row r="1005" spans="1:15">
      <c r="A1005" s="256" t="s">
        <v>218</v>
      </c>
      <c r="B1005" s="256" t="s">
        <v>222</v>
      </c>
      <c r="C1005" s="256" t="s">
        <v>1713</v>
      </c>
      <c r="D1005" s="330" t="inlineStr">
        <is>
          <t xml:space="preserve">TV</t>
        </is>
      </c>
      <c r="E1005" s="330" t="inlineStr">
        <is>
          <t>Y</t>
        </is>
      </c>
      <c r="F1005" s="330" t="inlineStr">
        <is>
          <t xml:space="preserve">진단 대상 35개 국가·리테일러에 해당하지 않음</t>
        </is>
      </c>
    </row>
    <row r="1006" spans="1:15">
      <c r="A1006" s="256" t="s">
        <v>218</v>
      </c>
      <c r="B1006" s="256" t="s">
        <v>222</v>
      </c>
      <c r="C1006" s="256" t="s">
        <v>1714</v>
      </c>
      <c r="D1006" s="330" t="inlineStr">
        <is>
          <t xml:space="preserve">TV</t>
        </is>
      </c>
      <c r="E1006" s="330" t="inlineStr">
        <is>
          <t>Y</t>
        </is>
      </c>
      <c r="F1006" s="330" t="inlineStr">
        <is>
          <t xml:space="preserve">진단 대상 35개 국가·리테일러에 해당하지 않음</t>
        </is>
      </c>
    </row>
    <row r="1007" spans="1:15">
      <c r="A1007" s="256" t="s">
        <v>218</v>
      </c>
      <c r="B1007" s="256" t="s">
        <v>222</v>
      </c>
      <c r="C1007" s="256" t="s">
        <v>1715</v>
      </c>
      <c r="D1007" s="330" t="inlineStr">
        <is>
          <t xml:space="preserve">TV</t>
        </is>
      </c>
      <c r="E1007" s="330" t="inlineStr">
        <is>
          <t>Y</t>
        </is>
      </c>
      <c r="F1007" s="330" t="inlineStr">
        <is>
          <t xml:space="preserve">진단 대상 35개 국가·리테일러에 해당하지 않음</t>
        </is>
      </c>
    </row>
    <row r="1008" spans="1:15">
      <c r="A1008" s="256" t="s">
        <v>218</v>
      </c>
      <c r="B1008" s="256" t="s">
        <v>222</v>
      </c>
      <c r="C1008" s="256" t="s">
        <v>1716</v>
      </c>
      <c r="D1008" s="330" t="inlineStr">
        <is>
          <t xml:space="preserve">TV</t>
        </is>
      </c>
      <c r="E1008" s="330" t="inlineStr">
        <is>
          <t>Y</t>
        </is>
      </c>
      <c r="F1008" s="330" t="inlineStr">
        <is>
          <t xml:space="preserve">진단 대상 35개 국가·리테일러에 해당하지 않음</t>
        </is>
      </c>
    </row>
    <row r="1009" spans="1:15">
      <c r="A1009" s="256" t="s">
        <v>218</v>
      </c>
      <c r="B1009" s="256" t="s">
        <v>222</v>
      </c>
      <c r="C1009" s="256" t="s">
        <v>1717</v>
      </c>
      <c r="D1009" s="330" t="inlineStr">
        <is>
          <t xml:space="preserve">TV</t>
        </is>
      </c>
      <c r="E1009" s="330" t="inlineStr">
        <is>
          <t>Y</t>
        </is>
      </c>
      <c r="F1009" s="330" t="inlineStr">
        <is>
          <t xml:space="preserve">진단 대상 35개 국가·리테일러에 해당하지 않음</t>
        </is>
      </c>
    </row>
    <row r="1010" spans="1:15">
      <c r="A1010" s="256" t="s">
        <v>218</v>
      </c>
      <c r="B1010" s="256" t="s">
        <v>222</v>
      </c>
      <c r="C1010" s="256" t="s">
        <v>1718</v>
      </c>
      <c r="D1010" s="330" t="inlineStr">
        <is>
          <t xml:space="preserve">TV</t>
        </is>
      </c>
      <c r="E1010" s="330" t="inlineStr">
        <is>
          <t>Y</t>
        </is>
      </c>
      <c r="F1010" s="330" t="inlineStr">
        <is>
          <t xml:space="preserve">진단 대상 35개 국가·리테일러에 해당하지 않음</t>
        </is>
      </c>
    </row>
    <row r="1011" spans="1:15">
      <c r="A1011" s="256" t="s">
        <v>218</v>
      </c>
      <c r="B1011" s="256" t="s">
        <v>222</v>
      </c>
      <c r="C1011" s="256" t="s">
        <v>1719</v>
      </c>
      <c r="D1011" s="330" t="inlineStr">
        <is>
          <t xml:space="preserve">TV</t>
        </is>
      </c>
      <c r="E1011" s="330" t="inlineStr">
        <is>
          <t>Y</t>
        </is>
      </c>
      <c r="F1011" s="330" t="inlineStr">
        <is>
          <t xml:space="preserve">진단 대상 35개 국가·리테일러에 해당하지 않음</t>
        </is>
      </c>
    </row>
    <row r="1012" spans="1:15">
      <c r="A1012" s="256" t="s">
        <v>218</v>
      </c>
      <c r="B1012" s="256" t="s">
        <v>222</v>
      </c>
      <c r="C1012" s="256" t="s">
        <v>1720</v>
      </c>
      <c r="D1012" s="330" t="inlineStr">
        <is>
          <t xml:space="preserve">TV</t>
        </is>
      </c>
      <c r="E1012" s="330" t="inlineStr">
        <is>
          <t>Y</t>
        </is>
      </c>
      <c r="F1012" s="330" t="inlineStr">
        <is>
          <t xml:space="preserve">진단 대상 35개 국가·리테일러에 해당하지 않음</t>
        </is>
      </c>
    </row>
    <row r="1013" spans="1:15">
      <c r="A1013" s="256" t="s">
        <v>218</v>
      </c>
      <c r="B1013" s="256" t="s">
        <v>222</v>
      </c>
      <c r="C1013" s="256" t="s">
        <v>1721</v>
      </c>
      <c r="D1013" s="330" t="inlineStr">
        <is>
          <t xml:space="preserve">TV</t>
        </is>
      </c>
      <c r="E1013" s="330" t="inlineStr">
        <is>
          <t>Y</t>
        </is>
      </c>
      <c r="F1013" s="330" t="inlineStr">
        <is>
          <t xml:space="preserve">진단 대상 35개 국가·리테일러에 해당하지 않음</t>
        </is>
      </c>
    </row>
    <row r="1014" spans="1:15">
      <c r="A1014" s="256" t="s">
        <v>218</v>
      </c>
      <c r="B1014" s="256" t="s">
        <v>222</v>
      </c>
      <c r="C1014" s="256" t="s">
        <v>1722</v>
      </c>
      <c r="D1014" s="330" t="inlineStr">
        <is>
          <t xml:space="preserve">TV</t>
        </is>
      </c>
      <c r="E1014" s="330" t="inlineStr">
        <is>
          <t>Y</t>
        </is>
      </c>
      <c r="F1014" s="330" t="inlineStr">
        <is>
          <t xml:space="preserve">진단 대상 35개 국가·리테일러에 해당하지 않음</t>
        </is>
      </c>
    </row>
    <row r="1015" spans="1:15">
      <c r="A1015" s="256" t="s">
        <v>218</v>
      </c>
      <c r="B1015" s="256" t="s">
        <v>222</v>
      </c>
      <c r="C1015" s="256" t="s">
        <v>1723</v>
      </c>
      <c r="D1015" s="332" t="inlineStr">
        <is>
          <t xml:space="preserve">UNKNOWN</t>
        </is>
      </c>
      <c r="E1015" s="330" t="inlineStr">
        <is>
          <t>Y</t>
        </is>
      </c>
      <c r="F1015" s="330" t="inlineStr">
        <is>
          <t xml:space="preserve">진단 대상 35개 국가·리테일러에 해당하지 않음</t>
        </is>
      </c>
    </row>
    <row r="1016" spans="1:15">
      <c r="A1016" s="256" t="s">
        <v>218</v>
      </c>
      <c r="B1016" s="256" t="s">
        <v>222</v>
      </c>
      <c r="C1016" s="256" t="s">
        <v>1724</v>
      </c>
      <c r="D1016" s="330" t="inlineStr">
        <is>
          <t xml:space="preserve">TV</t>
        </is>
      </c>
      <c r="E1016" s="330" t="inlineStr">
        <is>
          <t>Y</t>
        </is>
      </c>
      <c r="F1016" s="330" t="inlineStr">
        <is>
          <t xml:space="preserve">진단 대상 35개 국가·리테일러에 해당하지 않음</t>
        </is>
      </c>
    </row>
    <row r="1017" spans="1:15">
      <c r="A1017" s="256" t="s">
        <v>218</v>
      </c>
      <c r="B1017" s="256" t="s">
        <v>222</v>
      </c>
      <c r="C1017" s="256" t="s">
        <v>1725</v>
      </c>
      <c r="D1017" s="332" t="inlineStr">
        <is>
          <t xml:space="preserve">UNKNOWN</t>
        </is>
      </c>
      <c r="E1017" s="330" t="inlineStr">
        <is>
          <t>Y</t>
        </is>
      </c>
      <c r="F1017" s="330" t="inlineStr">
        <is>
          <t xml:space="preserve">진단 대상 35개 국가·리테일러에 해당하지 않음</t>
        </is>
      </c>
    </row>
    <row r="1018" spans="1:15">
      <c r="A1018" s="256" t="s">
        <v>218</v>
      </c>
      <c r="B1018" s="256" t="s">
        <v>222</v>
      </c>
      <c r="C1018" s="256" t="s">
        <v>1726</v>
      </c>
      <c r="D1018" s="330" t="inlineStr">
        <is>
          <t xml:space="preserve">TV</t>
        </is>
      </c>
      <c r="E1018" s="330" t="inlineStr">
        <is>
          <t>Y</t>
        </is>
      </c>
      <c r="F1018" s="330" t="inlineStr">
        <is>
          <t xml:space="preserve">진단 대상 35개 국가·리테일러에 해당하지 않음</t>
        </is>
      </c>
    </row>
    <row r="1019" spans="1:15">
      <c r="A1019" s="256" t="s">
        <v>218</v>
      </c>
      <c r="B1019" s="256" t="s">
        <v>222</v>
      </c>
      <c r="C1019" s="256" t="s">
        <v>1727</v>
      </c>
      <c r="D1019" s="332" t="inlineStr">
        <is>
          <t xml:space="preserve">UNKNOWN</t>
        </is>
      </c>
      <c r="E1019" s="330" t="inlineStr">
        <is>
          <t>Y</t>
        </is>
      </c>
      <c r="F1019" s="330" t="inlineStr">
        <is>
          <t xml:space="preserve">진단 대상 35개 국가·리테일러에 해당하지 않음</t>
        </is>
      </c>
    </row>
    <row r="1020" spans="1:15">
      <c r="A1020" s="256" t="s">
        <v>218</v>
      </c>
      <c r="B1020" s="256" t="s">
        <v>222</v>
      </c>
      <c r="C1020" s="256" t="s">
        <v>1728</v>
      </c>
      <c r="D1020" s="330" t="inlineStr">
        <is>
          <t xml:space="preserve">TV</t>
        </is>
      </c>
      <c r="E1020" s="330" t="inlineStr">
        <is>
          <t>Y</t>
        </is>
      </c>
      <c r="F1020" s="330" t="inlineStr">
        <is>
          <t xml:space="preserve">진단 대상 35개 국가·리테일러에 해당하지 않음</t>
        </is>
      </c>
    </row>
    <row r="1021" spans="1:15">
      <c r="A1021" s="256" t="s">
        <v>218</v>
      </c>
      <c r="B1021" s="256" t="s">
        <v>222</v>
      </c>
      <c r="C1021" s="256" t="s">
        <v>1729</v>
      </c>
      <c r="D1021" s="332" t="inlineStr">
        <is>
          <t xml:space="preserve">UNKNOWN</t>
        </is>
      </c>
      <c r="E1021" s="330" t="inlineStr">
        <is>
          <t>Y</t>
        </is>
      </c>
      <c r="F1021" s="330" t="inlineStr">
        <is>
          <t xml:space="preserve">진단 대상 35개 국가·리테일러에 해당하지 않음</t>
        </is>
      </c>
    </row>
    <row r="1022" spans="1:15">
      <c r="A1022" s="256" t="s">
        <v>218</v>
      </c>
      <c r="B1022" s="256" t="s">
        <v>222</v>
      </c>
      <c r="C1022" s="256" t="s">
        <v>1730</v>
      </c>
      <c r="D1022" s="332" t="inlineStr">
        <is>
          <t xml:space="preserve">UNKNOWN</t>
        </is>
      </c>
      <c r="E1022" s="330" t="inlineStr">
        <is>
          <t>Y</t>
        </is>
      </c>
      <c r="F1022" s="330" t="inlineStr">
        <is>
          <t xml:space="preserve">진단 대상 35개 국가·리테일러에 해당하지 않음</t>
        </is>
      </c>
    </row>
    <row r="1023" spans="1:15">
      <c r="A1023" s="256" t="s">
        <v>218</v>
      </c>
      <c r="B1023" s="256" t="s">
        <v>222</v>
      </c>
      <c r="C1023" s="256" t="s">
        <v>1731</v>
      </c>
      <c r="D1023" s="330" t="inlineStr">
        <is>
          <t xml:space="preserve">TV</t>
        </is>
      </c>
      <c r="E1023" s="330" t="inlineStr">
        <is>
          <t>Y</t>
        </is>
      </c>
      <c r="F1023" s="330" t="inlineStr">
        <is>
          <t xml:space="preserve">진단 대상 35개 국가·리테일러에 해당하지 않음</t>
        </is>
      </c>
    </row>
    <row r="1024" spans="1:15">
      <c r="A1024" s="256" t="s">
        <v>218</v>
      </c>
      <c r="B1024" s="256" t="s">
        <v>222</v>
      </c>
      <c r="C1024" s="256" t="s">
        <v>1732</v>
      </c>
      <c r="D1024" s="330" t="inlineStr">
        <is>
          <t xml:space="preserve">TV</t>
        </is>
      </c>
      <c r="E1024" s="330" t="inlineStr">
        <is>
          <t>Y</t>
        </is>
      </c>
      <c r="F1024" s="330" t="inlineStr">
        <is>
          <t xml:space="preserve">진단 대상 35개 국가·리테일러에 해당하지 않음</t>
        </is>
      </c>
    </row>
    <row r="1025" spans="1:15">
      <c r="A1025" s="256" t="s">
        <v>218</v>
      </c>
      <c r="B1025" s="256" t="s">
        <v>222</v>
      </c>
      <c r="C1025" s="256" t="s">
        <v>1733</v>
      </c>
      <c r="D1025" s="330" t="inlineStr">
        <is>
          <t xml:space="preserve">TV</t>
        </is>
      </c>
      <c r="E1025" s="330" t="inlineStr">
        <is>
          <t>Y</t>
        </is>
      </c>
      <c r="F1025" s="330" t="inlineStr">
        <is>
          <t xml:space="preserve">진단 대상 35개 국가·리테일러에 해당하지 않음</t>
        </is>
      </c>
    </row>
    <row r="1026" spans="1:15">
      <c r="A1026" s="256" t="s">
        <v>218</v>
      </c>
      <c r="B1026" s="256" t="s">
        <v>222</v>
      </c>
      <c r="C1026" s="256" t="s">
        <v>1734</v>
      </c>
      <c r="D1026" s="332" t="inlineStr">
        <is>
          <t xml:space="preserve">UNKNOWN</t>
        </is>
      </c>
      <c r="E1026" s="330" t="inlineStr">
        <is>
          <t>Y</t>
        </is>
      </c>
      <c r="F1026" s="330" t="inlineStr">
        <is>
          <t xml:space="preserve">진단 대상 35개 국가·리테일러에 해당하지 않음</t>
        </is>
      </c>
    </row>
    <row r="1027" spans="1:15">
      <c r="A1027" s="256" t="s">
        <v>218</v>
      </c>
      <c r="B1027" s="256" t="s">
        <v>222</v>
      </c>
      <c r="C1027" s="256" t="s">
        <v>1735</v>
      </c>
      <c r="D1027" s="332" t="inlineStr">
        <is>
          <t xml:space="preserve">UNKNOWN</t>
        </is>
      </c>
      <c r="E1027" s="330" t="inlineStr">
        <is>
          <t>Y</t>
        </is>
      </c>
      <c r="F1027" s="330" t="inlineStr">
        <is>
          <t xml:space="preserve">진단 대상 35개 국가·리테일러에 해당하지 않음</t>
        </is>
      </c>
    </row>
    <row r="1028" spans="1:15">
      <c r="A1028" s="256" t="s">
        <v>218</v>
      </c>
      <c r="B1028" s="256" t="s">
        <v>222</v>
      </c>
      <c r="C1028" s="256" t="s">
        <v>1736</v>
      </c>
      <c r="D1028" s="332" t="inlineStr">
        <is>
          <t xml:space="preserve">UNKNOWN</t>
        </is>
      </c>
      <c r="E1028" s="330" t="inlineStr">
        <is>
          <t>Y</t>
        </is>
      </c>
      <c r="F1028" s="330" t="inlineStr">
        <is>
          <t xml:space="preserve">진단 대상 35개 국가·리테일러에 해당하지 않음</t>
        </is>
      </c>
    </row>
    <row r="1029" spans="1:15">
      <c r="A1029" s="256" t="s">
        <v>218</v>
      </c>
      <c r="B1029" s="256" t="s">
        <v>222</v>
      </c>
      <c r="C1029" s="256" t="s">
        <v>1737</v>
      </c>
      <c r="D1029" s="332" t="inlineStr">
        <is>
          <t xml:space="preserve">UNKNOWN</t>
        </is>
      </c>
      <c r="E1029" s="330" t="inlineStr">
        <is>
          <t>Y</t>
        </is>
      </c>
      <c r="F1029" s="330" t="inlineStr">
        <is>
          <t xml:space="preserve">진단 대상 35개 국가·리테일러에 해당하지 않음</t>
        </is>
      </c>
    </row>
    <row r="1030" spans="1:15">
      <c r="A1030" s="256" t="s">
        <v>218</v>
      </c>
      <c r="B1030" s="256" t="s">
        <v>222</v>
      </c>
      <c r="C1030" s="256" t="s">
        <v>1738</v>
      </c>
      <c r="D1030" s="332" t="inlineStr">
        <is>
          <t xml:space="preserve">UNKNOWN</t>
        </is>
      </c>
      <c r="E1030" s="330" t="inlineStr">
        <is>
          <t>Y</t>
        </is>
      </c>
      <c r="F1030" s="330" t="inlineStr">
        <is>
          <t xml:space="preserve">진단 대상 35개 국가·리테일러에 해당하지 않음</t>
        </is>
      </c>
    </row>
    <row r="1031" spans="1:15">
      <c r="A1031" s="256" t="s">
        <v>218</v>
      </c>
      <c r="B1031" s="256" t="s">
        <v>222</v>
      </c>
      <c r="C1031" s="256" t="s">
        <v>1739</v>
      </c>
      <c r="D1031" s="332" t="inlineStr">
        <is>
          <t xml:space="preserve">UNKNOWN</t>
        </is>
      </c>
      <c r="E1031" s="330" t="inlineStr">
        <is>
          <t>Y</t>
        </is>
      </c>
      <c r="F1031" s="330" t="inlineStr">
        <is>
          <t xml:space="preserve">진단 대상 35개 국가·리테일러에 해당하지 않음</t>
        </is>
      </c>
    </row>
    <row r="1032" spans="1:15">
      <c r="A1032" s="256" t="s">
        <v>218</v>
      </c>
      <c r="B1032" s="256" t="s">
        <v>222</v>
      </c>
      <c r="C1032" s="256" t="s">
        <v>1740</v>
      </c>
      <c r="D1032" s="332" t="inlineStr">
        <is>
          <t xml:space="preserve">UNKNOWN</t>
        </is>
      </c>
      <c r="E1032" s="330" t="inlineStr">
        <is>
          <t>Y</t>
        </is>
      </c>
      <c r="F1032" s="330" t="inlineStr">
        <is>
          <t xml:space="preserve">진단 대상 35개 국가·리테일러에 해당하지 않음</t>
        </is>
      </c>
    </row>
    <row r="1033" spans="1:15">
      <c r="A1033" s="256" t="s">
        <v>218</v>
      </c>
      <c r="B1033" s="256" t="s">
        <v>222</v>
      </c>
      <c r="C1033" s="256" t="s">
        <v>1741</v>
      </c>
      <c r="D1033" s="332" t="inlineStr">
        <is>
          <t xml:space="preserve">UNKNOWN</t>
        </is>
      </c>
      <c r="E1033" s="330" t="inlineStr">
        <is>
          <t>Y</t>
        </is>
      </c>
      <c r="F1033" s="330" t="inlineStr">
        <is>
          <t xml:space="preserve">진단 대상 35개 국가·리테일러에 해당하지 않음</t>
        </is>
      </c>
    </row>
    <row r="1034" spans="1:15">
      <c r="A1034" s="256" t="s">
        <v>218</v>
      </c>
      <c r="B1034" s="256" t="s">
        <v>222</v>
      </c>
      <c r="C1034" s="256" t="s">
        <v>1742</v>
      </c>
      <c r="D1034" s="332" t="inlineStr">
        <is>
          <t xml:space="preserve">UNKNOWN</t>
        </is>
      </c>
      <c r="E1034" s="330" t="inlineStr">
        <is>
          <t>Y</t>
        </is>
      </c>
      <c r="F1034" s="330" t="inlineStr">
        <is>
          <t xml:space="preserve">진단 대상 35개 국가·리테일러에 해당하지 않음</t>
        </is>
      </c>
    </row>
    <row r="1035" spans="1:15">
      <c r="A1035" s="256" t="s">
        <v>218</v>
      </c>
      <c r="B1035" s="256" t="s">
        <v>222</v>
      </c>
      <c r="C1035" s="256" t="s">
        <v>1743</v>
      </c>
      <c r="D1035" s="332" t="inlineStr">
        <is>
          <t xml:space="preserve">UNKNOWN</t>
        </is>
      </c>
      <c r="E1035" s="330" t="inlineStr">
        <is>
          <t>Y</t>
        </is>
      </c>
      <c r="F1035" s="330" t="inlineStr">
        <is>
          <t xml:space="preserve">진단 대상 35개 국가·리테일러에 해당하지 않음</t>
        </is>
      </c>
    </row>
    <row r="1036" spans="1:15">
      <c r="A1036" s="256" t="s">
        <v>218</v>
      </c>
      <c r="B1036" s="256" t="s">
        <v>222</v>
      </c>
      <c r="C1036" s="256" t="s">
        <v>1744</v>
      </c>
      <c r="D1036" s="332" t="inlineStr">
        <is>
          <t xml:space="preserve">UNKNOWN</t>
        </is>
      </c>
      <c r="E1036" s="330" t="inlineStr">
        <is>
          <t>Y</t>
        </is>
      </c>
      <c r="F1036" s="330" t="inlineStr">
        <is>
          <t xml:space="preserve">진단 대상 35개 국가·리테일러에 해당하지 않음</t>
        </is>
      </c>
    </row>
    <row r="1037" spans="1:15">
      <c r="A1037" s="256" t="s">
        <v>218</v>
      </c>
      <c r="B1037" s="256" t="s">
        <v>222</v>
      </c>
      <c r="C1037" s="256" t="s">
        <v>1745</v>
      </c>
      <c r="D1037" s="332" t="inlineStr">
        <is>
          <t xml:space="preserve">UNKNOWN</t>
        </is>
      </c>
      <c r="E1037" s="330" t="inlineStr">
        <is>
          <t>Y</t>
        </is>
      </c>
      <c r="F1037" s="330" t="inlineStr">
        <is>
          <t xml:space="preserve">진단 대상 35개 국가·리테일러에 해당하지 않음</t>
        </is>
      </c>
    </row>
    <row r="1038" spans="1:15">
      <c r="A1038" s="256" t="s">
        <v>218</v>
      </c>
      <c r="B1038" s="256" t="s">
        <v>222</v>
      </c>
      <c r="C1038" s="256" t="s">
        <v>1746</v>
      </c>
      <c r="D1038" s="332" t="inlineStr">
        <is>
          <t xml:space="preserve">UNKNOWN</t>
        </is>
      </c>
      <c r="E1038" s="330" t="inlineStr">
        <is>
          <t>Y</t>
        </is>
      </c>
      <c r="F1038" s="330" t="inlineStr">
        <is>
          <t xml:space="preserve">진단 대상 35개 국가·리테일러에 해당하지 않음</t>
        </is>
      </c>
    </row>
    <row r="1039" spans="1:15">
      <c r="A1039" s="256" t="s">
        <v>218</v>
      </c>
      <c r="B1039" s="256" t="s">
        <v>222</v>
      </c>
      <c r="C1039" s="256" t="s">
        <v>1747</v>
      </c>
      <c r="D1039" s="332" t="inlineStr">
        <is>
          <t xml:space="preserve">UNKNOWN</t>
        </is>
      </c>
      <c r="E1039" s="330" t="inlineStr">
        <is>
          <t>Y</t>
        </is>
      </c>
      <c r="F1039" s="330" t="inlineStr">
        <is>
          <t xml:space="preserve">진단 대상 35개 국가·리테일러에 해당하지 않음</t>
        </is>
      </c>
    </row>
    <row r="1040" spans="1:15">
      <c r="A1040" s="256" t="s">
        <v>218</v>
      </c>
      <c r="B1040" s="256" t="s">
        <v>222</v>
      </c>
      <c r="C1040" s="256" t="s">
        <v>1748</v>
      </c>
      <c r="D1040" s="330" t="inlineStr">
        <is>
          <t xml:space="preserve">TV</t>
        </is>
      </c>
      <c r="E1040" s="330" t="inlineStr">
        <is>
          <t>Y</t>
        </is>
      </c>
      <c r="F1040" s="330" t="inlineStr">
        <is>
          <t xml:space="preserve">진단 대상 35개 국가·리테일러에 해당하지 않음</t>
        </is>
      </c>
    </row>
    <row r="1041" spans="1:15">
      <c r="A1041" s="256" t="s">
        <v>218</v>
      </c>
      <c r="B1041" s="256" t="s">
        <v>222</v>
      </c>
      <c r="C1041" s="256" t="s">
        <v>1749</v>
      </c>
      <c r="D1041" s="330" t="inlineStr">
        <is>
          <t xml:space="preserve">TV</t>
        </is>
      </c>
      <c r="E1041" s="330" t="inlineStr">
        <is>
          <t>Y</t>
        </is>
      </c>
      <c r="F1041" s="330" t="inlineStr">
        <is>
          <t xml:space="preserve">진단 대상 35개 국가·리테일러에 해당하지 않음</t>
        </is>
      </c>
    </row>
    <row r="1042" spans="1:15">
      <c r="A1042" s="256" t="s">
        <v>218</v>
      </c>
      <c r="B1042" s="256" t="s">
        <v>222</v>
      </c>
      <c r="C1042" s="256" t="s">
        <v>1750</v>
      </c>
      <c r="D1042" s="332" t="inlineStr">
        <is>
          <t xml:space="preserve">UNKNOWN</t>
        </is>
      </c>
      <c r="E1042" s="330" t="inlineStr">
        <is>
          <t>Y</t>
        </is>
      </c>
      <c r="F1042" s="330" t="inlineStr">
        <is>
          <t xml:space="preserve">진단 대상 35개 국가·리테일러에 해당하지 않음</t>
        </is>
      </c>
    </row>
    <row r="1043" spans="1:15">
      <c r="A1043" s="256" t="s">
        <v>218</v>
      </c>
      <c r="B1043" s="256" t="s">
        <v>222</v>
      </c>
      <c r="C1043" s="256" t="s">
        <v>1751</v>
      </c>
      <c r="D1043" s="332" t="inlineStr">
        <is>
          <t xml:space="preserve">UNKNOWN</t>
        </is>
      </c>
      <c r="E1043" s="330" t="inlineStr">
        <is>
          <t>Y</t>
        </is>
      </c>
      <c r="F1043" s="330" t="inlineStr">
        <is>
          <t xml:space="preserve">진단 대상 35개 국가·리테일러에 해당하지 않음</t>
        </is>
      </c>
    </row>
    <row r="1044" spans="1:15">
      <c r="A1044" s="256" t="s">
        <v>218</v>
      </c>
      <c r="B1044" s="256" t="s">
        <v>222</v>
      </c>
      <c r="C1044" s="256" t="s">
        <v>1752</v>
      </c>
      <c r="D1044" s="332" t="inlineStr">
        <is>
          <t xml:space="preserve">UNKNOWN</t>
        </is>
      </c>
      <c r="E1044" s="330" t="inlineStr">
        <is>
          <t>Y</t>
        </is>
      </c>
      <c r="F1044" s="330" t="inlineStr">
        <is>
          <t xml:space="preserve">진단 대상 35개 국가·리테일러에 해당하지 않음</t>
        </is>
      </c>
    </row>
    <row r="1045" spans="1:15">
      <c r="A1045" s="256" t="s">
        <v>218</v>
      </c>
      <c r="B1045" s="256" t="s">
        <v>222</v>
      </c>
      <c r="C1045" s="256" t="s">
        <v>1753</v>
      </c>
      <c r="D1045" s="330" t="inlineStr">
        <is>
          <t xml:space="preserve">TV</t>
        </is>
      </c>
      <c r="E1045" s="330" t="inlineStr">
        <is>
          <t>Y</t>
        </is>
      </c>
      <c r="F1045" s="330" t="inlineStr">
        <is>
          <t xml:space="preserve">진단 대상 35개 국가·리테일러에 해당하지 않음</t>
        </is>
      </c>
    </row>
    <row r="1046" spans="1:15">
      <c r="A1046" s="256" t="s">
        <v>218</v>
      </c>
      <c r="B1046" s="256" t="s">
        <v>222</v>
      </c>
      <c r="C1046" s="256" t="s">
        <v>1754</v>
      </c>
      <c r="D1046" s="330" t="inlineStr">
        <is>
          <t xml:space="preserve">TV</t>
        </is>
      </c>
      <c r="E1046" s="330" t="inlineStr">
        <is>
          <t>Y</t>
        </is>
      </c>
      <c r="F1046" s="330" t="inlineStr">
        <is>
          <t xml:space="preserve">진단 대상 35개 국가·리테일러에 해당하지 않음</t>
        </is>
      </c>
    </row>
    <row r="1047" spans="1:15">
      <c r="A1047" s="256" t="s">
        <v>218</v>
      </c>
      <c r="B1047" s="256" t="s">
        <v>222</v>
      </c>
      <c r="C1047" s="256" t="s">
        <v>1755</v>
      </c>
      <c r="D1047" s="330" t="inlineStr">
        <is>
          <t xml:space="preserve">TV</t>
        </is>
      </c>
      <c r="E1047" s="330" t="inlineStr">
        <is>
          <t>Y</t>
        </is>
      </c>
      <c r="F1047" s="330" t="inlineStr">
        <is>
          <t xml:space="preserve">진단 대상 35개 국가·리테일러에 해당하지 않음</t>
        </is>
      </c>
    </row>
    <row r="1048" spans="1:15">
      <c r="A1048" s="256" t="s">
        <v>218</v>
      </c>
      <c r="B1048" s="256" t="s">
        <v>222</v>
      </c>
      <c r="C1048" s="256" t="s">
        <v>1756</v>
      </c>
      <c r="D1048" s="332" t="inlineStr">
        <is>
          <t xml:space="preserve">UNKNOWN</t>
        </is>
      </c>
      <c r="E1048" s="330" t="inlineStr">
        <is>
          <t>Y</t>
        </is>
      </c>
      <c r="F1048" s="330" t="inlineStr">
        <is>
          <t xml:space="preserve">진단 대상 35개 국가·리테일러에 해당하지 않음</t>
        </is>
      </c>
    </row>
    <row r="1049" spans="1:15">
      <c r="A1049" s="256" t="s">
        <v>218</v>
      </c>
      <c r="B1049" s="256" t="s">
        <v>222</v>
      </c>
      <c r="C1049" s="256" t="s">
        <v>1757</v>
      </c>
      <c r="D1049" s="332" t="inlineStr">
        <is>
          <t xml:space="preserve">UNKNOWN</t>
        </is>
      </c>
      <c r="E1049" s="330" t="inlineStr">
        <is>
          <t>Y</t>
        </is>
      </c>
      <c r="F1049" s="330" t="inlineStr">
        <is>
          <t xml:space="preserve">진단 대상 35개 국가·리테일러에 해당하지 않음</t>
        </is>
      </c>
    </row>
    <row r="1050" spans="1:15">
      <c r="A1050" s="256" t="s">
        <v>218</v>
      </c>
      <c r="B1050" s="256" t="s">
        <v>222</v>
      </c>
      <c r="C1050" s="256" t="s">
        <v>1758</v>
      </c>
      <c r="D1050" s="330" t="inlineStr">
        <is>
          <t xml:space="preserve">REF</t>
        </is>
      </c>
      <c r="E1050" s="330" t="inlineStr">
        <is>
          <t>Y</t>
        </is>
      </c>
      <c r="F1050" s="330" t="inlineStr">
        <is>
          <t xml:space="preserve">진단 대상 35개 국가·리테일러에 해당하지 않음</t>
        </is>
      </c>
    </row>
    <row r="1051" spans="1:15">
      <c r="A1051" s="256" t="s">
        <v>218</v>
      </c>
      <c r="B1051" s="256" t="s">
        <v>222</v>
      </c>
      <c r="C1051" s="256" t="s">
        <v>1759</v>
      </c>
      <c r="D1051" s="332" t="inlineStr">
        <is>
          <t xml:space="preserve">UNKNOWN</t>
        </is>
      </c>
      <c r="E1051" s="330" t="inlineStr">
        <is>
          <t>Y</t>
        </is>
      </c>
      <c r="F1051" s="330" t="inlineStr">
        <is>
          <t xml:space="preserve">진단 대상 35개 국가·리테일러에 해당하지 않음</t>
        </is>
      </c>
    </row>
    <row r="1052" spans="1:15">
      <c r="A1052" s="256" t="s">
        <v>218</v>
      </c>
      <c r="B1052" s="256" t="s">
        <v>222</v>
      </c>
      <c r="C1052" s="256" t="s">
        <v>1760</v>
      </c>
      <c r="D1052" s="332" t="inlineStr">
        <is>
          <t xml:space="preserve">UNKNOWN</t>
        </is>
      </c>
      <c r="E1052" s="330" t="inlineStr">
        <is>
          <t>Y</t>
        </is>
      </c>
      <c r="F1052" s="330" t="inlineStr">
        <is>
          <t xml:space="preserve">진단 대상 35개 국가·리테일러에 해당하지 않음</t>
        </is>
      </c>
    </row>
    <row r="1053" spans="1:15">
      <c r="A1053" s="256" t="s">
        <v>218</v>
      </c>
      <c r="B1053" s="256" t="s">
        <v>222</v>
      </c>
      <c r="C1053" s="256" t="s">
        <v>1761</v>
      </c>
      <c r="D1053" s="332" t="inlineStr">
        <is>
          <t xml:space="preserve">UNKNOWN</t>
        </is>
      </c>
      <c r="E1053" s="330" t="inlineStr">
        <is>
          <t>Y</t>
        </is>
      </c>
      <c r="F1053" s="330" t="inlineStr">
        <is>
          <t xml:space="preserve">진단 대상 35개 국가·리테일러에 해당하지 않음</t>
        </is>
      </c>
    </row>
    <row r="1054" spans="1:15">
      <c r="A1054" s="256" t="s">
        <v>218</v>
      </c>
      <c r="B1054" s="256" t="s">
        <v>222</v>
      </c>
      <c r="C1054" s="256" t="s">
        <v>1762</v>
      </c>
      <c r="D1054" s="330" t="inlineStr">
        <is>
          <t xml:space="preserve">REF</t>
        </is>
      </c>
      <c r="E1054" s="330" t="inlineStr">
        <is>
          <t>Y</t>
        </is>
      </c>
      <c r="F1054" s="330" t="inlineStr">
        <is>
          <t xml:space="preserve">진단 대상 35개 국가·리테일러에 해당하지 않음</t>
        </is>
      </c>
    </row>
    <row r="1055" spans="1:15">
      <c r="A1055" s="256" t="s">
        <v>218</v>
      </c>
      <c r="B1055" s="256" t="s">
        <v>222</v>
      </c>
      <c r="C1055" s="256" t="s">
        <v>1763</v>
      </c>
      <c r="D1055" s="330" t="inlineStr">
        <is>
          <t xml:space="preserve">REF</t>
        </is>
      </c>
      <c r="E1055" s="330" t="inlineStr">
        <is>
          <t>Y</t>
        </is>
      </c>
      <c r="F1055" s="330" t="inlineStr">
        <is>
          <t xml:space="preserve">진단 대상 35개 국가·리테일러에 해당하지 않음</t>
        </is>
      </c>
    </row>
    <row r="1056" spans="1:15">
      <c r="A1056" s="256" t="s">
        <v>218</v>
      </c>
      <c r="B1056" s="256" t="s">
        <v>222</v>
      </c>
      <c r="C1056" s="256" t="s">
        <v>1764</v>
      </c>
      <c r="D1056" s="330" t="inlineStr">
        <is>
          <t xml:space="preserve">REF</t>
        </is>
      </c>
      <c r="E1056" s="330" t="inlineStr">
        <is>
          <t>Y</t>
        </is>
      </c>
      <c r="F1056" s="330" t="inlineStr">
        <is>
          <t xml:space="preserve">진단 대상 35개 국가·리테일러에 해당하지 않음</t>
        </is>
      </c>
    </row>
    <row r="1057" spans="1:15">
      <c r="A1057" s="256" t="s">
        <v>218</v>
      </c>
      <c r="B1057" s="256" t="s">
        <v>222</v>
      </c>
      <c r="C1057" s="256" t="s">
        <v>1765</v>
      </c>
      <c r="D1057" s="330" t="inlineStr">
        <is>
          <t xml:space="preserve">REF</t>
        </is>
      </c>
      <c r="E1057" s="330" t="inlineStr">
        <is>
          <t>Y</t>
        </is>
      </c>
      <c r="F1057" s="330" t="inlineStr">
        <is>
          <t xml:space="preserve">진단 대상 35개 국가·리테일러에 해당하지 않음</t>
        </is>
      </c>
    </row>
    <row r="1058" spans="1:15">
      <c r="A1058" s="256" t="s">
        <v>218</v>
      </c>
      <c r="B1058" s="256" t="s">
        <v>222</v>
      </c>
      <c r="C1058" s="256" t="s">
        <v>1766</v>
      </c>
      <c r="D1058" s="330" t="inlineStr">
        <is>
          <t xml:space="preserve">REF</t>
        </is>
      </c>
      <c r="E1058" s="330" t="inlineStr">
        <is>
          <t>Y</t>
        </is>
      </c>
      <c r="F1058" s="330" t="inlineStr">
        <is>
          <t xml:space="preserve">진단 대상 35개 국가·리테일러에 해당하지 않음</t>
        </is>
      </c>
    </row>
    <row r="1059" spans="1:15">
      <c r="A1059" s="256" t="s">
        <v>218</v>
      </c>
      <c r="B1059" s="256" t="s">
        <v>222</v>
      </c>
      <c r="C1059" s="256" t="s">
        <v>1767</v>
      </c>
      <c r="D1059" s="330" t="inlineStr">
        <is>
          <t xml:space="preserve">REF</t>
        </is>
      </c>
      <c r="E1059" s="330" t="inlineStr">
        <is>
          <t>Y</t>
        </is>
      </c>
      <c r="F1059" s="330" t="inlineStr">
        <is>
          <t xml:space="preserve">진단 대상 35개 국가·리테일러에 해당하지 않음</t>
        </is>
      </c>
    </row>
    <row r="1060" spans="1:15">
      <c r="A1060" s="256" t="s">
        <v>218</v>
      </c>
      <c r="B1060" s="256" t="s">
        <v>222</v>
      </c>
      <c r="C1060" s="256" t="s">
        <v>1768</v>
      </c>
      <c r="D1060" s="330" t="inlineStr">
        <is>
          <t xml:space="preserve">REF</t>
        </is>
      </c>
      <c r="E1060" s="330" t="inlineStr">
        <is>
          <t>Y</t>
        </is>
      </c>
      <c r="F1060" s="330" t="inlineStr">
        <is>
          <t xml:space="preserve">진단 대상 35개 국가·리테일러에 해당하지 않음</t>
        </is>
      </c>
    </row>
    <row r="1061" spans="1:15">
      <c r="A1061" s="256" t="s">
        <v>218</v>
      </c>
      <c r="B1061" s="256" t="s">
        <v>222</v>
      </c>
      <c r="C1061" s="256" t="s">
        <v>1769</v>
      </c>
      <c r="D1061" s="330" t="inlineStr">
        <is>
          <t xml:space="preserve">REF</t>
        </is>
      </c>
      <c r="E1061" s="330" t="inlineStr">
        <is>
          <t>Y</t>
        </is>
      </c>
      <c r="F1061" s="330" t="inlineStr">
        <is>
          <t xml:space="preserve">진단 대상 35개 국가·리테일러에 해당하지 않음</t>
        </is>
      </c>
    </row>
    <row r="1062" spans="1:15">
      <c r="A1062" s="256" t="s">
        <v>218</v>
      </c>
      <c r="B1062" s="256" t="s">
        <v>222</v>
      </c>
      <c r="C1062" s="256" t="s">
        <v>1770</v>
      </c>
      <c r="D1062" s="330" t="inlineStr">
        <is>
          <t xml:space="preserve">REF</t>
        </is>
      </c>
      <c r="E1062" s="330" t="inlineStr">
        <is>
          <t>Y</t>
        </is>
      </c>
      <c r="F1062" s="330" t="inlineStr">
        <is>
          <t xml:space="preserve">진단 대상 35개 국가·리테일러에 해당하지 않음</t>
        </is>
      </c>
    </row>
    <row r="1063" spans="1:15">
      <c r="A1063" s="256" t="s">
        <v>218</v>
      </c>
      <c r="B1063" s="256" t="s">
        <v>222</v>
      </c>
      <c r="C1063" s="256" t="s">
        <v>1771</v>
      </c>
      <c r="D1063" s="330" t="inlineStr">
        <is>
          <t xml:space="preserve">REF</t>
        </is>
      </c>
      <c r="E1063" s="330" t="inlineStr">
        <is>
          <t>Y</t>
        </is>
      </c>
      <c r="F1063" s="330" t="inlineStr">
        <is>
          <t xml:space="preserve">진단 대상 35개 국가·리테일러에 해당하지 않음</t>
        </is>
      </c>
    </row>
    <row r="1064" spans="1:15">
      <c r="A1064" s="256" t="s">
        <v>218</v>
      </c>
      <c r="B1064" s="256" t="s">
        <v>222</v>
      </c>
      <c r="C1064" s="256" t="s">
        <v>1772</v>
      </c>
      <c r="D1064" s="330" t="inlineStr">
        <is>
          <t xml:space="preserve">REF</t>
        </is>
      </c>
      <c r="E1064" s="330" t="inlineStr">
        <is>
          <t>Y</t>
        </is>
      </c>
      <c r="F1064" s="330" t="inlineStr">
        <is>
          <t xml:space="preserve">진단 대상 35개 국가·리테일러에 해당하지 않음</t>
        </is>
      </c>
    </row>
    <row r="1065" spans="1:15">
      <c r="A1065" s="256" t="s">
        <v>218</v>
      </c>
      <c r="B1065" s="256" t="s">
        <v>222</v>
      </c>
      <c r="C1065" s="256" t="s">
        <v>1773</v>
      </c>
      <c r="D1065" s="330" t="inlineStr">
        <is>
          <t xml:space="preserve">REF</t>
        </is>
      </c>
      <c r="E1065" s="330" t="inlineStr">
        <is>
          <t>Y</t>
        </is>
      </c>
      <c r="F1065" s="330" t="inlineStr">
        <is>
          <t xml:space="preserve">진단 대상 35개 국가·리테일러에 해당하지 않음</t>
        </is>
      </c>
    </row>
    <row r="1066" spans="1:15">
      <c r="A1066" s="256" t="s">
        <v>218</v>
      </c>
      <c r="B1066" s="256" t="s">
        <v>222</v>
      </c>
      <c r="C1066" s="256" t="s">
        <v>1774</v>
      </c>
      <c r="D1066" s="330" t="inlineStr">
        <is>
          <t xml:space="preserve">REF</t>
        </is>
      </c>
      <c r="E1066" s="330" t="inlineStr">
        <is>
          <t>Y</t>
        </is>
      </c>
      <c r="F1066" s="330" t="inlineStr">
        <is>
          <t xml:space="preserve">진단 대상 35개 국가·리테일러에 해당하지 않음</t>
        </is>
      </c>
    </row>
    <row r="1067" spans="1:15">
      <c r="A1067" s="256" t="s">
        <v>218</v>
      </c>
      <c r="B1067" s="256" t="s">
        <v>222</v>
      </c>
      <c r="C1067" s="256" t="s">
        <v>1775</v>
      </c>
      <c r="D1067" s="330" t="inlineStr">
        <is>
          <t xml:space="preserve">REF</t>
        </is>
      </c>
      <c r="E1067" s="330" t="inlineStr">
        <is>
          <t>Y</t>
        </is>
      </c>
      <c r="F1067" s="330" t="inlineStr">
        <is>
          <t xml:space="preserve">진단 대상 35개 국가·리테일러에 해당하지 않음</t>
        </is>
      </c>
    </row>
    <row r="1068" spans="1:15">
      <c r="A1068" s="256" t="s">
        <v>218</v>
      </c>
      <c r="B1068" s="256" t="s">
        <v>222</v>
      </c>
      <c r="C1068" s="256" t="s">
        <v>1776</v>
      </c>
      <c r="D1068" s="330" t="inlineStr">
        <is>
          <t xml:space="preserve">REF</t>
        </is>
      </c>
      <c r="E1068" s="330" t="inlineStr">
        <is>
          <t>Y</t>
        </is>
      </c>
      <c r="F1068" s="330" t="inlineStr">
        <is>
          <t xml:space="preserve">진단 대상 35개 국가·리테일러에 해당하지 않음</t>
        </is>
      </c>
    </row>
    <row r="1069" spans="1:15">
      <c r="A1069" s="256" t="s">
        <v>218</v>
      </c>
      <c r="B1069" s="256" t="s">
        <v>222</v>
      </c>
      <c r="C1069" s="256" t="s">
        <v>1777</v>
      </c>
      <c r="D1069" s="330" t="inlineStr">
        <is>
          <t xml:space="preserve">REF</t>
        </is>
      </c>
      <c r="E1069" s="330" t="inlineStr">
        <is>
          <t>Y</t>
        </is>
      </c>
      <c r="F1069" s="330" t="inlineStr">
        <is>
          <t xml:space="preserve">진단 대상 35개 국가·리테일러에 해당하지 않음</t>
        </is>
      </c>
    </row>
    <row r="1070" spans="1:15">
      <c r="A1070" s="256" t="s">
        <v>218</v>
      </c>
      <c r="B1070" s="256" t="s">
        <v>222</v>
      </c>
      <c r="C1070" s="256" t="s">
        <v>1778</v>
      </c>
      <c r="D1070" s="330" t="inlineStr">
        <is>
          <t xml:space="preserve">REF</t>
        </is>
      </c>
      <c r="E1070" s="330" t="inlineStr">
        <is>
          <t>Y</t>
        </is>
      </c>
      <c r="F1070" s="330" t="inlineStr">
        <is>
          <t xml:space="preserve">진단 대상 35개 국가·리테일러에 해당하지 않음</t>
        </is>
      </c>
    </row>
    <row r="1071" spans="1:15">
      <c r="A1071" s="256" t="s">
        <v>218</v>
      </c>
      <c r="B1071" s="256" t="s">
        <v>222</v>
      </c>
      <c r="C1071" s="256" t="s">
        <v>1779</v>
      </c>
      <c r="D1071" s="330" t="inlineStr">
        <is>
          <t xml:space="preserve">REF</t>
        </is>
      </c>
      <c r="E1071" s="330" t="inlineStr">
        <is>
          <t>Y</t>
        </is>
      </c>
      <c r="F1071" s="330" t="inlineStr">
        <is>
          <t xml:space="preserve">진단 대상 35개 국가·리테일러에 해당하지 않음</t>
        </is>
      </c>
    </row>
    <row r="1072" spans="1:15">
      <c r="A1072" s="256" t="s">
        <v>218</v>
      </c>
      <c r="B1072" s="256" t="s">
        <v>222</v>
      </c>
      <c r="C1072" s="256" t="s">
        <v>1780</v>
      </c>
      <c r="D1072" s="330" t="inlineStr">
        <is>
          <t xml:space="preserve">REF</t>
        </is>
      </c>
      <c r="E1072" s="330" t="inlineStr">
        <is>
          <t>Y</t>
        </is>
      </c>
      <c r="F1072" s="330" t="inlineStr">
        <is>
          <t xml:space="preserve">진단 대상 35개 국가·리테일러에 해당하지 않음</t>
        </is>
      </c>
    </row>
    <row r="1073" spans="1:15">
      <c r="A1073" s="256" t="s">
        <v>218</v>
      </c>
      <c r="B1073" s="256" t="s">
        <v>222</v>
      </c>
      <c r="C1073" s="256" t="s">
        <v>1781</v>
      </c>
      <c r="D1073" s="330" t="inlineStr">
        <is>
          <t xml:space="preserve">REF</t>
        </is>
      </c>
      <c r="E1073" s="330" t="inlineStr">
        <is>
          <t>Y</t>
        </is>
      </c>
      <c r="F1073" s="330" t="inlineStr">
        <is>
          <t xml:space="preserve">진단 대상 35개 국가·리테일러에 해당하지 않음</t>
        </is>
      </c>
    </row>
    <row r="1074" spans="1:15">
      <c r="A1074" s="256" t="s">
        <v>218</v>
      </c>
      <c r="B1074" s="256" t="s">
        <v>222</v>
      </c>
      <c r="C1074" s="256" t="s">
        <v>1782</v>
      </c>
      <c r="D1074" s="330" t="inlineStr">
        <is>
          <t xml:space="preserve">REF</t>
        </is>
      </c>
      <c r="E1074" s="330" t="inlineStr">
        <is>
          <t>Y</t>
        </is>
      </c>
      <c r="F1074" s="330" t="inlineStr">
        <is>
          <t xml:space="preserve">진단 대상 35개 국가·리테일러에 해당하지 않음</t>
        </is>
      </c>
    </row>
    <row r="1075" spans="1:15">
      <c r="A1075" s="256" t="s">
        <v>218</v>
      </c>
      <c r="B1075" s="256" t="s">
        <v>222</v>
      </c>
      <c r="C1075" s="256" t="s">
        <v>1783</v>
      </c>
      <c r="D1075" s="330" t="inlineStr">
        <is>
          <t xml:space="preserve">REF</t>
        </is>
      </c>
      <c r="E1075" s="330" t="inlineStr">
        <is>
          <t>Y</t>
        </is>
      </c>
      <c r="F1075" s="330" t="inlineStr">
        <is>
          <t xml:space="preserve">진단 대상 35개 국가·리테일러에 해당하지 않음</t>
        </is>
      </c>
    </row>
    <row r="1076" spans="1:15">
      <c r="A1076" s="256" t="s">
        <v>218</v>
      </c>
      <c r="B1076" s="256" t="s">
        <v>222</v>
      </c>
      <c r="C1076" s="256" t="s">
        <v>1784</v>
      </c>
      <c r="D1076" s="330" t="inlineStr">
        <is>
          <t xml:space="preserve">REF</t>
        </is>
      </c>
      <c r="E1076" s="330" t="inlineStr">
        <is>
          <t>Y</t>
        </is>
      </c>
      <c r="F1076" s="330" t="inlineStr">
        <is>
          <t xml:space="preserve">진단 대상 35개 국가·리테일러에 해당하지 않음</t>
        </is>
      </c>
    </row>
    <row r="1077" spans="1:15">
      <c r="A1077" s="256" t="s">
        <v>218</v>
      </c>
      <c r="B1077" s="256" t="s">
        <v>222</v>
      </c>
      <c r="C1077" s="256" t="s">
        <v>1785</v>
      </c>
      <c r="D1077" s="330" t="inlineStr">
        <is>
          <t xml:space="preserve">REF</t>
        </is>
      </c>
      <c r="E1077" s="330" t="inlineStr">
        <is>
          <t>Y</t>
        </is>
      </c>
      <c r="F1077" s="330" t="inlineStr">
        <is>
          <t xml:space="preserve">진단 대상 35개 국가·리테일러에 해당하지 않음</t>
        </is>
      </c>
    </row>
    <row r="1078" spans="1:15">
      <c r="A1078" s="256" t="s">
        <v>218</v>
      </c>
      <c r="B1078" s="256" t="s">
        <v>222</v>
      </c>
      <c r="C1078" s="256" t="s">
        <v>1786</v>
      </c>
      <c r="D1078" s="330" t="inlineStr">
        <is>
          <t xml:space="preserve">REF</t>
        </is>
      </c>
      <c r="E1078" s="330" t="inlineStr">
        <is>
          <t>Y</t>
        </is>
      </c>
      <c r="F1078" s="330" t="inlineStr">
        <is>
          <t xml:space="preserve">진단 대상 35개 국가·리테일러에 해당하지 않음</t>
        </is>
      </c>
    </row>
    <row r="1079" spans="1:15">
      <c r="A1079" s="256" t="s">
        <v>218</v>
      </c>
      <c r="B1079" s="256" t="s">
        <v>222</v>
      </c>
      <c r="C1079" s="256" t="s">
        <v>1787</v>
      </c>
      <c r="D1079" s="330" t="inlineStr">
        <is>
          <t xml:space="preserve">REF</t>
        </is>
      </c>
      <c r="E1079" s="330" t="inlineStr">
        <is>
          <t>Y</t>
        </is>
      </c>
      <c r="F1079" s="330" t="inlineStr">
        <is>
          <t xml:space="preserve">진단 대상 35개 국가·리테일러에 해당하지 않음</t>
        </is>
      </c>
    </row>
    <row r="1080" spans="1:15">
      <c r="A1080" s="256" t="s">
        <v>218</v>
      </c>
      <c r="B1080" s="256" t="s">
        <v>222</v>
      </c>
      <c r="C1080" s="256" t="s">
        <v>1788</v>
      </c>
      <c r="D1080" s="330" t="inlineStr">
        <is>
          <t xml:space="preserve">REF</t>
        </is>
      </c>
      <c r="E1080" s="330" t="inlineStr">
        <is>
          <t>Y</t>
        </is>
      </c>
      <c r="F1080" s="330" t="inlineStr">
        <is>
          <t xml:space="preserve">진단 대상 35개 국가·리테일러에 해당하지 않음</t>
        </is>
      </c>
    </row>
    <row r="1081" spans="1:15">
      <c r="A1081" s="256" t="s">
        <v>218</v>
      </c>
      <c r="B1081" s="256" t="s">
        <v>222</v>
      </c>
      <c r="C1081" s="256" t="s">
        <v>1789</v>
      </c>
      <c r="D1081" s="330" t="inlineStr">
        <is>
          <t xml:space="preserve">REF</t>
        </is>
      </c>
      <c r="E1081" s="330" t="inlineStr">
        <is>
          <t>Y</t>
        </is>
      </c>
      <c r="F1081" s="330" t="inlineStr">
        <is>
          <t xml:space="preserve">진단 대상 35개 국가·리테일러에 해당하지 않음</t>
        </is>
      </c>
    </row>
    <row r="1082" spans="1:15">
      <c r="A1082" s="256" t="s">
        <v>218</v>
      </c>
      <c r="B1082" s="256" t="s">
        <v>222</v>
      </c>
      <c r="C1082" s="256" t="s">
        <v>1790</v>
      </c>
      <c r="D1082" s="332" t="inlineStr">
        <is>
          <t xml:space="preserve">UNKNOWN</t>
        </is>
      </c>
      <c r="E1082" s="330" t="inlineStr">
        <is>
          <t>Y</t>
        </is>
      </c>
      <c r="F1082" s="330" t="inlineStr">
        <is>
          <t xml:space="preserve">진단 대상 35개 국가·리테일러에 해당하지 않음</t>
        </is>
      </c>
    </row>
    <row r="1083" spans="1:15">
      <c r="A1083" s="256" t="s">
        <v>218</v>
      </c>
      <c r="B1083" s="256" t="s">
        <v>222</v>
      </c>
      <c r="C1083" s="256" t="s">
        <v>1791</v>
      </c>
      <c r="D1083" s="332" t="inlineStr">
        <is>
          <t xml:space="preserve">UNKNOWN</t>
        </is>
      </c>
      <c r="E1083" s="330" t="inlineStr">
        <is>
          <t>Y</t>
        </is>
      </c>
      <c r="F1083" s="330" t="inlineStr">
        <is>
          <t xml:space="preserve">진단 대상 35개 국가·리테일러에 해당하지 않음</t>
        </is>
      </c>
    </row>
    <row r="1084" spans="1:15">
      <c r="A1084" s="256" t="s">
        <v>218</v>
      </c>
      <c r="B1084" s="256" t="s">
        <v>222</v>
      </c>
      <c r="C1084" s="256" t="s">
        <v>1792</v>
      </c>
      <c r="D1084" s="330" t="inlineStr">
        <is>
          <t xml:space="preserve">MNT</t>
        </is>
      </c>
      <c r="E1084" s="330" t="inlineStr">
        <is>
          <t>Y</t>
        </is>
      </c>
      <c r="F1084" s="330" t="inlineStr">
        <is>
          <t xml:space="preserve">진단 대상 35개 국가·리테일러에 해당하지 않음</t>
        </is>
      </c>
    </row>
    <row r="1085" spans="1:15">
      <c r="A1085" s="256" t="s">
        <v>218</v>
      </c>
      <c r="B1085" s="256" t="s">
        <v>222</v>
      </c>
      <c r="C1085" s="256" t="s">
        <v>1793</v>
      </c>
      <c r="D1085" s="332" t="inlineStr">
        <is>
          <t xml:space="preserve">UNKNOWN</t>
        </is>
      </c>
      <c r="E1085" s="330" t="inlineStr">
        <is>
          <t>Y</t>
        </is>
      </c>
      <c r="F1085" s="330" t="inlineStr">
        <is>
          <t xml:space="preserve">진단 대상 35개 국가·리테일러에 해당하지 않음</t>
        </is>
      </c>
    </row>
    <row r="1086" spans="1:15">
      <c r="A1086" s="256" t="s">
        <v>218</v>
      </c>
      <c r="B1086" s="256" t="s">
        <v>222</v>
      </c>
      <c r="C1086" s="256" t="s">
        <v>1794</v>
      </c>
      <c r="D1086" s="330" t="inlineStr">
        <is>
          <t xml:space="preserve">MNT</t>
        </is>
      </c>
      <c r="E1086" s="330" t="inlineStr">
        <is>
          <t>Y</t>
        </is>
      </c>
      <c r="F1086" s="330" t="inlineStr">
        <is>
          <t xml:space="preserve">진단 대상 35개 국가·리테일러에 해당하지 않음</t>
        </is>
      </c>
    </row>
    <row r="1087" spans="1:15">
      <c r="A1087" s="256" t="s">
        <v>218</v>
      </c>
      <c r="B1087" s="256" t="s">
        <v>222</v>
      </c>
      <c r="C1087" s="256" t="s">
        <v>1795</v>
      </c>
      <c r="D1087" s="330" t="inlineStr">
        <is>
          <t xml:space="preserve">MNT</t>
        </is>
      </c>
      <c r="E1087" s="330" t="inlineStr">
        <is>
          <t>Y</t>
        </is>
      </c>
      <c r="F1087" s="330" t="inlineStr">
        <is>
          <t xml:space="preserve">진단 대상 35개 국가·리테일러에 해당하지 않음</t>
        </is>
      </c>
    </row>
    <row r="1088" spans="1:15">
      <c r="A1088" s="256" t="s">
        <v>218</v>
      </c>
      <c r="B1088" s="256" t="s">
        <v>222</v>
      </c>
      <c r="C1088" s="256" t="s">
        <v>1796</v>
      </c>
      <c r="D1088" s="330" t="inlineStr">
        <is>
          <t xml:space="preserve">MNT</t>
        </is>
      </c>
      <c r="E1088" s="330" t="inlineStr">
        <is>
          <t>Y</t>
        </is>
      </c>
      <c r="F1088" s="330" t="inlineStr">
        <is>
          <t xml:space="preserve">진단 대상 35개 국가·리테일러에 해당하지 않음</t>
        </is>
      </c>
    </row>
    <row r="1089" spans="1:15">
      <c r="A1089" s="256" t="s">
        <v>218</v>
      </c>
      <c r="B1089" s="256" t="s">
        <v>222</v>
      </c>
      <c r="C1089" s="256" t="s">
        <v>1797</v>
      </c>
      <c r="D1089" s="330" t="inlineStr">
        <is>
          <t xml:space="preserve">MNT</t>
        </is>
      </c>
      <c r="E1089" s="330" t="inlineStr">
        <is>
          <t>Y</t>
        </is>
      </c>
      <c r="F1089" s="330" t="inlineStr">
        <is>
          <t xml:space="preserve">진단 대상 35개 국가·리테일러에 해당하지 않음</t>
        </is>
      </c>
    </row>
    <row r="1090" spans="1:15">
      <c r="A1090" s="256" t="s">
        <v>218</v>
      </c>
      <c r="B1090" s="256" t="s">
        <v>222</v>
      </c>
      <c r="C1090" s="256" t="s">
        <v>1798</v>
      </c>
      <c r="D1090" s="330" t="inlineStr">
        <is>
          <t xml:space="preserve">MNT</t>
        </is>
      </c>
      <c r="E1090" s="330" t="inlineStr">
        <is>
          <t>Y</t>
        </is>
      </c>
      <c r="F1090" s="330" t="inlineStr">
        <is>
          <t xml:space="preserve">진단 대상 35개 국가·리테일러에 해당하지 않음</t>
        </is>
      </c>
    </row>
    <row r="1091" spans="1:15">
      <c r="A1091" s="256" t="s">
        <v>218</v>
      </c>
      <c r="B1091" s="256" t="s">
        <v>222</v>
      </c>
      <c r="C1091" s="256" t="s">
        <v>1799</v>
      </c>
      <c r="D1091" s="330" t="inlineStr">
        <is>
          <t xml:space="preserve">MNT</t>
        </is>
      </c>
      <c r="E1091" s="330" t="inlineStr">
        <is>
          <t>Y</t>
        </is>
      </c>
      <c r="F1091" s="330" t="inlineStr">
        <is>
          <t xml:space="preserve">진단 대상 35개 국가·리테일러에 해당하지 않음</t>
        </is>
      </c>
    </row>
    <row r="1092" spans="1:15">
      <c r="A1092" s="256" t="s">
        <v>218</v>
      </c>
      <c r="B1092" s="256" t="s">
        <v>222</v>
      </c>
      <c r="C1092" s="256" t="s">
        <v>1800</v>
      </c>
      <c r="D1092" s="330" t="inlineStr">
        <is>
          <t xml:space="preserve">MNT</t>
        </is>
      </c>
      <c r="E1092" s="330" t="inlineStr">
        <is>
          <t>Y</t>
        </is>
      </c>
      <c r="F1092" s="330" t="inlineStr">
        <is>
          <t xml:space="preserve">진단 대상 35개 국가·리테일러에 해당하지 않음</t>
        </is>
      </c>
    </row>
    <row r="1093" spans="1:15">
      <c r="A1093" s="256" t="s">
        <v>218</v>
      </c>
      <c r="B1093" s="256" t="s">
        <v>222</v>
      </c>
      <c r="C1093" s="256" t="s">
        <v>1801</v>
      </c>
      <c r="D1093" s="332" t="inlineStr">
        <is>
          <t xml:space="preserve">UNKNOWN</t>
        </is>
      </c>
      <c r="E1093" s="330" t="inlineStr">
        <is>
          <t>Y</t>
        </is>
      </c>
      <c r="F1093" s="330" t="inlineStr">
        <is>
          <t xml:space="preserve">진단 대상 35개 국가·리테일러에 해당하지 않음</t>
        </is>
      </c>
    </row>
    <row r="1094" spans="1:15">
      <c r="A1094" s="256" t="s">
        <v>218</v>
      </c>
      <c r="B1094" s="256" t="s">
        <v>222</v>
      </c>
      <c r="C1094" s="256" t="s">
        <v>1802</v>
      </c>
      <c r="D1094" s="330" t="inlineStr">
        <is>
          <t xml:space="preserve">MNT</t>
        </is>
      </c>
      <c r="E1094" s="330" t="inlineStr">
        <is>
          <t>Y</t>
        </is>
      </c>
      <c r="F1094" s="330" t="inlineStr">
        <is>
          <t xml:space="preserve">진단 대상 35개 국가·리테일러에 해당하지 않음</t>
        </is>
      </c>
    </row>
    <row r="1095" spans="1:15">
      <c r="A1095" s="256" t="s">
        <v>218</v>
      </c>
      <c r="B1095" s="256" t="s">
        <v>222</v>
      </c>
      <c r="C1095" s="256" t="s">
        <v>1803</v>
      </c>
      <c r="D1095" s="330" t="inlineStr">
        <is>
          <t xml:space="preserve">MNT</t>
        </is>
      </c>
      <c r="E1095" s="330" t="inlineStr">
        <is>
          <t>Y</t>
        </is>
      </c>
      <c r="F1095" s="330" t="inlineStr">
        <is>
          <t xml:space="preserve">진단 대상 35개 국가·리테일러에 해당하지 않음</t>
        </is>
      </c>
    </row>
    <row r="1096" spans="1:15">
      <c r="A1096" s="256" t="s">
        <v>218</v>
      </c>
      <c r="B1096" s="256" t="s">
        <v>222</v>
      </c>
      <c r="C1096" s="256" t="s">
        <v>1804</v>
      </c>
      <c r="D1096" s="332" t="inlineStr">
        <is>
          <t xml:space="preserve">UNKNOWN</t>
        </is>
      </c>
      <c r="E1096" s="330" t="inlineStr">
        <is>
          <t>Y</t>
        </is>
      </c>
      <c r="F1096" s="330" t="inlineStr">
        <is>
          <t xml:space="preserve">진단 대상 35개 국가·리테일러에 해당하지 않음</t>
        </is>
      </c>
    </row>
    <row r="1097" spans="1:15">
      <c r="A1097" s="256" t="s">
        <v>218</v>
      </c>
      <c r="B1097" s="256" t="s">
        <v>222</v>
      </c>
      <c r="C1097" s="256" t="s">
        <v>1805</v>
      </c>
      <c r="D1097" s="330" t="inlineStr">
        <is>
          <t xml:space="preserve">MNT</t>
        </is>
      </c>
      <c r="E1097" s="330" t="inlineStr">
        <is>
          <t>Y</t>
        </is>
      </c>
      <c r="F1097" s="330" t="inlineStr">
        <is>
          <t xml:space="preserve">진단 대상 35개 국가·리테일러에 해당하지 않음</t>
        </is>
      </c>
    </row>
    <row r="1098" spans="1:15">
      <c r="A1098" s="256" t="s">
        <v>218</v>
      </c>
      <c r="B1098" s="256" t="s">
        <v>222</v>
      </c>
      <c r="C1098" s="256" t="s">
        <v>1806</v>
      </c>
      <c r="D1098" s="330" t="inlineStr">
        <is>
          <t xml:space="preserve">MNT</t>
        </is>
      </c>
      <c r="E1098" s="330" t="inlineStr">
        <is>
          <t>Y</t>
        </is>
      </c>
      <c r="F1098" s="330" t="inlineStr">
        <is>
          <t xml:space="preserve">진단 대상 35개 국가·리테일러에 해당하지 않음</t>
        </is>
      </c>
    </row>
    <row r="1099" spans="1:15">
      <c r="A1099" s="256" t="s">
        <v>218</v>
      </c>
      <c r="B1099" s="256" t="s">
        <v>222</v>
      </c>
      <c r="C1099" s="256" t="s">
        <v>1807</v>
      </c>
      <c r="D1099" s="330" t="inlineStr">
        <is>
          <t xml:space="preserve">MNT</t>
        </is>
      </c>
      <c r="E1099" s="330" t="inlineStr">
        <is>
          <t>Y</t>
        </is>
      </c>
      <c r="F1099" s="330" t="inlineStr">
        <is>
          <t xml:space="preserve">진단 대상 35개 국가·리테일러에 해당하지 않음</t>
        </is>
      </c>
    </row>
    <row r="1100" spans="1:15">
      <c r="A1100" s="256" t="s">
        <v>218</v>
      </c>
      <c r="B1100" s="256" t="s">
        <v>222</v>
      </c>
      <c r="C1100" s="256" t="s">
        <v>1808</v>
      </c>
      <c r="D1100" s="330" t="inlineStr">
        <is>
          <t xml:space="preserve">MNT</t>
        </is>
      </c>
      <c r="E1100" s="330" t="inlineStr">
        <is>
          <t>Y</t>
        </is>
      </c>
      <c r="F1100" s="330" t="inlineStr">
        <is>
          <t xml:space="preserve">진단 대상 35개 국가·리테일러에 해당하지 않음</t>
        </is>
      </c>
    </row>
    <row r="1101" spans="1:15">
      <c r="A1101" s="256" t="s">
        <v>218</v>
      </c>
      <c r="B1101" s="256" t="s">
        <v>222</v>
      </c>
      <c r="C1101" s="256" t="s">
        <v>1809</v>
      </c>
      <c r="D1101" s="330" t="inlineStr">
        <is>
          <t xml:space="preserve">MNT</t>
        </is>
      </c>
      <c r="E1101" s="330" t="inlineStr">
        <is>
          <t>Y</t>
        </is>
      </c>
      <c r="F1101" s="330" t="inlineStr">
        <is>
          <t xml:space="preserve">진단 대상 35개 국가·리테일러에 해당하지 않음</t>
        </is>
      </c>
    </row>
    <row r="1102" spans="1:15">
      <c r="A1102" s="256" t="s">
        <v>218</v>
      </c>
      <c r="B1102" s="256" t="s">
        <v>222</v>
      </c>
      <c r="C1102" s="256" t="s">
        <v>1810</v>
      </c>
      <c r="D1102" s="330" t="inlineStr">
        <is>
          <t xml:space="preserve">MNT</t>
        </is>
      </c>
      <c r="E1102" s="330" t="inlineStr">
        <is>
          <t>Y</t>
        </is>
      </c>
      <c r="F1102" s="330" t="inlineStr">
        <is>
          <t xml:space="preserve">진단 대상 35개 국가·리테일러에 해당하지 않음</t>
        </is>
      </c>
    </row>
    <row r="1103" spans="1:15">
      <c r="A1103" s="256" t="s">
        <v>218</v>
      </c>
      <c r="B1103" s="256" t="s">
        <v>222</v>
      </c>
      <c r="C1103" s="256" t="s">
        <v>1811</v>
      </c>
      <c r="D1103" s="330" t="inlineStr">
        <is>
          <t xml:space="preserve">MNT</t>
        </is>
      </c>
      <c r="E1103" s="330" t="inlineStr">
        <is>
          <t>Y</t>
        </is>
      </c>
      <c r="F1103" s="330" t="inlineStr">
        <is>
          <t xml:space="preserve">진단 대상 35개 국가·리테일러에 해당하지 않음</t>
        </is>
      </c>
    </row>
    <row r="1104" spans="1:15">
      <c r="A1104" s="256" t="s">
        <v>218</v>
      </c>
      <c r="B1104" s="256" t="s">
        <v>222</v>
      </c>
      <c r="C1104" s="256" t="s">
        <v>1812</v>
      </c>
      <c r="D1104" s="330" t="inlineStr">
        <is>
          <t xml:space="preserve">MNT</t>
        </is>
      </c>
      <c r="E1104" s="330" t="inlineStr">
        <is>
          <t>Y</t>
        </is>
      </c>
      <c r="F1104" s="330" t="inlineStr">
        <is>
          <t xml:space="preserve">진단 대상 35개 국가·리테일러에 해당하지 않음</t>
        </is>
      </c>
    </row>
    <row r="1105" spans="1:15">
      <c r="A1105" s="256" t="s">
        <v>218</v>
      </c>
      <c r="B1105" s="256" t="s">
        <v>222</v>
      </c>
      <c r="C1105" s="256" t="s">
        <v>1813</v>
      </c>
      <c r="D1105" s="330" t="inlineStr">
        <is>
          <t xml:space="preserve">MNT</t>
        </is>
      </c>
      <c r="E1105" s="330" t="inlineStr">
        <is>
          <t>Y</t>
        </is>
      </c>
      <c r="F1105" s="330" t="inlineStr">
        <is>
          <t xml:space="preserve">진단 대상 35개 국가·리테일러에 해당하지 않음</t>
        </is>
      </c>
    </row>
    <row r="1106" spans="1:15">
      <c r="A1106" s="256" t="s">
        <v>218</v>
      </c>
      <c r="B1106" s="256" t="s">
        <v>222</v>
      </c>
      <c r="C1106" s="256" t="s">
        <v>1814</v>
      </c>
      <c r="D1106" s="332" t="inlineStr">
        <is>
          <t xml:space="preserve">UNKNOWN</t>
        </is>
      </c>
      <c r="E1106" s="330" t="inlineStr">
        <is>
          <t>Y</t>
        </is>
      </c>
      <c r="F1106" s="330" t="inlineStr">
        <is>
          <t xml:space="preserve">진단 대상 35개 국가·리테일러에 해당하지 않음</t>
        </is>
      </c>
    </row>
    <row r="1107" spans="1:15">
      <c r="A1107" s="256" t="s">
        <v>218</v>
      </c>
      <c r="B1107" s="256" t="s">
        <v>222</v>
      </c>
      <c r="C1107" s="256" t="s">
        <v>1815</v>
      </c>
      <c r="D1107" s="330" t="inlineStr">
        <is>
          <t xml:space="preserve">MNT</t>
        </is>
      </c>
      <c r="E1107" s="330" t="inlineStr">
        <is>
          <t>Y</t>
        </is>
      </c>
      <c r="F1107" s="330" t="inlineStr">
        <is>
          <t xml:space="preserve">진단 대상 35개 국가·리테일러에 해당하지 않음</t>
        </is>
      </c>
    </row>
    <row r="1108" spans="1:15">
      <c r="A1108" s="256" t="s">
        <v>218</v>
      </c>
      <c r="B1108" s="256" t="s">
        <v>222</v>
      </c>
      <c r="C1108" s="256" t="s">
        <v>1816</v>
      </c>
      <c r="D1108" s="330" t="inlineStr">
        <is>
          <t xml:space="preserve">MNT</t>
        </is>
      </c>
      <c r="E1108" s="330" t="inlineStr">
        <is>
          <t>Y</t>
        </is>
      </c>
      <c r="F1108" s="330" t="inlineStr">
        <is>
          <t xml:space="preserve">진단 대상 35개 국가·리테일러에 해당하지 않음</t>
        </is>
      </c>
    </row>
    <row r="1109" spans="1:15">
      <c r="A1109" s="256" t="s">
        <v>218</v>
      </c>
      <c r="B1109" s="256" t="s">
        <v>222</v>
      </c>
      <c r="C1109" s="256" t="s">
        <v>1817</v>
      </c>
      <c r="D1109" s="330" t="inlineStr">
        <is>
          <t xml:space="preserve">MNT</t>
        </is>
      </c>
      <c r="E1109" s="330" t="inlineStr">
        <is>
          <t>Y</t>
        </is>
      </c>
      <c r="F1109" s="330" t="inlineStr">
        <is>
          <t xml:space="preserve">진단 대상 35개 국가·리테일러에 해당하지 않음</t>
        </is>
      </c>
    </row>
    <row r="1110" spans="1:15">
      <c r="A1110" s="256" t="s">
        <v>218</v>
      </c>
      <c r="B1110" s="256" t="s">
        <v>222</v>
      </c>
      <c r="C1110" s="256" t="s">
        <v>1818</v>
      </c>
      <c r="D1110" s="330" t="inlineStr">
        <is>
          <t xml:space="preserve">MNT</t>
        </is>
      </c>
      <c r="E1110" s="330" t="inlineStr">
        <is>
          <t>Y</t>
        </is>
      </c>
      <c r="F1110" s="330" t="inlineStr">
        <is>
          <t xml:space="preserve">진단 대상 35개 국가·리테일러에 해당하지 않음</t>
        </is>
      </c>
    </row>
    <row r="1111" spans="1:15">
      <c r="A1111" s="256" t="s">
        <v>218</v>
      </c>
      <c r="B1111" s="256" t="s">
        <v>222</v>
      </c>
      <c r="C1111" s="256" t="s">
        <v>1819</v>
      </c>
      <c r="D1111" s="330" t="inlineStr">
        <is>
          <t xml:space="preserve">MNT</t>
        </is>
      </c>
      <c r="E1111" s="330" t="inlineStr">
        <is>
          <t>Y</t>
        </is>
      </c>
      <c r="F1111" s="330" t="inlineStr">
        <is>
          <t xml:space="preserve">진단 대상 35개 국가·리테일러에 해당하지 않음</t>
        </is>
      </c>
    </row>
    <row r="1112" spans="1:15">
      <c r="A1112" s="256" t="s">
        <v>218</v>
      </c>
      <c r="B1112" s="256" t="s">
        <v>222</v>
      </c>
      <c r="C1112" s="256" t="s">
        <v>1820</v>
      </c>
      <c r="D1112" s="330" t="inlineStr">
        <is>
          <t xml:space="preserve">MNT</t>
        </is>
      </c>
      <c r="E1112" s="330" t="inlineStr">
        <is>
          <t>Y</t>
        </is>
      </c>
      <c r="F1112" s="330" t="inlineStr">
        <is>
          <t xml:space="preserve">진단 대상 35개 국가·리테일러에 해당하지 않음</t>
        </is>
      </c>
    </row>
    <row r="1113" spans="1:15">
      <c r="A1113" s="256" t="s">
        <v>218</v>
      </c>
      <c r="B1113" s="256" t="s">
        <v>222</v>
      </c>
      <c r="C1113" s="256" t="s">
        <v>1821</v>
      </c>
      <c r="D1113" s="330" t="inlineStr">
        <is>
          <t xml:space="preserve">MNT</t>
        </is>
      </c>
      <c r="E1113" s="330" t="inlineStr">
        <is>
          <t>Y</t>
        </is>
      </c>
      <c r="F1113" s="330" t="inlineStr">
        <is>
          <t xml:space="preserve">진단 대상 35개 국가·리테일러에 해당하지 않음</t>
        </is>
      </c>
    </row>
    <row r="1114" spans="1:15">
      <c r="A1114" s="256" t="s">
        <v>218</v>
      </c>
      <c r="B1114" s="256" t="s">
        <v>222</v>
      </c>
      <c r="C1114" s="256" t="s">
        <v>1822</v>
      </c>
      <c r="D1114" s="330" t="inlineStr">
        <is>
          <t xml:space="preserve">MNT</t>
        </is>
      </c>
      <c r="E1114" s="330" t="inlineStr">
        <is>
          <t>Y</t>
        </is>
      </c>
      <c r="F1114" s="330" t="inlineStr">
        <is>
          <t xml:space="preserve">진단 대상 35개 국가·리테일러에 해당하지 않음</t>
        </is>
      </c>
    </row>
    <row r="1115" spans="1:15">
      <c r="A1115" s="256" t="s">
        <v>218</v>
      </c>
      <c r="B1115" s="256" t="s">
        <v>222</v>
      </c>
      <c r="C1115" s="256" t="s">
        <v>1823</v>
      </c>
      <c r="D1115" s="332" t="inlineStr">
        <is>
          <t xml:space="preserve">UNKNOWN</t>
        </is>
      </c>
      <c r="E1115" s="330" t="inlineStr">
        <is>
          <t>Y</t>
        </is>
      </c>
      <c r="F1115" s="330" t="inlineStr">
        <is>
          <t xml:space="preserve">진단 대상 35개 국가·리테일러에 해당하지 않음</t>
        </is>
      </c>
    </row>
    <row r="1116" spans="1:15">
      <c r="A1116" s="256" t="s">
        <v>218</v>
      </c>
      <c r="B1116" s="256" t="s">
        <v>222</v>
      </c>
      <c r="C1116" s="256" t="s">
        <v>1824</v>
      </c>
      <c r="D1116" s="330" t="inlineStr">
        <is>
          <t xml:space="preserve">MNT</t>
        </is>
      </c>
      <c r="E1116" s="330" t="inlineStr">
        <is>
          <t>Y</t>
        </is>
      </c>
      <c r="F1116" s="330" t="inlineStr">
        <is>
          <t xml:space="preserve">진단 대상 35개 국가·리테일러에 해당하지 않음</t>
        </is>
      </c>
    </row>
    <row r="1117" spans="1:15">
      <c r="A1117" s="256" t="s">
        <v>218</v>
      </c>
      <c r="B1117" s="256" t="s">
        <v>222</v>
      </c>
      <c r="C1117" s="256" t="s">
        <v>1825</v>
      </c>
      <c r="D1117" s="330" t="inlineStr">
        <is>
          <t xml:space="preserve">MNT</t>
        </is>
      </c>
      <c r="E1117" s="330" t="inlineStr">
        <is>
          <t>Y</t>
        </is>
      </c>
      <c r="F1117" s="330" t="inlineStr">
        <is>
          <t xml:space="preserve">진단 대상 35개 국가·리테일러에 해당하지 않음</t>
        </is>
      </c>
    </row>
    <row r="1118" spans="1:15">
      <c r="A1118" s="256" t="s">
        <v>218</v>
      </c>
      <c r="B1118" s="256" t="s">
        <v>222</v>
      </c>
      <c r="C1118" s="256" t="s">
        <v>1826</v>
      </c>
      <c r="D1118" s="330" t="inlineStr">
        <is>
          <t xml:space="preserve">MNT</t>
        </is>
      </c>
      <c r="E1118" s="330" t="inlineStr">
        <is>
          <t>Y</t>
        </is>
      </c>
      <c r="F1118" s="330" t="inlineStr">
        <is>
          <t xml:space="preserve">진단 대상 35개 국가·리테일러에 해당하지 않음</t>
        </is>
      </c>
    </row>
    <row r="1119" spans="1:15">
      <c r="A1119" s="256" t="s">
        <v>218</v>
      </c>
      <c r="B1119" s="256" t="s">
        <v>222</v>
      </c>
      <c r="C1119" s="256" t="s">
        <v>1827</v>
      </c>
      <c r="D1119" s="330" t="inlineStr">
        <is>
          <t xml:space="preserve">MNT</t>
        </is>
      </c>
      <c r="E1119" s="330" t="inlineStr">
        <is>
          <t>Y</t>
        </is>
      </c>
      <c r="F1119" s="330" t="inlineStr">
        <is>
          <t xml:space="preserve">진단 대상 35개 국가·리테일러에 해당하지 않음</t>
        </is>
      </c>
    </row>
    <row r="1120" spans="1:15">
      <c r="A1120" s="256" t="s">
        <v>218</v>
      </c>
      <c r="B1120" s="256" t="s">
        <v>222</v>
      </c>
      <c r="C1120" s="256" t="s">
        <v>1828</v>
      </c>
      <c r="D1120" s="330" t="inlineStr">
        <is>
          <t xml:space="preserve">MNT</t>
        </is>
      </c>
      <c r="E1120" s="330" t="inlineStr">
        <is>
          <t>Y</t>
        </is>
      </c>
      <c r="F1120" s="330" t="inlineStr">
        <is>
          <t xml:space="preserve">진단 대상 35개 국가·리테일러에 해당하지 않음</t>
        </is>
      </c>
    </row>
    <row r="1121" spans="1:15">
      <c r="A1121" s="256" t="s">
        <v>218</v>
      </c>
      <c r="B1121" s="256" t="s">
        <v>222</v>
      </c>
      <c r="C1121" s="256" t="s">
        <v>1829</v>
      </c>
      <c r="D1121" s="332" t="inlineStr">
        <is>
          <t xml:space="preserve">UNKNOWN</t>
        </is>
      </c>
      <c r="E1121" s="330" t="inlineStr">
        <is>
          <t>Y</t>
        </is>
      </c>
      <c r="F1121" s="330" t="inlineStr">
        <is>
          <t xml:space="preserve">진단 대상 35개 국가·리테일러에 해당하지 않음</t>
        </is>
      </c>
    </row>
    <row r="1122" spans="1:15">
      <c r="A1122" s="256" t="s">
        <v>218</v>
      </c>
      <c r="B1122" s="256" t="s">
        <v>222</v>
      </c>
      <c r="C1122" s="256" t="s">
        <v>1830</v>
      </c>
      <c r="D1122" s="330" t="inlineStr">
        <is>
          <t xml:space="preserve">MNT</t>
        </is>
      </c>
      <c r="E1122" s="330" t="inlineStr">
        <is>
          <t>Y</t>
        </is>
      </c>
      <c r="F1122" s="330" t="inlineStr">
        <is>
          <t xml:space="preserve">진단 대상 35개 국가·리테일러에 해당하지 않음</t>
        </is>
      </c>
    </row>
    <row r="1123" spans="1:15">
      <c r="A1123" s="256" t="s">
        <v>218</v>
      </c>
      <c r="B1123" s="256" t="s">
        <v>222</v>
      </c>
      <c r="C1123" s="256" t="s">
        <v>1831</v>
      </c>
      <c r="D1123" s="330" t="inlineStr">
        <is>
          <t xml:space="preserve">MNT</t>
        </is>
      </c>
      <c r="E1123" s="330" t="inlineStr">
        <is>
          <t>Y</t>
        </is>
      </c>
      <c r="F1123" s="330" t="inlineStr">
        <is>
          <t xml:space="preserve">진단 대상 35개 국가·리테일러에 해당하지 않음</t>
        </is>
      </c>
    </row>
    <row r="1124" spans="1:15">
      <c r="A1124" s="256" t="s">
        <v>218</v>
      </c>
      <c r="B1124" s="256" t="s">
        <v>222</v>
      </c>
      <c r="C1124" s="256" t="s">
        <v>1832</v>
      </c>
      <c r="D1124" s="330" t="inlineStr">
        <is>
          <t xml:space="preserve">MNT</t>
        </is>
      </c>
      <c r="E1124" s="330" t="inlineStr">
        <is>
          <t>Y</t>
        </is>
      </c>
      <c r="F1124" s="330" t="inlineStr">
        <is>
          <t xml:space="preserve">진단 대상 35개 국가·리테일러에 해당하지 않음</t>
        </is>
      </c>
    </row>
    <row r="1125" spans="1:15">
      <c r="A1125" s="256" t="s">
        <v>218</v>
      </c>
      <c r="B1125" s="256" t="s">
        <v>222</v>
      </c>
      <c r="C1125" s="256" t="s">
        <v>1833</v>
      </c>
      <c r="D1125" s="332" t="inlineStr">
        <is>
          <t xml:space="preserve">UNKNOWN</t>
        </is>
      </c>
      <c r="E1125" s="330" t="inlineStr">
        <is>
          <t>Y</t>
        </is>
      </c>
      <c r="F1125" s="330" t="inlineStr">
        <is>
          <t xml:space="preserve">진단 대상 35개 국가·리테일러에 해당하지 않음</t>
        </is>
      </c>
    </row>
    <row r="1126" spans="1:15">
      <c r="A1126" s="256" t="s">
        <v>218</v>
      </c>
      <c r="B1126" s="256" t="s">
        <v>222</v>
      </c>
      <c r="C1126" s="256" t="s">
        <v>1834</v>
      </c>
      <c r="D1126" s="330" t="inlineStr">
        <is>
          <t xml:space="preserve">MNT</t>
        </is>
      </c>
      <c r="E1126" s="330" t="inlineStr">
        <is>
          <t>Y</t>
        </is>
      </c>
      <c r="F1126" s="330" t="inlineStr">
        <is>
          <t xml:space="preserve">진단 대상 35개 국가·리테일러에 해당하지 않음</t>
        </is>
      </c>
    </row>
    <row r="1127" spans="1:15">
      <c r="A1127" s="256" t="s">
        <v>218</v>
      </c>
      <c r="B1127" s="256" t="s">
        <v>222</v>
      </c>
      <c r="C1127" s="256" t="s">
        <v>1835</v>
      </c>
      <c r="D1127" s="332" t="inlineStr">
        <is>
          <t xml:space="preserve">UNKNOWN</t>
        </is>
      </c>
      <c r="E1127" s="330" t="inlineStr">
        <is>
          <t>Y</t>
        </is>
      </c>
      <c r="F1127" s="330" t="inlineStr">
        <is>
          <t xml:space="preserve">진단 대상 35개 국가·리테일러에 해당하지 않음</t>
        </is>
      </c>
    </row>
    <row r="1128" spans="1:15">
      <c r="A1128" s="256" t="s">
        <v>218</v>
      </c>
      <c r="B1128" s="256" t="s">
        <v>222</v>
      </c>
      <c r="C1128" s="256" t="s">
        <v>1836</v>
      </c>
      <c r="D1128" s="330" t="inlineStr">
        <is>
          <t xml:space="preserve">MNT</t>
        </is>
      </c>
      <c r="E1128" s="330" t="inlineStr">
        <is>
          <t>Y</t>
        </is>
      </c>
      <c r="F1128" s="330" t="inlineStr">
        <is>
          <t xml:space="preserve">진단 대상 35개 국가·리테일러에 해당하지 않음</t>
        </is>
      </c>
    </row>
    <row r="1129" spans="1:15">
      <c r="A1129" s="256" t="s">
        <v>218</v>
      </c>
      <c r="B1129" s="256" t="s">
        <v>222</v>
      </c>
      <c r="C1129" s="256" t="s">
        <v>1837</v>
      </c>
      <c r="D1129" s="330" t="inlineStr">
        <is>
          <t xml:space="preserve">MNT</t>
        </is>
      </c>
      <c r="E1129" s="330" t="inlineStr">
        <is>
          <t>Y</t>
        </is>
      </c>
      <c r="F1129" s="330" t="inlineStr">
        <is>
          <t xml:space="preserve">진단 대상 35개 국가·리테일러에 해당하지 않음</t>
        </is>
      </c>
    </row>
    <row r="1130" spans="1:15">
      <c r="A1130" s="256" t="s">
        <v>218</v>
      </c>
      <c r="B1130" s="256" t="s">
        <v>222</v>
      </c>
      <c r="C1130" s="256" t="s">
        <v>1838</v>
      </c>
      <c r="D1130" s="330" t="inlineStr">
        <is>
          <t xml:space="preserve">MNT</t>
        </is>
      </c>
      <c r="E1130" s="330" t="inlineStr">
        <is>
          <t>Y</t>
        </is>
      </c>
      <c r="F1130" s="330" t="inlineStr">
        <is>
          <t xml:space="preserve">진단 대상 35개 국가·리테일러에 해당하지 않음</t>
        </is>
      </c>
    </row>
    <row r="1131" spans="1:15">
      <c r="A1131" s="256" t="s">
        <v>218</v>
      </c>
      <c r="B1131" s="256" t="s">
        <v>222</v>
      </c>
      <c r="C1131" s="256" t="s">
        <v>1839</v>
      </c>
      <c r="D1131" s="332" t="inlineStr">
        <is>
          <t xml:space="preserve">UNKNOWN</t>
        </is>
      </c>
      <c r="E1131" s="330" t="inlineStr">
        <is>
          <t>Y</t>
        </is>
      </c>
      <c r="F1131" s="330" t="inlineStr">
        <is>
          <t xml:space="preserve">진단 대상 35개 국가·리테일러에 해당하지 않음</t>
        </is>
      </c>
    </row>
    <row r="1132" spans="1:15">
      <c r="A1132" s="256" t="s">
        <v>218</v>
      </c>
      <c r="B1132" s="256" t="s">
        <v>222</v>
      </c>
      <c r="C1132" s="256" t="s">
        <v>1840</v>
      </c>
      <c r="D1132" s="332" t="inlineStr">
        <is>
          <t xml:space="preserve">UNKNOWN</t>
        </is>
      </c>
      <c r="E1132" s="330" t="inlineStr">
        <is>
          <t>Y</t>
        </is>
      </c>
      <c r="F1132" s="330" t="inlineStr">
        <is>
          <t xml:space="preserve">진단 대상 35개 국가·리테일러에 해당하지 않음</t>
        </is>
      </c>
    </row>
    <row r="1133" spans="1:15">
      <c r="A1133" s="256" t="s">
        <v>218</v>
      </c>
      <c r="B1133" s="256" t="s">
        <v>222</v>
      </c>
      <c r="C1133" s="256" t="s">
        <v>1841</v>
      </c>
      <c r="D1133" s="330" t="inlineStr">
        <is>
          <t xml:space="preserve">MNT</t>
        </is>
      </c>
      <c r="E1133" s="330" t="inlineStr">
        <is>
          <t>Y</t>
        </is>
      </c>
      <c r="F1133" s="330" t="inlineStr">
        <is>
          <t xml:space="preserve">진단 대상 35개 국가·리테일러에 해당하지 않음</t>
        </is>
      </c>
    </row>
    <row r="1134" spans="1:15">
      <c r="A1134" s="256" t="s">
        <v>218</v>
      </c>
      <c r="B1134" s="256" t="s">
        <v>222</v>
      </c>
      <c r="C1134" s="256" t="s">
        <v>1842</v>
      </c>
      <c r="D1134" s="330" t="inlineStr">
        <is>
          <t xml:space="preserve">MNT</t>
        </is>
      </c>
      <c r="E1134" s="330" t="inlineStr">
        <is>
          <t>Y</t>
        </is>
      </c>
      <c r="F1134" s="330" t="inlineStr">
        <is>
          <t xml:space="preserve">진단 대상 35개 국가·리테일러에 해당하지 않음</t>
        </is>
      </c>
    </row>
    <row r="1135" spans="1:15">
      <c r="A1135" s="256" t="s">
        <v>218</v>
      </c>
      <c r="B1135" s="256" t="s">
        <v>222</v>
      </c>
      <c r="C1135" s="256" t="s">
        <v>1843</v>
      </c>
      <c r="D1135" s="330" t="inlineStr">
        <is>
          <t xml:space="preserve">MNT</t>
        </is>
      </c>
      <c r="E1135" s="330" t="inlineStr">
        <is>
          <t>Y</t>
        </is>
      </c>
      <c r="F1135" s="330" t="inlineStr">
        <is>
          <t xml:space="preserve">진단 대상 35개 국가·리테일러에 해당하지 않음</t>
        </is>
      </c>
    </row>
    <row r="1136" spans="1:15">
      <c r="A1136" s="256" t="s">
        <v>218</v>
      </c>
      <c r="B1136" s="256" t="s">
        <v>222</v>
      </c>
      <c r="C1136" s="256" t="s">
        <v>1844</v>
      </c>
      <c r="D1136" s="332" t="inlineStr">
        <is>
          <t xml:space="preserve">UNKNOWN</t>
        </is>
      </c>
      <c r="E1136" s="330" t="inlineStr">
        <is>
          <t>Y</t>
        </is>
      </c>
      <c r="F1136" s="330" t="inlineStr">
        <is>
          <t xml:space="preserve">진단 대상 35개 국가·리테일러에 해당하지 않음</t>
        </is>
      </c>
    </row>
    <row r="1137" spans="1:15">
      <c r="A1137" s="256" t="s">
        <v>218</v>
      </c>
      <c r="B1137" s="256" t="s">
        <v>222</v>
      </c>
      <c r="C1137" s="256" t="s">
        <v>1845</v>
      </c>
      <c r="D1137" s="332" t="inlineStr">
        <is>
          <t xml:space="preserve">UNKNOWN</t>
        </is>
      </c>
      <c r="E1137" s="330" t="inlineStr">
        <is>
          <t>Y</t>
        </is>
      </c>
      <c r="F1137" s="330" t="inlineStr">
        <is>
          <t xml:space="preserve">진단 대상 35개 국가·리테일러에 해당하지 않음</t>
        </is>
      </c>
    </row>
    <row r="1138" spans="1:15">
      <c r="A1138" s="256" t="s">
        <v>218</v>
      </c>
      <c r="B1138" s="256" t="s">
        <v>222</v>
      </c>
      <c r="C1138" s="256" t="s">
        <v>1846</v>
      </c>
      <c r="D1138" s="330" t="inlineStr">
        <is>
          <t xml:space="preserve">LAPTOP</t>
        </is>
      </c>
      <c r="E1138" s="330" t="inlineStr">
        <is>
          <t>Y</t>
        </is>
      </c>
      <c r="F1138" s="330" t="inlineStr">
        <is>
          <t xml:space="preserve">진단 대상 35개 국가·리테일러에 해당하지 않음</t>
        </is>
      </c>
    </row>
    <row r="1139" spans="1:15">
      <c r="A1139" s="256" t="s">
        <v>218</v>
      </c>
      <c r="B1139" s="256" t="s">
        <v>222</v>
      </c>
      <c r="C1139" s="256" t="s">
        <v>1847</v>
      </c>
      <c r="D1139" s="332" t="inlineStr">
        <is>
          <t xml:space="preserve">UNKNOWN</t>
        </is>
      </c>
      <c r="E1139" s="330" t="inlineStr">
        <is>
          <t>Y</t>
        </is>
      </c>
      <c r="F1139" s="330" t="inlineStr">
        <is>
          <t xml:space="preserve">진단 대상 35개 국가·리테일러에 해당하지 않음</t>
        </is>
      </c>
    </row>
    <row r="1140" spans="1:15">
      <c r="A1140" s="256" t="s">
        <v>218</v>
      </c>
      <c r="B1140" s="256" t="s">
        <v>222</v>
      </c>
      <c r="C1140" s="256" t="s">
        <v>1848</v>
      </c>
      <c r="D1140" s="332" t="inlineStr">
        <is>
          <t xml:space="preserve">UNKNOWN</t>
        </is>
      </c>
      <c r="E1140" s="330" t="inlineStr">
        <is>
          <t>Y</t>
        </is>
      </c>
      <c r="F1140" s="330" t="inlineStr">
        <is>
          <t xml:space="preserve">진단 대상 35개 국가·리테일러에 해당하지 않음</t>
        </is>
      </c>
    </row>
    <row r="1141" spans="1:15">
      <c r="A1141" s="256" t="s">
        <v>218</v>
      </c>
      <c r="B1141" s="256" t="s">
        <v>222</v>
      </c>
      <c r="C1141" s="256" t="s">
        <v>1849</v>
      </c>
      <c r="D1141" s="332" t="inlineStr">
        <is>
          <t xml:space="preserve">UNKNOWN</t>
        </is>
      </c>
      <c r="E1141" s="330" t="inlineStr">
        <is>
          <t>Y</t>
        </is>
      </c>
      <c r="F1141" s="330" t="inlineStr">
        <is>
          <t xml:space="preserve">진단 대상 35개 국가·리테일러에 해당하지 않음</t>
        </is>
      </c>
    </row>
    <row r="1142" spans="1:15">
      <c r="A1142" s="256" t="s">
        <v>218</v>
      </c>
      <c r="B1142" s="256" t="s">
        <v>222</v>
      </c>
      <c r="C1142" s="256" t="s">
        <v>1850</v>
      </c>
      <c r="D1142" s="332" t="inlineStr">
        <is>
          <t xml:space="preserve">UNKNOWN</t>
        </is>
      </c>
      <c r="E1142" s="330" t="inlineStr">
        <is>
          <t>Y</t>
        </is>
      </c>
      <c r="F1142" s="330" t="inlineStr">
        <is>
          <t xml:space="preserve">진단 대상 35개 국가·리테일러에 해당하지 않음</t>
        </is>
      </c>
    </row>
    <row r="1143" spans="1:15">
      <c r="A1143" s="256" t="s">
        <v>218</v>
      </c>
      <c r="B1143" s="256" t="s">
        <v>222</v>
      </c>
      <c r="C1143" s="256" t="s">
        <v>1851</v>
      </c>
      <c r="D1143" s="332" t="inlineStr">
        <is>
          <t xml:space="preserve">UNKNOWN</t>
        </is>
      </c>
      <c r="E1143" s="330" t="inlineStr">
        <is>
          <t>Y</t>
        </is>
      </c>
      <c r="F1143" s="330" t="inlineStr">
        <is>
          <t xml:space="preserve">진단 대상 35개 국가·리테일러에 해당하지 않음</t>
        </is>
      </c>
    </row>
    <row r="1144" spans="1:15">
      <c r="A1144" s="256" t="s">
        <v>218</v>
      </c>
      <c r="B1144" s="256" t="s">
        <v>222</v>
      </c>
      <c r="C1144" s="256" t="s">
        <v>1852</v>
      </c>
      <c r="D1144" s="330" t="inlineStr">
        <is>
          <t xml:space="preserve">LAPTOP</t>
        </is>
      </c>
      <c r="E1144" s="330" t="inlineStr">
        <is>
          <t>Y</t>
        </is>
      </c>
      <c r="F1144" s="330" t="inlineStr">
        <is>
          <t xml:space="preserve">진단 대상 35개 국가·리테일러에 해당하지 않음</t>
        </is>
      </c>
    </row>
    <row r="1145" spans="1:15">
      <c r="A1145" s="256" t="s">
        <v>218</v>
      </c>
      <c r="B1145" s="256" t="s">
        <v>222</v>
      </c>
      <c r="C1145" s="256" t="s">
        <v>1853</v>
      </c>
      <c r="D1145" s="332" t="inlineStr">
        <is>
          <t xml:space="preserve">UNKNOWN</t>
        </is>
      </c>
      <c r="E1145" s="330" t="inlineStr">
        <is>
          <t>Y</t>
        </is>
      </c>
      <c r="F1145" s="330" t="inlineStr">
        <is>
          <t xml:space="preserve">진단 대상 35개 국가·리테일러에 해당하지 않음</t>
        </is>
      </c>
    </row>
    <row r="1146" spans="1:15">
      <c r="A1146" s="256" t="s">
        <v>218</v>
      </c>
      <c r="B1146" s="256" t="s">
        <v>222</v>
      </c>
      <c r="C1146" s="256" t="s">
        <v>1854</v>
      </c>
      <c r="D1146" s="330" t="inlineStr">
        <is>
          <t xml:space="preserve">LAPTOP</t>
        </is>
      </c>
      <c r="E1146" s="330" t="inlineStr">
        <is>
          <t>Y</t>
        </is>
      </c>
      <c r="F1146" s="330" t="inlineStr">
        <is>
          <t xml:space="preserve">진단 대상 35개 국가·리테일러에 해당하지 않음</t>
        </is>
      </c>
    </row>
    <row r="1147" spans="1:15">
      <c r="A1147" s="256" t="s">
        <v>218</v>
      </c>
      <c r="B1147" s="256" t="s">
        <v>222</v>
      </c>
      <c r="C1147" s="256" t="s">
        <v>1855</v>
      </c>
      <c r="D1147" s="332" t="inlineStr">
        <is>
          <t xml:space="preserve">UNKNOWN</t>
        </is>
      </c>
      <c r="E1147" s="330" t="inlineStr">
        <is>
          <t>Y</t>
        </is>
      </c>
      <c r="F1147" s="330" t="inlineStr">
        <is>
          <t xml:space="preserve">진단 대상 35개 국가·리테일러에 해당하지 않음</t>
        </is>
      </c>
    </row>
    <row r="1148" spans="1:15">
      <c r="A1148" s="256" t="s">
        <v>218</v>
      </c>
      <c r="B1148" s="256" t="s">
        <v>222</v>
      </c>
      <c r="C1148" s="256" t="s">
        <v>1856</v>
      </c>
      <c r="D1148" s="330" t="inlineStr">
        <is>
          <t xml:space="preserve">LAPTOP</t>
        </is>
      </c>
      <c r="E1148" s="330" t="inlineStr">
        <is>
          <t>Y</t>
        </is>
      </c>
      <c r="F1148" s="330" t="inlineStr">
        <is>
          <t xml:space="preserve">진단 대상 35개 국가·리테일러에 해당하지 않음</t>
        </is>
      </c>
    </row>
    <row r="1149" spans="1:15">
      <c r="A1149" s="256" t="s">
        <v>218</v>
      </c>
      <c r="B1149" s="256" t="s">
        <v>222</v>
      </c>
      <c r="C1149" s="256" t="s">
        <v>1857</v>
      </c>
      <c r="D1149" s="332" t="inlineStr">
        <is>
          <t xml:space="preserve">UNKNOWN</t>
        </is>
      </c>
      <c r="E1149" s="330" t="inlineStr">
        <is>
          <t>Y</t>
        </is>
      </c>
      <c r="F1149" s="330" t="inlineStr">
        <is>
          <t xml:space="preserve">진단 대상 35개 국가·리테일러에 해당하지 않음</t>
        </is>
      </c>
    </row>
    <row r="1150" spans="1:15">
      <c r="A1150" s="256" t="s">
        <v>218</v>
      </c>
      <c r="B1150" s="256" t="s">
        <v>222</v>
      </c>
      <c r="C1150" s="256" t="s">
        <v>1858</v>
      </c>
      <c r="D1150" s="332" t="inlineStr">
        <is>
          <t xml:space="preserve">UNKNOWN</t>
        </is>
      </c>
      <c r="E1150" s="330" t="inlineStr">
        <is>
          <t>Y</t>
        </is>
      </c>
      <c r="F1150" s="330" t="inlineStr">
        <is>
          <t xml:space="preserve">진단 대상 35개 국가·리테일러에 해당하지 않음</t>
        </is>
      </c>
    </row>
    <row r="1151" spans="1:15">
      <c r="A1151" s="256" t="s">
        <v>218</v>
      </c>
      <c r="B1151" s="256" t="s">
        <v>222</v>
      </c>
      <c r="C1151" s="256" t="s">
        <v>1859</v>
      </c>
      <c r="D1151" s="330" t="inlineStr">
        <is>
          <t xml:space="preserve">LAPTOP</t>
        </is>
      </c>
      <c r="E1151" s="330" t="inlineStr">
        <is>
          <t>Y</t>
        </is>
      </c>
      <c r="F1151" s="330" t="inlineStr">
        <is>
          <t xml:space="preserve">진단 대상 35개 국가·리테일러에 해당하지 않음</t>
        </is>
      </c>
    </row>
    <row r="1152" spans="1:15">
      <c r="A1152" s="256" t="s">
        <v>218</v>
      </c>
      <c r="B1152" s="256" t="s">
        <v>222</v>
      </c>
      <c r="C1152" s="256" t="s">
        <v>1860</v>
      </c>
      <c r="D1152" s="332" t="inlineStr">
        <is>
          <t xml:space="preserve">UNKNOWN</t>
        </is>
      </c>
      <c r="E1152" s="330" t="inlineStr">
        <is>
          <t>Y</t>
        </is>
      </c>
      <c r="F1152" s="330" t="inlineStr">
        <is>
          <t xml:space="preserve">진단 대상 35개 국가·리테일러에 해당하지 않음</t>
        </is>
      </c>
    </row>
    <row r="1153" spans="1:15">
      <c r="A1153" s="256" t="s">
        <v>218</v>
      </c>
      <c r="B1153" s="256" t="s">
        <v>222</v>
      </c>
      <c r="C1153" s="256" t="s">
        <v>1861</v>
      </c>
      <c r="D1153" s="332" t="inlineStr">
        <is>
          <t xml:space="preserve">UNKNOWN</t>
        </is>
      </c>
      <c r="E1153" s="330" t="inlineStr">
        <is>
          <t>Y</t>
        </is>
      </c>
      <c r="F1153" s="330" t="inlineStr">
        <is>
          <t xml:space="preserve">진단 대상 35개 국가·리테일러에 해당하지 않음</t>
        </is>
      </c>
    </row>
    <row r="1154" spans="1:15">
      <c r="A1154" s="256" t="s">
        <v>218</v>
      </c>
      <c r="B1154" s="256" t="s">
        <v>222</v>
      </c>
      <c r="C1154" s="256" t="s">
        <v>1862</v>
      </c>
      <c r="D1154" s="332" t="inlineStr">
        <is>
          <t xml:space="preserve">UNKNOWN</t>
        </is>
      </c>
      <c r="E1154" s="330" t="inlineStr">
        <is>
          <t>Y</t>
        </is>
      </c>
      <c r="F1154" s="330" t="inlineStr">
        <is>
          <t xml:space="preserve">진단 대상 35개 국가·리테일러에 해당하지 않음</t>
        </is>
      </c>
    </row>
    <row r="1155" spans="1:15">
      <c r="A1155" s="256" t="s">
        <v>218</v>
      </c>
      <c r="B1155" s="256" t="s">
        <v>222</v>
      </c>
      <c r="C1155" s="256" t="s">
        <v>1863</v>
      </c>
      <c r="D1155" s="332" t="inlineStr">
        <is>
          <t xml:space="preserve">UNKNOWN</t>
        </is>
      </c>
      <c r="E1155" s="330" t="inlineStr">
        <is>
          <t>Y</t>
        </is>
      </c>
      <c r="F1155" s="330" t="inlineStr">
        <is>
          <t xml:space="preserve">진단 대상 35개 국가·리테일러에 해당하지 않음</t>
        </is>
      </c>
    </row>
    <row r="1156" spans="1:15">
      <c r="A1156" s="256" t="s">
        <v>218</v>
      </c>
      <c r="B1156" s="256" t="s">
        <v>222</v>
      </c>
      <c r="C1156" s="256" t="s">
        <v>1864</v>
      </c>
      <c r="D1156" s="332" t="inlineStr">
        <is>
          <t xml:space="preserve">UNKNOWN</t>
        </is>
      </c>
      <c r="E1156" s="330" t="inlineStr">
        <is>
          <t>Y</t>
        </is>
      </c>
      <c r="F1156" s="330" t="inlineStr">
        <is>
          <t xml:space="preserve">진단 대상 35개 국가·리테일러에 해당하지 않음</t>
        </is>
      </c>
    </row>
    <row r="1157" spans="1:15">
      <c r="A1157" s="256" t="s">
        <v>218</v>
      </c>
      <c r="B1157" s="256" t="s">
        <v>222</v>
      </c>
      <c r="C1157" s="256" t="s">
        <v>1865</v>
      </c>
      <c r="D1157" s="330" t="inlineStr">
        <is>
          <t xml:space="preserve">WM</t>
        </is>
      </c>
      <c r="E1157" s="330" t="inlineStr">
        <is>
          <t>Y</t>
        </is>
      </c>
      <c r="F1157" s="330" t="inlineStr">
        <is>
          <t xml:space="preserve">진단 대상 35개 국가·리테일러에 해당하지 않음</t>
        </is>
      </c>
    </row>
    <row r="1158" spans="1:15">
      <c r="A1158" s="256" t="s">
        <v>218</v>
      </c>
      <c r="B1158" s="256" t="s">
        <v>222</v>
      </c>
      <c r="C1158" s="256" t="s">
        <v>1866</v>
      </c>
      <c r="D1158" s="330" t="inlineStr">
        <is>
          <t xml:space="preserve">WM</t>
        </is>
      </c>
      <c r="E1158" s="330" t="inlineStr">
        <is>
          <t>Y</t>
        </is>
      </c>
      <c r="F1158" s="330" t="inlineStr">
        <is>
          <t xml:space="preserve">진단 대상 35개 국가·리테일러에 해당하지 않음</t>
        </is>
      </c>
    </row>
    <row r="1159" spans="1:15">
      <c r="A1159" s="256" t="s">
        <v>218</v>
      </c>
      <c r="B1159" s="256" t="s">
        <v>222</v>
      </c>
      <c r="C1159" s="256" t="s">
        <v>1867</v>
      </c>
      <c r="D1159" s="330" t="inlineStr">
        <is>
          <t xml:space="preserve">WM</t>
        </is>
      </c>
      <c r="E1159" s="330" t="inlineStr">
        <is>
          <t>Y</t>
        </is>
      </c>
      <c r="F1159" s="330" t="inlineStr">
        <is>
          <t xml:space="preserve">진단 대상 35개 국가·리테일러에 해당하지 않음</t>
        </is>
      </c>
    </row>
    <row r="1160" spans="1:15">
      <c r="A1160" s="256" t="s">
        <v>218</v>
      </c>
      <c r="B1160" s="256" t="s">
        <v>222</v>
      </c>
      <c r="C1160" s="256" t="s">
        <v>1868</v>
      </c>
      <c r="D1160" s="330" t="inlineStr">
        <is>
          <t xml:space="preserve">WM</t>
        </is>
      </c>
      <c r="E1160" s="330" t="inlineStr">
        <is>
          <t>Y</t>
        </is>
      </c>
      <c r="F1160" s="330" t="inlineStr">
        <is>
          <t xml:space="preserve">진단 대상 35개 국가·리테일러에 해당하지 않음</t>
        </is>
      </c>
    </row>
    <row r="1161" spans="1:15">
      <c r="A1161" s="256" t="s">
        <v>218</v>
      </c>
      <c r="B1161" s="256" t="s">
        <v>222</v>
      </c>
      <c r="C1161" s="256" t="s">
        <v>1869</v>
      </c>
      <c r="D1161" s="330" t="inlineStr">
        <is>
          <t xml:space="preserve">WM</t>
        </is>
      </c>
      <c r="E1161" s="330" t="inlineStr">
        <is>
          <t>Y</t>
        </is>
      </c>
      <c r="F1161" s="330" t="inlineStr">
        <is>
          <t xml:space="preserve">진단 대상 35개 국가·리테일러에 해당하지 않음</t>
        </is>
      </c>
    </row>
    <row r="1162" spans="1:15">
      <c r="A1162" s="256" t="s">
        <v>218</v>
      </c>
      <c r="B1162" s="256" t="s">
        <v>222</v>
      </c>
      <c r="C1162" s="256" t="s">
        <v>1870</v>
      </c>
      <c r="D1162" s="330" t="inlineStr">
        <is>
          <t xml:space="preserve">DRYER</t>
        </is>
      </c>
      <c r="E1162" s="330" t="inlineStr">
        <is>
          <t>Y</t>
        </is>
      </c>
      <c r="F1162" s="330" t="inlineStr">
        <is>
          <t xml:space="preserve">진단 대상 35개 국가·리테일러에 해당하지 않음</t>
        </is>
      </c>
    </row>
    <row r="1163" spans="1:15">
      <c r="A1163" s="256" t="s">
        <v>218</v>
      </c>
      <c r="B1163" s="256" t="s">
        <v>222</v>
      </c>
      <c r="C1163" s="256" t="s">
        <v>1871</v>
      </c>
      <c r="D1163" s="330" t="inlineStr">
        <is>
          <t xml:space="preserve">WM</t>
        </is>
      </c>
      <c r="E1163" s="330" t="inlineStr">
        <is>
          <t>Y</t>
        </is>
      </c>
      <c r="F1163" s="330" t="inlineStr">
        <is>
          <t xml:space="preserve">진단 대상 35개 국가·리테일러에 해당하지 않음</t>
        </is>
      </c>
    </row>
    <row r="1164" spans="1:15">
      <c r="A1164" s="256" t="s">
        <v>218</v>
      </c>
      <c r="B1164" s="256" t="s">
        <v>222</v>
      </c>
      <c r="C1164" s="256" t="s">
        <v>1872</v>
      </c>
      <c r="D1164" s="332" t="inlineStr">
        <is>
          <t xml:space="preserve">UNKNOWN</t>
        </is>
      </c>
      <c r="E1164" s="330" t="inlineStr">
        <is>
          <t>Y</t>
        </is>
      </c>
      <c r="F1164" s="330" t="inlineStr">
        <is>
          <t xml:space="preserve">진단 대상 35개 국가·리테일러에 해당하지 않음</t>
        </is>
      </c>
    </row>
    <row r="1165" spans="1:15">
      <c r="A1165" s="256" t="s">
        <v>218</v>
      </c>
      <c r="B1165" s="256" t="s">
        <v>222</v>
      </c>
      <c r="C1165" s="256" t="s">
        <v>1873</v>
      </c>
      <c r="D1165" s="330" t="inlineStr">
        <is>
          <t xml:space="preserve">WM</t>
        </is>
      </c>
      <c r="E1165" s="330" t="inlineStr">
        <is>
          <t>Y</t>
        </is>
      </c>
      <c r="F1165" s="330" t="inlineStr">
        <is>
          <t xml:space="preserve">진단 대상 35개 국가·리테일러에 해당하지 않음</t>
        </is>
      </c>
    </row>
    <row r="1166" spans="1:15">
      <c r="A1166" s="256" t="s">
        <v>218</v>
      </c>
      <c r="B1166" s="256" t="s">
        <v>222</v>
      </c>
      <c r="C1166" s="256" t="s">
        <v>1874</v>
      </c>
      <c r="D1166" s="330" t="inlineStr">
        <is>
          <t xml:space="preserve">WM</t>
        </is>
      </c>
      <c r="E1166" s="330" t="inlineStr">
        <is>
          <t>Y</t>
        </is>
      </c>
      <c r="F1166" s="330" t="inlineStr">
        <is>
          <t xml:space="preserve">진단 대상 35개 국가·리테일러에 해당하지 않음</t>
        </is>
      </c>
    </row>
    <row r="1167" spans="1:15">
      <c r="A1167" s="256" t="s">
        <v>218</v>
      </c>
      <c r="B1167" s="256" t="s">
        <v>222</v>
      </c>
      <c r="C1167" s="256" t="s">
        <v>1875</v>
      </c>
      <c r="D1167" s="330" t="inlineStr">
        <is>
          <t xml:space="preserve">WM</t>
        </is>
      </c>
      <c r="E1167" s="330" t="inlineStr">
        <is>
          <t>Y</t>
        </is>
      </c>
      <c r="F1167" s="330" t="inlineStr">
        <is>
          <t xml:space="preserve">진단 대상 35개 국가·리테일러에 해당하지 않음</t>
        </is>
      </c>
    </row>
    <row r="1168" spans="1:15">
      <c r="A1168" s="256" t="s">
        <v>218</v>
      </c>
      <c r="B1168" s="256" t="s">
        <v>222</v>
      </c>
      <c r="C1168" s="256" t="s">
        <v>1876</v>
      </c>
      <c r="D1168" s="330" t="inlineStr">
        <is>
          <t xml:space="preserve">WM</t>
        </is>
      </c>
      <c r="E1168" s="330" t="inlineStr">
        <is>
          <t>Y</t>
        </is>
      </c>
      <c r="F1168" s="330" t="inlineStr">
        <is>
          <t xml:space="preserve">진단 대상 35개 국가·리테일러에 해당하지 않음</t>
        </is>
      </c>
    </row>
    <row r="1169" spans="1:15">
      <c r="A1169" s="256" t="s">
        <v>218</v>
      </c>
      <c r="B1169" s="256" t="s">
        <v>222</v>
      </c>
      <c r="C1169" s="256" t="s">
        <v>1877</v>
      </c>
      <c r="D1169" s="330" t="inlineStr">
        <is>
          <t xml:space="preserve">WM</t>
        </is>
      </c>
      <c r="E1169" s="330" t="inlineStr">
        <is>
          <t>Y</t>
        </is>
      </c>
      <c r="F1169" s="330" t="inlineStr">
        <is>
          <t xml:space="preserve">진단 대상 35개 국가·리테일러에 해당하지 않음</t>
        </is>
      </c>
    </row>
    <row r="1170" spans="1:15">
      <c r="A1170" s="256" t="s">
        <v>218</v>
      </c>
      <c r="B1170" s="256" t="s">
        <v>222</v>
      </c>
      <c r="C1170" s="256" t="s">
        <v>1878</v>
      </c>
      <c r="D1170" s="330" t="inlineStr">
        <is>
          <t xml:space="preserve">WM</t>
        </is>
      </c>
      <c r="E1170" s="330" t="inlineStr">
        <is>
          <t>Y</t>
        </is>
      </c>
      <c r="F1170" s="330" t="inlineStr">
        <is>
          <t xml:space="preserve">진단 대상 35개 국가·리테일러에 해당하지 않음</t>
        </is>
      </c>
    </row>
    <row r="1171" spans="1:15">
      <c r="A1171" s="256" t="s">
        <v>218</v>
      </c>
      <c r="B1171" s="256" t="s">
        <v>222</v>
      </c>
      <c r="C1171" s="256" t="s">
        <v>1879</v>
      </c>
      <c r="D1171" s="330" t="inlineStr">
        <is>
          <t xml:space="preserve">WM</t>
        </is>
      </c>
      <c r="E1171" s="330" t="inlineStr">
        <is>
          <t>Y</t>
        </is>
      </c>
      <c r="F1171" s="330" t="inlineStr">
        <is>
          <t xml:space="preserve">진단 대상 35개 국가·리테일러에 해당하지 않음</t>
        </is>
      </c>
    </row>
    <row r="1172" spans="1:15">
      <c r="A1172" s="256" t="s">
        <v>218</v>
      </c>
      <c r="B1172" s="256" t="s">
        <v>222</v>
      </c>
      <c r="C1172" s="256" t="s">
        <v>1880</v>
      </c>
      <c r="D1172" s="330" t="inlineStr">
        <is>
          <t xml:space="preserve">WM</t>
        </is>
      </c>
      <c r="E1172" s="330" t="inlineStr">
        <is>
          <t>Y</t>
        </is>
      </c>
      <c r="F1172" s="330" t="inlineStr">
        <is>
          <t xml:space="preserve">진단 대상 35개 국가·리테일러에 해당하지 않음</t>
        </is>
      </c>
    </row>
    <row r="1173" spans="1:15">
      <c r="A1173" s="256" t="s">
        <v>218</v>
      </c>
      <c r="B1173" s="256" t="s">
        <v>222</v>
      </c>
      <c r="C1173" s="256" t="s">
        <v>1881</v>
      </c>
      <c r="D1173" s="330" t="inlineStr">
        <is>
          <t xml:space="preserve">WM</t>
        </is>
      </c>
      <c r="E1173" s="330" t="inlineStr">
        <is>
          <t>Y</t>
        </is>
      </c>
      <c r="F1173" s="330" t="inlineStr">
        <is>
          <t xml:space="preserve">진단 대상 35개 국가·리테일러에 해당하지 않음</t>
        </is>
      </c>
    </row>
    <row r="1174" spans="1:15">
      <c r="A1174" s="256" t="s">
        <v>218</v>
      </c>
      <c r="B1174" s="256" t="s">
        <v>222</v>
      </c>
      <c r="C1174" s="256" t="s">
        <v>1882</v>
      </c>
      <c r="D1174" s="330" t="inlineStr">
        <is>
          <t xml:space="preserve">WM</t>
        </is>
      </c>
      <c r="E1174" s="330" t="inlineStr">
        <is>
          <t>Y</t>
        </is>
      </c>
      <c r="F1174" s="330" t="inlineStr">
        <is>
          <t xml:space="preserve">진단 대상 35개 국가·리테일러에 해당하지 않음</t>
        </is>
      </c>
    </row>
    <row r="1175" spans="1:15">
      <c r="A1175" s="256" t="s">
        <v>218</v>
      </c>
      <c r="B1175" s="256" t="s">
        <v>222</v>
      </c>
      <c r="C1175" s="256" t="s">
        <v>1883</v>
      </c>
      <c r="D1175" s="332" t="inlineStr">
        <is>
          <t xml:space="preserve">UNKNOWN</t>
        </is>
      </c>
      <c r="E1175" s="330" t="inlineStr">
        <is>
          <t>Y</t>
        </is>
      </c>
      <c r="F1175" s="330" t="inlineStr">
        <is>
          <t xml:space="preserve">진단 대상 35개 국가·리테일러에 해당하지 않음</t>
        </is>
      </c>
    </row>
    <row r="1176" spans="1:15">
      <c r="A1176" s="256" t="s">
        <v>218</v>
      </c>
      <c r="B1176" s="256" t="s">
        <v>222</v>
      </c>
      <c r="C1176" s="256" t="s">
        <v>1884</v>
      </c>
      <c r="D1176" s="332" t="inlineStr">
        <is>
          <t xml:space="preserve">UNKNOWN</t>
        </is>
      </c>
      <c r="E1176" s="330" t="inlineStr">
        <is>
          <t>Y</t>
        </is>
      </c>
      <c r="F1176" s="330" t="inlineStr">
        <is>
          <t xml:space="preserve">진단 대상 35개 국가·리테일러에 해당하지 않음</t>
        </is>
      </c>
    </row>
    <row r="1177" spans="1:15">
      <c r="A1177" s="256" t="s">
        <v>218</v>
      </c>
      <c r="B1177" s="256" t="s">
        <v>222</v>
      </c>
      <c r="C1177" s="256" t="s">
        <v>1885</v>
      </c>
      <c r="D1177" s="330" t="inlineStr">
        <is>
          <t xml:space="preserve">WM</t>
        </is>
      </c>
      <c r="E1177" s="330" t="inlineStr">
        <is>
          <t>Y</t>
        </is>
      </c>
      <c r="F1177" s="330" t="inlineStr">
        <is>
          <t xml:space="preserve">진단 대상 35개 국가·리테일러에 해당하지 않음</t>
        </is>
      </c>
    </row>
    <row r="1178" spans="1:15">
      <c r="A1178" s="256" t="s">
        <v>218</v>
      </c>
      <c r="B1178" s="256" t="s">
        <v>222</v>
      </c>
      <c r="C1178" s="256" t="s">
        <v>1886</v>
      </c>
      <c r="D1178" s="330" t="inlineStr">
        <is>
          <t xml:space="preserve">MNT</t>
        </is>
      </c>
      <c r="E1178" s="330" t="inlineStr">
        <is>
          <t>Y</t>
        </is>
      </c>
      <c r="F1178" s="330" t="inlineStr">
        <is>
          <t xml:space="preserve">진단 대상 35개 국가·리테일러에 해당하지 않음</t>
        </is>
      </c>
    </row>
    <row r="1179" spans="1:15">
      <c r="A1179" s="256" t="s">
        <v>218</v>
      </c>
      <c r="B1179" s="256" t="s">
        <v>222</v>
      </c>
      <c r="C1179" s="256" t="s">
        <v>1887</v>
      </c>
      <c r="D1179" s="330" t="inlineStr">
        <is>
          <t xml:space="preserve">MNT</t>
        </is>
      </c>
      <c r="E1179" s="330" t="inlineStr">
        <is>
          <t>Y</t>
        </is>
      </c>
      <c r="F1179" s="330" t="inlineStr">
        <is>
          <t xml:space="preserve">진단 대상 35개 국가·리테일러에 해당하지 않음</t>
        </is>
      </c>
    </row>
    <row r="1180" spans="1:15">
      <c r="A1180" s="256" t="s">
        <v>218</v>
      </c>
      <c r="B1180" s="256" t="s">
        <v>222</v>
      </c>
      <c r="C1180" s="256" t="s">
        <v>1888</v>
      </c>
      <c r="D1180" s="332" t="inlineStr">
        <is>
          <t xml:space="preserve">UNKNOWN</t>
        </is>
      </c>
      <c r="E1180" s="330" t="inlineStr">
        <is>
          <t>Y</t>
        </is>
      </c>
      <c r="F1180" s="330" t="inlineStr">
        <is>
          <t xml:space="preserve">진단 대상 35개 국가·리테일러에 해당하지 않음</t>
        </is>
      </c>
    </row>
    <row r="1181" spans="1:15">
      <c r="A1181" s="256" t="s">
        <v>218</v>
      </c>
      <c r="B1181" s="256" t="s">
        <v>222</v>
      </c>
      <c r="C1181" s="256" t="s">
        <v>1889</v>
      </c>
      <c r="D1181" s="330" t="inlineStr">
        <is>
          <t xml:space="preserve">MNT</t>
        </is>
      </c>
      <c r="E1181" s="330" t="inlineStr">
        <is>
          <t>Y</t>
        </is>
      </c>
      <c r="F1181" s="330" t="inlineStr">
        <is>
          <t xml:space="preserve">진단 대상 35개 국가·리테일러에 해당하지 않음</t>
        </is>
      </c>
    </row>
    <row r="1182" spans="1:15">
      <c r="A1182" s="256" t="s">
        <v>218</v>
      </c>
      <c r="B1182" s="256" t="s">
        <v>222</v>
      </c>
      <c r="C1182" s="256" t="s">
        <v>1890</v>
      </c>
      <c r="D1182" s="332" t="inlineStr">
        <is>
          <t xml:space="preserve">UNKNOWN</t>
        </is>
      </c>
      <c r="E1182" s="330" t="inlineStr">
        <is>
          <t>Y</t>
        </is>
      </c>
      <c r="F1182" s="330" t="inlineStr">
        <is>
          <t xml:space="preserve">진단 대상 35개 국가·리테일러에 해당하지 않음</t>
        </is>
      </c>
    </row>
    <row r="1183" spans="1:15">
      <c r="A1183" s="256" t="s">
        <v>218</v>
      </c>
      <c r="B1183" s="256" t="s">
        <v>222</v>
      </c>
      <c r="C1183" s="256" t="s">
        <v>1891</v>
      </c>
      <c r="D1183" s="330" t="inlineStr">
        <is>
          <t xml:space="preserve">AIR_PURIFIER</t>
        </is>
      </c>
      <c r="E1183" s="330" t="inlineStr">
        <is>
          <t>Y</t>
        </is>
      </c>
      <c r="F1183" s="330" t="inlineStr">
        <is>
          <t xml:space="preserve">진단 대상 35개 국가·리테일러에 해당하지 않음</t>
        </is>
      </c>
    </row>
    <row r="1184" spans="1:15">
      <c r="A1184" s="256" t="s">
        <v>218</v>
      </c>
      <c r="B1184" s="256" t="s">
        <v>222</v>
      </c>
      <c r="C1184" s="256" t="s">
        <v>1892</v>
      </c>
      <c r="D1184" s="330" t="inlineStr">
        <is>
          <t xml:space="preserve">AIR_PURIFIER</t>
        </is>
      </c>
      <c r="E1184" s="330" t="inlineStr">
        <is>
          <t>Y</t>
        </is>
      </c>
      <c r="F1184" s="330" t="inlineStr">
        <is>
          <t xml:space="preserve">진단 대상 35개 국가·리테일러에 해당하지 않음</t>
        </is>
      </c>
    </row>
    <row r="1185" spans="1:15">
      <c r="A1185" s="256" t="s">
        <v>218</v>
      </c>
      <c r="B1185" s="256" t="s">
        <v>222</v>
      </c>
      <c r="C1185" s="256" t="s">
        <v>1893</v>
      </c>
      <c r="D1185" s="330" t="inlineStr">
        <is>
          <t xml:space="preserve">AIR_PURIFIER</t>
        </is>
      </c>
      <c r="E1185" s="330" t="inlineStr">
        <is>
          <t>Y</t>
        </is>
      </c>
      <c r="F1185" s="330" t="inlineStr">
        <is>
          <t xml:space="preserve">진단 대상 35개 국가·리테일러에 해당하지 않음</t>
        </is>
      </c>
    </row>
    <row r="1186" spans="1:15">
      <c r="A1186" s="256" t="s">
        <v>218</v>
      </c>
      <c r="B1186" s="256" t="s">
        <v>222</v>
      </c>
      <c r="C1186" s="256" t="s">
        <v>1894</v>
      </c>
      <c r="D1186" s="330" t="inlineStr">
        <is>
          <t xml:space="preserve">AIR_PURIFIER</t>
        </is>
      </c>
      <c r="E1186" s="330" t="inlineStr">
        <is>
          <t>Y</t>
        </is>
      </c>
      <c r="F1186" s="330" t="inlineStr">
        <is>
          <t xml:space="preserve">진단 대상 35개 국가·리테일러에 해당하지 않음</t>
        </is>
      </c>
    </row>
    <row r="1187" spans="1:15">
      <c r="A1187" s="256" t="s">
        <v>218</v>
      </c>
      <c r="B1187" s="256" t="s">
        <v>222</v>
      </c>
      <c r="C1187" s="256" t="s">
        <v>1895</v>
      </c>
      <c r="D1187" s="330" t="inlineStr">
        <is>
          <t xml:space="preserve">BT_SPEAKER</t>
        </is>
      </c>
      <c r="E1187" s="330" t="inlineStr">
        <is>
          <t>Y</t>
        </is>
      </c>
      <c r="F1187" s="330" t="inlineStr">
        <is>
          <t xml:space="preserve">진단 대상 35개 국가·리테일러에 해당하지 않음</t>
        </is>
      </c>
    </row>
    <row r="1188" spans="1:15">
      <c r="A1188" s="256" t="s">
        <v>218</v>
      </c>
      <c r="B1188" s="256" t="s">
        <v>222</v>
      </c>
      <c r="C1188" s="256" t="s">
        <v>1896</v>
      </c>
      <c r="D1188" s="330" t="inlineStr">
        <is>
          <t xml:space="preserve">SOUNDBAR</t>
        </is>
      </c>
      <c r="E1188" s="330" t="inlineStr">
        <is>
          <t>Y</t>
        </is>
      </c>
      <c r="F1188" s="330" t="inlineStr">
        <is>
          <t xml:space="preserve">진단 대상 35개 국가·리테일러에 해당하지 않음</t>
        </is>
      </c>
    </row>
    <row r="1189" spans="1:15">
      <c r="A1189" s="256" t="s">
        <v>218</v>
      </c>
      <c r="B1189" s="256" t="s">
        <v>222</v>
      </c>
      <c r="C1189" s="256" t="s">
        <v>1897</v>
      </c>
      <c r="D1189" s="330" t="inlineStr">
        <is>
          <t xml:space="preserve">HEADSET</t>
        </is>
      </c>
      <c r="E1189" s="330" t="inlineStr">
        <is>
          <t>Y</t>
        </is>
      </c>
      <c r="F1189" s="330" t="inlineStr">
        <is>
          <t xml:space="preserve">진단 대상 35개 국가·리테일러에 해당하지 않음</t>
        </is>
      </c>
    </row>
    <row r="1190" spans="1:15">
      <c r="A1190" s="256" t="s">
        <v>218</v>
      </c>
      <c r="B1190" s="256" t="s">
        <v>222</v>
      </c>
      <c r="C1190" s="256" t="s">
        <v>1898</v>
      </c>
      <c r="D1190" s="330" t="inlineStr">
        <is>
          <t xml:space="preserve">HEADSET</t>
        </is>
      </c>
      <c r="E1190" s="330" t="inlineStr">
        <is>
          <t>Y</t>
        </is>
      </c>
      <c r="F1190" s="330" t="inlineStr">
        <is>
          <t xml:space="preserve">진단 대상 35개 국가·리테일러에 해당하지 않음</t>
        </is>
      </c>
    </row>
    <row r="1191" spans="1:15">
      <c r="A1191" s="256" t="s">
        <v>218</v>
      </c>
      <c r="B1191" s="256" t="s">
        <v>222</v>
      </c>
      <c r="C1191" s="256" t="s">
        <v>1899</v>
      </c>
      <c r="D1191" s="330" t="inlineStr">
        <is>
          <t xml:space="preserve">HEADSET</t>
        </is>
      </c>
      <c r="E1191" s="330" t="inlineStr">
        <is>
          <t>Y</t>
        </is>
      </c>
      <c r="F1191" s="330" t="inlineStr">
        <is>
          <t xml:space="preserve">진단 대상 35개 국가·리테일러에 해당하지 않음</t>
        </is>
      </c>
    </row>
    <row r="1192" spans="1:15">
      <c r="A1192" s="256" t="s">
        <v>218</v>
      </c>
      <c r="B1192" s="256" t="s">
        <v>222</v>
      </c>
      <c r="C1192" s="256" t="s">
        <v>1900</v>
      </c>
      <c r="D1192" s="330" t="inlineStr">
        <is>
          <t xml:space="preserve">HEADSET</t>
        </is>
      </c>
      <c r="E1192" s="330" t="inlineStr">
        <is>
          <t>Y</t>
        </is>
      </c>
      <c r="F1192" s="330" t="inlineStr">
        <is>
          <t xml:space="preserve">진단 대상 35개 국가·리테일러에 해당하지 않음</t>
        </is>
      </c>
    </row>
    <row r="1193" spans="1:15">
      <c r="A1193" s="256" t="s">
        <v>218</v>
      </c>
      <c r="B1193" s="256" t="s">
        <v>222</v>
      </c>
      <c r="C1193" s="256" t="s">
        <v>1901</v>
      </c>
      <c r="D1193" s="330" t="inlineStr">
        <is>
          <t xml:space="preserve">HEADSET</t>
        </is>
      </c>
      <c r="E1193" s="330" t="inlineStr">
        <is>
          <t>Y</t>
        </is>
      </c>
      <c r="F1193" s="330" t="inlineStr">
        <is>
          <t xml:space="preserve">진단 대상 35개 국가·리테일러에 해당하지 않음</t>
        </is>
      </c>
    </row>
    <row r="1194" spans="1:15">
      <c r="A1194" s="256" t="s">
        <v>218</v>
      </c>
      <c r="B1194" s="256" t="s">
        <v>222</v>
      </c>
      <c r="C1194" s="256" t="s">
        <v>1902</v>
      </c>
      <c r="D1194" s="330" t="inlineStr">
        <is>
          <t xml:space="preserve">HEADSET</t>
        </is>
      </c>
      <c r="E1194" s="330" t="inlineStr">
        <is>
          <t>Y</t>
        </is>
      </c>
      <c r="F1194" s="330" t="inlineStr">
        <is>
          <t xml:space="preserve">진단 대상 35개 국가·리테일러에 해당하지 않음</t>
        </is>
      </c>
    </row>
    <row r="1195" spans="1:15">
      <c r="A1195" s="256" t="s">
        <v>218</v>
      </c>
      <c r="B1195" s="256" t="s">
        <v>222</v>
      </c>
      <c r="C1195" s="256" t="s">
        <v>1903</v>
      </c>
      <c r="D1195" s="332" t="inlineStr">
        <is>
          <t xml:space="preserve">UNKNOWN</t>
        </is>
      </c>
      <c r="E1195" s="330" t="inlineStr">
        <is>
          <t>Y</t>
        </is>
      </c>
      <c r="F1195" s="330" t="inlineStr">
        <is>
          <t xml:space="preserve">진단 대상 35개 국가·리테일러에 해당하지 않음</t>
        </is>
      </c>
    </row>
    <row r="1196" spans="1:15">
      <c r="A1196" s="256" t="s">
        <v>218</v>
      </c>
      <c r="B1196" s="256" t="s">
        <v>222</v>
      </c>
      <c r="C1196" s="256" t="s">
        <v>1904</v>
      </c>
      <c r="D1196" s="332" t="inlineStr">
        <is>
          <t xml:space="preserve">UNKNOWN</t>
        </is>
      </c>
      <c r="E1196" s="330" t="inlineStr">
        <is>
          <t>Y</t>
        </is>
      </c>
      <c r="F1196" s="330" t="inlineStr">
        <is>
          <t xml:space="preserve">진단 대상 35개 국가·리테일러에 해당하지 않음</t>
        </is>
      </c>
    </row>
    <row r="1197" spans="1:15">
      <c r="A1197" s="256" t="s">
        <v>218</v>
      </c>
      <c r="B1197" s="256" t="s">
        <v>222</v>
      </c>
      <c r="C1197" s="256" t="s">
        <v>1905</v>
      </c>
      <c r="D1197" s="332" t="inlineStr">
        <is>
          <t xml:space="preserve">UNKNOWN</t>
        </is>
      </c>
      <c r="E1197" s="330" t="inlineStr">
        <is>
          <t>Y</t>
        </is>
      </c>
      <c r="F1197" s="330" t="inlineStr">
        <is>
          <t xml:space="preserve">진단 대상 35개 국가·리테일러에 해당하지 않음</t>
        </is>
      </c>
    </row>
    <row r="1198" spans="1:15">
      <c r="A1198" s="256" t="s">
        <v>218</v>
      </c>
      <c r="B1198" s="256" t="s">
        <v>222</v>
      </c>
      <c r="C1198" s="256" t="s">
        <v>1906</v>
      </c>
      <c r="D1198" s="332" t="inlineStr">
        <is>
          <t xml:space="preserve">UNKNOWN</t>
        </is>
      </c>
      <c r="E1198" s="330" t="inlineStr">
        <is>
          <t>Y</t>
        </is>
      </c>
      <c r="F1198" s="330" t="inlineStr">
        <is>
          <t xml:space="preserve">진단 대상 35개 국가·리테일러에 해당하지 않음</t>
        </is>
      </c>
    </row>
    <row r="1199" spans="1:15">
      <c r="A1199" s="256" t="s">
        <v>218</v>
      </c>
      <c r="B1199" s="256" t="s">
        <v>222</v>
      </c>
      <c r="C1199" s="256" t="s">
        <v>1907</v>
      </c>
      <c r="D1199" s="332" t="inlineStr">
        <is>
          <t xml:space="preserve">UNKNOWN</t>
        </is>
      </c>
      <c r="E1199" s="330" t="inlineStr">
        <is>
          <t>Y</t>
        </is>
      </c>
      <c r="F1199" s="330" t="inlineStr">
        <is>
          <t xml:space="preserve">진단 대상 35개 국가·리테일러에 해당하지 않음</t>
        </is>
      </c>
    </row>
    <row r="1200" spans="1:15">
      <c r="A1200" s="256" t="s">
        <v>218</v>
      </c>
      <c r="B1200" s="256" t="s">
        <v>222</v>
      </c>
      <c r="C1200" s="256" t="s">
        <v>1908</v>
      </c>
      <c r="D1200" s="332" t="inlineStr">
        <is>
          <t xml:space="preserve">UNKNOWN</t>
        </is>
      </c>
      <c r="E1200" s="330" t="inlineStr">
        <is>
          <t>Y</t>
        </is>
      </c>
      <c r="F1200" s="330" t="inlineStr">
        <is>
          <t xml:space="preserve">진단 대상 35개 국가·리테일러에 해당하지 않음</t>
        </is>
      </c>
    </row>
    <row r="1201" spans="1:15">
      <c r="A1201" s="256" t="s">
        <v>218</v>
      </c>
      <c r="B1201" s="256" t="s">
        <v>222</v>
      </c>
      <c r="C1201" s="256" t="s">
        <v>1909</v>
      </c>
      <c r="D1201" s="332" t="inlineStr">
        <is>
          <t xml:space="preserve">UNKNOWN</t>
        </is>
      </c>
      <c r="E1201" s="330" t="inlineStr">
        <is>
          <t>Y</t>
        </is>
      </c>
      <c r="F1201" s="330" t="inlineStr">
        <is>
          <t xml:space="preserve">진단 대상 35개 국가·리테일러에 해당하지 않음</t>
        </is>
      </c>
    </row>
    <row r="1202" spans="1:15">
      <c r="A1202" s="256" t="s">
        <v>218</v>
      </c>
      <c r="B1202" s="256" t="s">
        <v>222</v>
      </c>
      <c r="C1202" s="256" t="s">
        <v>1910</v>
      </c>
      <c r="D1202" s="332" t="inlineStr">
        <is>
          <t xml:space="preserve">UNKNOWN</t>
        </is>
      </c>
      <c r="E1202" s="330" t="inlineStr">
        <is>
          <t>Y</t>
        </is>
      </c>
      <c r="F1202" s="330" t="inlineStr">
        <is>
          <t xml:space="preserve">진단 대상 35개 국가·리테일러에 해당하지 않음</t>
        </is>
      </c>
    </row>
    <row r="1203" spans="1:15">
      <c r="A1203" s="256" t="s">
        <v>218</v>
      </c>
      <c r="B1203" s="256" t="s">
        <v>222</v>
      </c>
      <c r="C1203" s="256" t="s">
        <v>1911</v>
      </c>
      <c r="D1203" s="332" t="inlineStr">
        <is>
          <t xml:space="preserve">UNKNOWN</t>
        </is>
      </c>
      <c r="E1203" s="330" t="inlineStr">
        <is>
          <t>Y</t>
        </is>
      </c>
      <c r="F1203" s="330" t="inlineStr">
        <is>
          <t xml:space="preserve">진단 대상 35개 국가·리테일러에 해당하지 않음</t>
        </is>
      </c>
    </row>
    <row r="1204" spans="1:15">
      <c r="A1204" s="256" t="s">
        <v>218</v>
      </c>
      <c r="B1204" s="256" t="s">
        <v>222</v>
      </c>
      <c r="C1204" s="256" t="s">
        <v>1912</v>
      </c>
      <c r="D1204" s="332" t="inlineStr">
        <is>
          <t xml:space="preserve">UNKNOWN</t>
        </is>
      </c>
      <c r="E1204" s="330" t="inlineStr">
        <is>
          <t>Y</t>
        </is>
      </c>
      <c r="F1204" s="330" t="inlineStr">
        <is>
          <t xml:space="preserve">진단 대상 35개 국가·리테일러에 해당하지 않음</t>
        </is>
      </c>
    </row>
    <row r="1205" spans="1:15">
      <c r="A1205" s="256" t="s">
        <v>218</v>
      </c>
      <c r="B1205" s="256" t="s">
        <v>222</v>
      </c>
      <c r="C1205" s="256" t="s">
        <v>1913</v>
      </c>
      <c r="D1205" s="332" t="inlineStr">
        <is>
          <t xml:space="preserve">UNKNOWN</t>
        </is>
      </c>
      <c r="E1205" s="330" t="inlineStr">
        <is>
          <t>Y</t>
        </is>
      </c>
      <c r="F1205" s="330" t="inlineStr">
        <is>
          <t xml:space="preserve">진단 대상 35개 국가·리테일러에 해당하지 않음</t>
        </is>
      </c>
    </row>
    <row r="1206" spans="1:15">
      <c r="A1206" s="256" t="s">
        <v>218</v>
      </c>
      <c r="B1206" s="256" t="s">
        <v>222</v>
      </c>
      <c r="C1206" s="256" t="s">
        <v>1914</v>
      </c>
      <c r="D1206" s="332" t="inlineStr">
        <is>
          <t xml:space="preserve">UNKNOWN</t>
        </is>
      </c>
      <c r="E1206" s="330" t="inlineStr">
        <is>
          <t>Y</t>
        </is>
      </c>
      <c r="F1206" s="330" t="inlineStr">
        <is>
          <t xml:space="preserve">진단 대상 35개 국가·리테일러에 해당하지 않음</t>
        </is>
      </c>
    </row>
    <row r="1207" spans="1:15">
      <c r="A1207" s="256" t="s">
        <v>218</v>
      </c>
      <c r="B1207" s="256" t="s">
        <v>222</v>
      </c>
      <c r="C1207" s="256" t="s">
        <v>1915</v>
      </c>
      <c r="D1207" s="332" t="inlineStr">
        <is>
          <t xml:space="preserve">UNKNOWN</t>
        </is>
      </c>
      <c r="E1207" s="330" t="inlineStr">
        <is>
          <t>Y</t>
        </is>
      </c>
      <c r="F1207" s="330" t="inlineStr">
        <is>
          <t xml:space="preserve">진단 대상 35개 국가·리테일러에 해당하지 않음</t>
        </is>
      </c>
    </row>
    <row r="1208" spans="1:15">
      <c r="A1208" s="256" t="s">
        <v>218</v>
      </c>
      <c r="B1208" s="256" t="s">
        <v>222</v>
      </c>
      <c r="C1208" s="256" t="s">
        <v>1916</v>
      </c>
      <c r="D1208" s="332" t="inlineStr">
        <is>
          <t xml:space="preserve">UNKNOWN</t>
        </is>
      </c>
      <c r="E1208" s="330" t="inlineStr">
        <is>
          <t>Y</t>
        </is>
      </c>
      <c r="F1208" s="330" t="inlineStr">
        <is>
          <t xml:space="preserve">진단 대상 35개 국가·리테일러에 해당하지 않음</t>
        </is>
      </c>
    </row>
    <row r="1209" spans="1:15">
      <c r="A1209" s="256" t="s">
        <v>218</v>
      </c>
      <c r="B1209" s="256" t="s">
        <v>222</v>
      </c>
      <c r="C1209" s="256" t="s">
        <v>1917</v>
      </c>
      <c r="D1209" s="332" t="inlineStr">
        <is>
          <t xml:space="preserve">UNKNOWN</t>
        </is>
      </c>
      <c r="E1209" s="330" t="inlineStr">
        <is>
          <t>Y</t>
        </is>
      </c>
      <c r="F1209" s="330" t="inlineStr">
        <is>
          <t xml:space="preserve">진단 대상 35개 국가·리테일러에 해당하지 않음</t>
        </is>
      </c>
    </row>
    <row r="1210" spans="1:15">
      <c r="A1210" s="256" t="s">
        <v>218</v>
      </c>
      <c r="B1210" s="256" t="s">
        <v>222</v>
      </c>
      <c r="C1210" s="256" t="s">
        <v>1918</v>
      </c>
      <c r="D1210" s="332" t="inlineStr">
        <is>
          <t xml:space="preserve">UNKNOWN</t>
        </is>
      </c>
      <c r="E1210" s="330" t="inlineStr">
        <is>
          <t>Y</t>
        </is>
      </c>
      <c r="F1210" s="330" t="inlineStr">
        <is>
          <t xml:space="preserve">진단 대상 35개 국가·리테일러에 해당하지 않음</t>
        </is>
      </c>
    </row>
    <row r="1211" spans="1:15">
      <c r="A1211" s="256" t="s">
        <v>218</v>
      </c>
      <c r="B1211" s="256" t="s">
        <v>222</v>
      </c>
      <c r="C1211" s="256" t="s">
        <v>1919</v>
      </c>
      <c r="D1211" s="332" t="inlineStr">
        <is>
          <t xml:space="preserve">UNKNOWN</t>
        </is>
      </c>
      <c r="E1211" s="330" t="inlineStr">
        <is>
          <t>Y</t>
        </is>
      </c>
      <c r="F1211" s="330" t="inlineStr">
        <is>
          <t xml:space="preserve">진단 대상 35개 국가·리테일러에 해당하지 않음</t>
        </is>
      </c>
    </row>
    <row r="1212" spans="1:15">
      <c r="A1212" s="256" t="s">
        <v>218</v>
      </c>
      <c r="B1212" s="256" t="s">
        <v>222</v>
      </c>
      <c r="C1212" s="256" t="s">
        <v>1920</v>
      </c>
      <c r="D1212" s="332" t="inlineStr">
        <is>
          <t xml:space="preserve">UNKNOWN</t>
        </is>
      </c>
      <c r="E1212" s="330" t="inlineStr">
        <is>
          <t>Y</t>
        </is>
      </c>
      <c r="F1212" s="330" t="inlineStr">
        <is>
          <t xml:space="preserve">진단 대상 35개 국가·리테일러에 해당하지 않음</t>
        </is>
      </c>
    </row>
    <row r="1213" spans="1:15">
      <c r="A1213" s="256" t="s">
        <v>218</v>
      </c>
      <c r="B1213" s="256" t="s">
        <v>222</v>
      </c>
      <c r="C1213" s="256" t="s">
        <v>1921</v>
      </c>
      <c r="D1213" s="332" t="inlineStr">
        <is>
          <t xml:space="preserve">UNKNOWN</t>
        </is>
      </c>
      <c r="E1213" s="330" t="inlineStr">
        <is>
          <t>Y</t>
        </is>
      </c>
      <c r="F1213" s="330" t="inlineStr">
        <is>
          <t xml:space="preserve">진단 대상 35개 국가·리테일러에 해당하지 않음</t>
        </is>
      </c>
    </row>
    <row r="1214" spans="1:15">
      <c r="A1214" s="256" t="s">
        <v>218</v>
      </c>
      <c r="B1214" s="256" t="s">
        <v>222</v>
      </c>
      <c r="C1214" s="256" t="s">
        <v>1922</v>
      </c>
      <c r="D1214" s="332" t="inlineStr">
        <is>
          <t xml:space="preserve">UNKNOWN</t>
        </is>
      </c>
      <c r="E1214" s="330" t="inlineStr">
        <is>
          <t>Y</t>
        </is>
      </c>
      <c r="F1214" s="330" t="inlineStr">
        <is>
          <t xml:space="preserve">진단 대상 35개 국가·리테일러에 해당하지 않음</t>
        </is>
      </c>
    </row>
    <row r="1215" spans="1:15">
      <c r="A1215" s="256" t="s">
        <v>218</v>
      </c>
      <c r="B1215" s="256" t="s">
        <v>222</v>
      </c>
      <c r="C1215" s="256" t="s">
        <v>1923</v>
      </c>
      <c r="D1215" s="332" t="inlineStr">
        <is>
          <t xml:space="preserve">UNKNOWN</t>
        </is>
      </c>
      <c r="E1215" s="330" t="inlineStr">
        <is>
          <t>Y</t>
        </is>
      </c>
      <c r="F1215" s="330" t="inlineStr">
        <is>
          <t xml:space="preserve">진단 대상 35개 국가·리테일러에 해당하지 않음</t>
        </is>
      </c>
    </row>
    <row r="1216" spans="1:15">
      <c r="A1216" s="256" t="s">
        <v>218</v>
      </c>
      <c r="B1216" s="256" t="s">
        <v>222</v>
      </c>
      <c r="C1216" s="256" t="s">
        <v>1924</v>
      </c>
      <c r="D1216" s="332" t="inlineStr">
        <is>
          <t xml:space="preserve">UNKNOWN</t>
        </is>
      </c>
      <c r="E1216" s="330" t="inlineStr">
        <is>
          <t>Y</t>
        </is>
      </c>
      <c r="F1216" s="330" t="inlineStr">
        <is>
          <t xml:space="preserve">진단 대상 35개 국가·리테일러에 해당하지 않음</t>
        </is>
      </c>
    </row>
    <row r="1217" spans="1:15">
      <c r="A1217" s="256" t="s">
        <v>218</v>
      </c>
      <c r="B1217" s="256" t="s">
        <v>222</v>
      </c>
      <c r="C1217" s="256" t="s">
        <v>1925</v>
      </c>
      <c r="D1217" s="332" t="inlineStr">
        <is>
          <t xml:space="preserve">UNKNOWN</t>
        </is>
      </c>
      <c r="E1217" s="330" t="inlineStr">
        <is>
          <t>Y</t>
        </is>
      </c>
      <c r="F1217" s="330" t="inlineStr">
        <is>
          <t xml:space="preserve">진단 대상 35개 국가·리테일러에 해당하지 않음</t>
        </is>
      </c>
    </row>
    <row r="1218" spans="1:15">
      <c r="A1218" s="256" t="s">
        <v>218</v>
      </c>
      <c r="B1218" s="256" t="s">
        <v>222</v>
      </c>
      <c r="C1218" s="256" t="s">
        <v>1926</v>
      </c>
      <c r="D1218" s="332" t="inlineStr">
        <is>
          <t xml:space="preserve">UNKNOWN</t>
        </is>
      </c>
      <c r="E1218" s="330" t="inlineStr">
        <is>
          <t>Y</t>
        </is>
      </c>
      <c r="F1218" s="330" t="inlineStr">
        <is>
          <t xml:space="preserve">진단 대상 35개 국가·리테일러에 해당하지 않음</t>
        </is>
      </c>
    </row>
    <row r="1219" spans="1:15">
      <c r="A1219" s="256" t="s">
        <v>230</v>
      </c>
      <c r="B1219" s="256" t="s">
        <v>233</v>
      </c>
      <c r="C1219" s="256" t="s">
        <v>1927</v>
      </c>
      <c r="D1219" s="330" t="inlineStr">
        <is>
          <t xml:space="preserve">RAC</t>
        </is>
      </c>
      <c r="E1219" s="330" t="inlineStr">
        <is>
          <t>Y</t>
        </is>
      </c>
      <c r="F1219" s="330" t="inlineStr">
        <is>
          <t xml:space="preserve">진단 대상 35개 국가·리테일러에 해당하지 않음</t>
        </is>
      </c>
    </row>
    <row r="1220" spans="1:15">
      <c r="A1220" s="256" t="s">
        <v>230</v>
      </c>
      <c r="B1220" s="256" t="s">
        <v>233</v>
      </c>
      <c r="C1220" s="256" t="s">
        <v>1928</v>
      </c>
      <c r="D1220" s="330" t="inlineStr">
        <is>
          <t xml:space="preserve">MNT</t>
        </is>
      </c>
      <c r="E1220" s="330" t="inlineStr">
        <is>
          <t>Y</t>
        </is>
      </c>
      <c r="F1220" s="330" t="inlineStr">
        <is>
          <t xml:space="preserve">진단 대상 35개 국가·리테일러에 해당하지 않음</t>
        </is>
      </c>
    </row>
    <row r="1221" spans="1:15">
      <c r="A1221" s="256" t="s">
        <v>230</v>
      </c>
      <c r="B1221" s="256" t="s">
        <v>233</v>
      </c>
      <c r="C1221" s="256" t="s">
        <v>1929</v>
      </c>
      <c r="D1221" s="330" t="inlineStr">
        <is>
          <t xml:space="preserve">DRYER</t>
        </is>
      </c>
      <c r="E1221" s="330" t="inlineStr">
        <is>
          <t>Y</t>
        </is>
      </c>
      <c r="F1221" s="330" t="inlineStr">
        <is>
          <t xml:space="preserve">진단 대상 35개 국가·리테일러에 해당하지 않음</t>
        </is>
      </c>
    </row>
    <row r="1222" spans="1:15">
      <c r="A1222" s="256" t="s">
        <v>230</v>
      </c>
      <c r="B1222" s="256" t="s">
        <v>233</v>
      </c>
      <c r="C1222" s="256" t="s">
        <v>1930</v>
      </c>
      <c r="D1222" s="330" t="inlineStr">
        <is>
          <t xml:space="preserve">AIR_PURIFIER</t>
        </is>
      </c>
      <c r="E1222" s="330" t="inlineStr">
        <is>
          <t>Y</t>
        </is>
      </c>
      <c r="F1222" s="330" t="inlineStr">
        <is>
          <t xml:space="preserve">진단 대상 35개 국가·리테일러에 해당하지 않음</t>
        </is>
      </c>
    </row>
    <row r="1223" spans="1:15">
      <c r="A1223" s="256" t="s">
        <v>230</v>
      </c>
      <c r="B1223" s="256" t="s">
        <v>233</v>
      </c>
      <c r="C1223" s="256" t="s">
        <v>1931</v>
      </c>
      <c r="D1223" s="330" t="inlineStr">
        <is>
          <t xml:space="preserve">REF</t>
        </is>
      </c>
      <c r="E1223" s="330" t="inlineStr">
        <is>
          <t>Y</t>
        </is>
      </c>
      <c r="F1223" s="330" t="inlineStr">
        <is>
          <t xml:space="preserve">진단 대상 35개 국가·리테일러에 해당하지 않음</t>
        </is>
      </c>
    </row>
    <row r="1224" spans="1:15">
      <c r="A1224" s="256" t="s">
        <v>230</v>
      </c>
      <c r="B1224" s="256" t="s">
        <v>233</v>
      </c>
      <c r="C1224" s="256" t="s">
        <v>1932</v>
      </c>
      <c r="D1224" s="330" t="inlineStr">
        <is>
          <t xml:space="preserve">REF</t>
        </is>
      </c>
      <c r="E1224" s="330" t="inlineStr">
        <is>
          <t>Y</t>
        </is>
      </c>
      <c r="F1224" s="330" t="inlineStr">
        <is>
          <t xml:space="preserve">진단 대상 35개 국가·리테일러에 해당하지 않음</t>
        </is>
      </c>
    </row>
    <row r="1225" spans="1:15">
      <c r="A1225" s="256" t="s">
        <v>230</v>
      </c>
      <c r="B1225" s="256" t="s">
        <v>233</v>
      </c>
      <c r="C1225" s="256" t="s">
        <v>1933</v>
      </c>
      <c r="D1225" s="330" t="inlineStr">
        <is>
          <t xml:space="preserve">REF</t>
        </is>
      </c>
      <c r="E1225" s="330" t="inlineStr">
        <is>
          <t>Y</t>
        </is>
      </c>
      <c r="F1225" s="330" t="inlineStr">
        <is>
          <t xml:space="preserve">진단 대상 35개 국가·리테일러에 해당하지 않음</t>
        </is>
      </c>
    </row>
    <row r="1226" spans="1:15">
      <c r="A1226" s="256" t="s">
        <v>230</v>
      </c>
      <c r="B1226" s="256" t="s">
        <v>233</v>
      </c>
      <c r="C1226" s="256" t="s">
        <v>1934</v>
      </c>
      <c r="D1226" s="330" t="inlineStr">
        <is>
          <t xml:space="preserve">REF</t>
        </is>
      </c>
      <c r="E1226" s="330" t="inlineStr">
        <is>
          <t>Y</t>
        </is>
      </c>
      <c r="F1226" s="330" t="inlineStr">
        <is>
          <t xml:space="preserve">진단 대상 35개 국가·리테일러에 해당하지 않음</t>
        </is>
      </c>
    </row>
    <row r="1227" spans="1:15">
      <c r="A1227" s="256" t="s">
        <v>230</v>
      </c>
      <c r="B1227" s="256" t="s">
        <v>233</v>
      </c>
      <c r="C1227" s="256" t="s">
        <v>1935</v>
      </c>
      <c r="D1227" s="330" t="inlineStr">
        <is>
          <t xml:space="preserve">WM</t>
        </is>
      </c>
      <c r="E1227" s="330" t="inlineStr">
        <is>
          <t>Y</t>
        </is>
      </c>
      <c r="F1227" s="330" t="inlineStr">
        <is>
          <t xml:space="preserve">진단 대상 35개 국가·리테일러에 해당하지 않음</t>
        </is>
      </c>
    </row>
    <row r="1228" spans="1:15">
      <c r="A1228" s="256" t="s">
        <v>230</v>
      </c>
      <c r="B1228" s="256" t="s">
        <v>233</v>
      </c>
      <c r="C1228" s="256" t="s">
        <v>1936</v>
      </c>
      <c r="D1228" s="330" t="inlineStr">
        <is>
          <t xml:space="preserve">TV</t>
        </is>
      </c>
      <c r="E1228" s="330" t="inlineStr">
        <is>
          <t>Y</t>
        </is>
      </c>
      <c r="F1228" s="330" t="inlineStr">
        <is>
          <t xml:space="preserve">진단 대상 35개 국가·리테일러에 해당하지 않음</t>
        </is>
      </c>
    </row>
    <row r="1229" spans="1:15">
      <c r="A1229" s="256" t="s">
        <v>230</v>
      </c>
      <c r="B1229" s="256" t="s">
        <v>233</v>
      </c>
      <c r="C1229" s="256" t="s">
        <v>1937</v>
      </c>
      <c r="D1229" s="330" t="inlineStr">
        <is>
          <t xml:space="preserve">TV</t>
        </is>
      </c>
      <c r="E1229" s="330" t="inlineStr">
        <is>
          <t>Y</t>
        </is>
      </c>
      <c r="F1229" s="330" t="inlineStr">
        <is>
          <t xml:space="preserve">진단 대상 35개 국가·리테일러에 해당하지 않음</t>
        </is>
      </c>
    </row>
    <row r="1230" spans="1:15">
      <c r="A1230" s="256" t="s">
        <v>230</v>
      </c>
      <c r="B1230" s="256" t="s">
        <v>233</v>
      </c>
      <c r="C1230" s="256" t="s">
        <v>1938</v>
      </c>
      <c r="D1230" s="330" t="inlineStr">
        <is>
          <t xml:space="preserve">TV</t>
        </is>
      </c>
      <c r="E1230" s="330" t="inlineStr">
        <is>
          <t>Y</t>
        </is>
      </c>
      <c r="F1230" s="330" t="inlineStr">
        <is>
          <t xml:space="preserve">진단 대상 35개 국가·리테일러에 해당하지 않음</t>
        </is>
      </c>
    </row>
    <row r="1231" spans="1:15">
      <c r="A1231" s="256" t="s">
        <v>230</v>
      </c>
      <c r="B1231" s="256" t="s">
        <v>233</v>
      </c>
      <c r="C1231" s="256" t="s">
        <v>1939</v>
      </c>
      <c r="D1231" s="330" t="inlineStr">
        <is>
          <t xml:space="preserve">TV</t>
        </is>
      </c>
      <c r="E1231" s="330" t="inlineStr">
        <is>
          <t>Y</t>
        </is>
      </c>
      <c r="F1231" s="330" t="inlineStr">
        <is>
          <t xml:space="preserve">진단 대상 35개 국가·리테일러에 해당하지 않음</t>
        </is>
      </c>
    </row>
    <row r="1232" spans="1:15">
      <c r="A1232" s="256" t="s">
        <v>230</v>
      </c>
      <c r="B1232" s="256" t="s">
        <v>233</v>
      </c>
      <c r="C1232" s="256" t="s">
        <v>1940</v>
      </c>
      <c r="D1232" s="330" t="inlineStr">
        <is>
          <t xml:space="preserve">TV</t>
        </is>
      </c>
      <c r="E1232" s="330" t="inlineStr">
        <is>
          <t>Y</t>
        </is>
      </c>
      <c r="F1232" s="330" t="inlineStr">
        <is>
          <t xml:space="preserve">진단 대상 35개 국가·리테일러에 해당하지 않음</t>
        </is>
      </c>
    </row>
    <row r="1233" spans="1:15">
      <c r="A1233" s="256" t="s">
        <v>230</v>
      </c>
      <c r="B1233" s="256" t="s">
        <v>233</v>
      </c>
      <c r="C1233" s="256" t="s">
        <v>1941</v>
      </c>
      <c r="D1233" s="330" t="inlineStr">
        <is>
          <t xml:space="preserve">TV</t>
        </is>
      </c>
      <c r="E1233" s="330" t="inlineStr">
        <is>
          <t>Y</t>
        </is>
      </c>
      <c r="F1233" s="330" t="inlineStr">
        <is>
          <t xml:space="preserve">진단 대상 35개 국가·리테일러에 해당하지 않음</t>
        </is>
      </c>
    </row>
    <row r="1234" spans="1:15">
      <c r="A1234" s="256" t="s">
        <v>230</v>
      </c>
      <c r="B1234" s="256" t="s">
        <v>233</v>
      </c>
      <c r="C1234" s="256" t="s">
        <v>1942</v>
      </c>
      <c r="D1234" s="330" t="inlineStr">
        <is>
          <t xml:space="preserve">TV</t>
        </is>
      </c>
      <c r="E1234" s="330" t="inlineStr">
        <is>
          <t>Y</t>
        </is>
      </c>
      <c r="F1234" s="330" t="inlineStr">
        <is>
          <t xml:space="preserve">진단 대상 35개 국가·리테일러에 해당하지 않음</t>
        </is>
      </c>
    </row>
    <row r="1235" spans="1:15">
      <c r="A1235" s="256" t="s">
        <v>230</v>
      </c>
      <c r="B1235" s="256" t="s">
        <v>233</v>
      </c>
      <c r="C1235" s="256" t="s">
        <v>1943</v>
      </c>
      <c r="D1235" s="330" t="inlineStr">
        <is>
          <t xml:space="preserve">TV</t>
        </is>
      </c>
      <c r="E1235" s="330" t="inlineStr">
        <is>
          <t>Y</t>
        </is>
      </c>
      <c r="F1235" s="330" t="inlineStr">
        <is>
          <t xml:space="preserve">진단 대상 35개 국가·리테일러에 해당하지 않음</t>
        </is>
      </c>
    </row>
    <row r="1236" spans="1:15">
      <c r="A1236" s="256" t="s">
        <v>230</v>
      </c>
      <c r="B1236" s="256" t="s">
        <v>233</v>
      </c>
      <c r="C1236" s="256" t="s">
        <v>1944</v>
      </c>
      <c r="D1236" s="330" t="inlineStr">
        <is>
          <t xml:space="preserve">TV</t>
        </is>
      </c>
      <c r="E1236" s="330" t="inlineStr">
        <is>
          <t>Y</t>
        </is>
      </c>
      <c r="F1236" s="330" t="inlineStr">
        <is>
          <t xml:space="preserve">진단 대상 35개 국가·리테일러에 해당하지 않음</t>
        </is>
      </c>
    </row>
    <row r="1237" spans="1:15">
      <c r="A1237" s="256" t="s">
        <v>230</v>
      </c>
      <c r="B1237" s="256" t="s">
        <v>233</v>
      </c>
      <c r="C1237" s="256" t="s">
        <v>1945</v>
      </c>
      <c r="D1237" s="330" t="inlineStr">
        <is>
          <t xml:space="preserve">TV</t>
        </is>
      </c>
      <c r="E1237" s="330" t="inlineStr">
        <is>
          <t>Y</t>
        </is>
      </c>
      <c r="F1237" s="330" t="inlineStr">
        <is>
          <t xml:space="preserve">진단 대상 35개 국가·리테일러에 해당하지 않음</t>
        </is>
      </c>
    </row>
    <row r="1238" spans="1:15">
      <c r="A1238" s="256" t="s">
        <v>230</v>
      </c>
      <c r="B1238" s="256" t="s">
        <v>233</v>
      </c>
      <c r="C1238" s="256" t="s">
        <v>1946</v>
      </c>
      <c r="D1238" s="330" t="inlineStr">
        <is>
          <t xml:space="preserve">TV</t>
        </is>
      </c>
      <c r="E1238" s="330" t="inlineStr">
        <is>
          <t>Y</t>
        </is>
      </c>
      <c r="F1238" s="330" t="inlineStr">
        <is>
          <t xml:space="preserve">진단 대상 35개 국가·리테일러에 해당하지 않음</t>
        </is>
      </c>
    </row>
    <row r="1239" spans="1:15">
      <c r="A1239" s="256" t="s">
        <v>230</v>
      </c>
      <c r="B1239" s="256" t="s">
        <v>233</v>
      </c>
      <c r="C1239" s="256" t="s">
        <v>1947</v>
      </c>
      <c r="D1239" s="330" t="inlineStr">
        <is>
          <t xml:space="preserve">TV</t>
        </is>
      </c>
      <c r="E1239" s="330" t="inlineStr">
        <is>
          <t>Y</t>
        </is>
      </c>
      <c r="F1239" s="330" t="inlineStr">
        <is>
          <t xml:space="preserve">진단 대상 35개 국가·리테일러에 해당하지 않음</t>
        </is>
      </c>
    </row>
    <row r="1240" spans="1:15">
      <c r="A1240" s="256" t="s">
        <v>230</v>
      </c>
      <c r="B1240" s="256" t="s">
        <v>233</v>
      </c>
      <c r="C1240" s="256" t="s">
        <v>1948</v>
      </c>
      <c r="D1240" s="330" t="inlineStr">
        <is>
          <t xml:space="preserve">TV</t>
        </is>
      </c>
      <c r="E1240" s="330" t="inlineStr">
        <is>
          <t>Y</t>
        </is>
      </c>
      <c r="F1240" s="330" t="inlineStr">
        <is>
          <t xml:space="preserve">진단 대상 35개 국가·리테일러에 해당하지 않음</t>
        </is>
      </c>
    </row>
    <row r="1241" spans="1:15">
      <c r="A1241" s="256" t="s">
        <v>230</v>
      </c>
      <c r="B1241" s="256" t="s">
        <v>233</v>
      </c>
      <c r="C1241" s="256" t="s">
        <v>1949</v>
      </c>
      <c r="D1241" s="330" t="inlineStr">
        <is>
          <t xml:space="preserve">BT_SPEAKER</t>
        </is>
      </c>
      <c r="E1241" s="330" t="inlineStr">
        <is>
          <t>Y</t>
        </is>
      </c>
      <c r="F1241" s="330" t="inlineStr">
        <is>
          <t xml:space="preserve">진단 대상 35개 국가·리테일러에 해당하지 않음</t>
        </is>
      </c>
    </row>
    <row r="1242" spans="1:15">
      <c r="A1242" s="256" t="s">
        <v>230</v>
      </c>
      <c r="B1242" s="256" t="s">
        <v>233</v>
      </c>
      <c r="C1242" s="256" t="s">
        <v>1950</v>
      </c>
      <c r="D1242" s="330" t="inlineStr">
        <is>
          <t xml:space="preserve">BT_SPEAKER</t>
        </is>
      </c>
      <c r="E1242" s="330" t="inlineStr">
        <is>
          <t>Y</t>
        </is>
      </c>
      <c r="F1242" s="330" t="inlineStr">
        <is>
          <t xml:space="preserve">진단 대상 35개 국가·리테일러에 해당하지 않음</t>
        </is>
      </c>
    </row>
    <row r="1243" spans="1:15">
      <c r="A1243" s="256" t="s">
        <v>230</v>
      </c>
      <c r="B1243" s="256" t="s">
        <v>233</v>
      </c>
      <c r="C1243" s="256" t="s">
        <v>1951</v>
      </c>
      <c r="D1243" s="330" t="inlineStr">
        <is>
          <t xml:space="preserve">BT_SPEAKER</t>
        </is>
      </c>
      <c r="E1243" s="330" t="inlineStr">
        <is>
          <t>Y</t>
        </is>
      </c>
      <c r="F1243" s="330" t="inlineStr">
        <is>
          <t xml:space="preserve">진단 대상 35개 국가·리테일러에 해당하지 않음</t>
        </is>
      </c>
    </row>
    <row r="1244" spans="1:15">
      <c r="A1244" s="256" t="s">
        <v>230</v>
      </c>
      <c r="B1244" s="256" t="s">
        <v>233</v>
      </c>
      <c r="C1244" s="256" t="s">
        <v>1952</v>
      </c>
      <c r="D1244" s="330" t="inlineStr">
        <is>
          <t xml:space="preserve">BT_SPEAKER</t>
        </is>
      </c>
      <c r="E1244" s="330" t="inlineStr">
        <is>
          <t>Y</t>
        </is>
      </c>
      <c r="F1244" s="330" t="inlineStr">
        <is>
          <t xml:space="preserve">진단 대상 35개 국가·리테일러에 해당하지 않음</t>
        </is>
      </c>
    </row>
    <row r="1245" spans="1:15">
      <c r="A1245" s="256" t="s">
        <v>230</v>
      </c>
      <c r="B1245" s="256" t="s">
        <v>233</v>
      </c>
      <c r="C1245" s="256" t="s">
        <v>1953</v>
      </c>
      <c r="D1245" s="330" t="inlineStr">
        <is>
          <t xml:space="preserve">BT_SPEAKER</t>
        </is>
      </c>
      <c r="E1245" s="330" t="inlineStr">
        <is>
          <t>Y</t>
        </is>
      </c>
      <c r="F1245" s="330" t="inlineStr">
        <is>
          <t xml:space="preserve">진단 대상 35개 국가·리테일러에 해당하지 않음</t>
        </is>
      </c>
    </row>
    <row r="1246" spans="1:15">
      <c r="A1246" s="256" t="s">
        <v>230</v>
      </c>
      <c r="B1246" s="256" t="s">
        <v>233</v>
      </c>
      <c r="C1246" s="256" t="s">
        <v>1954</v>
      </c>
      <c r="D1246" s="330" t="inlineStr">
        <is>
          <t xml:space="preserve">SOUNDBAR</t>
        </is>
      </c>
      <c r="E1246" s="330" t="inlineStr">
        <is>
          <t>Y</t>
        </is>
      </c>
      <c r="F1246" s="330" t="inlineStr">
        <is>
          <t xml:space="preserve">진단 대상 35개 국가·리테일러에 해당하지 않음</t>
        </is>
      </c>
    </row>
    <row r="1247" spans="1:15">
      <c r="A1247" s="256" t="s">
        <v>230</v>
      </c>
      <c r="B1247" s="256" t="s">
        <v>233</v>
      </c>
      <c r="C1247" s="256" t="s">
        <v>1955</v>
      </c>
      <c r="D1247" s="330" t="inlineStr">
        <is>
          <t xml:space="preserve">RAC</t>
        </is>
      </c>
      <c r="E1247" s="330" t="inlineStr">
        <is>
          <t>Y</t>
        </is>
      </c>
      <c r="F1247" s="330" t="inlineStr">
        <is>
          <t xml:space="preserve">진단 대상 35개 국가·리테일러에 해당하지 않음</t>
        </is>
      </c>
    </row>
    <row r="1248" spans="1:15">
      <c r="A1248" s="256" t="s">
        <v>230</v>
      </c>
      <c r="B1248" s="256" t="s">
        <v>233</v>
      </c>
      <c r="C1248" s="256" t="s">
        <v>1956</v>
      </c>
      <c r="D1248" s="330" t="inlineStr">
        <is>
          <t xml:space="preserve">WM</t>
        </is>
      </c>
      <c r="E1248" s="330" t="inlineStr">
        <is>
          <t>Y</t>
        </is>
      </c>
      <c r="F1248" s="330" t="inlineStr">
        <is>
          <t xml:space="preserve">진단 대상 35개 국가·리테일러에 해당하지 않음</t>
        </is>
      </c>
    </row>
    <row r="1249" spans="1:15">
      <c r="A1249" s="256" t="s">
        <v>230</v>
      </c>
      <c r="B1249" s="256" t="s">
        <v>233</v>
      </c>
      <c r="C1249" s="256" t="s">
        <v>1957</v>
      </c>
      <c r="D1249" s="330" t="inlineStr">
        <is>
          <t xml:space="preserve">WM</t>
        </is>
      </c>
      <c r="E1249" s="330" t="inlineStr">
        <is>
          <t>Y</t>
        </is>
      </c>
      <c r="F1249" s="330" t="inlineStr">
        <is>
          <t xml:space="preserve">진단 대상 35개 국가·리테일러에 해당하지 않음</t>
        </is>
      </c>
    </row>
    <row r="1250" spans="1:15">
      <c r="A1250" s="256" t="s">
        <v>230</v>
      </c>
      <c r="B1250" s="256" t="s">
        <v>233</v>
      </c>
      <c r="C1250" s="256" t="s">
        <v>1958</v>
      </c>
      <c r="D1250" s="330" t="inlineStr">
        <is>
          <t xml:space="preserve">HEADSET</t>
        </is>
      </c>
      <c r="E1250" s="330" t="inlineStr">
        <is>
          <t>Y</t>
        </is>
      </c>
      <c r="F1250" s="330" t="inlineStr">
        <is>
          <t xml:space="preserve">진단 대상 35개 국가·리테일러에 해당하지 않음</t>
        </is>
      </c>
    </row>
    <row r="1251" spans="1:15">
      <c r="A1251" s="256" t="s">
        <v>230</v>
      </c>
      <c r="B1251" s="256" t="s">
        <v>233</v>
      </c>
      <c r="C1251" s="256" t="s">
        <v>1959</v>
      </c>
      <c r="D1251" s="330" t="inlineStr">
        <is>
          <t xml:space="preserve">HEADSET</t>
        </is>
      </c>
      <c r="E1251" s="330" t="inlineStr">
        <is>
          <t>Y</t>
        </is>
      </c>
      <c r="F1251" s="330" t="inlineStr">
        <is>
          <t xml:space="preserve">진단 대상 35개 국가·리테일러에 해당하지 않음</t>
        </is>
      </c>
    </row>
    <row r="1252" spans="1:15">
      <c r="A1252" s="256" t="s">
        <v>230</v>
      </c>
      <c r="B1252" s="256" t="s">
        <v>233</v>
      </c>
      <c r="C1252" s="256" t="s">
        <v>1960</v>
      </c>
      <c r="D1252" s="330" t="inlineStr">
        <is>
          <t xml:space="preserve">HEADSET</t>
        </is>
      </c>
      <c r="E1252" s="330" t="inlineStr">
        <is>
          <t>Y</t>
        </is>
      </c>
      <c r="F1252" s="330" t="inlineStr">
        <is>
          <t xml:space="preserve">진단 대상 35개 국가·리테일러에 해당하지 않음</t>
        </is>
      </c>
    </row>
    <row r="1253" spans="1:15">
      <c r="A1253" s="256" t="s">
        <v>230</v>
      </c>
      <c r="B1253" s="256" t="s">
        <v>233</v>
      </c>
      <c r="C1253" s="256" t="s">
        <v>1961</v>
      </c>
      <c r="D1253" s="330" t="inlineStr">
        <is>
          <t xml:space="preserve">HEADSET</t>
        </is>
      </c>
      <c r="E1253" s="330" t="inlineStr">
        <is>
          <t>Y</t>
        </is>
      </c>
      <c r="F1253" s="330" t="inlineStr">
        <is>
          <t xml:space="preserve">진단 대상 35개 국가·리테일러에 해당하지 않음</t>
        </is>
      </c>
    </row>
    <row r="1254" spans="1:15">
      <c r="A1254" s="256" t="s">
        <v>201</v>
      </c>
      <c r="B1254" s="256" t="s">
        <v>184</v>
      </c>
      <c r="C1254" s="256" t="s">
        <v>1962</v>
      </c>
      <c r="D1254" s="330" t="inlineStr">
        <is>
          <t xml:space="preserve">REF</t>
        </is>
      </c>
      <c r="E1254" s="330" t="inlineStr">
        <is>
          <t>Y</t>
        </is>
      </c>
      <c r="F1254" s="330" t="inlineStr">
        <is>
          <t xml:space="preserve">진단 대상 35개 국가·리테일러에 해당하지 않음</t>
        </is>
      </c>
    </row>
    <row r="1255" spans="1:15">
      <c r="A1255" s="256" t="s">
        <v>201</v>
      </c>
      <c r="B1255" s="256" t="s">
        <v>184</v>
      </c>
      <c r="C1255" s="256" t="s">
        <v>1963</v>
      </c>
      <c r="D1255" s="330" t="inlineStr">
        <is>
          <t xml:space="preserve">WM</t>
        </is>
      </c>
      <c r="E1255" s="330" t="inlineStr">
        <is>
          <t>Y</t>
        </is>
      </c>
      <c r="F1255" s="330" t="inlineStr">
        <is>
          <t xml:space="preserve">진단 대상 35개 국가·리테일러에 해당하지 않음</t>
        </is>
      </c>
    </row>
    <row r="1256" spans="1:15">
      <c r="A1256" s="256" t="s">
        <v>201</v>
      </c>
      <c r="B1256" s="256" t="s">
        <v>184</v>
      </c>
      <c r="C1256" s="256" t="s">
        <v>1964</v>
      </c>
      <c r="D1256" s="330" t="inlineStr">
        <is>
          <t xml:space="preserve">TV</t>
        </is>
      </c>
      <c r="E1256" s="330" t="inlineStr">
        <is>
          <t>Y</t>
        </is>
      </c>
      <c r="F1256" s="330" t="inlineStr">
        <is>
          <t xml:space="preserve">진단 대상 35개 국가·리테일러에 해당하지 않음</t>
        </is>
      </c>
    </row>
    <row r="1257" spans="1:15">
      <c r="A1257" s="256" t="s">
        <v>201</v>
      </c>
      <c r="B1257" s="256" t="s">
        <v>184</v>
      </c>
      <c r="C1257" s="256" t="s">
        <v>1965</v>
      </c>
      <c r="D1257" s="330" t="inlineStr">
        <is>
          <t xml:space="preserve">MNT</t>
        </is>
      </c>
      <c r="E1257" s="330" t="inlineStr">
        <is>
          <t>Y</t>
        </is>
      </c>
      <c r="F1257" s="330" t="inlineStr">
        <is>
          <t xml:space="preserve">진단 대상 35개 국가·리테일러에 해당하지 않음</t>
        </is>
      </c>
    </row>
    <row r="1258" spans="1:15">
      <c r="A1258" s="256" t="s">
        <v>201</v>
      </c>
      <c r="B1258" s="256" t="s">
        <v>184</v>
      </c>
      <c r="C1258" s="256" t="s">
        <v>1966</v>
      </c>
      <c r="D1258" s="330" t="inlineStr">
        <is>
          <t xml:space="preserve">DRYER</t>
        </is>
      </c>
      <c r="E1258" s="330" t="inlineStr">
        <is>
          <t>Y</t>
        </is>
      </c>
      <c r="F1258" s="330" t="inlineStr">
        <is>
          <t xml:space="preserve">진단 대상 35개 국가·리테일러에 해당하지 않음</t>
        </is>
      </c>
    </row>
    <row r="1259" spans="1:15">
      <c r="A1259" s="256" t="s">
        <v>201</v>
      </c>
      <c r="B1259" s="256" t="s">
        <v>184</v>
      </c>
      <c r="C1259" s="256" t="s">
        <v>1967</v>
      </c>
      <c r="D1259" s="330" t="inlineStr">
        <is>
          <t xml:space="preserve">RAC</t>
        </is>
      </c>
      <c r="E1259" s="330" t="inlineStr">
        <is>
          <t>Y</t>
        </is>
      </c>
      <c r="F1259" s="330" t="inlineStr">
        <is>
          <t xml:space="preserve">진단 대상 35개 국가·리테일러에 해당하지 않음</t>
        </is>
      </c>
    </row>
    <row r="1260" spans="1:15">
      <c r="A1260" s="256" t="s">
        <v>201</v>
      </c>
      <c r="B1260" s="256" t="s">
        <v>184</v>
      </c>
      <c r="C1260" s="256" t="s">
        <v>1968</v>
      </c>
      <c r="D1260" s="330" t="inlineStr">
        <is>
          <t xml:space="preserve">AUDIO</t>
        </is>
      </c>
      <c r="E1260" s="330" t="inlineStr">
        <is>
          <t>Y</t>
        </is>
      </c>
      <c r="F1260" s="330" t="inlineStr">
        <is>
          <t xml:space="preserve">진단 대상 35개 국가·리테일러에 해당하지 않음</t>
        </is>
      </c>
    </row>
    <row r="1261" spans="1:15">
      <c r="A1261" s="256" t="s">
        <v>201</v>
      </c>
      <c r="B1261" s="256" t="s">
        <v>184</v>
      </c>
      <c r="C1261" s="256" t="s">
        <v>1969</v>
      </c>
      <c r="D1261" s="330" t="inlineStr">
        <is>
          <t xml:space="preserve">AUDIO</t>
        </is>
      </c>
      <c r="E1261" s="330" t="inlineStr">
        <is>
          <t>Y</t>
        </is>
      </c>
      <c r="F1261" s="330" t="inlineStr">
        <is>
          <t xml:space="preserve">진단 대상 35개 국가·리테일러에 해당하지 않음</t>
        </is>
      </c>
    </row>
    <row r="1262" spans="1:15">
      <c r="A1262" s="256" t="s">
        <v>201</v>
      </c>
      <c r="B1262" s="256" t="s">
        <v>184</v>
      </c>
      <c r="C1262" s="256" t="s">
        <v>1970</v>
      </c>
      <c r="D1262" s="330" t="inlineStr">
        <is>
          <t xml:space="preserve">AUDIO</t>
        </is>
      </c>
      <c r="E1262" s="330" t="inlineStr">
        <is>
          <t>Y</t>
        </is>
      </c>
      <c r="F1262" s="330" t="inlineStr">
        <is>
          <t xml:space="preserve">진단 대상 35개 국가·리테일러에 해당하지 않음</t>
        </is>
      </c>
    </row>
    <row r="1263" spans="1:15">
      <c r="A1263" s="256" t="s">
        <v>311</v>
      </c>
      <c r="B1263" s="256" t="s">
        <v>184</v>
      </c>
      <c r="C1263" s="256" t="s">
        <v>1971</v>
      </c>
      <c r="D1263" s="330" t="inlineStr">
        <is>
          <t xml:space="preserve">REF</t>
        </is>
      </c>
      <c r="E1263" s="330" t="inlineStr">
        <is>
          <t>Y</t>
        </is>
      </c>
      <c r="F1263" s="330" t="inlineStr">
        <is>
          <t xml:space="preserve">진단 대상 35개 국가·리테일러에 해당하지 않음</t>
        </is>
      </c>
    </row>
    <row r="1264" spans="1:15">
      <c r="A1264" s="256" t="s">
        <v>311</v>
      </c>
      <c r="B1264" s="256" t="s">
        <v>184</v>
      </c>
      <c r="C1264" s="256" t="s">
        <v>1972</v>
      </c>
      <c r="D1264" s="330" t="inlineStr">
        <is>
          <t xml:space="preserve">WM</t>
        </is>
      </c>
      <c r="E1264" s="330" t="inlineStr">
        <is>
          <t>Y</t>
        </is>
      </c>
      <c r="F1264" s="330" t="inlineStr">
        <is>
          <t xml:space="preserve">진단 대상 35개 국가·리테일러에 해당하지 않음</t>
        </is>
      </c>
    </row>
    <row r="1265" spans="1:15">
      <c r="A1265" s="256" t="s">
        <v>311</v>
      </c>
      <c r="B1265" s="256" t="s">
        <v>184</v>
      </c>
      <c r="C1265" s="256" t="s">
        <v>1973</v>
      </c>
      <c r="D1265" s="330" t="inlineStr">
        <is>
          <t xml:space="preserve">TV</t>
        </is>
      </c>
      <c r="E1265" s="330" t="inlineStr">
        <is>
          <t>Y</t>
        </is>
      </c>
      <c r="F1265" s="330" t="inlineStr">
        <is>
          <t xml:space="preserve">진단 대상 35개 국가·리테일러에 해당하지 않음</t>
        </is>
      </c>
    </row>
    <row r="1266" spans="1:15">
      <c r="A1266" s="256" t="s">
        <v>311</v>
      </c>
      <c r="B1266" s="256" t="s">
        <v>184</v>
      </c>
      <c r="C1266" s="256" t="s">
        <v>1974</v>
      </c>
      <c r="D1266" s="330" t="inlineStr">
        <is>
          <t xml:space="preserve">MNT</t>
        </is>
      </c>
      <c r="E1266" s="330" t="inlineStr">
        <is>
          <t>Y</t>
        </is>
      </c>
      <c r="F1266" s="330" t="inlineStr">
        <is>
          <t xml:space="preserve">진단 대상 35개 국가·리테일러에 해당하지 않음</t>
        </is>
      </c>
    </row>
    <row r="1267" spans="1:15">
      <c r="A1267" s="256" t="s">
        <v>311</v>
      </c>
      <c r="B1267" s="256" t="s">
        <v>184</v>
      </c>
      <c r="C1267" s="256" t="s">
        <v>1975</v>
      </c>
      <c r="D1267" s="330" t="inlineStr">
        <is>
          <t xml:space="preserve">DRYER</t>
        </is>
      </c>
      <c r="E1267" s="330" t="inlineStr">
        <is>
          <t>Y</t>
        </is>
      </c>
      <c r="F1267" s="330" t="inlineStr">
        <is>
          <t xml:space="preserve">진단 대상 35개 국가·리테일러에 해당하지 않음</t>
        </is>
      </c>
    </row>
    <row r="1268" spans="1:15">
      <c r="A1268" s="256" t="s">
        <v>311</v>
      </c>
      <c r="B1268" s="256" t="s">
        <v>184</v>
      </c>
      <c r="C1268" s="256" t="s">
        <v>1976</v>
      </c>
      <c r="D1268" s="330" t="inlineStr">
        <is>
          <t xml:space="preserve">RAC</t>
        </is>
      </c>
      <c r="E1268" s="330" t="inlineStr">
        <is>
          <t>Y</t>
        </is>
      </c>
      <c r="F1268" s="330" t="inlineStr">
        <is>
          <t xml:space="preserve">진단 대상 35개 국가·리테일러에 해당하지 않음</t>
        </is>
      </c>
    </row>
    <row r="1269" spans="1:15">
      <c r="A1269" s="256" t="s">
        <v>311</v>
      </c>
      <c r="B1269" s="256" t="s">
        <v>184</v>
      </c>
      <c r="C1269" s="256" t="s">
        <v>1977</v>
      </c>
      <c r="D1269" s="330" t="inlineStr">
        <is>
          <t xml:space="preserve">AUDIO</t>
        </is>
      </c>
      <c r="E1269" s="330" t="inlineStr">
        <is>
          <t>Y</t>
        </is>
      </c>
      <c r="F1269" s="330" t="inlineStr">
        <is>
          <t xml:space="preserve">진단 대상 35개 국가·리테일러에 해당하지 않음</t>
        </is>
      </c>
    </row>
    <row r="1270" spans="1:15">
      <c r="A1270" s="256" t="s">
        <v>311</v>
      </c>
      <c r="B1270" s="256" t="s">
        <v>184</v>
      </c>
      <c r="C1270" s="256" t="s">
        <v>1978</v>
      </c>
      <c r="D1270" s="330" t="inlineStr">
        <is>
          <t xml:space="preserve">AUDIO</t>
        </is>
      </c>
      <c r="E1270" s="330" t="inlineStr">
        <is>
          <t>Y</t>
        </is>
      </c>
      <c r="F1270" s="330" t="inlineStr">
        <is>
          <t xml:space="preserve">진단 대상 35개 국가·리테일러에 해당하지 않음</t>
        </is>
      </c>
    </row>
    <row r="1271" spans="1:15">
      <c r="A1271" s="256" t="s">
        <v>345</v>
      </c>
      <c r="B1271" s="256" t="s">
        <v>184</v>
      </c>
      <c r="C1271" s="256" t="s">
        <v>1979</v>
      </c>
      <c r="D1271" s="330" t="inlineStr">
        <is>
          <t xml:space="preserve">REF</t>
        </is>
      </c>
      <c r="E1271" s="330" t="inlineStr">
        <is>
          <t>Y</t>
        </is>
      </c>
      <c r="F1271" s="330" t="inlineStr">
        <is>
          <t xml:space="preserve">진단 대상 35개 국가·리테일러에 해당하지 않음</t>
        </is>
      </c>
    </row>
    <row r="1272" spans="1:15">
      <c r="A1272" s="256" t="s">
        <v>345</v>
      </c>
      <c r="B1272" s="256" t="s">
        <v>184</v>
      </c>
      <c r="C1272" s="256" t="s">
        <v>1980</v>
      </c>
      <c r="D1272" s="330" t="inlineStr">
        <is>
          <t xml:space="preserve">TV</t>
        </is>
      </c>
      <c r="E1272" s="330" t="inlineStr">
        <is>
          <t>Y</t>
        </is>
      </c>
      <c r="F1272" s="330" t="inlineStr">
        <is>
          <t xml:space="preserve">진단 대상 35개 국가·리테일러에 해당하지 않음</t>
        </is>
      </c>
    </row>
    <row r="1273" spans="1:15">
      <c r="A1273" s="256" t="s">
        <v>345</v>
      </c>
      <c r="B1273" s="256" t="s">
        <v>184</v>
      </c>
      <c r="C1273" s="256" t="s">
        <v>1981</v>
      </c>
      <c r="D1273" s="330" t="inlineStr">
        <is>
          <t xml:space="preserve">MNT</t>
        </is>
      </c>
      <c r="E1273" s="330" t="inlineStr">
        <is>
          <t>Y</t>
        </is>
      </c>
      <c r="F1273" s="330" t="inlineStr">
        <is>
          <t xml:space="preserve">진단 대상 35개 국가·리테일러에 해당하지 않음</t>
        </is>
      </c>
    </row>
    <row r="1274" spans="1:15">
      <c r="A1274" s="256" t="s">
        <v>345</v>
      </c>
      <c r="B1274" s="256" t="s">
        <v>184</v>
      </c>
      <c r="C1274" s="256" t="s">
        <v>1982</v>
      </c>
      <c r="D1274" s="330" t="inlineStr">
        <is>
          <t xml:space="preserve">DRYER</t>
        </is>
      </c>
      <c r="E1274" s="330" t="inlineStr">
        <is>
          <t>Y</t>
        </is>
      </c>
      <c r="F1274" s="330" t="inlineStr">
        <is>
          <t xml:space="preserve">진단 대상 35개 국가·리테일러에 해당하지 않음</t>
        </is>
      </c>
    </row>
    <row r="1275" spans="1:15">
      <c r="A1275" s="256" t="s">
        <v>345</v>
      </c>
      <c r="B1275" s="256" t="s">
        <v>184</v>
      </c>
      <c r="C1275" s="256" t="s">
        <v>1983</v>
      </c>
      <c r="D1275" s="330" t="inlineStr">
        <is>
          <t xml:space="preserve">WM</t>
        </is>
      </c>
      <c r="E1275" s="330" t="inlineStr">
        <is>
          <t>Y</t>
        </is>
      </c>
      <c r="F1275" s="330" t="inlineStr">
        <is>
          <t xml:space="preserve">진단 대상 35개 국가·리테일러에 해당하지 않음</t>
        </is>
      </c>
    </row>
    <row r="1276" spans="1:15">
      <c r="A1276" s="256" t="s">
        <v>345</v>
      </c>
      <c r="B1276" s="256" t="s">
        <v>184</v>
      </c>
      <c r="C1276" s="256" t="s">
        <v>1984</v>
      </c>
      <c r="D1276" s="330" t="inlineStr">
        <is>
          <t xml:space="preserve">AUDIO</t>
        </is>
      </c>
      <c r="E1276" s="330" t="inlineStr">
        <is>
          <t>Y</t>
        </is>
      </c>
      <c r="F1276" s="330" t="inlineStr">
        <is>
          <t xml:space="preserve">진단 대상 35개 국가·리테일러에 해당하지 않음</t>
        </is>
      </c>
    </row>
    <row r="1277" spans="1:15">
      <c r="A1277" s="256" t="s">
        <v>345</v>
      </c>
      <c r="B1277" s="256" t="s">
        <v>184</v>
      </c>
      <c r="C1277" s="256" t="s">
        <v>1985</v>
      </c>
      <c r="D1277" s="330" t="inlineStr">
        <is>
          <t xml:space="preserve">AUDIO</t>
        </is>
      </c>
      <c r="E1277" s="330" t="inlineStr">
        <is>
          <t>Y</t>
        </is>
      </c>
      <c r="F1277" s="330" t="inlineStr">
        <is>
          <t xml:space="preserve">진단 대상 35개 국가·리테일러에 해당하지 않음</t>
        </is>
      </c>
    </row>
    <row r="1278" spans="1:15">
      <c r="A1278" s="256" t="s">
        <v>345</v>
      </c>
      <c r="B1278" s="256" t="s">
        <v>184</v>
      </c>
      <c r="C1278" s="256" t="s">
        <v>1986</v>
      </c>
      <c r="D1278" s="330" t="inlineStr">
        <is>
          <t xml:space="preserve">AUDIO</t>
        </is>
      </c>
      <c r="E1278" s="330" t="inlineStr">
        <is>
          <t>Y</t>
        </is>
      </c>
      <c r="F1278" s="330" t="inlineStr">
        <is>
          <t xml:space="preserve">진단 대상 35개 국가·리테일러에 해당하지 않음</t>
        </is>
      </c>
    </row>
    <row r="1279" spans="1:15">
      <c r="A1279" s="256" t="s">
        <v>261</v>
      </c>
      <c r="B1279" s="256" t="s">
        <v>184</v>
      </c>
      <c r="C1279" s="256" t="s">
        <v>1987</v>
      </c>
      <c r="D1279" s="330" t="inlineStr">
        <is>
          <t xml:space="preserve">REF</t>
        </is>
      </c>
      <c r="E1279" s="330" t="inlineStr">
        <is>
          <t>Y</t>
        </is>
      </c>
      <c r="F1279" s="330" t="inlineStr">
        <is>
          <t xml:space="preserve">진단 대상 35개 국가·리테일러에 해당하지 않음</t>
        </is>
      </c>
    </row>
    <row r="1280" spans="1:15">
      <c r="A1280" s="256" t="s">
        <v>261</v>
      </c>
      <c r="B1280" s="256" t="s">
        <v>184</v>
      </c>
      <c r="C1280" s="256" t="s">
        <v>1988</v>
      </c>
      <c r="D1280" s="330" t="inlineStr">
        <is>
          <t xml:space="preserve">DRYER</t>
        </is>
      </c>
      <c r="E1280" s="330" t="inlineStr">
        <is>
          <t>Y</t>
        </is>
      </c>
      <c r="F1280" s="330" t="inlineStr">
        <is>
          <t xml:space="preserve">진단 대상 35개 국가·리테일러에 해당하지 않음</t>
        </is>
      </c>
    </row>
    <row r="1281" spans="1:15">
      <c r="A1281" s="256" t="s">
        <v>261</v>
      </c>
      <c r="B1281" s="256" t="s">
        <v>184</v>
      </c>
      <c r="C1281" s="256" t="s">
        <v>1989</v>
      </c>
      <c r="D1281" s="330" t="inlineStr">
        <is>
          <t xml:space="preserve">TV</t>
        </is>
      </c>
      <c r="E1281" s="330" t="inlineStr">
        <is>
          <t>Y</t>
        </is>
      </c>
      <c r="F1281" s="330" t="inlineStr">
        <is>
          <t xml:space="preserve">진단 대상 35개 국가·리테일러에 해당하지 않음</t>
        </is>
      </c>
    </row>
    <row r="1282" spans="1:15">
      <c r="A1282" s="256" t="s">
        <v>261</v>
      </c>
      <c r="B1282" s="256" t="s">
        <v>184</v>
      </c>
      <c r="C1282" s="256" t="s">
        <v>1990</v>
      </c>
      <c r="D1282" s="330" t="inlineStr">
        <is>
          <t xml:space="preserve">MNT</t>
        </is>
      </c>
      <c r="E1282" s="330" t="inlineStr">
        <is>
          <t>Y</t>
        </is>
      </c>
      <c r="F1282" s="330" t="inlineStr">
        <is>
          <t xml:space="preserve">진단 대상 35개 국가·리테일러에 해당하지 않음</t>
        </is>
      </c>
    </row>
    <row r="1283" spans="1:15">
      <c r="A1283" s="256" t="s">
        <v>261</v>
      </c>
      <c r="B1283" s="256" t="s">
        <v>184</v>
      </c>
      <c r="C1283" s="256" t="s">
        <v>1991</v>
      </c>
      <c r="D1283" s="330" t="inlineStr">
        <is>
          <t xml:space="preserve">DRYER</t>
        </is>
      </c>
      <c r="E1283" s="330" t="inlineStr">
        <is>
          <t>Y</t>
        </is>
      </c>
      <c r="F1283" s="330" t="inlineStr">
        <is>
          <t xml:space="preserve">진단 대상 35개 국가·리테일러에 해당하지 않음</t>
        </is>
      </c>
    </row>
    <row r="1284" spans="1:15">
      <c r="A1284" s="256" t="s">
        <v>261</v>
      </c>
      <c r="B1284" s="256" t="s">
        <v>184</v>
      </c>
      <c r="C1284" s="256" t="s">
        <v>1992</v>
      </c>
      <c r="D1284" s="330" t="inlineStr">
        <is>
          <t xml:space="preserve">SPEAKER</t>
        </is>
      </c>
      <c r="E1284" s="330" t="inlineStr">
        <is>
          <t>Y</t>
        </is>
      </c>
      <c r="F1284" s="330" t="inlineStr">
        <is>
          <t xml:space="preserve">진단 대상 35개 국가·리테일러에 해당하지 않음</t>
        </is>
      </c>
    </row>
    <row r="1285" spans="1:15">
      <c r="A1285" s="256" t="s">
        <v>261</v>
      </c>
      <c r="B1285" s="256" t="s">
        <v>184</v>
      </c>
      <c r="C1285" s="256" t="s">
        <v>1993</v>
      </c>
      <c r="D1285" s="330" t="inlineStr">
        <is>
          <t xml:space="preserve">AUDIO</t>
        </is>
      </c>
      <c r="E1285" s="330" t="inlineStr">
        <is>
          <t>Y</t>
        </is>
      </c>
      <c r="F1285" s="330" t="inlineStr">
        <is>
          <t xml:space="preserve">진단 대상 35개 국가·리테일러에 해당하지 않음</t>
        </is>
      </c>
    </row>
    <row r="1286" spans="1:15">
      <c r="A1286" s="256" t="s">
        <v>261</v>
      </c>
      <c r="B1286" s="256" t="s">
        <v>184</v>
      </c>
      <c r="C1286" s="256" t="s">
        <v>1994</v>
      </c>
      <c r="D1286" s="330" t="inlineStr">
        <is>
          <t xml:space="preserve">AUDIO</t>
        </is>
      </c>
      <c r="E1286" s="330" t="inlineStr">
        <is>
          <t>Y</t>
        </is>
      </c>
      <c r="F1286" s="330" t="inlineStr">
        <is>
          <t xml:space="preserve">진단 대상 35개 국가·리테일러에 해당하지 않음</t>
        </is>
      </c>
    </row>
    <row r="1287" spans="1:15">
      <c r="A1287" s="256" t="s">
        <v>285</v>
      </c>
      <c r="B1287" s="256" t="s">
        <v>184</v>
      </c>
      <c r="C1287" s="256" t="s">
        <v>1995</v>
      </c>
      <c r="D1287" s="330" t="inlineStr">
        <is>
          <t xml:space="preserve">REF</t>
        </is>
      </c>
      <c r="E1287" s="330" t="inlineStr">
        <is>
          <t>Y</t>
        </is>
      </c>
      <c r="F1287" s="330" t="inlineStr">
        <is>
          <t xml:space="preserve">진단 대상 35개 국가·리테일러에 해당하지 않음</t>
        </is>
      </c>
    </row>
    <row r="1288" spans="1:15">
      <c r="A1288" s="256" t="s">
        <v>285</v>
      </c>
      <c r="B1288" s="256" t="s">
        <v>184</v>
      </c>
      <c r="C1288" s="256" t="s">
        <v>1996</v>
      </c>
      <c r="D1288" s="330" t="inlineStr">
        <is>
          <t xml:space="preserve">WM</t>
        </is>
      </c>
      <c r="E1288" s="330" t="inlineStr">
        <is>
          <t>Y</t>
        </is>
      </c>
      <c r="F1288" s="330" t="inlineStr">
        <is>
          <t xml:space="preserve">진단 대상 35개 국가·리테일러에 해당하지 않음</t>
        </is>
      </c>
    </row>
    <row r="1289" spans="1:15">
      <c r="A1289" s="256" t="s">
        <v>285</v>
      </c>
      <c r="B1289" s="256" t="s">
        <v>184</v>
      </c>
      <c r="C1289" s="256" t="s">
        <v>1997</v>
      </c>
      <c r="D1289" s="330" t="inlineStr">
        <is>
          <t xml:space="preserve">TV</t>
        </is>
      </c>
      <c r="E1289" s="330" t="inlineStr">
        <is>
          <t>Y</t>
        </is>
      </c>
      <c r="F1289" s="330" t="inlineStr">
        <is>
          <t xml:space="preserve">진단 대상 35개 국가·리테일러에 해당하지 않음</t>
        </is>
      </c>
    </row>
    <row r="1290" spans="1:15">
      <c r="A1290" s="256" t="s">
        <v>285</v>
      </c>
      <c r="B1290" s="256" t="s">
        <v>184</v>
      </c>
      <c r="C1290" s="256" t="s">
        <v>1998</v>
      </c>
      <c r="D1290" s="330" t="inlineStr">
        <is>
          <t xml:space="preserve">MNT</t>
        </is>
      </c>
      <c r="E1290" s="330" t="inlineStr">
        <is>
          <t>Y</t>
        </is>
      </c>
      <c r="F1290" s="330" t="inlineStr">
        <is>
          <t xml:space="preserve">진단 대상 35개 국가·리테일러에 해당하지 않음</t>
        </is>
      </c>
    </row>
    <row r="1291" spans="1:15">
      <c r="A1291" s="256" t="s">
        <v>285</v>
      </c>
      <c r="B1291" s="256" t="s">
        <v>184</v>
      </c>
      <c r="C1291" s="256" t="s">
        <v>1999</v>
      </c>
      <c r="D1291" s="330" t="inlineStr">
        <is>
          <t xml:space="preserve">DRYER</t>
        </is>
      </c>
      <c r="E1291" s="330" t="inlineStr">
        <is>
          <t>Y</t>
        </is>
      </c>
      <c r="F1291" s="330" t="inlineStr">
        <is>
          <t xml:space="preserve">진단 대상 35개 국가·리테일러에 해당하지 않음</t>
        </is>
      </c>
    </row>
    <row r="1292" spans="1:15">
      <c r="A1292" s="256" t="s">
        <v>285</v>
      </c>
      <c r="B1292" s="256" t="s">
        <v>184</v>
      </c>
      <c r="C1292" s="256" t="s">
        <v>2000</v>
      </c>
      <c r="D1292" s="330" t="inlineStr">
        <is>
          <t xml:space="preserve">AUDIO</t>
        </is>
      </c>
      <c r="E1292" s="330" t="inlineStr">
        <is>
          <t>Y</t>
        </is>
      </c>
      <c r="F1292" s="330" t="inlineStr">
        <is>
          <t xml:space="preserve">진단 대상 35개 국가·리테일러에 해당하지 않음</t>
        </is>
      </c>
    </row>
    <row r="1293" spans="1:15">
      <c r="A1293" s="256" t="s">
        <v>285</v>
      </c>
      <c r="B1293" s="256" t="s">
        <v>184</v>
      </c>
      <c r="C1293" s="256" t="s">
        <v>2001</v>
      </c>
      <c r="D1293" s="330" t="inlineStr">
        <is>
          <t xml:space="preserve">AUDIO</t>
        </is>
      </c>
      <c r="E1293" s="330" t="inlineStr">
        <is>
          <t>Y</t>
        </is>
      </c>
      <c r="F1293" s="330" t="inlineStr">
        <is>
          <t xml:space="preserve">진단 대상 35개 국가·리테일러에 해당하지 않음</t>
        </is>
      </c>
    </row>
    <row r="1294" spans="1:15">
      <c r="A1294" s="256" t="s">
        <v>285</v>
      </c>
      <c r="B1294" s="256" t="s">
        <v>184</v>
      </c>
      <c r="C1294" s="256" t="s">
        <v>2002</v>
      </c>
      <c r="D1294" s="330" t="inlineStr">
        <is>
          <t xml:space="preserve">AUDIO</t>
        </is>
      </c>
      <c r="E1294" s="330" t="inlineStr">
        <is>
          <t>Y</t>
        </is>
      </c>
      <c r="F1294" s="330" t="inlineStr">
        <is>
          <t xml:space="preserve">진단 대상 35개 국가·리테일러에 해당하지 않음</t>
        </is>
      </c>
    </row>
    <row r="1295" spans="1:15">
      <c r="A1295" s="256" t="s">
        <v>251</v>
      </c>
      <c r="B1295" s="256" t="s">
        <v>184</v>
      </c>
      <c r="C1295" s="256" t="s">
        <v>2003</v>
      </c>
      <c r="D1295" s="330" t="inlineStr">
        <is>
          <t xml:space="preserve">REF</t>
        </is>
      </c>
      <c r="E1295" s="330" t="inlineStr">
        <is>
          <t>Y</t>
        </is>
      </c>
      <c r="F1295" s="330" t="inlineStr">
        <is>
          <t xml:space="preserve">진단 대상 35개 국가·리테일러에 해당하지 않음</t>
        </is>
      </c>
    </row>
    <row r="1296" spans="1:15">
      <c r="A1296" s="256" t="s">
        <v>251</v>
      </c>
      <c r="B1296" s="256" t="s">
        <v>184</v>
      </c>
      <c r="C1296" s="256" t="s">
        <v>2004</v>
      </c>
      <c r="D1296" s="330" t="inlineStr">
        <is>
          <t xml:space="preserve">WM</t>
        </is>
      </c>
      <c r="E1296" s="330" t="inlineStr">
        <is>
          <t>Y</t>
        </is>
      </c>
      <c r="F1296" s="330" t="inlineStr">
        <is>
          <t xml:space="preserve">진단 대상 35개 국가·리테일러에 해당하지 않음</t>
        </is>
      </c>
    </row>
    <row r="1297" spans="1:15">
      <c r="A1297" s="256" t="s">
        <v>251</v>
      </c>
      <c r="B1297" s="256" t="s">
        <v>184</v>
      </c>
      <c r="C1297" s="256" t="s">
        <v>2005</v>
      </c>
      <c r="D1297" s="330" t="inlineStr">
        <is>
          <t xml:space="preserve">TV</t>
        </is>
      </c>
      <c r="E1297" s="330" t="inlineStr">
        <is>
          <t>Y</t>
        </is>
      </c>
      <c r="F1297" s="330" t="inlineStr">
        <is>
          <t xml:space="preserve">진단 대상 35개 국가·리테일러에 해당하지 않음</t>
        </is>
      </c>
    </row>
    <row r="1298" spans="1:15">
      <c r="A1298" s="256" t="s">
        <v>251</v>
      </c>
      <c r="B1298" s="256" t="s">
        <v>184</v>
      </c>
      <c r="C1298" s="256" t="s">
        <v>2006</v>
      </c>
      <c r="D1298" s="330" t="inlineStr">
        <is>
          <t xml:space="preserve">MNT</t>
        </is>
      </c>
      <c r="E1298" s="330" t="inlineStr">
        <is>
          <t>Y</t>
        </is>
      </c>
      <c r="F1298" s="330" t="inlineStr">
        <is>
          <t xml:space="preserve">진단 대상 35개 국가·리테일러에 해당하지 않음</t>
        </is>
      </c>
    </row>
    <row r="1299" spans="1:15">
      <c r="A1299" s="256" t="s">
        <v>251</v>
      </c>
      <c r="B1299" s="256" t="s">
        <v>184</v>
      </c>
      <c r="C1299" s="256" t="s">
        <v>2007</v>
      </c>
      <c r="D1299" s="330" t="inlineStr">
        <is>
          <t xml:space="preserve">DRYER</t>
        </is>
      </c>
      <c r="E1299" s="330" t="inlineStr">
        <is>
          <t>Y</t>
        </is>
      </c>
      <c r="F1299" s="330" t="inlineStr">
        <is>
          <t xml:space="preserve">진단 대상 35개 국가·리테일러에 해당하지 않음</t>
        </is>
      </c>
    </row>
    <row r="1300" spans="1:15">
      <c r="A1300" s="256" t="s">
        <v>251</v>
      </c>
      <c r="B1300" s="256" t="s">
        <v>184</v>
      </c>
      <c r="C1300" s="256" t="s">
        <v>2008</v>
      </c>
      <c r="D1300" s="330" t="inlineStr">
        <is>
          <t xml:space="preserve">SPEAKER</t>
        </is>
      </c>
      <c r="E1300" s="330" t="inlineStr">
        <is>
          <t>Y</t>
        </is>
      </c>
      <c r="F1300" s="330" t="inlineStr">
        <is>
          <t xml:space="preserve">진단 대상 35개 국가·리테일러에 해당하지 않음</t>
        </is>
      </c>
    </row>
    <row r="1301" spans="1:15">
      <c r="A1301" s="256" t="s">
        <v>251</v>
      </c>
      <c r="B1301" s="256" t="s">
        <v>184</v>
      </c>
      <c r="C1301" s="256" t="s">
        <v>2009</v>
      </c>
      <c r="D1301" s="330" t="inlineStr">
        <is>
          <t xml:space="preserve">AUDIO</t>
        </is>
      </c>
      <c r="E1301" s="330" t="inlineStr">
        <is>
          <t>Y</t>
        </is>
      </c>
      <c r="F1301" s="330" t="inlineStr">
        <is>
          <t xml:space="preserve">진단 대상 35개 국가·리테일러에 해당하지 않음</t>
        </is>
      </c>
    </row>
    <row r="1302" spans="1:15">
      <c r="A1302" s="256" t="s">
        <v>251</v>
      </c>
      <c r="B1302" s="256" t="s">
        <v>184</v>
      </c>
      <c r="C1302" s="256" t="s">
        <v>2010</v>
      </c>
      <c r="D1302" s="330" t="inlineStr">
        <is>
          <t xml:space="preserve">AUDIO</t>
        </is>
      </c>
      <c r="E1302" s="330" t="inlineStr">
        <is>
          <t>Y</t>
        </is>
      </c>
      <c r="F1302" s="330" t="inlineStr">
        <is>
          <t xml:space="preserve">진단 대상 35개 국가·리테일러에 해당하지 않음</t>
        </is>
      </c>
    </row>
    <row r="1303" spans="1:15">
      <c r="A1303" s="256" t="s">
        <v>271</v>
      </c>
      <c r="B1303" s="256" t="s">
        <v>184</v>
      </c>
      <c r="C1303" s="256" t="s">
        <v>2011</v>
      </c>
      <c r="D1303" s="330" t="inlineStr">
        <is>
          <t xml:space="preserve">REF</t>
        </is>
      </c>
      <c r="E1303" s="330" t="inlineStr">
        <is>
          <t>Y</t>
        </is>
      </c>
      <c r="F1303" s="330" t="inlineStr">
        <is>
          <t xml:space="preserve">진단 대상 35개 국가·리테일러에 해당하지 않음</t>
        </is>
      </c>
    </row>
    <row r="1304" spans="1:15">
      <c r="A1304" s="256" t="s">
        <v>271</v>
      </c>
      <c r="B1304" s="256" t="s">
        <v>184</v>
      </c>
      <c r="C1304" s="256" t="s">
        <v>2012</v>
      </c>
      <c r="D1304" s="330" t="inlineStr">
        <is>
          <t xml:space="preserve">WM</t>
        </is>
      </c>
      <c r="E1304" s="330" t="inlineStr">
        <is>
          <t>Y</t>
        </is>
      </c>
      <c r="F1304" s="330" t="inlineStr">
        <is>
          <t xml:space="preserve">진단 대상 35개 국가·리테일러에 해당하지 않음</t>
        </is>
      </c>
    </row>
    <row r="1305" spans="1:15">
      <c r="A1305" s="256" t="s">
        <v>271</v>
      </c>
      <c r="B1305" s="256" t="s">
        <v>184</v>
      </c>
      <c r="C1305" s="256" t="s">
        <v>2013</v>
      </c>
      <c r="D1305" s="330" t="inlineStr">
        <is>
          <t xml:space="preserve">TV</t>
        </is>
      </c>
      <c r="E1305" s="330" t="inlineStr">
        <is>
          <t>Y</t>
        </is>
      </c>
      <c r="F1305" s="330" t="inlineStr">
        <is>
          <t xml:space="preserve">진단 대상 35개 국가·리테일러에 해당하지 않음</t>
        </is>
      </c>
    </row>
    <row r="1306" spans="1:15">
      <c r="A1306" s="256" t="s">
        <v>271</v>
      </c>
      <c r="B1306" s="256" t="s">
        <v>184</v>
      </c>
      <c r="C1306" s="256" t="s">
        <v>2014</v>
      </c>
      <c r="D1306" s="330" t="inlineStr">
        <is>
          <t xml:space="preserve">MNT</t>
        </is>
      </c>
      <c r="E1306" s="330" t="inlineStr">
        <is>
          <t>Y</t>
        </is>
      </c>
      <c r="F1306" s="330" t="inlineStr">
        <is>
          <t xml:space="preserve">진단 대상 35개 국가·리테일러에 해당하지 않음</t>
        </is>
      </c>
    </row>
    <row r="1307" spans="1:15">
      <c r="A1307" s="256" t="s">
        <v>271</v>
      </c>
      <c r="B1307" s="256" t="s">
        <v>184</v>
      </c>
      <c r="C1307" s="256" t="s">
        <v>2015</v>
      </c>
      <c r="D1307" s="330" t="inlineStr">
        <is>
          <t xml:space="preserve">DRYER</t>
        </is>
      </c>
      <c r="E1307" s="330" t="inlineStr">
        <is>
          <t>Y</t>
        </is>
      </c>
      <c r="F1307" s="330" t="inlineStr">
        <is>
          <t xml:space="preserve">진단 대상 35개 국가·리테일러에 해당하지 않음</t>
        </is>
      </c>
    </row>
    <row r="1308" spans="1:15">
      <c r="A1308" s="256" t="s">
        <v>271</v>
      </c>
      <c r="B1308" s="256" t="s">
        <v>184</v>
      </c>
      <c r="C1308" s="256" t="s">
        <v>2016</v>
      </c>
      <c r="D1308" s="330" t="inlineStr">
        <is>
          <t xml:space="preserve">SPEAKER</t>
        </is>
      </c>
      <c r="E1308" s="330" t="inlineStr">
        <is>
          <t>Y</t>
        </is>
      </c>
      <c r="F1308" s="330" t="inlineStr">
        <is>
          <t xml:space="preserve">진단 대상 35개 국가·리테일러에 해당하지 않음</t>
        </is>
      </c>
    </row>
    <row r="1309" spans="1:15">
      <c r="A1309" s="256" t="s">
        <v>271</v>
      </c>
      <c r="B1309" s="256" t="s">
        <v>184</v>
      </c>
      <c r="C1309" s="256" t="s">
        <v>2017</v>
      </c>
      <c r="D1309" s="330" t="inlineStr">
        <is>
          <t xml:space="preserve">AUDIO</t>
        </is>
      </c>
      <c r="E1309" s="330" t="inlineStr">
        <is>
          <t>Y</t>
        </is>
      </c>
      <c r="F1309" s="330" t="inlineStr">
        <is>
          <t xml:space="preserve">진단 대상 35개 국가·리테일러에 해당하지 않음</t>
        </is>
      </c>
    </row>
    <row r="1310" spans="1:15">
      <c r="A1310" s="256" t="s">
        <v>271</v>
      </c>
      <c r="B1310" s="256" t="s">
        <v>184</v>
      </c>
      <c r="C1310" s="256" t="s">
        <v>2018</v>
      </c>
      <c r="D1310" s="330" t="inlineStr">
        <is>
          <t xml:space="preserve">AUDIO</t>
        </is>
      </c>
      <c r="E1310" s="330" t="inlineStr">
        <is>
          <t>Y</t>
        </is>
      </c>
      <c r="F1310" s="330" t="inlineStr">
        <is>
          <t xml:space="preserve">진단 대상 35개 국가·리테일러에 해당하지 않음</t>
        </is>
      </c>
    </row>
    <row r="1311" spans="1:15">
      <c r="A1311" s="256" t="s">
        <v>331</v>
      </c>
      <c r="B1311" s="256" t="s">
        <v>184</v>
      </c>
      <c r="C1311" s="256" t="s">
        <v>2019</v>
      </c>
      <c r="D1311" s="330" t="inlineStr">
        <is>
          <t xml:space="preserve">REF</t>
        </is>
      </c>
      <c r="E1311" s="330" t="inlineStr">
        <is>
          <t>Y</t>
        </is>
      </c>
      <c r="F1311" s="330" t="inlineStr">
        <is>
          <t xml:space="preserve">진단 대상 35개 국가·리테일러에 해당하지 않음</t>
        </is>
      </c>
    </row>
    <row r="1312" spans="1:15">
      <c r="A1312" s="256" t="s">
        <v>331</v>
      </c>
      <c r="B1312" s="256" t="s">
        <v>184</v>
      </c>
      <c r="C1312" s="256" t="s">
        <v>2020</v>
      </c>
      <c r="D1312" s="330" t="inlineStr">
        <is>
          <t xml:space="preserve">WM</t>
        </is>
      </c>
      <c r="E1312" s="330" t="inlineStr">
        <is>
          <t>Y</t>
        </is>
      </c>
      <c r="F1312" s="330" t="inlineStr">
        <is>
          <t xml:space="preserve">진단 대상 35개 국가·리테일러에 해당하지 않음</t>
        </is>
      </c>
    </row>
    <row r="1313" spans="1:15">
      <c r="A1313" s="256" t="s">
        <v>331</v>
      </c>
      <c r="B1313" s="256" t="s">
        <v>184</v>
      </c>
      <c r="C1313" s="256" t="s">
        <v>2021</v>
      </c>
      <c r="D1313" s="330" t="inlineStr">
        <is>
          <t xml:space="preserve">TV</t>
        </is>
      </c>
      <c r="E1313" s="330" t="inlineStr">
        <is>
          <t>Y</t>
        </is>
      </c>
      <c r="F1313" s="330" t="inlineStr">
        <is>
          <t xml:space="preserve">진단 대상 35개 국가·리테일러에 해당하지 않음</t>
        </is>
      </c>
    </row>
    <row r="1314" spans="1:15">
      <c r="A1314" s="256" t="s">
        <v>331</v>
      </c>
      <c r="B1314" s="256" t="s">
        <v>184</v>
      </c>
      <c r="C1314" s="256" t="s">
        <v>2022</v>
      </c>
      <c r="D1314" s="330" t="inlineStr">
        <is>
          <t xml:space="preserve">MNT</t>
        </is>
      </c>
      <c r="E1314" s="330" t="inlineStr">
        <is>
          <t>Y</t>
        </is>
      </c>
      <c r="F1314" s="330" t="inlineStr">
        <is>
          <t xml:space="preserve">진단 대상 35개 국가·리테일러에 해당하지 않음</t>
        </is>
      </c>
    </row>
    <row r="1315" spans="1:15">
      <c r="A1315" s="256" t="s">
        <v>331</v>
      </c>
      <c r="B1315" s="256" t="s">
        <v>184</v>
      </c>
      <c r="C1315" s="256" t="s">
        <v>2023</v>
      </c>
      <c r="D1315" s="330" t="inlineStr">
        <is>
          <t xml:space="preserve">DRYER</t>
        </is>
      </c>
      <c r="E1315" s="330" t="inlineStr">
        <is>
          <t>Y</t>
        </is>
      </c>
      <c r="F1315" s="330" t="inlineStr">
        <is>
          <t xml:space="preserve">진단 대상 35개 국가·리테일러에 해당하지 않음</t>
        </is>
      </c>
    </row>
    <row r="1316" spans="1:15">
      <c r="A1316" s="256" t="s">
        <v>331</v>
      </c>
      <c r="B1316" s="256" t="s">
        <v>184</v>
      </c>
      <c r="C1316" s="256" t="s">
        <v>2024</v>
      </c>
      <c r="D1316" s="330" t="inlineStr">
        <is>
          <t xml:space="preserve">RAC</t>
        </is>
      </c>
      <c r="E1316" s="330" t="inlineStr">
        <is>
          <t>Y</t>
        </is>
      </c>
      <c r="F1316" s="330" t="inlineStr">
        <is>
          <t xml:space="preserve">진단 대상 35개 국가·리테일러에 해당하지 않음</t>
        </is>
      </c>
    </row>
    <row r="1317" spans="1:15">
      <c r="A1317" s="256" t="s">
        <v>331</v>
      </c>
      <c r="B1317" s="256" t="s">
        <v>184</v>
      </c>
      <c r="C1317" s="256" t="s">
        <v>2025</v>
      </c>
      <c r="D1317" s="330" t="inlineStr">
        <is>
          <t xml:space="preserve">AUDIO</t>
        </is>
      </c>
      <c r="E1317" s="330" t="inlineStr">
        <is>
          <t>Y</t>
        </is>
      </c>
      <c r="F1317" s="330" t="inlineStr">
        <is>
          <t xml:space="preserve">진단 대상 35개 국가·리테일러에 해당하지 않음</t>
        </is>
      </c>
    </row>
    <row r="1318" spans="1:15">
      <c r="A1318" s="256" t="s">
        <v>331</v>
      </c>
      <c r="B1318" s="256" t="s">
        <v>184</v>
      </c>
      <c r="C1318" s="256" t="s">
        <v>2026</v>
      </c>
      <c r="D1318" s="330" t="inlineStr">
        <is>
          <t xml:space="preserve">AUDIO</t>
        </is>
      </c>
      <c r="E1318" s="330" t="inlineStr">
        <is>
          <t>Y</t>
        </is>
      </c>
      <c r="F1318" s="330" t="inlineStr">
        <is>
          <t xml:space="preserve">진단 대상 35개 국가·리테일러에 해당하지 않음</t>
        </is>
      </c>
    </row>
    <row r="1319" spans="1:15">
      <c r="A1319" s="256" t="s">
        <v>331</v>
      </c>
      <c r="B1319" s="256" t="s">
        <v>184</v>
      </c>
      <c r="C1319" s="256" t="s">
        <v>2027</v>
      </c>
      <c r="D1319" s="330" t="inlineStr">
        <is>
          <t xml:space="preserve">AUDIO</t>
        </is>
      </c>
      <c r="E1319" s="330" t="inlineStr">
        <is>
          <t>Y</t>
        </is>
      </c>
      <c r="F1319" s="330" t="inlineStr">
        <is>
          <t xml:space="preserve">진단 대상 35개 국가·리테일러에 해당하지 않음</t>
        </is>
      </c>
    </row>
    <row r="1320" spans="1:15">
      <c r="A1320" s="256" t="s">
        <v>230</v>
      </c>
      <c r="B1320" s="256" t="s">
        <v>184</v>
      </c>
      <c r="C1320" s="256" t="s">
        <v>2028</v>
      </c>
      <c r="D1320" s="330" t="inlineStr">
        <is>
          <t xml:space="preserve">REF</t>
        </is>
      </c>
      <c r="E1320" s="330" t="inlineStr">
        <is>
          <t>Y</t>
        </is>
      </c>
      <c r="F1320" s="330" t="inlineStr">
        <is>
          <t xml:space="preserve">진단 대상 35개 국가·리테일러에 해당하지 않음</t>
        </is>
      </c>
    </row>
    <row r="1321" spans="1:15">
      <c r="A1321" s="256" t="s">
        <v>230</v>
      </c>
      <c r="B1321" s="256" t="s">
        <v>184</v>
      </c>
      <c r="C1321" s="256" t="s">
        <v>2029</v>
      </c>
      <c r="D1321" s="330" t="inlineStr">
        <is>
          <t xml:space="preserve">DRYER</t>
        </is>
      </c>
      <c r="E1321" s="330" t="inlineStr">
        <is>
          <t>Y</t>
        </is>
      </c>
      <c r="F1321" s="330" t="inlineStr">
        <is>
          <t xml:space="preserve">진단 대상 35개 국가·리테일러에 해당하지 않음</t>
        </is>
      </c>
    </row>
    <row r="1322" spans="1:15">
      <c r="A1322" s="256" t="s">
        <v>230</v>
      </c>
      <c r="B1322" s="256" t="s">
        <v>184</v>
      </c>
      <c r="C1322" s="256" t="s">
        <v>2030</v>
      </c>
      <c r="D1322" s="330" t="inlineStr">
        <is>
          <t xml:space="preserve">TV</t>
        </is>
      </c>
      <c r="E1322" s="330" t="inlineStr">
        <is>
          <t>Y</t>
        </is>
      </c>
      <c r="F1322" s="330" t="inlineStr">
        <is>
          <t xml:space="preserve">진단 대상 35개 국가·리테일러에 해당하지 않음</t>
        </is>
      </c>
    </row>
    <row r="1323" spans="1:15">
      <c r="A1323" s="256" t="s">
        <v>230</v>
      </c>
      <c r="B1323" s="256" t="s">
        <v>184</v>
      </c>
      <c r="C1323" s="256" t="s">
        <v>2031</v>
      </c>
      <c r="D1323" s="330" t="inlineStr">
        <is>
          <t xml:space="preserve">MNT</t>
        </is>
      </c>
      <c r="E1323" s="330" t="inlineStr">
        <is>
          <t>Y</t>
        </is>
      </c>
      <c r="F1323" s="330" t="inlineStr">
        <is>
          <t xml:space="preserve">진단 대상 35개 국가·리테일러에 해당하지 않음</t>
        </is>
      </c>
    </row>
    <row r="1324" spans="1:15">
      <c r="A1324" s="256" t="s">
        <v>230</v>
      </c>
      <c r="B1324" s="256" t="s">
        <v>184</v>
      </c>
      <c r="C1324" s="256" t="s">
        <v>2032</v>
      </c>
      <c r="D1324" s="330" t="inlineStr">
        <is>
          <t xml:space="preserve">RAC</t>
        </is>
      </c>
      <c r="E1324" s="330" t="inlineStr">
        <is>
          <t>Y</t>
        </is>
      </c>
      <c r="F1324" s="330" t="inlineStr">
        <is>
          <t xml:space="preserve">진단 대상 35개 국가·리테일러에 해당하지 않음</t>
        </is>
      </c>
    </row>
    <row r="1325" spans="1:15">
      <c r="A1325" s="256" t="s">
        <v>230</v>
      </c>
      <c r="B1325" s="256" t="s">
        <v>184</v>
      </c>
      <c r="C1325" s="256" t="s">
        <v>2033</v>
      </c>
      <c r="D1325" s="330" t="inlineStr">
        <is>
          <t xml:space="preserve">AUDIO</t>
        </is>
      </c>
      <c r="E1325" s="330" t="inlineStr">
        <is>
          <t>Y</t>
        </is>
      </c>
      <c r="F1325" s="330" t="inlineStr">
        <is>
          <t xml:space="preserve">진단 대상 35개 국가·리테일러에 해당하지 않음</t>
        </is>
      </c>
    </row>
    <row r="1326" spans="1:15">
      <c r="A1326" s="256" t="s">
        <v>230</v>
      </c>
      <c r="B1326" s="256" t="s">
        <v>184</v>
      </c>
      <c r="C1326" s="256" t="s">
        <v>2034</v>
      </c>
      <c r="D1326" s="330" t="inlineStr">
        <is>
          <t xml:space="preserve">AUDIO</t>
        </is>
      </c>
      <c r="E1326" s="330" t="inlineStr">
        <is>
          <t>Y</t>
        </is>
      </c>
      <c r="F1326" s="330" t="inlineStr">
        <is>
          <t xml:space="preserve">진단 대상 35개 국가·리테일러에 해당하지 않음</t>
        </is>
      </c>
    </row>
    <row r="1327" spans="1:15">
      <c r="A1327" s="256" t="s">
        <v>230</v>
      </c>
      <c r="B1327" s="256" t="s">
        <v>184</v>
      </c>
      <c r="C1327" s="256" t="s">
        <v>2035</v>
      </c>
      <c r="D1327" s="330" t="inlineStr">
        <is>
          <t xml:space="preserve">AUDIO</t>
        </is>
      </c>
      <c r="E1327" s="330" t="inlineStr">
        <is>
          <t>Y</t>
        </is>
      </c>
      <c r="F1327" s="330" t="inlineStr">
        <is>
          <t xml:space="preserve">진단 대상 35개 국가·리테일러에 해당하지 않음</t>
        </is>
      </c>
    </row>
    <row r="1328" spans="1:15">
      <c r="A1328" s="256" t="s">
        <v>230</v>
      </c>
      <c r="B1328" s="256" t="s">
        <v>184</v>
      </c>
      <c r="C1328" s="256" t="s">
        <v>2036</v>
      </c>
      <c r="D1328" s="330" t="inlineStr">
        <is>
          <t xml:space="preserve">WM</t>
        </is>
      </c>
      <c r="E1328" s="330" t="inlineStr">
        <is>
          <t>Y</t>
        </is>
      </c>
      <c r="F1328" s="330" t="inlineStr">
        <is>
          <t xml:space="preserve">진단 대상 35개 국가·리테일러에 해당하지 않음</t>
        </is>
      </c>
    </row>
    <row r="1329" spans="1:15">
      <c r="A1329" s="256" t="s">
        <v>218</v>
      </c>
      <c r="B1329" s="256" t="s">
        <v>184</v>
      </c>
      <c r="C1329" s="256" t="s">
        <v>2037</v>
      </c>
      <c r="D1329" s="330" t="inlineStr">
        <is>
          <t xml:space="preserve">REF</t>
        </is>
      </c>
      <c r="E1329" s="330" t="inlineStr">
        <is>
          <t>Y</t>
        </is>
      </c>
      <c r="F1329" s="330" t="inlineStr">
        <is>
          <t xml:space="preserve">진단 대상 35개 국가·리테일러에 해당하지 않음</t>
        </is>
      </c>
    </row>
    <row r="1330" spans="1:15">
      <c r="A1330" s="256" t="s">
        <v>218</v>
      </c>
      <c r="B1330" s="256" t="s">
        <v>184</v>
      </c>
      <c r="C1330" s="256" t="s">
        <v>2038</v>
      </c>
      <c r="D1330" s="330" t="inlineStr">
        <is>
          <t xml:space="preserve">DRYER</t>
        </is>
      </c>
      <c r="E1330" s="330" t="inlineStr">
        <is>
          <t>Y</t>
        </is>
      </c>
      <c r="F1330" s="330" t="inlineStr">
        <is>
          <t xml:space="preserve">진단 대상 35개 국가·리테일러에 해당하지 않음</t>
        </is>
      </c>
    </row>
    <row r="1331" spans="1:15">
      <c r="A1331" s="256" t="s">
        <v>218</v>
      </c>
      <c r="B1331" s="256" t="s">
        <v>184</v>
      </c>
      <c r="C1331" s="256" t="s">
        <v>2039</v>
      </c>
      <c r="D1331" s="330" t="inlineStr">
        <is>
          <t xml:space="preserve">TV</t>
        </is>
      </c>
      <c r="E1331" s="330" t="inlineStr">
        <is>
          <t>Y</t>
        </is>
      </c>
      <c r="F1331" s="330" t="inlineStr">
        <is>
          <t xml:space="preserve">진단 대상 35개 국가·리테일러에 해당하지 않음</t>
        </is>
      </c>
    </row>
    <row r="1332" spans="1:15">
      <c r="A1332" s="256" t="s">
        <v>218</v>
      </c>
      <c r="B1332" s="256" t="s">
        <v>184</v>
      </c>
      <c r="C1332" s="256" t="s">
        <v>2040</v>
      </c>
      <c r="D1332" s="330" t="inlineStr">
        <is>
          <t xml:space="preserve">MNT</t>
        </is>
      </c>
      <c r="E1332" s="330" t="inlineStr">
        <is>
          <t>Y</t>
        </is>
      </c>
      <c r="F1332" s="330" t="inlineStr">
        <is>
          <t xml:space="preserve">진단 대상 35개 국가·리테일러에 해당하지 않음</t>
        </is>
      </c>
    </row>
    <row r="1333" spans="1:15">
      <c r="A1333" s="256" t="s">
        <v>218</v>
      </c>
      <c r="B1333" s="256" t="s">
        <v>184</v>
      </c>
      <c r="C1333" s="256" t="s">
        <v>2041</v>
      </c>
      <c r="D1333" s="330" t="inlineStr">
        <is>
          <t xml:space="preserve">AUDIO</t>
        </is>
      </c>
      <c r="E1333" s="330" t="inlineStr">
        <is>
          <t>Y</t>
        </is>
      </c>
      <c r="F1333" s="330" t="inlineStr">
        <is>
          <t xml:space="preserve">진단 대상 35개 국가·리테일러에 해당하지 않음</t>
        </is>
      </c>
    </row>
    <row r="1334" spans="1:15">
      <c r="A1334" s="256" t="s">
        <v>218</v>
      </c>
      <c r="B1334" s="256" t="s">
        <v>184</v>
      </c>
      <c r="C1334" s="256" t="s">
        <v>2042</v>
      </c>
      <c r="D1334" s="330" t="inlineStr">
        <is>
          <t xml:space="preserve">AUDIO</t>
        </is>
      </c>
      <c r="E1334" s="330" t="inlineStr">
        <is>
          <t>Y</t>
        </is>
      </c>
      <c r="F1334" s="330" t="inlineStr">
        <is>
          <t xml:space="preserve">진단 대상 35개 국가·리테일러에 해당하지 않음</t>
        </is>
      </c>
    </row>
    <row r="1335" spans="1:15">
      <c r="A1335" s="256" t="s">
        <v>218</v>
      </c>
      <c r="B1335" s="256" t="s">
        <v>184</v>
      </c>
      <c r="C1335" s="256" t="s">
        <v>2043</v>
      </c>
      <c r="D1335" s="330" t="inlineStr">
        <is>
          <t xml:space="preserve">DRYER</t>
        </is>
      </c>
      <c r="E1335" s="330" t="inlineStr">
        <is>
          <t>Y</t>
        </is>
      </c>
      <c r="F1335" s="330" t="inlineStr">
        <is>
          <t xml:space="preserve">진단 대상 35개 국가·리테일러에 해당하지 않음</t>
        </is>
      </c>
    </row>
    <row r="1336" spans="1:15">
      <c r="A1336" s="256" t="s">
        <v>27</v>
      </c>
      <c r="B1336" s="256" t="s">
        <v>184</v>
      </c>
      <c r="C1336" s="256" t="s">
        <v>2044</v>
      </c>
      <c r="D1336" s="330" t="inlineStr">
        <is>
          <t xml:space="preserve">REF</t>
        </is>
      </c>
      <c r="E1336" s="330" t="inlineStr">
        <is>
          <t>Y</t>
        </is>
      </c>
      <c r="F1336" s="330" t="inlineStr">
        <is>
          <t xml:space="preserve">진단 대상 35개 국가·리테일러에 해당하지 않음</t>
        </is>
      </c>
    </row>
    <row r="1337" spans="1:15">
      <c r="A1337" s="256" t="s">
        <v>27</v>
      </c>
      <c r="B1337" s="256" t="s">
        <v>184</v>
      </c>
      <c r="C1337" s="256" t="s">
        <v>2045</v>
      </c>
      <c r="D1337" s="330" t="inlineStr">
        <is>
          <t xml:space="preserve">WM</t>
        </is>
      </c>
      <c r="E1337" s="330" t="inlineStr">
        <is>
          <t>Y</t>
        </is>
      </c>
      <c r="F1337" s="330" t="inlineStr">
        <is>
          <t xml:space="preserve">진단 대상 35개 국가·리테일러에 해당하지 않음</t>
        </is>
      </c>
    </row>
    <row r="1338" spans="1:15">
      <c r="A1338" s="256" t="s">
        <v>27</v>
      </c>
      <c r="B1338" s="256" t="s">
        <v>184</v>
      </c>
      <c r="C1338" s="256" t="s">
        <v>2046</v>
      </c>
      <c r="D1338" s="330" t="inlineStr">
        <is>
          <t xml:space="preserve">TV</t>
        </is>
      </c>
      <c r="E1338" s="330" t="inlineStr">
        <is>
          <t>Y</t>
        </is>
      </c>
      <c r="F1338" s="330" t="inlineStr">
        <is>
          <t xml:space="preserve">진단 대상 35개 국가·리테일러에 해당하지 않음</t>
        </is>
      </c>
    </row>
    <row r="1339" spans="1:15">
      <c r="A1339" s="256" t="s">
        <v>27</v>
      </c>
      <c r="B1339" s="256" t="s">
        <v>184</v>
      </c>
      <c r="C1339" s="256" t="s">
        <v>2047</v>
      </c>
      <c r="D1339" s="330" t="inlineStr">
        <is>
          <t xml:space="preserve">MNT</t>
        </is>
      </c>
      <c r="E1339" s="330" t="inlineStr">
        <is>
          <t>Y</t>
        </is>
      </c>
      <c r="F1339" s="330" t="inlineStr">
        <is>
          <t xml:space="preserve">진단 대상 35개 국가·리테일러에 해당하지 않음</t>
        </is>
      </c>
    </row>
    <row r="1340" spans="1:15">
      <c r="A1340" s="256" t="s">
        <v>27</v>
      </c>
      <c r="B1340" s="256" t="s">
        <v>184</v>
      </c>
      <c r="C1340" s="256" t="s">
        <v>2048</v>
      </c>
      <c r="D1340" s="330" t="inlineStr">
        <is>
          <t xml:space="preserve">DRYER</t>
        </is>
      </c>
      <c r="E1340" s="330" t="inlineStr">
        <is>
          <t>Y</t>
        </is>
      </c>
      <c r="F1340" s="330" t="inlineStr">
        <is>
          <t xml:space="preserve">진단 대상 35개 국가·리테일러에 해당하지 않음</t>
        </is>
      </c>
    </row>
    <row r="1341" spans="1:15">
      <c r="A1341" s="256" t="s">
        <v>27</v>
      </c>
      <c r="B1341" s="256" t="s">
        <v>184</v>
      </c>
      <c r="C1341" s="256" t="s">
        <v>2049</v>
      </c>
      <c r="D1341" s="330" t="inlineStr">
        <is>
          <t xml:space="preserve">AUDIO</t>
        </is>
      </c>
      <c r="E1341" s="330" t="inlineStr">
        <is>
          <t>Y</t>
        </is>
      </c>
      <c r="F1341" s="330" t="inlineStr">
        <is>
          <t xml:space="preserve">진단 대상 35개 국가·리테일러에 해당하지 않음</t>
        </is>
      </c>
    </row>
    <row r="1342" spans="1:15">
      <c r="A1342" s="256" t="s">
        <v>27</v>
      </c>
      <c r="B1342" s="256" t="s">
        <v>184</v>
      </c>
      <c r="C1342" s="256" t="s">
        <v>2050</v>
      </c>
      <c r="D1342" s="330" t="inlineStr">
        <is>
          <t xml:space="preserve">AUDIO</t>
        </is>
      </c>
      <c r="E1342" s="330" t="inlineStr">
        <is>
          <t>Y</t>
        </is>
      </c>
      <c r="F1342" s="330" t="inlineStr">
        <is>
          <t xml:space="preserve">진단 대상 35개 국가·리테일러에 해당하지 않음</t>
        </is>
      </c>
    </row>
    <row r="1343" spans="1:15">
      <c r="A1343" s="256" t="s">
        <v>27</v>
      </c>
      <c r="B1343" s="256" t="s">
        <v>184</v>
      </c>
      <c r="C1343" s="256" t="s">
        <v>2051</v>
      </c>
      <c r="D1343" s="330" t="inlineStr">
        <is>
          <t xml:space="preserve">AUDIO</t>
        </is>
      </c>
      <c r="E1343" s="330" t="inlineStr">
        <is>
          <t>Y</t>
        </is>
      </c>
      <c r="F1343" s="330" t="inlineStr">
        <is>
          <t xml:space="preserve">진단 대상 35개 국가·리테일러에 해당하지 않음</t>
        </is>
      </c>
    </row>
    <row r="1344" spans="1:15">
      <c r="A1344" s="256" t="s">
        <v>359</v>
      </c>
      <c r="B1344" s="256" t="s">
        <v>184</v>
      </c>
      <c r="C1344" s="256" t="s">
        <v>2052</v>
      </c>
      <c r="D1344" s="330" t="inlineStr">
        <is>
          <t xml:space="preserve">REF</t>
        </is>
      </c>
      <c r="E1344" s="330" t="inlineStr">
        <is>
          <t>Y</t>
        </is>
      </c>
      <c r="F1344" s="330" t="inlineStr">
        <is>
          <t xml:space="preserve">진단 대상 35개 국가·리테일러에 해당하지 않음</t>
        </is>
      </c>
    </row>
    <row r="1345" spans="1:15">
      <c r="A1345" s="256" t="s">
        <v>359</v>
      </c>
      <c r="B1345" s="256" t="s">
        <v>184</v>
      </c>
      <c r="C1345" s="256" t="s">
        <v>2053</v>
      </c>
      <c r="D1345" s="330" t="inlineStr">
        <is>
          <t xml:space="preserve">WM</t>
        </is>
      </c>
      <c r="E1345" s="330" t="inlineStr">
        <is>
          <t>Y</t>
        </is>
      </c>
      <c r="F1345" s="330" t="inlineStr">
        <is>
          <t xml:space="preserve">진단 대상 35개 국가·리테일러에 해당하지 않음</t>
        </is>
      </c>
    </row>
    <row r="1346" spans="1:15">
      <c r="A1346" s="256" t="s">
        <v>359</v>
      </c>
      <c r="B1346" s="256" t="s">
        <v>184</v>
      </c>
      <c r="C1346" s="256" t="s">
        <v>2054</v>
      </c>
      <c r="D1346" s="330" t="inlineStr">
        <is>
          <t xml:space="preserve">TV</t>
        </is>
      </c>
      <c r="E1346" s="330" t="inlineStr">
        <is>
          <t>Y</t>
        </is>
      </c>
      <c r="F1346" s="330" t="inlineStr">
        <is>
          <t xml:space="preserve">진단 대상 35개 국가·리테일러에 해당하지 않음</t>
        </is>
      </c>
    </row>
    <row r="1347" spans="1:15">
      <c r="A1347" s="256" t="s">
        <v>359</v>
      </c>
      <c r="B1347" s="256" t="s">
        <v>184</v>
      </c>
      <c r="C1347" s="256" t="s">
        <v>2055</v>
      </c>
      <c r="D1347" s="330" t="inlineStr">
        <is>
          <t xml:space="preserve">DRYER</t>
        </is>
      </c>
      <c r="E1347" s="330" t="inlineStr">
        <is>
          <t>Y</t>
        </is>
      </c>
      <c r="F1347" s="330" t="inlineStr">
        <is>
          <t xml:space="preserve">진단 대상 35개 국가·리테일러에 해당하지 않음</t>
        </is>
      </c>
    </row>
    <row r="1348" spans="1:15">
      <c r="A1348" s="256" t="s">
        <v>359</v>
      </c>
      <c r="B1348" s="256" t="s">
        <v>184</v>
      </c>
      <c r="C1348" s="256" t="s">
        <v>2056</v>
      </c>
      <c r="D1348" s="330" t="inlineStr">
        <is>
          <t xml:space="preserve">MNT</t>
        </is>
      </c>
      <c r="E1348" s="330" t="inlineStr">
        <is>
          <t>Y</t>
        </is>
      </c>
      <c r="F1348" s="330" t="inlineStr">
        <is>
          <t xml:space="preserve">진단 대상 35개 국가·리테일러에 해당하지 않음</t>
        </is>
      </c>
    </row>
    <row r="1349" spans="1:15">
      <c r="A1349" s="256" t="s">
        <v>359</v>
      </c>
      <c r="B1349" s="256" t="s">
        <v>184</v>
      </c>
      <c r="C1349" s="256" t="s">
        <v>2057</v>
      </c>
      <c r="D1349" s="330" t="inlineStr">
        <is>
          <t xml:space="preserve">AUDIO</t>
        </is>
      </c>
      <c r="E1349" s="330" t="inlineStr">
        <is>
          <t>Y</t>
        </is>
      </c>
      <c r="F1349" s="330" t="inlineStr">
        <is>
          <t xml:space="preserve">진단 대상 35개 국가·리테일러에 해당하지 않음</t>
        </is>
      </c>
    </row>
    <row r="1350" spans="1:15">
      <c r="A1350" s="256" t="s">
        <v>359</v>
      </c>
      <c r="B1350" s="256" t="s">
        <v>184</v>
      </c>
      <c r="C1350" s="256" t="s">
        <v>2058</v>
      </c>
      <c r="D1350" s="330" t="inlineStr">
        <is>
          <t xml:space="preserve">AUDIO</t>
        </is>
      </c>
      <c r="E1350" s="330" t="inlineStr">
        <is>
          <t>Y</t>
        </is>
      </c>
      <c r="F1350" s="330" t="inlineStr">
        <is>
          <t xml:space="preserve">진단 대상 35개 국가·리테일러에 해당하지 않음</t>
        </is>
      </c>
    </row>
    <row r="1351" spans="1:15">
      <c r="A1351" s="256" t="s">
        <v>359</v>
      </c>
      <c r="B1351" s="256" t="s">
        <v>184</v>
      </c>
      <c r="C1351" s="256" t="s">
        <v>2059</v>
      </c>
      <c r="D1351" s="330" t="inlineStr">
        <is>
          <t xml:space="preserve">AUDIO</t>
        </is>
      </c>
      <c r="E1351" s="330" t="inlineStr">
        <is>
          <t>Y</t>
        </is>
      </c>
      <c r="F1351" s="330" t="inlineStr">
        <is>
          <t xml:space="preserve">진단 대상 35개 국가·리테일러에 해당하지 않음</t>
        </is>
      </c>
    </row>
    <row r="1352" spans="1:15">
      <c r="A1352" s="256" t="s">
        <v>237</v>
      </c>
      <c r="B1352" s="256" t="s">
        <v>184</v>
      </c>
      <c r="C1352" s="256" t="s">
        <v>2060</v>
      </c>
      <c r="D1352" s="330" t="inlineStr">
        <is>
          <t xml:space="preserve">REF</t>
        </is>
      </c>
      <c r="E1352" s="330" t="inlineStr">
        <is>
          <t>Y</t>
        </is>
      </c>
      <c r="F1352" s="330" t="inlineStr">
        <is>
          <t xml:space="preserve">진단 대상 35개 국가·리테일러에 해당하지 않음</t>
        </is>
      </c>
    </row>
    <row r="1353" spans="1:15">
      <c r="A1353" s="256" t="s">
        <v>237</v>
      </c>
      <c r="B1353" s="256" t="s">
        <v>184</v>
      </c>
      <c r="C1353" s="256" t="s">
        <v>2061</v>
      </c>
      <c r="D1353" s="330" t="inlineStr">
        <is>
          <t xml:space="preserve">DRYER</t>
        </is>
      </c>
      <c r="E1353" s="330" t="inlineStr">
        <is>
          <t>Y</t>
        </is>
      </c>
      <c r="F1353" s="330" t="inlineStr">
        <is>
          <t xml:space="preserve">진단 대상 35개 국가·리테일러에 해당하지 않음</t>
        </is>
      </c>
    </row>
    <row r="1354" spans="1:15">
      <c r="A1354" s="256" t="s">
        <v>237</v>
      </c>
      <c r="B1354" s="256" t="s">
        <v>184</v>
      </c>
      <c r="C1354" s="256" t="s">
        <v>2062</v>
      </c>
      <c r="D1354" s="330" t="inlineStr">
        <is>
          <t xml:space="preserve">TV</t>
        </is>
      </c>
      <c r="E1354" s="330" t="inlineStr">
        <is>
          <t>Y</t>
        </is>
      </c>
      <c r="F1354" s="330" t="inlineStr">
        <is>
          <t xml:space="preserve">진단 대상 35개 국가·리테일러에 해당하지 않음</t>
        </is>
      </c>
    </row>
    <row r="1355" spans="1:15">
      <c r="A1355" s="256" t="s">
        <v>237</v>
      </c>
      <c r="B1355" s="256" t="s">
        <v>184</v>
      </c>
      <c r="C1355" s="256" t="s">
        <v>2063</v>
      </c>
      <c r="D1355" s="330" t="inlineStr">
        <is>
          <t xml:space="preserve">MNT</t>
        </is>
      </c>
      <c r="E1355" s="330" t="inlineStr">
        <is>
          <t>Y</t>
        </is>
      </c>
      <c r="F1355" s="330" t="inlineStr">
        <is>
          <t xml:space="preserve">진단 대상 35개 국가·리테일러에 해당하지 않음</t>
        </is>
      </c>
    </row>
    <row r="1356" spans="1:15">
      <c r="A1356" s="256" t="s">
        <v>237</v>
      </c>
      <c r="B1356" s="256" t="s">
        <v>184</v>
      </c>
      <c r="C1356" s="256" t="s">
        <v>2064</v>
      </c>
      <c r="D1356" s="330" t="inlineStr">
        <is>
          <t xml:space="preserve">RAC</t>
        </is>
      </c>
      <c r="E1356" s="330" t="inlineStr">
        <is>
          <t>Y</t>
        </is>
      </c>
      <c r="F1356" s="330" t="inlineStr">
        <is>
          <t xml:space="preserve">진단 대상 35개 국가·리테일러에 해당하지 않음</t>
        </is>
      </c>
    </row>
    <row r="1357" spans="1:15">
      <c r="A1357" s="256" t="s">
        <v>237</v>
      </c>
      <c r="B1357" s="256" t="s">
        <v>184</v>
      </c>
      <c r="C1357" s="256" t="s">
        <v>2065</v>
      </c>
      <c r="D1357" s="330" t="inlineStr">
        <is>
          <t xml:space="preserve">AUDIO</t>
        </is>
      </c>
      <c r="E1357" s="330" t="inlineStr">
        <is>
          <t>Y</t>
        </is>
      </c>
      <c r="F1357" s="330" t="inlineStr">
        <is>
          <t xml:space="preserve">진단 대상 35개 국가·리테일러에 해당하지 않음</t>
        </is>
      </c>
    </row>
    <row r="1358" spans="1:15">
      <c r="A1358" s="256" t="s">
        <v>237</v>
      </c>
      <c r="B1358" s="256" t="s">
        <v>184</v>
      </c>
      <c r="C1358" s="256" t="s">
        <v>2066</v>
      </c>
      <c r="D1358" s="330" t="inlineStr">
        <is>
          <t xml:space="preserve">AUDIO</t>
        </is>
      </c>
      <c r="E1358" s="330" t="inlineStr">
        <is>
          <t>Y</t>
        </is>
      </c>
      <c r="F1358" s="330" t="inlineStr">
        <is>
          <t xml:space="preserve">진단 대상 35개 국가·리테일러에 해당하지 않음</t>
        </is>
      </c>
    </row>
    <row r="1359" spans="1:15">
      <c r="A1359" s="256" t="s">
        <v>237</v>
      </c>
      <c r="B1359" s="256" t="s">
        <v>184</v>
      </c>
      <c r="C1359" s="256" t="s">
        <v>2067</v>
      </c>
      <c r="D1359" s="330" t="inlineStr">
        <is>
          <t xml:space="preserve">AUDIO</t>
        </is>
      </c>
      <c r="E1359" s="330" t="inlineStr">
        <is>
          <t>Y</t>
        </is>
      </c>
      <c r="F1359" s="330" t="inlineStr">
        <is>
          <t xml:space="preserve">진단 대상 35개 국가·리테일러에 해당하지 않음</t>
        </is>
      </c>
    </row>
    <row r="1360" spans="1:15">
      <c r="A1360" s="256" t="s">
        <v>237</v>
      </c>
      <c r="B1360" s="256" t="s">
        <v>184</v>
      </c>
      <c r="C1360" s="256" t="s">
        <v>2068</v>
      </c>
      <c r="D1360" s="330" t="inlineStr">
        <is>
          <t xml:space="preserve">DRYER</t>
        </is>
      </c>
      <c r="E1360" s="330" t="inlineStr">
        <is>
          <t>Y</t>
        </is>
      </c>
      <c r="F1360" s="330" t="inlineStr">
        <is>
          <t xml:space="preserve">진단 대상 35개 국가·리테일러에 해당하지 않음</t>
        </is>
      </c>
    </row>
    <row r="1361" spans="1:15">
      <c r="A1361" s="256" t="s">
        <v>331</v>
      </c>
      <c r="B1361" s="256" t="s">
        <v>718</v>
      </c>
      <c r="C1361" s="256" t="s">
        <v>2069</v>
      </c>
      <c r="D1361" s="330" t="inlineStr">
        <is>
          <t xml:space="preserve">REF</t>
        </is>
      </c>
      <c r="E1361" s="330" t="inlineStr">
        <is>
          <t>Y</t>
        </is>
      </c>
      <c r="F1361" s="330" t="inlineStr">
        <is>
          <t xml:space="preserve">진단 대상 35개 국가·리테일러에 해당하지 않음</t>
        </is>
      </c>
    </row>
    <row r="1362" spans="1:15">
      <c r="A1362" s="256" t="s">
        <v>331</v>
      </c>
      <c r="B1362" s="256" t="s">
        <v>718</v>
      </c>
      <c r="C1362" s="256" t="s">
        <v>2070</v>
      </c>
      <c r="D1362" s="330" t="inlineStr">
        <is>
          <t xml:space="preserve">WM</t>
        </is>
      </c>
      <c r="E1362" s="330" t="inlineStr">
        <is>
          <t>Y</t>
        </is>
      </c>
      <c r="F1362" s="330" t="inlineStr">
        <is>
          <t xml:space="preserve">진단 대상 35개 국가·리테일러에 해당하지 않음</t>
        </is>
      </c>
    </row>
    <row r="1363" spans="1:15">
      <c r="A1363" s="256" t="s">
        <v>331</v>
      </c>
      <c r="B1363" s="256" t="s">
        <v>718</v>
      </c>
      <c r="C1363" s="256" t="s">
        <v>2071</v>
      </c>
      <c r="D1363" s="330" t="inlineStr">
        <is>
          <t xml:space="preserve">WM</t>
        </is>
      </c>
      <c r="E1363" s="330" t="inlineStr">
        <is>
          <t>Y</t>
        </is>
      </c>
      <c r="F1363" s="330" t="inlineStr">
        <is>
          <t xml:space="preserve">진단 대상 35개 국가·리테일러에 해당하지 않음</t>
        </is>
      </c>
    </row>
    <row r="1364" spans="1:15">
      <c r="A1364" s="256" t="s">
        <v>331</v>
      </c>
      <c r="B1364" s="256" t="s">
        <v>718</v>
      </c>
      <c r="C1364" s="256" t="s">
        <v>2072</v>
      </c>
      <c r="D1364" s="330" t="inlineStr">
        <is>
          <t xml:space="preserve">DRYER</t>
        </is>
      </c>
      <c r="E1364" s="330" t="inlineStr">
        <is>
          <t>Y</t>
        </is>
      </c>
      <c r="F1364" s="330" t="inlineStr">
        <is>
          <t xml:space="preserve">진단 대상 35개 국가·리테일러에 해당하지 않음</t>
        </is>
      </c>
    </row>
    <row r="1365" spans="1:15">
      <c r="A1365" s="256" t="s">
        <v>331</v>
      </c>
      <c r="B1365" s="256" t="s">
        <v>718</v>
      </c>
      <c r="C1365" s="256" t="s">
        <v>2073</v>
      </c>
      <c r="D1365" s="330" t="inlineStr">
        <is>
          <t xml:space="preserve">TV</t>
        </is>
      </c>
      <c r="E1365" s="330" t="inlineStr">
        <is>
          <t>Y</t>
        </is>
      </c>
      <c r="F1365" s="330" t="inlineStr">
        <is>
          <t xml:space="preserve">진단 대상 35개 국가·리테일러에 해당하지 않음</t>
        </is>
      </c>
    </row>
    <row r="1366" spans="1:15">
      <c r="A1366" s="256" t="s">
        <v>331</v>
      </c>
      <c r="B1366" s="256" t="s">
        <v>718</v>
      </c>
      <c r="C1366" s="256" t="s">
        <v>2074</v>
      </c>
      <c r="D1366" s="330" t="inlineStr">
        <is>
          <t xml:space="preserve">RAC</t>
        </is>
      </c>
      <c r="E1366" s="330" t="inlineStr">
        <is>
          <t>Y</t>
        </is>
      </c>
      <c r="F1366" s="330" t="inlineStr">
        <is>
          <t xml:space="preserve">진단 대상 35개 국가·리테일러에 해당하지 않음</t>
        </is>
      </c>
    </row>
    <row r="1367" spans="1:15">
      <c r="A1367" s="256" t="s">
        <v>331</v>
      </c>
      <c r="B1367" s="256" t="s">
        <v>718</v>
      </c>
      <c r="C1367" s="256" t="s">
        <v>2075</v>
      </c>
      <c r="D1367" s="330" t="inlineStr">
        <is>
          <t xml:space="preserve">MNT</t>
        </is>
      </c>
      <c r="E1367" s="330" t="inlineStr">
        <is>
          <t>Y</t>
        </is>
      </c>
      <c r="F1367" s="330" t="inlineStr">
        <is>
          <t xml:space="preserve">진단 대상 35개 국가·리테일러에 해당하지 않음</t>
        </is>
      </c>
    </row>
    <row r="1368" spans="1:15">
      <c r="A1368" s="256" t="s">
        <v>331</v>
      </c>
      <c r="B1368" s="256" t="s">
        <v>718</v>
      </c>
      <c r="C1368" s="256" t="s">
        <v>2076</v>
      </c>
      <c r="D1368" s="330" t="inlineStr">
        <is>
          <t xml:space="preserve">SPEAKER</t>
        </is>
      </c>
      <c r="E1368" s="330" t="inlineStr">
        <is>
          <t>Y</t>
        </is>
      </c>
      <c r="F1368" s="330" t="inlineStr">
        <is>
          <t xml:space="preserve">진단 대상 35개 국가·리테일러에 해당하지 않음</t>
        </is>
      </c>
    </row>
    <row r="1369" spans="1:15">
      <c r="A1369" s="256" t="s">
        <v>331</v>
      </c>
      <c r="B1369" s="256" t="s">
        <v>718</v>
      </c>
      <c r="C1369" s="256" t="s">
        <v>2077</v>
      </c>
      <c r="D1369" s="330" t="inlineStr">
        <is>
          <t xml:space="preserve">SOUNDBAR</t>
        </is>
      </c>
      <c r="E1369" s="330" t="inlineStr">
        <is>
          <t>Y</t>
        </is>
      </c>
      <c r="F1369" s="330" t="inlineStr">
        <is>
          <t xml:space="preserve">진단 대상 35개 국가·리테일러에 해당하지 않음</t>
        </is>
      </c>
    </row>
    <row r="1370" spans="1:15">
      <c r="A1370" s="256" t="s">
        <v>331</v>
      </c>
      <c r="B1370" s="256" t="s">
        <v>718</v>
      </c>
      <c r="C1370" s="256" t="s">
        <v>2078</v>
      </c>
      <c r="D1370" s="330" t="inlineStr">
        <is>
          <t xml:space="preserve">HEADSET</t>
        </is>
      </c>
      <c r="E1370" s="330" t="inlineStr">
        <is>
          <t>Y</t>
        </is>
      </c>
      <c r="F1370" s="330" t="inlineStr">
        <is>
          <t xml:space="preserve">진단 대상 35개 국가·리테일러에 해당하지 않음</t>
        </is>
      </c>
    </row>
    <row r="1371" spans="1:15">
      <c r="A1371" s="256" t="s">
        <v>345</v>
      </c>
      <c r="B1371" s="256" t="s">
        <v>355</v>
      </c>
      <c r="C1371" s="256" t="s">
        <v>2079</v>
      </c>
      <c r="D1371" s="330" t="inlineStr">
        <is>
          <t xml:space="preserve">REF</t>
        </is>
      </c>
      <c r="E1371" s="330" t="inlineStr">
        <is>
          <t>Y</t>
        </is>
      </c>
      <c r="F1371" s="330" t="inlineStr">
        <is>
          <t xml:space="preserve">진단 대상 35개 국가·리테일러에 해당하지 않음</t>
        </is>
      </c>
    </row>
    <row r="1372" spans="1:15">
      <c r="A1372" s="256" t="s">
        <v>345</v>
      </c>
      <c r="B1372" s="256" t="s">
        <v>355</v>
      </c>
      <c r="C1372" s="256" t="s">
        <v>2080</v>
      </c>
      <c r="D1372" s="330" t="inlineStr">
        <is>
          <t xml:space="preserve">WM</t>
        </is>
      </c>
      <c r="E1372" s="330" t="inlineStr">
        <is>
          <t>Y</t>
        </is>
      </c>
      <c r="F1372" s="330" t="inlineStr">
        <is>
          <t xml:space="preserve">진단 대상 35개 국가·리테일러에 해당하지 않음</t>
        </is>
      </c>
    </row>
    <row r="1373" spans="1:15">
      <c r="A1373" s="256" t="s">
        <v>345</v>
      </c>
      <c r="B1373" s="256" t="s">
        <v>355</v>
      </c>
      <c r="C1373" s="256" t="s">
        <v>2081</v>
      </c>
      <c r="D1373" s="330" t="inlineStr">
        <is>
          <t xml:space="preserve">DW</t>
        </is>
      </c>
      <c r="E1373" s="330" t="inlineStr">
        <is>
          <t>Y</t>
        </is>
      </c>
      <c r="F1373" s="330" t="inlineStr">
        <is>
          <t xml:space="preserve">진단 대상 35개 국가·리테일러에 해당하지 않음</t>
        </is>
      </c>
    </row>
    <row r="1374" spans="1:15">
      <c r="A1374" s="256" t="s">
        <v>345</v>
      </c>
      <c r="B1374" s="256" t="s">
        <v>355</v>
      </c>
      <c r="C1374" s="256" t="s">
        <v>2082</v>
      </c>
      <c r="D1374" s="330" t="inlineStr">
        <is>
          <t xml:space="preserve">DRYER</t>
        </is>
      </c>
      <c r="E1374" s="330" t="inlineStr">
        <is>
          <t>Y</t>
        </is>
      </c>
      <c r="F1374" s="330" t="inlineStr">
        <is>
          <t xml:space="preserve">진단 대상 35개 국가·리테일러에 해당하지 않음</t>
        </is>
      </c>
    </row>
    <row r="1375" spans="1:15">
      <c r="A1375" s="256" t="s">
        <v>345</v>
      </c>
      <c r="B1375" s="256" t="s">
        <v>355</v>
      </c>
      <c r="C1375" s="256" t="s">
        <v>2083</v>
      </c>
      <c r="D1375" s="330" t="inlineStr">
        <is>
          <t xml:space="preserve">OVEN</t>
        </is>
      </c>
      <c r="E1375" s="330" t="inlineStr">
        <is>
          <t>Y</t>
        </is>
      </c>
      <c r="F1375" s="330" t="inlineStr">
        <is>
          <t xml:space="preserve">진단 대상 35개 국가·리테일러에 해당하지 않음</t>
        </is>
      </c>
    </row>
    <row r="1376" spans="1:15">
      <c r="A1376" s="256" t="s">
        <v>345</v>
      </c>
      <c r="B1376" s="256" t="s">
        <v>355</v>
      </c>
      <c r="C1376" s="256" t="s">
        <v>2084</v>
      </c>
      <c r="D1376" s="330" t="inlineStr">
        <is>
          <t xml:space="preserve">STYLER</t>
        </is>
      </c>
      <c r="E1376" s="330" t="inlineStr">
        <is>
          <t>Y</t>
        </is>
      </c>
      <c r="F1376" s="330" t="inlineStr">
        <is>
          <t xml:space="preserve">진단 대상 35개 국가·리테일러에 해당하지 않음</t>
        </is>
      </c>
    </row>
    <row r="1377" spans="1:15">
      <c r="A1377" s="256" t="s">
        <v>345</v>
      </c>
      <c r="B1377" s="256" t="s">
        <v>355</v>
      </c>
      <c r="C1377" s="256" t="s">
        <v>2085</v>
      </c>
      <c r="D1377" s="330" t="inlineStr">
        <is>
          <t xml:space="preserve">RAC</t>
        </is>
      </c>
      <c r="E1377" s="330" t="inlineStr">
        <is>
          <t>Y</t>
        </is>
      </c>
      <c r="F1377" s="330" t="inlineStr">
        <is>
          <t xml:space="preserve">진단 대상 35개 국가·리테일러에 해당하지 않음</t>
        </is>
      </c>
    </row>
    <row r="1378" spans="1:15">
      <c r="A1378" s="256" t="s">
        <v>345</v>
      </c>
      <c r="B1378" s="256" t="s">
        <v>355</v>
      </c>
      <c r="C1378" s="256" t="s">
        <v>2086</v>
      </c>
      <c r="D1378" s="330" t="inlineStr">
        <is>
          <t xml:space="preserve">TV</t>
        </is>
      </c>
      <c r="E1378" s="330" t="inlineStr">
        <is>
          <t>Y</t>
        </is>
      </c>
      <c r="F1378" s="330" t="inlineStr">
        <is>
          <t xml:space="preserve">진단 대상 35개 국가·리테일러에 해당하지 않음</t>
        </is>
      </c>
    </row>
    <row r="1379" spans="1:15">
      <c r="A1379" s="256" t="s">
        <v>345</v>
      </c>
      <c r="B1379" s="256" t="s">
        <v>355</v>
      </c>
      <c r="C1379" s="256" t="s">
        <v>2087</v>
      </c>
      <c r="D1379" s="330" t="inlineStr">
        <is>
          <t xml:space="preserve">TV</t>
        </is>
      </c>
      <c r="E1379" s="330" t="inlineStr">
        <is>
          <t>Y</t>
        </is>
      </c>
      <c r="F1379" s="330" t="inlineStr">
        <is>
          <t xml:space="preserve">진단 대상 35개 국가·리테일러에 해당하지 않음</t>
        </is>
      </c>
    </row>
    <row r="1380" spans="1:15">
      <c r="A1380" s="256" t="s">
        <v>345</v>
      </c>
      <c r="B1380" s="256" t="s">
        <v>355</v>
      </c>
      <c r="C1380" s="256" t="s">
        <v>2088</v>
      </c>
      <c r="D1380" s="330" t="inlineStr">
        <is>
          <t xml:space="preserve">MNT</t>
        </is>
      </c>
      <c r="E1380" s="330" t="inlineStr">
        <is>
          <t>Y</t>
        </is>
      </c>
      <c r="F1380" s="330" t="inlineStr">
        <is>
          <t xml:space="preserve">진단 대상 35개 국가·리테일러에 해당하지 않음</t>
        </is>
      </c>
    </row>
    <row r="1381" spans="1:15">
      <c r="A1381" s="256" t="s">
        <v>345</v>
      </c>
      <c r="B1381" s="256" t="s">
        <v>355</v>
      </c>
      <c r="C1381" s="256" t="s">
        <v>2089</v>
      </c>
      <c r="D1381" s="330" t="inlineStr">
        <is>
          <t xml:space="preserve">SPEAKER</t>
        </is>
      </c>
      <c r="E1381" s="330" t="inlineStr">
        <is>
          <t>Y</t>
        </is>
      </c>
      <c r="F1381" s="330" t="inlineStr">
        <is>
          <t xml:space="preserve">진단 대상 35개 국가·리테일러에 해당하지 않음</t>
        </is>
      </c>
    </row>
    <row r="1382" spans="1:15">
      <c r="A1382" s="256" t="s">
        <v>345</v>
      </c>
      <c r="B1382" s="256" t="s">
        <v>355</v>
      </c>
      <c r="C1382" s="256" t="s">
        <v>2090</v>
      </c>
      <c r="D1382" s="330" t="inlineStr">
        <is>
          <t xml:space="preserve">SOUNDBAR</t>
        </is>
      </c>
      <c r="E1382" s="330" t="inlineStr">
        <is>
          <t>Y</t>
        </is>
      </c>
      <c r="F1382" s="330" t="inlineStr">
        <is>
          <t xml:space="preserve">진단 대상 35개 국가·리테일러에 해당하지 않음</t>
        </is>
      </c>
    </row>
    <row r="1383" spans="1:15">
      <c r="A1383" s="256" t="s">
        <v>345</v>
      </c>
      <c r="B1383" s="256" t="s">
        <v>355</v>
      </c>
      <c r="C1383" s="256" t="s">
        <v>2091</v>
      </c>
      <c r="D1383" s="330" t="inlineStr">
        <is>
          <t xml:space="preserve">HEADSET</t>
        </is>
      </c>
      <c r="E1383" s="330" t="inlineStr">
        <is>
          <t>Y</t>
        </is>
      </c>
      <c r="F1383" s="330" t="inlineStr">
        <is>
          <t xml:space="preserve">진단 대상 35개 국가·리테일러에 해당하지 않음</t>
        </is>
      </c>
    </row>
    <row r="1384" spans="1:15">
      <c r="A1384" s="256" t="s">
        <v>201</v>
      </c>
      <c r="B1384" s="256" t="s">
        <v>209</v>
      </c>
      <c r="C1384" s="256" t="s">
        <v>2092</v>
      </c>
      <c r="D1384" s="330" t="inlineStr">
        <is>
          <t xml:space="preserve">REF</t>
        </is>
      </c>
      <c r="E1384" s="330" t="inlineStr">
        <is>
          <t>Y</t>
        </is>
      </c>
      <c r="F1384" s="330" t="inlineStr">
        <is>
          <t xml:space="preserve">진단 대상 35개 국가·리테일러에 해당하지 않음</t>
        </is>
      </c>
    </row>
    <row r="1385" spans="1:15">
      <c r="A1385" s="256" t="s">
        <v>201</v>
      </c>
      <c r="B1385" s="256" t="s">
        <v>209</v>
      </c>
      <c r="C1385" s="256" t="s">
        <v>2093</v>
      </c>
      <c r="D1385" s="330" t="inlineStr">
        <is>
          <t xml:space="preserve">REF</t>
        </is>
      </c>
      <c r="E1385" s="330" t="inlineStr">
        <is>
          <t>Y</t>
        </is>
      </c>
      <c r="F1385" s="330" t="inlineStr">
        <is>
          <t xml:space="preserve">진단 대상 35개 국가·리테일러에 해당하지 않음</t>
        </is>
      </c>
    </row>
    <row r="1386" spans="1:15">
      <c r="A1386" s="256" t="s">
        <v>201</v>
      </c>
      <c r="B1386" s="256" t="s">
        <v>209</v>
      </c>
      <c r="C1386" s="256" t="s">
        <v>2094</v>
      </c>
      <c r="D1386" s="330" t="inlineStr">
        <is>
          <t xml:space="preserve">REF</t>
        </is>
      </c>
      <c r="E1386" s="330" t="inlineStr">
        <is>
          <t>Y</t>
        </is>
      </c>
      <c r="F1386" s="330" t="inlineStr">
        <is>
          <t xml:space="preserve">진단 대상 35개 국가·리테일러에 해당하지 않음</t>
        </is>
      </c>
    </row>
    <row r="1387" spans="1:15">
      <c r="A1387" s="256" t="s">
        <v>201</v>
      </c>
      <c r="B1387" s="256" t="s">
        <v>209</v>
      </c>
      <c r="C1387" s="256" t="s">
        <v>2095</v>
      </c>
      <c r="D1387" s="330" t="inlineStr">
        <is>
          <t xml:space="preserve">REF</t>
        </is>
      </c>
      <c r="E1387" s="330" t="inlineStr">
        <is>
          <t>Y</t>
        </is>
      </c>
      <c r="F1387" s="330" t="inlineStr">
        <is>
          <t xml:space="preserve">진단 대상 35개 국가·리테일러에 해당하지 않음</t>
        </is>
      </c>
    </row>
    <row r="1388" spans="1:15">
      <c r="A1388" s="256" t="s">
        <v>201</v>
      </c>
      <c r="B1388" s="256" t="s">
        <v>209</v>
      </c>
      <c r="C1388" s="256" t="s">
        <v>2096</v>
      </c>
      <c r="D1388" s="330" t="inlineStr">
        <is>
          <t xml:space="preserve">REF</t>
        </is>
      </c>
      <c r="E1388" s="330" t="inlineStr">
        <is>
          <t>Y</t>
        </is>
      </c>
      <c r="F1388" s="330" t="inlineStr">
        <is>
          <t xml:space="preserve">진단 대상 35개 국가·리테일러에 해당하지 않음</t>
        </is>
      </c>
    </row>
    <row r="1389" spans="1:15">
      <c r="A1389" s="256" t="s">
        <v>201</v>
      </c>
      <c r="B1389" s="256" t="s">
        <v>209</v>
      </c>
      <c r="C1389" s="256" t="s">
        <v>2097</v>
      </c>
      <c r="D1389" s="330" t="inlineStr">
        <is>
          <t xml:space="preserve">REF</t>
        </is>
      </c>
      <c r="E1389" s="330" t="inlineStr">
        <is>
          <t>Y</t>
        </is>
      </c>
      <c r="F1389" s="330" t="inlineStr">
        <is>
          <t xml:space="preserve">진단 대상 35개 국가·리테일러에 해당하지 않음</t>
        </is>
      </c>
    </row>
    <row r="1390" spans="1:15">
      <c r="A1390" s="256" t="s">
        <v>201</v>
      </c>
      <c r="B1390" s="256" t="s">
        <v>209</v>
      </c>
      <c r="C1390" s="256" t="s">
        <v>2098</v>
      </c>
      <c r="D1390" s="330" t="inlineStr">
        <is>
          <t xml:space="preserve">REF</t>
        </is>
      </c>
      <c r="E1390" s="330" t="inlineStr">
        <is>
          <t>Y</t>
        </is>
      </c>
      <c r="F1390" s="330" t="inlineStr">
        <is>
          <t xml:space="preserve">진단 대상 35개 국가·리테일러에 해당하지 않음</t>
        </is>
      </c>
    </row>
    <row r="1391" spans="1:15">
      <c r="A1391" s="256" t="s">
        <v>201</v>
      </c>
      <c r="B1391" s="256" t="s">
        <v>209</v>
      </c>
      <c r="C1391" s="256" t="s">
        <v>2099</v>
      </c>
      <c r="D1391" s="330" t="inlineStr">
        <is>
          <t xml:space="preserve">WM</t>
        </is>
      </c>
      <c r="E1391" s="330" t="inlineStr">
        <is>
          <t>Y</t>
        </is>
      </c>
      <c r="F1391" s="330" t="inlineStr">
        <is>
          <t xml:space="preserve">진단 대상 35개 국가·리테일러에 해당하지 않음</t>
        </is>
      </c>
    </row>
    <row r="1392" spans="1:15">
      <c r="A1392" s="256" t="s">
        <v>201</v>
      </c>
      <c r="B1392" s="256" t="s">
        <v>209</v>
      </c>
      <c r="C1392" s="256" t="s">
        <v>2100</v>
      </c>
      <c r="D1392" s="330" t="inlineStr">
        <is>
          <t xml:space="preserve">WM</t>
        </is>
      </c>
      <c r="E1392" s="330" t="inlineStr">
        <is>
          <t>Y</t>
        </is>
      </c>
      <c r="F1392" s="330" t="inlineStr">
        <is>
          <t xml:space="preserve">진단 대상 35개 국가·리테일러에 해당하지 않음</t>
        </is>
      </c>
    </row>
    <row r="1393" spans="1:15">
      <c r="A1393" s="256" t="s">
        <v>201</v>
      </c>
      <c r="B1393" s="256" t="s">
        <v>209</v>
      </c>
      <c r="C1393" s="256" t="s">
        <v>2101</v>
      </c>
      <c r="D1393" s="330" t="inlineStr">
        <is>
          <t xml:space="preserve">WM</t>
        </is>
      </c>
      <c r="E1393" s="330" t="inlineStr">
        <is>
          <t>Y</t>
        </is>
      </c>
      <c r="F1393" s="330" t="inlineStr">
        <is>
          <t xml:space="preserve">진단 대상 35개 국가·리테일러에 해당하지 않음</t>
        </is>
      </c>
    </row>
    <row r="1394" spans="1:15">
      <c r="A1394" s="256" t="s">
        <v>201</v>
      </c>
      <c r="B1394" s="256" t="s">
        <v>209</v>
      </c>
      <c r="C1394" s="256" t="s">
        <v>2102</v>
      </c>
      <c r="D1394" s="330" t="inlineStr">
        <is>
          <t xml:space="preserve">WM</t>
        </is>
      </c>
      <c r="E1394" s="330" t="inlineStr">
        <is>
          <t>Y</t>
        </is>
      </c>
      <c r="F1394" s="330" t="inlineStr">
        <is>
          <t xml:space="preserve">진단 대상 35개 국가·리테일러에 해당하지 않음</t>
        </is>
      </c>
    </row>
    <row r="1395" spans="1:15">
      <c r="A1395" s="256" t="s">
        <v>201</v>
      </c>
      <c r="B1395" s="256" t="s">
        <v>209</v>
      </c>
      <c r="C1395" s="256" t="s">
        <v>2103</v>
      </c>
      <c r="D1395" s="330" t="inlineStr">
        <is>
          <t xml:space="preserve">WM</t>
        </is>
      </c>
      <c r="E1395" s="330" t="inlineStr">
        <is>
          <t>Y</t>
        </is>
      </c>
      <c r="F1395" s="330" t="inlineStr">
        <is>
          <t xml:space="preserve">진단 대상 35개 국가·리테일러에 해당하지 않음</t>
        </is>
      </c>
    </row>
    <row r="1396" spans="1:15">
      <c r="A1396" s="256" t="s">
        <v>201</v>
      </c>
      <c r="B1396" s="256" t="s">
        <v>209</v>
      </c>
      <c r="C1396" s="256" t="s">
        <v>2104</v>
      </c>
      <c r="D1396" s="330" t="inlineStr">
        <is>
          <t xml:space="preserve">WM</t>
        </is>
      </c>
      <c r="E1396" s="330" t="inlineStr">
        <is>
          <t>Y</t>
        </is>
      </c>
      <c r="F1396" s="330" t="inlineStr">
        <is>
          <t xml:space="preserve">진단 대상 35개 국가·리테일러에 해당하지 않음</t>
        </is>
      </c>
    </row>
    <row r="1397" spans="1:15">
      <c r="A1397" s="256" t="s">
        <v>201</v>
      </c>
      <c r="B1397" s="256" t="s">
        <v>209</v>
      </c>
      <c r="C1397" s="256" t="s">
        <v>2105</v>
      </c>
      <c r="D1397" s="330" t="inlineStr">
        <is>
          <t xml:space="preserve">WM</t>
        </is>
      </c>
      <c r="E1397" s="330" t="inlineStr">
        <is>
          <t>Y</t>
        </is>
      </c>
      <c r="F1397" s="330" t="inlineStr">
        <is>
          <t xml:space="preserve">진단 대상 35개 국가·리테일러에 해당하지 않음</t>
        </is>
      </c>
    </row>
    <row r="1398" spans="1:15">
      <c r="A1398" s="256" t="s">
        <v>201</v>
      </c>
      <c r="B1398" s="256" t="s">
        <v>209</v>
      </c>
      <c r="C1398" s="256" t="s">
        <v>2106</v>
      </c>
      <c r="D1398" s="330" t="inlineStr">
        <is>
          <t xml:space="preserve">TV</t>
        </is>
      </c>
      <c r="E1398" s="330" t="inlineStr">
        <is>
          <t>Y</t>
        </is>
      </c>
      <c r="F1398" s="330" t="inlineStr">
        <is>
          <t xml:space="preserve">진단 대상 35개 국가·리테일러에 해당하지 않음</t>
        </is>
      </c>
    </row>
    <row r="1399" spans="1:15">
      <c r="A1399" s="256" t="s">
        <v>201</v>
      </c>
      <c r="B1399" s="256" t="s">
        <v>209</v>
      </c>
      <c r="C1399" s="256" t="s">
        <v>2107</v>
      </c>
      <c r="D1399" s="330" t="inlineStr">
        <is>
          <t xml:space="preserve">TV</t>
        </is>
      </c>
      <c r="E1399" s="330" t="inlineStr">
        <is>
          <t>Y</t>
        </is>
      </c>
      <c r="F1399" s="330" t="inlineStr">
        <is>
          <t xml:space="preserve">진단 대상 35개 국가·리테일러에 해당하지 않음</t>
        </is>
      </c>
    </row>
    <row r="1400" spans="1:15">
      <c r="A1400" s="256" t="s">
        <v>201</v>
      </c>
      <c r="B1400" s="256" t="s">
        <v>209</v>
      </c>
      <c r="C1400" s="256" t="s">
        <v>2108</v>
      </c>
      <c r="D1400" s="330" t="inlineStr">
        <is>
          <t xml:space="preserve">TV</t>
        </is>
      </c>
      <c r="E1400" s="330" t="inlineStr">
        <is>
          <t>Y</t>
        </is>
      </c>
      <c r="F1400" s="330" t="inlineStr">
        <is>
          <t xml:space="preserve">진단 대상 35개 국가·리테일러에 해당하지 않음</t>
        </is>
      </c>
    </row>
    <row r="1401" spans="1:15">
      <c r="A1401" s="256" t="s">
        <v>201</v>
      </c>
      <c r="B1401" s="256" t="s">
        <v>209</v>
      </c>
      <c r="C1401" s="256" t="s">
        <v>2109</v>
      </c>
      <c r="D1401" s="330" t="inlineStr">
        <is>
          <t xml:space="preserve">TV</t>
        </is>
      </c>
      <c r="E1401" s="330" t="inlineStr">
        <is>
          <t>Y</t>
        </is>
      </c>
      <c r="F1401" s="330" t="inlineStr">
        <is>
          <t xml:space="preserve">진단 대상 35개 국가·리테일러에 해당하지 않음</t>
        </is>
      </c>
    </row>
    <row r="1402" spans="1:15">
      <c r="A1402" s="256" t="s">
        <v>201</v>
      </c>
      <c r="B1402" s="256" t="s">
        <v>209</v>
      </c>
      <c r="C1402" s="256" t="s">
        <v>2110</v>
      </c>
      <c r="D1402" s="330" t="inlineStr">
        <is>
          <t xml:space="preserve">TV</t>
        </is>
      </c>
      <c r="E1402" s="330" t="inlineStr">
        <is>
          <t>Y</t>
        </is>
      </c>
      <c r="F1402" s="330" t="inlineStr">
        <is>
          <t xml:space="preserve">진단 대상 35개 국가·리테일러에 해당하지 않음</t>
        </is>
      </c>
    </row>
    <row r="1403" spans="1:15">
      <c r="A1403" s="256" t="s">
        <v>201</v>
      </c>
      <c r="B1403" s="256" t="s">
        <v>209</v>
      </c>
      <c r="C1403" s="256" t="s">
        <v>2111</v>
      </c>
      <c r="D1403" s="330" t="inlineStr">
        <is>
          <t xml:space="preserve">TV</t>
        </is>
      </c>
      <c r="E1403" s="330" t="inlineStr">
        <is>
          <t>Y</t>
        </is>
      </c>
      <c r="F1403" s="330" t="inlineStr">
        <is>
          <t xml:space="preserve">진단 대상 35개 국가·리테일러에 해당하지 않음</t>
        </is>
      </c>
    </row>
    <row r="1404" spans="1:15">
      <c r="A1404" s="256" t="s">
        <v>201</v>
      </c>
      <c r="B1404" s="256" t="s">
        <v>209</v>
      </c>
      <c r="C1404" s="256" t="s">
        <v>2112</v>
      </c>
      <c r="D1404" s="330" t="inlineStr">
        <is>
          <t xml:space="preserve">TV</t>
        </is>
      </c>
      <c r="E1404" s="330" t="inlineStr">
        <is>
          <t>Y</t>
        </is>
      </c>
      <c r="F1404" s="330" t="inlineStr">
        <is>
          <t xml:space="preserve">진단 대상 35개 국가·리테일러에 해당하지 않음</t>
        </is>
      </c>
    </row>
    <row r="1405" spans="1:15">
      <c r="A1405" s="256" t="s">
        <v>201</v>
      </c>
      <c r="B1405" s="256" t="s">
        <v>209</v>
      </c>
      <c r="C1405" s="256" t="s">
        <v>2113</v>
      </c>
      <c r="D1405" s="330" t="inlineStr">
        <is>
          <t xml:space="preserve">TV</t>
        </is>
      </c>
      <c r="E1405" s="330" t="inlineStr">
        <is>
          <t>Y</t>
        </is>
      </c>
      <c r="F1405" s="330" t="inlineStr">
        <is>
          <t xml:space="preserve">진단 대상 35개 국가·리테일러에 해당하지 않음</t>
        </is>
      </c>
    </row>
    <row r="1406" spans="1:15">
      <c r="A1406" s="256" t="s">
        <v>201</v>
      </c>
      <c r="B1406" s="256" t="s">
        <v>209</v>
      </c>
      <c r="C1406" s="256" t="s">
        <v>2114</v>
      </c>
      <c r="D1406" s="330" t="inlineStr">
        <is>
          <t xml:space="preserve">TV</t>
        </is>
      </c>
      <c r="E1406" s="330" t="inlineStr">
        <is>
          <t>Y</t>
        </is>
      </c>
      <c r="F1406" s="330" t="inlineStr">
        <is>
          <t xml:space="preserve">진단 대상 35개 국가·리테일러에 해당하지 않음</t>
        </is>
      </c>
    </row>
    <row r="1407" spans="1:15">
      <c r="A1407" s="256" t="s">
        <v>201</v>
      </c>
      <c r="B1407" s="256" t="s">
        <v>209</v>
      </c>
      <c r="C1407" s="256" t="s">
        <v>2115</v>
      </c>
      <c r="D1407" s="330" t="inlineStr">
        <is>
          <t xml:space="preserve">TV</t>
        </is>
      </c>
      <c r="E1407" s="330" t="inlineStr">
        <is>
          <t>Y</t>
        </is>
      </c>
      <c r="F1407" s="330" t="inlineStr">
        <is>
          <t xml:space="preserve">진단 대상 35개 국가·리테일러에 해당하지 않음</t>
        </is>
      </c>
    </row>
    <row r="1408" spans="1:15">
      <c r="A1408" s="256" t="s">
        <v>201</v>
      </c>
      <c r="B1408" s="256" t="s">
        <v>209</v>
      </c>
      <c r="C1408" s="256" t="s">
        <v>2116</v>
      </c>
      <c r="D1408" s="330" t="inlineStr">
        <is>
          <t xml:space="preserve">TV</t>
        </is>
      </c>
      <c r="E1408" s="330" t="inlineStr">
        <is>
          <t>Y</t>
        </is>
      </c>
      <c r="F1408" s="330" t="inlineStr">
        <is>
          <t xml:space="preserve">진단 대상 35개 국가·리테일러에 해당하지 않음</t>
        </is>
      </c>
    </row>
    <row r="1409" spans="1:15">
      <c r="A1409" s="256" t="s">
        <v>201</v>
      </c>
      <c r="B1409" s="256" t="s">
        <v>209</v>
      </c>
      <c r="C1409" s="256" t="s">
        <v>2117</v>
      </c>
      <c r="D1409" s="330" t="inlineStr">
        <is>
          <t xml:space="preserve">TV</t>
        </is>
      </c>
      <c r="E1409" s="330" t="inlineStr">
        <is>
          <t>Y</t>
        </is>
      </c>
      <c r="F1409" s="330" t="inlineStr">
        <is>
          <t xml:space="preserve">진단 대상 35개 국가·리테일러에 해당하지 않음</t>
        </is>
      </c>
    </row>
    <row r="1410" spans="1:15">
      <c r="A1410" s="256" t="s">
        <v>201</v>
      </c>
      <c r="B1410" s="256" t="s">
        <v>209</v>
      </c>
      <c r="C1410" s="256" t="s">
        <v>2118</v>
      </c>
      <c r="D1410" s="330" t="inlineStr">
        <is>
          <t xml:space="preserve">TV</t>
        </is>
      </c>
      <c r="E1410" s="330" t="inlineStr">
        <is>
          <t>Y</t>
        </is>
      </c>
      <c r="F1410" s="330" t="inlineStr">
        <is>
          <t xml:space="preserve">진단 대상 35개 국가·리테일러에 해당하지 않음</t>
        </is>
      </c>
    </row>
    <row r="1411" spans="1:15">
      <c r="A1411" s="256" t="s">
        <v>201</v>
      </c>
      <c r="B1411" s="256" t="s">
        <v>209</v>
      </c>
      <c r="C1411" s="256" t="s">
        <v>2119</v>
      </c>
      <c r="D1411" s="330" t="inlineStr">
        <is>
          <t xml:space="preserve">TV</t>
        </is>
      </c>
      <c r="E1411" s="330" t="inlineStr">
        <is>
          <t>Y</t>
        </is>
      </c>
      <c r="F1411" s="330" t="inlineStr">
        <is>
          <t xml:space="preserve">진단 대상 35개 국가·리테일러에 해당하지 않음</t>
        </is>
      </c>
    </row>
    <row r="1412" spans="1:15">
      <c r="A1412" s="256" t="s">
        <v>201</v>
      </c>
      <c r="B1412" s="256" t="s">
        <v>209</v>
      </c>
      <c r="C1412" s="256" t="s">
        <v>2120</v>
      </c>
      <c r="D1412" s="330" t="inlineStr">
        <is>
          <t xml:space="preserve">TV</t>
        </is>
      </c>
      <c r="E1412" s="330" t="inlineStr">
        <is>
          <t>Y</t>
        </is>
      </c>
      <c r="F1412" s="330" t="inlineStr">
        <is>
          <t xml:space="preserve">진단 대상 35개 국가·리테일러에 해당하지 않음</t>
        </is>
      </c>
    </row>
    <row r="1413" spans="1:15">
      <c r="A1413" s="256" t="s">
        <v>201</v>
      </c>
      <c r="B1413" s="256" t="s">
        <v>209</v>
      </c>
      <c r="C1413" s="256" t="s">
        <v>2121</v>
      </c>
      <c r="D1413" s="330" t="inlineStr">
        <is>
          <t xml:space="preserve">TV</t>
        </is>
      </c>
      <c r="E1413" s="330" t="inlineStr">
        <is>
          <t>Y</t>
        </is>
      </c>
      <c r="F1413" s="330" t="inlineStr">
        <is>
          <t xml:space="preserve">진단 대상 35개 국가·리테일러에 해당하지 않음</t>
        </is>
      </c>
    </row>
    <row r="1414" spans="1:15">
      <c r="A1414" s="256" t="s">
        <v>201</v>
      </c>
      <c r="B1414" s="256" t="s">
        <v>209</v>
      </c>
      <c r="C1414" s="256" t="s">
        <v>2122</v>
      </c>
      <c r="D1414" s="330" t="inlineStr">
        <is>
          <t xml:space="preserve">TV</t>
        </is>
      </c>
      <c r="E1414" s="330" t="inlineStr">
        <is>
          <t>Y</t>
        </is>
      </c>
      <c r="F1414" s="330" t="inlineStr">
        <is>
          <t xml:space="preserve">진단 대상 35개 국가·리테일러에 해당하지 않음</t>
        </is>
      </c>
    </row>
    <row r="1415" spans="1:15">
      <c r="A1415" s="256" t="s">
        <v>201</v>
      </c>
      <c r="B1415" s="256" t="s">
        <v>209</v>
      </c>
      <c r="C1415" s="256" t="s">
        <v>2123</v>
      </c>
      <c r="D1415" s="330" t="inlineStr">
        <is>
          <t xml:space="preserve">TV</t>
        </is>
      </c>
      <c r="E1415" s="330" t="inlineStr">
        <is>
          <t>Y</t>
        </is>
      </c>
      <c r="F1415" s="330" t="inlineStr">
        <is>
          <t xml:space="preserve">진단 대상 35개 국가·리테일러에 해당하지 않음</t>
        </is>
      </c>
    </row>
    <row r="1416" spans="1:15">
      <c r="A1416" s="256" t="s">
        <v>201</v>
      </c>
      <c r="B1416" s="256" t="s">
        <v>209</v>
      </c>
      <c r="C1416" s="256" t="s">
        <v>2124</v>
      </c>
      <c r="D1416" s="330" t="inlineStr">
        <is>
          <t xml:space="preserve">TV</t>
        </is>
      </c>
      <c r="E1416" s="330" t="inlineStr">
        <is>
          <t>Y</t>
        </is>
      </c>
      <c r="F1416" s="330" t="inlineStr">
        <is>
          <t xml:space="preserve">진단 대상 35개 국가·리테일러에 해당하지 않음</t>
        </is>
      </c>
    </row>
    <row r="1417" spans="1:15">
      <c r="A1417" s="256" t="s">
        <v>201</v>
      </c>
      <c r="B1417" s="256" t="s">
        <v>209</v>
      </c>
      <c r="C1417" s="256" t="s">
        <v>2125</v>
      </c>
      <c r="D1417" s="330" t="inlineStr">
        <is>
          <t xml:space="preserve">TV</t>
        </is>
      </c>
      <c r="E1417" s="330" t="inlineStr">
        <is>
          <t>Y</t>
        </is>
      </c>
      <c r="F1417" s="330" t="inlineStr">
        <is>
          <t xml:space="preserve">진단 대상 35개 국가·리테일러에 해당하지 않음</t>
        </is>
      </c>
    </row>
    <row r="1418" spans="1:15">
      <c r="A1418" s="256" t="s">
        <v>201</v>
      </c>
      <c r="B1418" s="256" t="s">
        <v>209</v>
      </c>
      <c r="C1418" s="256" t="s">
        <v>2126</v>
      </c>
      <c r="D1418" s="330" t="inlineStr">
        <is>
          <t xml:space="preserve">TV</t>
        </is>
      </c>
      <c r="E1418" s="330" t="inlineStr">
        <is>
          <t>Y</t>
        </is>
      </c>
      <c r="F1418" s="330" t="inlineStr">
        <is>
          <t xml:space="preserve">진단 대상 35개 국가·리테일러에 해당하지 않음</t>
        </is>
      </c>
    </row>
    <row r="1419" spans="1:15">
      <c r="A1419" s="256" t="s">
        <v>201</v>
      </c>
      <c r="B1419" s="256" t="s">
        <v>209</v>
      </c>
      <c r="C1419" s="256" t="s">
        <v>2127</v>
      </c>
      <c r="D1419" s="330" t="inlineStr">
        <is>
          <t xml:space="preserve">TV</t>
        </is>
      </c>
      <c r="E1419" s="330" t="inlineStr">
        <is>
          <t>Y</t>
        </is>
      </c>
      <c r="F1419" s="330" t="inlineStr">
        <is>
          <t xml:space="preserve">진단 대상 35개 국가·리테일러에 해당하지 않음</t>
        </is>
      </c>
    </row>
    <row r="1420" spans="1:15">
      <c r="A1420" s="256" t="s">
        <v>201</v>
      </c>
      <c r="B1420" s="256" t="s">
        <v>209</v>
      </c>
      <c r="C1420" s="256" t="s">
        <v>2128</v>
      </c>
      <c r="D1420" s="330" t="inlineStr">
        <is>
          <t xml:space="preserve">BT_SPEAKER</t>
        </is>
      </c>
      <c r="E1420" s="330" t="inlineStr">
        <is>
          <t>Y</t>
        </is>
      </c>
      <c r="F1420" s="330" t="inlineStr">
        <is>
          <t xml:space="preserve">진단 대상 35개 국가·리테일러에 해당하지 않음</t>
        </is>
      </c>
    </row>
    <row r="1421" spans="1:15">
      <c r="A1421" s="256" t="s">
        <v>201</v>
      </c>
      <c r="B1421" s="256" t="s">
        <v>209</v>
      </c>
      <c r="C1421" s="256" t="s">
        <v>2129</v>
      </c>
      <c r="D1421" s="330" t="inlineStr">
        <is>
          <t xml:space="preserve">BT_SPEAKER</t>
        </is>
      </c>
      <c r="E1421" s="330" t="inlineStr">
        <is>
          <t>Y</t>
        </is>
      </c>
      <c r="F1421" s="330" t="inlineStr">
        <is>
          <t xml:space="preserve">진단 대상 35개 국가·리테일러에 해당하지 않음</t>
        </is>
      </c>
    </row>
    <row r="1422" spans="1:15">
      <c r="A1422" s="256" t="s">
        <v>201</v>
      </c>
      <c r="B1422" s="256" t="s">
        <v>209</v>
      </c>
      <c r="C1422" s="256" t="s">
        <v>2130</v>
      </c>
      <c r="D1422" s="330" t="inlineStr">
        <is>
          <t xml:space="preserve">BT_SPEAKER</t>
        </is>
      </c>
      <c r="E1422" s="330" t="inlineStr">
        <is>
          <t>Y</t>
        </is>
      </c>
      <c r="F1422" s="330" t="inlineStr">
        <is>
          <t xml:space="preserve">진단 대상 35개 국가·리테일러에 해당하지 않음</t>
        </is>
      </c>
    </row>
    <row r="1423" spans="1:15">
      <c r="A1423" s="256" t="s">
        <v>201</v>
      </c>
      <c r="B1423" s="256" t="s">
        <v>209</v>
      </c>
      <c r="C1423" s="256" t="s">
        <v>2131</v>
      </c>
      <c r="D1423" s="330" t="inlineStr">
        <is>
          <t xml:space="preserve">BT_SPEAKER</t>
        </is>
      </c>
      <c r="E1423" s="330" t="inlineStr">
        <is>
          <t>Y</t>
        </is>
      </c>
      <c r="F1423" s="330" t="inlineStr">
        <is>
          <t xml:space="preserve">진단 대상 35개 국가·리테일러에 해당하지 않음</t>
        </is>
      </c>
    </row>
    <row r="1424" spans="1:15">
      <c r="A1424" s="256" t="s">
        <v>201</v>
      </c>
      <c r="B1424" s="256" t="s">
        <v>209</v>
      </c>
      <c r="C1424" s="256" t="s">
        <v>2132</v>
      </c>
      <c r="D1424" s="330" t="inlineStr">
        <is>
          <t xml:space="preserve">SOUNDBAR</t>
        </is>
      </c>
      <c r="E1424" s="330" t="inlineStr">
        <is>
          <t>Y</t>
        </is>
      </c>
      <c r="F1424" s="330" t="inlineStr">
        <is>
          <t xml:space="preserve">진단 대상 35개 국가·리테일러에 해당하지 않음</t>
        </is>
      </c>
    </row>
    <row r="1425" spans="1:15">
      <c r="A1425" s="256" t="s">
        <v>201</v>
      </c>
      <c r="B1425" s="256" t="s">
        <v>209</v>
      </c>
      <c r="C1425" s="256" t="s">
        <v>2133</v>
      </c>
      <c r="D1425" s="330" t="inlineStr">
        <is>
          <t xml:space="preserve">HEADSET</t>
        </is>
      </c>
      <c r="E1425" s="330" t="inlineStr">
        <is>
          <t>Y</t>
        </is>
      </c>
      <c r="F1425" s="330" t="inlineStr">
        <is>
          <t xml:space="preserve">진단 대상 35개 국가·리테일러에 해당하지 않음</t>
        </is>
      </c>
    </row>
    <row r="1426" spans="1:15">
      <c r="A1426" s="256" t="s">
        <v>201</v>
      </c>
      <c r="B1426" s="256" t="s">
        <v>209</v>
      </c>
      <c r="C1426" s="256" t="s">
        <v>2134</v>
      </c>
      <c r="D1426" s="330" t="inlineStr">
        <is>
          <t xml:space="preserve">HEADSET</t>
        </is>
      </c>
      <c r="E1426" s="330" t="inlineStr">
        <is>
          <t>Y</t>
        </is>
      </c>
      <c r="F1426" s="330" t="inlineStr">
        <is>
          <t xml:space="preserve">진단 대상 35개 국가·리테일러에 해당하지 않음</t>
        </is>
      </c>
    </row>
    <row r="1427" spans="1:15">
      <c r="A1427" s="256" t="s">
        <v>201</v>
      </c>
      <c r="B1427" s="256" t="s">
        <v>209</v>
      </c>
      <c r="C1427" s="256" t="s">
        <v>2135</v>
      </c>
      <c r="D1427" s="330" t="inlineStr">
        <is>
          <t xml:space="preserve">HEADSET</t>
        </is>
      </c>
      <c r="E1427" s="330" t="inlineStr">
        <is>
          <t>Y</t>
        </is>
      </c>
      <c r="F1427" s="330" t="inlineStr">
        <is>
          <t xml:space="preserve">진단 대상 35개 국가·리테일러에 해당하지 않음</t>
        </is>
      </c>
    </row>
    <row r="1428" spans="1:15">
      <c r="A1428" s="256" t="s">
        <v>201</v>
      </c>
      <c r="B1428" s="256" t="s">
        <v>209</v>
      </c>
      <c r="C1428" s="256" t="s">
        <v>2136</v>
      </c>
      <c r="D1428" s="330" t="inlineStr">
        <is>
          <t xml:space="preserve">HEADSET</t>
        </is>
      </c>
      <c r="E1428" s="330" t="inlineStr">
        <is>
          <t>Y</t>
        </is>
      </c>
      <c r="F1428" s="330" t="inlineStr">
        <is>
          <t xml:space="preserve">진단 대상 35개 국가·리테일러에 해당하지 않음</t>
        </is>
      </c>
    </row>
    <row r="1429" spans="1:15">
      <c r="A1429" s="256" t="s">
        <v>201</v>
      </c>
      <c r="B1429" s="256" t="s">
        <v>209</v>
      </c>
      <c r="C1429" s="256" t="s">
        <v>2137</v>
      </c>
      <c r="D1429" s="330" t="inlineStr">
        <is>
          <t xml:space="preserve">HEADSET</t>
        </is>
      </c>
      <c r="E1429" s="330" t="inlineStr">
        <is>
          <t>Y</t>
        </is>
      </c>
      <c r="F1429" s="330" t="inlineStr">
        <is>
          <t xml:space="preserve">진단 대상 35개 국가·리테일러에 해당하지 않음</t>
        </is>
      </c>
    </row>
    <row r="1430" spans="1:15">
      <c r="A1430" s="256" t="s">
        <v>201</v>
      </c>
      <c r="B1430" s="256" t="s">
        <v>209</v>
      </c>
      <c r="C1430" s="256" t="s">
        <v>2138</v>
      </c>
      <c r="D1430" s="330" t="inlineStr">
        <is>
          <t xml:space="preserve">VACUUM</t>
        </is>
      </c>
      <c r="E1430" s="330" t="inlineStr">
        <is>
          <t>Y</t>
        </is>
      </c>
      <c r="F1430" s="330" t="inlineStr">
        <is>
          <t xml:space="preserve">진단 대상 35개 국가·리테일러에 해당하지 않음</t>
        </is>
      </c>
    </row>
    <row r="1431" spans="1:15">
      <c r="A1431" s="256" t="s">
        <v>201</v>
      </c>
      <c r="B1431" s="256" t="s">
        <v>209</v>
      </c>
      <c r="C1431" s="256" t="s">
        <v>2139</v>
      </c>
      <c r="D1431" s="330" t="inlineStr">
        <is>
          <t xml:space="preserve">VACUUM</t>
        </is>
      </c>
      <c r="E1431" s="330" t="inlineStr">
        <is>
          <t>Y</t>
        </is>
      </c>
      <c r="F1431" s="330" t="inlineStr">
        <is>
          <t xml:space="preserve">진단 대상 35개 국가·리테일러에 해당하지 않음</t>
        </is>
      </c>
    </row>
    <row r="1432" spans="1:15">
      <c r="A1432" s="256" t="s">
        <v>201</v>
      </c>
      <c r="B1432" s="256" t="s">
        <v>209</v>
      </c>
      <c r="C1432" s="256" t="s">
        <v>2140</v>
      </c>
      <c r="D1432" s="330" t="inlineStr">
        <is>
          <t xml:space="preserve">VACUUM</t>
        </is>
      </c>
      <c r="E1432" s="330" t="inlineStr">
        <is>
          <t>Y</t>
        </is>
      </c>
      <c r="F1432" s="330" t="inlineStr">
        <is>
          <t xml:space="preserve">진단 대상 35개 국가·리테일러에 해당하지 않음</t>
        </is>
      </c>
    </row>
    <row r="1433" spans="1:15">
      <c r="A1433" s="256" t="s">
        <v>201</v>
      </c>
      <c r="B1433" s="256" t="s">
        <v>209</v>
      </c>
      <c r="C1433" s="256" t="s">
        <v>2141</v>
      </c>
      <c r="D1433" s="330" t="inlineStr">
        <is>
          <t xml:space="preserve">VACUUM</t>
        </is>
      </c>
      <c r="E1433" s="330" t="inlineStr">
        <is>
          <t>Y</t>
        </is>
      </c>
      <c r="F1433" s="330" t="inlineStr">
        <is>
          <t xml:space="preserve">진단 대상 35개 국가·리테일러에 해당하지 않음</t>
        </is>
      </c>
    </row>
    <row r="1434" spans="1:15">
      <c r="A1434" s="256" t="s">
        <v>201</v>
      </c>
      <c r="B1434" s="256" t="s">
        <v>209</v>
      </c>
      <c r="C1434" s="256" t="s">
        <v>2142</v>
      </c>
      <c r="D1434" s="330" t="inlineStr">
        <is>
          <t xml:space="preserve">VACUUM</t>
        </is>
      </c>
      <c r="E1434" s="330" t="inlineStr">
        <is>
          <t>Y</t>
        </is>
      </c>
      <c r="F1434" s="330" t="inlineStr">
        <is>
          <t xml:space="preserve">진단 대상 35개 국가·리테일러에 해당하지 않음</t>
        </is>
      </c>
    </row>
    <row r="1435" spans="1:15">
      <c r="A1435" s="256" t="s">
        <v>201</v>
      </c>
      <c r="B1435" s="256" t="s">
        <v>209</v>
      </c>
      <c r="C1435" s="256" t="s">
        <v>2143</v>
      </c>
      <c r="D1435" s="330" t="inlineStr">
        <is>
          <t xml:space="preserve">VACUUM</t>
        </is>
      </c>
      <c r="E1435" s="330" t="inlineStr">
        <is>
          <t>Y</t>
        </is>
      </c>
      <c r="F1435" s="330" t="inlineStr">
        <is>
          <t xml:space="preserve">진단 대상 35개 국가·리테일러에 해당하지 않음</t>
        </is>
      </c>
    </row>
    <row r="1436" spans="1:15">
      <c r="A1436" s="256" t="s">
        <v>201</v>
      </c>
      <c r="B1436" s="256" t="s">
        <v>209</v>
      </c>
      <c r="C1436" s="256" t="s">
        <v>2144</v>
      </c>
      <c r="D1436" s="330" t="inlineStr">
        <is>
          <t xml:space="preserve">VACUUM</t>
        </is>
      </c>
      <c r="E1436" s="330" t="inlineStr">
        <is>
          <t>Y</t>
        </is>
      </c>
      <c r="F1436" s="330" t="inlineStr">
        <is>
          <t xml:space="preserve">진단 대상 35개 국가·리테일러에 해당하지 않음</t>
        </is>
      </c>
    </row>
    <row r="1437" spans="1:15">
      <c r="A1437" s="256" t="s">
        <v>201</v>
      </c>
      <c r="B1437" s="256" t="s">
        <v>209</v>
      </c>
      <c r="C1437" s="256" t="s">
        <v>2145</v>
      </c>
      <c r="D1437" s="330" t="inlineStr">
        <is>
          <t xml:space="preserve">VACUUM</t>
        </is>
      </c>
      <c r="E1437" s="330" t="inlineStr">
        <is>
          <t>Y</t>
        </is>
      </c>
      <c r="F1437" s="330" t="inlineStr">
        <is>
          <t xml:space="preserve">진단 대상 35개 국가·리테일러에 해당하지 않음</t>
        </is>
      </c>
    </row>
    <row r="1438" spans="1:15">
      <c r="A1438" s="256" t="s">
        <v>201</v>
      </c>
      <c r="B1438" s="256" t="s">
        <v>209</v>
      </c>
      <c r="C1438" s="256" t="s">
        <v>2146</v>
      </c>
      <c r="D1438" s="330" t="inlineStr">
        <is>
          <t xml:space="preserve">VACUUM</t>
        </is>
      </c>
      <c r="E1438" s="330" t="inlineStr">
        <is>
          <t>Y</t>
        </is>
      </c>
      <c r="F1438" s="330" t="inlineStr">
        <is>
          <t xml:space="preserve">진단 대상 35개 국가·리테일러에 해당하지 않음</t>
        </is>
      </c>
    </row>
    <row r="1439" spans="1:15">
      <c r="A1439" s="256" t="s">
        <v>201</v>
      </c>
      <c r="B1439" s="256" t="s">
        <v>209</v>
      </c>
      <c r="C1439" s="256" t="s">
        <v>2147</v>
      </c>
      <c r="D1439" s="330" t="inlineStr">
        <is>
          <t xml:space="preserve">DW</t>
        </is>
      </c>
      <c r="E1439" s="330" t="inlineStr">
        <is>
          <t>Y</t>
        </is>
      </c>
      <c r="F1439" s="330" t="inlineStr">
        <is>
          <t xml:space="preserve">진단 대상 35개 국가·리테일러에 해당하지 않음</t>
        </is>
      </c>
    </row>
    <row r="1440" spans="1:15">
      <c r="A1440" s="256" t="s">
        <v>201</v>
      </c>
      <c r="B1440" s="256" t="s">
        <v>209</v>
      </c>
      <c r="C1440" s="256" t="s">
        <v>2148</v>
      </c>
      <c r="D1440" s="330" t="inlineStr">
        <is>
          <t xml:space="preserve">DW</t>
        </is>
      </c>
      <c r="E1440" s="330" t="inlineStr">
        <is>
          <t>Y</t>
        </is>
      </c>
      <c r="F1440" s="330" t="inlineStr">
        <is>
          <t xml:space="preserve">진단 대상 35개 국가·리테일러에 해당하지 않음</t>
        </is>
      </c>
    </row>
    <row r="1441" spans="1:15">
      <c r="A1441" s="256" t="s">
        <v>201</v>
      </c>
      <c r="B1441" s="256" t="s">
        <v>209</v>
      </c>
      <c r="C1441" s="256" t="s">
        <v>2149</v>
      </c>
      <c r="D1441" s="330" t="inlineStr">
        <is>
          <t xml:space="preserve">DW</t>
        </is>
      </c>
      <c r="E1441" s="330" t="inlineStr">
        <is>
          <t>Y</t>
        </is>
      </c>
      <c r="F1441" s="330" t="inlineStr">
        <is>
          <t xml:space="preserve">진단 대상 35개 국가·리테일러에 해당하지 않음</t>
        </is>
      </c>
    </row>
    <row r="1442" spans="1:15">
      <c r="A1442" s="256" t="s">
        <v>201</v>
      </c>
      <c r="B1442" s="256" t="s">
        <v>209</v>
      </c>
      <c r="C1442" s="256" t="s">
        <v>2150</v>
      </c>
      <c r="D1442" s="330" t="inlineStr">
        <is>
          <t xml:space="preserve">DW</t>
        </is>
      </c>
      <c r="E1442" s="330" t="inlineStr">
        <is>
          <t>Y</t>
        </is>
      </c>
      <c r="F1442" s="330" t="inlineStr">
        <is>
          <t xml:space="preserve">진단 대상 35개 국가·리테일러에 해당하지 않음</t>
        </is>
      </c>
    </row>
    <row r="1443" spans="1:15">
      <c r="A1443" s="256" t="s">
        <v>201</v>
      </c>
      <c r="B1443" s="256" t="s">
        <v>209</v>
      </c>
      <c r="C1443" s="256" t="s">
        <v>2151</v>
      </c>
      <c r="D1443" s="330" t="inlineStr">
        <is>
          <t xml:space="preserve">DW</t>
        </is>
      </c>
      <c r="E1443" s="330" t="inlineStr">
        <is>
          <t>Y</t>
        </is>
      </c>
      <c r="F1443" s="330" t="inlineStr">
        <is>
          <t xml:space="preserve">진단 대상 35개 국가·리테일러에 해당하지 않음</t>
        </is>
      </c>
    </row>
    <row r="1444" spans="1:15">
      <c r="A1444" s="256" t="s">
        <v>201</v>
      </c>
      <c r="B1444" s="256" t="s">
        <v>209</v>
      </c>
      <c r="C1444" s="256" t="s">
        <v>2152</v>
      </c>
      <c r="D1444" s="330" t="inlineStr">
        <is>
          <t xml:space="preserve">DW</t>
        </is>
      </c>
      <c r="E1444" s="330" t="inlineStr">
        <is>
          <t>Y</t>
        </is>
      </c>
      <c r="F1444" s="330" t="inlineStr">
        <is>
          <t xml:space="preserve">진단 대상 35개 국가·리테일러에 해당하지 않음</t>
        </is>
      </c>
    </row>
    <row r="1445" spans="1:15">
      <c r="A1445" s="256" t="s">
        <v>201</v>
      </c>
      <c r="B1445" s="256" t="s">
        <v>209</v>
      </c>
      <c r="C1445" s="256" t="s">
        <v>2153</v>
      </c>
      <c r="D1445" s="330" t="inlineStr">
        <is>
          <t xml:space="preserve">DRYER</t>
        </is>
      </c>
      <c r="E1445" s="330" t="inlineStr">
        <is>
          <t>Y</t>
        </is>
      </c>
      <c r="F1445" s="330" t="inlineStr">
        <is>
          <t xml:space="preserve">진단 대상 35개 국가·리테일러에 해당하지 않음</t>
        </is>
      </c>
    </row>
    <row r="1446" spans="1:15">
      <c r="A1446" s="256" t="s">
        <v>201</v>
      </c>
      <c r="B1446" s="256" t="s">
        <v>209</v>
      </c>
      <c r="C1446" s="256" t="s">
        <v>2154</v>
      </c>
      <c r="D1446" s="330" t="inlineStr">
        <is>
          <t xml:space="preserve">DRYER</t>
        </is>
      </c>
      <c r="E1446" s="330" t="inlineStr">
        <is>
          <t>Y</t>
        </is>
      </c>
      <c r="F1446" s="330" t="inlineStr">
        <is>
          <t xml:space="preserve">진단 대상 35개 국가·리테일러에 해당하지 않음</t>
        </is>
      </c>
    </row>
    <row r="1447" spans="1:15">
      <c r="A1447" s="256" t="s">
        <v>201</v>
      </c>
      <c r="B1447" s="256" t="s">
        <v>209</v>
      </c>
      <c r="C1447" s="256" t="s">
        <v>2155</v>
      </c>
      <c r="D1447" s="330" t="inlineStr">
        <is>
          <t xml:space="preserve">DRYER</t>
        </is>
      </c>
      <c r="E1447" s="330" t="inlineStr">
        <is>
          <t>Y</t>
        </is>
      </c>
      <c r="F1447" s="330" t="inlineStr">
        <is>
          <t xml:space="preserve">진단 대상 35개 국가·리테일러에 해당하지 않음</t>
        </is>
      </c>
    </row>
    <row r="1448" spans="1:15">
      <c r="A1448" s="256" t="s">
        <v>201</v>
      </c>
      <c r="B1448" s="256" t="s">
        <v>209</v>
      </c>
      <c r="C1448" s="256" t="s">
        <v>2156</v>
      </c>
      <c r="D1448" s="330" t="inlineStr">
        <is>
          <t xml:space="preserve">WM</t>
        </is>
      </c>
      <c r="E1448" s="330" t="inlineStr">
        <is>
          <t>Y</t>
        </is>
      </c>
      <c r="F1448" s="330" t="inlineStr">
        <is>
          <t xml:space="preserve">진단 대상 35개 국가·리테일러에 해당하지 않음</t>
        </is>
      </c>
    </row>
    <row r="1449" spans="1:15">
      <c r="A1449" s="256" t="s">
        <v>201</v>
      </c>
      <c r="B1449" s="256" t="s">
        <v>209</v>
      </c>
      <c r="C1449" s="256" t="s">
        <v>2157</v>
      </c>
      <c r="D1449" s="330" t="inlineStr">
        <is>
          <t xml:space="preserve">DRYER</t>
        </is>
      </c>
      <c r="E1449" s="330" t="inlineStr">
        <is>
          <t>Y</t>
        </is>
      </c>
      <c r="F1449" s="330" t="inlineStr">
        <is>
          <t xml:space="preserve">진단 대상 35개 국가·리테일러에 해당하지 않음</t>
        </is>
      </c>
    </row>
    <row r="1450" spans="1:15">
      <c r="A1450" s="256" t="s">
        <v>201</v>
      </c>
      <c r="B1450" s="256" t="s">
        <v>209</v>
      </c>
      <c r="C1450" s="256" t="s">
        <v>2158</v>
      </c>
      <c r="D1450" s="330" t="inlineStr">
        <is>
          <t xml:space="preserve">DRYER</t>
        </is>
      </c>
      <c r="E1450" s="330" t="inlineStr">
        <is>
          <t>Y</t>
        </is>
      </c>
      <c r="F1450" s="330" t="inlineStr">
        <is>
          <t xml:space="preserve">진단 대상 35개 국가·리테일러에 해당하지 않음</t>
        </is>
      </c>
    </row>
    <row r="1451" spans="1:15">
      <c r="A1451" s="256" t="s">
        <v>201</v>
      </c>
      <c r="B1451" s="256" t="s">
        <v>209</v>
      </c>
      <c r="C1451" s="256" t="s">
        <v>2159</v>
      </c>
      <c r="D1451" s="330" t="inlineStr">
        <is>
          <t xml:space="preserve">DRYER</t>
        </is>
      </c>
      <c r="E1451" s="330" t="inlineStr">
        <is>
          <t>Y</t>
        </is>
      </c>
      <c r="F1451" s="330" t="inlineStr">
        <is>
          <t xml:space="preserve">진단 대상 35개 국가·리테일러에 해당하지 않음</t>
        </is>
      </c>
    </row>
    <row r="1452" spans="1:15">
      <c r="A1452" s="256" t="s">
        <v>201</v>
      </c>
      <c r="B1452" s="256" t="s">
        <v>209</v>
      </c>
      <c r="C1452" s="256" t="s">
        <v>2160</v>
      </c>
      <c r="D1452" s="330" t="inlineStr">
        <is>
          <t xml:space="preserve">MNT</t>
        </is>
      </c>
      <c r="E1452" s="330" t="inlineStr">
        <is>
          <t>Y</t>
        </is>
      </c>
      <c r="F1452" s="330" t="inlineStr">
        <is>
          <t xml:space="preserve">진단 대상 35개 국가·리테일러에 해당하지 않음</t>
        </is>
      </c>
    </row>
    <row r="1453" spans="1:15">
      <c r="A1453" s="256" t="s">
        <v>201</v>
      </c>
      <c r="B1453" s="256" t="s">
        <v>209</v>
      </c>
      <c r="C1453" s="256" t="s">
        <v>2161</v>
      </c>
      <c r="D1453" s="330" t="inlineStr">
        <is>
          <t xml:space="preserve">LAPTOP</t>
        </is>
      </c>
      <c r="E1453" s="330" t="inlineStr">
        <is>
          <t>Y</t>
        </is>
      </c>
      <c r="F1453" s="330" t="inlineStr">
        <is>
          <t xml:space="preserve">진단 대상 35개 국가·리테일러에 해당하지 않음</t>
        </is>
      </c>
    </row>
    <row r="1454" spans="1:15">
      <c r="A1454" s="256" t="s">
        <v>201</v>
      </c>
      <c r="B1454" s="256" t="s">
        <v>209</v>
      </c>
      <c r="C1454" s="256" t="s">
        <v>2162</v>
      </c>
      <c r="D1454" s="330" t="inlineStr">
        <is>
          <t xml:space="preserve">LAPTOP</t>
        </is>
      </c>
      <c r="E1454" s="330" t="inlineStr">
        <is>
          <t>Y</t>
        </is>
      </c>
      <c r="F1454" s="330" t="inlineStr">
        <is>
          <t xml:space="preserve">진단 대상 35개 국가·리테일러에 해당하지 않음</t>
        </is>
      </c>
    </row>
    <row r="1455" spans="1:15">
      <c r="A1455" s="256" t="s">
        <v>201</v>
      </c>
      <c r="B1455" s="256" t="s">
        <v>209</v>
      </c>
      <c r="C1455" s="256" t="s">
        <v>2163</v>
      </c>
      <c r="D1455" s="330" t="inlineStr">
        <is>
          <t xml:space="preserve">LAPTOP</t>
        </is>
      </c>
      <c r="E1455" s="330" t="inlineStr">
        <is>
          <t>Y</t>
        </is>
      </c>
      <c r="F1455" s="330" t="inlineStr">
        <is>
          <t xml:space="preserve">진단 대상 35개 국가·리테일러에 해당하지 않음</t>
        </is>
      </c>
    </row>
    <row r="1456" spans="1:15">
      <c r="A1456" s="256" t="s">
        <v>201</v>
      </c>
      <c r="B1456" s="256" t="s">
        <v>209</v>
      </c>
      <c r="C1456" s="256" t="s">
        <v>2164</v>
      </c>
      <c r="D1456" s="330" t="inlineStr">
        <is>
          <t xml:space="preserve">LAPTOP</t>
        </is>
      </c>
      <c r="E1456" s="330" t="inlineStr">
        <is>
          <t>Y</t>
        </is>
      </c>
      <c r="F1456" s="330" t="inlineStr">
        <is>
          <t xml:space="preserve">진단 대상 35개 국가·리테일러에 해당하지 않음</t>
        </is>
      </c>
    </row>
    <row r="1457" spans="1:15">
      <c r="A1457" s="256" t="s">
        <v>201</v>
      </c>
      <c r="B1457" s="256" t="s">
        <v>209</v>
      </c>
      <c r="C1457" s="256" t="s">
        <v>2165</v>
      </c>
      <c r="D1457" s="330" t="inlineStr">
        <is>
          <t xml:space="preserve">LAPTOP</t>
        </is>
      </c>
      <c r="E1457" s="330" t="inlineStr">
        <is>
          <t>Y</t>
        </is>
      </c>
      <c r="F1457" s="330" t="inlineStr">
        <is>
          <t xml:space="preserve">진단 대상 35개 국가·리테일러에 해당하지 않음</t>
        </is>
      </c>
    </row>
    <row r="1458" spans="1:15">
      <c r="A1458" s="256" t="s">
        <v>201</v>
      </c>
      <c r="B1458" s="256" t="s">
        <v>209</v>
      </c>
      <c r="C1458" s="256" t="s">
        <v>2166</v>
      </c>
      <c r="D1458" s="330" t="inlineStr">
        <is>
          <t xml:space="preserve">LAPTOP</t>
        </is>
      </c>
      <c r="E1458" s="330" t="inlineStr">
        <is>
          <t>Y</t>
        </is>
      </c>
      <c r="F1458" s="330" t="inlineStr">
        <is>
          <t xml:space="preserve">진단 대상 35개 국가·리테일러에 해당하지 않음</t>
        </is>
      </c>
    </row>
    <row r="1459" spans="1:15">
      <c r="A1459" s="256" t="s">
        <v>201</v>
      </c>
      <c r="B1459" s="256" t="s">
        <v>209</v>
      </c>
      <c r="C1459" s="256" t="s">
        <v>2167</v>
      </c>
      <c r="D1459" s="330" t="inlineStr">
        <is>
          <t xml:space="preserve">LAPTOP</t>
        </is>
      </c>
      <c r="E1459" s="330" t="inlineStr">
        <is>
          <t>Y</t>
        </is>
      </c>
      <c r="F1459" s="330" t="inlineStr">
        <is>
          <t xml:space="preserve">진단 대상 35개 국가·리테일러에 해당하지 않음</t>
        </is>
      </c>
    </row>
    <row r="1460" spans="1:15">
      <c r="A1460" s="256" t="s">
        <v>201</v>
      </c>
      <c r="B1460" s="256" t="s">
        <v>209</v>
      </c>
      <c r="C1460" s="256" t="s">
        <v>2168</v>
      </c>
      <c r="D1460" s="330" t="inlineStr">
        <is>
          <t xml:space="preserve">COMPUTER</t>
        </is>
      </c>
      <c r="E1460" s="330" t="inlineStr">
        <is>
          <t>Y</t>
        </is>
      </c>
      <c r="F1460" s="330" t="inlineStr">
        <is>
          <t xml:space="preserve">진단 대상 35개 국가·리테일러에 해당하지 않음</t>
        </is>
      </c>
    </row>
    <row r="1461" spans="1:15">
      <c r="A1461" s="256" t="s">
        <v>201</v>
      </c>
      <c r="B1461" s="256" t="s">
        <v>209</v>
      </c>
      <c r="C1461" s="256" t="s">
        <v>2169</v>
      </c>
      <c r="D1461" s="330" t="inlineStr">
        <is>
          <t xml:space="preserve">RAC</t>
        </is>
      </c>
      <c r="E1461" s="330" t="inlineStr">
        <is>
          <t>Y</t>
        </is>
      </c>
      <c r="F1461" s="330" t="inlineStr">
        <is>
          <t xml:space="preserve">진단 대상 35개 국가·리테일러에 해당하지 않음</t>
        </is>
      </c>
    </row>
    <row r="1462" spans="1:15">
      <c r="A1462" s="256" t="s">
        <v>271</v>
      </c>
      <c r="B1462" s="256" t="s">
        <v>275</v>
      </c>
      <c r="C1462" s="256" t="s">
        <v>2170</v>
      </c>
      <c r="D1462" s="330" t="inlineStr">
        <is>
          <t xml:space="preserve">MNT</t>
        </is>
      </c>
      <c r="E1462" s="330" t="inlineStr">
        <is>
          <t>Y</t>
        </is>
      </c>
      <c r="F1462" s="330" t="inlineStr">
        <is>
          <t xml:space="preserve">대상 제품군이 아님: 모니터</t>
        </is>
      </c>
      <c r="G1462" s="256" t="s">
        <v>127</v>
      </c>
    </row>
    <row r="1463" spans="1:15">
      <c r="A1463" s="256" t="s">
        <v>271</v>
      </c>
      <c r="B1463" s="256" t="s">
        <v>275</v>
      </c>
      <c r="C1463" s="256" t="s">
        <v>2171</v>
      </c>
      <c r="D1463" s="330" t="inlineStr">
        <is>
          <t xml:space="preserve">DW</t>
        </is>
      </c>
      <c r="E1463" s="330" t="inlineStr">
        <is>
          <t>Y</t>
        </is>
      </c>
      <c r="F1463" s="330" t="inlineStr">
        <is>
          <t xml:space="preserve">식기세척기는 스페인 ECI·MediaMarkt만 대상</t>
        </is>
      </c>
      <c r="G1463" s="256" t="s">
        <v>127</v>
      </c>
    </row>
    <row r="1464" spans="1:15">
      <c r="A1464" s="256" t="s">
        <v>271</v>
      </c>
      <c r="B1464" s="256" t="s">
        <v>275</v>
      </c>
      <c r="C1464" s="256" t="s">
        <v>2172</v>
      </c>
      <c r="D1464" s="330" t="inlineStr">
        <is>
          <t xml:space="preserve">DW</t>
        </is>
      </c>
      <c r="E1464" s="330" t="inlineStr">
        <is>
          <t>Y</t>
        </is>
      </c>
      <c r="F1464" s="330" t="inlineStr">
        <is>
          <t xml:space="preserve">식기세척기는 스페인 ECI·MediaMarkt만 대상</t>
        </is>
      </c>
      <c r="G1464" s="256" t="s">
        <v>127</v>
      </c>
    </row>
    <row r="1465" spans="1:15">
      <c r="A1465" s="256" t="s">
        <v>271</v>
      </c>
      <c r="B1465" s="256" t="s">
        <v>275</v>
      </c>
      <c r="C1465" s="256" t="s">
        <v>2173</v>
      </c>
      <c r="D1465" s="330" t="inlineStr">
        <is>
          <t xml:space="preserve">DW</t>
        </is>
      </c>
      <c r="E1465" s="330" t="inlineStr">
        <is>
          <t>Y</t>
        </is>
      </c>
      <c r="F1465" s="330" t="inlineStr">
        <is>
          <t xml:space="preserve">식기세척기는 스페인 ECI·MediaMarkt만 대상</t>
        </is>
      </c>
      <c r="G1465" s="256" t="s">
        <v>127</v>
      </c>
    </row>
    <row r="1466" spans="1:15">
      <c r="A1466" s="256" t="s">
        <v>271</v>
      </c>
      <c r="B1466" s="256" t="s">
        <v>275</v>
      </c>
      <c r="C1466" s="256" t="s">
        <v>2174</v>
      </c>
      <c r="D1466" s="330" t="inlineStr">
        <is>
          <t xml:space="preserve">OVEN</t>
        </is>
      </c>
      <c r="E1466" s="330" t="inlineStr">
        <is>
          <t>Y</t>
        </is>
      </c>
      <c r="F1466" s="330" t="inlineStr">
        <is>
          <t xml:space="preserve">대상 제품군이 아님: 오븐·조리기기</t>
        </is>
      </c>
      <c r="G1466" s="256" t="s">
        <v>127</v>
      </c>
    </row>
    <row r="1467" spans="1:15">
      <c r="A1467" s="256" t="s">
        <v>271</v>
      </c>
      <c r="B1467" s="256" t="s">
        <v>275</v>
      </c>
      <c r="C1467" s="256" t="s">
        <v>2175</v>
      </c>
      <c r="D1467" s="330" t="inlineStr">
        <is>
          <t xml:space="preserve">REF</t>
        </is>
      </c>
      <c r="E1467" s="335" t="inlineStr">
        <is>
          <t>N</t>
        </is>
      </c>
      <c r="F1467" s="330" t="inlineStr">
        <is>
          <t xml:space="preserve">수집 대상</t>
        </is>
      </c>
      <c r="G1467" s="256" t="s">
        <v>127</v>
      </c>
      <c r="H1467" s="256" t="s">
        <v>127</v>
      </c>
    </row>
    <row r="1468" spans="1:15">
      <c r="A1468" s="256" t="s">
        <v>271</v>
      </c>
      <c r="B1468" s="256" t="s">
        <v>275</v>
      </c>
      <c r="C1468" s="256" t="s">
        <v>2176</v>
      </c>
      <c r="D1468" s="330" t="inlineStr">
        <is>
          <t xml:space="preserve">WM</t>
        </is>
      </c>
      <c r="E1468" s="335" t="inlineStr">
        <is>
          <t>N</t>
        </is>
      </c>
      <c r="F1468" s="330" t="inlineStr">
        <is>
          <t xml:space="preserve">수집 대상</t>
        </is>
      </c>
      <c r="G1468" s="256" t="s">
        <v>127</v>
      </c>
      <c r="H1468" s="256" t="s">
        <v>127</v>
      </c>
    </row>
    <row r="1469" spans="1:15">
      <c r="A1469" s="256" t="s">
        <v>271</v>
      </c>
      <c r="B1469" s="256" t="s">
        <v>275</v>
      </c>
      <c r="C1469" s="256" t="s">
        <v>2177</v>
      </c>
      <c r="D1469" s="330" t="inlineStr">
        <is>
          <t xml:space="preserve">WM</t>
        </is>
      </c>
      <c r="E1469" s="335" t="inlineStr">
        <is>
          <t>N</t>
        </is>
      </c>
      <c r="F1469" s="330" t="inlineStr">
        <is>
          <t xml:space="preserve">수집 대상</t>
        </is>
      </c>
      <c r="G1469" s="256" t="s">
        <v>127</v>
      </c>
    </row>
    <row r="1470" spans="1:15">
      <c r="A1470" s="256" t="s">
        <v>271</v>
      </c>
      <c r="B1470" s="256" t="s">
        <v>275</v>
      </c>
      <c r="C1470" s="256" t="s">
        <v>2178</v>
      </c>
      <c r="D1470" s="330" t="inlineStr">
        <is>
          <t xml:space="preserve">WM</t>
        </is>
      </c>
      <c r="E1470" s="335" t="inlineStr">
        <is>
          <t>N</t>
        </is>
      </c>
      <c r="F1470" s="330" t="inlineStr">
        <is>
          <t xml:space="preserve">수집 대상</t>
        </is>
      </c>
      <c r="G1470" s="256" t="s">
        <v>127</v>
      </c>
    </row>
    <row r="1471" spans="1:15">
      <c r="A1471" s="256" t="s">
        <v>271</v>
      </c>
      <c r="B1471" s="256" t="s">
        <v>275</v>
      </c>
      <c r="C1471" s="256" t="s">
        <v>2179</v>
      </c>
      <c r="D1471" s="330" t="inlineStr">
        <is>
          <t xml:space="preserve">TV</t>
        </is>
      </c>
      <c r="E1471" s="330" t="inlineStr">
        <is>
          <t>Y</t>
        </is>
      </c>
      <c r="F1471" s="330" t="inlineStr">
        <is>
          <t xml:space="preserve">대상 제품군이 아님: TV</t>
        </is>
      </c>
      <c r="G1471" s="256" t="s">
        <v>127</v>
      </c>
    </row>
    <row r="1472" spans="1:15">
      <c r="A1472" s="256" t="s">
        <v>271</v>
      </c>
      <c r="B1472" s="256" t="s">
        <v>275</v>
      </c>
      <c r="C1472" s="256" t="s">
        <v>2180</v>
      </c>
      <c r="D1472" s="330" t="inlineStr">
        <is>
          <t xml:space="preserve">TV</t>
        </is>
      </c>
      <c r="E1472" s="330" t="inlineStr">
        <is>
          <t>Y</t>
        </is>
      </c>
      <c r="F1472" s="330" t="inlineStr">
        <is>
          <t xml:space="preserve">대상 제품군이 아님: TV</t>
        </is>
      </c>
      <c r="G1472" s="256" t="s">
        <v>127</v>
      </c>
    </row>
    <row r="1473" spans="1:15">
      <c r="A1473" s="256" t="s">
        <v>271</v>
      </c>
      <c r="B1473" s="256" t="s">
        <v>275</v>
      </c>
      <c r="C1473" s="256" t="s">
        <v>2181</v>
      </c>
      <c r="D1473" s="330" t="inlineStr">
        <is>
          <t xml:space="preserve">TV</t>
        </is>
      </c>
      <c r="E1473" s="330" t="inlineStr">
        <is>
          <t>Y</t>
        </is>
      </c>
      <c r="F1473" s="330" t="inlineStr">
        <is>
          <t xml:space="preserve">대상 제품군이 아님: TV</t>
        </is>
      </c>
      <c r="G1473" s="256" t="s">
        <v>127</v>
      </c>
    </row>
    <row r="1474" spans="1:15">
      <c r="A1474" s="256" t="s">
        <v>271</v>
      </c>
      <c r="B1474" s="256" t="s">
        <v>275</v>
      </c>
      <c r="C1474" s="256" t="s">
        <v>2182</v>
      </c>
      <c r="D1474" s="330" t="inlineStr">
        <is>
          <t xml:space="preserve">TV</t>
        </is>
      </c>
      <c r="E1474" s="330" t="inlineStr">
        <is>
          <t>Y</t>
        </is>
      </c>
      <c r="F1474" s="330" t="inlineStr">
        <is>
          <t xml:space="preserve">대상 제품군이 아님: TV</t>
        </is>
      </c>
      <c r="G1474" s="256" t="s">
        <v>127</v>
      </c>
    </row>
    <row r="1475" spans="1:15">
      <c r="A1475" s="256" t="s">
        <v>271</v>
      </c>
      <c r="B1475" s="256" t="s">
        <v>275</v>
      </c>
      <c r="C1475" s="256" t="s">
        <v>2183</v>
      </c>
      <c r="D1475" s="330" t="inlineStr">
        <is>
          <t xml:space="preserve">TV</t>
        </is>
      </c>
      <c r="E1475" s="330" t="inlineStr">
        <is>
          <t>Y</t>
        </is>
      </c>
      <c r="F1475" s="330" t="inlineStr">
        <is>
          <t xml:space="preserve">대상 제품군이 아님: TV</t>
        </is>
      </c>
      <c r="G1475" s="256" t="s">
        <v>127</v>
      </c>
    </row>
    <row r="1476" spans="1:15">
      <c r="A1476" s="256" t="s">
        <v>271</v>
      </c>
      <c r="B1476" s="256" t="s">
        <v>275</v>
      </c>
      <c r="C1476" s="256" t="s">
        <v>2184</v>
      </c>
      <c r="D1476" s="330" t="inlineStr">
        <is>
          <t xml:space="preserve">TV</t>
        </is>
      </c>
      <c r="E1476" s="330" t="inlineStr">
        <is>
          <t>Y</t>
        </is>
      </c>
      <c r="F1476" s="330" t="inlineStr">
        <is>
          <t xml:space="preserve">대상 제품군이 아님: TV</t>
        </is>
      </c>
      <c r="G1476" s="256" t="s">
        <v>127</v>
      </c>
    </row>
    <row r="1477" spans="1:15">
      <c r="A1477" s="256" t="s">
        <v>271</v>
      </c>
      <c r="B1477" s="256" t="s">
        <v>275</v>
      </c>
      <c r="C1477" s="256" t="s">
        <v>2185</v>
      </c>
      <c r="D1477" s="330" t="inlineStr">
        <is>
          <t xml:space="preserve">TV</t>
        </is>
      </c>
      <c r="E1477" s="330" t="inlineStr">
        <is>
          <t>Y</t>
        </is>
      </c>
      <c r="F1477" s="330" t="inlineStr">
        <is>
          <t xml:space="preserve">대상 제품군이 아님: TV</t>
        </is>
      </c>
      <c r="G1477" s="256" t="s">
        <v>127</v>
      </c>
    </row>
    <row r="1478" spans="1:15">
      <c r="A1478" s="256" t="s">
        <v>271</v>
      </c>
      <c r="B1478" s="256" t="s">
        <v>275</v>
      </c>
      <c r="C1478" s="256" t="s">
        <v>2186</v>
      </c>
      <c r="D1478" s="330" t="inlineStr">
        <is>
          <t xml:space="preserve">MNT</t>
        </is>
      </c>
      <c r="E1478" s="330" t="inlineStr">
        <is>
          <t>Y</t>
        </is>
      </c>
      <c r="F1478" s="330" t="inlineStr">
        <is>
          <t xml:space="preserve">대상 제품군이 아님: 모니터</t>
        </is>
      </c>
      <c r="G1478" s="256" t="s">
        <v>127</v>
      </c>
    </row>
    <row r="1479" spans="1:15">
      <c r="A1479" s="256" t="s">
        <v>271</v>
      </c>
      <c r="B1479" s="256" t="s">
        <v>275</v>
      </c>
      <c r="C1479" s="256" t="s">
        <v>2187</v>
      </c>
      <c r="D1479" s="330" t="inlineStr">
        <is>
          <t xml:space="preserve">BT_SPEAKER</t>
        </is>
      </c>
      <c r="E1479" s="330" t="inlineStr">
        <is>
          <t>Y</t>
        </is>
      </c>
      <c r="F1479" s="330" t="inlineStr">
        <is>
          <t xml:space="preserve">대상 제품군이 아님: 블루투스 스피커</t>
        </is>
      </c>
      <c r="G1479" s="256" t="s">
        <v>127</v>
      </c>
    </row>
    <row r="1480" spans="1:15">
      <c r="A1480" s="256" t="s">
        <v>271</v>
      </c>
      <c r="B1480" s="256" t="s">
        <v>275</v>
      </c>
      <c r="C1480" s="256" t="s">
        <v>2188</v>
      </c>
      <c r="D1480" s="330" t="inlineStr">
        <is>
          <t xml:space="preserve">SOUNDBAR</t>
        </is>
      </c>
      <c r="E1480" s="330" t="inlineStr">
        <is>
          <t>Y</t>
        </is>
      </c>
      <c r="F1480" s="330" t="inlineStr">
        <is>
          <t xml:space="preserve">대상 제품군이 아님: 사운드바</t>
        </is>
      </c>
      <c r="G1480" s="256" t="s">
        <v>127</v>
      </c>
    </row>
    <row r="1481" spans="1:15">
      <c r="A1481" s="256" t="s">
        <v>271</v>
      </c>
      <c r="B1481" s="256" t="s">
        <v>275</v>
      </c>
      <c r="C1481" s="256" t="s">
        <v>2189</v>
      </c>
      <c r="D1481" s="330" t="inlineStr">
        <is>
          <t xml:space="preserve">HEADSET</t>
        </is>
      </c>
      <c r="E1481" s="330" t="inlineStr">
        <is>
          <t>Y</t>
        </is>
      </c>
      <c r="F1481" s="330" t="inlineStr">
        <is>
          <t xml:space="preserve">대상 제품군이 아님: 이어폰·헤드셋</t>
        </is>
      </c>
      <c r="G1481" s="256" t="s">
        <v>127</v>
      </c>
    </row>
    <row r="1482" spans="1:15">
      <c r="A1482" s="256" t="s">
        <v>271</v>
      </c>
      <c r="B1482" s="256" t="s">
        <v>275</v>
      </c>
      <c r="C1482" s="256" t="s">
        <v>2190</v>
      </c>
      <c r="D1482" s="330" t="inlineStr">
        <is>
          <t xml:space="preserve">HEADSET</t>
        </is>
      </c>
      <c r="E1482" s="330" t="inlineStr">
        <is>
          <t>Y</t>
        </is>
      </c>
      <c r="F1482" s="330" t="inlineStr">
        <is>
          <t xml:space="preserve">대상 제품군이 아님: 이어폰·헤드셋</t>
        </is>
      </c>
      <c r="G1482" s="256" t="s">
        <v>127</v>
      </c>
    </row>
    <row r="1483" spans="1:15">
      <c r="A1483" s="256" t="s">
        <v>271</v>
      </c>
      <c r="B1483" s="256" t="s">
        <v>275</v>
      </c>
      <c r="C1483" s="256" t="s">
        <v>2191</v>
      </c>
      <c r="D1483" s="330" t="inlineStr">
        <is>
          <t xml:space="preserve">HEADSET</t>
        </is>
      </c>
      <c r="E1483" s="330" t="inlineStr">
        <is>
          <t>Y</t>
        </is>
      </c>
      <c r="F1483" s="330" t="inlineStr">
        <is>
          <t xml:space="preserve">대상 제품군이 아님: 이어폰·헤드셋</t>
        </is>
      </c>
      <c r="G1483" s="256" t="s">
        <v>127</v>
      </c>
    </row>
    <row r="1484" spans="1:15">
      <c r="A1484" s="256" t="s">
        <v>271</v>
      </c>
      <c r="B1484" s="256" t="s">
        <v>275</v>
      </c>
      <c r="C1484" s="256" t="s">
        <v>2192</v>
      </c>
      <c r="D1484" s="330" t="inlineStr">
        <is>
          <t xml:space="preserve">HEADSET</t>
        </is>
      </c>
      <c r="E1484" s="330" t="inlineStr">
        <is>
          <t>Y</t>
        </is>
      </c>
      <c r="F1484" s="330" t="inlineStr">
        <is>
          <t xml:space="preserve">대상 제품군이 아님: 이어폰·헤드셋</t>
        </is>
      </c>
      <c r="G1484" s="256" t="s">
        <v>127</v>
      </c>
    </row>
    <row r="1485" spans="1:15">
      <c r="A1485" s="256" t="s">
        <v>271</v>
      </c>
      <c r="B1485" s="256" t="s">
        <v>275</v>
      </c>
      <c r="C1485" s="256" t="s">
        <v>2193</v>
      </c>
      <c r="D1485" s="330" t="inlineStr">
        <is>
          <t xml:space="preserve">DRYER</t>
        </is>
      </c>
      <c r="E1485" s="335" t="inlineStr">
        <is>
          <t>N</t>
        </is>
      </c>
      <c r="F1485" s="330" t="inlineStr">
        <is>
          <t xml:space="preserve">수집 대상</t>
        </is>
      </c>
      <c r="G1485" s="256" t="s">
        <v>127</v>
      </c>
    </row>
    <row r="1486" spans="1:15">
      <c r="A1486" s="256" t="s">
        <v>271</v>
      </c>
      <c r="B1486" s="256" t="s">
        <v>275</v>
      </c>
      <c r="C1486" s="256" t="s">
        <v>2194</v>
      </c>
      <c r="D1486" s="330" t="inlineStr">
        <is>
          <t xml:space="preserve">RAC</t>
        </is>
      </c>
      <c r="E1486" s="330" t="inlineStr">
        <is>
          <t>Y</t>
        </is>
      </c>
      <c r="F1486" s="330" t="inlineStr">
        <is>
          <t xml:space="preserve">대상 제품군이 아님: 에어컨</t>
        </is>
      </c>
      <c r="G1486" s="256" t="s">
        <v>127</v>
      </c>
    </row>
    <row r="1487" spans="1:15">
      <c r="A1487" s="256" t="s">
        <v>271</v>
      </c>
      <c r="B1487" s="256" t="s">
        <v>275</v>
      </c>
      <c r="C1487" s="256" t="s">
        <v>2195</v>
      </c>
      <c r="D1487" s="330" t="inlineStr">
        <is>
          <t xml:space="preserve">RAC</t>
        </is>
      </c>
      <c r="E1487" s="330" t="inlineStr">
        <is>
          <t>Y</t>
        </is>
      </c>
      <c r="F1487" s="330" t="inlineStr">
        <is>
          <t xml:space="preserve">대상 제품군이 아님: 에어컨</t>
        </is>
      </c>
      <c r="G1487" s="256" t="s">
        <v>127</v>
      </c>
    </row>
    <row r="1488" spans="1:15">
      <c r="A1488" s="256" t="s">
        <v>271</v>
      </c>
      <c r="B1488" s="256" t="s">
        <v>275</v>
      </c>
      <c r="C1488" s="256" t="s">
        <v>2196</v>
      </c>
      <c r="D1488" s="330" t="inlineStr">
        <is>
          <t xml:space="preserve">RAC</t>
        </is>
      </c>
      <c r="E1488" s="330" t="inlineStr">
        <is>
          <t>Y</t>
        </is>
      </c>
      <c r="F1488" s="330" t="inlineStr">
        <is>
          <t xml:space="preserve">대상 제품군이 아님: 에어컨</t>
        </is>
      </c>
      <c r="G1488" s="256" t="s">
        <v>127</v>
      </c>
    </row>
    <row r="1489" spans="1:15">
      <c r="A1489" s="256" t="s">
        <v>271</v>
      </c>
      <c r="B1489" s="256" t="s">
        <v>275</v>
      </c>
      <c r="C1489" s="256" t="s">
        <v>2197</v>
      </c>
      <c r="D1489" s="330" t="inlineStr">
        <is>
          <t xml:space="preserve">RAC</t>
        </is>
      </c>
      <c r="E1489" s="330" t="inlineStr">
        <is>
          <t>Y</t>
        </is>
      </c>
      <c r="F1489" s="330" t="inlineStr">
        <is>
          <t xml:space="preserve">대상 제품군이 아님: 에어컨</t>
        </is>
      </c>
      <c r="G1489" s="256" t="s">
        <v>127</v>
      </c>
    </row>
    <row r="1490" spans="1:15">
      <c r="A1490" s="256" t="s">
        <v>271</v>
      </c>
      <c r="B1490" s="256" t="s">
        <v>275</v>
      </c>
      <c r="C1490" s="256" t="s">
        <v>2198</v>
      </c>
      <c r="D1490" s="330" t="inlineStr">
        <is>
          <t xml:space="preserve">RAC</t>
        </is>
      </c>
      <c r="E1490" s="330" t="inlineStr">
        <is>
          <t>Y</t>
        </is>
      </c>
      <c r="F1490" s="330" t="inlineStr">
        <is>
          <t xml:space="preserve">대상 제품군이 아님: 에어컨</t>
        </is>
      </c>
      <c r="G1490" s="256" t="s">
        <v>127</v>
      </c>
    </row>
  </sheetData>
  <autoFilter ref="A1:H1490" xr:uid="{1BE91042-EBAF-47A5-AAE5-28DF2292BDBE}"/>
  <phoneticPr fontId="2" type="noConversion"/>
  <hyperlinks>
    <hyperlink ref="C159" r:id="rId2" xr:uid="{35C75055-0CFF-440C-B20A-0BAD7D504232}"/>
    <hyperlink ref="C158" r:id="rId3" xr:uid="{3A1C7C7D-84A3-4330-AB0D-3E0163F503A8}"/>
    <hyperlink ref="C401" r:id="rId4" xr:uid="{FB728048-4D51-4169-9B4F-4CB6D2BD0C3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EE4D-3829-4961-881F-036E0EDD9D32}">
  <dimension ref="A1:F827"/>
  <sheetViews>
    <sheetView showGridLines="0" workbookViewId="0">
      <selection activeCell="F829" sqref="F829"/>
    </sheetView>
  </sheetViews>
  <sheetFormatPr defaultColWidth="9" defaultRowHeight="17.7" customHeight="1"/>
  <cols>
    <col min="1" max="1" width="13" style="5" customWidth="1"/>
    <col min="2" max="2" width="10.19921875" style="1" customWidth="1"/>
    <col min="3" max="3" width="14" style="1" customWidth="1"/>
    <col min="4" max="4" width="18.3984375" style="1" customWidth="1"/>
    <col min="5" max="5" width="27.3984375" style="1" customWidth="1"/>
    <col min="6" max="6" width="156.59765625" style="1" customWidth="1"/>
    <col min="7" max="16384" width="9" style="1"/>
  </cols>
  <sheetData>
    <row r="1" spans="1:6" ht="17.7" customHeight="1" thickBot="1">
      <c r="A1" s="279" t="s">
        <v>156</v>
      </c>
      <c r="B1" s="37" t="s">
        <v>682</v>
      </c>
      <c r="C1" s="38" t="s">
        <v>683</v>
      </c>
      <c r="D1" s="38" t="s">
        <v>2199</v>
      </c>
      <c r="E1" s="38" t="s">
        <v>2200</v>
      </c>
      <c r="F1" s="39" t="s">
        <v>152</v>
      </c>
    </row>
    <row r="2" spans="1:6" ht="17.7" customHeight="1">
      <c r="A2" s="40">
        <v>45658</v>
      </c>
      <c r="B2" s="41" t="s">
        <v>359</v>
      </c>
      <c r="C2" s="42" t="s">
        <v>303</v>
      </c>
      <c r="D2" s="42" t="s">
        <v>110</v>
      </c>
      <c r="E2" s="42" t="s">
        <v>159</v>
      </c>
      <c r="F2" s="43" t="s">
        <v>703</v>
      </c>
    </row>
    <row r="3" spans="1:6" ht="17.7" customHeight="1">
      <c r="A3" s="40">
        <v>45744</v>
      </c>
      <c r="B3" s="41" t="s">
        <v>359</v>
      </c>
      <c r="C3" s="42" t="s">
        <v>303</v>
      </c>
      <c r="D3" s="42" t="s">
        <v>110</v>
      </c>
      <c r="E3" s="42" t="s">
        <v>160</v>
      </c>
      <c r="F3" s="43" t="s">
        <v>688</v>
      </c>
    </row>
    <row r="4" spans="1:6" ht="17.7" customHeight="1">
      <c r="A4" s="40">
        <v>45744</v>
      </c>
      <c r="B4" s="41" t="s">
        <v>359</v>
      </c>
      <c r="C4" s="42" t="s">
        <v>303</v>
      </c>
      <c r="D4" s="42" t="s">
        <v>110</v>
      </c>
      <c r="E4" s="42" t="s">
        <v>161</v>
      </c>
      <c r="F4" s="43" t="s">
        <v>701</v>
      </c>
    </row>
    <row r="5" spans="1:6" ht="17.7" customHeight="1">
      <c r="A5" s="40">
        <v>45744</v>
      </c>
      <c r="B5" s="41" t="s">
        <v>359</v>
      </c>
      <c r="C5" s="42" t="s">
        <v>303</v>
      </c>
      <c r="D5" s="42" t="s">
        <v>110</v>
      </c>
      <c r="E5" s="42" t="s">
        <v>162</v>
      </c>
      <c r="F5" s="43" t="s">
        <v>691</v>
      </c>
    </row>
    <row r="6" spans="1:6" ht="17.7" customHeight="1">
      <c r="A6" s="40">
        <v>45744</v>
      </c>
      <c r="B6" s="41" t="s">
        <v>359</v>
      </c>
      <c r="C6" s="42" t="s">
        <v>303</v>
      </c>
      <c r="D6" s="42" t="s">
        <v>110</v>
      </c>
      <c r="E6" s="42" t="s">
        <v>163</v>
      </c>
      <c r="F6" s="43" t="s">
        <v>706</v>
      </c>
    </row>
    <row r="7" spans="1:6" ht="17.7" customHeight="1">
      <c r="A7" s="40">
        <v>45744</v>
      </c>
      <c r="B7" s="41" t="s">
        <v>359</v>
      </c>
      <c r="C7" s="42" t="s">
        <v>303</v>
      </c>
      <c r="D7" s="42" t="s">
        <v>110</v>
      </c>
      <c r="E7" s="42" t="s">
        <v>164</v>
      </c>
      <c r="F7" s="43" t="s">
        <v>708</v>
      </c>
    </row>
    <row r="8" spans="1:6" ht="17.7" customHeight="1">
      <c r="A8" s="40">
        <v>45744</v>
      </c>
      <c r="B8" s="41" t="s">
        <v>359</v>
      </c>
      <c r="C8" s="42" t="s">
        <v>303</v>
      </c>
      <c r="D8" s="42" t="s">
        <v>110</v>
      </c>
      <c r="E8" s="42" t="s">
        <v>165</v>
      </c>
      <c r="F8" s="43" t="s">
        <v>699</v>
      </c>
    </row>
    <row r="9" spans="1:6" ht="17.7" customHeight="1">
      <c r="A9" s="40">
        <v>45744</v>
      </c>
      <c r="B9" s="41" t="s">
        <v>359</v>
      </c>
      <c r="C9" s="42" t="s">
        <v>303</v>
      </c>
      <c r="D9" s="42" t="s">
        <v>110</v>
      </c>
      <c r="E9" s="42" t="s">
        <v>2201</v>
      </c>
      <c r="F9" s="43" t="s">
        <v>709</v>
      </c>
    </row>
    <row r="10" spans="1:6" ht="17.7" customHeight="1">
      <c r="A10" s="40">
        <v>45744</v>
      </c>
      <c r="B10" s="41" t="s">
        <v>359</v>
      </c>
      <c r="C10" s="42" t="s">
        <v>303</v>
      </c>
      <c r="D10" s="42" t="s">
        <v>110</v>
      </c>
      <c r="E10" s="44" t="s">
        <v>2202</v>
      </c>
      <c r="F10" s="43" t="s">
        <v>697</v>
      </c>
    </row>
    <row r="11" spans="1:6" ht="17.7" customHeight="1">
      <c r="A11" s="40">
        <v>45744</v>
      </c>
      <c r="B11" s="41" t="s">
        <v>271</v>
      </c>
      <c r="C11" s="42" t="s">
        <v>262</v>
      </c>
      <c r="D11" s="42" t="s">
        <v>76</v>
      </c>
      <c r="E11" s="42" t="s">
        <v>159</v>
      </c>
      <c r="F11" s="43" t="s">
        <v>789</v>
      </c>
    </row>
    <row r="12" spans="1:6" ht="17.7" customHeight="1">
      <c r="A12" s="40">
        <v>45744</v>
      </c>
      <c r="B12" s="41" t="s">
        <v>271</v>
      </c>
      <c r="C12" s="42" t="s">
        <v>262</v>
      </c>
      <c r="D12" s="42" t="s">
        <v>76</v>
      </c>
      <c r="E12" s="42" t="s">
        <v>160</v>
      </c>
      <c r="F12" s="43" t="s">
        <v>792</v>
      </c>
    </row>
    <row r="13" spans="1:6" ht="17.7" customHeight="1">
      <c r="A13" s="40">
        <v>45744</v>
      </c>
      <c r="B13" s="41" t="s">
        <v>271</v>
      </c>
      <c r="C13" s="42" t="s">
        <v>262</v>
      </c>
      <c r="D13" s="42" t="s">
        <v>76</v>
      </c>
      <c r="E13" s="42" t="s">
        <v>161</v>
      </c>
      <c r="F13" s="43" t="s">
        <v>793</v>
      </c>
    </row>
    <row r="14" spans="1:6" ht="17.7" customHeight="1">
      <c r="A14" s="40">
        <v>45744</v>
      </c>
      <c r="B14" s="41" t="s">
        <v>271</v>
      </c>
      <c r="C14" s="42" t="s">
        <v>262</v>
      </c>
      <c r="D14" s="42" t="s">
        <v>76</v>
      </c>
      <c r="E14" s="42" t="s">
        <v>162</v>
      </c>
      <c r="F14" s="43" t="s">
        <v>790</v>
      </c>
    </row>
    <row r="15" spans="1:6" ht="17.7" customHeight="1">
      <c r="A15" s="40">
        <v>45744</v>
      </c>
      <c r="B15" s="41" t="s">
        <v>271</v>
      </c>
      <c r="C15" s="42" t="s">
        <v>262</v>
      </c>
      <c r="D15" s="42" t="s">
        <v>76</v>
      </c>
      <c r="E15" s="42" t="s">
        <v>171</v>
      </c>
      <c r="F15" s="43" t="s">
        <v>791</v>
      </c>
    </row>
    <row r="16" spans="1:6" ht="17.7" customHeight="1">
      <c r="A16" s="40">
        <v>45744</v>
      </c>
      <c r="B16" s="41" t="s">
        <v>271</v>
      </c>
      <c r="C16" s="42" t="s">
        <v>262</v>
      </c>
      <c r="D16" s="42" t="s">
        <v>76</v>
      </c>
      <c r="E16" s="42" t="s">
        <v>173</v>
      </c>
      <c r="F16" s="43" t="s">
        <v>794</v>
      </c>
    </row>
    <row r="17" spans="1:6" ht="17.7" customHeight="1">
      <c r="A17" s="40">
        <v>45744</v>
      </c>
      <c r="B17" s="41" t="s">
        <v>271</v>
      </c>
      <c r="C17" s="42" t="s">
        <v>262</v>
      </c>
      <c r="D17" s="42" t="s">
        <v>76</v>
      </c>
      <c r="E17" s="42" t="s">
        <v>173</v>
      </c>
      <c r="F17" s="43" t="s">
        <v>795</v>
      </c>
    </row>
    <row r="18" spans="1:6" ht="17.7" customHeight="1">
      <c r="A18" s="40">
        <v>45744</v>
      </c>
      <c r="B18" s="41" t="s">
        <v>271</v>
      </c>
      <c r="C18" s="42" t="s">
        <v>262</v>
      </c>
      <c r="D18" s="42" t="s">
        <v>76</v>
      </c>
      <c r="E18" s="42" t="s">
        <v>173</v>
      </c>
      <c r="F18" s="43" t="s">
        <v>796</v>
      </c>
    </row>
    <row r="19" spans="1:6" ht="17.7" customHeight="1">
      <c r="A19" s="40">
        <v>45744</v>
      </c>
      <c r="B19" s="41" t="s">
        <v>251</v>
      </c>
      <c r="C19" s="42" t="s">
        <v>256</v>
      </c>
      <c r="D19" s="42" t="s">
        <v>70</v>
      </c>
      <c r="E19" s="42" t="s">
        <v>159</v>
      </c>
      <c r="F19" s="43" t="s">
        <v>1194</v>
      </c>
    </row>
    <row r="20" spans="1:6" ht="17.7" customHeight="1">
      <c r="A20" s="40">
        <v>45744</v>
      </c>
      <c r="B20" s="41" t="s">
        <v>251</v>
      </c>
      <c r="C20" s="42" t="s">
        <v>256</v>
      </c>
      <c r="D20" s="42" t="s">
        <v>70</v>
      </c>
      <c r="E20" s="42" t="s">
        <v>159</v>
      </c>
      <c r="F20" s="43" t="s">
        <v>1195</v>
      </c>
    </row>
    <row r="21" spans="1:6" ht="17.7" customHeight="1">
      <c r="A21" s="40">
        <v>45744</v>
      </c>
      <c r="B21" s="41" t="s">
        <v>251</v>
      </c>
      <c r="C21" s="42" t="s">
        <v>256</v>
      </c>
      <c r="D21" s="42" t="s">
        <v>70</v>
      </c>
      <c r="E21" s="42" t="s">
        <v>159</v>
      </c>
      <c r="F21" s="43" t="s">
        <v>1196</v>
      </c>
    </row>
    <row r="22" spans="1:6" ht="17.7" customHeight="1">
      <c r="A22" s="40">
        <v>45744</v>
      </c>
      <c r="B22" s="41" t="s">
        <v>251</v>
      </c>
      <c r="C22" s="42" t="s">
        <v>256</v>
      </c>
      <c r="D22" s="42" t="s">
        <v>70</v>
      </c>
      <c r="E22" s="42" t="s">
        <v>159</v>
      </c>
      <c r="F22" s="43" t="s">
        <v>1197</v>
      </c>
    </row>
    <row r="23" spans="1:6" ht="17.7" customHeight="1">
      <c r="A23" s="40">
        <v>45744</v>
      </c>
      <c r="B23" s="41" t="s">
        <v>251</v>
      </c>
      <c r="C23" s="42" t="s">
        <v>256</v>
      </c>
      <c r="D23" s="42" t="s">
        <v>70</v>
      </c>
      <c r="E23" s="42" t="s">
        <v>160</v>
      </c>
      <c r="F23" s="43" t="s">
        <v>1198</v>
      </c>
    </row>
    <row r="24" spans="1:6" ht="17.7" customHeight="1">
      <c r="A24" s="40">
        <v>45744</v>
      </c>
      <c r="B24" s="41" t="s">
        <v>251</v>
      </c>
      <c r="C24" s="42" t="s">
        <v>256</v>
      </c>
      <c r="D24" s="42" t="s">
        <v>70</v>
      </c>
      <c r="E24" s="42" t="s">
        <v>160</v>
      </c>
      <c r="F24" s="43" t="s">
        <v>1199</v>
      </c>
    </row>
    <row r="25" spans="1:6" ht="17.7" customHeight="1">
      <c r="A25" s="40">
        <v>45744</v>
      </c>
      <c r="B25" s="41" t="s">
        <v>251</v>
      </c>
      <c r="C25" s="42" t="s">
        <v>256</v>
      </c>
      <c r="D25" s="42" t="s">
        <v>70</v>
      </c>
      <c r="E25" s="42" t="s">
        <v>160</v>
      </c>
      <c r="F25" s="43" t="s">
        <v>1200</v>
      </c>
    </row>
    <row r="26" spans="1:6" ht="17.7" customHeight="1">
      <c r="A26" s="40">
        <v>45744</v>
      </c>
      <c r="B26" s="41" t="s">
        <v>251</v>
      </c>
      <c r="C26" s="42" t="s">
        <v>256</v>
      </c>
      <c r="D26" s="42" t="s">
        <v>70</v>
      </c>
      <c r="E26" s="42" t="s">
        <v>160</v>
      </c>
      <c r="F26" s="43" t="s">
        <v>1201</v>
      </c>
    </row>
    <row r="27" spans="1:6" ht="17.7" customHeight="1">
      <c r="A27" s="40">
        <v>45744</v>
      </c>
      <c r="B27" s="41" t="s">
        <v>251</v>
      </c>
      <c r="C27" s="42" t="s">
        <v>256</v>
      </c>
      <c r="D27" s="42" t="s">
        <v>70</v>
      </c>
      <c r="E27" s="42" t="s">
        <v>161</v>
      </c>
      <c r="F27" s="43" t="s">
        <v>1190</v>
      </c>
    </row>
    <row r="28" spans="1:6" ht="17.7" customHeight="1">
      <c r="A28" s="40">
        <v>45744</v>
      </c>
      <c r="B28" s="41" t="s">
        <v>251</v>
      </c>
      <c r="C28" s="42" t="s">
        <v>256</v>
      </c>
      <c r="D28" s="42" t="s">
        <v>70</v>
      </c>
      <c r="E28" s="42" t="s">
        <v>162</v>
      </c>
      <c r="F28" s="43" t="s">
        <v>1202</v>
      </c>
    </row>
    <row r="29" spans="1:6" ht="17.7" customHeight="1">
      <c r="A29" s="40">
        <v>45744</v>
      </c>
      <c r="B29" s="41" t="s">
        <v>251</v>
      </c>
      <c r="C29" s="42" t="s">
        <v>256</v>
      </c>
      <c r="D29" s="42" t="s">
        <v>70</v>
      </c>
      <c r="E29" s="42" t="s">
        <v>162</v>
      </c>
      <c r="F29" s="43" t="s">
        <v>1203</v>
      </c>
    </row>
    <row r="30" spans="1:6" ht="17.7" customHeight="1">
      <c r="A30" s="40">
        <v>45744</v>
      </c>
      <c r="B30" s="41" t="s">
        <v>251</v>
      </c>
      <c r="C30" s="42" t="s">
        <v>256</v>
      </c>
      <c r="D30" s="42" t="s">
        <v>70</v>
      </c>
      <c r="E30" s="42" t="s">
        <v>162</v>
      </c>
      <c r="F30" s="43" t="s">
        <v>1204</v>
      </c>
    </row>
    <row r="31" spans="1:6" ht="17.7" customHeight="1">
      <c r="A31" s="40">
        <v>45744</v>
      </c>
      <c r="B31" s="41" t="s">
        <v>251</v>
      </c>
      <c r="C31" s="42" t="s">
        <v>256</v>
      </c>
      <c r="D31" s="42" t="s">
        <v>70</v>
      </c>
      <c r="E31" s="42" t="s">
        <v>164</v>
      </c>
      <c r="F31" s="43" t="s">
        <v>1192</v>
      </c>
    </row>
    <row r="32" spans="1:6" ht="17.7" customHeight="1">
      <c r="A32" s="40">
        <v>45744</v>
      </c>
      <c r="B32" s="41" t="s">
        <v>251</v>
      </c>
      <c r="C32" s="42" t="s">
        <v>256</v>
      </c>
      <c r="D32" s="42" t="s">
        <v>70</v>
      </c>
      <c r="E32" s="42" t="s">
        <v>165</v>
      </c>
      <c r="F32" s="43" t="s">
        <v>1191</v>
      </c>
    </row>
    <row r="33" spans="1:6" ht="17.7" customHeight="1">
      <c r="A33" s="40">
        <v>45744</v>
      </c>
      <c r="B33" s="41" t="s">
        <v>251</v>
      </c>
      <c r="C33" s="42" t="s">
        <v>256</v>
      </c>
      <c r="D33" s="42" t="s">
        <v>70</v>
      </c>
      <c r="E33" s="42" t="s">
        <v>2201</v>
      </c>
      <c r="F33" s="43" t="s">
        <v>1193</v>
      </c>
    </row>
    <row r="34" spans="1:6" ht="17.7" customHeight="1">
      <c r="A34" s="40">
        <v>45744</v>
      </c>
      <c r="B34" s="41" t="s">
        <v>251</v>
      </c>
      <c r="C34" s="42" t="s">
        <v>256</v>
      </c>
      <c r="D34" s="42" t="s">
        <v>70</v>
      </c>
      <c r="E34" s="42" t="s">
        <v>169</v>
      </c>
      <c r="F34" s="43" t="s">
        <v>1205</v>
      </c>
    </row>
    <row r="35" spans="1:6" ht="17.7" customHeight="1">
      <c r="A35" s="40">
        <v>45744</v>
      </c>
      <c r="B35" s="41" t="s">
        <v>251</v>
      </c>
      <c r="C35" s="42" t="s">
        <v>256</v>
      </c>
      <c r="D35" s="42" t="s">
        <v>70</v>
      </c>
      <c r="E35" s="42" t="s">
        <v>169</v>
      </c>
      <c r="F35" s="43" t="s">
        <v>1206</v>
      </c>
    </row>
    <row r="36" spans="1:6" ht="17.7" customHeight="1">
      <c r="A36" s="40">
        <v>45744</v>
      </c>
      <c r="B36" s="41" t="s">
        <v>251</v>
      </c>
      <c r="C36" s="42" t="s">
        <v>256</v>
      </c>
      <c r="D36" s="42" t="s">
        <v>70</v>
      </c>
      <c r="E36" s="42" t="s">
        <v>169</v>
      </c>
      <c r="F36" s="43" t="s">
        <v>1207</v>
      </c>
    </row>
    <row r="37" spans="1:6" ht="17.7" customHeight="1">
      <c r="A37" s="40">
        <v>45744</v>
      </c>
      <c r="B37" s="41" t="s">
        <v>251</v>
      </c>
      <c r="C37" s="42" t="s">
        <v>256</v>
      </c>
      <c r="D37" s="42" t="s">
        <v>70</v>
      </c>
      <c r="E37" s="42" t="s">
        <v>173</v>
      </c>
      <c r="F37" s="43" t="s">
        <v>1208</v>
      </c>
    </row>
    <row r="38" spans="1:6" ht="17.7" customHeight="1">
      <c r="A38" s="40">
        <v>45744</v>
      </c>
      <c r="B38" s="41" t="s">
        <v>261</v>
      </c>
      <c r="C38" s="42" t="s">
        <v>262</v>
      </c>
      <c r="D38" s="42" t="s">
        <v>72</v>
      </c>
      <c r="E38" s="42" t="s">
        <v>159</v>
      </c>
      <c r="F38" s="43" t="s">
        <v>764</v>
      </c>
    </row>
    <row r="39" spans="1:6" ht="17.7" customHeight="1">
      <c r="A39" s="40">
        <v>45744</v>
      </c>
      <c r="B39" s="41" t="s">
        <v>261</v>
      </c>
      <c r="C39" s="42" t="s">
        <v>262</v>
      </c>
      <c r="D39" s="42" t="s">
        <v>72</v>
      </c>
      <c r="E39" s="42" t="s">
        <v>160</v>
      </c>
      <c r="F39" s="43" t="s">
        <v>765</v>
      </c>
    </row>
    <row r="40" spans="1:6" ht="17.7" customHeight="1">
      <c r="A40" s="40">
        <v>45744</v>
      </c>
      <c r="B40" s="41" t="s">
        <v>261</v>
      </c>
      <c r="C40" s="42" t="s">
        <v>262</v>
      </c>
      <c r="D40" s="42" t="s">
        <v>72</v>
      </c>
      <c r="E40" s="42" t="s">
        <v>161</v>
      </c>
      <c r="F40" s="43" t="s">
        <v>757</v>
      </c>
    </row>
    <row r="41" spans="1:6" ht="17.7" customHeight="1">
      <c r="A41" s="40">
        <v>45744</v>
      </c>
      <c r="B41" s="41" t="s">
        <v>261</v>
      </c>
      <c r="C41" s="42" t="s">
        <v>262</v>
      </c>
      <c r="D41" s="42" t="s">
        <v>72</v>
      </c>
      <c r="E41" s="42" t="s">
        <v>162</v>
      </c>
      <c r="F41" s="43" t="s">
        <v>758</v>
      </c>
    </row>
    <row r="42" spans="1:6" ht="17.7" customHeight="1">
      <c r="A42" s="40">
        <v>45744</v>
      </c>
      <c r="B42" s="41" t="s">
        <v>261</v>
      </c>
      <c r="C42" s="42" t="s">
        <v>262</v>
      </c>
      <c r="D42" s="42" t="s">
        <v>72</v>
      </c>
      <c r="E42" s="42" t="s">
        <v>164</v>
      </c>
      <c r="F42" s="43" t="s">
        <v>759</v>
      </c>
    </row>
    <row r="43" spans="1:6" ht="17.7" customHeight="1">
      <c r="A43" s="40">
        <v>45744</v>
      </c>
      <c r="B43" s="41" t="s">
        <v>261</v>
      </c>
      <c r="C43" s="42" t="s">
        <v>262</v>
      </c>
      <c r="D43" s="42" t="s">
        <v>72</v>
      </c>
      <c r="E43" s="42" t="s">
        <v>165</v>
      </c>
      <c r="F43" s="43" t="s">
        <v>760</v>
      </c>
    </row>
    <row r="44" spans="1:6" ht="17.7" customHeight="1">
      <c r="A44" s="40">
        <v>45744</v>
      </c>
      <c r="B44" s="41" t="s">
        <v>261</v>
      </c>
      <c r="C44" s="42" t="s">
        <v>262</v>
      </c>
      <c r="D44" s="42" t="s">
        <v>72</v>
      </c>
      <c r="E44" s="42" t="s">
        <v>2201</v>
      </c>
      <c r="F44" s="43" t="s">
        <v>761</v>
      </c>
    </row>
    <row r="45" spans="1:6" ht="17.7" customHeight="1">
      <c r="A45" s="40">
        <v>45744</v>
      </c>
      <c r="B45" s="41" t="s">
        <v>261</v>
      </c>
      <c r="C45" s="42" t="s">
        <v>262</v>
      </c>
      <c r="D45" s="42" t="s">
        <v>72</v>
      </c>
      <c r="E45" s="42" t="s">
        <v>171</v>
      </c>
      <c r="F45" s="43" t="s">
        <v>762</v>
      </c>
    </row>
    <row r="46" spans="1:6" ht="17.7" customHeight="1">
      <c r="A46" s="40">
        <v>45744</v>
      </c>
      <c r="B46" s="41" t="s">
        <v>261</v>
      </c>
      <c r="C46" s="42" t="s">
        <v>262</v>
      </c>
      <c r="D46" s="42" t="s">
        <v>72</v>
      </c>
      <c r="E46" s="42" t="s">
        <v>173</v>
      </c>
      <c r="F46" s="43" t="s">
        <v>763</v>
      </c>
    </row>
    <row r="47" spans="1:6" ht="17.7" customHeight="1">
      <c r="A47" s="40">
        <v>45744</v>
      </c>
      <c r="B47" s="41" t="s">
        <v>285</v>
      </c>
      <c r="C47" s="42" t="s">
        <v>262</v>
      </c>
      <c r="D47" s="42" t="s">
        <v>81</v>
      </c>
      <c r="E47" s="42" t="s">
        <v>159</v>
      </c>
      <c r="F47" s="43" t="s">
        <v>773</v>
      </c>
    </row>
    <row r="48" spans="1:6" ht="17.7" customHeight="1">
      <c r="A48" s="40">
        <v>45744</v>
      </c>
      <c r="B48" s="41" t="s">
        <v>285</v>
      </c>
      <c r="C48" s="42" t="s">
        <v>262</v>
      </c>
      <c r="D48" s="42" t="s">
        <v>81</v>
      </c>
      <c r="E48" s="42" t="s">
        <v>160</v>
      </c>
      <c r="F48" s="43" t="s">
        <v>774</v>
      </c>
    </row>
    <row r="49" spans="1:6" ht="17.7" customHeight="1">
      <c r="A49" s="40">
        <v>45744</v>
      </c>
      <c r="B49" s="41" t="s">
        <v>285</v>
      </c>
      <c r="C49" s="42" t="s">
        <v>262</v>
      </c>
      <c r="D49" s="42" t="s">
        <v>81</v>
      </c>
      <c r="E49" s="42" t="s">
        <v>161</v>
      </c>
      <c r="F49" s="43" t="s">
        <v>772</v>
      </c>
    </row>
    <row r="50" spans="1:6" ht="17.7" customHeight="1">
      <c r="A50" s="40">
        <v>45744</v>
      </c>
      <c r="B50" s="41" t="s">
        <v>285</v>
      </c>
      <c r="C50" s="42" t="s">
        <v>262</v>
      </c>
      <c r="D50" s="42" t="s">
        <v>81</v>
      </c>
      <c r="E50" s="42" t="s">
        <v>162</v>
      </c>
      <c r="F50" s="43" t="s">
        <v>768</v>
      </c>
    </row>
    <row r="51" spans="1:6" ht="17.7" customHeight="1">
      <c r="A51" s="40">
        <v>45744</v>
      </c>
      <c r="B51" s="41" t="s">
        <v>285</v>
      </c>
      <c r="C51" s="42" t="s">
        <v>262</v>
      </c>
      <c r="D51" s="42" t="s">
        <v>81</v>
      </c>
      <c r="E51" s="42" t="s">
        <v>2201</v>
      </c>
      <c r="F51" s="43" t="s">
        <v>2203</v>
      </c>
    </row>
    <row r="52" spans="1:6" ht="17.7" customHeight="1">
      <c r="A52" s="40">
        <v>45744</v>
      </c>
      <c r="B52" s="41" t="s">
        <v>285</v>
      </c>
      <c r="C52" s="42" t="s">
        <v>262</v>
      </c>
      <c r="D52" s="42" t="s">
        <v>81</v>
      </c>
      <c r="E52" s="42" t="s">
        <v>171</v>
      </c>
      <c r="F52" s="43" t="s">
        <v>769</v>
      </c>
    </row>
    <row r="53" spans="1:6" ht="17.7" customHeight="1">
      <c r="A53" s="40">
        <v>45744</v>
      </c>
      <c r="B53" s="41" t="s">
        <v>285</v>
      </c>
      <c r="C53" s="42" t="s">
        <v>262</v>
      </c>
      <c r="D53" s="42" t="s">
        <v>81</v>
      </c>
      <c r="E53" s="42" t="s">
        <v>173</v>
      </c>
      <c r="F53" s="43" t="s">
        <v>770</v>
      </c>
    </row>
    <row r="54" spans="1:6" ht="17.7" customHeight="1">
      <c r="A54" s="40">
        <v>45744</v>
      </c>
      <c r="B54" s="41" t="s">
        <v>285</v>
      </c>
      <c r="C54" s="42" t="s">
        <v>262</v>
      </c>
      <c r="D54" s="42" t="s">
        <v>81</v>
      </c>
      <c r="E54" s="42" t="s">
        <v>173</v>
      </c>
      <c r="F54" s="43" t="s">
        <v>771</v>
      </c>
    </row>
    <row r="55" spans="1:6" ht="17.7" customHeight="1">
      <c r="A55" s="40">
        <v>45744</v>
      </c>
      <c r="B55" s="41" t="s">
        <v>27</v>
      </c>
      <c r="C55" s="42" t="s">
        <v>262</v>
      </c>
      <c r="D55" s="42" t="s">
        <v>86</v>
      </c>
      <c r="E55" s="42" t="s">
        <v>159</v>
      </c>
      <c r="F55" s="43" t="s">
        <v>819</v>
      </c>
    </row>
    <row r="56" spans="1:6" ht="17.7" customHeight="1">
      <c r="A56" s="40">
        <v>45744</v>
      </c>
      <c r="B56" s="41" t="s">
        <v>27</v>
      </c>
      <c r="C56" s="42" t="s">
        <v>262</v>
      </c>
      <c r="D56" s="42" t="s">
        <v>86</v>
      </c>
      <c r="E56" s="42" t="s">
        <v>160</v>
      </c>
      <c r="F56" s="43" t="s">
        <v>818</v>
      </c>
    </row>
    <row r="57" spans="1:6" ht="17.7" customHeight="1">
      <c r="A57" s="40">
        <v>45744</v>
      </c>
      <c r="B57" s="41" t="s">
        <v>27</v>
      </c>
      <c r="C57" s="42" t="s">
        <v>262</v>
      </c>
      <c r="D57" s="42" t="s">
        <v>86</v>
      </c>
      <c r="E57" s="42" t="s">
        <v>161</v>
      </c>
      <c r="F57" s="43" t="s">
        <v>812</v>
      </c>
    </row>
    <row r="58" spans="1:6" ht="17.7" customHeight="1">
      <c r="A58" s="40">
        <v>45744</v>
      </c>
      <c r="B58" s="41" t="s">
        <v>27</v>
      </c>
      <c r="C58" s="42" t="s">
        <v>262</v>
      </c>
      <c r="D58" s="42" t="s">
        <v>86</v>
      </c>
      <c r="E58" s="42" t="s">
        <v>162</v>
      </c>
      <c r="F58" s="43" t="s">
        <v>813</v>
      </c>
    </row>
    <row r="59" spans="1:6" ht="17.7" customHeight="1">
      <c r="A59" s="40">
        <v>45744</v>
      </c>
      <c r="B59" s="41" t="s">
        <v>27</v>
      </c>
      <c r="C59" s="42" t="s">
        <v>262</v>
      </c>
      <c r="D59" s="42" t="s">
        <v>86</v>
      </c>
      <c r="E59" s="42" t="s">
        <v>164</v>
      </c>
      <c r="F59" s="43" t="s">
        <v>814</v>
      </c>
    </row>
    <row r="60" spans="1:6" ht="17.7" customHeight="1">
      <c r="A60" s="40">
        <v>45744</v>
      </c>
      <c r="B60" s="41" t="s">
        <v>27</v>
      </c>
      <c r="C60" s="42" t="s">
        <v>262</v>
      </c>
      <c r="D60" s="42" t="s">
        <v>86</v>
      </c>
      <c r="E60" s="42" t="s">
        <v>165</v>
      </c>
      <c r="F60" s="43" t="s">
        <v>815</v>
      </c>
    </row>
    <row r="61" spans="1:6" ht="17.7" customHeight="1">
      <c r="A61" s="40">
        <v>45744</v>
      </c>
      <c r="B61" s="41" t="s">
        <v>27</v>
      </c>
      <c r="C61" s="42" t="s">
        <v>262</v>
      </c>
      <c r="D61" s="42" t="s">
        <v>86</v>
      </c>
      <c r="E61" s="42" t="s">
        <v>2201</v>
      </c>
      <c r="F61" s="43" t="s">
        <v>816</v>
      </c>
    </row>
    <row r="62" spans="1:6" ht="17.7" customHeight="1">
      <c r="A62" s="40">
        <v>45744</v>
      </c>
      <c r="B62" s="41" t="s">
        <v>27</v>
      </c>
      <c r="C62" s="42" t="s">
        <v>262</v>
      </c>
      <c r="D62" s="42" t="s">
        <v>86</v>
      </c>
      <c r="E62" s="42" t="s">
        <v>171</v>
      </c>
      <c r="F62" s="43" t="s">
        <v>817</v>
      </c>
    </row>
    <row r="63" spans="1:6" ht="17.7" customHeight="1">
      <c r="A63" s="40">
        <v>45744</v>
      </c>
      <c r="B63" s="41" t="s">
        <v>201</v>
      </c>
      <c r="C63" s="42" t="s">
        <v>262</v>
      </c>
      <c r="D63" s="42" t="s">
        <v>52</v>
      </c>
      <c r="E63" s="42" t="s">
        <v>162</v>
      </c>
      <c r="F63" s="43" t="s">
        <v>710</v>
      </c>
    </row>
    <row r="64" spans="1:6" ht="17.7" customHeight="1">
      <c r="A64" s="40">
        <v>45744</v>
      </c>
      <c r="B64" s="41" t="s">
        <v>201</v>
      </c>
      <c r="C64" s="42" t="s">
        <v>262</v>
      </c>
      <c r="D64" s="42" t="s">
        <v>52</v>
      </c>
      <c r="E64" s="42" t="s">
        <v>171</v>
      </c>
      <c r="F64" s="43" t="s">
        <v>712</v>
      </c>
    </row>
    <row r="65" spans="1:6" ht="17.7" customHeight="1">
      <c r="A65" s="40">
        <v>45744</v>
      </c>
      <c r="B65" s="41" t="s">
        <v>307</v>
      </c>
      <c r="C65" s="42" t="s">
        <v>262</v>
      </c>
      <c r="D65" s="42" t="s">
        <v>91</v>
      </c>
      <c r="E65" s="42" t="s">
        <v>159</v>
      </c>
      <c r="F65" s="43" t="s">
        <v>808</v>
      </c>
    </row>
    <row r="66" spans="1:6" ht="17.7" customHeight="1">
      <c r="A66" s="40">
        <v>45744</v>
      </c>
      <c r="B66" s="41" t="s">
        <v>307</v>
      </c>
      <c r="C66" s="42" t="s">
        <v>262</v>
      </c>
      <c r="D66" s="42" t="s">
        <v>91</v>
      </c>
      <c r="E66" s="42" t="s">
        <v>160</v>
      </c>
      <c r="F66" s="43" t="s">
        <v>809</v>
      </c>
    </row>
    <row r="67" spans="1:6" ht="17.7" customHeight="1">
      <c r="A67" s="40">
        <v>45744</v>
      </c>
      <c r="B67" s="41" t="s">
        <v>307</v>
      </c>
      <c r="C67" s="42" t="s">
        <v>262</v>
      </c>
      <c r="D67" s="42" t="s">
        <v>91</v>
      </c>
      <c r="E67" s="42" t="s">
        <v>161</v>
      </c>
      <c r="F67" s="43" t="s">
        <v>803</v>
      </c>
    </row>
    <row r="68" spans="1:6" ht="17.7" customHeight="1">
      <c r="A68" s="40">
        <v>45744</v>
      </c>
      <c r="B68" s="41" t="s">
        <v>307</v>
      </c>
      <c r="C68" s="42" t="s">
        <v>262</v>
      </c>
      <c r="D68" s="42" t="s">
        <v>91</v>
      </c>
      <c r="E68" s="42" t="s">
        <v>162</v>
      </c>
      <c r="F68" s="43" t="s">
        <v>802</v>
      </c>
    </row>
    <row r="69" spans="1:6" ht="17.7" customHeight="1">
      <c r="A69" s="40">
        <v>45744</v>
      </c>
      <c r="B69" s="41" t="s">
        <v>307</v>
      </c>
      <c r="C69" s="42" t="s">
        <v>262</v>
      </c>
      <c r="D69" s="42" t="s">
        <v>91</v>
      </c>
      <c r="E69" s="42" t="s">
        <v>164</v>
      </c>
      <c r="F69" s="43" t="s">
        <v>804</v>
      </c>
    </row>
    <row r="70" spans="1:6" ht="17.7" customHeight="1">
      <c r="A70" s="40">
        <v>45744</v>
      </c>
      <c r="B70" s="41" t="s">
        <v>307</v>
      </c>
      <c r="C70" s="42" t="s">
        <v>262</v>
      </c>
      <c r="D70" s="42" t="s">
        <v>91</v>
      </c>
      <c r="E70" s="42" t="s">
        <v>165</v>
      </c>
      <c r="F70" s="43" t="s">
        <v>805</v>
      </c>
    </row>
    <row r="71" spans="1:6" ht="17.7" customHeight="1">
      <c r="A71" s="40">
        <v>45744</v>
      </c>
      <c r="B71" s="41" t="s">
        <v>307</v>
      </c>
      <c r="C71" s="42" t="s">
        <v>262</v>
      </c>
      <c r="D71" s="42" t="s">
        <v>91</v>
      </c>
      <c r="E71" s="42" t="s">
        <v>2201</v>
      </c>
      <c r="F71" s="43" t="s">
        <v>806</v>
      </c>
    </row>
    <row r="72" spans="1:6" ht="17.7" customHeight="1">
      <c r="A72" s="40">
        <v>45744</v>
      </c>
      <c r="B72" s="41" t="s">
        <v>307</v>
      </c>
      <c r="C72" s="42" t="s">
        <v>262</v>
      </c>
      <c r="D72" s="42" t="s">
        <v>91</v>
      </c>
      <c r="E72" s="42" t="s">
        <v>171</v>
      </c>
      <c r="F72" s="43" t="s">
        <v>807</v>
      </c>
    </row>
    <row r="73" spans="1:6" ht="17.7" customHeight="1">
      <c r="A73" s="40">
        <v>45744</v>
      </c>
      <c r="B73" s="41" t="s">
        <v>345</v>
      </c>
      <c r="C73" s="42" t="s">
        <v>262</v>
      </c>
      <c r="D73" s="42" t="s">
        <v>104</v>
      </c>
      <c r="E73" s="42" t="s">
        <v>161</v>
      </c>
      <c r="F73" s="43" t="s">
        <v>746</v>
      </c>
    </row>
    <row r="74" spans="1:6" ht="17.7" customHeight="1">
      <c r="A74" s="40">
        <v>45744</v>
      </c>
      <c r="B74" s="41" t="s">
        <v>345</v>
      </c>
      <c r="C74" s="42" t="s">
        <v>262</v>
      </c>
      <c r="D74" s="42" t="s">
        <v>104</v>
      </c>
      <c r="E74" s="42" t="s">
        <v>162</v>
      </c>
      <c r="F74" s="43" t="s">
        <v>740</v>
      </c>
    </row>
    <row r="75" spans="1:6" ht="17.7" customHeight="1">
      <c r="A75" s="40">
        <v>45744</v>
      </c>
      <c r="B75" s="41" t="s">
        <v>345</v>
      </c>
      <c r="C75" s="42" t="s">
        <v>262</v>
      </c>
      <c r="D75" s="42" t="s">
        <v>104</v>
      </c>
      <c r="E75" s="42" t="s">
        <v>171</v>
      </c>
      <c r="F75" s="43" t="s">
        <v>744</v>
      </c>
    </row>
    <row r="76" spans="1:6" ht="17.7" customHeight="1">
      <c r="A76" s="40">
        <v>45744</v>
      </c>
      <c r="B76" s="41" t="s">
        <v>302</v>
      </c>
      <c r="C76" s="42" t="s">
        <v>303</v>
      </c>
      <c r="D76" s="42" t="s">
        <v>89</v>
      </c>
      <c r="E76" s="42" t="s">
        <v>159</v>
      </c>
      <c r="F76" s="43" t="s">
        <v>780</v>
      </c>
    </row>
    <row r="77" spans="1:6" ht="17.7" customHeight="1">
      <c r="A77" s="40">
        <v>45744</v>
      </c>
      <c r="B77" s="41" t="s">
        <v>302</v>
      </c>
      <c r="C77" s="42" t="s">
        <v>303</v>
      </c>
      <c r="D77" s="42" t="s">
        <v>89</v>
      </c>
      <c r="E77" s="42" t="s">
        <v>160</v>
      </c>
      <c r="F77" s="43" t="s">
        <v>781</v>
      </c>
    </row>
    <row r="78" spans="1:6" ht="17.7" customHeight="1">
      <c r="A78" s="40">
        <v>45744</v>
      </c>
      <c r="B78" s="41" t="s">
        <v>302</v>
      </c>
      <c r="C78" s="42" t="s">
        <v>303</v>
      </c>
      <c r="D78" s="42" t="s">
        <v>89</v>
      </c>
      <c r="E78" s="42" t="s">
        <v>161</v>
      </c>
      <c r="F78" s="43" t="s">
        <v>782</v>
      </c>
    </row>
    <row r="79" spans="1:6" ht="17.7" customHeight="1">
      <c r="A79" s="40">
        <v>45744</v>
      </c>
      <c r="B79" s="41" t="s">
        <v>302</v>
      </c>
      <c r="C79" s="42" t="s">
        <v>303</v>
      </c>
      <c r="D79" s="42" t="s">
        <v>89</v>
      </c>
      <c r="E79" s="42" t="s">
        <v>162</v>
      </c>
      <c r="F79" s="43" t="s">
        <v>783</v>
      </c>
    </row>
    <row r="80" spans="1:6" ht="17.7" customHeight="1">
      <c r="A80" s="40">
        <v>45744</v>
      </c>
      <c r="B80" s="41" t="s">
        <v>302</v>
      </c>
      <c r="C80" s="42" t="s">
        <v>303</v>
      </c>
      <c r="D80" s="42" t="s">
        <v>89</v>
      </c>
      <c r="E80" s="42" t="s">
        <v>163</v>
      </c>
      <c r="F80" s="43" t="s">
        <v>786</v>
      </c>
    </row>
    <row r="81" spans="1:6" ht="17.7" customHeight="1">
      <c r="A81" s="40">
        <v>45744</v>
      </c>
      <c r="B81" s="41" t="s">
        <v>302</v>
      </c>
      <c r="C81" s="42" t="s">
        <v>303</v>
      </c>
      <c r="D81" s="42" t="s">
        <v>89</v>
      </c>
      <c r="E81" s="42" t="s">
        <v>164</v>
      </c>
      <c r="F81" s="43" t="s">
        <v>784</v>
      </c>
    </row>
    <row r="82" spans="1:6" ht="17.7" customHeight="1">
      <c r="A82" s="40">
        <v>45744</v>
      </c>
      <c r="B82" s="41" t="s">
        <v>302</v>
      </c>
      <c r="C82" s="42" t="s">
        <v>303</v>
      </c>
      <c r="D82" s="42" t="s">
        <v>89</v>
      </c>
      <c r="E82" s="42" t="s">
        <v>165</v>
      </c>
      <c r="F82" s="43" t="s">
        <v>785</v>
      </c>
    </row>
    <row r="83" spans="1:6" ht="17.7" customHeight="1">
      <c r="A83" s="40">
        <v>45744</v>
      </c>
      <c r="B83" s="41" t="s">
        <v>302</v>
      </c>
      <c r="C83" s="42" t="s">
        <v>303</v>
      </c>
      <c r="D83" s="42" t="s">
        <v>89</v>
      </c>
      <c r="E83" s="42" t="s">
        <v>2201</v>
      </c>
      <c r="F83" s="43" t="s">
        <v>787</v>
      </c>
    </row>
    <row r="84" spans="1:6" ht="17.7" customHeight="1">
      <c r="A84" s="40">
        <v>45744</v>
      </c>
      <c r="B84" s="41" t="s">
        <v>302</v>
      </c>
      <c r="C84" s="42" t="s">
        <v>303</v>
      </c>
      <c r="D84" s="42" t="s">
        <v>89</v>
      </c>
      <c r="E84" s="42" t="s">
        <v>2204</v>
      </c>
      <c r="F84" s="43" t="s">
        <v>780</v>
      </c>
    </row>
    <row r="85" spans="1:6" ht="17.7" customHeight="1">
      <c r="A85" s="40">
        <v>45744</v>
      </c>
      <c r="B85" s="41" t="s">
        <v>345</v>
      </c>
      <c r="C85" s="42" t="s">
        <v>348</v>
      </c>
      <c r="D85" s="42" t="s">
        <v>105</v>
      </c>
      <c r="E85" s="42" t="s">
        <v>159</v>
      </c>
      <c r="F85" s="43" t="s">
        <v>877</v>
      </c>
    </row>
    <row r="86" spans="1:6" ht="17.7" customHeight="1">
      <c r="A86" s="40">
        <v>45744</v>
      </c>
      <c r="B86" s="41" t="s">
        <v>345</v>
      </c>
      <c r="C86" s="42" t="s">
        <v>348</v>
      </c>
      <c r="D86" s="42" t="s">
        <v>105</v>
      </c>
      <c r="E86" s="42" t="s">
        <v>160</v>
      </c>
      <c r="F86" s="43" t="s">
        <v>878</v>
      </c>
    </row>
    <row r="87" spans="1:6" ht="17.7" customHeight="1">
      <c r="A87" s="40">
        <v>45744</v>
      </c>
      <c r="B87" s="41" t="s">
        <v>345</v>
      </c>
      <c r="C87" s="42" t="s">
        <v>348</v>
      </c>
      <c r="D87" s="42" t="s">
        <v>105</v>
      </c>
      <c r="E87" s="42" t="s">
        <v>161</v>
      </c>
      <c r="F87" s="43" t="s">
        <v>879</v>
      </c>
    </row>
    <row r="88" spans="1:6" ht="17.7" customHeight="1">
      <c r="A88" s="40">
        <v>45744</v>
      </c>
      <c r="B88" s="41" t="s">
        <v>345</v>
      </c>
      <c r="C88" s="42" t="s">
        <v>348</v>
      </c>
      <c r="D88" s="42" t="s">
        <v>105</v>
      </c>
      <c r="E88" s="42" t="s">
        <v>162</v>
      </c>
      <c r="F88" s="43" t="s">
        <v>880</v>
      </c>
    </row>
    <row r="89" spans="1:6" ht="17.7" customHeight="1">
      <c r="A89" s="40">
        <v>45744</v>
      </c>
      <c r="B89" s="41" t="s">
        <v>345</v>
      </c>
      <c r="C89" s="42" t="s">
        <v>348</v>
      </c>
      <c r="D89" s="42" t="s">
        <v>105</v>
      </c>
      <c r="E89" s="42" t="s">
        <v>164</v>
      </c>
      <c r="F89" s="43" t="s">
        <v>881</v>
      </c>
    </row>
    <row r="90" spans="1:6" ht="17.7" customHeight="1">
      <c r="A90" s="40">
        <v>45744</v>
      </c>
      <c r="B90" s="41" t="s">
        <v>345</v>
      </c>
      <c r="C90" s="42" t="s">
        <v>348</v>
      </c>
      <c r="D90" s="42" t="s">
        <v>105</v>
      </c>
      <c r="E90" s="42" t="s">
        <v>165</v>
      </c>
      <c r="F90" s="43" t="s">
        <v>882</v>
      </c>
    </row>
    <row r="91" spans="1:6" ht="17.7" customHeight="1">
      <c r="A91" s="40">
        <v>45744</v>
      </c>
      <c r="B91" s="41" t="s">
        <v>345</v>
      </c>
      <c r="C91" s="42" t="s">
        <v>348</v>
      </c>
      <c r="D91" s="42" t="s">
        <v>105</v>
      </c>
      <c r="E91" s="42" t="s">
        <v>2201</v>
      </c>
      <c r="F91" s="43" t="s">
        <v>883</v>
      </c>
    </row>
    <row r="92" spans="1:6" ht="17.7" customHeight="1">
      <c r="A92" s="40">
        <v>45744</v>
      </c>
      <c r="B92" s="41" t="s">
        <v>345</v>
      </c>
      <c r="C92" s="42" t="s">
        <v>348</v>
      </c>
      <c r="D92" s="42" t="s">
        <v>105</v>
      </c>
      <c r="E92" s="42" t="s">
        <v>169</v>
      </c>
      <c r="F92" s="43" t="s">
        <v>884</v>
      </c>
    </row>
    <row r="93" spans="1:6" ht="17.7" customHeight="1">
      <c r="A93" s="40">
        <v>45744</v>
      </c>
      <c r="B93" s="41" t="s">
        <v>345</v>
      </c>
      <c r="C93" s="42" t="s">
        <v>348</v>
      </c>
      <c r="D93" s="42" t="s">
        <v>105</v>
      </c>
      <c r="E93" s="42" t="s">
        <v>171</v>
      </c>
      <c r="F93" s="43" t="s">
        <v>885</v>
      </c>
    </row>
    <row r="94" spans="1:6" ht="17.7" customHeight="1">
      <c r="A94" s="40">
        <v>45744</v>
      </c>
      <c r="B94" s="41" t="s">
        <v>345</v>
      </c>
      <c r="C94" s="42" t="s">
        <v>348</v>
      </c>
      <c r="D94" s="42" t="s">
        <v>105</v>
      </c>
      <c r="E94" s="42" t="s">
        <v>173</v>
      </c>
      <c r="F94" s="43" t="s">
        <v>886</v>
      </c>
    </row>
    <row r="95" spans="1:6" ht="17.7" customHeight="1">
      <c r="A95" s="40">
        <v>45744</v>
      </c>
      <c r="B95" s="41" t="s">
        <v>311</v>
      </c>
      <c r="C95" s="42" t="s">
        <v>262</v>
      </c>
      <c r="D95" s="42" t="s">
        <v>96</v>
      </c>
      <c r="E95" s="42" t="s">
        <v>161</v>
      </c>
      <c r="F95" s="43" t="s">
        <v>723</v>
      </c>
    </row>
    <row r="96" spans="1:6" ht="17.7" customHeight="1">
      <c r="A96" s="40">
        <v>45744</v>
      </c>
      <c r="B96" s="41" t="s">
        <v>311</v>
      </c>
      <c r="C96" s="42" t="s">
        <v>262</v>
      </c>
      <c r="D96" s="42" t="s">
        <v>96</v>
      </c>
      <c r="E96" s="42" t="s">
        <v>162</v>
      </c>
      <c r="F96" s="43" t="s">
        <v>724</v>
      </c>
    </row>
    <row r="97" spans="1:6" ht="17.7" customHeight="1">
      <c r="A97" s="40">
        <v>45744</v>
      </c>
      <c r="B97" s="45" t="s">
        <v>292</v>
      </c>
      <c r="C97" s="46" t="s">
        <v>293</v>
      </c>
      <c r="D97" s="46" t="s">
        <v>84</v>
      </c>
      <c r="E97" s="42" t="s">
        <v>159</v>
      </c>
      <c r="F97" s="43" t="s">
        <v>1141</v>
      </c>
    </row>
    <row r="98" spans="1:6" ht="17.7" customHeight="1">
      <c r="A98" s="40">
        <v>45744</v>
      </c>
      <c r="B98" s="45" t="s">
        <v>292</v>
      </c>
      <c r="C98" s="46" t="s">
        <v>293</v>
      </c>
      <c r="D98" s="46" t="s">
        <v>84</v>
      </c>
      <c r="E98" s="42" t="s">
        <v>160</v>
      </c>
      <c r="F98" s="43" t="s">
        <v>1135</v>
      </c>
    </row>
    <row r="99" spans="1:6" ht="17.7" customHeight="1">
      <c r="A99" s="40">
        <v>45744</v>
      </c>
      <c r="B99" s="45" t="s">
        <v>292</v>
      </c>
      <c r="C99" s="46" t="s">
        <v>293</v>
      </c>
      <c r="D99" s="46" t="s">
        <v>84</v>
      </c>
      <c r="E99" s="42" t="s">
        <v>161</v>
      </c>
      <c r="F99" s="43" t="s">
        <v>1137</v>
      </c>
    </row>
    <row r="100" spans="1:6" ht="17.7" customHeight="1">
      <c r="A100" s="40">
        <v>45744</v>
      </c>
      <c r="B100" s="45" t="s">
        <v>292</v>
      </c>
      <c r="C100" s="46" t="s">
        <v>293</v>
      </c>
      <c r="D100" s="46" t="s">
        <v>84</v>
      </c>
      <c r="E100" s="42" t="s">
        <v>162</v>
      </c>
      <c r="F100" s="43" t="s">
        <v>1140</v>
      </c>
    </row>
    <row r="101" spans="1:6" ht="17.7" customHeight="1">
      <c r="A101" s="40">
        <v>45744</v>
      </c>
      <c r="B101" s="45" t="s">
        <v>292</v>
      </c>
      <c r="C101" s="46" t="s">
        <v>293</v>
      </c>
      <c r="D101" s="46" t="s">
        <v>84</v>
      </c>
      <c r="E101" s="42" t="s">
        <v>163</v>
      </c>
      <c r="F101" s="43" t="s">
        <v>2205</v>
      </c>
    </row>
    <row r="102" spans="1:6" ht="17.7" customHeight="1">
      <c r="A102" s="40">
        <v>45744</v>
      </c>
      <c r="B102" s="45" t="s">
        <v>292</v>
      </c>
      <c r="C102" s="46" t="s">
        <v>293</v>
      </c>
      <c r="D102" s="46" t="s">
        <v>84</v>
      </c>
      <c r="E102" s="42" t="s">
        <v>164</v>
      </c>
      <c r="F102" s="43" t="s">
        <v>1139</v>
      </c>
    </row>
    <row r="103" spans="1:6" ht="17.7" customHeight="1">
      <c r="A103" s="40">
        <v>45744</v>
      </c>
      <c r="B103" s="45" t="s">
        <v>292</v>
      </c>
      <c r="C103" s="46" t="s">
        <v>293</v>
      </c>
      <c r="D103" s="46" t="s">
        <v>84</v>
      </c>
      <c r="E103" s="42" t="s">
        <v>165</v>
      </c>
      <c r="F103" s="43" t="s">
        <v>1138</v>
      </c>
    </row>
    <row r="104" spans="1:6" ht="17.7" customHeight="1">
      <c r="A104" s="40">
        <v>45744</v>
      </c>
      <c r="B104" s="45" t="s">
        <v>292</v>
      </c>
      <c r="C104" s="46" t="s">
        <v>293</v>
      </c>
      <c r="D104" s="46" t="s">
        <v>84</v>
      </c>
      <c r="E104" s="42" t="s">
        <v>169</v>
      </c>
      <c r="F104" s="43" t="s">
        <v>1142</v>
      </c>
    </row>
    <row r="105" spans="1:6" ht="17.7" customHeight="1">
      <c r="A105" s="40">
        <v>45744</v>
      </c>
      <c r="B105" s="45" t="s">
        <v>292</v>
      </c>
      <c r="C105" s="46" t="s">
        <v>293</v>
      </c>
      <c r="D105" s="46" t="s">
        <v>84</v>
      </c>
      <c r="E105" s="42" t="s">
        <v>539</v>
      </c>
      <c r="F105" s="43" t="s">
        <v>1136</v>
      </c>
    </row>
    <row r="106" spans="1:6" ht="17.7" customHeight="1">
      <c r="A106" s="40">
        <v>45744</v>
      </c>
      <c r="B106" s="41" t="s">
        <v>339</v>
      </c>
      <c r="C106" s="42" t="s">
        <v>602</v>
      </c>
      <c r="D106" s="42" t="s">
        <v>102</v>
      </c>
      <c r="E106" s="42" t="s">
        <v>159</v>
      </c>
      <c r="F106" s="43" t="s">
        <v>1150</v>
      </c>
    </row>
    <row r="107" spans="1:6" ht="17.7" customHeight="1">
      <c r="A107" s="40">
        <v>45744</v>
      </c>
      <c r="B107" s="41" t="s">
        <v>339</v>
      </c>
      <c r="C107" s="42" t="s">
        <v>602</v>
      </c>
      <c r="D107" s="42" t="s">
        <v>102</v>
      </c>
      <c r="E107" s="42" t="s">
        <v>160</v>
      </c>
      <c r="F107" s="43" t="s">
        <v>1149</v>
      </c>
    </row>
    <row r="108" spans="1:6" ht="17.7" customHeight="1">
      <c r="A108" s="40">
        <v>45744</v>
      </c>
      <c r="B108" s="41" t="s">
        <v>339</v>
      </c>
      <c r="C108" s="42" t="s">
        <v>602</v>
      </c>
      <c r="D108" s="42" t="s">
        <v>102</v>
      </c>
      <c r="E108" s="42" t="s">
        <v>161</v>
      </c>
      <c r="F108" s="43" t="s">
        <v>1148</v>
      </c>
    </row>
    <row r="109" spans="1:6" ht="17.7" customHeight="1">
      <c r="A109" s="40">
        <v>45744</v>
      </c>
      <c r="B109" s="41" t="s">
        <v>339</v>
      </c>
      <c r="C109" s="42" t="s">
        <v>602</v>
      </c>
      <c r="D109" s="42" t="s">
        <v>102</v>
      </c>
      <c r="E109" s="42" t="s">
        <v>162</v>
      </c>
      <c r="F109" s="43" t="s">
        <v>1144</v>
      </c>
    </row>
    <row r="110" spans="1:6" ht="17.7" customHeight="1">
      <c r="A110" s="40">
        <v>45744</v>
      </c>
      <c r="B110" s="41" t="s">
        <v>339</v>
      </c>
      <c r="C110" s="42" t="s">
        <v>602</v>
      </c>
      <c r="D110" s="42" t="s">
        <v>102</v>
      </c>
      <c r="E110" s="42" t="s">
        <v>163</v>
      </c>
      <c r="F110" s="43" t="s">
        <v>1151</v>
      </c>
    </row>
    <row r="111" spans="1:6" ht="17.7" customHeight="1">
      <c r="A111" s="40">
        <v>45744</v>
      </c>
      <c r="B111" s="41" t="s">
        <v>339</v>
      </c>
      <c r="C111" s="42" t="s">
        <v>602</v>
      </c>
      <c r="D111" s="42" t="s">
        <v>102</v>
      </c>
      <c r="E111" s="42" t="s">
        <v>164</v>
      </c>
      <c r="F111" s="43" t="s">
        <v>1146</v>
      </c>
    </row>
    <row r="112" spans="1:6" ht="17.7" customHeight="1">
      <c r="A112" s="40">
        <v>45744</v>
      </c>
      <c r="B112" s="41" t="s">
        <v>339</v>
      </c>
      <c r="C112" s="42" t="s">
        <v>602</v>
      </c>
      <c r="D112" s="42" t="s">
        <v>102</v>
      </c>
      <c r="E112" s="42" t="s">
        <v>165</v>
      </c>
      <c r="F112" s="43" t="s">
        <v>1147</v>
      </c>
    </row>
    <row r="113" spans="1:6" ht="17.7" customHeight="1">
      <c r="A113" s="40">
        <v>45744</v>
      </c>
      <c r="B113" s="41" t="s">
        <v>339</v>
      </c>
      <c r="C113" s="42" t="s">
        <v>602</v>
      </c>
      <c r="D113" s="42" t="s">
        <v>102</v>
      </c>
      <c r="E113" s="42" t="s">
        <v>2201</v>
      </c>
      <c r="F113" s="43" t="s">
        <v>1145</v>
      </c>
    </row>
    <row r="114" spans="1:6" ht="17.7" customHeight="1">
      <c r="A114" s="40">
        <v>45744</v>
      </c>
      <c r="B114" s="41" t="s">
        <v>339</v>
      </c>
      <c r="C114" s="42" t="s">
        <v>602</v>
      </c>
      <c r="D114" s="42" t="s">
        <v>102</v>
      </c>
      <c r="E114" s="44" t="s">
        <v>169</v>
      </c>
      <c r="F114" s="43" t="s">
        <v>1152</v>
      </c>
    </row>
    <row r="115" spans="1:6" ht="17.7" customHeight="1">
      <c r="A115" s="40">
        <v>45744</v>
      </c>
      <c r="B115" s="41" t="s">
        <v>261</v>
      </c>
      <c r="C115" s="42" t="s">
        <v>266</v>
      </c>
      <c r="D115" s="42" t="s">
        <v>74</v>
      </c>
      <c r="E115" s="42" t="s">
        <v>159</v>
      </c>
      <c r="F115" s="43" t="s">
        <v>1704</v>
      </c>
    </row>
    <row r="116" spans="1:6" ht="17.7" customHeight="1">
      <c r="A116" s="40">
        <v>45744</v>
      </c>
      <c r="B116" s="41" t="s">
        <v>261</v>
      </c>
      <c r="C116" s="42" t="s">
        <v>266</v>
      </c>
      <c r="D116" s="42" t="s">
        <v>74</v>
      </c>
      <c r="E116" s="42" t="s">
        <v>160</v>
      </c>
      <c r="F116" s="43" t="s">
        <v>1701</v>
      </c>
    </row>
    <row r="117" spans="1:6" ht="17.7" customHeight="1">
      <c r="A117" s="40">
        <v>45744</v>
      </c>
      <c r="B117" s="41" t="s">
        <v>261</v>
      </c>
      <c r="C117" s="42" t="s">
        <v>266</v>
      </c>
      <c r="D117" s="42" t="s">
        <v>74</v>
      </c>
      <c r="E117" s="42" t="s">
        <v>161</v>
      </c>
      <c r="F117" s="43" t="s">
        <v>1705</v>
      </c>
    </row>
    <row r="118" spans="1:6" ht="17.7" customHeight="1">
      <c r="A118" s="40">
        <v>45744</v>
      </c>
      <c r="B118" s="41" t="s">
        <v>261</v>
      </c>
      <c r="C118" s="42" t="s">
        <v>266</v>
      </c>
      <c r="D118" s="42" t="s">
        <v>74</v>
      </c>
      <c r="E118" s="42" t="s">
        <v>162</v>
      </c>
      <c r="F118" s="43" t="s">
        <v>1708</v>
      </c>
    </row>
    <row r="119" spans="1:6" ht="17.7" customHeight="1">
      <c r="A119" s="40">
        <v>45744</v>
      </c>
      <c r="B119" s="41" t="s">
        <v>261</v>
      </c>
      <c r="C119" s="42" t="s">
        <v>266</v>
      </c>
      <c r="D119" s="42" t="s">
        <v>74</v>
      </c>
      <c r="E119" s="42" t="s">
        <v>164</v>
      </c>
      <c r="F119" s="43" t="s">
        <v>1706</v>
      </c>
    </row>
    <row r="120" spans="1:6" ht="17.7" customHeight="1">
      <c r="A120" s="40">
        <v>45744</v>
      </c>
      <c r="B120" s="41" t="s">
        <v>261</v>
      </c>
      <c r="C120" s="42" t="s">
        <v>266</v>
      </c>
      <c r="D120" s="42" t="s">
        <v>74</v>
      </c>
      <c r="E120" s="42" t="s">
        <v>165</v>
      </c>
      <c r="F120" s="43" t="s">
        <v>1707</v>
      </c>
    </row>
    <row r="121" spans="1:6" ht="17.7" customHeight="1">
      <c r="A121" s="40">
        <v>45744</v>
      </c>
      <c r="B121" s="41" t="s">
        <v>261</v>
      </c>
      <c r="C121" s="42" t="s">
        <v>266</v>
      </c>
      <c r="D121" s="42" t="s">
        <v>74</v>
      </c>
      <c r="E121" s="42" t="s">
        <v>2201</v>
      </c>
      <c r="F121" s="43" t="s">
        <v>1703</v>
      </c>
    </row>
    <row r="122" spans="1:6" ht="17.7" customHeight="1">
      <c r="A122" s="40">
        <v>45744</v>
      </c>
      <c r="B122" s="41" t="s">
        <v>261</v>
      </c>
      <c r="C122" s="42" t="s">
        <v>266</v>
      </c>
      <c r="D122" s="42" t="s">
        <v>74</v>
      </c>
      <c r="E122" s="44" t="s">
        <v>171</v>
      </c>
      <c r="F122" s="43" t="s">
        <v>1702</v>
      </c>
    </row>
    <row r="123" spans="1:6" ht="17.7" customHeight="1">
      <c r="A123" s="40">
        <v>45744</v>
      </c>
      <c r="B123" s="41" t="s">
        <v>261</v>
      </c>
      <c r="C123" s="42" t="s">
        <v>266</v>
      </c>
      <c r="D123" s="42" t="s">
        <v>74</v>
      </c>
      <c r="E123" s="42" t="s">
        <v>173</v>
      </c>
      <c r="F123" s="43" t="s">
        <v>1709</v>
      </c>
    </row>
    <row r="124" spans="1:6" ht="17.7" customHeight="1">
      <c r="A124" s="40">
        <v>45744</v>
      </c>
      <c r="B124" s="41" t="s">
        <v>237</v>
      </c>
      <c r="C124" s="42" t="s">
        <v>242</v>
      </c>
      <c r="D124" s="42" t="s">
        <v>66</v>
      </c>
      <c r="E124" s="42" t="s">
        <v>159</v>
      </c>
      <c r="F124" s="43" t="s">
        <v>1612</v>
      </c>
    </row>
    <row r="125" spans="1:6" ht="17.7" customHeight="1">
      <c r="A125" s="40">
        <v>45744</v>
      </c>
      <c r="B125" s="41" t="s">
        <v>237</v>
      </c>
      <c r="C125" s="42" t="s">
        <v>242</v>
      </c>
      <c r="D125" s="42" t="s">
        <v>66</v>
      </c>
      <c r="E125" s="42" t="s">
        <v>160</v>
      </c>
      <c r="F125" s="43" t="s">
        <v>1613</v>
      </c>
    </row>
    <row r="126" spans="1:6" ht="17.7" customHeight="1">
      <c r="A126" s="40">
        <v>45744</v>
      </c>
      <c r="B126" s="41" t="s">
        <v>237</v>
      </c>
      <c r="C126" s="42" t="s">
        <v>242</v>
      </c>
      <c r="D126" s="42" t="s">
        <v>66</v>
      </c>
      <c r="E126" s="42" t="s">
        <v>161</v>
      </c>
      <c r="F126" s="43" t="s">
        <v>1614</v>
      </c>
    </row>
    <row r="127" spans="1:6" ht="17.7" customHeight="1">
      <c r="A127" s="40">
        <v>45744</v>
      </c>
      <c r="B127" s="41" t="s">
        <v>237</v>
      </c>
      <c r="C127" s="42" t="s">
        <v>242</v>
      </c>
      <c r="D127" s="42" t="s">
        <v>66</v>
      </c>
      <c r="E127" s="42" t="s">
        <v>162</v>
      </c>
      <c r="F127" s="43" t="s">
        <v>1615</v>
      </c>
    </row>
    <row r="128" spans="1:6" ht="17.7" customHeight="1">
      <c r="A128" s="40">
        <v>45744</v>
      </c>
      <c r="B128" s="41" t="s">
        <v>237</v>
      </c>
      <c r="C128" s="42" t="s">
        <v>242</v>
      </c>
      <c r="D128" s="42" t="s">
        <v>66</v>
      </c>
      <c r="E128" s="42" t="s">
        <v>163</v>
      </c>
      <c r="F128" s="43" t="s">
        <v>1620</v>
      </c>
    </row>
    <row r="129" spans="1:6" ht="17.7" customHeight="1">
      <c r="A129" s="40">
        <v>45744</v>
      </c>
      <c r="B129" s="41" t="s">
        <v>237</v>
      </c>
      <c r="C129" s="42" t="s">
        <v>242</v>
      </c>
      <c r="D129" s="42" t="s">
        <v>66</v>
      </c>
      <c r="E129" s="42" t="s">
        <v>164</v>
      </c>
      <c r="F129" s="43" t="s">
        <v>1616</v>
      </c>
    </row>
    <row r="130" spans="1:6" ht="17.7" customHeight="1">
      <c r="A130" s="40">
        <v>45744</v>
      </c>
      <c r="B130" s="41" t="s">
        <v>237</v>
      </c>
      <c r="C130" s="42" t="s">
        <v>242</v>
      </c>
      <c r="D130" s="42" t="s">
        <v>66</v>
      </c>
      <c r="E130" s="42" t="s">
        <v>165</v>
      </c>
      <c r="F130" s="43" t="s">
        <v>1617</v>
      </c>
    </row>
    <row r="131" spans="1:6" ht="17.7" customHeight="1">
      <c r="A131" s="40">
        <v>45744</v>
      </c>
      <c r="B131" s="41" t="s">
        <v>237</v>
      </c>
      <c r="C131" s="42" t="s">
        <v>242</v>
      </c>
      <c r="D131" s="42" t="s">
        <v>66</v>
      </c>
      <c r="E131" s="42" t="s">
        <v>2201</v>
      </c>
      <c r="F131" s="43" t="s">
        <v>1618</v>
      </c>
    </row>
    <row r="132" spans="1:6" ht="17.7" customHeight="1">
      <c r="A132" s="40">
        <v>45744</v>
      </c>
      <c r="B132" s="41" t="s">
        <v>237</v>
      </c>
      <c r="C132" s="42" t="s">
        <v>242</v>
      </c>
      <c r="D132" s="42" t="s">
        <v>66</v>
      </c>
      <c r="E132" s="42" t="s">
        <v>167</v>
      </c>
      <c r="F132" s="43" t="s">
        <v>1619</v>
      </c>
    </row>
    <row r="133" spans="1:6" ht="17.7" customHeight="1">
      <c r="A133" s="40">
        <v>45744</v>
      </c>
      <c r="B133" s="41" t="s">
        <v>237</v>
      </c>
      <c r="C133" s="42" t="s">
        <v>242</v>
      </c>
      <c r="D133" s="42" t="s">
        <v>66</v>
      </c>
      <c r="E133" s="42" t="s">
        <v>539</v>
      </c>
      <c r="F133" s="43" t="s">
        <v>1621</v>
      </c>
    </row>
    <row r="134" spans="1:6" ht="17.7" customHeight="1">
      <c r="A134" s="40">
        <v>45744</v>
      </c>
      <c r="B134" s="41" t="s">
        <v>237</v>
      </c>
      <c r="C134" s="42" t="s">
        <v>242</v>
      </c>
      <c r="D134" s="42" t="s">
        <v>66</v>
      </c>
      <c r="E134" s="42" t="s">
        <v>174</v>
      </c>
      <c r="F134" s="43" t="s">
        <v>1622</v>
      </c>
    </row>
    <row r="135" spans="1:6" ht="17.7" customHeight="1">
      <c r="A135" s="40">
        <v>45744</v>
      </c>
      <c r="B135" s="41" t="s">
        <v>251</v>
      </c>
      <c r="C135" s="42" t="s">
        <v>254</v>
      </c>
      <c r="D135" s="42" t="s">
        <v>69</v>
      </c>
      <c r="E135" s="42" t="s">
        <v>159</v>
      </c>
      <c r="F135" s="43" t="s">
        <v>2206</v>
      </c>
    </row>
    <row r="136" spans="1:6" ht="17.7" customHeight="1">
      <c r="A136" s="40">
        <v>45744</v>
      </c>
      <c r="B136" s="41" t="s">
        <v>251</v>
      </c>
      <c r="C136" s="42" t="s">
        <v>254</v>
      </c>
      <c r="D136" s="42" t="s">
        <v>69</v>
      </c>
      <c r="E136" s="42" t="s">
        <v>159</v>
      </c>
      <c r="F136" s="43" t="s">
        <v>2207</v>
      </c>
    </row>
    <row r="137" spans="1:6" ht="17.7" customHeight="1">
      <c r="A137" s="40">
        <v>45744</v>
      </c>
      <c r="B137" s="41" t="s">
        <v>251</v>
      </c>
      <c r="C137" s="42" t="s">
        <v>254</v>
      </c>
      <c r="D137" s="42" t="s">
        <v>69</v>
      </c>
      <c r="E137" s="42" t="s">
        <v>159</v>
      </c>
      <c r="F137" s="43" t="s">
        <v>2208</v>
      </c>
    </row>
    <row r="138" spans="1:6" ht="17.7" customHeight="1">
      <c r="A138" s="40">
        <v>45744</v>
      </c>
      <c r="B138" s="41" t="s">
        <v>251</v>
      </c>
      <c r="C138" s="42" t="s">
        <v>254</v>
      </c>
      <c r="D138" s="42" t="s">
        <v>69</v>
      </c>
      <c r="E138" s="42" t="s">
        <v>159</v>
      </c>
      <c r="F138" s="43" t="s">
        <v>2209</v>
      </c>
    </row>
    <row r="139" spans="1:6" ht="17.7" customHeight="1">
      <c r="A139" s="40">
        <v>45744</v>
      </c>
      <c r="B139" s="41" t="s">
        <v>251</v>
      </c>
      <c r="C139" s="42" t="s">
        <v>254</v>
      </c>
      <c r="D139" s="42" t="s">
        <v>69</v>
      </c>
      <c r="E139" s="42" t="s">
        <v>159</v>
      </c>
      <c r="F139" s="43" t="s">
        <v>2210</v>
      </c>
    </row>
    <row r="140" spans="1:6" ht="17.7" customHeight="1">
      <c r="A140" s="40">
        <v>45744</v>
      </c>
      <c r="B140" s="41" t="s">
        <v>251</v>
      </c>
      <c r="C140" s="42" t="s">
        <v>254</v>
      </c>
      <c r="D140" s="42" t="s">
        <v>69</v>
      </c>
      <c r="E140" s="42" t="s">
        <v>159</v>
      </c>
      <c r="F140" s="43" t="s">
        <v>2211</v>
      </c>
    </row>
    <row r="141" spans="1:6" ht="17.7" customHeight="1">
      <c r="A141" s="40">
        <v>45744</v>
      </c>
      <c r="B141" s="41" t="s">
        <v>251</v>
      </c>
      <c r="C141" s="42" t="s">
        <v>254</v>
      </c>
      <c r="D141" s="42" t="s">
        <v>69</v>
      </c>
      <c r="E141" s="42" t="s">
        <v>160</v>
      </c>
      <c r="F141" s="43" t="s">
        <v>2212</v>
      </c>
    </row>
    <row r="142" spans="1:6" ht="17.7" customHeight="1">
      <c r="A142" s="40">
        <v>45744</v>
      </c>
      <c r="B142" s="41" t="s">
        <v>251</v>
      </c>
      <c r="C142" s="42" t="s">
        <v>254</v>
      </c>
      <c r="D142" s="42" t="s">
        <v>69</v>
      </c>
      <c r="E142" s="42" t="s">
        <v>160</v>
      </c>
      <c r="F142" s="43" t="s">
        <v>2213</v>
      </c>
    </row>
    <row r="143" spans="1:6" ht="17.7" customHeight="1">
      <c r="A143" s="40">
        <v>45744</v>
      </c>
      <c r="B143" s="41" t="s">
        <v>251</v>
      </c>
      <c r="C143" s="42" t="s">
        <v>254</v>
      </c>
      <c r="D143" s="42" t="s">
        <v>69</v>
      </c>
      <c r="E143" s="42" t="s">
        <v>160</v>
      </c>
      <c r="F143" s="43" t="s">
        <v>2214</v>
      </c>
    </row>
    <row r="144" spans="1:6" ht="17.7" customHeight="1">
      <c r="A144" s="40">
        <v>45744</v>
      </c>
      <c r="B144" s="41" t="s">
        <v>251</v>
      </c>
      <c r="C144" s="42" t="s">
        <v>254</v>
      </c>
      <c r="D144" s="42" t="s">
        <v>69</v>
      </c>
      <c r="E144" s="42" t="s">
        <v>160</v>
      </c>
      <c r="F144" s="43" t="s">
        <v>2215</v>
      </c>
    </row>
    <row r="145" spans="1:6" ht="17.7" customHeight="1">
      <c r="A145" s="40">
        <v>45744</v>
      </c>
      <c r="B145" s="41" t="s">
        <v>251</v>
      </c>
      <c r="C145" s="42" t="s">
        <v>254</v>
      </c>
      <c r="D145" s="42" t="s">
        <v>69</v>
      </c>
      <c r="E145" s="42" t="s">
        <v>161</v>
      </c>
      <c r="F145" s="43" t="s">
        <v>2216</v>
      </c>
    </row>
    <row r="146" spans="1:6" ht="17.7" customHeight="1">
      <c r="A146" s="40">
        <v>45744</v>
      </c>
      <c r="B146" s="41" t="s">
        <v>251</v>
      </c>
      <c r="C146" s="42" t="s">
        <v>254</v>
      </c>
      <c r="D146" s="42" t="s">
        <v>69</v>
      </c>
      <c r="E146" s="42" t="s">
        <v>161</v>
      </c>
      <c r="F146" s="43" t="s">
        <v>2217</v>
      </c>
    </row>
    <row r="147" spans="1:6" ht="17.7" customHeight="1">
      <c r="A147" s="40">
        <v>45744</v>
      </c>
      <c r="B147" s="41" t="s">
        <v>251</v>
      </c>
      <c r="C147" s="42" t="s">
        <v>254</v>
      </c>
      <c r="D147" s="42" t="s">
        <v>69</v>
      </c>
      <c r="E147" s="42" t="s">
        <v>161</v>
      </c>
      <c r="F147" s="43" t="s">
        <v>2218</v>
      </c>
    </row>
    <row r="148" spans="1:6" ht="17.7" customHeight="1">
      <c r="A148" s="40">
        <v>45744</v>
      </c>
      <c r="B148" s="41" t="s">
        <v>251</v>
      </c>
      <c r="C148" s="42" t="s">
        <v>254</v>
      </c>
      <c r="D148" s="42" t="s">
        <v>69</v>
      </c>
      <c r="E148" s="42" t="s">
        <v>161</v>
      </c>
      <c r="F148" s="43" t="s">
        <v>2219</v>
      </c>
    </row>
    <row r="149" spans="1:6" ht="17.7" customHeight="1">
      <c r="A149" s="40">
        <v>45744</v>
      </c>
      <c r="B149" s="41" t="s">
        <v>251</v>
      </c>
      <c r="C149" s="42" t="s">
        <v>254</v>
      </c>
      <c r="D149" s="42" t="s">
        <v>69</v>
      </c>
      <c r="E149" s="42" t="s">
        <v>161</v>
      </c>
      <c r="F149" s="43" t="s">
        <v>2220</v>
      </c>
    </row>
    <row r="150" spans="1:6" ht="17.7" customHeight="1">
      <c r="A150" s="40">
        <v>45744</v>
      </c>
      <c r="B150" s="41" t="s">
        <v>251</v>
      </c>
      <c r="C150" s="42" t="s">
        <v>254</v>
      </c>
      <c r="D150" s="42" t="s">
        <v>69</v>
      </c>
      <c r="E150" s="42" t="s">
        <v>161</v>
      </c>
      <c r="F150" s="43" t="s">
        <v>2221</v>
      </c>
    </row>
    <row r="151" spans="1:6" ht="17.7" customHeight="1">
      <c r="A151" s="40">
        <v>45744</v>
      </c>
      <c r="B151" s="41" t="s">
        <v>251</v>
      </c>
      <c r="C151" s="42" t="s">
        <v>254</v>
      </c>
      <c r="D151" s="42" t="s">
        <v>69</v>
      </c>
      <c r="E151" s="42" t="s">
        <v>161</v>
      </c>
      <c r="F151" s="43" t="s">
        <v>2222</v>
      </c>
    </row>
    <row r="152" spans="1:6" ht="17.7" customHeight="1">
      <c r="A152" s="40">
        <v>45744</v>
      </c>
      <c r="B152" s="41" t="s">
        <v>251</v>
      </c>
      <c r="C152" s="42" t="s">
        <v>254</v>
      </c>
      <c r="D152" s="42" t="s">
        <v>69</v>
      </c>
      <c r="E152" s="42" t="s">
        <v>161</v>
      </c>
      <c r="F152" s="43" t="s">
        <v>2223</v>
      </c>
    </row>
    <row r="153" spans="1:6" ht="17.7" customHeight="1">
      <c r="A153" s="40">
        <v>45744</v>
      </c>
      <c r="B153" s="41" t="s">
        <v>251</v>
      </c>
      <c r="C153" s="42" t="s">
        <v>254</v>
      </c>
      <c r="D153" s="42" t="s">
        <v>69</v>
      </c>
      <c r="E153" s="42" t="s">
        <v>161</v>
      </c>
      <c r="F153" s="43" t="s">
        <v>2224</v>
      </c>
    </row>
    <row r="154" spans="1:6" ht="17.7" customHeight="1">
      <c r="A154" s="40">
        <v>45744</v>
      </c>
      <c r="B154" s="41" t="s">
        <v>251</v>
      </c>
      <c r="C154" s="42" t="s">
        <v>254</v>
      </c>
      <c r="D154" s="42" t="s">
        <v>69</v>
      </c>
      <c r="E154" s="42" t="s">
        <v>161</v>
      </c>
      <c r="F154" s="43" t="s">
        <v>2225</v>
      </c>
    </row>
    <row r="155" spans="1:6" ht="17.7" customHeight="1">
      <c r="A155" s="40">
        <v>45744</v>
      </c>
      <c r="B155" s="41" t="s">
        <v>251</v>
      </c>
      <c r="C155" s="42" t="s">
        <v>254</v>
      </c>
      <c r="D155" s="42" t="s">
        <v>69</v>
      </c>
      <c r="E155" s="42" t="s">
        <v>162</v>
      </c>
      <c r="F155" s="43" t="s">
        <v>2226</v>
      </c>
    </row>
    <row r="156" spans="1:6" ht="17.7" customHeight="1">
      <c r="A156" s="40">
        <v>45744</v>
      </c>
      <c r="B156" s="41" t="s">
        <v>251</v>
      </c>
      <c r="C156" s="42" t="s">
        <v>254</v>
      </c>
      <c r="D156" s="42" t="s">
        <v>69</v>
      </c>
      <c r="E156" s="42" t="s">
        <v>164</v>
      </c>
      <c r="F156" s="43" t="s">
        <v>2227</v>
      </c>
    </row>
    <row r="157" spans="1:6" ht="17.7" customHeight="1">
      <c r="A157" s="40">
        <v>45744</v>
      </c>
      <c r="B157" s="41" t="s">
        <v>251</v>
      </c>
      <c r="C157" s="42" t="s">
        <v>254</v>
      </c>
      <c r="D157" s="42" t="s">
        <v>69</v>
      </c>
      <c r="E157" s="42" t="s">
        <v>165</v>
      </c>
      <c r="F157" s="43" t="s">
        <v>2228</v>
      </c>
    </row>
    <row r="158" spans="1:6" ht="17.7" customHeight="1">
      <c r="A158" s="40">
        <v>45744</v>
      </c>
      <c r="B158" s="41" t="s">
        <v>251</v>
      </c>
      <c r="C158" s="42" t="s">
        <v>254</v>
      </c>
      <c r="D158" s="42" t="s">
        <v>69</v>
      </c>
      <c r="E158" s="42" t="s">
        <v>2201</v>
      </c>
      <c r="F158" s="43" t="s">
        <v>2229</v>
      </c>
    </row>
    <row r="159" spans="1:6" ht="17.7" customHeight="1">
      <c r="A159" s="40">
        <v>45744</v>
      </c>
      <c r="B159" s="41" t="s">
        <v>251</v>
      </c>
      <c r="C159" s="42" t="s">
        <v>254</v>
      </c>
      <c r="D159" s="42" t="s">
        <v>69</v>
      </c>
      <c r="E159" s="42" t="s">
        <v>2201</v>
      </c>
      <c r="F159" s="43" t="s">
        <v>2230</v>
      </c>
    </row>
    <row r="160" spans="1:6" ht="17.7" customHeight="1">
      <c r="A160" s="40">
        <v>45744</v>
      </c>
      <c r="B160" s="41" t="s">
        <v>251</v>
      </c>
      <c r="C160" s="42" t="s">
        <v>254</v>
      </c>
      <c r="D160" s="42" t="s">
        <v>69</v>
      </c>
      <c r="E160" s="42" t="s">
        <v>2201</v>
      </c>
      <c r="F160" s="43" t="s">
        <v>2231</v>
      </c>
    </row>
    <row r="161" spans="1:6" ht="17.7" customHeight="1">
      <c r="A161" s="40">
        <v>45744</v>
      </c>
      <c r="B161" s="41" t="s">
        <v>251</v>
      </c>
      <c r="C161" s="42" t="s">
        <v>254</v>
      </c>
      <c r="D161" s="42" t="s">
        <v>69</v>
      </c>
      <c r="E161" s="42" t="s">
        <v>169</v>
      </c>
      <c r="F161" s="43" t="s">
        <v>2232</v>
      </c>
    </row>
    <row r="162" spans="1:6" ht="17.7" customHeight="1">
      <c r="A162" s="40">
        <v>45744</v>
      </c>
      <c r="B162" s="41" t="s">
        <v>251</v>
      </c>
      <c r="C162" s="42" t="s">
        <v>254</v>
      </c>
      <c r="D162" s="42" t="s">
        <v>69</v>
      </c>
      <c r="E162" s="42" t="s">
        <v>171</v>
      </c>
      <c r="F162" s="43" t="s">
        <v>2233</v>
      </c>
    </row>
    <row r="163" spans="1:6" ht="17.7" customHeight="1">
      <c r="A163" s="40">
        <v>45744</v>
      </c>
      <c r="B163" s="41" t="s">
        <v>251</v>
      </c>
      <c r="C163" s="42" t="s">
        <v>254</v>
      </c>
      <c r="D163" s="42" t="s">
        <v>69</v>
      </c>
      <c r="E163" s="42" t="s">
        <v>173</v>
      </c>
      <c r="F163" s="43" t="s">
        <v>2234</v>
      </c>
    </row>
    <row r="164" spans="1:6" ht="17.7" customHeight="1">
      <c r="A164" s="40">
        <v>45744</v>
      </c>
      <c r="B164" s="41" t="s">
        <v>359</v>
      </c>
      <c r="C164" s="42" t="s">
        <v>362</v>
      </c>
      <c r="D164" s="46" t="s">
        <v>111</v>
      </c>
      <c r="E164" s="42" t="s">
        <v>159</v>
      </c>
      <c r="F164" s="43" t="s">
        <v>889</v>
      </c>
    </row>
    <row r="165" spans="1:6" ht="17.7" customHeight="1">
      <c r="A165" s="40">
        <v>45744</v>
      </c>
      <c r="B165" s="41" t="s">
        <v>359</v>
      </c>
      <c r="C165" s="42" t="s">
        <v>362</v>
      </c>
      <c r="D165" s="46" t="s">
        <v>111</v>
      </c>
      <c r="E165" s="42" t="s">
        <v>160</v>
      </c>
      <c r="F165" s="43" t="s">
        <v>890</v>
      </c>
    </row>
    <row r="166" spans="1:6" ht="17.7" customHeight="1">
      <c r="A166" s="40">
        <v>45744</v>
      </c>
      <c r="B166" s="41" t="s">
        <v>359</v>
      </c>
      <c r="C166" s="42" t="s">
        <v>362</v>
      </c>
      <c r="D166" s="46" t="s">
        <v>111</v>
      </c>
      <c r="E166" s="42" t="s">
        <v>161</v>
      </c>
      <c r="F166" s="43" t="s">
        <v>891</v>
      </c>
    </row>
    <row r="167" spans="1:6" ht="17.7" customHeight="1">
      <c r="A167" s="40">
        <v>45744</v>
      </c>
      <c r="B167" s="41" t="s">
        <v>359</v>
      </c>
      <c r="C167" s="42" t="s">
        <v>362</v>
      </c>
      <c r="D167" s="46" t="s">
        <v>111</v>
      </c>
      <c r="E167" s="42" t="s">
        <v>162</v>
      </c>
      <c r="F167" s="43" t="s">
        <v>892</v>
      </c>
    </row>
    <row r="168" spans="1:6" ht="17.7" customHeight="1">
      <c r="A168" s="40">
        <v>45744</v>
      </c>
      <c r="B168" s="41" t="s">
        <v>359</v>
      </c>
      <c r="C168" s="42" t="s">
        <v>362</v>
      </c>
      <c r="D168" s="46" t="s">
        <v>111</v>
      </c>
      <c r="E168" s="42" t="s">
        <v>164</v>
      </c>
      <c r="F168" s="43" t="s">
        <v>893</v>
      </c>
    </row>
    <row r="169" spans="1:6" ht="17.7" customHeight="1">
      <c r="A169" s="40">
        <v>45744</v>
      </c>
      <c r="B169" s="41" t="s">
        <v>359</v>
      </c>
      <c r="C169" s="42" t="s">
        <v>362</v>
      </c>
      <c r="D169" s="46" t="s">
        <v>111</v>
      </c>
      <c r="E169" s="42" t="s">
        <v>165</v>
      </c>
      <c r="F169" s="43" t="s">
        <v>894</v>
      </c>
    </row>
    <row r="170" spans="1:6" ht="17.7" customHeight="1">
      <c r="A170" s="40">
        <v>45744</v>
      </c>
      <c r="B170" s="41" t="s">
        <v>359</v>
      </c>
      <c r="C170" s="42" t="s">
        <v>362</v>
      </c>
      <c r="D170" s="46" t="s">
        <v>111</v>
      </c>
      <c r="E170" s="42" t="s">
        <v>2201</v>
      </c>
      <c r="F170" s="43" t="s">
        <v>895</v>
      </c>
    </row>
    <row r="171" spans="1:6" ht="17.7" customHeight="1">
      <c r="A171" s="40">
        <v>45744</v>
      </c>
      <c r="B171" s="41" t="s">
        <v>359</v>
      </c>
      <c r="C171" s="42" t="s">
        <v>362</v>
      </c>
      <c r="D171" s="46" t="s">
        <v>111</v>
      </c>
      <c r="E171" s="44" t="s">
        <v>2202</v>
      </c>
      <c r="F171" s="43" t="s">
        <v>896</v>
      </c>
    </row>
    <row r="172" spans="1:6" ht="17.7" customHeight="1">
      <c r="A172" s="40">
        <v>45744</v>
      </c>
      <c r="B172" s="41" t="s">
        <v>359</v>
      </c>
      <c r="C172" s="42" t="s">
        <v>362</v>
      </c>
      <c r="D172" s="46" t="s">
        <v>111</v>
      </c>
      <c r="E172" s="42" t="s">
        <v>169</v>
      </c>
      <c r="F172" s="43" t="s">
        <v>897</v>
      </c>
    </row>
    <row r="173" spans="1:6" ht="17.7" customHeight="1">
      <c r="A173" s="40">
        <v>45744</v>
      </c>
      <c r="B173" s="41" t="s">
        <v>359</v>
      </c>
      <c r="C173" s="42" t="s">
        <v>362</v>
      </c>
      <c r="D173" s="46" t="s">
        <v>111</v>
      </c>
      <c r="E173" s="42" t="s">
        <v>539</v>
      </c>
      <c r="F173" s="43" t="s">
        <v>898</v>
      </c>
    </row>
    <row r="174" spans="1:6" ht="17.7" customHeight="1">
      <c r="A174" s="40">
        <v>45744</v>
      </c>
      <c r="B174" s="41" t="s">
        <v>359</v>
      </c>
      <c r="C174" s="42" t="s">
        <v>362</v>
      </c>
      <c r="D174" s="46" t="s">
        <v>111</v>
      </c>
      <c r="E174" s="42" t="s">
        <v>173</v>
      </c>
      <c r="F174" s="43" t="s">
        <v>2235</v>
      </c>
    </row>
    <row r="175" spans="1:6" ht="17.7" customHeight="1">
      <c r="A175" s="40">
        <v>45744</v>
      </c>
      <c r="B175" s="41" t="s">
        <v>359</v>
      </c>
      <c r="C175" s="42" t="s">
        <v>362</v>
      </c>
      <c r="D175" s="46" t="s">
        <v>111</v>
      </c>
      <c r="E175" s="42" t="s">
        <v>174</v>
      </c>
      <c r="F175" s="43" t="s">
        <v>900</v>
      </c>
    </row>
    <row r="176" spans="1:6" ht="17.7" customHeight="1">
      <c r="A176" s="40">
        <v>45744</v>
      </c>
      <c r="B176" s="41" t="s">
        <v>311</v>
      </c>
      <c r="C176" s="42" t="s">
        <v>318</v>
      </c>
      <c r="D176" s="42" t="s">
        <v>95</v>
      </c>
      <c r="E176" s="42" t="s">
        <v>159</v>
      </c>
      <c r="F176" s="43" t="s">
        <v>1564</v>
      </c>
    </row>
    <row r="177" spans="1:6" ht="17.7" customHeight="1">
      <c r="A177" s="40">
        <v>45744</v>
      </c>
      <c r="B177" s="41" t="s">
        <v>311</v>
      </c>
      <c r="C177" s="42" t="s">
        <v>318</v>
      </c>
      <c r="D177" s="42" t="s">
        <v>95</v>
      </c>
      <c r="E177" s="42" t="s">
        <v>160</v>
      </c>
      <c r="F177" s="43" t="s">
        <v>2236</v>
      </c>
    </row>
    <row r="178" spans="1:6" ht="17.7" customHeight="1">
      <c r="A178" s="40">
        <v>45744</v>
      </c>
      <c r="B178" s="41" t="s">
        <v>311</v>
      </c>
      <c r="C178" s="42" t="s">
        <v>318</v>
      </c>
      <c r="D178" s="42" t="s">
        <v>95</v>
      </c>
      <c r="E178" s="42" t="s">
        <v>161</v>
      </c>
      <c r="F178" s="43" t="s">
        <v>1566</v>
      </c>
    </row>
    <row r="179" spans="1:6" ht="17.7" customHeight="1">
      <c r="A179" s="40">
        <v>45744</v>
      </c>
      <c r="B179" s="41" t="s">
        <v>311</v>
      </c>
      <c r="C179" s="42" t="s">
        <v>318</v>
      </c>
      <c r="D179" s="42" t="s">
        <v>95</v>
      </c>
      <c r="E179" s="42" t="s">
        <v>162</v>
      </c>
      <c r="F179" s="43" t="s">
        <v>1567</v>
      </c>
    </row>
    <row r="180" spans="1:6" ht="17.7" customHeight="1">
      <c r="A180" s="40">
        <v>45744</v>
      </c>
      <c r="B180" s="41" t="s">
        <v>311</v>
      </c>
      <c r="C180" s="42" t="s">
        <v>318</v>
      </c>
      <c r="D180" s="42" t="s">
        <v>95</v>
      </c>
      <c r="E180" s="42" t="s">
        <v>163</v>
      </c>
      <c r="F180" s="43" t="s">
        <v>1571</v>
      </c>
    </row>
    <row r="181" spans="1:6" ht="17.7" customHeight="1">
      <c r="A181" s="40">
        <v>45744</v>
      </c>
      <c r="B181" s="41" t="s">
        <v>311</v>
      </c>
      <c r="C181" s="42" t="s">
        <v>318</v>
      </c>
      <c r="D181" s="42" t="s">
        <v>95</v>
      </c>
      <c r="E181" s="42" t="s">
        <v>164</v>
      </c>
      <c r="F181" s="43" t="s">
        <v>1568</v>
      </c>
    </row>
    <row r="182" spans="1:6" ht="17.7" customHeight="1">
      <c r="A182" s="40">
        <v>45744</v>
      </c>
      <c r="B182" s="41" t="s">
        <v>311</v>
      </c>
      <c r="C182" s="42" t="s">
        <v>318</v>
      </c>
      <c r="D182" s="42" t="s">
        <v>95</v>
      </c>
      <c r="E182" s="42" t="s">
        <v>165</v>
      </c>
      <c r="F182" s="43" t="s">
        <v>1569</v>
      </c>
    </row>
    <row r="183" spans="1:6" ht="17.7" customHeight="1">
      <c r="A183" s="40">
        <v>45744</v>
      </c>
      <c r="B183" s="41" t="s">
        <v>311</v>
      </c>
      <c r="C183" s="42" t="s">
        <v>318</v>
      </c>
      <c r="D183" s="42" t="s">
        <v>95</v>
      </c>
      <c r="E183" s="42" t="s">
        <v>2201</v>
      </c>
      <c r="F183" s="43" t="s">
        <v>1570</v>
      </c>
    </row>
    <row r="184" spans="1:6" ht="17.7" customHeight="1">
      <c r="A184" s="40">
        <v>45744</v>
      </c>
      <c r="B184" s="41" t="s">
        <v>345</v>
      </c>
      <c r="C184" s="42" t="s">
        <v>352</v>
      </c>
      <c r="D184" s="42" t="s">
        <v>107</v>
      </c>
      <c r="E184" s="42" t="s">
        <v>159</v>
      </c>
      <c r="F184" s="43" t="s">
        <v>1242</v>
      </c>
    </row>
    <row r="185" spans="1:6" ht="17.7" customHeight="1">
      <c r="A185" s="40">
        <v>45744</v>
      </c>
      <c r="B185" s="41" t="s">
        <v>345</v>
      </c>
      <c r="C185" s="42" t="s">
        <v>352</v>
      </c>
      <c r="D185" s="42" t="s">
        <v>107</v>
      </c>
      <c r="E185" s="42" t="s">
        <v>160</v>
      </c>
      <c r="F185" s="43" t="s">
        <v>1243</v>
      </c>
    </row>
    <row r="186" spans="1:6" ht="17.7" customHeight="1">
      <c r="A186" s="40">
        <v>45744</v>
      </c>
      <c r="B186" s="41" t="s">
        <v>345</v>
      </c>
      <c r="C186" s="42" t="s">
        <v>352</v>
      </c>
      <c r="D186" s="42" t="s">
        <v>107</v>
      </c>
      <c r="E186" s="42" t="s">
        <v>163</v>
      </c>
      <c r="F186" s="43" t="s">
        <v>1244</v>
      </c>
    </row>
    <row r="187" spans="1:6" ht="17.7" customHeight="1">
      <c r="A187" s="40">
        <v>45744</v>
      </c>
      <c r="B187" s="41" t="s">
        <v>345</v>
      </c>
      <c r="C187" s="42" t="s">
        <v>352</v>
      </c>
      <c r="D187" s="42" t="s">
        <v>107</v>
      </c>
      <c r="E187" s="42" t="s">
        <v>169</v>
      </c>
      <c r="F187" s="43" t="s">
        <v>1245</v>
      </c>
    </row>
    <row r="188" spans="1:6" ht="17.7" customHeight="1">
      <c r="A188" s="40">
        <v>45744</v>
      </c>
      <c r="B188" s="41" t="s">
        <v>345</v>
      </c>
      <c r="C188" s="42" t="s">
        <v>352</v>
      </c>
      <c r="D188" s="42" t="s">
        <v>107</v>
      </c>
      <c r="E188" s="42" t="s">
        <v>173</v>
      </c>
      <c r="F188" s="43" t="s">
        <v>1246</v>
      </c>
    </row>
    <row r="189" spans="1:6" ht="17.7" customHeight="1">
      <c r="A189" s="40">
        <v>45744</v>
      </c>
      <c r="B189" s="41" t="s">
        <v>271</v>
      </c>
      <c r="C189" s="42" t="s">
        <v>275</v>
      </c>
      <c r="D189" s="42" t="s">
        <v>78</v>
      </c>
      <c r="E189" s="44" t="s">
        <v>159</v>
      </c>
      <c r="F189" s="47" t="s">
        <v>2175</v>
      </c>
    </row>
    <row r="190" spans="1:6" ht="17.7" customHeight="1">
      <c r="A190" s="40">
        <v>45744</v>
      </c>
      <c r="B190" s="41" t="s">
        <v>271</v>
      </c>
      <c r="C190" s="42" t="s">
        <v>275</v>
      </c>
      <c r="D190" s="42" t="s">
        <v>78</v>
      </c>
      <c r="E190" s="44" t="s">
        <v>160</v>
      </c>
      <c r="F190" s="47" t="s">
        <v>2176</v>
      </c>
    </row>
    <row r="191" spans="1:6" ht="17.7" customHeight="1">
      <c r="A191" s="40">
        <v>45744</v>
      </c>
      <c r="B191" s="41" t="s">
        <v>271</v>
      </c>
      <c r="C191" s="42" t="s">
        <v>275</v>
      </c>
      <c r="D191" s="42" t="s">
        <v>78</v>
      </c>
      <c r="E191" s="44" t="s">
        <v>160</v>
      </c>
      <c r="F191" s="47" t="s">
        <v>2177</v>
      </c>
    </row>
    <row r="192" spans="1:6" ht="17.7" customHeight="1">
      <c r="A192" s="40">
        <v>45744</v>
      </c>
      <c r="B192" s="41" t="s">
        <v>271</v>
      </c>
      <c r="C192" s="42" t="s">
        <v>275</v>
      </c>
      <c r="D192" s="42" t="s">
        <v>78</v>
      </c>
      <c r="E192" s="44" t="s">
        <v>160</v>
      </c>
      <c r="F192" s="47" t="s">
        <v>2178</v>
      </c>
    </row>
    <row r="193" spans="1:6" ht="17.7" customHeight="1">
      <c r="A193" s="40">
        <v>45744</v>
      </c>
      <c r="B193" s="41" t="s">
        <v>271</v>
      </c>
      <c r="C193" s="42" t="s">
        <v>275</v>
      </c>
      <c r="D193" s="42" t="s">
        <v>78</v>
      </c>
      <c r="E193" s="44" t="s">
        <v>161</v>
      </c>
      <c r="F193" s="47" t="s">
        <v>2179</v>
      </c>
    </row>
    <row r="194" spans="1:6" ht="17.7" customHeight="1">
      <c r="A194" s="40">
        <v>45744</v>
      </c>
      <c r="B194" s="41" t="s">
        <v>271</v>
      </c>
      <c r="C194" s="42" t="s">
        <v>275</v>
      </c>
      <c r="D194" s="42" t="s">
        <v>78</v>
      </c>
      <c r="E194" s="44" t="s">
        <v>161</v>
      </c>
      <c r="F194" s="47" t="s">
        <v>2180</v>
      </c>
    </row>
    <row r="195" spans="1:6" ht="17.7" customHeight="1">
      <c r="A195" s="40">
        <v>45744</v>
      </c>
      <c r="B195" s="41" t="s">
        <v>271</v>
      </c>
      <c r="C195" s="42" t="s">
        <v>275</v>
      </c>
      <c r="D195" s="42" t="s">
        <v>78</v>
      </c>
      <c r="E195" s="44" t="s">
        <v>161</v>
      </c>
      <c r="F195" s="47" t="s">
        <v>2181</v>
      </c>
    </row>
    <row r="196" spans="1:6" ht="17.7" customHeight="1">
      <c r="A196" s="40">
        <v>45744</v>
      </c>
      <c r="B196" s="41" t="s">
        <v>271</v>
      </c>
      <c r="C196" s="42" t="s">
        <v>275</v>
      </c>
      <c r="D196" s="42" t="s">
        <v>78</v>
      </c>
      <c r="E196" s="44" t="s">
        <v>161</v>
      </c>
      <c r="F196" s="47" t="s">
        <v>2182</v>
      </c>
    </row>
    <row r="197" spans="1:6" ht="17.7" customHeight="1">
      <c r="A197" s="40">
        <v>45744</v>
      </c>
      <c r="B197" s="41" t="s">
        <v>271</v>
      </c>
      <c r="C197" s="42" t="s">
        <v>275</v>
      </c>
      <c r="D197" s="42" t="s">
        <v>78</v>
      </c>
      <c r="E197" s="44" t="s">
        <v>161</v>
      </c>
      <c r="F197" s="47" t="s">
        <v>2183</v>
      </c>
    </row>
    <row r="198" spans="1:6" ht="17.7" customHeight="1">
      <c r="A198" s="40">
        <v>45744</v>
      </c>
      <c r="B198" s="41" t="s">
        <v>271</v>
      </c>
      <c r="C198" s="42" t="s">
        <v>275</v>
      </c>
      <c r="D198" s="42" t="s">
        <v>78</v>
      </c>
      <c r="E198" s="44" t="s">
        <v>161</v>
      </c>
      <c r="F198" s="47" t="s">
        <v>2184</v>
      </c>
    </row>
    <row r="199" spans="1:6" ht="17.7" customHeight="1">
      <c r="A199" s="40">
        <v>45744</v>
      </c>
      <c r="B199" s="41" t="s">
        <v>271</v>
      </c>
      <c r="C199" s="42" t="s">
        <v>275</v>
      </c>
      <c r="D199" s="42" t="s">
        <v>78</v>
      </c>
      <c r="E199" s="44" t="s">
        <v>161</v>
      </c>
      <c r="F199" s="47" t="s">
        <v>2185</v>
      </c>
    </row>
    <row r="200" spans="1:6" ht="17.7" customHeight="1">
      <c r="A200" s="40">
        <v>45744</v>
      </c>
      <c r="B200" s="41" t="s">
        <v>271</v>
      </c>
      <c r="C200" s="42" t="s">
        <v>275</v>
      </c>
      <c r="D200" s="42" t="s">
        <v>78</v>
      </c>
      <c r="E200" s="44" t="s">
        <v>161</v>
      </c>
      <c r="F200" s="47" t="s">
        <v>2186</v>
      </c>
    </row>
    <row r="201" spans="1:6" ht="17.7" customHeight="1">
      <c r="A201" s="40">
        <v>45744</v>
      </c>
      <c r="B201" s="41" t="s">
        <v>271</v>
      </c>
      <c r="C201" s="42" t="s">
        <v>275</v>
      </c>
      <c r="D201" s="42" t="s">
        <v>78</v>
      </c>
      <c r="E201" s="44" t="s">
        <v>2237</v>
      </c>
      <c r="F201" s="47" t="s">
        <v>2187</v>
      </c>
    </row>
    <row r="202" spans="1:6" ht="17.7" customHeight="1">
      <c r="A202" s="40">
        <v>45744</v>
      </c>
      <c r="B202" s="41" t="s">
        <v>271</v>
      </c>
      <c r="C202" s="42" t="s">
        <v>275</v>
      </c>
      <c r="D202" s="42" t="s">
        <v>78</v>
      </c>
      <c r="E202" s="44" t="s">
        <v>165</v>
      </c>
      <c r="F202" s="47" t="s">
        <v>2188</v>
      </c>
    </row>
    <row r="203" spans="1:6" ht="17.7" customHeight="1">
      <c r="A203" s="40">
        <v>45744</v>
      </c>
      <c r="B203" s="41" t="s">
        <v>271</v>
      </c>
      <c r="C203" s="42" t="s">
        <v>275</v>
      </c>
      <c r="D203" s="42" t="s">
        <v>78</v>
      </c>
      <c r="E203" s="42" t="s">
        <v>2201</v>
      </c>
      <c r="F203" s="47" t="s">
        <v>2189</v>
      </c>
    </row>
    <row r="204" spans="1:6" ht="17.7" customHeight="1">
      <c r="A204" s="40">
        <v>45744</v>
      </c>
      <c r="B204" s="41" t="s">
        <v>271</v>
      </c>
      <c r="C204" s="42" t="s">
        <v>275</v>
      </c>
      <c r="D204" s="42" t="s">
        <v>78</v>
      </c>
      <c r="E204" s="42" t="s">
        <v>2201</v>
      </c>
      <c r="F204" s="47" t="s">
        <v>2190</v>
      </c>
    </row>
    <row r="205" spans="1:6" ht="17.7" customHeight="1">
      <c r="A205" s="40">
        <v>45744</v>
      </c>
      <c r="B205" s="41" t="s">
        <v>271</v>
      </c>
      <c r="C205" s="42" t="s">
        <v>275</v>
      </c>
      <c r="D205" s="42" t="s">
        <v>78</v>
      </c>
      <c r="E205" s="42" t="s">
        <v>2201</v>
      </c>
      <c r="F205" s="47" t="s">
        <v>2191</v>
      </c>
    </row>
    <row r="206" spans="1:6" ht="17.7" customHeight="1">
      <c r="A206" s="40">
        <v>45744</v>
      </c>
      <c r="B206" s="41" t="s">
        <v>271</v>
      </c>
      <c r="C206" s="42" t="s">
        <v>275</v>
      </c>
      <c r="D206" s="42" t="s">
        <v>78</v>
      </c>
      <c r="E206" s="42" t="s">
        <v>2201</v>
      </c>
      <c r="F206" s="47" t="s">
        <v>2192</v>
      </c>
    </row>
    <row r="207" spans="1:6" ht="17.7" customHeight="1">
      <c r="A207" s="40">
        <v>45744</v>
      </c>
      <c r="B207" s="41" t="s">
        <v>271</v>
      </c>
      <c r="C207" s="42" t="s">
        <v>275</v>
      </c>
      <c r="D207" s="42" t="s">
        <v>78</v>
      </c>
      <c r="E207" s="44" t="s">
        <v>539</v>
      </c>
      <c r="F207" s="47" t="s">
        <v>2193</v>
      </c>
    </row>
    <row r="208" spans="1:6" ht="17.7" customHeight="1">
      <c r="A208" s="40">
        <v>45744</v>
      </c>
      <c r="B208" s="41" t="s">
        <v>271</v>
      </c>
      <c r="C208" s="42" t="s">
        <v>275</v>
      </c>
      <c r="D208" s="42" t="s">
        <v>78</v>
      </c>
      <c r="E208" s="44" t="s">
        <v>173</v>
      </c>
      <c r="F208" s="47" t="s">
        <v>2238</v>
      </c>
    </row>
    <row r="209" spans="1:6" ht="17.7" customHeight="1">
      <c r="A209" s="40">
        <v>45744</v>
      </c>
      <c r="B209" s="41" t="s">
        <v>201</v>
      </c>
      <c r="C209" s="42" t="s">
        <v>209</v>
      </c>
      <c r="D209" s="42" t="s">
        <v>55</v>
      </c>
      <c r="E209" s="44" t="s">
        <v>159</v>
      </c>
      <c r="F209" s="47" t="s">
        <v>2092</v>
      </c>
    </row>
    <row r="210" spans="1:6" ht="17.7" customHeight="1">
      <c r="A210" s="40">
        <v>45744</v>
      </c>
      <c r="B210" s="41" t="s">
        <v>201</v>
      </c>
      <c r="C210" s="42" t="s">
        <v>209</v>
      </c>
      <c r="D210" s="42" t="s">
        <v>55</v>
      </c>
      <c r="E210" s="44" t="s">
        <v>159</v>
      </c>
      <c r="F210" s="47" t="s">
        <v>2093</v>
      </c>
    </row>
    <row r="211" spans="1:6" ht="17.7" customHeight="1">
      <c r="A211" s="40">
        <v>45744</v>
      </c>
      <c r="B211" s="41" t="s">
        <v>201</v>
      </c>
      <c r="C211" s="42" t="s">
        <v>209</v>
      </c>
      <c r="D211" s="42" t="s">
        <v>55</v>
      </c>
      <c r="E211" s="44" t="s">
        <v>159</v>
      </c>
      <c r="F211" s="47" t="s">
        <v>2094</v>
      </c>
    </row>
    <row r="212" spans="1:6" ht="17.7" customHeight="1">
      <c r="A212" s="40">
        <v>45744</v>
      </c>
      <c r="B212" s="41" t="s">
        <v>201</v>
      </c>
      <c r="C212" s="42" t="s">
        <v>209</v>
      </c>
      <c r="D212" s="42" t="s">
        <v>55</v>
      </c>
      <c r="E212" s="44" t="s">
        <v>159</v>
      </c>
      <c r="F212" s="47" t="s">
        <v>2095</v>
      </c>
    </row>
    <row r="213" spans="1:6" ht="17.7" customHeight="1">
      <c r="A213" s="40">
        <v>45744</v>
      </c>
      <c r="B213" s="41" t="s">
        <v>201</v>
      </c>
      <c r="C213" s="42" t="s">
        <v>209</v>
      </c>
      <c r="D213" s="42" t="s">
        <v>55</v>
      </c>
      <c r="E213" s="44" t="s">
        <v>159</v>
      </c>
      <c r="F213" s="47" t="s">
        <v>2096</v>
      </c>
    </row>
    <row r="214" spans="1:6" ht="17.7" customHeight="1">
      <c r="A214" s="40">
        <v>45744</v>
      </c>
      <c r="B214" s="41" t="s">
        <v>201</v>
      </c>
      <c r="C214" s="42" t="s">
        <v>209</v>
      </c>
      <c r="D214" s="42" t="s">
        <v>55</v>
      </c>
      <c r="E214" s="44" t="s">
        <v>159</v>
      </c>
      <c r="F214" s="47" t="s">
        <v>2097</v>
      </c>
    </row>
    <row r="215" spans="1:6" ht="17.7" customHeight="1">
      <c r="A215" s="40">
        <v>45744</v>
      </c>
      <c r="B215" s="41" t="s">
        <v>201</v>
      </c>
      <c r="C215" s="42" t="s">
        <v>209</v>
      </c>
      <c r="D215" s="42" t="s">
        <v>55</v>
      </c>
      <c r="E215" s="44" t="s">
        <v>159</v>
      </c>
      <c r="F215" s="47" t="s">
        <v>2098</v>
      </c>
    </row>
    <row r="216" spans="1:6" ht="17.7" customHeight="1">
      <c r="A216" s="40">
        <v>45744</v>
      </c>
      <c r="B216" s="41" t="s">
        <v>201</v>
      </c>
      <c r="C216" s="42" t="s">
        <v>209</v>
      </c>
      <c r="D216" s="42" t="s">
        <v>55</v>
      </c>
      <c r="E216" s="44" t="s">
        <v>160</v>
      </c>
      <c r="F216" s="47" t="s">
        <v>2099</v>
      </c>
    </row>
    <row r="217" spans="1:6" ht="17.7" customHeight="1">
      <c r="A217" s="40">
        <v>45744</v>
      </c>
      <c r="B217" s="41" t="s">
        <v>201</v>
      </c>
      <c r="C217" s="42" t="s">
        <v>209</v>
      </c>
      <c r="D217" s="42" t="s">
        <v>55</v>
      </c>
      <c r="E217" s="44" t="s">
        <v>160</v>
      </c>
      <c r="F217" s="47" t="s">
        <v>2100</v>
      </c>
    </row>
    <row r="218" spans="1:6" ht="17.7" customHeight="1">
      <c r="A218" s="40">
        <v>45744</v>
      </c>
      <c r="B218" s="41" t="s">
        <v>201</v>
      </c>
      <c r="C218" s="42" t="s">
        <v>209</v>
      </c>
      <c r="D218" s="42" t="s">
        <v>55</v>
      </c>
      <c r="E218" s="44" t="s">
        <v>160</v>
      </c>
      <c r="F218" s="47" t="s">
        <v>2101</v>
      </c>
    </row>
    <row r="219" spans="1:6" ht="17.7" customHeight="1">
      <c r="A219" s="40">
        <v>45744</v>
      </c>
      <c r="B219" s="41" t="s">
        <v>201</v>
      </c>
      <c r="C219" s="42" t="s">
        <v>209</v>
      </c>
      <c r="D219" s="42" t="s">
        <v>55</v>
      </c>
      <c r="E219" s="44" t="s">
        <v>160</v>
      </c>
      <c r="F219" s="47" t="s">
        <v>2102</v>
      </c>
    </row>
    <row r="220" spans="1:6" ht="17.7" customHeight="1">
      <c r="A220" s="40">
        <v>45744</v>
      </c>
      <c r="B220" s="41" t="s">
        <v>201</v>
      </c>
      <c r="C220" s="42" t="s">
        <v>209</v>
      </c>
      <c r="D220" s="42" t="s">
        <v>55</v>
      </c>
      <c r="E220" s="44" t="s">
        <v>160</v>
      </c>
      <c r="F220" s="47" t="s">
        <v>2103</v>
      </c>
    </row>
    <row r="221" spans="1:6" ht="17.7" customHeight="1">
      <c r="A221" s="40">
        <v>45744</v>
      </c>
      <c r="B221" s="41" t="s">
        <v>201</v>
      </c>
      <c r="C221" s="42" t="s">
        <v>209</v>
      </c>
      <c r="D221" s="42" t="s">
        <v>55</v>
      </c>
      <c r="E221" s="44" t="s">
        <v>160</v>
      </c>
      <c r="F221" s="47" t="s">
        <v>2104</v>
      </c>
    </row>
    <row r="222" spans="1:6" ht="17.7" customHeight="1">
      <c r="A222" s="40">
        <v>45744</v>
      </c>
      <c r="B222" s="41" t="s">
        <v>201</v>
      </c>
      <c r="C222" s="42" t="s">
        <v>209</v>
      </c>
      <c r="D222" s="42" t="s">
        <v>55</v>
      </c>
      <c r="E222" s="44" t="s">
        <v>160</v>
      </c>
      <c r="F222" s="47" t="s">
        <v>2105</v>
      </c>
    </row>
    <row r="223" spans="1:6" ht="17.7" customHeight="1">
      <c r="A223" s="40">
        <v>45744</v>
      </c>
      <c r="B223" s="41" t="s">
        <v>201</v>
      </c>
      <c r="C223" s="42" t="s">
        <v>209</v>
      </c>
      <c r="D223" s="42" t="s">
        <v>55</v>
      </c>
      <c r="E223" s="44" t="s">
        <v>161</v>
      </c>
      <c r="F223" s="47" t="s">
        <v>2106</v>
      </c>
    </row>
    <row r="224" spans="1:6" ht="17.7" customHeight="1">
      <c r="A224" s="40">
        <v>45744</v>
      </c>
      <c r="B224" s="41" t="s">
        <v>201</v>
      </c>
      <c r="C224" s="42" t="s">
        <v>209</v>
      </c>
      <c r="D224" s="42" t="s">
        <v>55</v>
      </c>
      <c r="E224" s="44" t="s">
        <v>161</v>
      </c>
      <c r="F224" s="47" t="s">
        <v>2107</v>
      </c>
    </row>
    <row r="225" spans="1:6" ht="17.7" customHeight="1">
      <c r="A225" s="40">
        <v>45744</v>
      </c>
      <c r="B225" s="41" t="s">
        <v>201</v>
      </c>
      <c r="C225" s="42" t="s">
        <v>209</v>
      </c>
      <c r="D225" s="42" t="s">
        <v>55</v>
      </c>
      <c r="E225" s="44" t="s">
        <v>161</v>
      </c>
      <c r="F225" s="47" t="s">
        <v>2108</v>
      </c>
    </row>
    <row r="226" spans="1:6" ht="17.7" customHeight="1">
      <c r="A226" s="40">
        <v>45744</v>
      </c>
      <c r="B226" s="41" t="s">
        <v>201</v>
      </c>
      <c r="C226" s="42" t="s">
        <v>209</v>
      </c>
      <c r="D226" s="42" t="s">
        <v>55</v>
      </c>
      <c r="E226" s="44" t="s">
        <v>161</v>
      </c>
      <c r="F226" s="47" t="s">
        <v>2109</v>
      </c>
    </row>
    <row r="227" spans="1:6" ht="17.7" customHeight="1">
      <c r="A227" s="40">
        <v>45744</v>
      </c>
      <c r="B227" s="41" t="s">
        <v>201</v>
      </c>
      <c r="C227" s="42" t="s">
        <v>209</v>
      </c>
      <c r="D227" s="42" t="s">
        <v>55</v>
      </c>
      <c r="E227" s="44" t="s">
        <v>161</v>
      </c>
      <c r="F227" s="47" t="s">
        <v>2110</v>
      </c>
    </row>
    <row r="228" spans="1:6" ht="17.7" customHeight="1">
      <c r="A228" s="40">
        <v>45744</v>
      </c>
      <c r="B228" s="41" t="s">
        <v>201</v>
      </c>
      <c r="C228" s="42" t="s">
        <v>209</v>
      </c>
      <c r="D228" s="42" t="s">
        <v>55</v>
      </c>
      <c r="E228" s="44" t="s">
        <v>161</v>
      </c>
      <c r="F228" s="47" t="s">
        <v>2111</v>
      </c>
    </row>
    <row r="229" spans="1:6" ht="17.7" customHeight="1">
      <c r="A229" s="40">
        <v>45744</v>
      </c>
      <c r="B229" s="41" t="s">
        <v>201</v>
      </c>
      <c r="C229" s="42" t="s">
        <v>209</v>
      </c>
      <c r="D229" s="42" t="s">
        <v>55</v>
      </c>
      <c r="E229" s="44" t="s">
        <v>161</v>
      </c>
      <c r="F229" s="47" t="s">
        <v>2112</v>
      </c>
    </row>
    <row r="230" spans="1:6" ht="17.7" customHeight="1">
      <c r="A230" s="40">
        <v>45744</v>
      </c>
      <c r="B230" s="41" t="s">
        <v>201</v>
      </c>
      <c r="C230" s="42" t="s">
        <v>209</v>
      </c>
      <c r="D230" s="42" t="s">
        <v>55</v>
      </c>
      <c r="E230" s="44" t="s">
        <v>161</v>
      </c>
      <c r="F230" s="47" t="s">
        <v>2113</v>
      </c>
    </row>
    <row r="231" spans="1:6" ht="17.7" customHeight="1">
      <c r="A231" s="40">
        <v>45744</v>
      </c>
      <c r="B231" s="41" t="s">
        <v>201</v>
      </c>
      <c r="C231" s="42" t="s">
        <v>209</v>
      </c>
      <c r="D231" s="42" t="s">
        <v>55</v>
      </c>
      <c r="E231" s="44" t="s">
        <v>161</v>
      </c>
      <c r="F231" s="47" t="s">
        <v>2114</v>
      </c>
    </row>
    <row r="232" spans="1:6" ht="17.7" customHeight="1">
      <c r="A232" s="40">
        <v>45744</v>
      </c>
      <c r="B232" s="41" t="s">
        <v>201</v>
      </c>
      <c r="C232" s="42" t="s">
        <v>209</v>
      </c>
      <c r="D232" s="42" t="s">
        <v>55</v>
      </c>
      <c r="E232" s="44" t="s">
        <v>161</v>
      </c>
      <c r="F232" s="47" t="s">
        <v>2115</v>
      </c>
    </row>
    <row r="233" spans="1:6" ht="17.7" customHeight="1">
      <c r="A233" s="40">
        <v>45744</v>
      </c>
      <c r="B233" s="41" t="s">
        <v>201</v>
      </c>
      <c r="C233" s="42" t="s">
        <v>209</v>
      </c>
      <c r="D233" s="42" t="s">
        <v>55</v>
      </c>
      <c r="E233" s="44" t="s">
        <v>161</v>
      </c>
      <c r="F233" s="47" t="s">
        <v>2116</v>
      </c>
    </row>
    <row r="234" spans="1:6" ht="17.7" customHeight="1">
      <c r="A234" s="40">
        <v>45744</v>
      </c>
      <c r="B234" s="41" t="s">
        <v>201</v>
      </c>
      <c r="C234" s="42" t="s">
        <v>209</v>
      </c>
      <c r="D234" s="42" t="s">
        <v>55</v>
      </c>
      <c r="E234" s="44" t="s">
        <v>161</v>
      </c>
      <c r="F234" s="47" t="s">
        <v>2117</v>
      </c>
    </row>
    <row r="235" spans="1:6" ht="17.7" customHeight="1">
      <c r="A235" s="40">
        <v>45744</v>
      </c>
      <c r="B235" s="41" t="s">
        <v>201</v>
      </c>
      <c r="C235" s="42" t="s">
        <v>209</v>
      </c>
      <c r="D235" s="42" t="s">
        <v>55</v>
      </c>
      <c r="E235" s="44" t="s">
        <v>161</v>
      </c>
      <c r="F235" s="47" t="s">
        <v>2118</v>
      </c>
    </row>
    <row r="236" spans="1:6" ht="17.7" customHeight="1">
      <c r="A236" s="40">
        <v>45744</v>
      </c>
      <c r="B236" s="41" t="s">
        <v>201</v>
      </c>
      <c r="C236" s="42" t="s">
        <v>209</v>
      </c>
      <c r="D236" s="42" t="s">
        <v>55</v>
      </c>
      <c r="E236" s="44" t="s">
        <v>161</v>
      </c>
      <c r="F236" s="47" t="s">
        <v>2119</v>
      </c>
    </row>
    <row r="237" spans="1:6" ht="17.7" customHeight="1">
      <c r="A237" s="40">
        <v>45744</v>
      </c>
      <c r="B237" s="41" t="s">
        <v>201</v>
      </c>
      <c r="C237" s="42" t="s">
        <v>209</v>
      </c>
      <c r="D237" s="42" t="s">
        <v>55</v>
      </c>
      <c r="E237" s="44" t="s">
        <v>161</v>
      </c>
      <c r="F237" s="47" t="s">
        <v>2120</v>
      </c>
    </row>
    <row r="238" spans="1:6" ht="17.7" customHeight="1">
      <c r="A238" s="40">
        <v>45744</v>
      </c>
      <c r="B238" s="41" t="s">
        <v>201</v>
      </c>
      <c r="C238" s="42" t="s">
        <v>209</v>
      </c>
      <c r="D238" s="42" t="s">
        <v>55</v>
      </c>
      <c r="E238" s="44" t="s">
        <v>161</v>
      </c>
      <c r="F238" s="47" t="s">
        <v>2121</v>
      </c>
    </row>
    <row r="239" spans="1:6" ht="17.7" customHeight="1">
      <c r="A239" s="40">
        <v>45744</v>
      </c>
      <c r="B239" s="41" t="s">
        <v>201</v>
      </c>
      <c r="C239" s="42" t="s">
        <v>209</v>
      </c>
      <c r="D239" s="42" t="s">
        <v>55</v>
      </c>
      <c r="E239" s="44" t="s">
        <v>161</v>
      </c>
      <c r="F239" s="47" t="s">
        <v>2122</v>
      </c>
    </row>
    <row r="240" spans="1:6" ht="17.7" customHeight="1">
      <c r="A240" s="40">
        <v>45744</v>
      </c>
      <c r="B240" s="41" t="s">
        <v>201</v>
      </c>
      <c r="C240" s="42" t="s">
        <v>209</v>
      </c>
      <c r="D240" s="42" t="s">
        <v>55</v>
      </c>
      <c r="E240" s="44" t="s">
        <v>161</v>
      </c>
      <c r="F240" s="47" t="s">
        <v>2123</v>
      </c>
    </row>
    <row r="241" spans="1:6" ht="17.7" customHeight="1">
      <c r="A241" s="40">
        <v>45744</v>
      </c>
      <c r="B241" s="41" t="s">
        <v>201</v>
      </c>
      <c r="C241" s="42" t="s">
        <v>209</v>
      </c>
      <c r="D241" s="42" t="s">
        <v>55</v>
      </c>
      <c r="E241" s="44" t="s">
        <v>161</v>
      </c>
      <c r="F241" s="47" t="s">
        <v>2124</v>
      </c>
    </row>
    <row r="242" spans="1:6" ht="17.7" customHeight="1">
      <c r="A242" s="40">
        <v>45744</v>
      </c>
      <c r="B242" s="41" t="s">
        <v>201</v>
      </c>
      <c r="C242" s="42" t="s">
        <v>209</v>
      </c>
      <c r="D242" s="42" t="s">
        <v>55</v>
      </c>
      <c r="E242" s="44" t="s">
        <v>161</v>
      </c>
      <c r="F242" s="47" t="s">
        <v>2125</v>
      </c>
    </row>
    <row r="243" spans="1:6" ht="17.7" customHeight="1">
      <c r="A243" s="40">
        <v>45744</v>
      </c>
      <c r="B243" s="41" t="s">
        <v>201</v>
      </c>
      <c r="C243" s="42" t="s">
        <v>209</v>
      </c>
      <c r="D243" s="42" t="s">
        <v>55</v>
      </c>
      <c r="E243" s="44" t="s">
        <v>161</v>
      </c>
      <c r="F243" s="47" t="s">
        <v>2126</v>
      </c>
    </row>
    <row r="244" spans="1:6" ht="17.7" customHeight="1">
      <c r="A244" s="40">
        <v>45744</v>
      </c>
      <c r="B244" s="41" t="s">
        <v>201</v>
      </c>
      <c r="C244" s="42" t="s">
        <v>209</v>
      </c>
      <c r="D244" s="42" t="s">
        <v>55</v>
      </c>
      <c r="E244" s="44" t="s">
        <v>161</v>
      </c>
      <c r="F244" s="47" t="s">
        <v>2127</v>
      </c>
    </row>
    <row r="245" spans="1:6" ht="17.7" customHeight="1">
      <c r="A245" s="40">
        <v>45744</v>
      </c>
      <c r="B245" s="41" t="s">
        <v>201</v>
      </c>
      <c r="C245" s="42" t="s">
        <v>209</v>
      </c>
      <c r="D245" s="42" t="s">
        <v>55</v>
      </c>
      <c r="E245" s="44" t="s">
        <v>2237</v>
      </c>
      <c r="F245" s="47" t="s">
        <v>2128</v>
      </c>
    </row>
    <row r="246" spans="1:6" ht="17.7" customHeight="1">
      <c r="A246" s="40">
        <v>45744</v>
      </c>
      <c r="B246" s="41" t="s">
        <v>201</v>
      </c>
      <c r="C246" s="42" t="s">
        <v>209</v>
      </c>
      <c r="D246" s="42" t="s">
        <v>55</v>
      </c>
      <c r="E246" s="44" t="s">
        <v>2237</v>
      </c>
      <c r="F246" s="47" t="s">
        <v>2129</v>
      </c>
    </row>
    <row r="247" spans="1:6" ht="17.7" customHeight="1">
      <c r="A247" s="40">
        <v>45744</v>
      </c>
      <c r="B247" s="41" t="s">
        <v>201</v>
      </c>
      <c r="C247" s="42" t="s">
        <v>209</v>
      </c>
      <c r="D247" s="42" t="s">
        <v>55</v>
      </c>
      <c r="E247" s="44" t="s">
        <v>2237</v>
      </c>
      <c r="F247" s="47" t="s">
        <v>2130</v>
      </c>
    </row>
    <row r="248" spans="1:6" ht="17.7" customHeight="1">
      <c r="A248" s="40">
        <v>45744</v>
      </c>
      <c r="B248" s="41" t="s">
        <v>201</v>
      </c>
      <c r="C248" s="42" t="s">
        <v>209</v>
      </c>
      <c r="D248" s="42" t="s">
        <v>55</v>
      </c>
      <c r="E248" s="44" t="s">
        <v>2237</v>
      </c>
      <c r="F248" s="47" t="s">
        <v>2131</v>
      </c>
    </row>
    <row r="249" spans="1:6" ht="17.7" customHeight="1">
      <c r="A249" s="40">
        <v>45744</v>
      </c>
      <c r="B249" s="41" t="s">
        <v>201</v>
      </c>
      <c r="C249" s="42" t="s">
        <v>209</v>
      </c>
      <c r="D249" s="42" t="s">
        <v>55</v>
      </c>
      <c r="E249" s="44" t="s">
        <v>165</v>
      </c>
      <c r="F249" s="47" t="s">
        <v>2132</v>
      </c>
    </row>
    <row r="250" spans="1:6" ht="17.7" customHeight="1">
      <c r="A250" s="40">
        <v>45744</v>
      </c>
      <c r="B250" s="41" t="s">
        <v>201</v>
      </c>
      <c r="C250" s="42" t="s">
        <v>209</v>
      </c>
      <c r="D250" s="42" t="s">
        <v>55</v>
      </c>
      <c r="E250" s="42" t="s">
        <v>2201</v>
      </c>
      <c r="F250" s="47" t="s">
        <v>2133</v>
      </c>
    </row>
    <row r="251" spans="1:6" ht="17.7" customHeight="1">
      <c r="A251" s="40">
        <v>45744</v>
      </c>
      <c r="B251" s="41" t="s">
        <v>201</v>
      </c>
      <c r="C251" s="42" t="s">
        <v>209</v>
      </c>
      <c r="D251" s="42" t="s">
        <v>55</v>
      </c>
      <c r="E251" s="42" t="s">
        <v>2201</v>
      </c>
      <c r="F251" s="47" t="s">
        <v>2134</v>
      </c>
    </row>
    <row r="252" spans="1:6" ht="17.7" customHeight="1">
      <c r="A252" s="40">
        <v>45744</v>
      </c>
      <c r="B252" s="41" t="s">
        <v>201</v>
      </c>
      <c r="C252" s="42" t="s">
        <v>209</v>
      </c>
      <c r="D252" s="42" t="s">
        <v>55</v>
      </c>
      <c r="E252" s="42" t="s">
        <v>2201</v>
      </c>
      <c r="F252" s="47" t="s">
        <v>2135</v>
      </c>
    </row>
    <row r="253" spans="1:6" ht="17.7" customHeight="1">
      <c r="A253" s="40">
        <v>45744</v>
      </c>
      <c r="B253" s="41" t="s">
        <v>201</v>
      </c>
      <c r="C253" s="42" t="s">
        <v>209</v>
      </c>
      <c r="D253" s="42" t="s">
        <v>55</v>
      </c>
      <c r="E253" s="42" t="s">
        <v>2201</v>
      </c>
      <c r="F253" s="47" t="s">
        <v>2136</v>
      </c>
    </row>
    <row r="254" spans="1:6" ht="17.7" customHeight="1">
      <c r="A254" s="40">
        <v>45744</v>
      </c>
      <c r="B254" s="41" t="s">
        <v>201</v>
      </c>
      <c r="C254" s="42" t="s">
        <v>209</v>
      </c>
      <c r="D254" s="42" t="s">
        <v>55</v>
      </c>
      <c r="E254" s="42" t="s">
        <v>2201</v>
      </c>
      <c r="F254" s="47" t="s">
        <v>2137</v>
      </c>
    </row>
    <row r="255" spans="1:6" ht="17.7" customHeight="1">
      <c r="A255" s="40">
        <v>45744</v>
      </c>
      <c r="B255" s="41" t="s">
        <v>201</v>
      </c>
      <c r="C255" s="42" t="s">
        <v>209</v>
      </c>
      <c r="D255" s="42" t="s">
        <v>55</v>
      </c>
      <c r="E255" s="44" t="s">
        <v>2202</v>
      </c>
      <c r="F255" s="47" t="s">
        <v>2138</v>
      </c>
    </row>
    <row r="256" spans="1:6" ht="17.7" customHeight="1">
      <c r="A256" s="40">
        <v>45744</v>
      </c>
      <c r="B256" s="41" t="s">
        <v>201</v>
      </c>
      <c r="C256" s="42" t="s">
        <v>209</v>
      </c>
      <c r="D256" s="42" t="s">
        <v>55</v>
      </c>
      <c r="E256" s="44" t="s">
        <v>2202</v>
      </c>
      <c r="F256" s="43" t="s">
        <v>2139</v>
      </c>
    </row>
    <row r="257" spans="1:6" ht="17.7" customHeight="1">
      <c r="A257" s="40">
        <v>45744</v>
      </c>
      <c r="B257" s="41" t="s">
        <v>201</v>
      </c>
      <c r="C257" s="42" t="s">
        <v>209</v>
      </c>
      <c r="D257" s="42" t="s">
        <v>55</v>
      </c>
      <c r="E257" s="44" t="s">
        <v>2202</v>
      </c>
      <c r="F257" s="47" t="s">
        <v>2140</v>
      </c>
    </row>
    <row r="258" spans="1:6" ht="17.7" customHeight="1">
      <c r="A258" s="40">
        <v>45744</v>
      </c>
      <c r="B258" s="41" t="s">
        <v>201</v>
      </c>
      <c r="C258" s="42" t="s">
        <v>209</v>
      </c>
      <c r="D258" s="42" t="s">
        <v>55</v>
      </c>
      <c r="E258" s="44" t="s">
        <v>2202</v>
      </c>
      <c r="F258" s="47" t="s">
        <v>2141</v>
      </c>
    </row>
    <row r="259" spans="1:6" ht="17.7" customHeight="1">
      <c r="A259" s="40">
        <v>45744</v>
      </c>
      <c r="B259" s="41" t="s">
        <v>201</v>
      </c>
      <c r="C259" s="42" t="s">
        <v>209</v>
      </c>
      <c r="D259" s="42" t="s">
        <v>55</v>
      </c>
      <c r="E259" s="44" t="s">
        <v>2202</v>
      </c>
      <c r="F259" s="47" t="s">
        <v>2142</v>
      </c>
    </row>
    <row r="260" spans="1:6" ht="17.7" customHeight="1">
      <c r="A260" s="40">
        <v>45744</v>
      </c>
      <c r="B260" s="41" t="s">
        <v>201</v>
      </c>
      <c r="C260" s="42" t="s">
        <v>209</v>
      </c>
      <c r="D260" s="42" t="s">
        <v>55</v>
      </c>
      <c r="E260" s="44" t="s">
        <v>2202</v>
      </c>
      <c r="F260" s="47" t="s">
        <v>2143</v>
      </c>
    </row>
    <row r="261" spans="1:6" ht="17.7" customHeight="1">
      <c r="A261" s="40">
        <v>45744</v>
      </c>
      <c r="B261" s="41" t="s">
        <v>201</v>
      </c>
      <c r="C261" s="42" t="s">
        <v>209</v>
      </c>
      <c r="D261" s="42" t="s">
        <v>55</v>
      </c>
      <c r="E261" s="44" t="s">
        <v>2202</v>
      </c>
      <c r="F261" s="47" t="s">
        <v>2144</v>
      </c>
    </row>
    <row r="262" spans="1:6" ht="17.7" customHeight="1">
      <c r="A262" s="40">
        <v>45744</v>
      </c>
      <c r="B262" s="41" t="s">
        <v>201</v>
      </c>
      <c r="C262" s="42" t="s">
        <v>209</v>
      </c>
      <c r="D262" s="42" t="s">
        <v>55</v>
      </c>
      <c r="E262" s="44" t="s">
        <v>2202</v>
      </c>
      <c r="F262" s="47" t="s">
        <v>2145</v>
      </c>
    </row>
    <row r="263" spans="1:6" ht="17.7" customHeight="1">
      <c r="A263" s="40">
        <v>45744</v>
      </c>
      <c r="B263" s="41" t="s">
        <v>201</v>
      </c>
      <c r="C263" s="42" t="s">
        <v>209</v>
      </c>
      <c r="D263" s="42" t="s">
        <v>55</v>
      </c>
      <c r="E263" s="44" t="s">
        <v>2202</v>
      </c>
      <c r="F263" s="47" t="s">
        <v>2146</v>
      </c>
    </row>
    <row r="264" spans="1:6" ht="17.7" customHeight="1">
      <c r="A264" s="40">
        <v>45744</v>
      </c>
      <c r="B264" s="41" t="s">
        <v>201</v>
      </c>
      <c r="C264" s="42" t="s">
        <v>209</v>
      </c>
      <c r="D264" s="42" t="s">
        <v>55</v>
      </c>
      <c r="E264" s="44" t="s">
        <v>169</v>
      </c>
      <c r="F264" s="47" t="s">
        <v>2147</v>
      </c>
    </row>
    <row r="265" spans="1:6" ht="17.7" customHeight="1">
      <c r="A265" s="40">
        <v>45744</v>
      </c>
      <c r="B265" s="41" t="s">
        <v>201</v>
      </c>
      <c r="C265" s="42" t="s">
        <v>209</v>
      </c>
      <c r="D265" s="42" t="s">
        <v>55</v>
      </c>
      <c r="E265" s="44" t="s">
        <v>169</v>
      </c>
      <c r="F265" s="47" t="s">
        <v>2148</v>
      </c>
    </row>
    <row r="266" spans="1:6" ht="17.7" customHeight="1">
      <c r="A266" s="40">
        <v>45744</v>
      </c>
      <c r="B266" s="41" t="s">
        <v>201</v>
      </c>
      <c r="C266" s="42" t="s">
        <v>209</v>
      </c>
      <c r="D266" s="42" t="s">
        <v>55</v>
      </c>
      <c r="E266" s="44" t="s">
        <v>169</v>
      </c>
      <c r="F266" s="47" t="s">
        <v>2149</v>
      </c>
    </row>
    <row r="267" spans="1:6" ht="17.7" customHeight="1">
      <c r="A267" s="40">
        <v>45744</v>
      </c>
      <c r="B267" s="41" t="s">
        <v>201</v>
      </c>
      <c r="C267" s="42" t="s">
        <v>209</v>
      </c>
      <c r="D267" s="42" t="s">
        <v>55</v>
      </c>
      <c r="E267" s="44" t="s">
        <v>169</v>
      </c>
      <c r="F267" s="47" t="s">
        <v>2150</v>
      </c>
    </row>
    <row r="268" spans="1:6" ht="17.7" customHeight="1">
      <c r="A268" s="40">
        <v>45744</v>
      </c>
      <c r="B268" s="41" t="s">
        <v>201</v>
      </c>
      <c r="C268" s="42" t="s">
        <v>209</v>
      </c>
      <c r="D268" s="42" t="s">
        <v>55</v>
      </c>
      <c r="E268" s="44" t="s">
        <v>169</v>
      </c>
      <c r="F268" s="47" t="s">
        <v>2151</v>
      </c>
    </row>
    <row r="269" spans="1:6" ht="17.7" customHeight="1">
      <c r="A269" s="40">
        <v>45744</v>
      </c>
      <c r="B269" s="41" t="s">
        <v>201</v>
      </c>
      <c r="C269" s="42" t="s">
        <v>209</v>
      </c>
      <c r="D269" s="42" t="s">
        <v>55</v>
      </c>
      <c r="E269" s="44" t="s">
        <v>169</v>
      </c>
      <c r="F269" s="47" t="s">
        <v>2152</v>
      </c>
    </row>
    <row r="270" spans="1:6" ht="17.7" customHeight="1">
      <c r="A270" s="40">
        <v>45744</v>
      </c>
      <c r="B270" s="41" t="s">
        <v>201</v>
      </c>
      <c r="C270" s="42" t="s">
        <v>209</v>
      </c>
      <c r="D270" s="42" t="s">
        <v>55</v>
      </c>
      <c r="E270" s="44" t="s">
        <v>539</v>
      </c>
      <c r="F270" s="47" t="s">
        <v>2153</v>
      </c>
    </row>
    <row r="271" spans="1:6" ht="17.7" customHeight="1">
      <c r="A271" s="40">
        <v>45744</v>
      </c>
      <c r="B271" s="41" t="s">
        <v>201</v>
      </c>
      <c r="C271" s="42" t="s">
        <v>209</v>
      </c>
      <c r="D271" s="42" t="s">
        <v>55</v>
      </c>
      <c r="E271" s="44" t="s">
        <v>539</v>
      </c>
      <c r="F271" s="47" t="s">
        <v>2154</v>
      </c>
    </row>
    <row r="272" spans="1:6" ht="17.7" customHeight="1">
      <c r="A272" s="40">
        <v>45744</v>
      </c>
      <c r="B272" s="41" t="s">
        <v>201</v>
      </c>
      <c r="C272" s="42" t="s">
        <v>209</v>
      </c>
      <c r="D272" s="42" t="s">
        <v>55</v>
      </c>
      <c r="E272" s="44" t="s">
        <v>539</v>
      </c>
      <c r="F272" s="47" t="s">
        <v>2155</v>
      </c>
    </row>
    <row r="273" spans="1:6" ht="17.7" customHeight="1">
      <c r="A273" s="40">
        <v>45744</v>
      </c>
      <c r="B273" s="41" t="s">
        <v>201</v>
      </c>
      <c r="C273" s="42" t="s">
        <v>209</v>
      </c>
      <c r="D273" s="42" t="s">
        <v>55</v>
      </c>
      <c r="E273" s="44" t="s">
        <v>539</v>
      </c>
      <c r="F273" s="47" t="s">
        <v>2156</v>
      </c>
    </row>
    <row r="274" spans="1:6" ht="17.7" customHeight="1">
      <c r="A274" s="40">
        <v>45744</v>
      </c>
      <c r="B274" s="41" t="s">
        <v>201</v>
      </c>
      <c r="C274" s="42" t="s">
        <v>209</v>
      </c>
      <c r="D274" s="42" t="s">
        <v>55</v>
      </c>
      <c r="E274" s="44" t="s">
        <v>539</v>
      </c>
      <c r="F274" s="47" t="s">
        <v>2157</v>
      </c>
    </row>
    <row r="275" spans="1:6" ht="17.7" customHeight="1">
      <c r="A275" s="40">
        <v>45744</v>
      </c>
      <c r="B275" s="41" t="s">
        <v>201</v>
      </c>
      <c r="C275" s="42" t="s">
        <v>209</v>
      </c>
      <c r="D275" s="42" t="s">
        <v>55</v>
      </c>
      <c r="E275" s="44" t="s">
        <v>539</v>
      </c>
      <c r="F275" s="47" t="s">
        <v>2158</v>
      </c>
    </row>
    <row r="276" spans="1:6" ht="17.7" customHeight="1">
      <c r="A276" s="40">
        <v>45744</v>
      </c>
      <c r="B276" s="41" t="s">
        <v>201</v>
      </c>
      <c r="C276" s="42" t="s">
        <v>209</v>
      </c>
      <c r="D276" s="42" t="s">
        <v>55</v>
      </c>
      <c r="E276" s="44" t="s">
        <v>539</v>
      </c>
      <c r="F276" s="47" t="s">
        <v>2159</v>
      </c>
    </row>
    <row r="277" spans="1:6" ht="17.7" customHeight="1">
      <c r="A277" s="40">
        <v>45744</v>
      </c>
      <c r="B277" s="41" t="s">
        <v>230</v>
      </c>
      <c r="C277" s="42" t="s">
        <v>233</v>
      </c>
      <c r="D277" s="42" t="s">
        <v>63</v>
      </c>
      <c r="E277" s="44" t="s">
        <v>2239</v>
      </c>
      <c r="F277" s="47" t="s">
        <v>1930</v>
      </c>
    </row>
    <row r="278" spans="1:6" ht="17.7" customHeight="1">
      <c r="A278" s="40">
        <v>45744</v>
      </c>
      <c r="B278" s="41" t="s">
        <v>230</v>
      </c>
      <c r="C278" s="42" t="s">
        <v>233</v>
      </c>
      <c r="D278" s="42" t="s">
        <v>63</v>
      </c>
      <c r="E278" s="44" t="s">
        <v>159</v>
      </c>
      <c r="F278" s="47" t="s">
        <v>1931</v>
      </c>
    </row>
    <row r="279" spans="1:6" ht="17.7" customHeight="1">
      <c r="A279" s="40">
        <v>45744</v>
      </c>
      <c r="B279" s="41" t="s">
        <v>230</v>
      </c>
      <c r="C279" s="42" t="s">
        <v>233</v>
      </c>
      <c r="D279" s="42" t="s">
        <v>63</v>
      </c>
      <c r="E279" s="44" t="s">
        <v>159</v>
      </c>
      <c r="F279" s="47" t="s">
        <v>1932</v>
      </c>
    </row>
    <row r="280" spans="1:6" ht="17.7" customHeight="1">
      <c r="A280" s="40">
        <v>45744</v>
      </c>
      <c r="B280" s="41" t="s">
        <v>230</v>
      </c>
      <c r="C280" s="42" t="s">
        <v>233</v>
      </c>
      <c r="D280" s="42" t="s">
        <v>63</v>
      </c>
      <c r="E280" s="44" t="s">
        <v>159</v>
      </c>
      <c r="F280" s="47" t="s">
        <v>1933</v>
      </c>
    </row>
    <row r="281" spans="1:6" ht="17.7" customHeight="1">
      <c r="A281" s="40">
        <v>45744</v>
      </c>
      <c r="B281" s="41" t="s">
        <v>230</v>
      </c>
      <c r="C281" s="42" t="s">
        <v>233</v>
      </c>
      <c r="D281" s="42" t="s">
        <v>63</v>
      </c>
      <c r="E281" s="44" t="s">
        <v>159</v>
      </c>
      <c r="F281" s="47" t="s">
        <v>1934</v>
      </c>
    </row>
    <row r="282" spans="1:6" ht="17.7" customHeight="1">
      <c r="A282" s="40">
        <v>45744</v>
      </c>
      <c r="B282" s="41" t="s">
        <v>230</v>
      </c>
      <c r="C282" s="42" t="s">
        <v>233</v>
      </c>
      <c r="D282" s="42" t="s">
        <v>63</v>
      </c>
      <c r="E282" s="44" t="s">
        <v>160</v>
      </c>
      <c r="F282" s="47" t="s">
        <v>2240</v>
      </c>
    </row>
    <row r="283" spans="1:6" ht="17.7" customHeight="1">
      <c r="A283" s="40">
        <v>45744</v>
      </c>
      <c r="B283" s="41" t="s">
        <v>230</v>
      </c>
      <c r="C283" s="42" t="s">
        <v>233</v>
      </c>
      <c r="D283" s="42" t="s">
        <v>63</v>
      </c>
      <c r="E283" s="44" t="s">
        <v>160</v>
      </c>
      <c r="F283" s="47" t="s">
        <v>1935</v>
      </c>
    </row>
    <row r="284" spans="1:6" ht="17.7" customHeight="1">
      <c r="A284" s="40">
        <v>45744</v>
      </c>
      <c r="B284" s="41" t="s">
        <v>230</v>
      </c>
      <c r="C284" s="42" t="s">
        <v>233</v>
      </c>
      <c r="D284" s="42" t="s">
        <v>63</v>
      </c>
      <c r="E284" s="44" t="s">
        <v>160</v>
      </c>
      <c r="F284" s="47" t="s">
        <v>1957</v>
      </c>
    </row>
    <row r="285" spans="1:6" ht="17.7" customHeight="1">
      <c r="A285" s="40">
        <v>45744</v>
      </c>
      <c r="B285" s="41" t="s">
        <v>230</v>
      </c>
      <c r="C285" s="42" t="s">
        <v>233</v>
      </c>
      <c r="D285" s="42" t="s">
        <v>63</v>
      </c>
      <c r="E285" s="44" t="s">
        <v>161</v>
      </c>
      <c r="F285" s="47" t="s">
        <v>1936</v>
      </c>
    </row>
    <row r="286" spans="1:6" ht="17.7" customHeight="1">
      <c r="A286" s="40">
        <v>45744</v>
      </c>
      <c r="B286" s="41" t="s">
        <v>230</v>
      </c>
      <c r="C286" s="42" t="s">
        <v>233</v>
      </c>
      <c r="D286" s="42" t="s">
        <v>63</v>
      </c>
      <c r="E286" s="44" t="s">
        <v>161</v>
      </c>
      <c r="F286" s="47" t="s">
        <v>1937</v>
      </c>
    </row>
    <row r="287" spans="1:6" ht="17.7" customHeight="1">
      <c r="A287" s="40">
        <v>45744</v>
      </c>
      <c r="B287" s="41" t="s">
        <v>230</v>
      </c>
      <c r="C287" s="42" t="s">
        <v>233</v>
      </c>
      <c r="D287" s="42" t="s">
        <v>63</v>
      </c>
      <c r="E287" s="44" t="s">
        <v>161</v>
      </c>
      <c r="F287" s="47" t="s">
        <v>1938</v>
      </c>
    </row>
    <row r="288" spans="1:6" ht="17.7" customHeight="1">
      <c r="A288" s="40">
        <v>45744</v>
      </c>
      <c r="B288" s="41" t="s">
        <v>230</v>
      </c>
      <c r="C288" s="42" t="s">
        <v>233</v>
      </c>
      <c r="D288" s="42" t="s">
        <v>63</v>
      </c>
      <c r="E288" s="44" t="s">
        <v>161</v>
      </c>
      <c r="F288" s="47" t="s">
        <v>1939</v>
      </c>
    </row>
    <row r="289" spans="1:6" ht="17.7" customHeight="1">
      <c r="A289" s="40">
        <v>45744</v>
      </c>
      <c r="B289" s="41" t="s">
        <v>230</v>
      </c>
      <c r="C289" s="42" t="s">
        <v>233</v>
      </c>
      <c r="D289" s="42" t="s">
        <v>63</v>
      </c>
      <c r="E289" s="44" t="s">
        <v>161</v>
      </c>
      <c r="F289" s="47" t="s">
        <v>1940</v>
      </c>
    </row>
    <row r="290" spans="1:6" ht="17.7" customHeight="1">
      <c r="A290" s="40">
        <v>45744</v>
      </c>
      <c r="B290" s="41" t="s">
        <v>230</v>
      </c>
      <c r="C290" s="42" t="s">
        <v>233</v>
      </c>
      <c r="D290" s="42" t="s">
        <v>63</v>
      </c>
      <c r="E290" s="44" t="s">
        <v>161</v>
      </c>
      <c r="F290" s="47" t="s">
        <v>1941</v>
      </c>
    </row>
    <row r="291" spans="1:6" ht="17.7" customHeight="1">
      <c r="A291" s="40">
        <v>45744</v>
      </c>
      <c r="B291" s="41" t="s">
        <v>230</v>
      </c>
      <c r="C291" s="42" t="s">
        <v>233</v>
      </c>
      <c r="D291" s="42" t="s">
        <v>63</v>
      </c>
      <c r="E291" s="44" t="s">
        <v>161</v>
      </c>
      <c r="F291" s="47" t="s">
        <v>1942</v>
      </c>
    </row>
    <row r="292" spans="1:6" ht="17.7" customHeight="1">
      <c r="A292" s="40">
        <v>45744</v>
      </c>
      <c r="B292" s="41" t="s">
        <v>230</v>
      </c>
      <c r="C292" s="42" t="s">
        <v>233</v>
      </c>
      <c r="D292" s="42" t="s">
        <v>63</v>
      </c>
      <c r="E292" s="44" t="s">
        <v>161</v>
      </c>
      <c r="F292" s="47" t="s">
        <v>1943</v>
      </c>
    </row>
    <row r="293" spans="1:6" ht="17.7" customHeight="1">
      <c r="A293" s="40">
        <v>45744</v>
      </c>
      <c r="B293" s="41" t="s">
        <v>230</v>
      </c>
      <c r="C293" s="42" t="s">
        <v>233</v>
      </c>
      <c r="D293" s="42" t="s">
        <v>63</v>
      </c>
      <c r="E293" s="44" t="s">
        <v>161</v>
      </c>
      <c r="F293" s="47" t="s">
        <v>1944</v>
      </c>
    </row>
    <row r="294" spans="1:6" ht="17.7" customHeight="1">
      <c r="A294" s="40">
        <v>45744</v>
      </c>
      <c r="B294" s="41" t="s">
        <v>230</v>
      </c>
      <c r="C294" s="42" t="s">
        <v>233</v>
      </c>
      <c r="D294" s="42" t="s">
        <v>63</v>
      </c>
      <c r="E294" s="44" t="s">
        <v>161</v>
      </c>
      <c r="F294" s="47" t="s">
        <v>1945</v>
      </c>
    </row>
    <row r="295" spans="1:6" ht="17.7" customHeight="1">
      <c r="A295" s="40">
        <v>45744</v>
      </c>
      <c r="B295" s="41" t="s">
        <v>230</v>
      </c>
      <c r="C295" s="42" t="s">
        <v>233</v>
      </c>
      <c r="D295" s="42" t="s">
        <v>63</v>
      </c>
      <c r="E295" s="44" t="s">
        <v>161</v>
      </c>
      <c r="F295" s="47" t="s">
        <v>1946</v>
      </c>
    </row>
    <row r="296" spans="1:6" ht="17.7" customHeight="1">
      <c r="A296" s="40">
        <v>45744</v>
      </c>
      <c r="B296" s="41" t="s">
        <v>230</v>
      </c>
      <c r="C296" s="42" t="s">
        <v>233</v>
      </c>
      <c r="D296" s="42" t="s">
        <v>63</v>
      </c>
      <c r="E296" s="44" t="s">
        <v>161</v>
      </c>
      <c r="F296" s="47" t="s">
        <v>1947</v>
      </c>
    </row>
    <row r="297" spans="1:6" ht="17.7" customHeight="1">
      <c r="A297" s="40">
        <v>45744</v>
      </c>
      <c r="B297" s="41" t="s">
        <v>230</v>
      </c>
      <c r="C297" s="42" t="s">
        <v>233</v>
      </c>
      <c r="D297" s="42" t="s">
        <v>63</v>
      </c>
      <c r="E297" s="44" t="s">
        <v>161</v>
      </c>
      <c r="F297" s="47" t="s">
        <v>1948</v>
      </c>
    </row>
    <row r="298" spans="1:6" ht="17.7" customHeight="1">
      <c r="A298" s="40">
        <v>45744</v>
      </c>
      <c r="B298" s="41" t="s">
        <v>230</v>
      </c>
      <c r="C298" s="42" t="s">
        <v>233</v>
      </c>
      <c r="D298" s="42" t="s">
        <v>63</v>
      </c>
      <c r="E298" s="44" t="s">
        <v>2237</v>
      </c>
      <c r="F298" s="47" t="s">
        <v>1949</v>
      </c>
    </row>
    <row r="299" spans="1:6" ht="17.7" customHeight="1">
      <c r="A299" s="40">
        <v>45744</v>
      </c>
      <c r="B299" s="41" t="s">
        <v>230</v>
      </c>
      <c r="C299" s="42" t="s">
        <v>233</v>
      </c>
      <c r="D299" s="42" t="s">
        <v>63</v>
      </c>
      <c r="E299" s="44" t="s">
        <v>2237</v>
      </c>
      <c r="F299" s="47" t="s">
        <v>1950</v>
      </c>
    </row>
    <row r="300" spans="1:6" ht="17.7" customHeight="1">
      <c r="A300" s="40">
        <v>45744</v>
      </c>
      <c r="B300" s="41" t="s">
        <v>230</v>
      </c>
      <c r="C300" s="42" t="s">
        <v>233</v>
      </c>
      <c r="D300" s="42" t="s">
        <v>63</v>
      </c>
      <c r="E300" s="44" t="s">
        <v>2237</v>
      </c>
      <c r="F300" s="47" t="s">
        <v>1951</v>
      </c>
    </row>
    <row r="301" spans="1:6" ht="17.7" customHeight="1">
      <c r="A301" s="40">
        <v>45744</v>
      </c>
      <c r="B301" s="41" t="s">
        <v>230</v>
      </c>
      <c r="C301" s="42" t="s">
        <v>233</v>
      </c>
      <c r="D301" s="42" t="s">
        <v>63</v>
      </c>
      <c r="E301" s="44" t="s">
        <v>2237</v>
      </c>
      <c r="F301" s="47" t="s">
        <v>1952</v>
      </c>
    </row>
    <row r="302" spans="1:6" ht="17.7" customHeight="1">
      <c r="A302" s="40">
        <v>45744</v>
      </c>
      <c r="B302" s="41" t="s">
        <v>230</v>
      </c>
      <c r="C302" s="42" t="s">
        <v>233</v>
      </c>
      <c r="D302" s="42" t="s">
        <v>63</v>
      </c>
      <c r="E302" s="44" t="s">
        <v>2237</v>
      </c>
      <c r="F302" s="47" t="s">
        <v>1953</v>
      </c>
    </row>
    <row r="303" spans="1:6" ht="17.7" customHeight="1">
      <c r="A303" s="40">
        <v>45744</v>
      </c>
      <c r="B303" s="41" t="s">
        <v>230</v>
      </c>
      <c r="C303" s="42" t="s">
        <v>233</v>
      </c>
      <c r="D303" s="42" t="s">
        <v>63</v>
      </c>
      <c r="E303" s="44" t="s">
        <v>165</v>
      </c>
      <c r="F303" s="47" t="s">
        <v>1954</v>
      </c>
    </row>
    <row r="304" spans="1:6" ht="17.7" customHeight="1">
      <c r="A304" s="40">
        <v>45744</v>
      </c>
      <c r="B304" s="41" t="s">
        <v>230</v>
      </c>
      <c r="C304" s="42" t="s">
        <v>233</v>
      </c>
      <c r="D304" s="42" t="s">
        <v>63</v>
      </c>
      <c r="E304" s="44" t="s">
        <v>163</v>
      </c>
      <c r="F304" s="47" t="s">
        <v>2241</v>
      </c>
    </row>
    <row r="305" spans="1:6" ht="17.7" customHeight="1">
      <c r="A305" s="40">
        <v>45744</v>
      </c>
      <c r="B305" s="41" t="s">
        <v>230</v>
      </c>
      <c r="C305" s="42" t="s">
        <v>233</v>
      </c>
      <c r="D305" s="42" t="s">
        <v>63</v>
      </c>
      <c r="E305" s="42" t="s">
        <v>2201</v>
      </c>
      <c r="F305" s="47" t="s">
        <v>1958</v>
      </c>
    </row>
    <row r="306" spans="1:6" ht="17.7" customHeight="1">
      <c r="A306" s="40">
        <v>45744</v>
      </c>
      <c r="B306" s="41" t="s">
        <v>230</v>
      </c>
      <c r="C306" s="42" t="s">
        <v>233</v>
      </c>
      <c r="D306" s="42" t="s">
        <v>63</v>
      </c>
      <c r="E306" s="42" t="s">
        <v>2201</v>
      </c>
      <c r="F306" s="47" t="s">
        <v>1959</v>
      </c>
    </row>
    <row r="307" spans="1:6" ht="17.7" customHeight="1">
      <c r="A307" s="40">
        <v>45744</v>
      </c>
      <c r="B307" s="41" t="s">
        <v>230</v>
      </c>
      <c r="C307" s="42" t="s">
        <v>233</v>
      </c>
      <c r="D307" s="42" t="s">
        <v>63</v>
      </c>
      <c r="E307" s="42" t="s">
        <v>2201</v>
      </c>
      <c r="F307" s="47" t="s">
        <v>1960</v>
      </c>
    </row>
    <row r="308" spans="1:6" ht="17.7" customHeight="1">
      <c r="A308" s="40">
        <v>45744</v>
      </c>
      <c r="B308" s="41" t="s">
        <v>230</v>
      </c>
      <c r="C308" s="42" t="s">
        <v>233</v>
      </c>
      <c r="D308" s="42" t="s">
        <v>63</v>
      </c>
      <c r="E308" s="42" t="s">
        <v>2201</v>
      </c>
      <c r="F308" s="47" t="s">
        <v>1961</v>
      </c>
    </row>
    <row r="309" spans="1:6" ht="17.7" customHeight="1">
      <c r="A309" s="40">
        <v>45744</v>
      </c>
      <c r="B309" s="41" t="s">
        <v>201</v>
      </c>
      <c r="C309" s="42" t="s">
        <v>206</v>
      </c>
      <c r="D309" s="42" t="s">
        <v>54</v>
      </c>
      <c r="E309" s="44" t="s">
        <v>161</v>
      </c>
      <c r="F309" s="47" t="s">
        <v>1290</v>
      </c>
    </row>
    <row r="310" spans="1:6" ht="17.7" customHeight="1">
      <c r="A310" s="40">
        <v>45744</v>
      </c>
      <c r="B310" s="41" t="s">
        <v>201</v>
      </c>
      <c r="C310" s="42" t="s">
        <v>206</v>
      </c>
      <c r="D310" s="42" t="s">
        <v>54</v>
      </c>
      <c r="E310" s="44" t="s">
        <v>161</v>
      </c>
      <c r="F310" s="47" t="s">
        <v>1291</v>
      </c>
    </row>
    <row r="311" spans="1:6" ht="17.7" customHeight="1">
      <c r="A311" s="40">
        <v>45744</v>
      </c>
      <c r="B311" s="41" t="s">
        <v>201</v>
      </c>
      <c r="C311" s="42" t="s">
        <v>206</v>
      </c>
      <c r="D311" s="42" t="s">
        <v>54</v>
      </c>
      <c r="E311" s="44" t="s">
        <v>161</v>
      </c>
      <c r="F311" s="47" t="s">
        <v>1292</v>
      </c>
    </row>
    <row r="312" spans="1:6" ht="17.7" customHeight="1">
      <c r="A312" s="40">
        <v>45744</v>
      </c>
      <c r="B312" s="41" t="s">
        <v>201</v>
      </c>
      <c r="C312" s="42" t="s">
        <v>206</v>
      </c>
      <c r="D312" s="42" t="s">
        <v>54</v>
      </c>
      <c r="E312" s="44" t="s">
        <v>161</v>
      </c>
      <c r="F312" s="47" t="s">
        <v>1293</v>
      </c>
    </row>
    <row r="313" spans="1:6" ht="17.7" customHeight="1">
      <c r="A313" s="40">
        <v>45744</v>
      </c>
      <c r="B313" s="41" t="s">
        <v>201</v>
      </c>
      <c r="C313" s="42" t="s">
        <v>206</v>
      </c>
      <c r="D313" s="42" t="s">
        <v>54</v>
      </c>
      <c r="E313" s="44" t="s">
        <v>161</v>
      </c>
      <c r="F313" s="47" t="s">
        <v>1294</v>
      </c>
    </row>
    <row r="314" spans="1:6" ht="17.7" customHeight="1">
      <c r="A314" s="40">
        <v>45744</v>
      </c>
      <c r="B314" s="41" t="s">
        <v>201</v>
      </c>
      <c r="C314" s="42" t="s">
        <v>206</v>
      </c>
      <c r="D314" s="42" t="s">
        <v>54</v>
      </c>
      <c r="E314" s="44" t="s">
        <v>159</v>
      </c>
      <c r="F314" s="47" t="s">
        <v>1295</v>
      </c>
    </row>
    <row r="315" spans="1:6" ht="17.7" customHeight="1">
      <c r="A315" s="40">
        <v>45744</v>
      </c>
      <c r="B315" s="41" t="s">
        <v>201</v>
      </c>
      <c r="C315" s="42" t="s">
        <v>206</v>
      </c>
      <c r="D315" s="42" t="s">
        <v>54</v>
      </c>
      <c r="E315" s="44" t="s">
        <v>159</v>
      </c>
      <c r="F315" s="47" t="s">
        <v>1296</v>
      </c>
    </row>
    <row r="316" spans="1:6" ht="17.7" customHeight="1">
      <c r="A316" s="40">
        <v>45744</v>
      </c>
      <c r="B316" s="41" t="s">
        <v>201</v>
      </c>
      <c r="C316" s="42" t="s">
        <v>206</v>
      </c>
      <c r="D316" s="42" t="s">
        <v>54</v>
      </c>
      <c r="E316" s="44" t="s">
        <v>159</v>
      </c>
      <c r="F316" s="47" t="s">
        <v>1297</v>
      </c>
    </row>
    <row r="317" spans="1:6" ht="17.7" customHeight="1">
      <c r="A317" s="40">
        <v>45744</v>
      </c>
      <c r="B317" s="41" t="s">
        <v>201</v>
      </c>
      <c r="C317" s="42" t="s">
        <v>206</v>
      </c>
      <c r="D317" s="42" t="s">
        <v>54</v>
      </c>
      <c r="E317" s="44" t="s">
        <v>159</v>
      </c>
      <c r="F317" s="47" t="s">
        <v>1298</v>
      </c>
    </row>
    <row r="318" spans="1:6" ht="17.7" customHeight="1">
      <c r="A318" s="40">
        <v>45744</v>
      </c>
      <c r="B318" s="41" t="s">
        <v>201</v>
      </c>
      <c r="C318" s="42" t="s">
        <v>206</v>
      </c>
      <c r="D318" s="42" t="s">
        <v>54</v>
      </c>
      <c r="E318" s="44" t="s">
        <v>159</v>
      </c>
      <c r="F318" s="47" t="s">
        <v>1299</v>
      </c>
    </row>
    <row r="319" spans="1:6" ht="17.7" customHeight="1">
      <c r="A319" s="40">
        <v>45744</v>
      </c>
      <c r="B319" s="41" t="s">
        <v>201</v>
      </c>
      <c r="C319" s="42" t="s">
        <v>206</v>
      </c>
      <c r="D319" s="42" t="s">
        <v>54</v>
      </c>
      <c r="E319" s="44" t="s">
        <v>160</v>
      </c>
      <c r="F319" s="47" t="s">
        <v>1300</v>
      </c>
    </row>
    <row r="320" spans="1:6" ht="17.7" customHeight="1">
      <c r="A320" s="40">
        <v>45744</v>
      </c>
      <c r="B320" s="41" t="s">
        <v>201</v>
      </c>
      <c r="C320" s="42" t="s">
        <v>206</v>
      </c>
      <c r="D320" s="42" t="s">
        <v>54</v>
      </c>
      <c r="E320" s="44" t="s">
        <v>160</v>
      </c>
      <c r="F320" s="47" t="s">
        <v>1301</v>
      </c>
    </row>
    <row r="321" spans="1:6" ht="17.7" customHeight="1">
      <c r="A321" s="40">
        <v>45744</v>
      </c>
      <c r="B321" s="41" t="s">
        <v>201</v>
      </c>
      <c r="C321" s="42" t="s">
        <v>206</v>
      </c>
      <c r="D321" s="42" t="s">
        <v>54</v>
      </c>
      <c r="E321" s="44" t="s">
        <v>160</v>
      </c>
      <c r="F321" s="47" t="s">
        <v>1302</v>
      </c>
    </row>
    <row r="322" spans="1:6" ht="17.7" customHeight="1">
      <c r="A322" s="40">
        <v>45744</v>
      </c>
      <c r="B322" s="41" t="s">
        <v>201</v>
      </c>
      <c r="C322" s="42" t="s">
        <v>206</v>
      </c>
      <c r="D322" s="42" t="s">
        <v>54</v>
      </c>
      <c r="E322" s="44" t="s">
        <v>160</v>
      </c>
      <c r="F322" s="47" t="s">
        <v>1303</v>
      </c>
    </row>
    <row r="323" spans="1:6" ht="17.7" customHeight="1">
      <c r="A323" s="40">
        <v>45744</v>
      </c>
      <c r="B323" s="41" t="s">
        <v>201</v>
      </c>
      <c r="C323" s="42" t="s">
        <v>206</v>
      </c>
      <c r="D323" s="42" t="s">
        <v>54</v>
      </c>
      <c r="E323" s="44" t="s">
        <v>160</v>
      </c>
      <c r="F323" s="47" t="s">
        <v>1304</v>
      </c>
    </row>
    <row r="324" spans="1:6" ht="17.7" customHeight="1">
      <c r="A324" s="40">
        <v>45744</v>
      </c>
      <c r="B324" s="41" t="s">
        <v>201</v>
      </c>
      <c r="C324" s="42" t="s">
        <v>206</v>
      </c>
      <c r="D324" s="42" t="s">
        <v>54</v>
      </c>
      <c r="E324" s="44" t="s">
        <v>539</v>
      </c>
      <c r="F324" s="47" t="s">
        <v>1305</v>
      </c>
    </row>
    <row r="325" spans="1:6" ht="17.7" customHeight="1">
      <c r="A325" s="40">
        <v>45744</v>
      </c>
      <c r="B325" s="41" t="s">
        <v>201</v>
      </c>
      <c r="C325" s="42" t="s">
        <v>206</v>
      </c>
      <c r="D325" s="42" t="s">
        <v>54</v>
      </c>
      <c r="E325" s="44" t="s">
        <v>539</v>
      </c>
      <c r="F325" s="47" t="s">
        <v>1306</v>
      </c>
    </row>
    <row r="326" spans="1:6" ht="17.7" customHeight="1">
      <c r="A326" s="40">
        <v>45744</v>
      </c>
      <c r="B326" s="41" t="s">
        <v>201</v>
      </c>
      <c r="C326" s="42" t="s">
        <v>206</v>
      </c>
      <c r="D326" s="42" t="s">
        <v>54</v>
      </c>
      <c r="E326" s="44" t="s">
        <v>539</v>
      </c>
      <c r="F326" s="47" t="s">
        <v>1307</v>
      </c>
    </row>
    <row r="327" spans="1:6" ht="17.7" customHeight="1">
      <c r="A327" s="40">
        <v>45744</v>
      </c>
      <c r="B327" s="41" t="s">
        <v>201</v>
      </c>
      <c r="C327" s="42" t="s">
        <v>206</v>
      </c>
      <c r="D327" s="42" t="s">
        <v>54</v>
      </c>
      <c r="E327" s="44" t="s">
        <v>539</v>
      </c>
      <c r="F327" s="47" t="s">
        <v>1308</v>
      </c>
    </row>
    <row r="328" spans="1:6" ht="17.7" customHeight="1">
      <c r="A328" s="40">
        <v>45744</v>
      </c>
      <c r="B328" s="41" t="s">
        <v>201</v>
      </c>
      <c r="C328" s="42" t="s">
        <v>206</v>
      </c>
      <c r="D328" s="42" t="s">
        <v>54</v>
      </c>
      <c r="E328" s="44" t="s">
        <v>169</v>
      </c>
      <c r="F328" s="47" t="s">
        <v>1309</v>
      </c>
    </row>
    <row r="329" spans="1:6" ht="17.7" customHeight="1">
      <c r="A329" s="40">
        <v>45744</v>
      </c>
      <c r="B329" s="41" t="s">
        <v>201</v>
      </c>
      <c r="C329" s="42" t="s">
        <v>206</v>
      </c>
      <c r="D329" s="42" t="s">
        <v>54</v>
      </c>
      <c r="E329" s="44" t="s">
        <v>2237</v>
      </c>
      <c r="F329" s="47" t="s">
        <v>1310</v>
      </c>
    </row>
    <row r="330" spans="1:6" ht="17.7" customHeight="1">
      <c r="A330" s="40">
        <v>45744</v>
      </c>
      <c r="B330" s="41" t="s">
        <v>201</v>
      </c>
      <c r="C330" s="42" t="s">
        <v>206</v>
      </c>
      <c r="D330" s="42" t="s">
        <v>54</v>
      </c>
      <c r="E330" s="44" t="s">
        <v>2237</v>
      </c>
      <c r="F330" s="47" t="s">
        <v>1312</v>
      </c>
    </row>
    <row r="331" spans="1:6" ht="17.7" customHeight="1">
      <c r="A331" s="40">
        <v>45744</v>
      </c>
      <c r="B331" s="41" t="s">
        <v>201</v>
      </c>
      <c r="C331" s="42" t="s">
        <v>206</v>
      </c>
      <c r="D331" s="42" t="s">
        <v>54</v>
      </c>
      <c r="E331" s="44" t="s">
        <v>2237</v>
      </c>
      <c r="F331" s="47" t="s">
        <v>1313</v>
      </c>
    </row>
    <row r="332" spans="1:6" ht="17.7" customHeight="1">
      <c r="A332" s="40">
        <v>45744</v>
      </c>
      <c r="B332" s="41" t="s">
        <v>201</v>
      </c>
      <c r="C332" s="42" t="s">
        <v>206</v>
      </c>
      <c r="D332" s="42" t="s">
        <v>54</v>
      </c>
      <c r="E332" s="44" t="s">
        <v>2237</v>
      </c>
      <c r="F332" s="47" t="s">
        <v>1314</v>
      </c>
    </row>
    <row r="333" spans="1:6" ht="17.7" customHeight="1">
      <c r="A333" s="40">
        <v>45744</v>
      </c>
      <c r="B333" s="41" t="s">
        <v>201</v>
      </c>
      <c r="C333" s="42" t="s">
        <v>206</v>
      </c>
      <c r="D333" s="42" t="s">
        <v>54</v>
      </c>
      <c r="E333" s="44" t="s">
        <v>165</v>
      </c>
      <c r="F333" s="47" t="s">
        <v>1311</v>
      </c>
    </row>
    <row r="334" spans="1:6" ht="17.7" customHeight="1">
      <c r="A334" s="40">
        <v>45744</v>
      </c>
      <c r="B334" s="41" t="s">
        <v>201</v>
      </c>
      <c r="C334" s="42" t="s">
        <v>206</v>
      </c>
      <c r="D334" s="42" t="s">
        <v>54</v>
      </c>
      <c r="E334" s="44" t="s">
        <v>165</v>
      </c>
      <c r="F334" s="47" t="s">
        <v>1311</v>
      </c>
    </row>
    <row r="335" spans="1:6" ht="17.7" customHeight="1">
      <c r="A335" s="40">
        <v>45744</v>
      </c>
      <c r="B335" s="41" t="s">
        <v>201</v>
      </c>
      <c r="C335" s="42" t="s">
        <v>206</v>
      </c>
      <c r="D335" s="42" t="s">
        <v>54</v>
      </c>
      <c r="E335" s="42" t="s">
        <v>2201</v>
      </c>
      <c r="F335" s="47" t="s">
        <v>1315</v>
      </c>
    </row>
    <row r="336" spans="1:6" ht="17.7" customHeight="1">
      <c r="A336" s="40">
        <v>45744</v>
      </c>
      <c r="B336" s="41" t="s">
        <v>201</v>
      </c>
      <c r="C336" s="42" t="s">
        <v>206</v>
      </c>
      <c r="D336" s="42" t="s">
        <v>54</v>
      </c>
      <c r="E336" s="44" t="s">
        <v>2202</v>
      </c>
      <c r="F336" s="47" t="s">
        <v>1316</v>
      </c>
    </row>
    <row r="337" spans="1:6" ht="17.7" customHeight="1">
      <c r="A337" s="40">
        <v>45744</v>
      </c>
      <c r="B337" s="41" t="s">
        <v>201</v>
      </c>
      <c r="C337" s="42" t="s">
        <v>206</v>
      </c>
      <c r="D337" s="42" t="s">
        <v>54</v>
      </c>
      <c r="E337" s="44" t="s">
        <v>2202</v>
      </c>
      <c r="F337" s="47" t="s">
        <v>1317</v>
      </c>
    </row>
    <row r="338" spans="1:6" ht="17.7" customHeight="1">
      <c r="A338" s="40">
        <v>45744</v>
      </c>
      <c r="B338" s="41" t="s">
        <v>201</v>
      </c>
      <c r="C338" s="42" t="s">
        <v>206</v>
      </c>
      <c r="D338" s="42" t="s">
        <v>54</v>
      </c>
      <c r="E338" s="44" t="s">
        <v>2202</v>
      </c>
      <c r="F338" s="47" t="s">
        <v>1318</v>
      </c>
    </row>
    <row r="339" spans="1:6" ht="17.7" customHeight="1">
      <c r="A339" s="40">
        <v>45744</v>
      </c>
      <c r="B339" s="41" t="s">
        <v>201</v>
      </c>
      <c r="C339" s="42" t="s">
        <v>206</v>
      </c>
      <c r="D339" s="42" t="s">
        <v>54</v>
      </c>
      <c r="E339" s="44" t="s">
        <v>2202</v>
      </c>
      <c r="F339" s="47" t="s">
        <v>1319</v>
      </c>
    </row>
    <row r="340" spans="1:6" ht="17.7" customHeight="1">
      <c r="A340" s="40">
        <v>45744</v>
      </c>
      <c r="B340" s="41" t="s">
        <v>201</v>
      </c>
      <c r="C340" s="42" t="s">
        <v>206</v>
      </c>
      <c r="D340" s="42" t="s">
        <v>54</v>
      </c>
      <c r="E340" s="44" t="s">
        <v>2202</v>
      </c>
      <c r="F340" s="47" t="s">
        <v>1321</v>
      </c>
    </row>
    <row r="341" spans="1:6" ht="17.7" customHeight="1">
      <c r="A341" s="40">
        <v>45744</v>
      </c>
      <c r="B341" s="41" t="s">
        <v>201</v>
      </c>
      <c r="C341" s="42" t="s">
        <v>206</v>
      </c>
      <c r="D341" s="42" t="s">
        <v>54</v>
      </c>
      <c r="E341" s="44" t="s">
        <v>2202</v>
      </c>
      <c r="F341" s="47" t="s">
        <v>1320</v>
      </c>
    </row>
    <row r="342" spans="1:6" ht="17.7" customHeight="1">
      <c r="A342" s="40">
        <v>45744</v>
      </c>
      <c r="B342" s="41" t="s">
        <v>211</v>
      </c>
      <c r="C342" s="42" t="s">
        <v>202</v>
      </c>
      <c r="D342" s="42" t="s">
        <v>57</v>
      </c>
      <c r="E342" s="44" t="s">
        <v>159</v>
      </c>
      <c r="F342" s="47" t="s">
        <v>1228</v>
      </c>
    </row>
    <row r="343" spans="1:6" ht="17.7" customHeight="1">
      <c r="A343" s="40">
        <v>45744</v>
      </c>
      <c r="B343" s="41" t="s">
        <v>211</v>
      </c>
      <c r="C343" s="42" t="s">
        <v>202</v>
      </c>
      <c r="D343" s="42" t="s">
        <v>57</v>
      </c>
      <c r="E343" s="44" t="s">
        <v>160</v>
      </c>
      <c r="F343" s="47" t="s">
        <v>1229</v>
      </c>
    </row>
    <row r="344" spans="1:6" ht="17.7" customHeight="1">
      <c r="A344" s="40">
        <v>45744</v>
      </c>
      <c r="B344" s="41" t="s">
        <v>211</v>
      </c>
      <c r="C344" s="42" t="s">
        <v>202</v>
      </c>
      <c r="D344" s="42" t="s">
        <v>57</v>
      </c>
      <c r="E344" s="44" t="s">
        <v>161</v>
      </c>
      <c r="F344" s="47" t="s">
        <v>1230</v>
      </c>
    </row>
    <row r="345" spans="1:6" ht="17.7" customHeight="1">
      <c r="A345" s="40">
        <v>45744</v>
      </c>
      <c r="B345" s="41" t="s">
        <v>211</v>
      </c>
      <c r="C345" s="42" t="s">
        <v>202</v>
      </c>
      <c r="D345" s="42" t="s">
        <v>57</v>
      </c>
      <c r="E345" s="44" t="s">
        <v>162</v>
      </c>
      <c r="F345" s="47" t="s">
        <v>1231</v>
      </c>
    </row>
    <row r="346" spans="1:6" ht="17.7" customHeight="1">
      <c r="A346" s="40">
        <v>45744</v>
      </c>
      <c r="B346" s="41" t="s">
        <v>211</v>
      </c>
      <c r="C346" s="42" t="s">
        <v>202</v>
      </c>
      <c r="D346" s="42" t="s">
        <v>57</v>
      </c>
      <c r="E346" s="44" t="s">
        <v>2237</v>
      </c>
      <c r="F346" s="47" t="s">
        <v>1232</v>
      </c>
    </row>
    <row r="347" spans="1:6" ht="17.7" customHeight="1">
      <c r="A347" s="40">
        <v>45744</v>
      </c>
      <c r="B347" s="41" t="s">
        <v>211</v>
      </c>
      <c r="C347" s="42" t="s">
        <v>202</v>
      </c>
      <c r="D347" s="42" t="s">
        <v>57</v>
      </c>
      <c r="E347" s="44" t="s">
        <v>165</v>
      </c>
      <c r="F347" s="47" t="s">
        <v>1233</v>
      </c>
    </row>
    <row r="348" spans="1:6" ht="17.7" customHeight="1">
      <c r="A348" s="40">
        <v>45744</v>
      </c>
      <c r="B348" s="41" t="s">
        <v>211</v>
      </c>
      <c r="C348" s="42" t="s">
        <v>202</v>
      </c>
      <c r="D348" s="42" t="s">
        <v>57</v>
      </c>
      <c r="E348" s="42" t="s">
        <v>2201</v>
      </c>
      <c r="F348" s="47" t="s">
        <v>1234</v>
      </c>
    </row>
    <row r="349" spans="1:6" ht="17.7" customHeight="1">
      <c r="A349" s="40">
        <v>45744</v>
      </c>
      <c r="B349" s="41" t="s">
        <v>211</v>
      </c>
      <c r="C349" s="42" t="s">
        <v>202</v>
      </c>
      <c r="D349" s="42" t="s">
        <v>57</v>
      </c>
      <c r="E349" s="44" t="s">
        <v>2239</v>
      </c>
      <c r="F349" s="47" t="s">
        <v>1235</v>
      </c>
    </row>
    <row r="350" spans="1:6" ht="17.7" customHeight="1">
      <c r="A350" s="40">
        <v>45744</v>
      </c>
      <c r="B350" s="41" t="s">
        <v>211</v>
      </c>
      <c r="C350" s="42" t="s">
        <v>202</v>
      </c>
      <c r="D350" s="42" t="s">
        <v>57</v>
      </c>
      <c r="E350" s="44" t="s">
        <v>2202</v>
      </c>
      <c r="F350" s="47" t="s">
        <v>1236</v>
      </c>
    </row>
    <row r="351" spans="1:6" ht="17.7" customHeight="1">
      <c r="A351" s="40">
        <v>45744</v>
      </c>
      <c r="B351" s="41" t="s">
        <v>211</v>
      </c>
      <c r="C351" s="42" t="s">
        <v>202</v>
      </c>
      <c r="D351" s="42" t="s">
        <v>57</v>
      </c>
      <c r="E351" s="44" t="s">
        <v>169</v>
      </c>
      <c r="F351" s="47" t="s">
        <v>1237</v>
      </c>
    </row>
    <row r="352" spans="1:6" ht="17.7" customHeight="1">
      <c r="A352" s="40">
        <v>45744</v>
      </c>
      <c r="B352" s="41" t="s">
        <v>211</v>
      </c>
      <c r="C352" s="42" t="s">
        <v>202</v>
      </c>
      <c r="D352" s="42" t="s">
        <v>57</v>
      </c>
      <c r="E352" s="44" t="s">
        <v>539</v>
      </c>
      <c r="F352" s="47" t="s">
        <v>1238</v>
      </c>
    </row>
    <row r="353" spans="1:6" ht="17.7" customHeight="1">
      <c r="A353" s="40">
        <v>45744</v>
      </c>
      <c r="B353" s="41" t="s">
        <v>211</v>
      </c>
      <c r="C353" s="42" t="s">
        <v>202</v>
      </c>
      <c r="D353" s="42" t="s">
        <v>57</v>
      </c>
      <c r="E353" s="44" t="s">
        <v>171</v>
      </c>
      <c r="F353" s="47" t="s">
        <v>1239</v>
      </c>
    </row>
    <row r="354" spans="1:6" ht="17.7" customHeight="1">
      <c r="A354" s="40">
        <v>45744</v>
      </c>
      <c r="B354" s="41" t="s">
        <v>211</v>
      </c>
      <c r="C354" s="42" t="s">
        <v>202</v>
      </c>
      <c r="D354" s="42" t="s">
        <v>57</v>
      </c>
      <c r="E354" s="44" t="s">
        <v>174</v>
      </c>
      <c r="F354" s="47" t="s">
        <v>1240</v>
      </c>
    </row>
    <row r="355" spans="1:6" ht="17.7" customHeight="1">
      <c r="A355" s="40">
        <v>45744</v>
      </c>
      <c r="B355" s="41" t="s">
        <v>201</v>
      </c>
      <c r="C355" s="42" t="s">
        <v>202</v>
      </c>
      <c r="D355" s="42" t="s">
        <v>53</v>
      </c>
      <c r="E355" s="44" t="s">
        <v>159</v>
      </c>
      <c r="F355" s="47" t="s">
        <v>1216</v>
      </c>
    </row>
    <row r="356" spans="1:6" ht="17.7" customHeight="1">
      <c r="A356" s="40">
        <v>45744</v>
      </c>
      <c r="B356" s="41" t="s">
        <v>201</v>
      </c>
      <c r="C356" s="42" t="s">
        <v>202</v>
      </c>
      <c r="D356" s="42" t="s">
        <v>53</v>
      </c>
      <c r="E356" s="44" t="s">
        <v>160</v>
      </c>
      <c r="F356" s="47" t="s">
        <v>1217</v>
      </c>
    </row>
    <row r="357" spans="1:6" ht="17.7" customHeight="1">
      <c r="A357" s="40">
        <v>45744</v>
      </c>
      <c r="B357" s="41" t="s">
        <v>201</v>
      </c>
      <c r="C357" s="42" t="s">
        <v>202</v>
      </c>
      <c r="D357" s="42" t="s">
        <v>53</v>
      </c>
      <c r="E357" s="44" t="s">
        <v>161</v>
      </c>
      <c r="F357" s="47" t="s">
        <v>1218</v>
      </c>
    </row>
    <row r="358" spans="1:6" ht="17.7" customHeight="1">
      <c r="A358" s="40">
        <v>45744</v>
      </c>
      <c r="B358" s="41" t="s">
        <v>201</v>
      </c>
      <c r="C358" s="42" t="s">
        <v>202</v>
      </c>
      <c r="D358" s="42" t="s">
        <v>53</v>
      </c>
      <c r="E358" s="44" t="s">
        <v>161</v>
      </c>
      <c r="F358" s="47" t="s">
        <v>1211</v>
      </c>
    </row>
    <row r="359" spans="1:6" ht="17.7" customHeight="1">
      <c r="A359" s="40">
        <v>45744</v>
      </c>
      <c r="B359" s="41" t="s">
        <v>201</v>
      </c>
      <c r="C359" s="42" t="s">
        <v>202</v>
      </c>
      <c r="D359" s="42" t="s">
        <v>53</v>
      </c>
      <c r="E359" s="44" t="s">
        <v>161</v>
      </c>
      <c r="F359" s="47" t="s">
        <v>1212</v>
      </c>
    </row>
    <row r="360" spans="1:6" ht="17.7" customHeight="1">
      <c r="A360" s="40">
        <v>45744</v>
      </c>
      <c r="B360" s="41" t="s">
        <v>201</v>
      </c>
      <c r="C360" s="42" t="s">
        <v>202</v>
      </c>
      <c r="D360" s="42" t="s">
        <v>53</v>
      </c>
      <c r="E360" s="44" t="s">
        <v>161</v>
      </c>
      <c r="F360" s="47" t="s">
        <v>1213</v>
      </c>
    </row>
    <row r="361" spans="1:6" ht="17.7" customHeight="1">
      <c r="A361" s="40">
        <v>45744</v>
      </c>
      <c r="B361" s="41" t="s">
        <v>201</v>
      </c>
      <c r="C361" s="42" t="s">
        <v>202</v>
      </c>
      <c r="D361" s="42" t="s">
        <v>53</v>
      </c>
      <c r="E361" s="44" t="s">
        <v>161</v>
      </c>
      <c r="F361" s="47" t="s">
        <v>1214</v>
      </c>
    </row>
    <row r="362" spans="1:6" ht="17.7" customHeight="1">
      <c r="A362" s="40">
        <v>45744</v>
      </c>
      <c r="B362" s="41" t="s">
        <v>201</v>
      </c>
      <c r="C362" s="42" t="s">
        <v>202</v>
      </c>
      <c r="D362" s="42" t="s">
        <v>53</v>
      </c>
      <c r="E362" s="44" t="s">
        <v>161</v>
      </c>
      <c r="F362" s="47" t="s">
        <v>1215</v>
      </c>
    </row>
    <row r="363" spans="1:6" ht="17.7" customHeight="1">
      <c r="A363" s="40">
        <v>45744</v>
      </c>
      <c r="B363" s="41" t="s">
        <v>201</v>
      </c>
      <c r="C363" s="42" t="s">
        <v>202</v>
      </c>
      <c r="D363" s="42" t="s">
        <v>53</v>
      </c>
      <c r="E363" s="44" t="s">
        <v>2237</v>
      </c>
      <c r="F363" s="47" t="s">
        <v>1219</v>
      </c>
    </row>
    <row r="364" spans="1:6" ht="17.7" customHeight="1">
      <c r="A364" s="40">
        <v>45744</v>
      </c>
      <c r="B364" s="41" t="s">
        <v>201</v>
      </c>
      <c r="C364" s="42" t="s">
        <v>202</v>
      </c>
      <c r="D364" s="42" t="s">
        <v>53</v>
      </c>
      <c r="E364" s="44" t="s">
        <v>165</v>
      </c>
      <c r="F364" s="47" t="s">
        <v>1220</v>
      </c>
    </row>
    <row r="365" spans="1:6" ht="17.7" customHeight="1">
      <c r="A365" s="40">
        <v>45744</v>
      </c>
      <c r="B365" s="41" t="s">
        <v>201</v>
      </c>
      <c r="C365" s="42" t="s">
        <v>202</v>
      </c>
      <c r="D365" s="42" t="s">
        <v>53</v>
      </c>
      <c r="E365" s="42" t="s">
        <v>2201</v>
      </c>
      <c r="F365" s="47" t="s">
        <v>1221</v>
      </c>
    </row>
    <row r="366" spans="1:6" ht="17.7" customHeight="1">
      <c r="A366" s="40">
        <v>45744</v>
      </c>
      <c r="B366" s="41" t="s">
        <v>201</v>
      </c>
      <c r="C366" s="42" t="s">
        <v>202</v>
      </c>
      <c r="D366" s="42" t="s">
        <v>53</v>
      </c>
      <c r="E366" s="44" t="s">
        <v>2202</v>
      </c>
      <c r="F366" s="47" t="s">
        <v>1222</v>
      </c>
    </row>
    <row r="367" spans="1:6" ht="17.7" customHeight="1">
      <c r="A367" s="40">
        <v>45744</v>
      </c>
      <c r="B367" s="41" t="s">
        <v>201</v>
      </c>
      <c r="C367" s="42" t="s">
        <v>202</v>
      </c>
      <c r="D367" s="42" t="s">
        <v>53</v>
      </c>
      <c r="E367" s="44" t="s">
        <v>169</v>
      </c>
      <c r="F367" s="47" t="s">
        <v>1223</v>
      </c>
    </row>
    <row r="368" spans="1:6" ht="17.7" customHeight="1">
      <c r="A368" s="40">
        <v>45744</v>
      </c>
      <c r="B368" s="41" t="s">
        <v>201</v>
      </c>
      <c r="C368" s="42" t="s">
        <v>202</v>
      </c>
      <c r="D368" s="42" t="s">
        <v>53</v>
      </c>
      <c r="E368" s="44" t="s">
        <v>539</v>
      </c>
      <c r="F368" s="47" t="s">
        <v>1224</v>
      </c>
    </row>
    <row r="369" spans="1:6" ht="17.7" customHeight="1">
      <c r="A369" s="40">
        <v>45744</v>
      </c>
      <c r="B369" s="41" t="s">
        <v>237</v>
      </c>
      <c r="C369" s="42" t="s">
        <v>238</v>
      </c>
      <c r="D369" s="42" t="s">
        <v>64</v>
      </c>
      <c r="E369" s="42" t="s">
        <v>161</v>
      </c>
      <c r="F369" s="47" t="s">
        <v>976</v>
      </c>
    </row>
    <row r="370" spans="1:6" ht="17.7" customHeight="1">
      <c r="A370" s="40">
        <v>45744</v>
      </c>
      <c r="B370" s="41" t="s">
        <v>237</v>
      </c>
      <c r="C370" s="42" t="s">
        <v>238</v>
      </c>
      <c r="D370" s="42" t="s">
        <v>64</v>
      </c>
      <c r="E370" s="42" t="s">
        <v>159</v>
      </c>
      <c r="F370" s="47" t="s">
        <v>977</v>
      </c>
    </row>
    <row r="371" spans="1:6" ht="17.7" customHeight="1">
      <c r="A371" s="40">
        <v>45744</v>
      </c>
      <c r="B371" s="41" t="s">
        <v>237</v>
      </c>
      <c r="C371" s="42" t="s">
        <v>238</v>
      </c>
      <c r="D371" s="42" t="s">
        <v>64</v>
      </c>
      <c r="E371" s="42" t="s">
        <v>159</v>
      </c>
      <c r="F371" s="47" t="s">
        <v>978</v>
      </c>
    </row>
    <row r="372" spans="1:6" ht="17.7" customHeight="1">
      <c r="A372" s="40">
        <v>45744</v>
      </c>
      <c r="B372" s="41" t="s">
        <v>237</v>
      </c>
      <c r="C372" s="42" t="s">
        <v>238</v>
      </c>
      <c r="D372" s="42" t="s">
        <v>64</v>
      </c>
      <c r="E372" s="42" t="s">
        <v>159</v>
      </c>
      <c r="F372" s="47" t="s">
        <v>979</v>
      </c>
    </row>
    <row r="373" spans="1:6" ht="17.7" customHeight="1">
      <c r="A373" s="40">
        <v>45744</v>
      </c>
      <c r="B373" s="41" t="s">
        <v>237</v>
      </c>
      <c r="C373" s="42" t="s">
        <v>238</v>
      </c>
      <c r="D373" s="42" t="s">
        <v>64</v>
      </c>
      <c r="E373" s="42" t="s">
        <v>159</v>
      </c>
      <c r="F373" s="47" t="s">
        <v>980</v>
      </c>
    </row>
    <row r="374" spans="1:6" ht="17.7" customHeight="1">
      <c r="A374" s="40">
        <v>45744</v>
      </c>
      <c r="B374" s="41" t="s">
        <v>237</v>
      </c>
      <c r="C374" s="42" t="s">
        <v>238</v>
      </c>
      <c r="D374" s="42" t="s">
        <v>64</v>
      </c>
      <c r="E374" s="42" t="s">
        <v>160</v>
      </c>
      <c r="F374" s="47" t="s">
        <v>981</v>
      </c>
    </row>
    <row r="375" spans="1:6" ht="17.7" customHeight="1">
      <c r="A375" s="40">
        <v>45744</v>
      </c>
      <c r="B375" s="41" t="s">
        <v>237</v>
      </c>
      <c r="C375" s="42" t="s">
        <v>238</v>
      </c>
      <c r="D375" s="42" t="s">
        <v>64</v>
      </c>
      <c r="E375" s="42" t="s">
        <v>539</v>
      </c>
      <c r="F375" s="47" t="s">
        <v>982</v>
      </c>
    </row>
    <row r="376" spans="1:6" ht="17.7" customHeight="1">
      <c r="A376" s="40">
        <v>45744</v>
      </c>
      <c r="B376" s="41" t="s">
        <v>237</v>
      </c>
      <c r="C376" s="42" t="s">
        <v>238</v>
      </c>
      <c r="D376" s="42" t="s">
        <v>64</v>
      </c>
      <c r="E376" s="42" t="s">
        <v>2242</v>
      </c>
      <c r="F376" s="47" t="s">
        <v>984</v>
      </c>
    </row>
    <row r="377" spans="1:6" ht="17.7" customHeight="1">
      <c r="A377" s="40">
        <v>45744</v>
      </c>
      <c r="B377" s="41" t="s">
        <v>237</v>
      </c>
      <c r="C377" s="42" t="s">
        <v>238</v>
      </c>
      <c r="D377" s="42" t="s">
        <v>64</v>
      </c>
      <c r="E377" s="42" t="s">
        <v>2239</v>
      </c>
      <c r="F377" s="47" t="s">
        <v>988</v>
      </c>
    </row>
    <row r="378" spans="1:6" ht="17.7" customHeight="1">
      <c r="A378" s="40">
        <v>45744</v>
      </c>
      <c r="B378" s="41" t="s">
        <v>237</v>
      </c>
      <c r="C378" s="42" t="s">
        <v>238</v>
      </c>
      <c r="D378" s="42" t="s">
        <v>64</v>
      </c>
      <c r="E378" s="42" t="s">
        <v>2243</v>
      </c>
      <c r="F378" s="47" t="s">
        <v>983</v>
      </c>
    </row>
    <row r="379" spans="1:6" ht="17.7" customHeight="1">
      <c r="A379" s="40">
        <v>45744</v>
      </c>
      <c r="B379" s="41" t="s">
        <v>237</v>
      </c>
      <c r="C379" s="42" t="s">
        <v>238</v>
      </c>
      <c r="D379" s="42" t="s">
        <v>64</v>
      </c>
      <c r="E379" s="42" t="s">
        <v>2237</v>
      </c>
      <c r="F379" s="47" t="s">
        <v>989</v>
      </c>
    </row>
    <row r="380" spans="1:6" ht="17.7" customHeight="1">
      <c r="A380" s="40">
        <v>45744</v>
      </c>
      <c r="B380" s="41" t="s">
        <v>237</v>
      </c>
      <c r="C380" s="42" t="s">
        <v>238</v>
      </c>
      <c r="D380" s="42" t="s">
        <v>64</v>
      </c>
      <c r="E380" s="42" t="s">
        <v>2244</v>
      </c>
      <c r="F380" s="47" t="s">
        <v>990</v>
      </c>
    </row>
    <row r="381" spans="1:6" ht="17.7" customHeight="1">
      <c r="A381" s="40">
        <v>45744</v>
      </c>
      <c r="B381" s="41" t="s">
        <v>251</v>
      </c>
      <c r="C381" s="42" t="s">
        <v>252</v>
      </c>
      <c r="D381" s="42" t="s">
        <v>68</v>
      </c>
      <c r="E381" s="42" t="s">
        <v>2245</v>
      </c>
      <c r="F381" s="47" t="s">
        <v>902</v>
      </c>
    </row>
    <row r="382" spans="1:6" ht="17.7" customHeight="1">
      <c r="A382" s="40">
        <v>45744</v>
      </c>
      <c r="B382" s="41" t="s">
        <v>251</v>
      </c>
      <c r="C382" s="42" t="s">
        <v>252</v>
      </c>
      <c r="D382" s="42" t="s">
        <v>68</v>
      </c>
      <c r="E382" s="42" t="s">
        <v>2245</v>
      </c>
      <c r="F382" s="47" t="s">
        <v>903</v>
      </c>
    </row>
    <row r="383" spans="1:6" ht="17.7" customHeight="1">
      <c r="A383" s="40">
        <v>45744</v>
      </c>
      <c r="B383" s="41" t="s">
        <v>251</v>
      </c>
      <c r="C383" s="42" t="s">
        <v>252</v>
      </c>
      <c r="D383" s="42" t="s">
        <v>68</v>
      </c>
      <c r="E383" s="42" t="s">
        <v>2245</v>
      </c>
      <c r="F383" s="47" t="s">
        <v>904</v>
      </c>
    </row>
    <row r="384" spans="1:6" ht="17.7" customHeight="1">
      <c r="A384" s="40">
        <v>45744</v>
      </c>
      <c r="B384" s="41" t="s">
        <v>251</v>
      </c>
      <c r="C384" s="42" t="s">
        <v>252</v>
      </c>
      <c r="D384" s="42" t="s">
        <v>68</v>
      </c>
      <c r="E384" s="42" t="s">
        <v>2245</v>
      </c>
      <c r="F384" s="47" t="s">
        <v>905</v>
      </c>
    </row>
    <row r="385" spans="1:6" ht="17.7" customHeight="1">
      <c r="A385" s="40">
        <v>45744</v>
      </c>
      <c r="B385" s="41" t="s">
        <v>251</v>
      </c>
      <c r="C385" s="42" t="s">
        <v>252</v>
      </c>
      <c r="D385" s="42" t="s">
        <v>68</v>
      </c>
      <c r="E385" s="42" t="s">
        <v>2245</v>
      </c>
      <c r="F385" s="47" t="s">
        <v>906</v>
      </c>
    </row>
    <row r="386" spans="1:6" ht="17.7" customHeight="1">
      <c r="A386" s="40">
        <v>45744</v>
      </c>
      <c r="B386" s="41" t="s">
        <v>251</v>
      </c>
      <c r="C386" s="42" t="s">
        <v>252</v>
      </c>
      <c r="D386" s="42" t="s">
        <v>68</v>
      </c>
      <c r="E386" s="42" t="s">
        <v>2245</v>
      </c>
      <c r="F386" s="47" t="s">
        <v>907</v>
      </c>
    </row>
    <row r="387" spans="1:6" ht="17.7" customHeight="1">
      <c r="A387" s="40">
        <v>45744</v>
      </c>
      <c r="B387" s="41" t="s">
        <v>251</v>
      </c>
      <c r="C387" s="42" t="s">
        <v>252</v>
      </c>
      <c r="D387" s="42" t="s">
        <v>68</v>
      </c>
      <c r="E387" s="42" t="s">
        <v>2245</v>
      </c>
      <c r="F387" s="47" t="s">
        <v>908</v>
      </c>
    </row>
    <row r="388" spans="1:6" ht="17.7" customHeight="1">
      <c r="A388" s="40">
        <v>45744</v>
      </c>
      <c r="B388" s="41" t="s">
        <v>251</v>
      </c>
      <c r="C388" s="42" t="s">
        <v>252</v>
      </c>
      <c r="D388" s="42" t="s">
        <v>68</v>
      </c>
      <c r="E388" s="42" t="s">
        <v>2245</v>
      </c>
      <c r="F388" s="47" t="s">
        <v>909</v>
      </c>
    </row>
    <row r="389" spans="1:6" ht="17.7" customHeight="1">
      <c r="A389" s="40">
        <v>45744</v>
      </c>
      <c r="B389" s="41" t="s">
        <v>251</v>
      </c>
      <c r="C389" s="42" t="s">
        <v>252</v>
      </c>
      <c r="D389" s="42" t="s">
        <v>68</v>
      </c>
      <c r="E389" s="42" t="s">
        <v>2245</v>
      </c>
      <c r="F389" s="47" t="s">
        <v>910</v>
      </c>
    </row>
    <row r="390" spans="1:6" ht="17.7" customHeight="1">
      <c r="A390" s="40">
        <v>45744</v>
      </c>
      <c r="B390" s="41" t="s">
        <v>251</v>
      </c>
      <c r="C390" s="42" t="s">
        <v>252</v>
      </c>
      <c r="D390" s="42" t="s">
        <v>68</v>
      </c>
      <c r="E390" s="42" t="s">
        <v>2245</v>
      </c>
      <c r="F390" s="47" t="s">
        <v>911</v>
      </c>
    </row>
    <row r="391" spans="1:6" ht="17.7" customHeight="1">
      <c r="A391" s="40">
        <v>45744</v>
      </c>
      <c r="B391" s="41" t="s">
        <v>251</v>
      </c>
      <c r="C391" s="42" t="s">
        <v>252</v>
      </c>
      <c r="D391" s="42" t="s">
        <v>68</v>
      </c>
      <c r="E391" s="42" t="s">
        <v>2245</v>
      </c>
      <c r="F391" s="47" t="s">
        <v>909</v>
      </c>
    </row>
    <row r="392" spans="1:6" ht="17.7" customHeight="1">
      <c r="A392" s="40">
        <v>45744</v>
      </c>
      <c r="B392" s="41" t="s">
        <v>251</v>
      </c>
      <c r="C392" s="42" t="s">
        <v>252</v>
      </c>
      <c r="D392" s="42" t="s">
        <v>68</v>
      </c>
      <c r="E392" s="42" t="s">
        <v>2237</v>
      </c>
      <c r="F392" s="47" t="s">
        <v>912</v>
      </c>
    </row>
    <row r="393" spans="1:6" ht="17.7" customHeight="1">
      <c r="A393" s="40">
        <v>45744</v>
      </c>
      <c r="B393" s="41" t="s">
        <v>251</v>
      </c>
      <c r="C393" s="42" t="s">
        <v>252</v>
      </c>
      <c r="D393" s="42" t="s">
        <v>68</v>
      </c>
      <c r="E393" s="42" t="s">
        <v>2244</v>
      </c>
      <c r="F393" s="47" t="s">
        <v>913</v>
      </c>
    </row>
    <row r="394" spans="1:6" ht="17.7" customHeight="1">
      <c r="A394" s="40">
        <v>45744</v>
      </c>
      <c r="B394" s="41" t="s">
        <v>251</v>
      </c>
      <c r="C394" s="42" t="s">
        <v>252</v>
      </c>
      <c r="D394" s="42" t="s">
        <v>68</v>
      </c>
      <c r="E394" s="42" t="s">
        <v>2244</v>
      </c>
      <c r="F394" s="47" t="s">
        <v>914</v>
      </c>
    </row>
    <row r="395" spans="1:6" ht="17.7" customHeight="1">
      <c r="A395" s="40">
        <v>45744</v>
      </c>
      <c r="B395" s="41" t="s">
        <v>251</v>
      </c>
      <c r="C395" s="42" t="s">
        <v>252</v>
      </c>
      <c r="D395" s="42" t="s">
        <v>68</v>
      </c>
      <c r="E395" s="42" t="s">
        <v>2244</v>
      </c>
      <c r="F395" s="47" t="s">
        <v>915</v>
      </c>
    </row>
    <row r="396" spans="1:6" ht="17.7" customHeight="1">
      <c r="A396" s="40">
        <v>45744</v>
      </c>
      <c r="B396" s="41" t="s">
        <v>251</v>
      </c>
      <c r="C396" s="42" t="s">
        <v>252</v>
      </c>
      <c r="D396" s="42" t="s">
        <v>68</v>
      </c>
      <c r="E396" s="42" t="s">
        <v>2244</v>
      </c>
      <c r="F396" s="47" t="s">
        <v>916</v>
      </c>
    </row>
    <row r="397" spans="1:6" ht="17.7" customHeight="1">
      <c r="A397" s="40">
        <v>45744</v>
      </c>
      <c r="B397" s="41" t="s">
        <v>251</v>
      </c>
      <c r="C397" s="42" t="s">
        <v>252</v>
      </c>
      <c r="D397" s="42" t="s">
        <v>68</v>
      </c>
      <c r="E397" s="42" t="s">
        <v>2246</v>
      </c>
      <c r="F397" s="47" t="s">
        <v>917</v>
      </c>
    </row>
    <row r="398" spans="1:6" ht="17.7" customHeight="1">
      <c r="A398" s="40">
        <v>45744</v>
      </c>
      <c r="B398" s="41" t="s">
        <v>251</v>
      </c>
      <c r="C398" s="42" t="s">
        <v>252</v>
      </c>
      <c r="D398" s="42" t="s">
        <v>68</v>
      </c>
      <c r="E398" s="42" t="s">
        <v>2246</v>
      </c>
      <c r="F398" s="47" t="s">
        <v>918</v>
      </c>
    </row>
    <row r="399" spans="1:6" ht="17.7" customHeight="1">
      <c r="A399" s="40">
        <v>45744</v>
      </c>
      <c r="B399" s="41" t="s">
        <v>251</v>
      </c>
      <c r="C399" s="42" t="s">
        <v>252</v>
      </c>
      <c r="D399" s="42" t="s">
        <v>68</v>
      </c>
      <c r="E399" s="42" t="s">
        <v>2246</v>
      </c>
      <c r="F399" s="47" t="s">
        <v>919</v>
      </c>
    </row>
    <row r="400" spans="1:6" ht="17.7" customHeight="1">
      <c r="A400" s="40">
        <v>45744</v>
      </c>
      <c r="B400" s="41" t="s">
        <v>251</v>
      </c>
      <c r="C400" s="42" t="s">
        <v>252</v>
      </c>
      <c r="D400" s="42" t="s">
        <v>68</v>
      </c>
      <c r="E400" s="42" t="s">
        <v>2246</v>
      </c>
      <c r="F400" s="47" t="s">
        <v>920</v>
      </c>
    </row>
    <row r="401" spans="1:6" ht="17.7" customHeight="1">
      <c r="A401" s="40">
        <v>45744</v>
      </c>
      <c r="B401" s="41" t="s">
        <v>251</v>
      </c>
      <c r="C401" s="42" t="s">
        <v>252</v>
      </c>
      <c r="D401" s="42" t="s">
        <v>68</v>
      </c>
      <c r="E401" s="42" t="s">
        <v>2246</v>
      </c>
      <c r="F401" s="47" t="s">
        <v>921</v>
      </c>
    </row>
    <row r="402" spans="1:6" ht="17.7" customHeight="1">
      <c r="A402" s="40">
        <v>45744</v>
      </c>
      <c r="B402" s="41" t="s">
        <v>251</v>
      </c>
      <c r="C402" s="42" t="s">
        <v>252</v>
      </c>
      <c r="D402" s="42" t="s">
        <v>68</v>
      </c>
      <c r="E402" s="42" t="s">
        <v>2246</v>
      </c>
      <c r="F402" s="47" t="s">
        <v>922</v>
      </c>
    </row>
    <row r="403" spans="1:6" ht="17.7" customHeight="1">
      <c r="A403" s="40">
        <v>45744</v>
      </c>
      <c r="B403" s="41" t="s">
        <v>251</v>
      </c>
      <c r="C403" s="42" t="s">
        <v>252</v>
      </c>
      <c r="D403" s="42" t="s">
        <v>68</v>
      </c>
      <c r="E403" s="42" t="s">
        <v>2246</v>
      </c>
      <c r="F403" s="47" t="s">
        <v>923</v>
      </c>
    </row>
    <row r="404" spans="1:6" ht="17.7" customHeight="1">
      <c r="A404" s="40">
        <v>45744</v>
      </c>
      <c r="B404" s="41" t="s">
        <v>251</v>
      </c>
      <c r="C404" s="42" t="s">
        <v>252</v>
      </c>
      <c r="D404" s="42" t="s">
        <v>68</v>
      </c>
      <c r="E404" s="42" t="s">
        <v>2246</v>
      </c>
      <c r="F404" s="47" t="s">
        <v>2247</v>
      </c>
    </row>
    <row r="405" spans="1:6" ht="17.7" customHeight="1">
      <c r="A405" s="40">
        <v>45744</v>
      </c>
      <c r="B405" s="41" t="s">
        <v>251</v>
      </c>
      <c r="C405" s="42" t="s">
        <v>252</v>
      </c>
      <c r="D405" s="42" t="s">
        <v>68</v>
      </c>
      <c r="E405" s="42" t="s">
        <v>2246</v>
      </c>
      <c r="F405" s="47" t="s">
        <v>924</v>
      </c>
    </row>
    <row r="406" spans="1:6" ht="17.7" customHeight="1">
      <c r="A406" s="40">
        <v>45744</v>
      </c>
      <c r="B406" s="41" t="s">
        <v>251</v>
      </c>
      <c r="C406" s="42" t="s">
        <v>252</v>
      </c>
      <c r="D406" s="42" t="s">
        <v>68</v>
      </c>
      <c r="E406" s="42" t="s">
        <v>2246</v>
      </c>
      <c r="F406" s="47" t="s">
        <v>925</v>
      </c>
    </row>
    <row r="407" spans="1:6" ht="17.7" customHeight="1">
      <c r="A407" s="40">
        <v>45744</v>
      </c>
      <c r="B407" s="41" t="s">
        <v>251</v>
      </c>
      <c r="C407" s="42" t="s">
        <v>252</v>
      </c>
      <c r="D407" s="42" t="s">
        <v>68</v>
      </c>
      <c r="E407" s="42" t="s">
        <v>2248</v>
      </c>
      <c r="F407" s="47" t="s">
        <v>967</v>
      </c>
    </row>
    <row r="408" spans="1:6" ht="17.7" customHeight="1">
      <c r="A408" s="40">
        <v>45744</v>
      </c>
      <c r="B408" s="41" t="s">
        <v>251</v>
      </c>
      <c r="C408" s="42" t="s">
        <v>252</v>
      </c>
      <c r="D408" s="42" t="s">
        <v>68</v>
      </c>
      <c r="E408" s="42" t="s">
        <v>2248</v>
      </c>
      <c r="F408" s="47" t="s">
        <v>926</v>
      </c>
    </row>
    <row r="409" spans="1:6" ht="17.7" customHeight="1">
      <c r="A409" s="40">
        <v>45744</v>
      </c>
      <c r="B409" s="41" t="s">
        <v>251</v>
      </c>
      <c r="C409" s="42" t="s">
        <v>252</v>
      </c>
      <c r="D409" s="42" t="s">
        <v>68</v>
      </c>
      <c r="E409" s="42" t="s">
        <v>2248</v>
      </c>
      <c r="F409" s="47" t="s">
        <v>927</v>
      </c>
    </row>
    <row r="410" spans="1:6" ht="17.7" customHeight="1">
      <c r="A410" s="40">
        <v>45744</v>
      </c>
      <c r="B410" s="41" t="s">
        <v>251</v>
      </c>
      <c r="C410" s="42" t="s">
        <v>252</v>
      </c>
      <c r="D410" s="42" t="s">
        <v>68</v>
      </c>
      <c r="E410" s="42" t="s">
        <v>2248</v>
      </c>
      <c r="F410" s="47" t="s">
        <v>928</v>
      </c>
    </row>
    <row r="411" spans="1:6" ht="17.7" customHeight="1">
      <c r="A411" s="40">
        <v>45744</v>
      </c>
      <c r="B411" s="41" t="s">
        <v>251</v>
      </c>
      <c r="C411" s="42" t="s">
        <v>252</v>
      </c>
      <c r="D411" s="42" t="s">
        <v>68</v>
      </c>
      <c r="E411" s="42" t="s">
        <v>2248</v>
      </c>
      <c r="F411" s="47" t="s">
        <v>929</v>
      </c>
    </row>
    <row r="412" spans="1:6" ht="17.7" customHeight="1">
      <c r="A412" s="40">
        <v>45744</v>
      </c>
      <c r="B412" s="41" t="s">
        <v>251</v>
      </c>
      <c r="C412" s="42" t="s">
        <v>252</v>
      </c>
      <c r="D412" s="42" t="s">
        <v>68</v>
      </c>
      <c r="E412" s="42" t="s">
        <v>2248</v>
      </c>
      <c r="F412" s="47" t="s">
        <v>930</v>
      </c>
    </row>
    <row r="413" spans="1:6" ht="17.7" customHeight="1">
      <c r="A413" s="40">
        <v>45744</v>
      </c>
      <c r="B413" s="41" t="s">
        <v>251</v>
      </c>
      <c r="C413" s="42" t="s">
        <v>252</v>
      </c>
      <c r="D413" s="42" t="s">
        <v>68</v>
      </c>
      <c r="E413" s="42" t="s">
        <v>2248</v>
      </c>
      <c r="F413" s="47" t="s">
        <v>931</v>
      </c>
    </row>
    <row r="414" spans="1:6" ht="17.7" customHeight="1">
      <c r="A414" s="40">
        <v>45744</v>
      </c>
      <c r="B414" s="41" t="s">
        <v>251</v>
      </c>
      <c r="C414" s="42" t="s">
        <v>252</v>
      </c>
      <c r="D414" s="42" t="s">
        <v>68</v>
      </c>
      <c r="E414" s="42" t="s">
        <v>2248</v>
      </c>
      <c r="F414" s="47" t="s">
        <v>932</v>
      </c>
    </row>
    <row r="415" spans="1:6" ht="17.7" customHeight="1">
      <c r="A415" s="40">
        <v>45744</v>
      </c>
      <c r="B415" s="41" t="s">
        <v>251</v>
      </c>
      <c r="C415" s="42" t="s">
        <v>252</v>
      </c>
      <c r="D415" s="42" t="s">
        <v>68</v>
      </c>
      <c r="E415" s="42" t="s">
        <v>2248</v>
      </c>
      <c r="F415" s="47" t="s">
        <v>933</v>
      </c>
    </row>
    <row r="416" spans="1:6" ht="17.7" customHeight="1">
      <c r="A416" s="40">
        <v>45744</v>
      </c>
      <c r="B416" s="41" t="s">
        <v>251</v>
      </c>
      <c r="C416" s="42" t="s">
        <v>252</v>
      </c>
      <c r="D416" s="42" t="s">
        <v>68</v>
      </c>
      <c r="E416" s="42" t="s">
        <v>2248</v>
      </c>
      <c r="F416" s="47" t="s">
        <v>934</v>
      </c>
    </row>
    <row r="417" spans="1:6" ht="17.7" customHeight="1">
      <c r="A417" s="40">
        <v>45744</v>
      </c>
      <c r="B417" s="41" t="s">
        <v>251</v>
      </c>
      <c r="C417" s="42" t="s">
        <v>252</v>
      </c>
      <c r="D417" s="42" t="s">
        <v>68</v>
      </c>
      <c r="E417" s="42" t="s">
        <v>2248</v>
      </c>
      <c r="F417" s="47" t="s">
        <v>935</v>
      </c>
    </row>
    <row r="418" spans="1:6" ht="17.7" customHeight="1">
      <c r="A418" s="40">
        <v>45744</v>
      </c>
      <c r="B418" s="41" t="s">
        <v>251</v>
      </c>
      <c r="C418" s="42" t="s">
        <v>252</v>
      </c>
      <c r="D418" s="42" t="s">
        <v>68</v>
      </c>
      <c r="E418" s="42" t="s">
        <v>2248</v>
      </c>
      <c r="F418" s="47" t="s">
        <v>936</v>
      </c>
    </row>
    <row r="419" spans="1:6" ht="17.7" customHeight="1">
      <c r="A419" s="40">
        <v>45744</v>
      </c>
      <c r="B419" s="41" t="s">
        <v>251</v>
      </c>
      <c r="C419" s="42" t="s">
        <v>252</v>
      </c>
      <c r="D419" s="42" t="s">
        <v>68</v>
      </c>
      <c r="E419" s="42" t="s">
        <v>2249</v>
      </c>
      <c r="F419" s="47" t="s">
        <v>937</v>
      </c>
    </row>
    <row r="420" spans="1:6" ht="17.7" customHeight="1">
      <c r="A420" s="40">
        <v>45744</v>
      </c>
      <c r="B420" s="41" t="s">
        <v>251</v>
      </c>
      <c r="C420" s="42" t="s">
        <v>252</v>
      </c>
      <c r="D420" s="42" t="s">
        <v>68</v>
      </c>
      <c r="E420" s="42" t="s">
        <v>2249</v>
      </c>
      <c r="F420" s="47" t="s">
        <v>938</v>
      </c>
    </row>
    <row r="421" spans="1:6" ht="17.7" customHeight="1">
      <c r="A421" s="40">
        <v>45744</v>
      </c>
      <c r="B421" s="41" t="s">
        <v>251</v>
      </c>
      <c r="C421" s="42" t="s">
        <v>252</v>
      </c>
      <c r="D421" s="42" t="s">
        <v>68</v>
      </c>
      <c r="E421" s="42" t="s">
        <v>2249</v>
      </c>
      <c r="F421" s="47" t="s">
        <v>939</v>
      </c>
    </row>
    <row r="422" spans="1:6" ht="17.7" customHeight="1">
      <c r="A422" s="40">
        <v>45744</v>
      </c>
      <c r="B422" s="41" t="s">
        <v>251</v>
      </c>
      <c r="C422" s="42" t="s">
        <v>252</v>
      </c>
      <c r="D422" s="42" t="s">
        <v>68</v>
      </c>
      <c r="E422" s="42" t="s">
        <v>2249</v>
      </c>
      <c r="F422" s="47" t="s">
        <v>940</v>
      </c>
    </row>
    <row r="423" spans="1:6" ht="17.7" customHeight="1">
      <c r="A423" s="40">
        <v>45744</v>
      </c>
      <c r="B423" s="41" t="s">
        <v>251</v>
      </c>
      <c r="C423" s="42" t="s">
        <v>252</v>
      </c>
      <c r="D423" s="42" t="s">
        <v>68</v>
      </c>
      <c r="E423" s="42" t="s">
        <v>2249</v>
      </c>
      <c r="F423" s="47" t="s">
        <v>941</v>
      </c>
    </row>
    <row r="424" spans="1:6" ht="17.7" customHeight="1">
      <c r="A424" s="40">
        <v>45744</v>
      </c>
      <c r="B424" s="41" t="s">
        <v>251</v>
      </c>
      <c r="C424" s="42" t="s">
        <v>252</v>
      </c>
      <c r="D424" s="42" t="s">
        <v>68</v>
      </c>
      <c r="E424" s="42" t="s">
        <v>2249</v>
      </c>
      <c r="F424" s="47" t="s">
        <v>942</v>
      </c>
    </row>
    <row r="425" spans="1:6" ht="17.7" customHeight="1">
      <c r="A425" s="40">
        <v>45744</v>
      </c>
      <c r="B425" s="41" t="s">
        <v>251</v>
      </c>
      <c r="C425" s="42" t="s">
        <v>252</v>
      </c>
      <c r="D425" s="42" t="s">
        <v>68</v>
      </c>
      <c r="E425" s="42" t="s">
        <v>2249</v>
      </c>
      <c r="F425" s="47" t="s">
        <v>943</v>
      </c>
    </row>
    <row r="426" spans="1:6" ht="17.7" customHeight="1">
      <c r="A426" s="40">
        <v>45744</v>
      </c>
      <c r="B426" s="41" t="s">
        <v>251</v>
      </c>
      <c r="C426" s="42" t="s">
        <v>252</v>
      </c>
      <c r="D426" s="42" t="s">
        <v>68</v>
      </c>
      <c r="E426" s="42" t="s">
        <v>2249</v>
      </c>
      <c r="F426" s="47" t="s">
        <v>944</v>
      </c>
    </row>
    <row r="427" spans="1:6" ht="17.7" customHeight="1">
      <c r="A427" s="40">
        <v>45744</v>
      </c>
      <c r="B427" s="41" t="s">
        <v>251</v>
      </c>
      <c r="C427" s="42" t="s">
        <v>252</v>
      </c>
      <c r="D427" s="42" t="s">
        <v>68</v>
      </c>
      <c r="E427" s="42" t="s">
        <v>2249</v>
      </c>
      <c r="F427" s="47" t="s">
        <v>945</v>
      </c>
    </row>
    <row r="428" spans="1:6" ht="17.7" customHeight="1">
      <c r="A428" s="40">
        <v>45744</v>
      </c>
      <c r="B428" s="41" t="s">
        <v>251</v>
      </c>
      <c r="C428" s="42" t="s">
        <v>252</v>
      </c>
      <c r="D428" s="42" t="s">
        <v>68</v>
      </c>
      <c r="E428" s="42" t="s">
        <v>2249</v>
      </c>
      <c r="F428" s="47" t="s">
        <v>946</v>
      </c>
    </row>
    <row r="429" spans="1:6" ht="17.7" customHeight="1">
      <c r="A429" s="40">
        <v>45744</v>
      </c>
      <c r="B429" s="41" t="s">
        <v>251</v>
      </c>
      <c r="C429" s="42" t="s">
        <v>252</v>
      </c>
      <c r="D429" s="42" t="s">
        <v>68</v>
      </c>
      <c r="E429" s="42" t="s">
        <v>2250</v>
      </c>
      <c r="F429" s="47" t="s">
        <v>947</v>
      </c>
    </row>
    <row r="430" spans="1:6" ht="17.7" customHeight="1">
      <c r="A430" s="40">
        <v>45744</v>
      </c>
      <c r="B430" s="41" t="s">
        <v>251</v>
      </c>
      <c r="C430" s="42" t="s">
        <v>252</v>
      </c>
      <c r="D430" s="42" t="s">
        <v>68</v>
      </c>
      <c r="E430" s="42" t="s">
        <v>2250</v>
      </c>
      <c r="F430" s="47" t="s">
        <v>948</v>
      </c>
    </row>
    <row r="431" spans="1:6" ht="17.7" customHeight="1">
      <c r="A431" s="40">
        <v>45744</v>
      </c>
      <c r="B431" s="41" t="s">
        <v>251</v>
      </c>
      <c r="C431" s="42" t="s">
        <v>252</v>
      </c>
      <c r="D431" s="42" t="s">
        <v>68</v>
      </c>
      <c r="E431" s="42" t="s">
        <v>2250</v>
      </c>
      <c r="F431" s="47" t="s">
        <v>949</v>
      </c>
    </row>
    <row r="432" spans="1:6" ht="17.7" customHeight="1">
      <c r="A432" s="40">
        <v>45744</v>
      </c>
      <c r="B432" s="41" t="s">
        <v>251</v>
      </c>
      <c r="C432" s="42" t="s">
        <v>252</v>
      </c>
      <c r="D432" s="42" t="s">
        <v>68</v>
      </c>
      <c r="E432" s="42" t="s">
        <v>2250</v>
      </c>
      <c r="F432" s="47" t="s">
        <v>950</v>
      </c>
    </row>
    <row r="433" spans="1:6" ht="17.7" customHeight="1">
      <c r="A433" s="40">
        <v>45744</v>
      </c>
      <c r="B433" s="41" t="s">
        <v>251</v>
      </c>
      <c r="C433" s="42" t="s">
        <v>252</v>
      </c>
      <c r="D433" s="42" t="s">
        <v>68</v>
      </c>
      <c r="E433" s="42" t="s">
        <v>2250</v>
      </c>
      <c r="F433" s="47" t="s">
        <v>951</v>
      </c>
    </row>
    <row r="434" spans="1:6" ht="17.7" customHeight="1">
      <c r="A434" s="40">
        <v>45744</v>
      </c>
      <c r="B434" s="41" t="s">
        <v>251</v>
      </c>
      <c r="C434" s="42" t="s">
        <v>252</v>
      </c>
      <c r="D434" s="42" t="s">
        <v>68</v>
      </c>
      <c r="E434" s="42" t="s">
        <v>2250</v>
      </c>
      <c r="F434" s="47" t="s">
        <v>952</v>
      </c>
    </row>
    <row r="435" spans="1:6" ht="17.7" customHeight="1">
      <c r="A435" s="40">
        <v>45744</v>
      </c>
      <c r="B435" s="41" t="s">
        <v>251</v>
      </c>
      <c r="C435" s="42" t="s">
        <v>252</v>
      </c>
      <c r="D435" s="42" t="s">
        <v>68</v>
      </c>
      <c r="E435" s="42" t="s">
        <v>2250</v>
      </c>
      <c r="F435" s="47" t="s">
        <v>953</v>
      </c>
    </row>
    <row r="436" spans="1:6" ht="17.7" customHeight="1">
      <c r="A436" s="40">
        <v>45744</v>
      </c>
      <c r="B436" s="41" t="s">
        <v>251</v>
      </c>
      <c r="C436" s="42" t="s">
        <v>252</v>
      </c>
      <c r="D436" s="42" t="s">
        <v>68</v>
      </c>
      <c r="E436" s="42" t="s">
        <v>2250</v>
      </c>
      <c r="F436" s="47" t="s">
        <v>954</v>
      </c>
    </row>
    <row r="437" spans="1:6" ht="17.7" customHeight="1">
      <c r="A437" s="40">
        <v>45744</v>
      </c>
      <c r="B437" s="41" t="s">
        <v>251</v>
      </c>
      <c r="C437" s="42" t="s">
        <v>252</v>
      </c>
      <c r="D437" s="42" t="s">
        <v>68</v>
      </c>
      <c r="E437" s="42" t="s">
        <v>2250</v>
      </c>
      <c r="F437" s="47" t="s">
        <v>955</v>
      </c>
    </row>
    <row r="438" spans="1:6" ht="17.7" customHeight="1">
      <c r="A438" s="40">
        <v>45744</v>
      </c>
      <c r="B438" s="41" t="s">
        <v>251</v>
      </c>
      <c r="C438" s="42" t="s">
        <v>252</v>
      </c>
      <c r="D438" s="42" t="s">
        <v>68</v>
      </c>
      <c r="E438" s="42" t="s">
        <v>2250</v>
      </c>
      <c r="F438" s="47" t="s">
        <v>956</v>
      </c>
    </row>
    <row r="439" spans="1:6" ht="17.7" customHeight="1">
      <c r="A439" s="40">
        <v>45744</v>
      </c>
      <c r="B439" s="41" t="s">
        <v>251</v>
      </c>
      <c r="C439" s="42" t="s">
        <v>252</v>
      </c>
      <c r="D439" s="42" t="s">
        <v>68</v>
      </c>
      <c r="E439" s="42" t="s">
        <v>2250</v>
      </c>
      <c r="F439" s="47" t="s">
        <v>957</v>
      </c>
    </row>
    <row r="440" spans="1:6" ht="17.7" customHeight="1">
      <c r="A440" s="40">
        <v>45744</v>
      </c>
      <c r="B440" s="41" t="s">
        <v>251</v>
      </c>
      <c r="C440" s="42" t="s">
        <v>252</v>
      </c>
      <c r="D440" s="42" t="s">
        <v>68</v>
      </c>
      <c r="E440" s="42" t="s">
        <v>2250</v>
      </c>
      <c r="F440" s="47" t="s">
        <v>958</v>
      </c>
    </row>
    <row r="441" spans="1:6" ht="17.7" customHeight="1">
      <c r="A441" s="40">
        <v>45744</v>
      </c>
      <c r="B441" s="41" t="s">
        <v>251</v>
      </c>
      <c r="C441" s="42" t="s">
        <v>252</v>
      </c>
      <c r="D441" s="42" t="s">
        <v>68</v>
      </c>
      <c r="E441" s="42" t="s">
        <v>2250</v>
      </c>
      <c r="F441" s="47" t="s">
        <v>959</v>
      </c>
    </row>
    <row r="442" spans="1:6" ht="17.7" customHeight="1">
      <c r="A442" s="40">
        <v>45744</v>
      </c>
      <c r="B442" s="41" t="s">
        <v>251</v>
      </c>
      <c r="C442" s="42" t="s">
        <v>252</v>
      </c>
      <c r="D442" s="42" t="s">
        <v>68</v>
      </c>
      <c r="E442" s="42" t="s">
        <v>2251</v>
      </c>
      <c r="F442" s="47" t="s">
        <v>960</v>
      </c>
    </row>
    <row r="443" spans="1:6" ht="17.7" customHeight="1">
      <c r="A443" s="40">
        <v>45744</v>
      </c>
      <c r="B443" s="41" t="s">
        <v>251</v>
      </c>
      <c r="C443" s="42" t="s">
        <v>252</v>
      </c>
      <c r="D443" s="42" t="s">
        <v>68</v>
      </c>
      <c r="E443" s="42" t="s">
        <v>2251</v>
      </c>
      <c r="F443" s="47" t="s">
        <v>961</v>
      </c>
    </row>
    <row r="444" spans="1:6" ht="17.7" customHeight="1">
      <c r="A444" s="40">
        <v>45744</v>
      </c>
      <c r="B444" s="41" t="s">
        <v>251</v>
      </c>
      <c r="C444" s="42" t="s">
        <v>252</v>
      </c>
      <c r="D444" s="42" t="s">
        <v>68</v>
      </c>
      <c r="E444" s="42" t="s">
        <v>2251</v>
      </c>
      <c r="F444" s="47" t="s">
        <v>962</v>
      </c>
    </row>
    <row r="445" spans="1:6" ht="17.7" customHeight="1">
      <c r="A445" s="40">
        <v>45744</v>
      </c>
      <c r="B445" s="41" t="s">
        <v>251</v>
      </c>
      <c r="C445" s="42" t="s">
        <v>252</v>
      </c>
      <c r="D445" s="42" t="s">
        <v>68</v>
      </c>
      <c r="E445" s="42" t="s">
        <v>2251</v>
      </c>
      <c r="F445" s="47" t="s">
        <v>963</v>
      </c>
    </row>
    <row r="446" spans="1:6" ht="17.7" customHeight="1">
      <c r="A446" s="40">
        <v>45744</v>
      </c>
      <c r="B446" s="41" t="s">
        <v>27</v>
      </c>
      <c r="C446" s="42" t="s">
        <v>615</v>
      </c>
      <c r="D446" s="42" t="s">
        <v>88</v>
      </c>
      <c r="E446" s="42" t="s">
        <v>2249</v>
      </c>
      <c r="F446" s="47" t="s">
        <v>1067</v>
      </c>
    </row>
    <row r="447" spans="1:6" ht="17.7" customHeight="1">
      <c r="A447" s="40">
        <v>45744</v>
      </c>
      <c r="B447" s="41" t="s">
        <v>27</v>
      </c>
      <c r="C447" s="42" t="s">
        <v>615</v>
      </c>
      <c r="D447" s="42" t="s">
        <v>88</v>
      </c>
      <c r="E447" s="42" t="s">
        <v>2249</v>
      </c>
      <c r="F447" s="47" t="s">
        <v>1068</v>
      </c>
    </row>
    <row r="448" spans="1:6" ht="17.7" customHeight="1">
      <c r="A448" s="40">
        <v>45744</v>
      </c>
      <c r="B448" s="41" t="s">
        <v>27</v>
      </c>
      <c r="C448" s="42" t="s">
        <v>615</v>
      </c>
      <c r="D448" s="42" t="s">
        <v>88</v>
      </c>
      <c r="E448" s="42" t="s">
        <v>161</v>
      </c>
      <c r="F448" s="47" t="s">
        <v>1066</v>
      </c>
    </row>
    <row r="449" spans="1:6" ht="17.7" customHeight="1">
      <c r="A449" s="40">
        <v>45744</v>
      </c>
      <c r="B449" s="41" t="s">
        <v>27</v>
      </c>
      <c r="C449" s="42" t="s">
        <v>615</v>
      </c>
      <c r="D449" s="42" t="s">
        <v>88</v>
      </c>
      <c r="E449" s="42" t="s">
        <v>162</v>
      </c>
      <c r="F449" s="47" t="s">
        <v>1065</v>
      </c>
    </row>
    <row r="450" spans="1:6" ht="17.7" customHeight="1">
      <c r="A450" s="40">
        <v>45744</v>
      </c>
      <c r="B450" s="41" t="s">
        <v>27</v>
      </c>
      <c r="C450" s="42" t="s">
        <v>615</v>
      </c>
      <c r="D450" s="42" t="s">
        <v>88</v>
      </c>
      <c r="E450" s="42" t="s">
        <v>2250</v>
      </c>
      <c r="F450" s="47" t="s">
        <v>1064</v>
      </c>
    </row>
    <row r="451" spans="1:6" ht="17.7" customHeight="1">
      <c r="A451" s="40">
        <v>45744</v>
      </c>
      <c r="B451" s="41" t="s">
        <v>27</v>
      </c>
      <c r="C451" s="42" t="s">
        <v>615</v>
      </c>
      <c r="D451" s="42" t="s">
        <v>88</v>
      </c>
      <c r="E451" s="42" t="s">
        <v>2248</v>
      </c>
      <c r="F451" s="47" t="s">
        <v>1063</v>
      </c>
    </row>
    <row r="452" spans="1:6" ht="17.7" customHeight="1">
      <c r="A452" s="40">
        <v>45744</v>
      </c>
      <c r="B452" s="41" t="s">
        <v>27</v>
      </c>
      <c r="C452" s="42" t="s">
        <v>615</v>
      </c>
      <c r="D452" s="42" t="s">
        <v>88</v>
      </c>
      <c r="E452" s="42" t="s">
        <v>2246</v>
      </c>
      <c r="F452" s="47" t="s">
        <v>1062</v>
      </c>
    </row>
    <row r="453" spans="1:6" ht="17.7" customHeight="1">
      <c r="A453" s="40">
        <v>45744</v>
      </c>
      <c r="B453" s="41" t="s">
        <v>331</v>
      </c>
      <c r="C453" s="42" t="s">
        <v>332</v>
      </c>
      <c r="D453" s="42" t="s">
        <v>101</v>
      </c>
      <c r="E453" s="42" t="s">
        <v>2246</v>
      </c>
      <c r="F453" s="47" t="s">
        <v>1532</v>
      </c>
    </row>
    <row r="454" spans="1:6" ht="17.7" customHeight="1">
      <c r="A454" s="40">
        <v>45744</v>
      </c>
      <c r="B454" s="41" t="s">
        <v>331</v>
      </c>
      <c r="C454" s="42" t="s">
        <v>332</v>
      </c>
      <c r="D454" s="42" t="s">
        <v>101</v>
      </c>
      <c r="E454" s="42" t="s">
        <v>2248</v>
      </c>
      <c r="F454" s="47" t="s">
        <v>1533</v>
      </c>
    </row>
    <row r="455" spans="1:6" ht="17.7" customHeight="1">
      <c r="A455" s="40">
        <v>45744</v>
      </c>
      <c r="B455" s="41" t="s">
        <v>331</v>
      </c>
      <c r="C455" s="42" t="s">
        <v>332</v>
      </c>
      <c r="D455" s="42" t="s">
        <v>101</v>
      </c>
      <c r="E455" s="42" t="s">
        <v>161</v>
      </c>
      <c r="F455" s="47" t="s">
        <v>1534</v>
      </c>
    </row>
    <row r="456" spans="1:6" ht="17.7" customHeight="1">
      <c r="A456" s="40">
        <v>45744</v>
      </c>
      <c r="B456" s="41" t="s">
        <v>331</v>
      </c>
      <c r="C456" s="42" t="s">
        <v>332</v>
      </c>
      <c r="D456" s="42" t="s">
        <v>101</v>
      </c>
      <c r="E456" s="42" t="s">
        <v>162</v>
      </c>
      <c r="F456" s="47" t="s">
        <v>1535</v>
      </c>
    </row>
    <row r="457" spans="1:6" ht="17.7" customHeight="1">
      <c r="A457" s="40">
        <v>45744</v>
      </c>
      <c r="B457" s="41" t="s">
        <v>302</v>
      </c>
      <c r="C457" s="42" t="s">
        <v>595</v>
      </c>
      <c r="D457" s="42" t="s">
        <v>90</v>
      </c>
      <c r="E457" s="42" t="s">
        <v>161</v>
      </c>
      <c r="F457" s="48" t="s">
        <v>1175</v>
      </c>
    </row>
    <row r="458" spans="1:6" ht="17.7" customHeight="1">
      <c r="A458" s="40">
        <v>45744</v>
      </c>
      <c r="B458" s="41" t="s">
        <v>302</v>
      </c>
      <c r="C458" s="42" t="s">
        <v>595</v>
      </c>
      <c r="D458" s="42" t="s">
        <v>90</v>
      </c>
      <c r="E458" s="42" t="s">
        <v>2246</v>
      </c>
      <c r="F458" s="48" t="s">
        <v>1176</v>
      </c>
    </row>
    <row r="459" spans="1:6" ht="17.7" customHeight="1">
      <c r="A459" s="40">
        <v>45744</v>
      </c>
      <c r="B459" s="41" t="s">
        <v>302</v>
      </c>
      <c r="C459" s="42" t="s">
        <v>595</v>
      </c>
      <c r="D459" s="42" t="s">
        <v>90</v>
      </c>
      <c r="E459" s="42" t="s">
        <v>2246</v>
      </c>
      <c r="F459" s="48" t="s">
        <v>1177</v>
      </c>
    </row>
    <row r="460" spans="1:6" ht="17.7" customHeight="1">
      <c r="A460" s="40">
        <v>45744</v>
      </c>
      <c r="B460" s="41" t="s">
        <v>302</v>
      </c>
      <c r="C460" s="42" t="s">
        <v>595</v>
      </c>
      <c r="D460" s="42" t="s">
        <v>90</v>
      </c>
      <c r="E460" s="42" t="s">
        <v>2246</v>
      </c>
      <c r="F460" s="48" t="s">
        <v>1178</v>
      </c>
    </row>
    <row r="461" spans="1:6" ht="17.7" customHeight="1">
      <c r="A461" s="40">
        <v>45744</v>
      </c>
      <c r="B461" s="41" t="s">
        <v>302</v>
      </c>
      <c r="C461" s="42" t="s">
        <v>595</v>
      </c>
      <c r="D461" s="42" t="s">
        <v>90</v>
      </c>
      <c r="E461" s="42" t="s">
        <v>2248</v>
      </c>
      <c r="F461" s="48" t="s">
        <v>1179</v>
      </c>
    </row>
    <row r="462" spans="1:6" ht="17.7" customHeight="1">
      <c r="A462" s="40">
        <v>45744</v>
      </c>
      <c r="B462" s="41" t="s">
        <v>302</v>
      </c>
      <c r="C462" s="42" t="s">
        <v>595</v>
      </c>
      <c r="D462" s="42" t="s">
        <v>90</v>
      </c>
      <c r="E462" s="42" t="s">
        <v>2248</v>
      </c>
      <c r="F462" s="43" t="s">
        <v>1180</v>
      </c>
    </row>
    <row r="463" spans="1:6" ht="17.7" customHeight="1">
      <c r="A463" s="40">
        <v>45744</v>
      </c>
      <c r="B463" s="41" t="s">
        <v>302</v>
      </c>
      <c r="C463" s="42" t="s">
        <v>595</v>
      </c>
      <c r="D463" s="42" t="s">
        <v>90</v>
      </c>
      <c r="E463" s="42" t="s">
        <v>2248</v>
      </c>
      <c r="F463" s="48" t="s">
        <v>1181</v>
      </c>
    </row>
    <row r="464" spans="1:6" ht="17.7" customHeight="1">
      <c r="A464" s="40">
        <v>45744</v>
      </c>
      <c r="B464" s="41" t="s">
        <v>302</v>
      </c>
      <c r="C464" s="42" t="s">
        <v>595</v>
      </c>
      <c r="D464" s="42" t="s">
        <v>90</v>
      </c>
      <c r="E464" s="42" t="s">
        <v>2252</v>
      </c>
      <c r="F464" s="48" t="s">
        <v>1182</v>
      </c>
    </row>
    <row r="465" spans="1:6" ht="17.7" customHeight="1">
      <c r="A465" s="40">
        <v>45744</v>
      </c>
      <c r="B465" s="41" t="s">
        <v>302</v>
      </c>
      <c r="C465" s="42" t="s">
        <v>595</v>
      </c>
      <c r="D465" s="42" t="s">
        <v>90</v>
      </c>
      <c r="E465" s="42" t="s">
        <v>162</v>
      </c>
      <c r="F465" s="48" t="s">
        <v>1183</v>
      </c>
    </row>
    <row r="466" spans="1:6" ht="17.7" customHeight="1">
      <c r="A466" s="40">
        <v>45744</v>
      </c>
      <c r="B466" s="41" t="s">
        <v>302</v>
      </c>
      <c r="C466" s="42" t="s">
        <v>595</v>
      </c>
      <c r="D466" s="42" t="s">
        <v>90</v>
      </c>
      <c r="E466" s="49" t="s">
        <v>164</v>
      </c>
      <c r="F466" s="48" t="s">
        <v>1184</v>
      </c>
    </row>
    <row r="467" spans="1:6" ht="17.7" customHeight="1">
      <c r="A467" s="40">
        <v>45744</v>
      </c>
      <c r="B467" s="41" t="s">
        <v>302</v>
      </c>
      <c r="C467" s="42" t="s">
        <v>595</v>
      </c>
      <c r="D467" s="42" t="s">
        <v>90</v>
      </c>
      <c r="E467" s="49" t="s">
        <v>165</v>
      </c>
      <c r="F467" s="50" t="s">
        <v>1186</v>
      </c>
    </row>
    <row r="468" spans="1:6" ht="17.7" customHeight="1">
      <c r="A468" s="40">
        <v>45744</v>
      </c>
      <c r="B468" s="41" t="s">
        <v>302</v>
      </c>
      <c r="C468" s="42" t="s">
        <v>595</v>
      </c>
      <c r="D468" s="42" t="s">
        <v>90</v>
      </c>
      <c r="E468" s="51" t="s">
        <v>2201</v>
      </c>
      <c r="F468" s="48" t="s">
        <v>1185</v>
      </c>
    </row>
    <row r="469" spans="1:6" ht="17.7" customHeight="1">
      <c r="A469" s="40">
        <v>45744</v>
      </c>
      <c r="B469" s="41" t="s">
        <v>302</v>
      </c>
      <c r="C469" s="42" t="s">
        <v>595</v>
      </c>
      <c r="D469" s="42" t="s">
        <v>90</v>
      </c>
      <c r="E469" s="52" t="s">
        <v>169</v>
      </c>
      <c r="F469" s="43" t="s">
        <v>2253</v>
      </c>
    </row>
    <row r="470" spans="1:6" ht="17.7" customHeight="1">
      <c r="A470" s="40">
        <v>45744</v>
      </c>
      <c r="B470" s="41" t="s">
        <v>211</v>
      </c>
      <c r="C470" s="42" t="s">
        <v>212</v>
      </c>
      <c r="D470" s="42" t="s">
        <v>56</v>
      </c>
      <c r="E470" s="42" t="s">
        <v>2246</v>
      </c>
      <c r="F470" s="48" t="s">
        <v>2254</v>
      </c>
    </row>
    <row r="471" spans="1:6" ht="17.7" customHeight="1">
      <c r="A471" s="40">
        <v>45744</v>
      </c>
      <c r="B471" s="41" t="s">
        <v>211</v>
      </c>
      <c r="C471" s="42" t="s">
        <v>212</v>
      </c>
      <c r="D471" s="42" t="s">
        <v>56</v>
      </c>
      <c r="E471" s="42" t="s">
        <v>2248</v>
      </c>
      <c r="F471" s="48" t="s">
        <v>1052</v>
      </c>
    </row>
    <row r="472" spans="1:6" ht="17.7" customHeight="1">
      <c r="A472" s="40">
        <v>45744</v>
      </c>
      <c r="B472" s="41" t="s">
        <v>211</v>
      </c>
      <c r="C472" s="42" t="s">
        <v>212</v>
      </c>
      <c r="D472" s="42" t="s">
        <v>56</v>
      </c>
      <c r="E472" s="42" t="s">
        <v>161</v>
      </c>
      <c r="F472" s="48" t="s">
        <v>1053</v>
      </c>
    </row>
    <row r="473" spans="1:6" ht="17.7" customHeight="1">
      <c r="A473" s="40">
        <v>45744</v>
      </c>
      <c r="B473" s="41" t="s">
        <v>211</v>
      </c>
      <c r="C473" s="42" t="s">
        <v>212</v>
      </c>
      <c r="D473" s="42" t="s">
        <v>56</v>
      </c>
      <c r="E473" s="42" t="s">
        <v>164</v>
      </c>
      <c r="F473" s="48" t="s">
        <v>1054</v>
      </c>
    </row>
    <row r="474" spans="1:6" ht="17.7" customHeight="1">
      <c r="A474" s="40">
        <v>45744</v>
      </c>
      <c r="B474" s="41" t="s">
        <v>211</v>
      </c>
      <c r="C474" s="42" t="s">
        <v>212</v>
      </c>
      <c r="D474" s="42" t="s">
        <v>56</v>
      </c>
      <c r="E474" s="42" t="s">
        <v>165</v>
      </c>
      <c r="F474" s="48" t="s">
        <v>1055</v>
      </c>
    </row>
    <row r="475" spans="1:6" ht="17.7" customHeight="1">
      <c r="A475" s="40">
        <v>45744</v>
      </c>
      <c r="B475" s="41" t="s">
        <v>211</v>
      </c>
      <c r="C475" s="42" t="s">
        <v>212</v>
      </c>
      <c r="D475" s="42" t="s">
        <v>56</v>
      </c>
      <c r="E475" s="44" t="s">
        <v>2201</v>
      </c>
      <c r="F475" s="48" t="s">
        <v>1056</v>
      </c>
    </row>
    <row r="476" spans="1:6" ht="17.7" customHeight="1">
      <c r="A476" s="40">
        <v>45744</v>
      </c>
      <c r="B476" s="41" t="s">
        <v>211</v>
      </c>
      <c r="C476" s="42" t="s">
        <v>212</v>
      </c>
      <c r="D476" s="42" t="s">
        <v>56</v>
      </c>
      <c r="E476" s="42" t="s">
        <v>163</v>
      </c>
      <c r="F476" s="48" t="s">
        <v>1057</v>
      </c>
    </row>
    <row r="477" spans="1:6" ht="17.7" customHeight="1">
      <c r="A477" s="40">
        <v>45744</v>
      </c>
      <c r="B477" s="41" t="s">
        <v>211</v>
      </c>
      <c r="C477" s="42" t="s">
        <v>212</v>
      </c>
      <c r="D477" s="42" t="s">
        <v>56</v>
      </c>
      <c r="E477" s="53" t="s">
        <v>2202</v>
      </c>
      <c r="F477" s="48" t="s">
        <v>1058</v>
      </c>
    </row>
    <row r="478" spans="1:6" ht="17.7" customHeight="1">
      <c r="A478" s="40">
        <v>45744</v>
      </c>
      <c r="B478" s="41" t="s">
        <v>211</v>
      </c>
      <c r="C478" s="42" t="s">
        <v>212</v>
      </c>
      <c r="D478" s="42" t="s">
        <v>56</v>
      </c>
      <c r="E478" s="42" t="s">
        <v>169</v>
      </c>
      <c r="F478" s="48" t="s">
        <v>1059</v>
      </c>
    </row>
    <row r="479" spans="1:6" ht="17.7" customHeight="1">
      <c r="A479" s="40">
        <v>45744</v>
      </c>
      <c r="B479" s="41" t="s">
        <v>211</v>
      </c>
      <c r="C479" s="42" t="s">
        <v>212</v>
      </c>
      <c r="D479" s="42" t="s">
        <v>56</v>
      </c>
      <c r="E479" s="42" t="s">
        <v>539</v>
      </c>
      <c r="F479" s="48" t="s">
        <v>1060</v>
      </c>
    </row>
    <row r="480" spans="1:6" ht="17.7" customHeight="1">
      <c r="A480" s="40">
        <v>45744</v>
      </c>
      <c r="B480" s="41" t="s">
        <v>218</v>
      </c>
      <c r="C480" s="42" t="s">
        <v>219</v>
      </c>
      <c r="D480" s="42" t="s">
        <v>59</v>
      </c>
      <c r="E480" s="42" t="s">
        <v>2246</v>
      </c>
      <c r="F480" s="47" t="s">
        <v>1652</v>
      </c>
    </row>
    <row r="481" spans="1:6" ht="17.7" customHeight="1">
      <c r="A481" s="40">
        <v>45744</v>
      </c>
      <c r="B481" s="41" t="s">
        <v>218</v>
      </c>
      <c r="C481" s="42" t="s">
        <v>219</v>
      </c>
      <c r="D481" s="42" t="s">
        <v>59</v>
      </c>
      <c r="E481" s="42" t="s">
        <v>2246</v>
      </c>
      <c r="F481" s="47" t="s">
        <v>1653</v>
      </c>
    </row>
    <row r="482" spans="1:6" ht="17.7" customHeight="1">
      <c r="A482" s="40">
        <v>45744</v>
      </c>
      <c r="B482" s="41" t="s">
        <v>218</v>
      </c>
      <c r="C482" s="42" t="s">
        <v>219</v>
      </c>
      <c r="D482" s="42" t="s">
        <v>59</v>
      </c>
      <c r="E482" s="42" t="s">
        <v>2246</v>
      </c>
      <c r="F482" s="47" t="s">
        <v>1654</v>
      </c>
    </row>
    <row r="483" spans="1:6" ht="17.7" customHeight="1">
      <c r="A483" s="40">
        <v>45744</v>
      </c>
      <c r="B483" s="41" t="s">
        <v>218</v>
      </c>
      <c r="C483" s="42" t="s">
        <v>219</v>
      </c>
      <c r="D483" s="42" t="s">
        <v>59</v>
      </c>
      <c r="E483" s="42" t="s">
        <v>2248</v>
      </c>
      <c r="F483" s="47" t="s">
        <v>1655</v>
      </c>
    </row>
    <row r="484" spans="1:6" ht="17.7" customHeight="1">
      <c r="A484" s="40">
        <v>45744</v>
      </c>
      <c r="B484" s="41" t="s">
        <v>218</v>
      </c>
      <c r="C484" s="42" t="s">
        <v>219</v>
      </c>
      <c r="D484" s="42" t="s">
        <v>59</v>
      </c>
      <c r="E484" s="42" t="s">
        <v>2248</v>
      </c>
      <c r="F484" s="47" t="s">
        <v>2255</v>
      </c>
    </row>
    <row r="485" spans="1:6" ht="17.7" customHeight="1">
      <c r="A485" s="40">
        <v>45744</v>
      </c>
      <c r="B485" s="41" t="s">
        <v>218</v>
      </c>
      <c r="C485" s="42" t="s">
        <v>219</v>
      </c>
      <c r="D485" s="42" t="s">
        <v>59</v>
      </c>
      <c r="E485" s="42" t="s">
        <v>2248</v>
      </c>
      <c r="F485" s="47" t="s">
        <v>1656</v>
      </c>
    </row>
    <row r="486" spans="1:6" ht="17.7" customHeight="1">
      <c r="A486" s="40">
        <v>45744</v>
      </c>
      <c r="B486" s="41" t="s">
        <v>218</v>
      </c>
      <c r="C486" s="42" t="s">
        <v>219</v>
      </c>
      <c r="D486" s="42" t="s">
        <v>59</v>
      </c>
      <c r="E486" s="42" t="s">
        <v>2248</v>
      </c>
      <c r="F486" s="47" t="s">
        <v>1657</v>
      </c>
    </row>
    <row r="487" spans="1:6" ht="17.7" customHeight="1">
      <c r="A487" s="40">
        <v>45744</v>
      </c>
      <c r="B487" s="41" t="s">
        <v>218</v>
      </c>
      <c r="C487" s="42" t="s">
        <v>219</v>
      </c>
      <c r="D487" s="42" t="s">
        <v>59</v>
      </c>
      <c r="E487" s="42" t="s">
        <v>2248</v>
      </c>
      <c r="F487" s="47" t="s">
        <v>1658</v>
      </c>
    </row>
    <row r="488" spans="1:6" ht="17.7" customHeight="1">
      <c r="A488" s="40">
        <v>45744</v>
      </c>
      <c r="B488" s="41" t="s">
        <v>218</v>
      </c>
      <c r="C488" s="42" t="s">
        <v>219</v>
      </c>
      <c r="D488" s="42" t="s">
        <v>59</v>
      </c>
      <c r="E488" s="42" t="s">
        <v>2248</v>
      </c>
      <c r="F488" s="47" t="s">
        <v>1659</v>
      </c>
    </row>
    <row r="489" spans="1:6" ht="17.7" customHeight="1">
      <c r="A489" s="40">
        <v>45744</v>
      </c>
      <c r="B489" s="41" t="s">
        <v>218</v>
      </c>
      <c r="C489" s="42" t="s">
        <v>219</v>
      </c>
      <c r="D489" s="42" t="s">
        <v>59</v>
      </c>
      <c r="E489" s="42" t="s">
        <v>161</v>
      </c>
      <c r="F489" s="47" t="s">
        <v>1660</v>
      </c>
    </row>
    <row r="490" spans="1:6" ht="17.7" customHeight="1">
      <c r="A490" s="40">
        <v>45744</v>
      </c>
      <c r="B490" s="41" t="s">
        <v>218</v>
      </c>
      <c r="C490" s="42" t="s">
        <v>219</v>
      </c>
      <c r="D490" s="42" t="s">
        <v>59</v>
      </c>
      <c r="E490" s="42" t="s">
        <v>161</v>
      </c>
      <c r="F490" s="47" t="s">
        <v>1661</v>
      </c>
    </row>
    <row r="491" spans="1:6" ht="17.7" customHeight="1">
      <c r="A491" s="40">
        <v>45744</v>
      </c>
      <c r="B491" s="41" t="s">
        <v>218</v>
      </c>
      <c r="C491" s="42" t="s">
        <v>219</v>
      </c>
      <c r="D491" s="42" t="s">
        <v>59</v>
      </c>
      <c r="E491" s="42" t="s">
        <v>162</v>
      </c>
      <c r="F491" s="47" t="s">
        <v>2256</v>
      </c>
    </row>
    <row r="492" spans="1:6" ht="17.7" customHeight="1">
      <c r="A492" s="40">
        <v>45744</v>
      </c>
      <c r="B492" s="41" t="s">
        <v>218</v>
      </c>
      <c r="C492" s="42" t="s">
        <v>219</v>
      </c>
      <c r="D492" s="42" t="s">
        <v>59</v>
      </c>
      <c r="E492" s="42" t="s">
        <v>162</v>
      </c>
      <c r="F492" s="47" t="s">
        <v>2257</v>
      </c>
    </row>
    <row r="493" spans="1:6" ht="17.7" customHeight="1">
      <c r="A493" s="40">
        <v>45744</v>
      </c>
      <c r="B493" s="41" t="s">
        <v>218</v>
      </c>
      <c r="C493" s="42" t="s">
        <v>219</v>
      </c>
      <c r="D493" s="42" t="s">
        <v>59</v>
      </c>
      <c r="E493" s="42" t="s">
        <v>162</v>
      </c>
      <c r="F493" s="47" t="s">
        <v>2258</v>
      </c>
    </row>
    <row r="494" spans="1:6" ht="17.7" customHeight="1">
      <c r="A494" s="40">
        <v>45744</v>
      </c>
      <c r="B494" s="41" t="s">
        <v>218</v>
      </c>
      <c r="C494" s="42" t="s">
        <v>219</v>
      </c>
      <c r="D494" s="42" t="s">
        <v>59</v>
      </c>
      <c r="E494" s="42" t="s">
        <v>162</v>
      </c>
      <c r="F494" s="47" t="s">
        <v>2259</v>
      </c>
    </row>
    <row r="495" spans="1:6" ht="17.7" customHeight="1">
      <c r="A495" s="40">
        <v>45744</v>
      </c>
      <c r="B495" s="41" t="s">
        <v>218</v>
      </c>
      <c r="C495" s="42" t="s">
        <v>219</v>
      </c>
      <c r="D495" s="42" t="s">
        <v>59</v>
      </c>
      <c r="E495" s="42" t="s">
        <v>162</v>
      </c>
      <c r="F495" s="47" t="s">
        <v>2260</v>
      </c>
    </row>
    <row r="496" spans="1:6" ht="17.7" customHeight="1">
      <c r="A496" s="40">
        <v>45744</v>
      </c>
      <c r="B496" s="41" t="s">
        <v>218</v>
      </c>
      <c r="C496" s="42" t="s">
        <v>219</v>
      </c>
      <c r="D496" s="42" t="s">
        <v>59</v>
      </c>
      <c r="E496" s="42" t="s">
        <v>162</v>
      </c>
      <c r="F496" s="47" t="s">
        <v>2261</v>
      </c>
    </row>
    <row r="497" spans="1:6" ht="17.7" customHeight="1">
      <c r="A497" s="40">
        <v>45744</v>
      </c>
      <c r="B497" s="41" t="s">
        <v>218</v>
      </c>
      <c r="C497" s="42" t="s">
        <v>219</v>
      </c>
      <c r="D497" s="42" t="s">
        <v>59</v>
      </c>
      <c r="E497" s="42" t="s">
        <v>162</v>
      </c>
      <c r="F497" s="47" t="s">
        <v>2262</v>
      </c>
    </row>
    <row r="498" spans="1:6" ht="17.7" customHeight="1">
      <c r="A498" s="40">
        <v>45744</v>
      </c>
      <c r="B498" s="41" t="s">
        <v>218</v>
      </c>
      <c r="C498" s="42" t="s">
        <v>219</v>
      </c>
      <c r="D498" s="42" t="s">
        <v>59</v>
      </c>
      <c r="E498" s="42" t="s">
        <v>162</v>
      </c>
      <c r="F498" s="47" t="s">
        <v>2263</v>
      </c>
    </row>
    <row r="499" spans="1:6" ht="17.7" customHeight="1">
      <c r="A499" s="40">
        <v>45744</v>
      </c>
      <c r="B499" s="41" t="s">
        <v>218</v>
      </c>
      <c r="C499" s="42" t="s">
        <v>219</v>
      </c>
      <c r="D499" s="42" t="s">
        <v>59</v>
      </c>
      <c r="E499" s="42" t="s">
        <v>164</v>
      </c>
      <c r="F499" s="47" t="s">
        <v>1662</v>
      </c>
    </row>
    <row r="500" spans="1:6" ht="17.7" customHeight="1">
      <c r="A500" s="40">
        <v>45744</v>
      </c>
      <c r="B500" s="41" t="s">
        <v>218</v>
      </c>
      <c r="C500" s="42" t="s">
        <v>219</v>
      </c>
      <c r="D500" s="42" t="s">
        <v>59</v>
      </c>
      <c r="E500" s="44" t="s">
        <v>2201</v>
      </c>
      <c r="F500" s="47" t="s">
        <v>1663</v>
      </c>
    </row>
    <row r="501" spans="1:6" ht="17.7" customHeight="1">
      <c r="A501" s="40">
        <v>45744</v>
      </c>
      <c r="B501" s="41" t="s">
        <v>218</v>
      </c>
      <c r="C501" s="42" t="s">
        <v>219</v>
      </c>
      <c r="D501" s="42" t="s">
        <v>59</v>
      </c>
      <c r="E501" s="42" t="s">
        <v>165</v>
      </c>
      <c r="F501" s="47" t="s">
        <v>1664</v>
      </c>
    </row>
    <row r="502" spans="1:6" ht="17.7" customHeight="1">
      <c r="A502" s="40">
        <v>45744</v>
      </c>
      <c r="B502" s="41" t="s">
        <v>218</v>
      </c>
      <c r="C502" s="42" t="s">
        <v>219</v>
      </c>
      <c r="D502" s="42" t="s">
        <v>59</v>
      </c>
      <c r="E502" s="42" t="s">
        <v>164</v>
      </c>
      <c r="F502" s="47" t="s">
        <v>1665</v>
      </c>
    </row>
    <row r="503" spans="1:6" ht="17.7" customHeight="1">
      <c r="A503" s="40">
        <v>45744</v>
      </c>
      <c r="B503" s="41" t="s">
        <v>218</v>
      </c>
      <c r="C503" s="42" t="s">
        <v>219</v>
      </c>
      <c r="D503" s="42" t="s">
        <v>59</v>
      </c>
      <c r="E503" s="42" t="s">
        <v>171</v>
      </c>
      <c r="F503" s="43" t="s">
        <v>1670</v>
      </c>
    </row>
    <row r="504" spans="1:6" ht="17.7" customHeight="1">
      <c r="A504" s="40">
        <v>45744</v>
      </c>
      <c r="B504" s="41" t="s">
        <v>218</v>
      </c>
      <c r="C504" s="42" t="s">
        <v>219</v>
      </c>
      <c r="D504" s="42" t="s">
        <v>59</v>
      </c>
      <c r="E504" s="42" t="s">
        <v>167</v>
      </c>
      <c r="F504" s="47" t="s">
        <v>1666</v>
      </c>
    </row>
    <row r="505" spans="1:6" ht="17.7" customHeight="1">
      <c r="A505" s="40">
        <v>45744</v>
      </c>
      <c r="B505" s="41" t="s">
        <v>218</v>
      </c>
      <c r="C505" s="42" t="s">
        <v>219</v>
      </c>
      <c r="D505" s="42" t="s">
        <v>59</v>
      </c>
      <c r="E505" s="44" t="s">
        <v>2202</v>
      </c>
      <c r="F505" s="47" t="s">
        <v>1667</v>
      </c>
    </row>
    <row r="506" spans="1:6" ht="17.7" customHeight="1">
      <c r="A506" s="40">
        <v>45744</v>
      </c>
      <c r="B506" s="41" t="s">
        <v>218</v>
      </c>
      <c r="C506" s="42" t="s">
        <v>219</v>
      </c>
      <c r="D506" s="42" t="s">
        <v>59</v>
      </c>
      <c r="E506" s="44" t="s">
        <v>2202</v>
      </c>
      <c r="F506" s="47" t="s">
        <v>1668</v>
      </c>
    </row>
    <row r="507" spans="1:6" ht="17.7" customHeight="1">
      <c r="A507" s="40">
        <v>45744</v>
      </c>
      <c r="B507" s="41" t="s">
        <v>218</v>
      </c>
      <c r="C507" s="42" t="s">
        <v>219</v>
      </c>
      <c r="D507" s="42" t="s">
        <v>59</v>
      </c>
      <c r="E507" s="42" t="s">
        <v>174</v>
      </c>
      <c r="F507" s="47" t="s">
        <v>1671</v>
      </c>
    </row>
    <row r="508" spans="1:6" ht="17.7" customHeight="1">
      <c r="A508" s="40">
        <v>45744</v>
      </c>
      <c r="B508" s="41" t="s">
        <v>218</v>
      </c>
      <c r="C508" s="42" t="s">
        <v>219</v>
      </c>
      <c r="D508" s="42" t="s">
        <v>59</v>
      </c>
      <c r="E508" s="42" t="s">
        <v>539</v>
      </c>
      <c r="F508" s="47" t="s">
        <v>1669</v>
      </c>
    </row>
    <row r="509" spans="1:6" ht="17.7" customHeight="1">
      <c r="A509" s="40">
        <v>45744</v>
      </c>
      <c r="B509" s="41" t="s">
        <v>230</v>
      </c>
      <c r="C509" s="42" t="s">
        <v>231</v>
      </c>
      <c r="D509" s="42" t="s">
        <v>61</v>
      </c>
      <c r="E509" s="42" t="s">
        <v>161</v>
      </c>
      <c r="F509" s="54" t="s">
        <v>1286</v>
      </c>
    </row>
    <row r="510" spans="1:6" ht="17.7" customHeight="1">
      <c r="A510" s="40">
        <v>45744</v>
      </c>
      <c r="B510" s="41" t="s">
        <v>230</v>
      </c>
      <c r="C510" s="42" t="s">
        <v>231</v>
      </c>
      <c r="D510" s="42" t="s">
        <v>61</v>
      </c>
      <c r="E510" s="42" t="s">
        <v>161</v>
      </c>
      <c r="F510" s="54" t="s">
        <v>1283</v>
      </c>
    </row>
    <row r="511" spans="1:6" ht="17.7" customHeight="1">
      <c r="A511" s="40">
        <v>45744</v>
      </c>
      <c r="B511" s="41" t="s">
        <v>230</v>
      </c>
      <c r="C511" s="42" t="s">
        <v>231</v>
      </c>
      <c r="D511" s="42" t="s">
        <v>61</v>
      </c>
      <c r="E511" s="42" t="s">
        <v>161</v>
      </c>
      <c r="F511" s="54" t="s">
        <v>1284</v>
      </c>
    </row>
    <row r="512" spans="1:6" ht="17.7" customHeight="1">
      <c r="A512" s="40">
        <v>45744</v>
      </c>
      <c r="B512" s="41" t="s">
        <v>230</v>
      </c>
      <c r="C512" s="42" t="s">
        <v>231</v>
      </c>
      <c r="D512" s="42" t="s">
        <v>61</v>
      </c>
      <c r="E512" s="42" t="s">
        <v>161</v>
      </c>
      <c r="F512" s="54" t="s">
        <v>1285</v>
      </c>
    </row>
    <row r="513" spans="1:6" ht="17.7" customHeight="1">
      <c r="A513" s="40">
        <v>45744</v>
      </c>
      <c r="B513" s="41" t="s">
        <v>230</v>
      </c>
      <c r="C513" s="42" t="s">
        <v>231</v>
      </c>
      <c r="D513" s="42" t="s">
        <v>61</v>
      </c>
      <c r="E513" s="42" t="s">
        <v>2246</v>
      </c>
      <c r="F513" s="54" t="s">
        <v>1270</v>
      </c>
    </row>
    <row r="514" spans="1:6" ht="17.7" customHeight="1">
      <c r="A514" s="40">
        <v>45744</v>
      </c>
      <c r="B514" s="41" t="s">
        <v>230</v>
      </c>
      <c r="C514" s="42" t="s">
        <v>231</v>
      </c>
      <c r="D514" s="42" t="s">
        <v>61</v>
      </c>
      <c r="E514" s="42" t="s">
        <v>2246</v>
      </c>
      <c r="F514" s="54" t="s">
        <v>1270</v>
      </c>
    </row>
    <row r="515" spans="1:6" ht="17.7" customHeight="1">
      <c r="A515" s="40">
        <v>45744</v>
      </c>
      <c r="B515" s="41" t="s">
        <v>230</v>
      </c>
      <c r="C515" s="42" t="s">
        <v>231</v>
      </c>
      <c r="D515" s="42" t="s">
        <v>61</v>
      </c>
      <c r="E515" s="42" t="s">
        <v>2246</v>
      </c>
      <c r="F515" s="54" t="s">
        <v>1271</v>
      </c>
    </row>
    <row r="516" spans="1:6" ht="17.7" customHeight="1">
      <c r="A516" s="40">
        <v>45744</v>
      </c>
      <c r="B516" s="41" t="s">
        <v>230</v>
      </c>
      <c r="C516" s="42" t="s">
        <v>231</v>
      </c>
      <c r="D516" s="42" t="s">
        <v>61</v>
      </c>
      <c r="E516" s="42" t="s">
        <v>2246</v>
      </c>
      <c r="F516" s="54" t="s">
        <v>1268</v>
      </c>
    </row>
    <row r="517" spans="1:6" ht="17.7" customHeight="1">
      <c r="A517" s="40">
        <v>45744</v>
      </c>
      <c r="B517" s="41" t="s">
        <v>230</v>
      </c>
      <c r="C517" s="42" t="s">
        <v>231</v>
      </c>
      <c r="D517" s="42" t="s">
        <v>61</v>
      </c>
      <c r="E517" s="42" t="s">
        <v>2246</v>
      </c>
      <c r="F517" s="54" t="s">
        <v>1272</v>
      </c>
    </row>
    <row r="518" spans="1:6" ht="17.7" customHeight="1">
      <c r="A518" s="40">
        <v>45744</v>
      </c>
      <c r="B518" s="41" t="s">
        <v>230</v>
      </c>
      <c r="C518" s="42" t="s">
        <v>231</v>
      </c>
      <c r="D518" s="42" t="s">
        <v>61</v>
      </c>
      <c r="E518" s="42" t="s">
        <v>2246</v>
      </c>
      <c r="F518" s="54" t="s">
        <v>1269</v>
      </c>
    </row>
    <row r="519" spans="1:6" ht="17.7" customHeight="1">
      <c r="A519" s="40">
        <v>45744</v>
      </c>
      <c r="B519" s="41" t="s">
        <v>230</v>
      </c>
      <c r="C519" s="42" t="s">
        <v>231</v>
      </c>
      <c r="D519" s="42" t="s">
        <v>61</v>
      </c>
      <c r="E519" s="42" t="s">
        <v>2248</v>
      </c>
      <c r="F519" s="54" t="s">
        <v>1278</v>
      </c>
    </row>
    <row r="520" spans="1:6" ht="17.7" customHeight="1">
      <c r="A520" s="40">
        <v>45744</v>
      </c>
      <c r="B520" s="41" t="s">
        <v>230</v>
      </c>
      <c r="C520" s="42" t="s">
        <v>231</v>
      </c>
      <c r="D520" s="42" t="s">
        <v>61</v>
      </c>
      <c r="E520" s="42" t="s">
        <v>2248</v>
      </c>
      <c r="F520" s="54" t="s">
        <v>1273</v>
      </c>
    </row>
    <row r="521" spans="1:6" ht="17.7" customHeight="1">
      <c r="A521" s="40">
        <v>45744</v>
      </c>
      <c r="B521" s="41" t="s">
        <v>230</v>
      </c>
      <c r="C521" s="42" t="s">
        <v>231</v>
      </c>
      <c r="D521" s="42" t="s">
        <v>61</v>
      </c>
      <c r="E521" s="42" t="s">
        <v>2248</v>
      </c>
      <c r="F521" s="54" t="s">
        <v>1277</v>
      </c>
    </row>
    <row r="522" spans="1:6" ht="17.7" customHeight="1">
      <c r="A522" s="40">
        <v>45744</v>
      </c>
      <c r="B522" s="41" t="s">
        <v>230</v>
      </c>
      <c r="C522" s="42" t="s">
        <v>231</v>
      </c>
      <c r="D522" s="42" t="s">
        <v>61</v>
      </c>
      <c r="E522" s="42" t="s">
        <v>2248</v>
      </c>
      <c r="F522" s="54" t="s">
        <v>1274</v>
      </c>
    </row>
    <row r="523" spans="1:6" ht="17.7" customHeight="1">
      <c r="A523" s="40">
        <v>45744</v>
      </c>
      <c r="B523" s="41" t="s">
        <v>230</v>
      </c>
      <c r="C523" s="42" t="s">
        <v>231</v>
      </c>
      <c r="D523" s="42" t="s">
        <v>61</v>
      </c>
      <c r="E523" s="42" t="s">
        <v>2248</v>
      </c>
      <c r="F523" s="54" t="s">
        <v>1275</v>
      </c>
    </row>
    <row r="524" spans="1:6" ht="17.7" customHeight="1">
      <c r="A524" s="40">
        <v>45744</v>
      </c>
      <c r="B524" s="41" t="s">
        <v>230</v>
      </c>
      <c r="C524" s="42" t="s">
        <v>231</v>
      </c>
      <c r="D524" s="42" t="s">
        <v>61</v>
      </c>
      <c r="E524" s="42" t="s">
        <v>2248</v>
      </c>
      <c r="F524" s="54" t="s">
        <v>1276</v>
      </c>
    </row>
    <row r="525" spans="1:6" ht="17.7" customHeight="1">
      <c r="A525" s="40">
        <v>45744</v>
      </c>
      <c r="B525" s="41" t="s">
        <v>230</v>
      </c>
      <c r="C525" s="42" t="s">
        <v>231</v>
      </c>
      <c r="D525" s="42" t="s">
        <v>61</v>
      </c>
      <c r="E525" s="42" t="s">
        <v>163</v>
      </c>
      <c r="F525" s="54" t="s">
        <v>1264</v>
      </c>
    </row>
    <row r="526" spans="1:6" ht="17.7" customHeight="1">
      <c r="A526" s="40">
        <v>45744</v>
      </c>
      <c r="B526" s="41" t="s">
        <v>230</v>
      </c>
      <c r="C526" s="42" t="s">
        <v>231</v>
      </c>
      <c r="D526" s="42" t="s">
        <v>61</v>
      </c>
      <c r="E526" s="42" t="s">
        <v>163</v>
      </c>
      <c r="F526" s="54" t="s">
        <v>1267</v>
      </c>
    </row>
    <row r="527" spans="1:6" ht="17.7" customHeight="1">
      <c r="A527" s="40">
        <v>45744</v>
      </c>
      <c r="B527" s="41" t="s">
        <v>230</v>
      </c>
      <c r="C527" s="42" t="s">
        <v>231</v>
      </c>
      <c r="D527" s="42" t="s">
        <v>61</v>
      </c>
      <c r="E527" s="42" t="s">
        <v>163</v>
      </c>
      <c r="F527" s="54" t="s">
        <v>1265</v>
      </c>
    </row>
    <row r="528" spans="1:6" ht="17.7" customHeight="1">
      <c r="A528" s="40">
        <v>45744</v>
      </c>
      <c r="B528" s="41" t="s">
        <v>230</v>
      </c>
      <c r="C528" s="42" t="s">
        <v>231</v>
      </c>
      <c r="D528" s="42" t="s">
        <v>61</v>
      </c>
      <c r="E528" s="42" t="s">
        <v>163</v>
      </c>
      <c r="F528" s="54" t="s">
        <v>1266</v>
      </c>
    </row>
    <row r="529" spans="1:6" ht="17.7" customHeight="1">
      <c r="A529" s="40">
        <v>45744</v>
      </c>
      <c r="B529" s="41" t="s">
        <v>230</v>
      </c>
      <c r="C529" s="42" t="s">
        <v>231</v>
      </c>
      <c r="D529" s="42" t="s">
        <v>61</v>
      </c>
      <c r="E529" s="42" t="s">
        <v>163</v>
      </c>
      <c r="F529" s="54" t="s">
        <v>1264</v>
      </c>
    </row>
    <row r="530" spans="1:6" ht="17.7" customHeight="1">
      <c r="A530" s="40">
        <v>45744</v>
      </c>
      <c r="B530" s="41" t="s">
        <v>230</v>
      </c>
      <c r="C530" s="42" t="s">
        <v>231</v>
      </c>
      <c r="D530" s="42" t="s">
        <v>61</v>
      </c>
      <c r="E530" s="42" t="s">
        <v>165</v>
      </c>
      <c r="F530" s="54" t="s">
        <v>1282</v>
      </c>
    </row>
    <row r="531" spans="1:6" ht="17.7" customHeight="1">
      <c r="A531" s="40">
        <v>45744</v>
      </c>
      <c r="B531" s="41" t="s">
        <v>230</v>
      </c>
      <c r="C531" s="42" t="s">
        <v>231</v>
      </c>
      <c r="D531" s="42" t="s">
        <v>61</v>
      </c>
      <c r="E531" s="42" t="s">
        <v>164</v>
      </c>
      <c r="F531" s="54" t="s">
        <v>1280</v>
      </c>
    </row>
    <row r="532" spans="1:6" ht="17.7" customHeight="1">
      <c r="A532" s="40">
        <v>45744</v>
      </c>
      <c r="B532" s="41" t="s">
        <v>211</v>
      </c>
      <c r="C532" s="42" t="s">
        <v>215</v>
      </c>
      <c r="D532" s="42" t="s">
        <v>58</v>
      </c>
      <c r="E532" s="42" t="s">
        <v>161</v>
      </c>
      <c r="F532" s="43" t="s">
        <v>2264</v>
      </c>
    </row>
    <row r="533" spans="1:6" ht="17.7" customHeight="1">
      <c r="A533" s="40">
        <v>45744</v>
      </c>
      <c r="B533" s="41" t="s">
        <v>211</v>
      </c>
      <c r="C533" s="42" t="s">
        <v>215</v>
      </c>
      <c r="D533" s="42" t="s">
        <v>58</v>
      </c>
      <c r="E533" s="42" t="s">
        <v>2248</v>
      </c>
      <c r="F533" s="43" t="s">
        <v>1338</v>
      </c>
    </row>
    <row r="534" spans="1:6" ht="17.7" customHeight="1">
      <c r="A534" s="40">
        <v>45744</v>
      </c>
      <c r="B534" s="41" t="s">
        <v>211</v>
      </c>
      <c r="C534" s="42" t="s">
        <v>215</v>
      </c>
      <c r="D534" s="42" t="s">
        <v>58</v>
      </c>
      <c r="E534" s="42" t="s">
        <v>2246</v>
      </c>
      <c r="F534" s="43" t="s">
        <v>1339</v>
      </c>
    </row>
    <row r="535" spans="1:6" ht="17.7" customHeight="1">
      <c r="A535" s="40">
        <v>45744</v>
      </c>
      <c r="B535" s="41" t="s">
        <v>211</v>
      </c>
      <c r="C535" s="42" t="s">
        <v>215</v>
      </c>
      <c r="D535" s="42" t="s">
        <v>58</v>
      </c>
      <c r="E535" s="42" t="s">
        <v>162</v>
      </c>
      <c r="F535" s="43" t="s">
        <v>1340</v>
      </c>
    </row>
    <row r="536" spans="1:6" ht="17.7" customHeight="1">
      <c r="A536" s="40">
        <v>45744</v>
      </c>
      <c r="B536" s="41" t="s">
        <v>211</v>
      </c>
      <c r="C536" s="42" t="s">
        <v>215</v>
      </c>
      <c r="D536" s="42" t="s">
        <v>58</v>
      </c>
      <c r="E536" s="44" t="s">
        <v>2201</v>
      </c>
      <c r="F536" s="43" t="s">
        <v>1341</v>
      </c>
    </row>
    <row r="537" spans="1:6" ht="17.7" customHeight="1">
      <c r="A537" s="40">
        <v>45744</v>
      </c>
      <c r="B537" s="41" t="s">
        <v>211</v>
      </c>
      <c r="C537" s="42" t="s">
        <v>215</v>
      </c>
      <c r="D537" s="42" t="s">
        <v>58</v>
      </c>
      <c r="E537" s="44" t="s">
        <v>2201</v>
      </c>
      <c r="F537" s="43" t="s">
        <v>1342</v>
      </c>
    </row>
    <row r="538" spans="1:6" ht="17.7" customHeight="1">
      <c r="A538" s="40">
        <v>45744</v>
      </c>
      <c r="B538" s="41" t="s">
        <v>211</v>
      </c>
      <c r="C538" s="42" t="s">
        <v>215</v>
      </c>
      <c r="D538" s="42" t="s">
        <v>58</v>
      </c>
      <c r="E538" s="42" t="s">
        <v>165</v>
      </c>
      <c r="F538" s="43" t="s">
        <v>2265</v>
      </c>
    </row>
    <row r="539" spans="1:6" ht="17.7" customHeight="1">
      <c r="A539" s="40">
        <v>45744</v>
      </c>
      <c r="B539" s="41" t="s">
        <v>211</v>
      </c>
      <c r="C539" s="42" t="s">
        <v>215</v>
      </c>
      <c r="D539" s="42" t="s">
        <v>58</v>
      </c>
      <c r="E539" s="42" t="s">
        <v>164</v>
      </c>
      <c r="F539" s="43" t="s">
        <v>2266</v>
      </c>
    </row>
    <row r="540" spans="1:6" ht="17.7" customHeight="1">
      <c r="A540" s="40">
        <v>45744</v>
      </c>
      <c r="B540" s="41" t="s">
        <v>230</v>
      </c>
      <c r="C540" s="42" t="s">
        <v>215</v>
      </c>
      <c r="D540" s="42" t="s">
        <v>62</v>
      </c>
      <c r="E540" s="42" t="s">
        <v>2246</v>
      </c>
      <c r="F540" s="43" t="s">
        <v>1325</v>
      </c>
    </row>
    <row r="541" spans="1:6" ht="17.7" customHeight="1">
      <c r="A541" s="40">
        <v>45744</v>
      </c>
      <c r="B541" s="41" t="s">
        <v>230</v>
      </c>
      <c r="C541" s="42" t="s">
        <v>215</v>
      </c>
      <c r="D541" s="42" t="s">
        <v>62</v>
      </c>
      <c r="E541" s="42" t="s">
        <v>2248</v>
      </c>
      <c r="F541" s="43" t="s">
        <v>1326</v>
      </c>
    </row>
    <row r="542" spans="1:6" ht="17.7" customHeight="1">
      <c r="A542" s="40">
        <v>45744</v>
      </c>
      <c r="B542" s="41" t="s">
        <v>230</v>
      </c>
      <c r="C542" s="42" t="s">
        <v>215</v>
      </c>
      <c r="D542" s="42" t="s">
        <v>62</v>
      </c>
      <c r="E542" s="42" t="s">
        <v>539</v>
      </c>
      <c r="F542" s="43" t="s">
        <v>1327</v>
      </c>
    </row>
    <row r="543" spans="1:6" ht="17.7" customHeight="1">
      <c r="A543" s="40">
        <v>45744</v>
      </c>
      <c r="B543" s="41" t="s">
        <v>230</v>
      </c>
      <c r="C543" s="42" t="s">
        <v>215</v>
      </c>
      <c r="D543" s="42" t="s">
        <v>62</v>
      </c>
      <c r="E543" s="42" t="s">
        <v>161</v>
      </c>
      <c r="F543" s="43" t="s">
        <v>2267</v>
      </c>
    </row>
    <row r="544" spans="1:6" ht="17.7" customHeight="1">
      <c r="A544" s="40">
        <v>45744</v>
      </c>
      <c r="B544" s="41" t="s">
        <v>230</v>
      </c>
      <c r="C544" s="42" t="s">
        <v>215</v>
      </c>
      <c r="D544" s="42" t="s">
        <v>62</v>
      </c>
      <c r="E544" s="42" t="s">
        <v>162</v>
      </c>
      <c r="F544" s="43" t="s">
        <v>1329</v>
      </c>
    </row>
    <row r="545" spans="1:6" ht="17.7" customHeight="1">
      <c r="A545" s="40">
        <v>45744</v>
      </c>
      <c r="B545" s="41" t="s">
        <v>230</v>
      </c>
      <c r="C545" s="42" t="s">
        <v>215</v>
      </c>
      <c r="D545" s="42" t="s">
        <v>62</v>
      </c>
      <c r="E545" s="42" t="s">
        <v>164</v>
      </c>
      <c r="F545" s="43" t="s">
        <v>2268</v>
      </c>
    </row>
    <row r="546" spans="1:6" ht="17.7" customHeight="1">
      <c r="A546" s="40">
        <v>45744</v>
      </c>
      <c r="B546" s="41" t="s">
        <v>230</v>
      </c>
      <c r="C546" s="42" t="s">
        <v>215</v>
      </c>
      <c r="D546" s="42" t="s">
        <v>62</v>
      </c>
      <c r="E546" s="42" t="s">
        <v>165</v>
      </c>
      <c r="F546" s="43" t="s">
        <v>2269</v>
      </c>
    </row>
    <row r="547" spans="1:6" ht="17.7" customHeight="1">
      <c r="A547" s="40">
        <v>45744</v>
      </c>
      <c r="B547" s="41" t="s">
        <v>230</v>
      </c>
      <c r="C547" s="42" t="s">
        <v>215</v>
      </c>
      <c r="D547" s="42" t="s">
        <v>62</v>
      </c>
      <c r="E547" s="44" t="s">
        <v>2201</v>
      </c>
      <c r="F547" s="43" t="s">
        <v>1332</v>
      </c>
    </row>
    <row r="548" spans="1:6" ht="17.7" customHeight="1">
      <c r="A548" s="40">
        <v>45744</v>
      </c>
      <c r="B548" s="45" t="s">
        <v>278</v>
      </c>
      <c r="C548" s="46" t="s">
        <v>280</v>
      </c>
      <c r="D548" s="46" t="s">
        <v>2270</v>
      </c>
      <c r="E548" s="42" t="s">
        <v>2246</v>
      </c>
      <c r="F548" s="53" t="s">
        <v>996</v>
      </c>
    </row>
    <row r="549" spans="1:6" ht="17.7" customHeight="1">
      <c r="A549" s="40">
        <v>45744</v>
      </c>
      <c r="B549" s="45" t="s">
        <v>278</v>
      </c>
      <c r="C549" s="46" t="s">
        <v>280</v>
      </c>
      <c r="D549" s="46" t="s">
        <v>2270</v>
      </c>
      <c r="E549" s="42" t="s">
        <v>2248</v>
      </c>
      <c r="F549" s="53" t="s">
        <v>995</v>
      </c>
    </row>
    <row r="550" spans="1:6" ht="17.7" customHeight="1">
      <c r="A550" s="40">
        <v>45744</v>
      </c>
      <c r="B550" s="45" t="s">
        <v>278</v>
      </c>
      <c r="C550" s="46" t="s">
        <v>280</v>
      </c>
      <c r="D550" s="46" t="s">
        <v>2270</v>
      </c>
      <c r="E550" s="42" t="s">
        <v>161</v>
      </c>
      <c r="F550" s="53" t="s">
        <v>997</v>
      </c>
    </row>
    <row r="551" spans="1:6" ht="17.7" customHeight="1">
      <c r="A551" s="40">
        <v>45744</v>
      </c>
      <c r="B551" s="45" t="s">
        <v>278</v>
      </c>
      <c r="C551" s="46" t="s">
        <v>280</v>
      </c>
      <c r="D551" s="46" t="s">
        <v>2270</v>
      </c>
      <c r="E551" s="42" t="s">
        <v>162</v>
      </c>
      <c r="F551" s="53" t="s">
        <v>994</v>
      </c>
    </row>
    <row r="552" spans="1:6" ht="17.7" customHeight="1">
      <c r="A552" s="40">
        <v>45744</v>
      </c>
      <c r="B552" s="45" t="s">
        <v>278</v>
      </c>
      <c r="C552" s="46" t="s">
        <v>280</v>
      </c>
      <c r="D552" s="46" t="s">
        <v>2270</v>
      </c>
      <c r="E552" s="42" t="s">
        <v>163</v>
      </c>
      <c r="F552" s="43" t="s">
        <v>999</v>
      </c>
    </row>
    <row r="553" spans="1:6" ht="17.7" customHeight="1">
      <c r="A553" s="40">
        <v>45744</v>
      </c>
      <c r="B553" s="45" t="s">
        <v>278</v>
      </c>
      <c r="C553" s="46" t="s">
        <v>280</v>
      </c>
      <c r="D553" s="46" t="s">
        <v>2270</v>
      </c>
      <c r="E553" s="42" t="s">
        <v>164</v>
      </c>
      <c r="F553" s="53" t="s">
        <v>998</v>
      </c>
    </row>
    <row r="554" spans="1:6" ht="17.7" customHeight="1">
      <c r="A554" s="40">
        <v>45744</v>
      </c>
      <c r="B554" s="45" t="s">
        <v>278</v>
      </c>
      <c r="C554" s="46" t="s">
        <v>280</v>
      </c>
      <c r="D554" s="46" t="s">
        <v>2270</v>
      </c>
      <c r="E554" s="42" t="s">
        <v>165</v>
      </c>
      <c r="F554" s="53" t="s">
        <v>2271</v>
      </c>
    </row>
    <row r="555" spans="1:6" ht="17.7" customHeight="1">
      <c r="A555" s="40">
        <v>45744</v>
      </c>
      <c r="B555" s="46" t="s">
        <v>345</v>
      </c>
      <c r="C555" s="46" t="s">
        <v>350</v>
      </c>
      <c r="D555" s="46" t="s">
        <v>106</v>
      </c>
      <c r="E555" s="42" t="s">
        <v>2248</v>
      </c>
      <c r="F555" s="55" t="s">
        <v>1024</v>
      </c>
    </row>
    <row r="556" spans="1:6" ht="17.7" customHeight="1">
      <c r="A556" s="40">
        <v>45744</v>
      </c>
      <c r="B556" s="46" t="s">
        <v>345</v>
      </c>
      <c r="C556" s="46" t="s">
        <v>350</v>
      </c>
      <c r="D556" s="46" t="s">
        <v>106</v>
      </c>
      <c r="E556" s="42" t="s">
        <v>2246</v>
      </c>
      <c r="F556" s="55" t="s">
        <v>1025</v>
      </c>
    </row>
    <row r="557" spans="1:6" ht="17.7" customHeight="1">
      <c r="A557" s="40">
        <v>45744</v>
      </c>
      <c r="B557" s="46" t="s">
        <v>345</v>
      </c>
      <c r="C557" s="46" t="s">
        <v>350</v>
      </c>
      <c r="D557" s="46" t="s">
        <v>106</v>
      </c>
      <c r="E557" s="42" t="s">
        <v>169</v>
      </c>
      <c r="F557" s="55" t="s">
        <v>1026</v>
      </c>
    </row>
    <row r="558" spans="1:6" ht="17.7" customHeight="1">
      <c r="A558" s="40">
        <v>45744</v>
      </c>
      <c r="B558" s="46" t="s">
        <v>345</v>
      </c>
      <c r="C558" s="46" t="s">
        <v>350</v>
      </c>
      <c r="D558" s="46" t="s">
        <v>106</v>
      </c>
      <c r="E558" s="42" t="s">
        <v>173</v>
      </c>
      <c r="F558" s="55" t="s">
        <v>1027</v>
      </c>
    </row>
    <row r="559" spans="1:6" ht="17.7" customHeight="1">
      <c r="A559" s="40">
        <v>45744</v>
      </c>
      <c r="B559" s="46" t="s">
        <v>345</v>
      </c>
      <c r="C559" s="46" t="s">
        <v>350</v>
      </c>
      <c r="D559" s="46" t="s">
        <v>106</v>
      </c>
      <c r="E559" s="42" t="s">
        <v>2250</v>
      </c>
      <c r="F559" s="55" t="s">
        <v>1028</v>
      </c>
    </row>
    <row r="560" spans="1:6" ht="17.7" customHeight="1">
      <c r="A560" s="40">
        <v>45744</v>
      </c>
      <c r="B560" s="46" t="s">
        <v>345</v>
      </c>
      <c r="C560" s="46" t="s">
        <v>350</v>
      </c>
      <c r="D560" s="46" t="s">
        <v>106</v>
      </c>
      <c r="E560" s="42" t="s">
        <v>162</v>
      </c>
      <c r="F560" s="55" t="s">
        <v>1029</v>
      </c>
    </row>
    <row r="561" spans="1:6" ht="17.7" customHeight="1">
      <c r="A561" s="40">
        <v>45744</v>
      </c>
      <c r="B561" s="46" t="s">
        <v>345</v>
      </c>
      <c r="C561" s="46" t="s">
        <v>350</v>
      </c>
      <c r="D561" s="46" t="s">
        <v>106</v>
      </c>
      <c r="E561" s="42" t="s">
        <v>165</v>
      </c>
      <c r="F561" s="55" t="s">
        <v>1030</v>
      </c>
    </row>
    <row r="562" spans="1:6" ht="17.7" customHeight="1">
      <c r="A562" s="40">
        <v>45744</v>
      </c>
      <c r="B562" s="46" t="s">
        <v>345</v>
      </c>
      <c r="C562" s="46" t="s">
        <v>350</v>
      </c>
      <c r="D562" s="46" t="s">
        <v>106</v>
      </c>
      <c r="E562" s="44" t="s">
        <v>2201</v>
      </c>
      <c r="F562" s="55" t="s">
        <v>1031</v>
      </c>
    </row>
    <row r="563" spans="1:6" ht="17.7" customHeight="1">
      <c r="A563" s="40">
        <v>45744</v>
      </c>
      <c r="B563" s="46" t="s">
        <v>345</v>
      </c>
      <c r="C563" s="46" t="s">
        <v>350</v>
      </c>
      <c r="D563" s="46" t="s">
        <v>106</v>
      </c>
      <c r="E563" s="42" t="s">
        <v>164</v>
      </c>
      <c r="F563" s="55" t="s">
        <v>1032</v>
      </c>
    </row>
    <row r="564" spans="1:6" ht="17.7" customHeight="1">
      <c r="A564" s="40">
        <v>45744</v>
      </c>
      <c r="B564" s="46" t="s">
        <v>345</v>
      </c>
      <c r="C564" s="46" t="s">
        <v>350</v>
      </c>
      <c r="D564" s="46" t="s">
        <v>106</v>
      </c>
      <c r="E564" s="42" t="s">
        <v>161</v>
      </c>
      <c r="F564" s="55" t="s">
        <v>1033</v>
      </c>
    </row>
    <row r="565" spans="1:6" ht="17.7" customHeight="1">
      <c r="A565" s="40">
        <v>45744</v>
      </c>
      <c r="B565" s="45" t="s">
        <v>359</v>
      </c>
      <c r="C565" s="46" t="s">
        <v>620</v>
      </c>
      <c r="D565" s="42" t="s">
        <v>112</v>
      </c>
      <c r="E565" s="44" t="s">
        <v>2202</v>
      </c>
      <c r="F565" s="43" t="s">
        <v>1036</v>
      </c>
    </row>
    <row r="566" spans="1:6" ht="17.7" customHeight="1">
      <c r="A566" s="40">
        <v>45744</v>
      </c>
      <c r="B566" s="45" t="s">
        <v>359</v>
      </c>
      <c r="C566" s="46" t="s">
        <v>620</v>
      </c>
      <c r="D566" s="42" t="s">
        <v>112</v>
      </c>
      <c r="E566" s="42" t="s">
        <v>169</v>
      </c>
      <c r="F566" s="43" t="s">
        <v>1037</v>
      </c>
    </row>
    <row r="567" spans="1:6" ht="17.7" customHeight="1">
      <c r="A567" s="40">
        <v>45744</v>
      </c>
      <c r="B567" s="45" t="s">
        <v>359</v>
      </c>
      <c r="C567" s="46" t="s">
        <v>620</v>
      </c>
      <c r="D567" s="42" t="s">
        <v>112</v>
      </c>
      <c r="E567" s="42" t="s">
        <v>539</v>
      </c>
      <c r="F567" s="43" t="s">
        <v>1038</v>
      </c>
    </row>
    <row r="568" spans="1:6" ht="17.7" customHeight="1">
      <c r="A568" s="40">
        <v>45744</v>
      </c>
      <c r="B568" s="45" t="s">
        <v>359</v>
      </c>
      <c r="C568" s="46" t="s">
        <v>620</v>
      </c>
      <c r="D568" s="42" t="s">
        <v>112</v>
      </c>
      <c r="E568" s="42" t="s">
        <v>173</v>
      </c>
      <c r="F568" s="43" t="s">
        <v>1039</v>
      </c>
    </row>
    <row r="569" spans="1:6" ht="17.7" customHeight="1">
      <c r="A569" s="40">
        <v>45744</v>
      </c>
      <c r="B569" s="45" t="s">
        <v>359</v>
      </c>
      <c r="C569" s="46" t="s">
        <v>620</v>
      </c>
      <c r="D569" s="42" t="s">
        <v>112</v>
      </c>
      <c r="E569" s="42" t="s">
        <v>2246</v>
      </c>
      <c r="F569" s="43" t="s">
        <v>1040</v>
      </c>
    </row>
    <row r="570" spans="1:6" ht="17.7" customHeight="1">
      <c r="A570" s="40">
        <v>45744</v>
      </c>
      <c r="B570" s="45" t="s">
        <v>359</v>
      </c>
      <c r="C570" s="46" t="s">
        <v>620</v>
      </c>
      <c r="D570" s="42" t="s">
        <v>112</v>
      </c>
      <c r="E570" s="42" t="s">
        <v>2248</v>
      </c>
      <c r="F570" s="43" t="s">
        <v>1041</v>
      </c>
    </row>
    <row r="571" spans="1:6" ht="17.7" customHeight="1">
      <c r="A571" s="40">
        <v>45744</v>
      </c>
      <c r="B571" s="45" t="s">
        <v>359</v>
      </c>
      <c r="C571" s="46" t="s">
        <v>620</v>
      </c>
      <c r="D571" s="42" t="s">
        <v>112</v>
      </c>
      <c r="E571" s="42" t="s">
        <v>2250</v>
      </c>
      <c r="F571" s="43" t="s">
        <v>1042</v>
      </c>
    </row>
    <row r="572" spans="1:6" ht="17.7" customHeight="1">
      <c r="A572" s="40">
        <v>45744</v>
      </c>
      <c r="B572" s="45" t="s">
        <v>359</v>
      </c>
      <c r="C572" s="46" t="s">
        <v>620</v>
      </c>
      <c r="D572" s="42" t="s">
        <v>112</v>
      </c>
      <c r="E572" s="42" t="s">
        <v>162</v>
      </c>
      <c r="F572" s="43" t="s">
        <v>1043</v>
      </c>
    </row>
    <row r="573" spans="1:6" ht="17.7" customHeight="1">
      <c r="A573" s="40">
        <v>45744</v>
      </c>
      <c r="B573" s="45" t="s">
        <v>359</v>
      </c>
      <c r="C573" s="46" t="s">
        <v>620</v>
      </c>
      <c r="D573" s="42" t="s">
        <v>112</v>
      </c>
      <c r="E573" s="42" t="s">
        <v>164</v>
      </c>
      <c r="F573" s="43" t="s">
        <v>1044</v>
      </c>
    </row>
    <row r="574" spans="1:6" ht="17.7" customHeight="1">
      <c r="A574" s="40">
        <v>45744</v>
      </c>
      <c r="B574" s="45" t="s">
        <v>359</v>
      </c>
      <c r="C574" s="46" t="s">
        <v>620</v>
      </c>
      <c r="D574" s="42" t="s">
        <v>112</v>
      </c>
      <c r="E574" s="42" t="s">
        <v>165</v>
      </c>
      <c r="F574" s="43" t="s">
        <v>1045</v>
      </c>
    </row>
    <row r="575" spans="1:6" ht="17.7" customHeight="1">
      <c r="A575" s="40">
        <v>45744</v>
      </c>
      <c r="B575" s="45" t="s">
        <v>359</v>
      </c>
      <c r="C575" s="46" t="s">
        <v>620</v>
      </c>
      <c r="D575" s="42" t="s">
        <v>112</v>
      </c>
      <c r="E575" s="42" t="s">
        <v>161</v>
      </c>
      <c r="F575" s="43" t="s">
        <v>1046</v>
      </c>
    </row>
    <row r="576" spans="1:6" ht="17.7" customHeight="1">
      <c r="A576" s="40">
        <v>45744</v>
      </c>
      <c r="B576" s="45" t="s">
        <v>359</v>
      </c>
      <c r="C576" s="46" t="s">
        <v>620</v>
      </c>
      <c r="D576" s="42" t="s">
        <v>112</v>
      </c>
      <c r="E576" s="42" t="s">
        <v>174</v>
      </c>
      <c r="F576" s="43" t="s">
        <v>1047</v>
      </c>
    </row>
    <row r="577" spans="1:6" ht="17.7" customHeight="1">
      <c r="A577" s="40">
        <v>45744</v>
      </c>
      <c r="B577" s="46" t="s">
        <v>218</v>
      </c>
      <c r="C577" s="46" t="s">
        <v>222</v>
      </c>
      <c r="D577" s="46" t="s">
        <v>60</v>
      </c>
      <c r="E577" s="42" t="s">
        <v>161</v>
      </c>
      <c r="F577" s="43" t="s">
        <v>1720</v>
      </c>
    </row>
    <row r="578" spans="1:6" ht="17.7" customHeight="1">
      <c r="A578" s="40">
        <v>45744</v>
      </c>
      <c r="B578" s="46" t="s">
        <v>218</v>
      </c>
      <c r="C578" s="46" t="s">
        <v>222</v>
      </c>
      <c r="D578" s="46" t="s">
        <v>60</v>
      </c>
      <c r="E578" s="42" t="s">
        <v>161</v>
      </c>
      <c r="F578" s="43" t="s">
        <v>1726</v>
      </c>
    </row>
    <row r="579" spans="1:6" ht="17.7" customHeight="1">
      <c r="A579" s="40">
        <v>45744</v>
      </c>
      <c r="B579" s="46" t="s">
        <v>218</v>
      </c>
      <c r="C579" s="46" t="s">
        <v>222</v>
      </c>
      <c r="D579" s="46" t="s">
        <v>60</v>
      </c>
      <c r="E579" s="42" t="s">
        <v>161</v>
      </c>
      <c r="F579" s="43" t="s">
        <v>1728</v>
      </c>
    </row>
    <row r="580" spans="1:6" ht="17.7" customHeight="1">
      <c r="A580" s="40">
        <v>45744</v>
      </c>
      <c r="B580" s="46" t="s">
        <v>218</v>
      </c>
      <c r="C580" s="46" t="s">
        <v>222</v>
      </c>
      <c r="D580" s="46" t="s">
        <v>60</v>
      </c>
      <c r="E580" s="42" t="s">
        <v>161</v>
      </c>
      <c r="F580" s="43" t="s">
        <v>1749</v>
      </c>
    </row>
    <row r="581" spans="1:6" ht="17.7" customHeight="1">
      <c r="A581" s="40">
        <v>45744</v>
      </c>
      <c r="B581" s="46" t="s">
        <v>218</v>
      </c>
      <c r="C581" s="46" t="s">
        <v>222</v>
      </c>
      <c r="D581" s="46" t="s">
        <v>60</v>
      </c>
      <c r="E581" s="42" t="s">
        <v>161</v>
      </c>
      <c r="F581" s="43" t="s">
        <v>1748</v>
      </c>
    </row>
    <row r="582" spans="1:6" ht="17.7" customHeight="1">
      <c r="A582" s="40">
        <v>45744</v>
      </c>
      <c r="B582" s="46" t="s">
        <v>218</v>
      </c>
      <c r="C582" s="46" t="s">
        <v>222</v>
      </c>
      <c r="D582" s="46" t="s">
        <v>60</v>
      </c>
      <c r="E582" s="42" t="s">
        <v>161</v>
      </c>
      <c r="F582" s="43" t="s">
        <v>1753</v>
      </c>
    </row>
    <row r="583" spans="1:6" ht="17.7" customHeight="1">
      <c r="A583" s="40">
        <v>45744</v>
      </c>
      <c r="B583" s="46" t="s">
        <v>218</v>
      </c>
      <c r="C583" s="46" t="s">
        <v>222</v>
      </c>
      <c r="D583" s="46" t="s">
        <v>60</v>
      </c>
      <c r="E583" s="42" t="s">
        <v>161</v>
      </c>
      <c r="F583" s="43" t="s">
        <v>1754</v>
      </c>
    </row>
    <row r="584" spans="1:6" ht="17.7" customHeight="1">
      <c r="A584" s="40">
        <v>45744</v>
      </c>
      <c r="B584" s="46" t="s">
        <v>218</v>
      </c>
      <c r="C584" s="46" t="s">
        <v>222</v>
      </c>
      <c r="D584" s="46" t="s">
        <v>60</v>
      </c>
      <c r="E584" s="42" t="s">
        <v>161</v>
      </c>
      <c r="F584" s="43" t="s">
        <v>1755</v>
      </c>
    </row>
    <row r="585" spans="1:6" ht="17.7" customHeight="1">
      <c r="A585" s="40">
        <v>45744</v>
      </c>
      <c r="B585" s="46" t="s">
        <v>218</v>
      </c>
      <c r="C585" s="46" t="s">
        <v>222</v>
      </c>
      <c r="D585" s="46" t="s">
        <v>60</v>
      </c>
      <c r="E585" s="42" t="s">
        <v>161</v>
      </c>
      <c r="F585" s="43" t="s">
        <v>1731</v>
      </c>
    </row>
    <row r="586" spans="1:6" ht="17.7" customHeight="1">
      <c r="A586" s="40">
        <v>45744</v>
      </c>
      <c r="B586" s="46" t="s">
        <v>218</v>
      </c>
      <c r="C586" s="46" t="s">
        <v>222</v>
      </c>
      <c r="D586" s="46" t="s">
        <v>60</v>
      </c>
      <c r="E586" s="42" t="s">
        <v>161</v>
      </c>
      <c r="F586" s="43" t="s">
        <v>1733</v>
      </c>
    </row>
    <row r="587" spans="1:6" ht="17.7" customHeight="1">
      <c r="A587" s="40">
        <v>45744</v>
      </c>
      <c r="B587" s="46" t="s">
        <v>218</v>
      </c>
      <c r="C587" s="46" t="s">
        <v>222</v>
      </c>
      <c r="D587" s="46" t="s">
        <v>60</v>
      </c>
      <c r="E587" s="42" t="s">
        <v>161</v>
      </c>
      <c r="F587" s="43" t="s">
        <v>1732</v>
      </c>
    </row>
    <row r="588" spans="1:6" ht="17.7" customHeight="1">
      <c r="A588" s="40">
        <v>45744</v>
      </c>
      <c r="B588" s="46" t="s">
        <v>218</v>
      </c>
      <c r="C588" s="46" t="s">
        <v>222</v>
      </c>
      <c r="D588" s="46" t="s">
        <v>60</v>
      </c>
      <c r="E588" s="42" t="s">
        <v>161</v>
      </c>
      <c r="F588" s="43" t="s">
        <v>1712</v>
      </c>
    </row>
    <row r="589" spans="1:6" ht="17.7" customHeight="1">
      <c r="A589" s="40">
        <v>45744</v>
      </c>
      <c r="B589" s="46" t="s">
        <v>218</v>
      </c>
      <c r="C589" s="46" t="s">
        <v>222</v>
      </c>
      <c r="D589" s="46" t="s">
        <v>60</v>
      </c>
      <c r="E589" s="42" t="s">
        <v>165</v>
      </c>
      <c r="F589" s="43" t="s">
        <v>1896</v>
      </c>
    </row>
    <row r="590" spans="1:6" ht="17.7" customHeight="1">
      <c r="A590" s="40">
        <v>45744</v>
      </c>
      <c r="B590" s="46" t="s">
        <v>218</v>
      </c>
      <c r="C590" s="46" t="s">
        <v>222</v>
      </c>
      <c r="D590" s="46" t="s">
        <v>60</v>
      </c>
      <c r="E590" s="42" t="s">
        <v>164</v>
      </c>
      <c r="F590" s="43" t="s">
        <v>1895</v>
      </c>
    </row>
    <row r="591" spans="1:6" ht="17.7" customHeight="1">
      <c r="A591" s="40">
        <v>45744</v>
      </c>
      <c r="B591" s="46" t="s">
        <v>218</v>
      </c>
      <c r="C591" s="46" t="s">
        <v>222</v>
      </c>
      <c r="D591" s="46" t="s">
        <v>60</v>
      </c>
      <c r="E591" s="42" t="s">
        <v>2239</v>
      </c>
      <c r="F591" s="43" t="s">
        <v>1893</v>
      </c>
    </row>
    <row r="592" spans="1:6" ht="17.7" customHeight="1">
      <c r="A592" s="40">
        <v>45744</v>
      </c>
      <c r="B592" s="46" t="s">
        <v>218</v>
      </c>
      <c r="C592" s="46" t="s">
        <v>222</v>
      </c>
      <c r="D592" s="46" t="s">
        <v>60</v>
      </c>
      <c r="E592" s="42" t="s">
        <v>2239</v>
      </c>
      <c r="F592" s="43" t="s">
        <v>1891</v>
      </c>
    </row>
    <row r="593" spans="1:6" ht="17.7" customHeight="1">
      <c r="A593" s="40">
        <v>45744</v>
      </c>
      <c r="B593" s="46" t="s">
        <v>218</v>
      </c>
      <c r="C593" s="46" t="s">
        <v>222</v>
      </c>
      <c r="D593" s="46" t="s">
        <v>60</v>
      </c>
      <c r="E593" s="42" t="s">
        <v>2239</v>
      </c>
      <c r="F593" s="43" t="s">
        <v>1894</v>
      </c>
    </row>
    <row r="594" spans="1:6" ht="17.7" customHeight="1">
      <c r="A594" s="40">
        <v>45744</v>
      </c>
      <c r="B594" s="46" t="s">
        <v>218</v>
      </c>
      <c r="C594" s="46" t="s">
        <v>222</v>
      </c>
      <c r="D594" s="46" t="s">
        <v>60</v>
      </c>
      <c r="E594" s="42" t="s">
        <v>2239</v>
      </c>
      <c r="F594" s="43" t="s">
        <v>1892</v>
      </c>
    </row>
    <row r="595" spans="1:6" ht="17.7" customHeight="1">
      <c r="A595" s="40">
        <v>45744</v>
      </c>
      <c r="B595" s="46" t="s">
        <v>218</v>
      </c>
      <c r="C595" s="46" t="s">
        <v>222</v>
      </c>
      <c r="D595" s="46" t="s">
        <v>60</v>
      </c>
      <c r="E595" s="42" t="s">
        <v>162</v>
      </c>
      <c r="F595" s="43" t="s">
        <v>1889</v>
      </c>
    </row>
    <row r="596" spans="1:6" ht="17.7" customHeight="1">
      <c r="A596" s="40">
        <v>45744</v>
      </c>
      <c r="B596" s="46" t="s">
        <v>218</v>
      </c>
      <c r="C596" s="46" t="s">
        <v>222</v>
      </c>
      <c r="D596" s="46" t="s">
        <v>60</v>
      </c>
      <c r="E596" s="42" t="s">
        <v>162</v>
      </c>
      <c r="F596" s="43" t="s">
        <v>1887</v>
      </c>
    </row>
    <row r="597" spans="1:6" ht="17.7" customHeight="1">
      <c r="A597" s="40">
        <v>45744</v>
      </c>
      <c r="B597" s="46" t="s">
        <v>218</v>
      </c>
      <c r="C597" s="46" t="s">
        <v>222</v>
      </c>
      <c r="D597" s="46" t="s">
        <v>60</v>
      </c>
      <c r="E597" s="42" t="s">
        <v>162</v>
      </c>
      <c r="F597" s="43" t="s">
        <v>1886</v>
      </c>
    </row>
    <row r="598" spans="1:6" ht="17.7" customHeight="1">
      <c r="A598" s="40">
        <v>45744</v>
      </c>
      <c r="B598" s="46" t="s">
        <v>218</v>
      </c>
      <c r="C598" s="46" t="s">
        <v>222</v>
      </c>
      <c r="D598" s="46" t="s">
        <v>60</v>
      </c>
      <c r="E598" s="42" t="s">
        <v>162</v>
      </c>
      <c r="F598" s="43" t="s">
        <v>1799</v>
      </c>
    </row>
    <row r="599" spans="1:6" ht="17.7" customHeight="1">
      <c r="A599" s="40">
        <v>45744</v>
      </c>
      <c r="B599" s="46" t="s">
        <v>218</v>
      </c>
      <c r="C599" s="46" t="s">
        <v>222</v>
      </c>
      <c r="D599" s="46" t="s">
        <v>60</v>
      </c>
      <c r="E599" s="42" t="s">
        <v>162</v>
      </c>
      <c r="F599" s="43" t="s">
        <v>1800</v>
      </c>
    </row>
    <row r="600" spans="1:6" ht="17.7" customHeight="1">
      <c r="A600" s="40">
        <v>45744</v>
      </c>
      <c r="B600" s="46" t="s">
        <v>218</v>
      </c>
      <c r="C600" s="46" t="s">
        <v>222</v>
      </c>
      <c r="D600" s="46" t="s">
        <v>60</v>
      </c>
      <c r="E600" s="42" t="s">
        <v>162</v>
      </c>
      <c r="F600" s="43" t="s">
        <v>1802</v>
      </c>
    </row>
    <row r="601" spans="1:6" ht="17.7" customHeight="1">
      <c r="A601" s="40">
        <v>45744</v>
      </c>
      <c r="B601" s="46" t="s">
        <v>218</v>
      </c>
      <c r="C601" s="46" t="s">
        <v>222</v>
      </c>
      <c r="D601" s="46" t="s">
        <v>60</v>
      </c>
      <c r="E601" s="42" t="s">
        <v>162</v>
      </c>
      <c r="F601" s="43" t="s">
        <v>1803</v>
      </c>
    </row>
    <row r="602" spans="1:6" ht="17.7" customHeight="1">
      <c r="A602" s="40">
        <v>45744</v>
      </c>
      <c r="B602" s="46" t="s">
        <v>218</v>
      </c>
      <c r="C602" s="46" t="s">
        <v>222</v>
      </c>
      <c r="D602" s="46" t="s">
        <v>60</v>
      </c>
      <c r="E602" s="42" t="s">
        <v>162</v>
      </c>
      <c r="F602" s="43" t="s">
        <v>1805</v>
      </c>
    </row>
    <row r="603" spans="1:6" ht="17.7" customHeight="1">
      <c r="A603" s="40">
        <v>45744</v>
      </c>
      <c r="B603" s="46" t="s">
        <v>218</v>
      </c>
      <c r="C603" s="46" t="s">
        <v>222</v>
      </c>
      <c r="D603" s="46" t="s">
        <v>60</v>
      </c>
      <c r="E603" s="42" t="s">
        <v>162</v>
      </c>
      <c r="F603" s="43" t="s">
        <v>1806</v>
      </c>
    </row>
    <row r="604" spans="1:6" ht="17.7" customHeight="1">
      <c r="A604" s="40">
        <v>45744</v>
      </c>
      <c r="B604" s="46" t="s">
        <v>218</v>
      </c>
      <c r="C604" s="46" t="s">
        <v>222</v>
      </c>
      <c r="D604" s="46" t="s">
        <v>60</v>
      </c>
      <c r="E604" s="42" t="s">
        <v>162</v>
      </c>
      <c r="F604" s="43" t="s">
        <v>1807</v>
      </c>
    </row>
    <row r="605" spans="1:6" ht="17.7" customHeight="1">
      <c r="A605" s="40">
        <v>45744</v>
      </c>
      <c r="B605" s="46" t="s">
        <v>218</v>
      </c>
      <c r="C605" s="46" t="s">
        <v>222</v>
      </c>
      <c r="D605" s="46" t="s">
        <v>60</v>
      </c>
      <c r="E605" s="42" t="s">
        <v>162</v>
      </c>
      <c r="F605" s="43" t="s">
        <v>1808</v>
      </c>
    </row>
    <row r="606" spans="1:6" ht="17.7" customHeight="1">
      <c r="A606" s="40">
        <v>45744</v>
      </c>
      <c r="B606" s="46" t="s">
        <v>218</v>
      </c>
      <c r="C606" s="46" t="s">
        <v>222</v>
      </c>
      <c r="D606" s="46" t="s">
        <v>60</v>
      </c>
      <c r="E606" s="42" t="s">
        <v>162</v>
      </c>
      <c r="F606" s="43" t="s">
        <v>1809</v>
      </c>
    </row>
    <row r="607" spans="1:6" ht="17.7" customHeight="1">
      <c r="A607" s="40">
        <v>45744</v>
      </c>
      <c r="B607" s="46" t="s">
        <v>218</v>
      </c>
      <c r="C607" s="46" t="s">
        <v>222</v>
      </c>
      <c r="D607" s="46" t="s">
        <v>60</v>
      </c>
      <c r="E607" s="42" t="s">
        <v>162</v>
      </c>
      <c r="F607" s="43" t="s">
        <v>1810</v>
      </c>
    </row>
    <row r="608" spans="1:6" ht="17.7" customHeight="1">
      <c r="A608" s="40">
        <v>45744</v>
      </c>
      <c r="B608" s="46" t="s">
        <v>218</v>
      </c>
      <c r="C608" s="46" t="s">
        <v>222</v>
      </c>
      <c r="D608" s="46" t="s">
        <v>60</v>
      </c>
      <c r="E608" s="42" t="s">
        <v>162</v>
      </c>
      <c r="F608" s="43" t="s">
        <v>1811</v>
      </c>
    </row>
    <row r="609" spans="1:6" ht="17.7" customHeight="1">
      <c r="A609" s="40">
        <v>45744</v>
      </c>
      <c r="B609" s="46" t="s">
        <v>218</v>
      </c>
      <c r="C609" s="46" t="s">
        <v>222</v>
      </c>
      <c r="D609" s="46" t="s">
        <v>60</v>
      </c>
      <c r="E609" s="42" t="s">
        <v>162</v>
      </c>
      <c r="F609" s="43" t="s">
        <v>1812</v>
      </c>
    </row>
    <row r="610" spans="1:6" ht="17.7" customHeight="1">
      <c r="A610" s="40">
        <v>45744</v>
      </c>
      <c r="B610" s="46" t="s">
        <v>218</v>
      </c>
      <c r="C610" s="46" t="s">
        <v>222</v>
      </c>
      <c r="D610" s="46" t="s">
        <v>60</v>
      </c>
      <c r="E610" s="42" t="s">
        <v>162</v>
      </c>
      <c r="F610" s="43" t="s">
        <v>1813</v>
      </c>
    </row>
    <row r="611" spans="1:6" ht="17.7" customHeight="1">
      <c r="A611" s="40">
        <v>45744</v>
      </c>
      <c r="B611" s="46" t="s">
        <v>218</v>
      </c>
      <c r="C611" s="46" t="s">
        <v>222</v>
      </c>
      <c r="D611" s="46" t="s">
        <v>60</v>
      </c>
      <c r="E611" s="42" t="s">
        <v>162</v>
      </c>
      <c r="F611" s="43" t="s">
        <v>1796</v>
      </c>
    </row>
    <row r="612" spans="1:6" ht="17.7" customHeight="1">
      <c r="A612" s="40">
        <v>45744</v>
      </c>
      <c r="B612" s="46" t="s">
        <v>218</v>
      </c>
      <c r="C612" s="46" t="s">
        <v>222</v>
      </c>
      <c r="D612" s="46" t="s">
        <v>60</v>
      </c>
      <c r="E612" s="42" t="s">
        <v>162</v>
      </c>
      <c r="F612" s="43" t="s">
        <v>1798</v>
      </c>
    </row>
    <row r="613" spans="1:6" ht="17.7" customHeight="1">
      <c r="A613" s="40">
        <v>45744</v>
      </c>
      <c r="B613" s="46" t="s">
        <v>218</v>
      </c>
      <c r="C613" s="46" t="s">
        <v>222</v>
      </c>
      <c r="D613" s="46" t="s">
        <v>60</v>
      </c>
      <c r="E613" s="42" t="s">
        <v>162</v>
      </c>
      <c r="F613" s="43" t="s">
        <v>1797</v>
      </c>
    </row>
    <row r="614" spans="1:6" ht="17.7" customHeight="1">
      <c r="A614" s="40">
        <v>45744</v>
      </c>
      <c r="B614" s="46" t="s">
        <v>218</v>
      </c>
      <c r="C614" s="46" t="s">
        <v>222</v>
      </c>
      <c r="D614" s="46" t="s">
        <v>60</v>
      </c>
      <c r="E614" s="42" t="s">
        <v>162</v>
      </c>
      <c r="F614" s="43" t="s">
        <v>1795</v>
      </c>
    </row>
    <row r="615" spans="1:6" ht="17.7" customHeight="1">
      <c r="A615" s="40">
        <v>45744</v>
      </c>
      <c r="B615" s="46" t="s">
        <v>218</v>
      </c>
      <c r="C615" s="46" t="s">
        <v>222</v>
      </c>
      <c r="D615" s="46" t="s">
        <v>60</v>
      </c>
      <c r="E615" s="42" t="s">
        <v>162</v>
      </c>
      <c r="F615" s="43" t="s">
        <v>1794</v>
      </c>
    </row>
    <row r="616" spans="1:6" ht="17.7" customHeight="1">
      <c r="A616" s="40">
        <v>45744</v>
      </c>
      <c r="B616" s="46" t="s">
        <v>218</v>
      </c>
      <c r="C616" s="46" t="s">
        <v>222</v>
      </c>
      <c r="D616" s="46" t="s">
        <v>60</v>
      </c>
      <c r="E616" s="42" t="s">
        <v>162</v>
      </c>
      <c r="F616" s="43" t="s">
        <v>1792</v>
      </c>
    </row>
    <row r="617" spans="1:6" ht="17.7" customHeight="1">
      <c r="A617" s="40">
        <v>45744</v>
      </c>
      <c r="B617" s="46" t="s">
        <v>218</v>
      </c>
      <c r="C617" s="46" t="s">
        <v>222</v>
      </c>
      <c r="D617" s="46" t="s">
        <v>60</v>
      </c>
      <c r="E617" s="42" t="s">
        <v>162</v>
      </c>
      <c r="F617" s="43" t="s">
        <v>1821</v>
      </c>
    </row>
    <row r="618" spans="1:6" ht="17.7" customHeight="1">
      <c r="A618" s="40">
        <v>45744</v>
      </c>
      <c r="B618" s="46" t="s">
        <v>218</v>
      </c>
      <c r="C618" s="46" t="s">
        <v>222</v>
      </c>
      <c r="D618" s="46" t="s">
        <v>60</v>
      </c>
      <c r="E618" s="42" t="s">
        <v>162</v>
      </c>
      <c r="F618" s="43" t="s">
        <v>1822</v>
      </c>
    </row>
    <row r="619" spans="1:6" ht="17.7" customHeight="1">
      <c r="A619" s="40">
        <v>45744</v>
      </c>
      <c r="B619" s="46" t="s">
        <v>218</v>
      </c>
      <c r="C619" s="46" t="s">
        <v>222</v>
      </c>
      <c r="D619" s="46" t="s">
        <v>60</v>
      </c>
      <c r="E619" s="42" t="s">
        <v>162</v>
      </c>
      <c r="F619" s="43" t="s">
        <v>1818</v>
      </c>
    </row>
    <row r="620" spans="1:6" ht="17.7" customHeight="1">
      <c r="A620" s="40">
        <v>45744</v>
      </c>
      <c r="B620" s="46" t="s">
        <v>218</v>
      </c>
      <c r="C620" s="46" t="s">
        <v>222</v>
      </c>
      <c r="D620" s="46" t="s">
        <v>60</v>
      </c>
      <c r="E620" s="42" t="s">
        <v>162</v>
      </c>
      <c r="F620" s="43" t="s">
        <v>1817</v>
      </c>
    </row>
    <row r="621" spans="1:6" ht="17.7" customHeight="1">
      <c r="A621" s="40">
        <v>45744</v>
      </c>
      <c r="B621" s="46" t="s">
        <v>218</v>
      </c>
      <c r="C621" s="46" t="s">
        <v>222</v>
      </c>
      <c r="D621" s="46" t="s">
        <v>60</v>
      </c>
      <c r="E621" s="42" t="s">
        <v>162</v>
      </c>
      <c r="F621" s="43" t="s">
        <v>1816</v>
      </c>
    </row>
    <row r="622" spans="1:6" ht="17.7" customHeight="1">
      <c r="A622" s="40">
        <v>45744</v>
      </c>
      <c r="B622" s="46" t="s">
        <v>218</v>
      </c>
      <c r="C622" s="46" t="s">
        <v>222</v>
      </c>
      <c r="D622" s="46" t="s">
        <v>60</v>
      </c>
      <c r="E622" s="42" t="s">
        <v>162</v>
      </c>
      <c r="F622" s="43" t="s">
        <v>1836</v>
      </c>
    </row>
    <row r="623" spans="1:6" ht="17.7" customHeight="1">
      <c r="A623" s="40">
        <v>45744</v>
      </c>
      <c r="B623" s="46" t="s">
        <v>218</v>
      </c>
      <c r="C623" s="46" t="s">
        <v>222</v>
      </c>
      <c r="D623" s="46" t="s">
        <v>60</v>
      </c>
      <c r="E623" s="42" t="s">
        <v>162</v>
      </c>
      <c r="F623" s="43" t="s">
        <v>1837</v>
      </c>
    </row>
    <row r="624" spans="1:6" ht="17.7" customHeight="1">
      <c r="A624" s="40">
        <v>45744</v>
      </c>
      <c r="B624" s="46" t="s">
        <v>218</v>
      </c>
      <c r="C624" s="46" t="s">
        <v>222</v>
      </c>
      <c r="D624" s="46" t="s">
        <v>60</v>
      </c>
      <c r="E624" s="42" t="s">
        <v>162</v>
      </c>
      <c r="F624" s="43" t="s">
        <v>1838</v>
      </c>
    </row>
    <row r="625" spans="1:6" ht="17.7" customHeight="1">
      <c r="A625" s="40">
        <v>45744</v>
      </c>
      <c r="B625" s="46" t="s">
        <v>218</v>
      </c>
      <c r="C625" s="46" t="s">
        <v>222</v>
      </c>
      <c r="D625" s="46" t="s">
        <v>60</v>
      </c>
      <c r="E625" s="42" t="s">
        <v>162</v>
      </c>
      <c r="F625" s="43" t="s">
        <v>1841</v>
      </c>
    </row>
    <row r="626" spans="1:6" ht="17.7" customHeight="1">
      <c r="A626" s="40">
        <v>45744</v>
      </c>
      <c r="B626" s="46" t="s">
        <v>218</v>
      </c>
      <c r="C626" s="46" t="s">
        <v>222</v>
      </c>
      <c r="D626" s="46" t="s">
        <v>60</v>
      </c>
      <c r="E626" s="42" t="s">
        <v>162</v>
      </c>
      <c r="F626" s="43" t="s">
        <v>1842</v>
      </c>
    </row>
    <row r="627" spans="1:6" ht="17.7" customHeight="1">
      <c r="A627" s="40">
        <v>45744</v>
      </c>
      <c r="B627" s="46" t="s">
        <v>218</v>
      </c>
      <c r="C627" s="46" t="s">
        <v>222</v>
      </c>
      <c r="D627" s="46" t="s">
        <v>60</v>
      </c>
      <c r="E627" s="42" t="s">
        <v>162</v>
      </c>
      <c r="F627" s="43" t="s">
        <v>1843</v>
      </c>
    </row>
    <row r="628" spans="1:6" ht="17.7" customHeight="1">
      <c r="A628" s="40">
        <v>45744</v>
      </c>
      <c r="B628" s="46" t="s">
        <v>218</v>
      </c>
      <c r="C628" s="46" t="s">
        <v>222</v>
      </c>
      <c r="D628" s="46" t="s">
        <v>60</v>
      </c>
      <c r="E628" s="42" t="s">
        <v>162</v>
      </c>
      <c r="F628" s="43" t="s">
        <v>1815</v>
      </c>
    </row>
    <row r="629" spans="1:6" ht="17.7" customHeight="1">
      <c r="A629" s="40">
        <v>45744</v>
      </c>
      <c r="B629" s="46" t="s">
        <v>218</v>
      </c>
      <c r="C629" s="46" t="s">
        <v>222</v>
      </c>
      <c r="D629" s="46" t="s">
        <v>60</v>
      </c>
      <c r="E629" s="42" t="s">
        <v>162</v>
      </c>
      <c r="F629" s="43" t="s">
        <v>1819</v>
      </c>
    </row>
    <row r="630" spans="1:6" ht="17.7" customHeight="1">
      <c r="A630" s="40">
        <v>45744</v>
      </c>
      <c r="B630" s="46" t="s">
        <v>218</v>
      </c>
      <c r="C630" s="46" t="s">
        <v>222</v>
      </c>
      <c r="D630" s="46" t="s">
        <v>60</v>
      </c>
      <c r="E630" s="42" t="s">
        <v>162</v>
      </c>
      <c r="F630" s="43" t="s">
        <v>1820</v>
      </c>
    </row>
    <row r="631" spans="1:6" ht="17.7" customHeight="1">
      <c r="A631" s="40">
        <v>45744</v>
      </c>
      <c r="B631" s="46" t="s">
        <v>218</v>
      </c>
      <c r="C631" s="46" t="s">
        <v>222</v>
      </c>
      <c r="D631" s="46" t="s">
        <v>60</v>
      </c>
      <c r="E631" s="42" t="s">
        <v>162</v>
      </c>
      <c r="F631" s="43" t="s">
        <v>1834</v>
      </c>
    </row>
    <row r="632" spans="1:6" ht="17.7" customHeight="1">
      <c r="A632" s="40">
        <v>45744</v>
      </c>
      <c r="B632" s="46" t="s">
        <v>218</v>
      </c>
      <c r="C632" s="46" t="s">
        <v>222</v>
      </c>
      <c r="D632" s="46" t="s">
        <v>60</v>
      </c>
      <c r="E632" s="42" t="s">
        <v>162</v>
      </c>
      <c r="F632" s="43" t="s">
        <v>1832</v>
      </c>
    </row>
    <row r="633" spans="1:6" ht="17.7" customHeight="1">
      <c r="A633" s="40">
        <v>45744</v>
      </c>
      <c r="B633" s="46" t="s">
        <v>218</v>
      </c>
      <c r="C633" s="46" t="s">
        <v>222</v>
      </c>
      <c r="D633" s="46" t="s">
        <v>60</v>
      </c>
      <c r="E633" s="42" t="s">
        <v>162</v>
      </c>
      <c r="F633" s="43" t="s">
        <v>1831</v>
      </c>
    </row>
    <row r="634" spans="1:6" ht="17.7" customHeight="1">
      <c r="A634" s="40">
        <v>45744</v>
      </c>
      <c r="B634" s="46" t="s">
        <v>218</v>
      </c>
      <c r="C634" s="46" t="s">
        <v>222</v>
      </c>
      <c r="D634" s="46" t="s">
        <v>60</v>
      </c>
      <c r="E634" s="42" t="s">
        <v>162</v>
      </c>
      <c r="F634" s="43" t="s">
        <v>1830</v>
      </c>
    </row>
    <row r="635" spans="1:6" ht="17.7" customHeight="1">
      <c r="A635" s="40">
        <v>45744</v>
      </c>
      <c r="B635" s="46" t="s">
        <v>218</v>
      </c>
      <c r="C635" s="46" t="s">
        <v>222</v>
      </c>
      <c r="D635" s="46" t="s">
        <v>60</v>
      </c>
      <c r="E635" s="42" t="s">
        <v>162</v>
      </c>
      <c r="F635" s="43" t="s">
        <v>1828</v>
      </c>
    </row>
    <row r="636" spans="1:6" ht="17.7" customHeight="1">
      <c r="A636" s="40">
        <v>45744</v>
      </c>
      <c r="B636" s="46" t="s">
        <v>218</v>
      </c>
      <c r="C636" s="46" t="s">
        <v>222</v>
      </c>
      <c r="D636" s="46" t="s">
        <v>60</v>
      </c>
      <c r="E636" s="42" t="s">
        <v>162</v>
      </c>
      <c r="F636" s="43" t="s">
        <v>1824</v>
      </c>
    </row>
    <row r="637" spans="1:6" ht="17.7" customHeight="1">
      <c r="A637" s="40">
        <v>45744</v>
      </c>
      <c r="B637" s="46" t="s">
        <v>218</v>
      </c>
      <c r="C637" s="46" t="s">
        <v>222</v>
      </c>
      <c r="D637" s="46" t="s">
        <v>60</v>
      </c>
      <c r="E637" s="42" t="s">
        <v>162</v>
      </c>
      <c r="F637" s="43" t="s">
        <v>1825</v>
      </c>
    </row>
    <row r="638" spans="1:6" ht="17.7" customHeight="1">
      <c r="A638" s="40">
        <v>45744</v>
      </c>
      <c r="B638" s="46" t="s">
        <v>218</v>
      </c>
      <c r="C638" s="46" t="s">
        <v>222</v>
      </c>
      <c r="D638" s="46" t="s">
        <v>60</v>
      </c>
      <c r="E638" s="42" t="s">
        <v>162</v>
      </c>
      <c r="F638" s="43" t="s">
        <v>1826</v>
      </c>
    </row>
    <row r="639" spans="1:6" ht="17.7" customHeight="1">
      <c r="A639" s="40">
        <v>45744</v>
      </c>
      <c r="B639" s="46" t="s">
        <v>218</v>
      </c>
      <c r="C639" s="46" t="s">
        <v>222</v>
      </c>
      <c r="D639" s="46" t="s">
        <v>60</v>
      </c>
      <c r="E639" s="42" t="s">
        <v>162</v>
      </c>
      <c r="F639" s="43" t="s">
        <v>1827</v>
      </c>
    </row>
    <row r="640" spans="1:6" ht="17.7" customHeight="1">
      <c r="A640" s="40">
        <v>45744</v>
      </c>
      <c r="B640" s="46" t="s">
        <v>218</v>
      </c>
      <c r="C640" s="46" t="s">
        <v>222</v>
      </c>
      <c r="D640" s="46" t="s">
        <v>60</v>
      </c>
      <c r="E640" s="42" t="s">
        <v>2250</v>
      </c>
      <c r="F640" s="43" t="s">
        <v>1856</v>
      </c>
    </row>
    <row r="641" spans="1:6" ht="17.7" customHeight="1">
      <c r="A641" s="40">
        <v>45744</v>
      </c>
      <c r="B641" s="46" t="s">
        <v>218</v>
      </c>
      <c r="C641" s="46" t="s">
        <v>222</v>
      </c>
      <c r="D641" s="46" t="s">
        <v>60</v>
      </c>
      <c r="E641" s="42" t="s">
        <v>2250</v>
      </c>
      <c r="F641" s="43" t="s">
        <v>1859</v>
      </c>
    </row>
    <row r="642" spans="1:6" ht="17.7" customHeight="1">
      <c r="A642" s="40">
        <v>45744</v>
      </c>
      <c r="B642" s="46" t="s">
        <v>218</v>
      </c>
      <c r="C642" s="46" t="s">
        <v>222</v>
      </c>
      <c r="D642" s="46" t="s">
        <v>60</v>
      </c>
      <c r="E642" s="42" t="s">
        <v>2250</v>
      </c>
      <c r="F642" s="43" t="s">
        <v>1854</v>
      </c>
    </row>
    <row r="643" spans="1:6" ht="17.7" customHeight="1">
      <c r="A643" s="40">
        <v>45744</v>
      </c>
      <c r="B643" s="46" t="s">
        <v>218</v>
      </c>
      <c r="C643" s="46" t="s">
        <v>222</v>
      </c>
      <c r="D643" s="46" t="s">
        <v>60</v>
      </c>
      <c r="E643" s="42" t="s">
        <v>2250</v>
      </c>
      <c r="F643" s="43" t="s">
        <v>1852</v>
      </c>
    </row>
    <row r="644" spans="1:6" ht="17.7" customHeight="1">
      <c r="A644" s="40">
        <v>45744</v>
      </c>
      <c r="B644" s="46" t="s">
        <v>218</v>
      </c>
      <c r="C644" s="46" t="s">
        <v>222</v>
      </c>
      <c r="D644" s="46" t="s">
        <v>60</v>
      </c>
      <c r="E644" s="42" t="s">
        <v>2250</v>
      </c>
      <c r="F644" s="43" t="s">
        <v>1846</v>
      </c>
    </row>
    <row r="645" spans="1:6" ht="17.7" customHeight="1">
      <c r="A645" s="40">
        <v>45744</v>
      </c>
      <c r="B645" s="46" t="s">
        <v>218</v>
      </c>
      <c r="C645" s="46" t="s">
        <v>222</v>
      </c>
      <c r="D645" s="46" t="s">
        <v>60</v>
      </c>
      <c r="E645" s="42" t="s">
        <v>159</v>
      </c>
      <c r="F645" s="43" t="s">
        <v>1766</v>
      </c>
    </row>
    <row r="646" spans="1:6" ht="17.7" customHeight="1">
      <c r="A646" s="40">
        <v>45744</v>
      </c>
      <c r="B646" s="46" t="s">
        <v>218</v>
      </c>
      <c r="C646" s="46" t="s">
        <v>222</v>
      </c>
      <c r="D646" s="46" t="s">
        <v>60</v>
      </c>
      <c r="E646" s="42" t="s">
        <v>159</v>
      </c>
      <c r="F646" s="43" t="s">
        <v>1767</v>
      </c>
    </row>
    <row r="647" spans="1:6" ht="17.7" customHeight="1">
      <c r="A647" s="40">
        <v>45744</v>
      </c>
      <c r="B647" s="46" t="s">
        <v>218</v>
      </c>
      <c r="C647" s="46" t="s">
        <v>222</v>
      </c>
      <c r="D647" s="46" t="s">
        <v>60</v>
      </c>
      <c r="E647" s="42" t="s">
        <v>159</v>
      </c>
      <c r="F647" s="43" t="s">
        <v>1765</v>
      </c>
    </row>
    <row r="648" spans="1:6" ht="17.7" customHeight="1">
      <c r="A648" s="40">
        <v>45744</v>
      </c>
      <c r="B648" s="46" t="s">
        <v>218</v>
      </c>
      <c r="C648" s="46" t="s">
        <v>222</v>
      </c>
      <c r="D648" s="46" t="s">
        <v>60</v>
      </c>
      <c r="E648" s="42" t="s">
        <v>159</v>
      </c>
      <c r="F648" s="43" t="s">
        <v>1763</v>
      </c>
    </row>
    <row r="649" spans="1:6" ht="17.7" customHeight="1">
      <c r="A649" s="40">
        <v>45744</v>
      </c>
      <c r="B649" s="46" t="s">
        <v>218</v>
      </c>
      <c r="C649" s="46" t="s">
        <v>222</v>
      </c>
      <c r="D649" s="46" t="s">
        <v>60</v>
      </c>
      <c r="E649" s="42" t="s">
        <v>159</v>
      </c>
      <c r="F649" s="43" t="s">
        <v>1764</v>
      </c>
    </row>
    <row r="650" spans="1:6" ht="17.7" customHeight="1">
      <c r="A650" s="40">
        <v>45744</v>
      </c>
      <c r="B650" s="46" t="s">
        <v>218</v>
      </c>
      <c r="C650" s="46" t="s">
        <v>222</v>
      </c>
      <c r="D650" s="46" t="s">
        <v>60</v>
      </c>
      <c r="E650" s="42" t="s">
        <v>159</v>
      </c>
      <c r="F650" s="43" t="s">
        <v>1762</v>
      </c>
    </row>
    <row r="651" spans="1:6" ht="17.7" customHeight="1">
      <c r="A651" s="40">
        <v>45744</v>
      </c>
      <c r="B651" s="46" t="s">
        <v>218</v>
      </c>
      <c r="C651" s="46" t="s">
        <v>222</v>
      </c>
      <c r="D651" s="46" t="s">
        <v>60</v>
      </c>
      <c r="E651" s="42" t="s">
        <v>159</v>
      </c>
      <c r="F651" s="43" t="s">
        <v>1775</v>
      </c>
    </row>
    <row r="652" spans="1:6" ht="17.7" customHeight="1">
      <c r="A652" s="40">
        <v>45744</v>
      </c>
      <c r="B652" s="46" t="s">
        <v>218</v>
      </c>
      <c r="C652" s="46" t="s">
        <v>222</v>
      </c>
      <c r="D652" s="46" t="s">
        <v>60</v>
      </c>
      <c r="E652" s="42" t="s">
        <v>159</v>
      </c>
      <c r="F652" s="43" t="s">
        <v>1777</v>
      </c>
    </row>
    <row r="653" spans="1:6" ht="17.7" customHeight="1">
      <c r="A653" s="40">
        <v>45744</v>
      </c>
      <c r="B653" s="46" t="s">
        <v>218</v>
      </c>
      <c r="C653" s="46" t="s">
        <v>222</v>
      </c>
      <c r="D653" s="46" t="s">
        <v>60</v>
      </c>
      <c r="E653" s="42" t="s">
        <v>159</v>
      </c>
      <c r="F653" s="43" t="s">
        <v>1776</v>
      </c>
    </row>
    <row r="654" spans="1:6" ht="17.7" customHeight="1">
      <c r="A654" s="40">
        <v>45744</v>
      </c>
      <c r="B654" s="46" t="s">
        <v>218</v>
      </c>
      <c r="C654" s="46" t="s">
        <v>222</v>
      </c>
      <c r="D654" s="46" t="s">
        <v>60</v>
      </c>
      <c r="E654" s="42" t="s">
        <v>159</v>
      </c>
      <c r="F654" s="43" t="s">
        <v>1778</v>
      </c>
    </row>
    <row r="655" spans="1:6" ht="17.7" customHeight="1">
      <c r="A655" s="40">
        <v>45744</v>
      </c>
      <c r="B655" s="46" t="s">
        <v>218</v>
      </c>
      <c r="C655" s="46" t="s">
        <v>222</v>
      </c>
      <c r="D655" s="46" t="s">
        <v>60</v>
      </c>
      <c r="E655" s="42" t="s">
        <v>159</v>
      </c>
      <c r="F655" s="43" t="s">
        <v>1779</v>
      </c>
    </row>
    <row r="656" spans="1:6" ht="17.7" customHeight="1">
      <c r="A656" s="40">
        <v>45744</v>
      </c>
      <c r="B656" s="46" t="s">
        <v>218</v>
      </c>
      <c r="C656" s="46" t="s">
        <v>222</v>
      </c>
      <c r="D656" s="46" t="s">
        <v>60</v>
      </c>
      <c r="E656" s="42" t="s">
        <v>159</v>
      </c>
      <c r="F656" s="43" t="s">
        <v>1780</v>
      </c>
    </row>
    <row r="657" spans="1:6" ht="17.7" customHeight="1">
      <c r="A657" s="40">
        <v>45744</v>
      </c>
      <c r="B657" s="46" t="s">
        <v>218</v>
      </c>
      <c r="C657" s="46" t="s">
        <v>222</v>
      </c>
      <c r="D657" s="46" t="s">
        <v>60</v>
      </c>
      <c r="E657" s="42" t="s">
        <v>159</v>
      </c>
      <c r="F657" s="43" t="s">
        <v>1781</v>
      </c>
    </row>
    <row r="658" spans="1:6" ht="17.7" customHeight="1">
      <c r="A658" s="40">
        <v>45744</v>
      </c>
      <c r="B658" s="46" t="s">
        <v>218</v>
      </c>
      <c r="C658" s="46" t="s">
        <v>222</v>
      </c>
      <c r="D658" s="46" t="s">
        <v>60</v>
      </c>
      <c r="E658" s="42" t="s">
        <v>159</v>
      </c>
      <c r="F658" s="43" t="s">
        <v>1782</v>
      </c>
    </row>
    <row r="659" spans="1:6" ht="17.7" customHeight="1">
      <c r="A659" s="40">
        <v>45744</v>
      </c>
      <c r="B659" s="46" t="s">
        <v>218</v>
      </c>
      <c r="C659" s="46" t="s">
        <v>222</v>
      </c>
      <c r="D659" s="46" t="s">
        <v>60</v>
      </c>
      <c r="E659" s="42" t="s">
        <v>159</v>
      </c>
      <c r="F659" s="43" t="s">
        <v>1784</v>
      </c>
    </row>
    <row r="660" spans="1:6" ht="17.7" customHeight="1">
      <c r="A660" s="40">
        <v>45744</v>
      </c>
      <c r="B660" s="46" t="s">
        <v>218</v>
      </c>
      <c r="C660" s="46" t="s">
        <v>222</v>
      </c>
      <c r="D660" s="46" t="s">
        <v>60</v>
      </c>
      <c r="E660" s="42" t="s">
        <v>159</v>
      </c>
      <c r="F660" s="43" t="s">
        <v>1783</v>
      </c>
    </row>
    <row r="661" spans="1:6" ht="17.7" customHeight="1">
      <c r="A661" s="40">
        <v>45744</v>
      </c>
      <c r="B661" s="46" t="s">
        <v>218</v>
      </c>
      <c r="C661" s="46" t="s">
        <v>222</v>
      </c>
      <c r="D661" s="46" t="s">
        <v>60</v>
      </c>
      <c r="E661" s="42" t="s">
        <v>159</v>
      </c>
      <c r="F661" s="43" t="s">
        <v>1785</v>
      </c>
    </row>
    <row r="662" spans="1:6" ht="17.7" customHeight="1">
      <c r="A662" s="40">
        <v>45744</v>
      </c>
      <c r="B662" s="46" t="s">
        <v>218</v>
      </c>
      <c r="C662" s="46" t="s">
        <v>222</v>
      </c>
      <c r="D662" s="46" t="s">
        <v>60</v>
      </c>
      <c r="E662" s="42" t="s">
        <v>159</v>
      </c>
      <c r="F662" s="43" t="s">
        <v>1787</v>
      </c>
    </row>
    <row r="663" spans="1:6" ht="17.7" customHeight="1">
      <c r="A663" s="40">
        <v>45744</v>
      </c>
      <c r="B663" s="46" t="s">
        <v>218</v>
      </c>
      <c r="C663" s="46" t="s">
        <v>222</v>
      </c>
      <c r="D663" s="46" t="s">
        <v>60</v>
      </c>
      <c r="E663" s="42" t="s">
        <v>159</v>
      </c>
      <c r="F663" s="43" t="s">
        <v>1788</v>
      </c>
    </row>
    <row r="664" spans="1:6" ht="17.7" customHeight="1">
      <c r="A664" s="40">
        <v>45744</v>
      </c>
      <c r="B664" s="46" t="s">
        <v>218</v>
      </c>
      <c r="C664" s="46" t="s">
        <v>222</v>
      </c>
      <c r="D664" s="46" t="s">
        <v>60</v>
      </c>
      <c r="E664" s="42" t="s">
        <v>159</v>
      </c>
      <c r="F664" s="43" t="s">
        <v>1786</v>
      </c>
    </row>
    <row r="665" spans="1:6" ht="17.7" customHeight="1">
      <c r="A665" s="40">
        <v>45744</v>
      </c>
      <c r="B665" s="46" t="s">
        <v>218</v>
      </c>
      <c r="C665" s="46" t="s">
        <v>222</v>
      </c>
      <c r="D665" s="46" t="s">
        <v>60</v>
      </c>
      <c r="E665" s="42" t="s">
        <v>159</v>
      </c>
      <c r="F665" s="43" t="s">
        <v>1789</v>
      </c>
    </row>
    <row r="666" spans="1:6" ht="17.7" customHeight="1">
      <c r="A666" s="40">
        <v>45744</v>
      </c>
      <c r="B666" s="46" t="s">
        <v>218</v>
      </c>
      <c r="C666" s="46" t="s">
        <v>222</v>
      </c>
      <c r="D666" s="46" t="s">
        <v>60</v>
      </c>
      <c r="E666" s="42" t="s">
        <v>159</v>
      </c>
      <c r="F666" s="43" t="s">
        <v>1770</v>
      </c>
    </row>
    <row r="667" spans="1:6" ht="17.7" customHeight="1">
      <c r="A667" s="40">
        <v>45744</v>
      </c>
      <c r="B667" s="46" t="s">
        <v>218</v>
      </c>
      <c r="C667" s="46" t="s">
        <v>222</v>
      </c>
      <c r="D667" s="46" t="s">
        <v>60</v>
      </c>
      <c r="E667" s="42" t="s">
        <v>159</v>
      </c>
      <c r="F667" s="43" t="s">
        <v>1774</v>
      </c>
    </row>
    <row r="668" spans="1:6" ht="17.7" customHeight="1">
      <c r="A668" s="40">
        <v>45744</v>
      </c>
      <c r="B668" s="46" t="s">
        <v>218</v>
      </c>
      <c r="C668" s="46" t="s">
        <v>222</v>
      </c>
      <c r="D668" s="46" t="s">
        <v>60</v>
      </c>
      <c r="E668" s="42" t="s">
        <v>159</v>
      </c>
      <c r="F668" s="43" t="s">
        <v>1768</v>
      </c>
    </row>
    <row r="669" spans="1:6" ht="17.7" customHeight="1">
      <c r="A669" s="40">
        <v>45744</v>
      </c>
      <c r="B669" s="46" t="s">
        <v>218</v>
      </c>
      <c r="C669" s="46" t="s">
        <v>222</v>
      </c>
      <c r="D669" s="46" t="s">
        <v>60</v>
      </c>
      <c r="E669" s="42" t="s">
        <v>159</v>
      </c>
      <c r="F669" s="43" t="s">
        <v>1771</v>
      </c>
    </row>
    <row r="670" spans="1:6" ht="17.7" customHeight="1">
      <c r="A670" s="40">
        <v>45744</v>
      </c>
      <c r="B670" s="46" t="s">
        <v>218</v>
      </c>
      <c r="C670" s="46" t="s">
        <v>222</v>
      </c>
      <c r="D670" s="46" t="s">
        <v>60</v>
      </c>
      <c r="E670" s="42" t="s">
        <v>159</v>
      </c>
      <c r="F670" s="43" t="s">
        <v>1772</v>
      </c>
    </row>
    <row r="671" spans="1:6" ht="17.7" customHeight="1">
      <c r="A671" s="40">
        <v>45744</v>
      </c>
      <c r="B671" s="46" t="s">
        <v>218</v>
      </c>
      <c r="C671" s="46" t="s">
        <v>222</v>
      </c>
      <c r="D671" s="46" t="s">
        <v>60</v>
      </c>
      <c r="E671" s="42" t="s">
        <v>159</v>
      </c>
      <c r="F671" s="43" t="s">
        <v>1773</v>
      </c>
    </row>
    <row r="672" spans="1:6" ht="17.7" customHeight="1">
      <c r="A672" s="40">
        <v>45744</v>
      </c>
      <c r="B672" s="46" t="s">
        <v>218</v>
      </c>
      <c r="C672" s="46" t="s">
        <v>222</v>
      </c>
      <c r="D672" s="46" t="s">
        <v>60</v>
      </c>
      <c r="E672" s="42" t="s">
        <v>159</v>
      </c>
      <c r="F672" s="43" t="s">
        <v>1769</v>
      </c>
    </row>
    <row r="673" spans="1:6" ht="17.7" customHeight="1">
      <c r="A673" s="40">
        <v>45744</v>
      </c>
      <c r="B673" s="46" t="s">
        <v>218</v>
      </c>
      <c r="C673" s="46" t="s">
        <v>222</v>
      </c>
      <c r="D673" s="46" t="s">
        <v>60</v>
      </c>
      <c r="E673" s="42" t="s">
        <v>159</v>
      </c>
      <c r="F673" s="43" t="s">
        <v>1758</v>
      </c>
    </row>
    <row r="674" spans="1:6" ht="17.7" customHeight="1">
      <c r="A674" s="40">
        <v>45744</v>
      </c>
      <c r="B674" s="46" t="s">
        <v>218</v>
      </c>
      <c r="C674" s="46" t="s">
        <v>222</v>
      </c>
      <c r="D674" s="46" t="s">
        <v>60</v>
      </c>
      <c r="E674" s="42" t="s">
        <v>160</v>
      </c>
      <c r="F674" s="43" t="s">
        <v>1865</v>
      </c>
    </row>
    <row r="675" spans="1:6" ht="17.7" customHeight="1">
      <c r="A675" s="40">
        <v>45744</v>
      </c>
      <c r="B675" s="46" t="s">
        <v>218</v>
      </c>
      <c r="C675" s="46" t="s">
        <v>222</v>
      </c>
      <c r="D675" s="46" t="s">
        <v>60</v>
      </c>
      <c r="E675" s="42" t="s">
        <v>160</v>
      </c>
      <c r="F675" s="43" t="s">
        <v>1866</v>
      </c>
    </row>
    <row r="676" spans="1:6" ht="17.7" customHeight="1">
      <c r="A676" s="40">
        <v>45744</v>
      </c>
      <c r="B676" s="46" t="s">
        <v>218</v>
      </c>
      <c r="C676" s="46" t="s">
        <v>222</v>
      </c>
      <c r="D676" s="46" t="s">
        <v>60</v>
      </c>
      <c r="E676" s="42" t="s">
        <v>160</v>
      </c>
      <c r="F676" s="43" t="s">
        <v>1869</v>
      </c>
    </row>
    <row r="677" spans="1:6" ht="17.7" customHeight="1">
      <c r="A677" s="40">
        <v>45744</v>
      </c>
      <c r="B677" s="46" t="s">
        <v>218</v>
      </c>
      <c r="C677" s="46" t="s">
        <v>222</v>
      </c>
      <c r="D677" s="46" t="s">
        <v>60</v>
      </c>
      <c r="E677" s="42" t="s">
        <v>160</v>
      </c>
      <c r="F677" s="43" t="s">
        <v>1867</v>
      </c>
    </row>
    <row r="678" spans="1:6" ht="17.7" customHeight="1">
      <c r="A678" s="40">
        <v>45744</v>
      </c>
      <c r="B678" s="46" t="s">
        <v>218</v>
      </c>
      <c r="C678" s="46" t="s">
        <v>222</v>
      </c>
      <c r="D678" s="46" t="s">
        <v>60</v>
      </c>
      <c r="E678" s="42" t="s">
        <v>160</v>
      </c>
      <c r="F678" s="43" t="s">
        <v>1871</v>
      </c>
    </row>
    <row r="679" spans="1:6" ht="17.7" customHeight="1">
      <c r="A679" s="40">
        <v>45744</v>
      </c>
      <c r="B679" s="46" t="s">
        <v>218</v>
      </c>
      <c r="C679" s="46" t="s">
        <v>222</v>
      </c>
      <c r="D679" s="46" t="s">
        <v>60</v>
      </c>
      <c r="E679" s="42" t="s">
        <v>160</v>
      </c>
      <c r="F679" s="43" t="s">
        <v>1868</v>
      </c>
    </row>
    <row r="680" spans="1:6" ht="17.7" customHeight="1">
      <c r="A680" s="40">
        <v>45744</v>
      </c>
      <c r="B680" s="46" t="s">
        <v>218</v>
      </c>
      <c r="C680" s="46" t="s">
        <v>222</v>
      </c>
      <c r="D680" s="46" t="s">
        <v>60</v>
      </c>
      <c r="E680" s="42" t="s">
        <v>160</v>
      </c>
      <c r="F680" s="43" t="s">
        <v>1875</v>
      </c>
    </row>
    <row r="681" spans="1:6" ht="17.7" customHeight="1">
      <c r="A681" s="40">
        <v>45744</v>
      </c>
      <c r="B681" s="46" t="s">
        <v>218</v>
      </c>
      <c r="C681" s="46" t="s">
        <v>222</v>
      </c>
      <c r="D681" s="46" t="s">
        <v>60</v>
      </c>
      <c r="E681" s="42" t="s">
        <v>160</v>
      </c>
      <c r="F681" s="43" t="s">
        <v>1876</v>
      </c>
    </row>
    <row r="682" spans="1:6" ht="17.7" customHeight="1">
      <c r="A682" s="40">
        <v>45744</v>
      </c>
      <c r="B682" s="46" t="s">
        <v>218</v>
      </c>
      <c r="C682" s="46" t="s">
        <v>222</v>
      </c>
      <c r="D682" s="46" t="s">
        <v>60</v>
      </c>
      <c r="E682" s="42" t="s">
        <v>160</v>
      </c>
      <c r="F682" s="43" t="s">
        <v>1877</v>
      </c>
    </row>
    <row r="683" spans="1:6" ht="17.7" customHeight="1">
      <c r="A683" s="40">
        <v>45744</v>
      </c>
      <c r="B683" s="46" t="s">
        <v>218</v>
      </c>
      <c r="C683" s="46" t="s">
        <v>222</v>
      </c>
      <c r="D683" s="46" t="s">
        <v>60</v>
      </c>
      <c r="E683" s="42" t="s">
        <v>160</v>
      </c>
      <c r="F683" s="43" t="s">
        <v>1878</v>
      </c>
    </row>
    <row r="684" spans="1:6" ht="17.7" customHeight="1">
      <c r="A684" s="40">
        <v>45744</v>
      </c>
      <c r="B684" s="46" t="s">
        <v>218</v>
      </c>
      <c r="C684" s="46" t="s">
        <v>222</v>
      </c>
      <c r="D684" s="46" t="s">
        <v>60</v>
      </c>
      <c r="E684" s="42" t="s">
        <v>160</v>
      </c>
      <c r="F684" s="43" t="s">
        <v>1879</v>
      </c>
    </row>
    <row r="685" spans="1:6" ht="17.7" customHeight="1">
      <c r="A685" s="40">
        <v>45744</v>
      </c>
      <c r="B685" s="46" t="s">
        <v>218</v>
      </c>
      <c r="C685" s="46" t="s">
        <v>222</v>
      </c>
      <c r="D685" s="46" t="s">
        <v>60</v>
      </c>
      <c r="E685" s="42" t="s">
        <v>160</v>
      </c>
      <c r="F685" s="43" t="s">
        <v>1880</v>
      </c>
    </row>
    <row r="686" spans="1:6" ht="17.7" customHeight="1">
      <c r="A686" s="40">
        <v>45744</v>
      </c>
      <c r="B686" s="46" t="s">
        <v>218</v>
      </c>
      <c r="C686" s="46" t="s">
        <v>222</v>
      </c>
      <c r="D686" s="46" t="s">
        <v>60</v>
      </c>
      <c r="E686" s="42" t="s">
        <v>160</v>
      </c>
      <c r="F686" s="43" t="s">
        <v>1881</v>
      </c>
    </row>
    <row r="687" spans="1:6" ht="17.7" customHeight="1">
      <c r="A687" s="40">
        <v>45744</v>
      </c>
      <c r="B687" s="46" t="s">
        <v>218</v>
      </c>
      <c r="C687" s="46" t="s">
        <v>222</v>
      </c>
      <c r="D687" s="46" t="s">
        <v>60</v>
      </c>
      <c r="E687" s="42" t="s">
        <v>160</v>
      </c>
      <c r="F687" s="43" t="s">
        <v>1882</v>
      </c>
    </row>
    <row r="688" spans="1:6" ht="17.7" customHeight="1">
      <c r="A688" s="40">
        <v>45744</v>
      </c>
      <c r="B688" s="46" t="s">
        <v>218</v>
      </c>
      <c r="C688" s="46" t="s">
        <v>222</v>
      </c>
      <c r="D688" s="46" t="s">
        <v>60</v>
      </c>
      <c r="E688" s="42" t="s">
        <v>160</v>
      </c>
      <c r="F688" s="43" t="s">
        <v>1873</v>
      </c>
    </row>
    <row r="689" spans="1:6" ht="17.7" customHeight="1">
      <c r="A689" s="40">
        <v>45744</v>
      </c>
      <c r="B689" s="46" t="s">
        <v>218</v>
      </c>
      <c r="C689" s="46" t="s">
        <v>222</v>
      </c>
      <c r="D689" s="46" t="s">
        <v>60</v>
      </c>
      <c r="E689" s="42" t="s">
        <v>160</v>
      </c>
      <c r="F689" s="43" t="s">
        <v>1874</v>
      </c>
    </row>
    <row r="690" spans="1:6" ht="17.7" customHeight="1">
      <c r="A690" s="40">
        <v>45744</v>
      </c>
      <c r="B690" s="46" t="s">
        <v>218</v>
      </c>
      <c r="C690" s="46" t="s">
        <v>222</v>
      </c>
      <c r="D690" s="46" t="s">
        <v>60</v>
      </c>
      <c r="E690" s="42" t="s">
        <v>2248</v>
      </c>
      <c r="F690" s="43" t="s">
        <v>1885</v>
      </c>
    </row>
    <row r="691" spans="1:6" ht="17.7" customHeight="1">
      <c r="A691" s="40">
        <v>45744</v>
      </c>
      <c r="B691" s="46" t="s">
        <v>218</v>
      </c>
      <c r="C691" s="46" t="s">
        <v>222</v>
      </c>
      <c r="D691" s="46" t="s">
        <v>60</v>
      </c>
      <c r="E691" s="42" t="s">
        <v>539</v>
      </c>
      <c r="F691" s="43" t="s">
        <v>1870</v>
      </c>
    </row>
    <row r="692" spans="1:6" ht="17.7" customHeight="1">
      <c r="A692" s="40">
        <v>45744</v>
      </c>
      <c r="B692" s="46" t="s">
        <v>218</v>
      </c>
      <c r="C692" s="46" t="s">
        <v>222</v>
      </c>
      <c r="D692" s="46" t="s">
        <v>60</v>
      </c>
      <c r="E692" s="42" t="s">
        <v>2201</v>
      </c>
      <c r="F692" s="43" t="s">
        <v>1902</v>
      </c>
    </row>
    <row r="693" spans="1:6" ht="17.7" customHeight="1">
      <c r="A693" s="40">
        <v>45744</v>
      </c>
      <c r="B693" s="46" t="s">
        <v>218</v>
      </c>
      <c r="C693" s="46" t="s">
        <v>222</v>
      </c>
      <c r="D693" s="46" t="s">
        <v>60</v>
      </c>
      <c r="E693" s="42" t="s">
        <v>2201</v>
      </c>
      <c r="F693" s="43" t="s">
        <v>1897</v>
      </c>
    </row>
    <row r="694" spans="1:6" ht="17.7" customHeight="1">
      <c r="A694" s="40">
        <v>45744</v>
      </c>
      <c r="B694" s="46" t="s">
        <v>218</v>
      </c>
      <c r="C694" s="46" t="s">
        <v>222</v>
      </c>
      <c r="D694" s="46" t="s">
        <v>60</v>
      </c>
      <c r="E694" s="42" t="s">
        <v>2201</v>
      </c>
      <c r="F694" s="43" t="s">
        <v>1899</v>
      </c>
    </row>
    <row r="695" spans="1:6" ht="17.7" customHeight="1">
      <c r="A695" s="40">
        <v>45744</v>
      </c>
      <c r="B695" s="46" t="s">
        <v>218</v>
      </c>
      <c r="C695" s="46" t="s">
        <v>222</v>
      </c>
      <c r="D695" s="46" t="s">
        <v>60</v>
      </c>
      <c r="E695" s="42" t="s">
        <v>2201</v>
      </c>
      <c r="F695" s="43" t="s">
        <v>1900</v>
      </c>
    </row>
    <row r="696" spans="1:6" ht="17.7" customHeight="1">
      <c r="A696" s="40">
        <v>45744</v>
      </c>
      <c r="B696" s="46" t="s">
        <v>218</v>
      </c>
      <c r="C696" s="46" t="s">
        <v>222</v>
      </c>
      <c r="D696" s="46" t="s">
        <v>60</v>
      </c>
      <c r="E696" s="42" t="s">
        <v>2201</v>
      </c>
      <c r="F696" s="43" t="s">
        <v>1898</v>
      </c>
    </row>
    <row r="697" spans="1:6" ht="17.7" customHeight="1">
      <c r="A697" s="40">
        <v>45744</v>
      </c>
      <c r="B697" s="46" t="s">
        <v>218</v>
      </c>
      <c r="C697" s="46" t="s">
        <v>222</v>
      </c>
      <c r="D697" s="46" t="s">
        <v>60</v>
      </c>
      <c r="E697" s="42" t="s">
        <v>2201</v>
      </c>
      <c r="F697" s="43" t="s">
        <v>1901</v>
      </c>
    </row>
    <row r="698" spans="1:6" ht="17.7" customHeight="1">
      <c r="A698" s="40">
        <v>45744</v>
      </c>
      <c r="B698" s="46" t="s">
        <v>271</v>
      </c>
      <c r="C698" s="46" t="s">
        <v>273</v>
      </c>
      <c r="D698" s="46" t="s">
        <v>77</v>
      </c>
      <c r="E698" s="42" t="s">
        <v>161</v>
      </c>
      <c r="F698" s="43" t="s">
        <v>1623</v>
      </c>
    </row>
    <row r="699" spans="1:6" ht="17.7" customHeight="1">
      <c r="A699" s="40">
        <v>45744</v>
      </c>
      <c r="B699" s="46" t="s">
        <v>271</v>
      </c>
      <c r="C699" s="46" t="s">
        <v>273</v>
      </c>
      <c r="D699" s="46" t="s">
        <v>77</v>
      </c>
      <c r="E699" s="42" t="s">
        <v>161</v>
      </c>
      <c r="F699" s="43" t="s">
        <v>1624</v>
      </c>
    </row>
    <row r="700" spans="1:6" ht="17.7" customHeight="1">
      <c r="A700" s="40">
        <v>45744</v>
      </c>
      <c r="B700" s="46" t="s">
        <v>271</v>
      </c>
      <c r="C700" s="46" t="s">
        <v>273</v>
      </c>
      <c r="D700" s="46" t="s">
        <v>77</v>
      </c>
      <c r="E700" s="42" t="s">
        <v>161</v>
      </c>
      <c r="F700" s="43" t="s">
        <v>1625</v>
      </c>
    </row>
    <row r="701" spans="1:6" ht="17.7" customHeight="1">
      <c r="A701" s="40">
        <v>45744</v>
      </c>
      <c r="B701" s="46" t="s">
        <v>271</v>
      </c>
      <c r="C701" s="46" t="s">
        <v>273</v>
      </c>
      <c r="D701" s="46" t="s">
        <v>77</v>
      </c>
      <c r="E701" s="42" t="s">
        <v>161</v>
      </c>
      <c r="F701" s="43" t="s">
        <v>1626</v>
      </c>
    </row>
    <row r="702" spans="1:6" ht="17.7" customHeight="1">
      <c r="A702" s="40">
        <v>45744</v>
      </c>
      <c r="B702" s="46" t="s">
        <v>271</v>
      </c>
      <c r="C702" s="46" t="s">
        <v>273</v>
      </c>
      <c r="D702" s="46" t="s">
        <v>77</v>
      </c>
      <c r="E702" s="42" t="s">
        <v>161</v>
      </c>
      <c r="F702" s="43" t="s">
        <v>1627</v>
      </c>
    </row>
    <row r="703" spans="1:6" ht="17.7" customHeight="1">
      <c r="A703" s="40">
        <v>45744</v>
      </c>
      <c r="B703" s="46" t="s">
        <v>271</v>
      </c>
      <c r="C703" s="46" t="s">
        <v>273</v>
      </c>
      <c r="D703" s="46" t="s">
        <v>77</v>
      </c>
      <c r="E703" s="42" t="s">
        <v>161</v>
      </c>
      <c r="F703" s="43" t="s">
        <v>1628</v>
      </c>
    </row>
    <row r="704" spans="1:6" ht="17.7" customHeight="1">
      <c r="A704" s="40">
        <v>45744</v>
      </c>
      <c r="B704" s="46" t="s">
        <v>271</v>
      </c>
      <c r="C704" s="46" t="s">
        <v>273</v>
      </c>
      <c r="D704" s="46" t="s">
        <v>77</v>
      </c>
      <c r="E704" s="42" t="s">
        <v>2248</v>
      </c>
      <c r="F704" s="43" t="s">
        <v>1629</v>
      </c>
    </row>
    <row r="705" spans="1:6" ht="17.7" customHeight="1">
      <c r="A705" s="40">
        <v>45744</v>
      </c>
      <c r="B705" s="46" t="s">
        <v>271</v>
      </c>
      <c r="C705" s="46" t="s">
        <v>273</v>
      </c>
      <c r="D705" s="46" t="s">
        <v>77</v>
      </c>
      <c r="E705" s="42" t="s">
        <v>159</v>
      </c>
      <c r="F705" s="43" t="s">
        <v>1630</v>
      </c>
    </row>
    <row r="706" spans="1:6" ht="17.7" customHeight="1">
      <c r="A706" s="40">
        <v>45744</v>
      </c>
      <c r="B706" s="46" t="s">
        <v>271</v>
      </c>
      <c r="C706" s="46" t="s">
        <v>273</v>
      </c>
      <c r="D706" s="46" t="s">
        <v>77</v>
      </c>
      <c r="E706" s="42" t="s">
        <v>164</v>
      </c>
      <c r="F706" s="43" t="s">
        <v>1631</v>
      </c>
    </row>
    <row r="707" spans="1:6" ht="17.7" customHeight="1">
      <c r="A707" s="40">
        <v>45744</v>
      </c>
      <c r="B707" s="46" t="s">
        <v>271</v>
      </c>
      <c r="C707" s="46" t="s">
        <v>273</v>
      </c>
      <c r="D707" s="46" t="s">
        <v>77</v>
      </c>
      <c r="E707" s="42" t="s">
        <v>165</v>
      </c>
      <c r="F707" s="43" t="s">
        <v>1632</v>
      </c>
    </row>
    <row r="708" spans="1:6" ht="17.7" customHeight="1">
      <c r="A708" s="40">
        <v>45744</v>
      </c>
      <c r="B708" s="46" t="s">
        <v>271</v>
      </c>
      <c r="C708" s="46" t="s">
        <v>273</v>
      </c>
      <c r="D708" s="46" t="s">
        <v>77</v>
      </c>
      <c r="E708" s="42" t="s">
        <v>2201</v>
      </c>
      <c r="F708" s="43" t="s">
        <v>1633</v>
      </c>
    </row>
    <row r="709" spans="1:6" ht="17.7" customHeight="1">
      <c r="A709" s="40">
        <v>45744</v>
      </c>
      <c r="B709" s="46" t="s">
        <v>271</v>
      </c>
      <c r="C709" s="46" t="s">
        <v>273</v>
      </c>
      <c r="D709" s="46" t="s">
        <v>77</v>
      </c>
      <c r="E709" s="42" t="s">
        <v>539</v>
      </c>
      <c r="F709" s="43" t="s">
        <v>1634</v>
      </c>
    </row>
    <row r="710" spans="1:6" ht="17.7" customHeight="1">
      <c r="A710" s="40">
        <v>45744</v>
      </c>
      <c r="B710" s="46" t="s">
        <v>271</v>
      </c>
      <c r="C710" s="46" t="s">
        <v>273</v>
      </c>
      <c r="D710" s="46" t="s">
        <v>77</v>
      </c>
      <c r="E710" s="42" t="s">
        <v>162</v>
      </c>
      <c r="F710" s="43" t="s">
        <v>1635</v>
      </c>
    </row>
    <row r="711" spans="1:6" ht="17.7" customHeight="1">
      <c r="A711" s="40">
        <v>45744</v>
      </c>
      <c r="B711" s="46" t="s">
        <v>271</v>
      </c>
      <c r="C711" s="46" t="s">
        <v>273</v>
      </c>
      <c r="D711" s="46" t="s">
        <v>77</v>
      </c>
      <c r="E711" s="42" t="s">
        <v>2249</v>
      </c>
      <c r="F711" s="43" t="s">
        <v>1636</v>
      </c>
    </row>
    <row r="712" spans="1:6" ht="17.7" customHeight="1">
      <c r="A712" s="40">
        <v>45744</v>
      </c>
      <c r="B712" s="46" t="s">
        <v>271</v>
      </c>
      <c r="C712" s="46" t="s">
        <v>273</v>
      </c>
      <c r="D712" s="46" t="s">
        <v>77</v>
      </c>
      <c r="E712" s="42" t="s">
        <v>173</v>
      </c>
      <c r="F712" s="43" t="s">
        <v>1637</v>
      </c>
    </row>
    <row r="713" spans="1:6" ht="17.7" customHeight="1">
      <c r="A713" s="40">
        <v>45744</v>
      </c>
      <c r="B713" s="46" t="s">
        <v>271</v>
      </c>
      <c r="C713" s="46" t="s">
        <v>273</v>
      </c>
      <c r="D713" s="46" t="s">
        <v>77</v>
      </c>
      <c r="E713" s="42" t="s">
        <v>173</v>
      </c>
      <c r="F713" s="43" t="s">
        <v>1638</v>
      </c>
    </row>
    <row r="714" spans="1:6" ht="17.7" customHeight="1">
      <c r="A714" s="40">
        <v>45744</v>
      </c>
      <c r="B714" s="46" t="s">
        <v>27</v>
      </c>
      <c r="C714" s="46" t="s">
        <v>297</v>
      </c>
      <c r="D714" s="46" t="s">
        <v>87</v>
      </c>
      <c r="E714" s="42" t="s">
        <v>2248</v>
      </c>
      <c r="F714" s="43" t="s">
        <v>833</v>
      </c>
    </row>
    <row r="715" spans="1:6" ht="17.7" customHeight="1">
      <c r="A715" s="40">
        <v>45744</v>
      </c>
      <c r="B715" s="46" t="s">
        <v>27</v>
      </c>
      <c r="C715" s="46" t="s">
        <v>297</v>
      </c>
      <c r="D715" s="46" t="s">
        <v>87</v>
      </c>
      <c r="E715" s="42" t="s">
        <v>2248</v>
      </c>
      <c r="F715" s="43" t="s">
        <v>834</v>
      </c>
    </row>
    <row r="716" spans="1:6" ht="17.7" customHeight="1">
      <c r="A716" s="40">
        <v>45744</v>
      </c>
      <c r="B716" s="46" t="s">
        <v>27</v>
      </c>
      <c r="C716" s="46" t="s">
        <v>297</v>
      </c>
      <c r="D716" s="46" t="s">
        <v>87</v>
      </c>
      <c r="E716" s="42" t="s">
        <v>2248</v>
      </c>
      <c r="F716" s="43" t="s">
        <v>835</v>
      </c>
    </row>
    <row r="717" spans="1:6" ht="17.7" customHeight="1">
      <c r="A717" s="40">
        <v>45744</v>
      </c>
      <c r="B717" s="46" t="s">
        <v>27</v>
      </c>
      <c r="C717" s="46" t="s">
        <v>297</v>
      </c>
      <c r="D717" s="46" t="s">
        <v>87</v>
      </c>
      <c r="E717" s="42" t="s">
        <v>2248</v>
      </c>
      <c r="F717" s="43" t="s">
        <v>836</v>
      </c>
    </row>
    <row r="718" spans="1:6" ht="17.7" customHeight="1">
      <c r="A718" s="40">
        <v>45744</v>
      </c>
      <c r="B718" s="46" t="s">
        <v>27</v>
      </c>
      <c r="C718" s="46" t="s">
        <v>297</v>
      </c>
      <c r="D718" s="46" t="s">
        <v>87</v>
      </c>
      <c r="E718" s="42" t="s">
        <v>2248</v>
      </c>
      <c r="F718" s="43" t="s">
        <v>837</v>
      </c>
    </row>
    <row r="719" spans="1:6" ht="17.7" customHeight="1">
      <c r="A719" s="40">
        <v>45744</v>
      </c>
      <c r="B719" s="46" t="s">
        <v>27</v>
      </c>
      <c r="C719" s="46" t="s">
        <v>297</v>
      </c>
      <c r="D719" s="46" t="s">
        <v>87</v>
      </c>
      <c r="E719" s="42" t="s">
        <v>2248</v>
      </c>
      <c r="F719" s="43" t="s">
        <v>838</v>
      </c>
    </row>
    <row r="720" spans="1:6" ht="17.7" customHeight="1">
      <c r="A720" s="40">
        <v>45744</v>
      </c>
      <c r="B720" s="46" t="s">
        <v>27</v>
      </c>
      <c r="C720" s="46" t="s">
        <v>297</v>
      </c>
      <c r="D720" s="46" t="s">
        <v>87</v>
      </c>
      <c r="E720" s="42" t="s">
        <v>2248</v>
      </c>
      <c r="F720" s="43" t="s">
        <v>839</v>
      </c>
    </row>
    <row r="721" spans="1:6" ht="17.7" customHeight="1">
      <c r="A721" s="40">
        <v>45744</v>
      </c>
      <c r="B721" s="46" t="s">
        <v>27</v>
      </c>
      <c r="C721" s="46" t="s">
        <v>297</v>
      </c>
      <c r="D721" s="46" t="s">
        <v>87</v>
      </c>
      <c r="E721" s="42" t="s">
        <v>2248</v>
      </c>
      <c r="F721" s="43" t="s">
        <v>840</v>
      </c>
    </row>
    <row r="722" spans="1:6" ht="17.7" customHeight="1">
      <c r="A722" s="40">
        <v>45744</v>
      </c>
      <c r="B722" s="46" t="s">
        <v>27</v>
      </c>
      <c r="C722" s="46" t="s">
        <v>297</v>
      </c>
      <c r="D722" s="46" t="s">
        <v>87</v>
      </c>
      <c r="E722" s="42" t="s">
        <v>2248</v>
      </c>
      <c r="F722" s="43" t="s">
        <v>841</v>
      </c>
    </row>
    <row r="723" spans="1:6" ht="17.7" customHeight="1">
      <c r="A723" s="40">
        <v>45744</v>
      </c>
      <c r="B723" s="46" t="s">
        <v>27</v>
      </c>
      <c r="C723" s="46" t="s">
        <v>297</v>
      </c>
      <c r="D723" s="46" t="s">
        <v>87</v>
      </c>
      <c r="E723" s="42" t="s">
        <v>2248</v>
      </c>
      <c r="F723" s="43" t="s">
        <v>842</v>
      </c>
    </row>
    <row r="724" spans="1:6" ht="17.7" customHeight="1">
      <c r="A724" s="40">
        <v>45744</v>
      </c>
      <c r="B724" s="46" t="s">
        <v>27</v>
      </c>
      <c r="C724" s="46" t="s">
        <v>297</v>
      </c>
      <c r="D724" s="46" t="s">
        <v>87</v>
      </c>
      <c r="E724" s="42" t="s">
        <v>2248</v>
      </c>
      <c r="F724" s="43" t="s">
        <v>843</v>
      </c>
    </row>
    <row r="725" spans="1:6" ht="17.7" customHeight="1">
      <c r="A725" s="40">
        <v>45744</v>
      </c>
      <c r="B725" s="46" t="s">
        <v>27</v>
      </c>
      <c r="C725" s="46" t="s">
        <v>297</v>
      </c>
      <c r="D725" s="46" t="s">
        <v>87</v>
      </c>
      <c r="E725" s="42" t="s">
        <v>2248</v>
      </c>
      <c r="F725" s="43" t="s">
        <v>844</v>
      </c>
    </row>
    <row r="726" spans="1:6" ht="17.7" customHeight="1">
      <c r="A726" s="40">
        <v>45744</v>
      </c>
      <c r="B726" s="46" t="s">
        <v>27</v>
      </c>
      <c r="C726" s="46" t="s">
        <v>297</v>
      </c>
      <c r="D726" s="46" t="s">
        <v>87</v>
      </c>
      <c r="E726" s="42" t="s">
        <v>159</v>
      </c>
      <c r="F726" s="43" t="s">
        <v>845</v>
      </c>
    </row>
    <row r="727" spans="1:6" ht="17.7" customHeight="1">
      <c r="A727" s="40">
        <v>45744</v>
      </c>
      <c r="B727" s="46" t="s">
        <v>27</v>
      </c>
      <c r="C727" s="46" t="s">
        <v>297</v>
      </c>
      <c r="D727" s="46" t="s">
        <v>87</v>
      </c>
      <c r="E727" s="42" t="s">
        <v>159</v>
      </c>
      <c r="F727" s="43" t="s">
        <v>846</v>
      </c>
    </row>
    <row r="728" spans="1:6" ht="17.7" customHeight="1">
      <c r="A728" s="40">
        <v>45744</v>
      </c>
      <c r="B728" s="46" t="s">
        <v>27</v>
      </c>
      <c r="C728" s="46" t="s">
        <v>297</v>
      </c>
      <c r="D728" s="46" t="s">
        <v>87</v>
      </c>
      <c r="E728" s="42" t="s">
        <v>159</v>
      </c>
      <c r="F728" s="43" t="s">
        <v>847</v>
      </c>
    </row>
    <row r="729" spans="1:6" ht="17.7" customHeight="1">
      <c r="A729" s="40">
        <v>45744</v>
      </c>
      <c r="B729" s="46" t="s">
        <v>27</v>
      </c>
      <c r="C729" s="46" t="s">
        <v>297</v>
      </c>
      <c r="D729" s="46" t="s">
        <v>87</v>
      </c>
      <c r="E729" s="42" t="s">
        <v>159</v>
      </c>
      <c r="F729" s="43" t="s">
        <v>848</v>
      </c>
    </row>
    <row r="730" spans="1:6" ht="17.7" customHeight="1">
      <c r="A730" s="40">
        <v>45744</v>
      </c>
      <c r="B730" s="46" t="s">
        <v>27</v>
      </c>
      <c r="C730" s="46" t="s">
        <v>297</v>
      </c>
      <c r="D730" s="46" t="s">
        <v>87</v>
      </c>
      <c r="E730" s="42" t="s">
        <v>159</v>
      </c>
      <c r="F730" s="43" t="s">
        <v>849</v>
      </c>
    </row>
    <row r="731" spans="1:6" ht="17.7" customHeight="1">
      <c r="A731" s="40">
        <v>45744</v>
      </c>
      <c r="B731" s="46" t="s">
        <v>27</v>
      </c>
      <c r="C731" s="46" t="s">
        <v>297</v>
      </c>
      <c r="D731" s="46" t="s">
        <v>87</v>
      </c>
      <c r="E731" s="42" t="s">
        <v>161</v>
      </c>
      <c r="F731" s="43" t="s">
        <v>850</v>
      </c>
    </row>
    <row r="732" spans="1:6" ht="17.7" customHeight="1">
      <c r="A732" s="40">
        <v>45744</v>
      </c>
      <c r="B732" s="46" t="s">
        <v>27</v>
      </c>
      <c r="C732" s="46" t="s">
        <v>297</v>
      </c>
      <c r="D732" s="46" t="s">
        <v>87</v>
      </c>
      <c r="E732" s="42" t="s">
        <v>161</v>
      </c>
      <c r="F732" s="43" t="s">
        <v>851</v>
      </c>
    </row>
    <row r="733" spans="1:6" ht="17.7" customHeight="1">
      <c r="A733" s="40">
        <v>45744</v>
      </c>
      <c r="B733" s="46" t="s">
        <v>27</v>
      </c>
      <c r="C733" s="46" t="s">
        <v>297</v>
      </c>
      <c r="D733" s="46" t="s">
        <v>87</v>
      </c>
      <c r="E733" s="42" t="s">
        <v>161</v>
      </c>
      <c r="F733" s="43" t="s">
        <v>852</v>
      </c>
    </row>
    <row r="734" spans="1:6" ht="17.7" customHeight="1">
      <c r="A734" s="40">
        <v>45744</v>
      </c>
      <c r="B734" s="46" t="s">
        <v>27</v>
      </c>
      <c r="C734" s="46" t="s">
        <v>297</v>
      </c>
      <c r="D734" s="46" t="s">
        <v>87</v>
      </c>
      <c r="E734" s="42" t="s">
        <v>161</v>
      </c>
      <c r="F734" s="43" t="s">
        <v>853</v>
      </c>
    </row>
    <row r="735" spans="1:6" ht="17.7" customHeight="1">
      <c r="A735" s="40">
        <v>45744</v>
      </c>
      <c r="B735" s="46" t="s">
        <v>27</v>
      </c>
      <c r="C735" s="46" t="s">
        <v>297</v>
      </c>
      <c r="D735" s="46" t="s">
        <v>87</v>
      </c>
      <c r="E735" s="42" t="s">
        <v>161</v>
      </c>
      <c r="F735" s="43" t="s">
        <v>854</v>
      </c>
    </row>
    <row r="736" spans="1:6" ht="17.7" customHeight="1">
      <c r="A736" s="40">
        <v>45744</v>
      </c>
      <c r="B736" s="46" t="s">
        <v>27</v>
      </c>
      <c r="C736" s="46" t="s">
        <v>297</v>
      </c>
      <c r="D736" s="46" t="s">
        <v>87</v>
      </c>
      <c r="E736" s="42" t="s">
        <v>161</v>
      </c>
      <c r="F736" s="43" t="s">
        <v>855</v>
      </c>
    </row>
    <row r="737" spans="1:6" ht="17.7" customHeight="1">
      <c r="A737" s="40">
        <v>45744</v>
      </c>
      <c r="B737" s="46" t="s">
        <v>27</v>
      </c>
      <c r="C737" s="46" t="s">
        <v>297</v>
      </c>
      <c r="D737" s="46" t="s">
        <v>87</v>
      </c>
      <c r="E737" s="42" t="s">
        <v>161</v>
      </c>
      <c r="F737" s="43" t="s">
        <v>856</v>
      </c>
    </row>
    <row r="738" spans="1:6" ht="17.7" customHeight="1">
      <c r="A738" s="40">
        <v>45744</v>
      </c>
      <c r="B738" s="46" t="s">
        <v>27</v>
      </c>
      <c r="C738" s="46" t="s">
        <v>297</v>
      </c>
      <c r="D738" s="46" t="s">
        <v>87</v>
      </c>
      <c r="E738" s="42" t="s">
        <v>161</v>
      </c>
      <c r="F738" s="43" t="s">
        <v>857</v>
      </c>
    </row>
    <row r="739" spans="1:6" ht="17.7" customHeight="1">
      <c r="A739" s="40">
        <v>45744</v>
      </c>
      <c r="B739" s="46" t="s">
        <v>27</v>
      </c>
      <c r="C739" s="46" t="s">
        <v>297</v>
      </c>
      <c r="D739" s="46" t="s">
        <v>87</v>
      </c>
      <c r="E739" s="42" t="s">
        <v>161</v>
      </c>
      <c r="F739" s="43" t="s">
        <v>858</v>
      </c>
    </row>
    <row r="740" spans="1:6" ht="17.7" customHeight="1">
      <c r="A740" s="40">
        <v>45744</v>
      </c>
      <c r="B740" s="46" t="s">
        <v>27</v>
      </c>
      <c r="C740" s="46" t="s">
        <v>297</v>
      </c>
      <c r="D740" s="46" t="s">
        <v>87</v>
      </c>
      <c r="E740" s="42" t="s">
        <v>161</v>
      </c>
      <c r="F740" s="43" t="s">
        <v>859</v>
      </c>
    </row>
    <row r="741" spans="1:6" ht="17.7" customHeight="1">
      <c r="A741" s="40">
        <v>45744</v>
      </c>
      <c r="B741" s="46" t="s">
        <v>27</v>
      </c>
      <c r="C741" s="46" t="s">
        <v>297</v>
      </c>
      <c r="D741" s="46" t="s">
        <v>87</v>
      </c>
      <c r="E741" s="42" t="s">
        <v>161</v>
      </c>
      <c r="F741" s="43" t="s">
        <v>860</v>
      </c>
    </row>
    <row r="742" spans="1:6" ht="17.7" customHeight="1">
      <c r="A742" s="40">
        <v>45744</v>
      </c>
      <c r="B742" s="46" t="s">
        <v>27</v>
      </c>
      <c r="C742" s="46" t="s">
        <v>297</v>
      </c>
      <c r="D742" s="46" t="s">
        <v>87</v>
      </c>
      <c r="E742" s="42" t="s">
        <v>161</v>
      </c>
      <c r="F742" s="43" t="s">
        <v>861</v>
      </c>
    </row>
    <row r="743" spans="1:6" ht="17.7" customHeight="1">
      <c r="A743" s="40">
        <v>45744</v>
      </c>
      <c r="B743" s="46" t="s">
        <v>27</v>
      </c>
      <c r="C743" s="46" t="s">
        <v>297</v>
      </c>
      <c r="D743" s="46" t="s">
        <v>87</v>
      </c>
      <c r="E743" s="42" t="s">
        <v>161</v>
      </c>
      <c r="F743" s="43" t="s">
        <v>862</v>
      </c>
    </row>
    <row r="744" spans="1:6" ht="17.7" customHeight="1">
      <c r="A744" s="40">
        <v>45744</v>
      </c>
      <c r="B744" s="46" t="s">
        <v>27</v>
      </c>
      <c r="C744" s="46" t="s">
        <v>297</v>
      </c>
      <c r="D744" s="46" t="s">
        <v>87</v>
      </c>
      <c r="E744" s="42" t="s">
        <v>161</v>
      </c>
      <c r="F744" s="43" t="s">
        <v>863</v>
      </c>
    </row>
    <row r="745" spans="1:6" ht="17.7" customHeight="1">
      <c r="A745" s="40">
        <v>45744</v>
      </c>
      <c r="B745" s="46" t="s">
        <v>27</v>
      </c>
      <c r="C745" s="46" t="s">
        <v>297</v>
      </c>
      <c r="D745" s="46" t="s">
        <v>87</v>
      </c>
      <c r="E745" s="42" t="s">
        <v>161</v>
      </c>
      <c r="F745" s="43" t="s">
        <v>864</v>
      </c>
    </row>
    <row r="746" spans="1:6" ht="17.7" customHeight="1">
      <c r="A746" s="40">
        <v>45744</v>
      </c>
      <c r="B746" s="46" t="s">
        <v>27</v>
      </c>
      <c r="C746" s="46" t="s">
        <v>297</v>
      </c>
      <c r="D746" s="46" t="s">
        <v>87</v>
      </c>
      <c r="E746" s="42" t="s">
        <v>164</v>
      </c>
      <c r="F746" s="43" t="s">
        <v>865</v>
      </c>
    </row>
    <row r="747" spans="1:6" ht="17.7" customHeight="1">
      <c r="A747" s="40">
        <v>45744</v>
      </c>
      <c r="B747" s="46" t="s">
        <v>27</v>
      </c>
      <c r="C747" s="46" t="s">
        <v>297</v>
      </c>
      <c r="D747" s="46" t="s">
        <v>87</v>
      </c>
      <c r="E747" s="42" t="s">
        <v>2201</v>
      </c>
      <c r="F747" s="43" t="s">
        <v>866</v>
      </c>
    </row>
    <row r="748" spans="1:6" ht="17.7" customHeight="1">
      <c r="A748" s="40">
        <v>45744</v>
      </c>
      <c r="B748" s="46" t="s">
        <v>27</v>
      </c>
      <c r="C748" s="46" t="s">
        <v>297</v>
      </c>
      <c r="D748" s="46" t="s">
        <v>87</v>
      </c>
      <c r="E748" s="42" t="s">
        <v>165</v>
      </c>
      <c r="F748" s="43" t="s">
        <v>867</v>
      </c>
    </row>
    <row r="749" spans="1:6" ht="17.7" customHeight="1">
      <c r="A749" s="40">
        <v>45744</v>
      </c>
      <c r="B749" s="46" t="s">
        <v>27</v>
      </c>
      <c r="C749" s="46" t="s">
        <v>297</v>
      </c>
      <c r="D749" s="46" t="s">
        <v>87</v>
      </c>
      <c r="E749" s="42" t="s">
        <v>165</v>
      </c>
      <c r="F749" s="43" t="s">
        <v>868</v>
      </c>
    </row>
    <row r="750" spans="1:6" ht="17.7" customHeight="1">
      <c r="A750" s="40">
        <v>45744</v>
      </c>
      <c r="B750" s="46" t="s">
        <v>27</v>
      </c>
      <c r="C750" s="46" t="s">
        <v>297</v>
      </c>
      <c r="D750" s="46" t="s">
        <v>87</v>
      </c>
      <c r="E750" s="42" t="s">
        <v>165</v>
      </c>
      <c r="F750" s="43" t="s">
        <v>869</v>
      </c>
    </row>
    <row r="751" spans="1:6" ht="17.7" customHeight="1">
      <c r="A751" s="40">
        <v>45744</v>
      </c>
      <c r="B751" s="46" t="s">
        <v>27</v>
      </c>
      <c r="C751" s="46" t="s">
        <v>297</v>
      </c>
      <c r="D751" s="46" t="s">
        <v>87</v>
      </c>
      <c r="E751" s="42" t="s">
        <v>165</v>
      </c>
      <c r="F751" s="43" t="s">
        <v>870</v>
      </c>
    </row>
    <row r="752" spans="1:6" ht="17.7" customHeight="1">
      <c r="A752" s="40">
        <v>45744</v>
      </c>
      <c r="B752" s="46" t="s">
        <v>27</v>
      </c>
      <c r="C752" s="46" t="s">
        <v>297</v>
      </c>
      <c r="D752" s="46" t="s">
        <v>87</v>
      </c>
      <c r="E752" s="42" t="s">
        <v>165</v>
      </c>
      <c r="F752" s="43" t="s">
        <v>871</v>
      </c>
    </row>
    <row r="753" spans="1:6" ht="17.7" customHeight="1">
      <c r="A753" s="40">
        <v>45744</v>
      </c>
      <c r="B753" s="46" t="s">
        <v>27</v>
      </c>
      <c r="C753" s="46" t="s">
        <v>297</v>
      </c>
      <c r="D753" s="46" t="s">
        <v>87</v>
      </c>
      <c r="E753" s="42" t="s">
        <v>2249</v>
      </c>
      <c r="F753" s="43" t="s">
        <v>872</v>
      </c>
    </row>
    <row r="754" spans="1:6" ht="17.7" customHeight="1">
      <c r="A754" s="40">
        <v>45744</v>
      </c>
      <c r="B754" s="46" t="s">
        <v>27</v>
      </c>
      <c r="C754" s="46" t="s">
        <v>297</v>
      </c>
      <c r="D754" s="46" t="s">
        <v>87</v>
      </c>
      <c r="E754" s="42" t="s">
        <v>2249</v>
      </c>
      <c r="F754" s="43" t="s">
        <v>873</v>
      </c>
    </row>
    <row r="755" spans="1:6" ht="17.7" customHeight="1">
      <c r="A755" s="40">
        <v>45744</v>
      </c>
      <c r="B755" s="46" t="s">
        <v>27</v>
      </c>
      <c r="C755" s="46" t="s">
        <v>297</v>
      </c>
      <c r="D755" s="46" t="s">
        <v>87</v>
      </c>
      <c r="E755" s="42" t="s">
        <v>162</v>
      </c>
      <c r="F755" s="43" t="s">
        <v>874</v>
      </c>
    </row>
    <row r="756" spans="1:6" ht="17.7" customHeight="1">
      <c r="A756" s="40">
        <v>45744</v>
      </c>
      <c r="B756" s="46" t="s">
        <v>261</v>
      </c>
      <c r="C756" s="46" t="s">
        <v>264</v>
      </c>
      <c r="D756" s="46" t="s">
        <v>73</v>
      </c>
      <c r="E756" s="42" t="s">
        <v>159</v>
      </c>
      <c r="F756" s="43" t="s">
        <v>1574</v>
      </c>
    </row>
    <row r="757" spans="1:6" ht="17.7" customHeight="1">
      <c r="A757" s="40">
        <v>45744</v>
      </c>
      <c r="B757" s="46" t="s">
        <v>261</v>
      </c>
      <c r="C757" s="46" t="s">
        <v>264</v>
      </c>
      <c r="D757" s="46" t="s">
        <v>73</v>
      </c>
      <c r="E757" s="42" t="s">
        <v>159</v>
      </c>
      <c r="F757" s="43" t="s">
        <v>1575</v>
      </c>
    </row>
    <row r="758" spans="1:6" ht="17.7" customHeight="1">
      <c r="A758" s="40">
        <v>45744</v>
      </c>
      <c r="B758" s="46" t="s">
        <v>261</v>
      </c>
      <c r="C758" s="46" t="s">
        <v>264</v>
      </c>
      <c r="D758" s="46" t="s">
        <v>73</v>
      </c>
      <c r="E758" s="42" t="s">
        <v>159</v>
      </c>
      <c r="F758" s="43" t="s">
        <v>1576</v>
      </c>
    </row>
    <row r="759" spans="1:6" ht="17.7" customHeight="1">
      <c r="A759" s="40">
        <v>45744</v>
      </c>
      <c r="B759" s="46" t="s">
        <v>261</v>
      </c>
      <c r="C759" s="46" t="s">
        <v>264</v>
      </c>
      <c r="D759" s="46" t="s">
        <v>73</v>
      </c>
      <c r="E759" s="42" t="s">
        <v>2248</v>
      </c>
      <c r="F759" s="43" t="s">
        <v>1577</v>
      </c>
    </row>
    <row r="760" spans="1:6" ht="17.7" customHeight="1">
      <c r="A760" s="40">
        <v>45744</v>
      </c>
      <c r="B760" s="46" t="s">
        <v>261</v>
      </c>
      <c r="C760" s="46" t="s">
        <v>264</v>
      </c>
      <c r="D760" s="46" t="s">
        <v>73</v>
      </c>
      <c r="E760" s="42" t="s">
        <v>2248</v>
      </c>
      <c r="F760" s="43" t="s">
        <v>1578</v>
      </c>
    </row>
    <row r="761" spans="1:6" ht="17.7" customHeight="1">
      <c r="A761" s="40">
        <v>45744</v>
      </c>
      <c r="B761" s="46" t="s">
        <v>261</v>
      </c>
      <c r="C761" s="46" t="s">
        <v>264</v>
      </c>
      <c r="D761" s="46" t="s">
        <v>73</v>
      </c>
      <c r="E761" s="42" t="s">
        <v>2248</v>
      </c>
      <c r="F761" s="43" t="s">
        <v>1579</v>
      </c>
    </row>
    <row r="762" spans="1:6" ht="17.7" customHeight="1">
      <c r="A762" s="40">
        <v>45744</v>
      </c>
      <c r="B762" s="46" t="s">
        <v>261</v>
      </c>
      <c r="C762" s="46" t="s">
        <v>264</v>
      </c>
      <c r="D762" s="46" t="s">
        <v>73</v>
      </c>
      <c r="E762" s="42" t="s">
        <v>2248</v>
      </c>
      <c r="F762" s="43" t="s">
        <v>1580</v>
      </c>
    </row>
    <row r="763" spans="1:6" ht="17.7" customHeight="1">
      <c r="A763" s="40">
        <v>45744</v>
      </c>
      <c r="B763" s="46" t="s">
        <v>261</v>
      </c>
      <c r="C763" s="46" t="s">
        <v>264</v>
      </c>
      <c r="D763" s="46" t="s">
        <v>73</v>
      </c>
      <c r="E763" s="42" t="s">
        <v>161</v>
      </c>
      <c r="F763" s="43" t="s">
        <v>1581</v>
      </c>
    </row>
    <row r="764" spans="1:6" ht="17.7" customHeight="1">
      <c r="A764" s="40">
        <v>45744</v>
      </c>
      <c r="B764" s="46" t="s">
        <v>261</v>
      </c>
      <c r="C764" s="46" t="s">
        <v>264</v>
      </c>
      <c r="D764" s="46" t="s">
        <v>73</v>
      </c>
      <c r="E764" s="42" t="s">
        <v>161</v>
      </c>
      <c r="F764" s="43" t="s">
        <v>1582</v>
      </c>
    </row>
    <row r="765" spans="1:6" ht="17.7" customHeight="1">
      <c r="A765" s="40">
        <v>45744</v>
      </c>
      <c r="B765" s="46" t="s">
        <v>261</v>
      </c>
      <c r="C765" s="46" t="s">
        <v>264</v>
      </c>
      <c r="D765" s="46" t="s">
        <v>73</v>
      </c>
      <c r="E765" s="42" t="s">
        <v>161</v>
      </c>
      <c r="F765" s="43" t="s">
        <v>1583</v>
      </c>
    </row>
    <row r="766" spans="1:6" ht="17.7" customHeight="1">
      <c r="A766" s="40">
        <v>45744</v>
      </c>
      <c r="B766" s="46" t="s">
        <v>261</v>
      </c>
      <c r="C766" s="46" t="s">
        <v>264</v>
      </c>
      <c r="D766" s="46" t="s">
        <v>73</v>
      </c>
      <c r="E766" s="42" t="s">
        <v>161</v>
      </c>
      <c r="F766" s="43" t="s">
        <v>1584</v>
      </c>
    </row>
    <row r="767" spans="1:6" ht="17.7" customHeight="1">
      <c r="A767" s="40">
        <v>45744</v>
      </c>
      <c r="B767" s="46" t="s">
        <v>261</v>
      </c>
      <c r="C767" s="46" t="s">
        <v>264</v>
      </c>
      <c r="D767" s="46" t="s">
        <v>73</v>
      </c>
      <c r="E767" s="42" t="s">
        <v>161</v>
      </c>
      <c r="F767" s="43" t="s">
        <v>1585</v>
      </c>
    </row>
    <row r="768" spans="1:6" ht="17.7" customHeight="1">
      <c r="A768" s="40">
        <v>45744</v>
      </c>
      <c r="B768" s="46" t="s">
        <v>261</v>
      </c>
      <c r="C768" s="46" t="s">
        <v>264</v>
      </c>
      <c r="D768" s="46" t="s">
        <v>73</v>
      </c>
      <c r="E768" s="42" t="s">
        <v>161</v>
      </c>
      <c r="F768" s="43" t="s">
        <v>1586</v>
      </c>
    </row>
    <row r="769" spans="1:6" ht="17.7" customHeight="1">
      <c r="A769" s="40">
        <v>45744</v>
      </c>
      <c r="B769" s="46" t="s">
        <v>261</v>
      </c>
      <c r="C769" s="46" t="s">
        <v>264</v>
      </c>
      <c r="D769" s="46" t="s">
        <v>73</v>
      </c>
      <c r="E769" s="42" t="s">
        <v>161</v>
      </c>
      <c r="F769" s="43" t="s">
        <v>1587</v>
      </c>
    </row>
    <row r="770" spans="1:6" ht="17.7" customHeight="1">
      <c r="A770" s="40">
        <v>45744</v>
      </c>
      <c r="B770" s="46" t="s">
        <v>261</v>
      </c>
      <c r="C770" s="46" t="s">
        <v>264</v>
      </c>
      <c r="D770" s="46" t="s">
        <v>73</v>
      </c>
      <c r="E770" s="42" t="s">
        <v>161</v>
      </c>
      <c r="F770" s="43" t="s">
        <v>1588</v>
      </c>
    </row>
    <row r="771" spans="1:6" ht="17.7" customHeight="1">
      <c r="A771" s="40">
        <v>45744</v>
      </c>
      <c r="B771" s="46" t="s">
        <v>261</v>
      </c>
      <c r="C771" s="46" t="s">
        <v>264</v>
      </c>
      <c r="D771" s="46" t="s">
        <v>73</v>
      </c>
      <c r="E771" s="42" t="s">
        <v>161</v>
      </c>
      <c r="F771" s="43" t="s">
        <v>1589</v>
      </c>
    </row>
    <row r="772" spans="1:6" ht="17.7" customHeight="1">
      <c r="A772" s="40">
        <v>45744</v>
      </c>
      <c r="B772" s="46" t="s">
        <v>261</v>
      </c>
      <c r="C772" s="46" t="s">
        <v>264</v>
      </c>
      <c r="D772" s="46" t="s">
        <v>73</v>
      </c>
      <c r="E772" s="42" t="s">
        <v>161</v>
      </c>
      <c r="F772" s="43" t="s">
        <v>1590</v>
      </c>
    </row>
    <row r="773" spans="1:6" ht="17.7" customHeight="1">
      <c r="A773" s="40">
        <v>45744</v>
      </c>
      <c r="B773" s="46" t="s">
        <v>261</v>
      </c>
      <c r="C773" s="46" t="s">
        <v>264</v>
      </c>
      <c r="D773" s="46" t="s">
        <v>73</v>
      </c>
      <c r="E773" s="42" t="s">
        <v>161</v>
      </c>
      <c r="F773" s="43" t="s">
        <v>1591</v>
      </c>
    </row>
    <row r="774" spans="1:6" ht="17.7" customHeight="1">
      <c r="A774" s="40">
        <v>45744</v>
      </c>
      <c r="B774" s="46" t="s">
        <v>261</v>
      </c>
      <c r="C774" s="46" t="s">
        <v>264</v>
      </c>
      <c r="D774" s="46" t="s">
        <v>73</v>
      </c>
      <c r="E774" s="42" t="s">
        <v>161</v>
      </c>
      <c r="F774" s="43" t="s">
        <v>1592</v>
      </c>
    </row>
    <row r="775" spans="1:6" ht="17.7" customHeight="1">
      <c r="A775" s="40">
        <v>45744</v>
      </c>
      <c r="B775" s="46" t="s">
        <v>261</v>
      </c>
      <c r="C775" s="46" t="s">
        <v>264</v>
      </c>
      <c r="D775" s="46" t="s">
        <v>73</v>
      </c>
      <c r="E775" s="42" t="s">
        <v>162</v>
      </c>
      <c r="F775" s="43" t="s">
        <v>1593</v>
      </c>
    </row>
    <row r="776" spans="1:6" ht="17.7" customHeight="1">
      <c r="A776" s="40">
        <v>45744</v>
      </c>
      <c r="B776" s="46" t="s">
        <v>261</v>
      </c>
      <c r="C776" s="46" t="s">
        <v>264</v>
      </c>
      <c r="D776" s="46" t="s">
        <v>73</v>
      </c>
      <c r="E776" s="42" t="s">
        <v>2201</v>
      </c>
      <c r="F776" s="43" t="s">
        <v>1594</v>
      </c>
    </row>
    <row r="777" spans="1:6" ht="17.7" customHeight="1">
      <c r="A777" s="40">
        <v>45744</v>
      </c>
      <c r="B777" s="46" t="s">
        <v>261</v>
      </c>
      <c r="C777" s="46" t="s">
        <v>264</v>
      </c>
      <c r="D777" s="46" t="s">
        <v>73</v>
      </c>
      <c r="E777" s="42" t="s">
        <v>165</v>
      </c>
      <c r="F777" s="43" t="s">
        <v>1595</v>
      </c>
    </row>
    <row r="778" spans="1:6" ht="17.7" customHeight="1">
      <c r="A778" s="40">
        <v>45744</v>
      </c>
      <c r="B778" s="46" t="s">
        <v>261</v>
      </c>
      <c r="C778" s="46" t="s">
        <v>264</v>
      </c>
      <c r="D778" s="46" t="s">
        <v>73</v>
      </c>
      <c r="E778" s="42" t="s">
        <v>164</v>
      </c>
      <c r="F778" s="43" t="s">
        <v>1596</v>
      </c>
    </row>
    <row r="779" spans="1:6" ht="17.7" customHeight="1">
      <c r="A779" s="40">
        <v>45744</v>
      </c>
      <c r="B779" s="46" t="s">
        <v>261</v>
      </c>
      <c r="C779" s="46" t="s">
        <v>264</v>
      </c>
      <c r="D779" s="46" t="s">
        <v>73</v>
      </c>
      <c r="E779" s="42" t="s">
        <v>2250</v>
      </c>
      <c r="F779" s="43" t="s">
        <v>2272</v>
      </c>
    </row>
    <row r="780" spans="1:6" ht="17.7" customHeight="1">
      <c r="A780" s="40">
        <v>45744</v>
      </c>
      <c r="B780" s="46" t="s">
        <v>261</v>
      </c>
      <c r="C780" s="46" t="s">
        <v>264</v>
      </c>
      <c r="D780" s="46" t="s">
        <v>73</v>
      </c>
      <c r="E780" s="42" t="s">
        <v>173</v>
      </c>
      <c r="F780" s="43" t="s">
        <v>1597</v>
      </c>
    </row>
    <row r="781" spans="1:6" ht="17.7" customHeight="1">
      <c r="A781" s="40">
        <v>45744</v>
      </c>
      <c r="B781" s="46" t="s">
        <v>285</v>
      </c>
      <c r="C781" s="46" t="s">
        <v>264</v>
      </c>
      <c r="D781" s="46" t="s">
        <v>83</v>
      </c>
      <c r="E781" s="42" t="s">
        <v>161</v>
      </c>
      <c r="F781" s="43" t="s">
        <v>1601</v>
      </c>
    </row>
    <row r="782" spans="1:6" ht="17.7" customHeight="1">
      <c r="A782" s="40">
        <v>45744</v>
      </c>
      <c r="B782" s="46" t="s">
        <v>285</v>
      </c>
      <c r="C782" s="46" t="s">
        <v>264</v>
      </c>
      <c r="D782" s="46" t="s">
        <v>83</v>
      </c>
      <c r="E782" s="42" t="s">
        <v>2248</v>
      </c>
      <c r="F782" s="43" t="s">
        <v>1602</v>
      </c>
    </row>
    <row r="783" spans="1:6" ht="17.7" customHeight="1">
      <c r="A783" s="40">
        <v>45744</v>
      </c>
      <c r="B783" s="46" t="s">
        <v>285</v>
      </c>
      <c r="C783" s="46" t="s">
        <v>264</v>
      </c>
      <c r="D783" s="46" t="s">
        <v>83</v>
      </c>
      <c r="E783" s="42" t="s">
        <v>159</v>
      </c>
      <c r="F783" s="43" t="s">
        <v>1603</v>
      </c>
    </row>
    <row r="784" spans="1:6" ht="17.7" customHeight="1">
      <c r="A784" s="40">
        <v>45744</v>
      </c>
      <c r="B784" s="46" t="s">
        <v>285</v>
      </c>
      <c r="C784" s="46" t="s">
        <v>264</v>
      </c>
      <c r="D784" s="46" t="s">
        <v>83</v>
      </c>
      <c r="E784" s="42" t="s">
        <v>162</v>
      </c>
      <c r="F784" s="43" t="s">
        <v>1604</v>
      </c>
    </row>
    <row r="785" spans="1:6" ht="17.7" customHeight="1">
      <c r="A785" s="40">
        <v>45744</v>
      </c>
      <c r="B785" s="46" t="s">
        <v>285</v>
      </c>
      <c r="C785" s="46" t="s">
        <v>264</v>
      </c>
      <c r="D785" s="46" t="s">
        <v>83</v>
      </c>
      <c r="E785" s="42" t="s">
        <v>164</v>
      </c>
      <c r="F785" s="43" t="s">
        <v>1605</v>
      </c>
    </row>
    <row r="786" spans="1:6" ht="17.7" customHeight="1">
      <c r="A786" s="40">
        <v>45744</v>
      </c>
      <c r="B786" s="46" t="s">
        <v>285</v>
      </c>
      <c r="C786" s="46" t="s">
        <v>264</v>
      </c>
      <c r="D786" s="46" t="s">
        <v>83</v>
      </c>
      <c r="E786" s="42" t="s">
        <v>165</v>
      </c>
      <c r="F786" s="43" t="s">
        <v>1606</v>
      </c>
    </row>
    <row r="787" spans="1:6" ht="17.7" customHeight="1">
      <c r="A787" s="40">
        <v>45744</v>
      </c>
      <c r="B787" s="46" t="s">
        <v>285</v>
      </c>
      <c r="C787" s="46" t="s">
        <v>264</v>
      </c>
      <c r="D787" s="46" t="s">
        <v>83</v>
      </c>
      <c r="E787" s="42" t="s">
        <v>2201</v>
      </c>
      <c r="F787" s="43" t="s">
        <v>1607</v>
      </c>
    </row>
    <row r="788" spans="1:6" ht="17.7" customHeight="1">
      <c r="A788" s="40">
        <v>45744</v>
      </c>
      <c r="B788" s="46" t="s">
        <v>285</v>
      </c>
      <c r="C788" s="46" t="s">
        <v>264</v>
      </c>
      <c r="D788" s="46" t="s">
        <v>83</v>
      </c>
      <c r="E788" s="42" t="s">
        <v>163</v>
      </c>
      <c r="F788" s="43" t="s">
        <v>1608</v>
      </c>
    </row>
    <row r="789" spans="1:6" ht="17.7" customHeight="1">
      <c r="A789" s="40">
        <v>45744</v>
      </c>
      <c r="B789" s="46" t="s">
        <v>285</v>
      </c>
      <c r="C789" s="46" t="s">
        <v>264</v>
      </c>
      <c r="D789" s="46" t="s">
        <v>83</v>
      </c>
      <c r="E789" s="42" t="s">
        <v>2249</v>
      </c>
      <c r="F789" s="43" t="s">
        <v>1609</v>
      </c>
    </row>
    <row r="790" spans="1:6" ht="17.7" customHeight="1">
      <c r="A790" s="40">
        <v>45744</v>
      </c>
      <c r="B790" s="46" t="s">
        <v>285</v>
      </c>
      <c r="C790" s="46" t="s">
        <v>264</v>
      </c>
      <c r="D790" s="46" t="s">
        <v>83</v>
      </c>
      <c r="E790" s="42" t="s">
        <v>173</v>
      </c>
      <c r="F790" s="43" t="s">
        <v>1610</v>
      </c>
    </row>
    <row r="791" spans="1:6" ht="17.7" customHeight="1">
      <c r="A791" s="40">
        <v>45744</v>
      </c>
      <c r="B791" s="46" t="s">
        <v>285</v>
      </c>
      <c r="C791" s="46" t="s">
        <v>287</v>
      </c>
      <c r="D791" s="46" t="s">
        <v>82</v>
      </c>
      <c r="E791" s="42" t="s">
        <v>159</v>
      </c>
      <c r="F791" s="43" t="s">
        <v>2273</v>
      </c>
    </row>
    <row r="792" spans="1:6" ht="17.7" customHeight="1">
      <c r="A792" s="40">
        <v>45744</v>
      </c>
      <c r="B792" s="46" t="s">
        <v>285</v>
      </c>
      <c r="C792" s="46" t="s">
        <v>287</v>
      </c>
      <c r="D792" s="46" t="s">
        <v>82</v>
      </c>
      <c r="E792" s="42" t="s">
        <v>2248</v>
      </c>
      <c r="F792" s="43" t="s">
        <v>2274</v>
      </c>
    </row>
    <row r="793" spans="1:6" ht="17.7" customHeight="1">
      <c r="A793" s="40">
        <v>45744</v>
      </c>
      <c r="B793" s="46" t="s">
        <v>285</v>
      </c>
      <c r="C793" s="46" t="s">
        <v>287</v>
      </c>
      <c r="D793" s="46" t="s">
        <v>82</v>
      </c>
      <c r="E793" s="42" t="s">
        <v>161</v>
      </c>
      <c r="F793" s="43" t="s">
        <v>2275</v>
      </c>
    </row>
    <row r="794" spans="1:6" ht="17.7" customHeight="1">
      <c r="A794" s="40">
        <v>45744</v>
      </c>
      <c r="B794" s="46" t="s">
        <v>285</v>
      </c>
      <c r="C794" s="46" t="s">
        <v>287</v>
      </c>
      <c r="D794" s="46" t="s">
        <v>82</v>
      </c>
      <c r="E794" s="42" t="s">
        <v>161</v>
      </c>
      <c r="F794" s="43" t="s">
        <v>2276</v>
      </c>
    </row>
    <row r="795" spans="1:6" ht="17.7" customHeight="1">
      <c r="A795" s="40">
        <v>45744</v>
      </c>
      <c r="B795" s="46" t="s">
        <v>285</v>
      </c>
      <c r="C795" s="46" t="s">
        <v>287</v>
      </c>
      <c r="D795" s="46" t="s">
        <v>82</v>
      </c>
      <c r="E795" s="42" t="s">
        <v>161</v>
      </c>
      <c r="F795" s="43" t="s">
        <v>2277</v>
      </c>
    </row>
    <row r="796" spans="1:6" ht="17.7" customHeight="1">
      <c r="A796" s="40">
        <v>45744</v>
      </c>
      <c r="B796" s="46" t="s">
        <v>285</v>
      </c>
      <c r="C796" s="46" t="s">
        <v>287</v>
      </c>
      <c r="D796" s="46" t="s">
        <v>82</v>
      </c>
      <c r="E796" s="42" t="s">
        <v>162</v>
      </c>
      <c r="F796" s="43" t="s">
        <v>2278</v>
      </c>
    </row>
    <row r="797" spans="1:6" ht="17.7" customHeight="1">
      <c r="A797" s="40">
        <v>45744</v>
      </c>
      <c r="B797" s="46" t="s">
        <v>285</v>
      </c>
      <c r="C797" s="46" t="s">
        <v>287</v>
      </c>
      <c r="D797" s="46" t="s">
        <v>82</v>
      </c>
      <c r="E797" s="42" t="s">
        <v>164</v>
      </c>
      <c r="F797" s="43" t="s">
        <v>2279</v>
      </c>
    </row>
    <row r="798" spans="1:6" ht="17.7" customHeight="1">
      <c r="A798" s="40">
        <v>45744</v>
      </c>
      <c r="B798" s="46" t="s">
        <v>285</v>
      </c>
      <c r="C798" s="46" t="s">
        <v>287</v>
      </c>
      <c r="D798" s="46" t="s">
        <v>82</v>
      </c>
      <c r="E798" s="42" t="s">
        <v>165</v>
      </c>
      <c r="F798" s="43" t="s">
        <v>2280</v>
      </c>
    </row>
    <row r="799" spans="1:6" ht="17.7" customHeight="1">
      <c r="A799" s="40">
        <v>45744</v>
      </c>
      <c r="B799" s="46" t="s">
        <v>285</v>
      </c>
      <c r="C799" s="46" t="s">
        <v>287</v>
      </c>
      <c r="D799" s="46" t="s">
        <v>82</v>
      </c>
      <c r="E799" s="42" t="s">
        <v>2201</v>
      </c>
      <c r="F799" s="43" t="s">
        <v>2281</v>
      </c>
    </row>
    <row r="800" spans="1:6" ht="17.7" customHeight="1">
      <c r="A800" s="40">
        <v>45744</v>
      </c>
      <c r="B800" s="46" t="s">
        <v>285</v>
      </c>
      <c r="C800" s="46" t="s">
        <v>287</v>
      </c>
      <c r="D800" s="46" t="s">
        <v>82</v>
      </c>
      <c r="E800" s="42" t="s">
        <v>2249</v>
      </c>
      <c r="F800" s="43" t="s">
        <v>2282</v>
      </c>
    </row>
    <row r="801" spans="1:6" ht="17.7" customHeight="1">
      <c r="A801" s="40">
        <v>45744</v>
      </c>
      <c r="B801" s="46" t="s">
        <v>285</v>
      </c>
      <c r="C801" s="46" t="s">
        <v>287</v>
      </c>
      <c r="D801" s="46" t="s">
        <v>82</v>
      </c>
      <c r="E801" s="42" t="s">
        <v>173</v>
      </c>
      <c r="F801" s="43" t="s">
        <v>2283</v>
      </c>
    </row>
    <row r="802" spans="1:6" ht="17.7" customHeight="1">
      <c r="A802" s="40">
        <v>45744</v>
      </c>
      <c r="B802" s="46" t="s">
        <v>237</v>
      </c>
      <c r="C802" s="46" t="s">
        <v>240</v>
      </c>
      <c r="D802" s="46" t="s">
        <v>65</v>
      </c>
      <c r="E802" s="42" t="s">
        <v>159</v>
      </c>
      <c r="F802" s="43" t="s">
        <v>1106</v>
      </c>
    </row>
    <row r="803" spans="1:6" ht="17.7" customHeight="1">
      <c r="A803" s="40">
        <v>45744</v>
      </c>
      <c r="B803" s="46" t="s">
        <v>237</v>
      </c>
      <c r="C803" s="46" t="s">
        <v>240</v>
      </c>
      <c r="D803" s="46" t="s">
        <v>65</v>
      </c>
      <c r="E803" s="42" t="s">
        <v>2248</v>
      </c>
      <c r="F803" s="43" t="s">
        <v>1107</v>
      </c>
    </row>
    <row r="804" spans="1:6" ht="17.7" customHeight="1">
      <c r="A804" s="40">
        <v>45744</v>
      </c>
      <c r="B804" s="46" t="s">
        <v>237</v>
      </c>
      <c r="C804" s="46" t="s">
        <v>240</v>
      </c>
      <c r="D804" s="46" t="s">
        <v>65</v>
      </c>
      <c r="E804" s="42" t="s">
        <v>161</v>
      </c>
      <c r="F804" s="43" t="s">
        <v>1108</v>
      </c>
    </row>
    <row r="805" spans="1:6" ht="17.7" customHeight="1">
      <c r="A805" s="40">
        <v>45744</v>
      </c>
      <c r="B805" s="46" t="s">
        <v>237</v>
      </c>
      <c r="C805" s="46" t="s">
        <v>240</v>
      </c>
      <c r="D805" s="46" t="s">
        <v>65</v>
      </c>
      <c r="E805" s="42" t="s">
        <v>164</v>
      </c>
      <c r="F805" s="43" t="s">
        <v>1109</v>
      </c>
    </row>
    <row r="806" spans="1:6" ht="17.7" customHeight="1">
      <c r="A806" s="40">
        <v>45744</v>
      </c>
      <c r="B806" s="46" t="s">
        <v>237</v>
      </c>
      <c r="C806" s="46" t="s">
        <v>240</v>
      </c>
      <c r="D806" s="46" t="s">
        <v>65</v>
      </c>
      <c r="E806" s="42" t="s">
        <v>165</v>
      </c>
      <c r="F806" s="43" t="s">
        <v>1110</v>
      </c>
    </row>
    <row r="807" spans="1:6" ht="17.7" customHeight="1">
      <c r="A807" s="40">
        <v>45744</v>
      </c>
      <c r="B807" s="46" t="s">
        <v>237</v>
      </c>
      <c r="C807" s="46" t="s">
        <v>240</v>
      </c>
      <c r="D807" s="46" t="s">
        <v>65</v>
      </c>
      <c r="E807" s="42" t="s">
        <v>2201</v>
      </c>
      <c r="F807" s="43" t="s">
        <v>1111</v>
      </c>
    </row>
    <row r="808" spans="1:6" ht="17.7" customHeight="1">
      <c r="A808" s="40">
        <v>45744</v>
      </c>
      <c r="B808" s="46" t="s">
        <v>237</v>
      </c>
      <c r="C808" s="46" t="s">
        <v>240</v>
      </c>
      <c r="D808" s="46" t="s">
        <v>65</v>
      </c>
      <c r="E808" s="42" t="s">
        <v>163</v>
      </c>
      <c r="F808" s="43" t="s">
        <v>1112</v>
      </c>
    </row>
    <row r="809" spans="1:6" ht="17.7" customHeight="1">
      <c r="A809" s="40">
        <v>45744</v>
      </c>
      <c r="B809" s="46" t="s">
        <v>237</v>
      </c>
      <c r="C809" s="46" t="s">
        <v>240</v>
      </c>
      <c r="D809" s="46" t="s">
        <v>65</v>
      </c>
      <c r="E809" s="42" t="s">
        <v>174</v>
      </c>
      <c r="F809" s="43" t="s">
        <v>1113</v>
      </c>
    </row>
    <row r="810" spans="1:6" ht="17.7" customHeight="1">
      <c r="A810" s="40">
        <v>45744</v>
      </c>
      <c r="B810" s="46" t="s">
        <v>326</v>
      </c>
      <c r="C810" s="46" t="s">
        <v>327</v>
      </c>
      <c r="D810" s="46" t="s">
        <v>99</v>
      </c>
      <c r="E810" s="42" t="s">
        <v>159</v>
      </c>
      <c r="F810" s="43" t="s">
        <v>1154</v>
      </c>
    </row>
    <row r="811" spans="1:6" ht="17.7" customHeight="1">
      <c r="A811" s="40">
        <v>45744</v>
      </c>
      <c r="B811" s="46" t="s">
        <v>326</v>
      </c>
      <c r="C811" s="46" t="s">
        <v>327</v>
      </c>
      <c r="D811" s="46" t="s">
        <v>99</v>
      </c>
      <c r="E811" s="42" t="s">
        <v>2248</v>
      </c>
      <c r="F811" s="43" t="s">
        <v>1155</v>
      </c>
    </row>
    <row r="812" spans="1:6" ht="17.7" customHeight="1">
      <c r="A812" s="40">
        <v>45744</v>
      </c>
      <c r="B812" s="46" t="s">
        <v>326</v>
      </c>
      <c r="C812" s="46" t="s">
        <v>327</v>
      </c>
      <c r="D812" s="46" t="s">
        <v>99</v>
      </c>
      <c r="E812" s="42" t="s">
        <v>161</v>
      </c>
      <c r="F812" s="43" t="s">
        <v>1156</v>
      </c>
    </row>
    <row r="813" spans="1:6" ht="17.7" customHeight="1">
      <c r="A813" s="40">
        <v>45744</v>
      </c>
      <c r="B813" s="46" t="s">
        <v>326</v>
      </c>
      <c r="C813" s="46" t="s">
        <v>327</v>
      </c>
      <c r="D813" s="46" t="s">
        <v>99</v>
      </c>
      <c r="E813" s="42" t="s">
        <v>164</v>
      </c>
      <c r="F813" s="43" t="s">
        <v>1157</v>
      </c>
    </row>
    <row r="814" spans="1:6" ht="17.7" customHeight="1">
      <c r="A814" s="40">
        <v>45744</v>
      </c>
      <c r="B814" s="46" t="s">
        <v>326</v>
      </c>
      <c r="C814" s="46" t="s">
        <v>327</v>
      </c>
      <c r="D814" s="46" t="s">
        <v>99</v>
      </c>
      <c r="E814" s="42" t="s">
        <v>165</v>
      </c>
      <c r="F814" s="43" t="s">
        <v>1158</v>
      </c>
    </row>
    <row r="815" spans="1:6" ht="17.7" customHeight="1">
      <c r="A815" s="40">
        <v>45744</v>
      </c>
      <c r="B815" s="46" t="s">
        <v>326</v>
      </c>
      <c r="C815" s="46" t="s">
        <v>327</v>
      </c>
      <c r="D815" s="46" t="s">
        <v>99</v>
      </c>
      <c r="E815" s="42" t="s">
        <v>2201</v>
      </c>
      <c r="F815" s="43" t="s">
        <v>1159</v>
      </c>
    </row>
    <row r="816" spans="1:6" ht="17.7" customHeight="1">
      <c r="A816" s="40">
        <v>45744</v>
      </c>
      <c r="B816" s="46" t="s">
        <v>345</v>
      </c>
      <c r="C816" s="46" t="s">
        <v>355</v>
      </c>
      <c r="D816" s="46" t="s">
        <v>108</v>
      </c>
      <c r="E816" s="42" t="s">
        <v>159</v>
      </c>
      <c r="F816" s="43" t="s">
        <v>2079</v>
      </c>
    </row>
    <row r="817" spans="1:6" ht="17.7" customHeight="1">
      <c r="A817" s="40">
        <v>45744</v>
      </c>
      <c r="B817" s="46" t="s">
        <v>345</v>
      </c>
      <c r="C817" s="46" t="s">
        <v>355</v>
      </c>
      <c r="D817" s="46" t="s">
        <v>108</v>
      </c>
      <c r="E817" s="42" t="s">
        <v>2248</v>
      </c>
      <c r="F817" s="43" t="s">
        <v>2080</v>
      </c>
    </row>
    <row r="818" spans="1:6" ht="17.7" customHeight="1">
      <c r="A818" s="40">
        <v>45744</v>
      </c>
      <c r="B818" s="46" t="s">
        <v>345</v>
      </c>
      <c r="C818" s="46" t="s">
        <v>355</v>
      </c>
      <c r="D818" s="46" t="s">
        <v>108</v>
      </c>
      <c r="E818" s="42" t="s">
        <v>2249</v>
      </c>
      <c r="F818" s="43" t="s">
        <v>2081</v>
      </c>
    </row>
    <row r="819" spans="1:6" ht="17.7" customHeight="1">
      <c r="A819" s="40">
        <v>45744</v>
      </c>
      <c r="B819" s="46" t="s">
        <v>345</v>
      </c>
      <c r="C819" s="46" t="s">
        <v>355</v>
      </c>
      <c r="D819" s="46" t="s">
        <v>108</v>
      </c>
      <c r="E819" s="42" t="s">
        <v>539</v>
      </c>
      <c r="F819" s="43" t="s">
        <v>2082</v>
      </c>
    </row>
    <row r="820" spans="1:6" ht="17.7" customHeight="1">
      <c r="A820" s="40">
        <v>45744</v>
      </c>
      <c r="B820" s="46" t="s">
        <v>345</v>
      </c>
      <c r="C820" s="46" t="s">
        <v>355</v>
      </c>
      <c r="D820" s="46" t="s">
        <v>108</v>
      </c>
      <c r="E820" s="42" t="s">
        <v>173</v>
      </c>
      <c r="F820" s="43" t="s">
        <v>2083</v>
      </c>
    </row>
    <row r="821" spans="1:6" ht="17.7" customHeight="1">
      <c r="A821" s="40">
        <v>45744</v>
      </c>
      <c r="B821" s="46" t="s">
        <v>345</v>
      </c>
      <c r="C821" s="46" t="s">
        <v>355</v>
      </c>
      <c r="D821" s="46" t="s">
        <v>108</v>
      </c>
      <c r="E821" s="42" t="s">
        <v>174</v>
      </c>
      <c r="F821" s="43" t="s">
        <v>2084</v>
      </c>
    </row>
    <row r="822" spans="1:6" ht="17.7" customHeight="1">
      <c r="A822" s="56">
        <v>45744</v>
      </c>
      <c r="B822" s="307" t="s">
        <v>261</v>
      </c>
      <c r="C822" s="42" t="s">
        <v>196</v>
      </c>
      <c r="D822" s="308" t="s">
        <v>72</v>
      </c>
      <c r="E822" s="309" t="s">
        <v>159</v>
      </c>
      <c r="F822" s="310" t="s">
        <v>2284</v>
      </c>
    </row>
    <row r="823" spans="1:6" ht="17.7" customHeight="1">
      <c r="A823" s="56">
        <v>45744</v>
      </c>
      <c r="B823" s="307" t="s">
        <v>27</v>
      </c>
      <c r="C823" s="42" t="s">
        <v>262</v>
      </c>
      <c r="D823" s="308" t="s">
        <v>86</v>
      </c>
      <c r="E823" s="309" t="s">
        <v>159</v>
      </c>
      <c r="F823" s="310" t="s">
        <v>819</v>
      </c>
    </row>
    <row r="824" spans="1:6" ht="17.7" customHeight="1">
      <c r="A824" s="56">
        <v>45744</v>
      </c>
      <c r="B824" s="307" t="s">
        <v>285</v>
      </c>
      <c r="C824" s="42" t="s">
        <v>262</v>
      </c>
      <c r="D824" s="308" t="s">
        <v>81</v>
      </c>
      <c r="E824" s="309" t="s">
        <v>159</v>
      </c>
      <c r="F824" s="310" t="s">
        <v>773</v>
      </c>
    </row>
    <row r="825" spans="1:6" ht="17.7" customHeight="1">
      <c r="A825" s="56">
        <v>45744</v>
      </c>
      <c r="B825" s="307" t="s">
        <v>261</v>
      </c>
      <c r="C825" s="42" t="s">
        <v>262</v>
      </c>
      <c r="D825" s="308" t="s">
        <v>72</v>
      </c>
      <c r="E825" s="309" t="s">
        <v>160</v>
      </c>
      <c r="F825" s="310" t="s">
        <v>2285</v>
      </c>
    </row>
    <row r="826" spans="1:6" ht="17.7" customHeight="1">
      <c r="A826" s="56">
        <v>45744</v>
      </c>
      <c r="B826" s="307" t="s">
        <v>27</v>
      </c>
      <c r="C826" s="42" t="s">
        <v>262</v>
      </c>
      <c r="D826" s="308" t="s">
        <v>86</v>
      </c>
      <c r="E826" s="309" t="s">
        <v>160</v>
      </c>
      <c r="F826" s="310" t="s">
        <v>818</v>
      </c>
    </row>
    <row r="827" spans="1:6" ht="17.7" customHeight="1">
      <c r="A827" s="56">
        <v>45744</v>
      </c>
      <c r="B827" s="307" t="s">
        <v>285</v>
      </c>
      <c r="C827" s="42" t="s">
        <v>262</v>
      </c>
      <c r="D827" s="308" t="s">
        <v>81</v>
      </c>
      <c r="E827" s="309" t="s">
        <v>160</v>
      </c>
      <c r="F827" s="310" t="s">
        <v>774</v>
      </c>
    </row>
  </sheetData>
  <autoFilter ref="A1:F827" xr:uid="{39E7EE4D-3829-4961-881F-036E0EDD9D32}"/>
  <phoneticPr fontId="2" type="noConversion"/>
  <hyperlinks>
    <hyperlink ref="F2" r:id="rId1" xr:uid="{F91467C2-CE3D-45C6-A4FD-628E74F01A8F}"/>
    <hyperlink ref="F3" r:id="rId2" xr:uid="{AC08B0C0-E49C-41A2-AA35-9C8A9CE79C27}"/>
    <hyperlink ref="F4" r:id="rId3" xr:uid="{7DB5BCAB-C437-4AEE-A4F4-B2E8F1427F79}"/>
    <hyperlink ref="F5" r:id="rId4" xr:uid="{B1646A79-046D-4FFD-822C-F348D79FC692}"/>
    <hyperlink ref="F6" r:id="rId5" xr:uid="{B1300ED6-4287-48DD-BFBD-3DADD1C00EC1}"/>
    <hyperlink ref="F7" r:id="rId6" xr:uid="{1795BA81-7586-4A4C-9166-D0D171CE5E35}"/>
    <hyperlink ref="F8" r:id="rId7" xr:uid="{11993BE4-7B8E-460D-AFD3-24840632651F}"/>
    <hyperlink ref="F9" r:id="rId8" xr:uid="{1C509435-9807-4342-81ED-A0BF56FFC53B}"/>
    <hyperlink ref="F10" r:id="rId9" xr:uid="{50210B1C-AA63-47E6-976E-CAF67783FB4E}"/>
    <hyperlink ref="F11" r:id="rId10" xr:uid="{DBB47897-321C-447F-8B14-0150724C3F6C}"/>
    <hyperlink ref="F12" r:id="rId11" xr:uid="{D011D288-BAB5-4F16-B698-9BC4FCF3AD24}"/>
    <hyperlink ref="F13" r:id="rId12" xr:uid="{229058D1-016D-4AD1-BB6F-454F0F35C88A}"/>
    <hyperlink ref="F14" r:id="rId13" xr:uid="{8F47940A-4B93-45B0-99E2-9EB8B5502D35}"/>
    <hyperlink ref="F15" r:id="rId14" xr:uid="{588830CB-45F3-4B88-8BE7-60956C8532B7}"/>
    <hyperlink ref="F16" r:id="rId15" xr:uid="{DDA8356F-78FB-469E-AEEC-84641E8E0CEB}"/>
    <hyperlink ref="F17" r:id="rId16" xr:uid="{AF561C44-8023-4E25-B72A-B9B4E86B22FD}"/>
    <hyperlink ref="F18" r:id="rId17" xr:uid="{7ADD682A-F223-4BCB-BA8B-EB11FB5BBD7F}"/>
    <hyperlink ref="F19" r:id="rId18" xr:uid="{089DAD1A-580A-4B37-9726-ADD2F3E83CA7}"/>
    <hyperlink ref="F20" r:id="rId19" location="bl=Mmpem" display="https://www.fnac.com/Refrigerateur-Congelateur/Par-type/nsh521525/w-4 - bl=Mmpem" xr:uid="{9FD4F3A2-58BC-492D-AB00-9926DDFC8A30}"/>
    <hyperlink ref="F21" r:id="rId20" location="int=S:NonApplicable|Par%20type|501320|NonApplicable|BL2|NonApplicable" display="https://www.fnac.com/Refrigerateur-2-portes/Par-type/nsh501320/w-4 - int=S:NonApplicable|Par%20type|501320|NonApplicable|BL2|NonApplicable" xr:uid="{EE374277-5DA8-40E3-BD6A-7313C4D764DC}"/>
    <hyperlink ref="F22" r:id="rId21" location="bl=ACPar-typeARBO" display="https://www.fnac.com/Refrigerateurs-Americains/Par-type/nsh501321/w-4 - bl=ACPar-typeARBO" xr:uid="{287E436B-4F48-4F42-A053-4A367A20EB5B}"/>
    <hyperlink ref="F23" r:id="rId22" location="int=S:Faites%20votre%20choix%20parmi%20le%20catalogue|Gros%20Electrom%C3%A9nager%20Darty|NonApplicable|NonApplicable|BL1|NonApplicable" display="https://www.fnac.com/LAVAGE/Lave-Linge/sh562189/w-4 - int=S:Faites%20votre%20choix%20parmi%20le%20catalogue|Gros%20Electrom%C3%A9nager%20Darty|NonApplicable|NonApplicable|BL1|NonApplicable" xr:uid="{B08A3B95-9116-4126-907F-316130499E86}"/>
    <hyperlink ref="F24" r:id="rId23" location="bl=ACLave-LingeARBO" display="https://www.fnac.com/Lave-linge-hublot/Par-type/nsh501247/w-4 - bl=ACLave-LingeARBO" xr:uid="{C15B43FC-4183-49AD-B060-9134D74C1B73}"/>
    <hyperlink ref="F25" r:id="rId24" location="bl=ACPar-typeARBO" display="https://www.fnac.com/Lave-linge-top/Par-type/nsh501248/w-4 - bl=ACPar-typeARBO" xr:uid="{5132DE8F-A000-47BF-A98D-410DCF04A6E8}"/>
    <hyperlink ref="F26" r:id="rId25" location="bl=ACPar-typeARBO" display="https://www.fnac.com/Lave-linge-sechant/Par-type/nsh501250/w-4 - bl=ACPar-typeARBO" xr:uid="{B90C5146-B49C-47C7-B119-343CBB660034}"/>
    <hyperlink ref="F27" r:id="rId26" xr:uid="{D10A4AF4-9A57-4220-9C12-8682365AB9D3}"/>
    <hyperlink ref="F28" r:id="rId27" location="bl=AC%C3%89crans-de-PCARBO" display="https://www.fnac.com/Tous-les-ecrans-de-PC/Ecrans-de-PC/nsh55527/w-4 - bl=AC%C3%89crans-de-PCARBO" xr:uid="{2F6FF485-14CD-4493-8EE2-B578C9D8D53B}"/>
    <hyperlink ref="F29" r:id="rId28" location="bl=AC%C3%89crans-de-PCARBO" display="https://www.fnac.com/Ecrans-de-PC-Incurve/Ecrans-de-PC/nsh445840/w-4 - bl=AC%C3%89crans-de-PCARBO" xr:uid="{2B4E193B-6243-4A8E-ABD2-478139866737}"/>
    <hyperlink ref="F30" r:id="rId29" location="bl=AC%C3%89crans-de-PCARBO" display="https://www.fnac.com/Ecrans-de-PC-4K/Ecrans-de-PC/nsh437035/w-4 - bl=AC%C3%89crans-de-PCARBO" xr:uid="{3DDB0E22-AABA-4121-A4CF-01B3C779842B}"/>
    <hyperlink ref="F31" r:id="rId30" xr:uid="{145B130E-42B4-427A-AEBE-1515CBEFEEB8}"/>
    <hyperlink ref="F32" r:id="rId31" xr:uid="{AFC5C3FB-C2FC-4E4E-BBF9-5DC757471727}"/>
    <hyperlink ref="F33" r:id="rId32" xr:uid="{384E23CD-4D28-4969-93E3-DF039D10C772}"/>
    <hyperlink ref="F34" r:id="rId33" location="bl=ACLave-vaisselleARBO" display="https://www.fnac.com/Lave-vaisselle-pose-libre/Par-type/nsh501352/w-4 - bl=ACLave-vaisselleARBO" xr:uid="{2B75C1F6-4D1F-4155-9FEF-B54CD2365C83}"/>
    <hyperlink ref="F35" r:id="rId34" location="bl=ACPar-typeARBO" display="https://www.fnac.com/Lave-vaisselle-45-cm/Par-type/nsh522676/w-4 - bl=ACPar-typeARBO" xr:uid="{636A6F07-C890-4296-926B-11A60BDB1D70}"/>
    <hyperlink ref="F36" r:id="rId35" location="bl=ACLave-vaisselleARBO" display="https://www.fnac.com/Lave-vaisselle-60-cm/Par-type/nsh522677/w-4 - bl=ACLave-vaisselleARBO" xr:uid="{A11D7534-963B-40F0-B7A5-8D7A1262DA67}"/>
    <hyperlink ref="F37" r:id="rId36" location="bl=ACFourARBO" display="https://www.fnac.com/Marques-de-four/Four/nsh565381/w-4 - bl=ACFourARBO" xr:uid="{1F2D743B-55B6-471F-AF8D-B3352B1F5E45}"/>
    <hyperlink ref="F38" r:id="rId37" xr:uid="{9A741D8E-21C0-4B2F-93D9-A7BC391485BC}"/>
    <hyperlink ref="F39" r:id="rId38" xr:uid="{6F5EE18C-CCA1-44D2-A2E6-9CECD1DDE11F}"/>
    <hyperlink ref="F40" r:id="rId39" xr:uid="{F96A1F2A-E3EC-41AA-933E-9DA1837C4404}"/>
    <hyperlink ref="F41" r:id="rId40" xr:uid="{8413E255-C35A-4E2B-822C-977EFD476126}"/>
    <hyperlink ref="F42" r:id="rId41" xr:uid="{779ECD0D-A026-4F69-A698-6F0057AFD317}"/>
    <hyperlink ref="F43" r:id="rId42" xr:uid="{231AA611-E7EE-4D3F-BA54-0FCBB1B303AA}"/>
    <hyperlink ref="F44" r:id="rId43" xr:uid="{42D6C19E-4479-4464-B8AB-0C2A42A50C0F}"/>
    <hyperlink ref="F45" r:id="rId44" xr:uid="{BC16D4ED-C8DE-4EB2-B7AD-111FE8E23207}"/>
    <hyperlink ref="F46" r:id="rId45" xr:uid="{976A279B-6D54-448D-BDF5-2EDF70009FF0}"/>
    <hyperlink ref="F47" r:id="rId46" xr:uid="{963D2540-CE2A-4922-A67F-8F3DE3B0B5C9}"/>
    <hyperlink ref="F48" r:id="rId47" xr:uid="{11AE6FD8-3170-467B-9CB2-F7218CD34FF8}"/>
    <hyperlink ref="F49" r:id="rId48" xr:uid="{7F17390D-3796-439B-8AC6-EEA329C1510D}"/>
    <hyperlink ref="F50" r:id="rId49" xr:uid="{099AE40C-ECA6-4EF6-91F8-85A3306DC9CE}"/>
    <hyperlink ref="F51" r:id="rId50" xr:uid="{3598A066-A10A-4342-86AD-3A4A0D64BA53}"/>
    <hyperlink ref="F52" r:id="rId51" xr:uid="{89B89DB9-0B90-47AA-A3CA-396B0F14DC54}"/>
    <hyperlink ref="F53" r:id="rId52" display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 xr:uid="{C6FB81EB-F14E-4B46-AB8F-0D1075F7908E}"/>
    <hyperlink ref="F54" r:id="rId53" xr:uid="{292BD395-CADD-4940-BA1D-4A1A0B776333}"/>
    <hyperlink ref="F55" r:id="rId54" xr:uid="{54CF373A-B027-4301-8B49-3B2E15E1E31B}"/>
    <hyperlink ref="F56" r:id="rId55" xr:uid="{FEA75C7D-2051-42D6-B9B6-68B9E8FB2F27}"/>
    <hyperlink ref="F57" r:id="rId56" xr:uid="{20096B10-ED83-4946-9BFD-1867FF4C21A4}"/>
    <hyperlink ref="F58" r:id="rId57" xr:uid="{3C52E27C-419E-4C5F-ABC1-71573D4BB63F}"/>
    <hyperlink ref="F59" r:id="rId58" xr:uid="{DB5B6DC4-4134-4FE5-A9EE-A0A235DF6F2A}"/>
    <hyperlink ref="F60" r:id="rId59" xr:uid="{51BFABB4-0E6C-4032-96E1-CF58C07AC980}"/>
    <hyperlink ref="F61" r:id="rId60" xr:uid="{30BB0CB6-4A31-4B5C-ACA0-B5F1967FEB16}"/>
    <hyperlink ref="F62" r:id="rId61" xr:uid="{BBD3CB79-FA0E-4A4C-8EC0-0A6CCF85AFA6}"/>
    <hyperlink ref="F63" r:id="rId62" xr:uid="{B6BF7BC4-FD12-433B-87DA-3F640145B5E0}"/>
    <hyperlink ref="F64" r:id="rId63" xr:uid="{62986356-F0D7-414B-B7F5-FE53FFE2DAA9}"/>
    <hyperlink ref="F65" r:id="rId64" xr:uid="{641E1D27-2C44-4F4A-8C92-79F9C5915536}"/>
    <hyperlink ref="F66" r:id="rId65" xr:uid="{FEE11C1F-B25B-4B81-A7A9-CA6AA12948DC}"/>
    <hyperlink ref="F67" r:id="rId66" xr:uid="{36951D7C-56B9-4290-AB3F-54D934A43AE0}"/>
    <hyperlink ref="F68" r:id="rId67" xr:uid="{0197AAD5-34B4-4F25-AD08-44B65B580355}"/>
    <hyperlink ref="F69" r:id="rId68" xr:uid="{F0E9F50B-48FE-4CE0-9FE2-7F083C256295}"/>
    <hyperlink ref="F70" r:id="rId69" xr:uid="{2EE0470F-E7C6-4C8C-A7C3-14976D530089}"/>
    <hyperlink ref="F71" r:id="rId70" xr:uid="{434B0FA8-88D7-4A5D-9B7B-2A5CF4E72786}"/>
    <hyperlink ref="F72" r:id="rId71" xr:uid="{3A2367DB-67B9-4E7C-A2BE-804823AEA365}"/>
    <hyperlink ref="F73" r:id="rId72" xr:uid="{F2F75E21-5D60-460B-B068-50AABAA17A7D}"/>
    <hyperlink ref="F74" r:id="rId73" xr:uid="{720A7D3B-B12F-46EC-B656-03C994660678}"/>
    <hyperlink ref="F75" r:id="rId74" xr:uid="{153C1AA6-8F35-4283-B8C1-8CF375E78AA9}"/>
    <hyperlink ref="F76" r:id="rId75" xr:uid="{F830C73D-2109-4B80-A5C5-BCA1B2259FCE}"/>
    <hyperlink ref="F77" r:id="rId76" xr:uid="{2641E209-A67D-4F94-A592-4625F0C80E10}"/>
    <hyperlink ref="F78" r:id="rId77" xr:uid="{D04CA839-1BA0-4EBC-98AD-ACF69D78A906}"/>
    <hyperlink ref="F79" r:id="rId78" xr:uid="{BB56C23A-0685-4D28-9B77-7FD71CF969DD}"/>
    <hyperlink ref="F80" r:id="rId79" xr:uid="{3CE31C99-1297-4D60-BD1B-0B2B8CBB09F0}"/>
    <hyperlink ref="F81" r:id="rId80" xr:uid="{6D897843-4981-442D-AD99-22ADA126793F}"/>
    <hyperlink ref="F82" r:id="rId81" xr:uid="{089FF5AD-0C73-44F6-ABCE-2C8A58CFBF01}"/>
    <hyperlink ref="F83" r:id="rId82" xr:uid="{D526DADB-4616-4660-B958-AA09E7FF3054}"/>
    <hyperlink ref="F84" r:id="rId83" xr:uid="{499FAD90-5D62-4448-9F02-818AD0A15C3E}"/>
    <hyperlink ref="F85" r:id="rId84" xr:uid="{AC94169C-0BEC-4608-890E-AC1D7E20BC37}"/>
    <hyperlink ref="F86" r:id="rId85" xr:uid="{494C52B7-EA36-448C-8781-F30E66B83D82}"/>
    <hyperlink ref="F87" r:id="rId86" xr:uid="{24B26F9F-5C9E-4A9E-9E4C-AF14C500E18C}"/>
    <hyperlink ref="F88" r:id="rId87" xr:uid="{02815BD9-1B8D-4F6D-BDE8-C10334A76D1C}"/>
    <hyperlink ref="F89" r:id="rId88" xr:uid="{9C0CAEC1-D999-4201-ADDE-650632BB7DA2}"/>
    <hyperlink ref="F90" r:id="rId89" xr:uid="{5CEB97DD-CDD3-4381-925D-F63EA4B7EDB0}"/>
    <hyperlink ref="F91" r:id="rId90" xr:uid="{1FC45C37-D13C-4BAD-B390-888982D14146}"/>
    <hyperlink ref="F92" r:id="rId91" xr:uid="{FD623025-228C-4A6B-9E17-2EB143CEA398}"/>
    <hyperlink ref="F93" r:id="rId92" xr:uid="{CE5CB102-5529-409B-A168-187D04861931}"/>
    <hyperlink ref="F94" r:id="rId93" xr:uid="{D096EA8D-8E59-4520-9B38-BDE6D390A264}"/>
    <hyperlink ref="F95" r:id="rId94" xr:uid="{0F340528-6E16-4FA5-BAAB-8D0D97B25C81}"/>
    <hyperlink ref="F96" r:id="rId95" xr:uid="{C9324304-B043-42B1-8813-1812013D1008}"/>
    <hyperlink ref="F97" r:id="rId96" xr:uid="{4CF9F7A2-E428-4E95-9BC2-6E005F6075B0}"/>
    <hyperlink ref="F98" r:id="rId97" xr:uid="{8B712016-36D6-493F-8587-7C4792BA609E}"/>
    <hyperlink ref="F99" r:id="rId98" xr:uid="{6CEA6CAF-DC96-4407-BEDC-17CA5D88FA21}"/>
    <hyperlink ref="F100" r:id="rId99" xr:uid="{A86FD082-8610-4712-8DDC-95F2F084F13F}"/>
    <hyperlink ref="F101" r:id="rId100" xr:uid="{5315A9BA-9EF6-49B8-B57E-D3271470A155}"/>
    <hyperlink ref="F102" r:id="rId101" xr:uid="{BF42F884-5B0E-4C03-8E81-6564DB781B35}"/>
    <hyperlink ref="F103" r:id="rId102" xr:uid="{9CF6214B-F7DB-433B-B7FB-1EF264269274}"/>
    <hyperlink ref="F104" r:id="rId103" xr:uid="{3BA0DCFA-D413-438F-9331-EE3A269F53A5}"/>
    <hyperlink ref="F105" r:id="rId104" xr:uid="{E501AC80-BFA9-4258-842F-2DD9E060D1EB}"/>
    <hyperlink ref="F106" r:id="rId105" xr:uid="{2B0095C3-D144-48F9-85A4-80C155EBA55A}"/>
    <hyperlink ref="F107" r:id="rId106" xr:uid="{AF7B3EF5-755F-45A3-96FA-1E6238D0DD48}"/>
    <hyperlink ref="F108" r:id="rId107" xr:uid="{A122AE14-E184-4675-B703-4C8CD6A3345A}"/>
    <hyperlink ref="F109" r:id="rId108" xr:uid="{D96340A6-CF0F-44B4-A6DD-D40EC59A745F}"/>
    <hyperlink ref="F110" r:id="rId109" xr:uid="{D5CFD56D-2A9C-4C74-B019-5EED07E7FBEE}"/>
    <hyperlink ref="F111" r:id="rId110" xr:uid="{251BB932-063C-43FE-AEB7-BCAEEAB6C115}"/>
    <hyperlink ref="F112" r:id="rId111" xr:uid="{14F4C07E-641C-4BA8-A621-B8BAC97800C9}"/>
    <hyperlink ref="F113" r:id="rId112" xr:uid="{66922021-4FB7-422F-AF05-CD6DC5FE433E}"/>
    <hyperlink ref="F114" r:id="rId113" xr:uid="{0D2B8F60-3DFE-4FD1-BA9D-2CBA4235244F}"/>
    <hyperlink ref="F115" r:id="rId114" display="https://www.otto.de/haushalt/kuehlschraenke/" xr:uid="{E2F89903-363F-4690-BA8A-578B4ED2D643}"/>
    <hyperlink ref="F116" r:id="rId115" display="https://www.otto.de/haushalt/waschmaschinen/?ansicht=einstieg" xr:uid="{EC22AC28-EA41-4CC5-B834-7C5261595128}"/>
    <hyperlink ref="F117" r:id="rId116" display="https://www.otto.de/technik/fernseher/" xr:uid="{947D02D2-6692-4320-BFA2-69FCBDA53F42}"/>
    <hyperlink ref="F118" r:id="rId117" xr:uid="{201498B7-7E97-4127-9B3B-147FD1A47A7D}"/>
    <hyperlink ref="F119" r:id="rId118" display="https://www.otto.de/technik/audio/lautsprecher/?uebertragungsart=bluetooth" xr:uid="{C0E5A9CE-1CD0-4237-B6E5-A227BDD64475}"/>
    <hyperlink ref="F120" r:id="rId119" display="https://www.otto.de/technik/audio/soundbar/" xr:uid="{D2EBD2D1-1087-4C56-9794-357E860EEAD3}"/>
    <hyperlink ref="F121" r:id="rId120" display="https://www.otto.de/technik/audio/kopfhoerer/?uebertragungsart=bluetooth" xr:uid="{606876B2-32EA-452F-9F9F-02E15C8659AF}"/>
    <hyperlink ref="F122" r:id="rId121" display="https://www.otto.de/technik/laptop/" xr:uid="{D4A8F129-0969-4755-BEBD-0D7D9984956F}"/>
    <hyperlink ref="F123" r:id="rId122" xr:uid="{564F860C-62E7-4FEA-B920-1D6190B8C340}"/>
    <hyperlink ref="F124" r:id="rId123" xr:uid="{7D3CB71D-C9E9-43FB-AD6C-640BDD41A67C}"/>
    <hyperlink ref="F125" r:id="rId124" xr:uid="{DF81BAF7-13AD-4B9C-A927-4219CCDEA8B1}"/>
    <hyperlink ref="F126" r:id="rId125" xr:uid="{C4E0A506-850B-400B-A15D-64EDF07562C6}"/>
    <hyperlink ref="F127" r:id="rId126" xr:uid="{24030E6F-A674-4B43-9C8A-B8034C382FB4}"/>
    <hyperlink ref="F128" r:id="rId127" xr:uid="{D214E5D7-9BBE-41BE-B288-D1ED2634429E}"/>
    <hyperlink ref="F129" r:id="rId128" xr:uid="{B2E918AC-727B-4054-9C9D-649B5B049BEE}"/>
    <hyperlink ref="F130" r:id="rId129" xr:uid="{2AFBB4C5-E3BA-40A8-9952-120A4E83EC62}"/>
    <hyperlink ref="F131" r:id="rId130" xr:uid="{80F02D17-E008-47C9-9EF2-838A2725E2E8}"/>
    <hyperlink ref="F132" r:id="rId131" xr:uid="{2BBE3890-0175-467F-BE98-962EF33AC815}"/>
    <hyperlink ref="F133" r:id="rId132" xr:uid="{6101CD7B-D106-4DC4-9650-59A9E485EFC9}"/>
    <hyperlink ref="F134" r:id="rId133" xr:uid="{EFFA4139-A829-4480-8F24-F76AA565C4CE}"/>
    <hyperlink ref="F135" r:id="rId134" xr:uid="{0CD1C1A0-9C4C-4A96-99AA-65D39ABE09CF}"/>
    <hyperlink ref="F136" r:id="rId135" xr:uid="{9B0677E1-693D-4CE8-95A3-FF90EC816DC8}"/>
    <hyperlink ref="F137" r:id="rId136" xr:uid="{02690D8A-1F58-40B8-AC4D-CDCE901F0922}"/>
    <hyperlink ref="F138" r:id="rId137" xr:uid="{2B94AF85-A677-44C1-A003-690BC33DE79E}"/>
    <hyperlink ref="F139" r:id="rId138" xr:uid="{36C10EE0-ACF0-4421-844B-5213279A6B11}"/>
    <hyperlink ref="F140" r:id="rId139" xr:uid="{C911D0BC-F9FE-447B-9499-BB5874DC019E}"/>
    <hyperlink ref="F141" r:id="rId140" xr:uid="{15514C46-55C4-4999-8D0B-AA7DBC26A9C9}"/>
    <hyperlink ref="F142" r:id="rId141" xr:uid="{F28ED5A0-CAE1-411C-A12F-45B47D307073}"/>
    <hyperlink ref="F143" r:id="rId142" xr:uid="{D0A20D08-EEBE-4FEA-928C-B905A4641BC2}"/>
    <hyperlink ref="F144" r:id="rId143" xr:uid="{BD319E72-CB23-43AE-A03D-8215611C7104}"/>
    <hyperlink ref="F145" r:id="rId144" xr:uid="{5682F69E-6490-4047-AAF1-8E9EDEBC4905}"/>
    <hyperlink ref="F146" r:id="rId145" xr:uid="{8876ABC0-6A05-4661-B992-641EFDBA5744}"/>
    <hyperlink ref="F147" r:id="rId146" xr:uid="{5D62E75B-AAC7-42F5-AD32-66044245257F}"/>
    <hyperlink ref="F148" r:id="rId147" xr:uid="{FF560B2D-C636-45FB-8D9D-4D9B3B581464}"/>
    <hyperlink ref="F149" r:id="rId148" xr:uid="{D01175CD-B8D9-49E2-8633-44B6B30C215B}"/>
    <hyperlink ref="F150" r:id="rId149" xr:uid="{1ACBCD8A-F44B-4751-A896-F552CD270434}"/>
    <hyperlink ref="F151" r:id="rId150" xr:uid="{2CC7B553-02E1-4339-BFA0-08B5F1204CB6}"/>
    <hyperlink ref="F152" r:id="rId151" xr:uid="{4DF8535E-2238-4CDB-BE2F-DC8B7A2EF90D}"/>
    <hyperlink ref="F153" r:id="rId152" xr:uid="{EDA99165-840D-47F3-A09B-195B7F055458}"/>
    <hyperlink ref="F154" r:id="rId153" xr:uid="{0E699124-9374-4511-8EDB-18672C0FD1AB}"/>
    <hyperlink ref="F155" r:id="rId154" xr:uid="{7327F072-200B-44A1-98E6-626D3DB87BFA}"/>
    <hyperlink ref="F156" r:id="rId155" xr:uid="{6828D2B2-8E9B-4C7B-AFF3-89FF00CA17F4}"/>
    <hyperlink ref="F157" r:id="rId156" xr:uid="{89C9FEAF-07FE-4BC7-855A-67C603FBE79B}"/>
    <hyperlink ref="F158" r:id="rId157" xr:uid="{D7C8A9D2-16B6-4684-9737-39BBCEE47C6A}"/>
    <hyperlink ref="F159" r:id="rId158" xr:uid="{FC951927-35DD-44A7-AEE6-016AB87D823F}"/>
    <hyperlink ref="F160" r:id="rId159" xr:uid="{6883D105-B544-4E84-9346-660CCE8E7779}"/>
    <hyperlink ref="F161" r:id="rId160" location="dartyclic=X_gros-elec_lave-vais" display="https://m.darty.com/m/achat/gros_electromenager/lave-vaisselle/lave_vaisselle/index.html - dartyclic=X_gros-elec_lave-vais" xr:uid="{3D9177C9-6EF5-4E79-A5F7-86F4644DC78E}"/>
    <hyperlink ref="F162" r:id="rId161" xr:uid="{A2974359-E9CA-4807-95D7-560983BBB2AD}"/>
    <hyperlink ref="F163" r:id="rId162" xr:uid="{D64152CC-DF05-4D8C-95AC-348DC82A548A}"/>
    <hyperlink ref="F164" r:id="rId163" xr:uid="{CD85C932-25F9-49D5-9D7A-67DF2D322DDF}"/>
    <hyperlink ref="F165" r:id="rId164" xr:uid="{79923257-D2DC-4B8A-ADDA-501E92714BB0}"/>
    <hyperlink ref="F166" r:id="rId165" xr:uid="{AA71B3A3-6330-4293-A8F9-0DFD4F288D47}"/>
    <hyperlink ref="F167" r:id="rId166" xr:uid="{A0962295-4DF5-44F8-866C-5986625FE2A3}"/>
    <hyperlink ref="F168" r:id="rId167" xr:uid="{9FED0876-2F1F-4797-AAC8-EF1AFEE3A722}"/>
    <hyperlink ref="F169" r:id="rId168" xr:uid="{A66EA206-CD06-4422-ACC3-44275E913BA4}"/>
    <hyperlink ref="F170" r:id="rId169" xr:uid="{18E5711F-92BE-4381-841B-648959FE2387}"/>
    <hyperlink ref="F171" r:id="rId170" xr:uid="{2EE108D0-7155-42B4-8EC8-85D0D0139532}"/>
    <hyperlink ref="F172" r:id="rId171" xr:uid="{3FD3DDAB-3479-43E0-9892-F79FA56287E1}"/>
    <hyperlink ref="F173" r:id="rId172" xr:uid="{402C70AD-C529-4B31-A6E0-4560556C84B5}"/>
    <hyperlink ref="F174" r:id="rId173" xr:uid="{4D94C0EF-5E4F-4B42-8E44-27FE085F8AC9}"/>
    <hyperlink ref="F175" r:id="rId174" xr:uid="{49712AAB-8562-4870-94B9-93757015B642}"/>
    <hyperlink ref="F176" r:id="rId175" xr:uid="{277E966A-5CFD-41C3-ADAB-E93CCD4591E7}"/>
    <hyperlink ref="F177" r:id="rId176" xr:uid="{30D331DC-CC28-43F6-A6D5-EE9096337EC9}"/>
    <hyperlink ref="F178" r:id="rId177" xr:uid="{B75720F0-F2C9-4E79-9EFB-D2BE6308D300}"/>
    <hyperlink ref="F179" r:id="rId178" xr:uid="{04E4CE66-79AE-45D5-B8CF-7067A65E8D71}"/>
    <hyperlink ref="F180" r:id="rId179" xr:uid="{EFFACA62-0F0E-4756-97F8-CCEE3C1C370B}"/>
    <hyperlink ref="F181" r:id="rId180" xr:uid="{E2AE27C5-7AFF-4737-B318-C0C82C70D73D}"/>
    <hyperlink ref="F182" r:id="rId181" xr:uid="{E4BED755-2916-4EAB-AD6B-F1ACD98BBD22}"/>
    <hyperlink ref="F183" r:id="rId182" xr:uid="{CB1CC981-78DC-474E-852B-1A875AF93888}"/>
    <hyperlink ref="F184" r:id="rId183" xr:uid="{71F8BA85-67C1-4DF9-AC86-4E0B8399C272}"/>
    <hyperlink ref="F185" r:id="rId184" xr:uid="{ADA90C8A-17D4-4BF7-9806-8CB32C4B509C}"/>
    <hyperlink ref="F186" r:id="rId185" xr:uid="{48AAA7E1-9F90-43C6-8368-4702F596BBFC}"/>
    <hyperlink ref="F187" r:id="rId186" xr:uid="{4FB72E92-FBA3-4BEE-BC79-123CBCB2BBB4}"/>
    <hyperlink ref="F188" r:id="rId187" xr:uid="{2C5E78D2-F52D-40FF-B59D-49C5BE92FC09}"/>
    <hyperlink ref="F256" r:id="rId188" xr:uid="{21A29C51-57AF-407C-BA2E-17A997159908}"/>
    <hyperlink ref="F462" r:id="rId189" xr:uid="{9259259E-259F-475F-80B7-E63DA0127947}"/>
    <hyperlink ref="F469" r:id="rId190" display="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" xr:uid="{3CF8085B-C436-4A9E-96F7-2BAE752ED02D}"/>
    <hyperlink ref="F503" r:id="rId191" xr:uid="{CE9E10A5-6C46-46A5-A5B8-37E5DA943D13}"/>
    <hyperlink ref="F532" r:id="rId192" xr:uid="{EB852E5B-7164-46A4-94B0-49BDE05E887B}"/>
    <hyperlink ref="F533" r:id="rId193" xr:uid="{699B168C-3349-44B2-8199-8DD6CEEB9F28}"/>
    <hyperlink ref="F534" r:id="rId194" xr:uid="{D395C5A8-F8B8-43AC-95BE-37D9FE5F8DCF}"/>
    <hyperlink ref="F535" r:id="rId195" xr:uid="{C5A17D7B-F5F1-4639-B539-0D9148A5D1D9}"/>
    <hyperlink ref="F536" r:id="rId196" xr:uid="{37639F81-97D5-4BC5-AAC5-F8CE252A8B07}"/>
    <hyperlink ref="F537" r:id="rId197" xr:uid="{E1615AC9-9631-4919-B722-85C449798BBD}"/>
    <hyperlink ref="F538" r:id="rId198" xr:uid="{B90D3194-BAF9-4185-AD78-3D0DCBDC4794}"/>
    <hyperlink ref="F539" r:id="rId199" xr:uid="{1191AAF2-7E23-4AF7-A517-8023FFBA0DAC}"/>
    <hyperlink ref="F540" r:id="rId200" xr:uid="{C1B413A3-7D1F-407C-AD94-C47CC7A50434}"/>
    <hyperlink ref="F541" r:id="rId201" xr:uid="{A3D5CF0C-1FCB-4574-9942-AB1B8C9D891B}"/>
    <hyperlink ref="F542" r:id="rId202" xr:uid="{DABD9059-4914-4EA3-942C-3B8B71B87431}"/>
    <hyperlink ref="F543" r:id="rId203" xr:uid="{869A1548-33D8-4409-8313-6AB70177E6D0}"/>
    <hyperlink ref="F544" r:id="rId204" xr:uid="{F2D30ACF-CA4D-462E-957F-AFBB084A492D}"/>
    <hyperlink ref="F545" r:id="rId205" xr:uid="{B7167F13-1028-4DD5-8958-BB35EB618B1F}"/>
    <hyperlink ref="F546" r:id="rId206" xr:uid="{8281FE5F-23AD-4ECD-BB8A-B53D413C9A35}"/>
    <hyperlink ref="F547" r:id="rId207" xr:uid="{550461F8-F911-4AFD-BA3B-7A1B4D1723D3}"/>
    <hyperlink ref="F552" r:id="rId208" xr:uid="{DFAC0549-CD27-4254-9597-60A2FADB10A3}"/>
    <hyperlink ref="F555" r:id="rId209" xr:uid="{569F72DE-F276-414F-A13B-03F9B498273B}"/>
    <hyperlink ref="F556" r:id="rId210" xr:uid="{217E4DDD-F3BC-4D3C-8089-2D23D74F1748}"/>
    <hyperlink ref="F557" r:id="rId211" xr:uid="{B0109A09-00F5-4870-8D25-99292EA89861}"/>
    <hyperlink ref="F558" r:id="rId212" xr:uid="{D90E85F5-442C-42ED-99E2-F686AA62A09F}"/>
    <hyperlink ref="F559" r:id="rId213" xr:uid="{DC756C83-4548-480C-A95B-BD87884E5FFD}"/>
    <hyperlink ref="F560" r:id="rId214" xr:uid="{7322A358-21F7-4943-8FB4-E7ED39C638F4}"/>
    <hyperlink ref="F561" r:id="rId215" xr:uid="{DC4B8539-1841-4C14-9DB3-7285D28743EF}"/>
    <hyperlink ref="F562" r:id="rId216" xr:uid="{6993373F-5E3A-4CA8-8582-32384EADB4E2}"/>
    <hyperlink ref="F563" r:id="rId217" xr:uid="{8EEFE27F-2F81-45F6-9673-5A9E2E5F4EB5}"/>
    <hyperlink ref="F564" r:id="rId218" xr:uid="{B3DA5039-ED21-46D0-B537-FB824C8D78CF}"/>
    <hyperlink ref="F565" r:id="rId219" xr:uid="{0688839D-3369-4C8E-B45F-B25728FA06A2}"/>
    <hyperlink ref="F566" r:id="rId220" xr:uid="{7D01F390-7491-4C39-880E-FB5A39304091}"/>
    <hyperlink ref="F567" r:id="rId221" xr:uid="{8E717959-D392-44BA-B40E-737A8DCF07E7}"/>
    <hyperlink ref="F568" r:id="rId222" xr:uid="{A4DC2350-F1DC-4B6C-810E-F607AB1C7DF8}"/>
    <hyperlink ref="F569" r:id="rId223" xr:uid="{80DF157E-9F83-4776-A57A-860C08C5CA0C}"/>
    <hyperlink ref="F570" r:id="rId224" xr:uid="{E3AEC0D3-3829-4951-AF6A-A12904F31E3A}"/>
    <hyperlink ref="F571" r:id="rId225" xr:uid="{ADD348A7-C263-4432-9777-B459DA25C548}"/>
    <hyperlink ref="F572" r:id="rId226" xr:uid="{1EFF8387-4728-4DF6-B52A-B4CA6BE69895}"/>
    <hyperlink ref="F573" r:id="rId227" xr:uid="{C1298175-CFCB-4092-AC93-3462CC9EB90F}"/>
    <hyperlink ref="F574" r:id="rId228" xr:uid="{CA906632-6C0D-4A40-B61F-3EA70E6ACBE2}"/>
    <hyperlink ref="F575" r:id="rId229" xr:uid="{E70A5051-4046-4DCC-A601-2819A80E8379}"/>
    <hyperlink ref="F576" r:id="rId230" xr:uid="{16638A11-AD61-413B-B9B8-17741888B8AA}"/>
    <hyperlink ref="F577" r:id="rId231" xr:uid="{8158AD0E-B2CB-4FC1-AB36-F3CAE59558C7}"/>
    <hyperlink ref="F578" r:id="rId232" xr:uid="{0BAD90BF-3A37-4728-994F-D8E78AA55D6D}"/>
    <hyperlink ref="F579" r:id="rId233" xr:uid="{416A6545-402C-46DB-BEC7-87726F8C4918}"/>
    <hyperlink ref="F580" r:id="rId234" xr:uid="{6E7B6212-AF41-4BD2-B0D7-01FADD168EFB}"/>
    <hyperlink ref="F581" r:id="rId235" xr:uid="{29366D4D-0FE5-460E-AAC8-5B440DC2CE5C}"/>
    <hyperlink ref="F582" r:id="rId236" xr:uid="{C0E517E6-C52B-44B6-9DDF-28E0B6EE45D2}"/>
    <hyperlink ref="F583" r:id="rId237" xr:uid="{36F74BFF-0418-4751-BD5A-7D97D2E340DC}"/>
    <hyperlink ref="F584" r:id="rId238" xr:uid="{294B4505-85FB-43D4-B55F-9DDD8E8F37E9}"/>
    <hyperlink ref="F585" r:id="rId239" xr:uid="{B0658322-D90B-4EEE-A0F4-7C2ADD88B959}"/>
    <hyperlink ref="F586" r:id="rId240" xr:uid="{CCFC493B-4DBB-40EE-AD1E-CA0EA8D31CC2}"/>
    <hyperlink ref="F587" r:id="rId241" xr:uid="{63B692C1-2401-421E-B3E4-BED56966B7B4}"/>
    <hyperlink ref="F588" r:id="rId242" xr:uid="{F9F1F029-0D7B-43FA-A604-48AE19E5A4D3}"/>
    <hyperlink ref="F589" r:id="rId243" xr:uid="{90EA12A1-71F6-4CF9-9E31-12841705E7EB}"/>
    <hyperlink ref="F590" r:id="rId244" xr:uid="{4231D19B-4F2C-4CAC-8A6E-5F0B3F08DAC2}"/>
    <hyperlink ref="F591" r:id="rId245" xr:uid="{639CD17F-5A8C-406F-8AB6-12BFA62B7767}"/>
    <hyperlink ref="F592" r:id="rId246" xr:uid="{84C600BE-BB90-4DC1-9046-5306424912A7}"/>
    <hyperlink ref="F593" r:id="rId247" xr:uid="{68A41F0E-B03A-4A1B-8007-9A23E752360C}"/>
    <hyperlink ref="F594" r:id="rId248" xr:uid="{AA59E1D7-D056-440C-96DB-107F024BD7DE}"/>
    <hyperlink ref="F595" r:id="rId249" xr:uid="{580221F2-F8A5-4F99-9D9F-86C6F128E6A6}"/>
    <hyperlink ref="F596" r:id="rId250" xr:uid="{6741E83D-4CC6-4417-A5CA-844E38F63D26}"/>
    <hyperlink ref="F597" r:id="rId251" xr:uid="{4087C94B-3550-4E3E-A48D-36231ABA8DC6}"/>
    <hyperlink ref="F598" r:id="rId252" xr:uid="{DFD3A4FC-416D-4356-97E1-F7249FC4C253}"/>
    <hyperlink ref="F599" r:id="rId253" xr:uid="{B60E4CF5-478C-475B-9AA5-FD0D625BBA18}"/>
    <hyperlink ref="F600" r:id="rId254" xr:uid="{BCB7EBFC-9701-4CA6-9737-3436DA210212}"/>
    <hyperlink ref="F601" r:id="rId255" xr:uid="{3C63EE40-A3D2-4FEB-AABB-4C9E83660695}"/>
    <hyperlink ref="F602" r:id="rId256" xr:uid="{F142DA48-C41D-4598-B7CF-A271DDF713AA}"/>
    <hyperlink ref="F603" r:id="rId257" xr:uid="{856AF802-5240-4DB7-9B11-AB99E48F35F2}"/>
    <hyperlink ref="F604" r:id="rId258" xr:uid="{E4236D8D-70C4-480A-A30F-F8C4C8D4F18D}"/>
    <hyperlink ref="F605" r:id="rId259" xr:uid="{2728DCF8-185F-452A-B3E1-4D06E8FB0BB9}"/>
    <hyperlink ref="F606" r:id="rId260" xr:uid="{185D22B7-1D02-4303-A1AB-059BACEEF6A5}"/>
    <hyperlink ref="F607" r:id="rId261" xr:uid="{F480FD70-A7A6-4C36-856B-C03C995C436B}"/>
    <hyperlink ref="F608" r:id="rId262" xr:uid="{5759BE3B-AB95-42F1-B733-ADF248CDE12E}"/>
    <hyperlink ref="F609" r:id="rId263" xr:uid="{10ED3914-FD3C-4EE3-A529-767B6B1720A1}"/>
    <hyperlink ref="F610" r:id="rId264" xr:uid="{AD23322E-3C16-4F4C-A438-1377D0DE72A9}"/>
    <hyperlink ref="F611" r:id="rId265" xr:uid="{CD662F8E-956D-4045-9EBA-DCB8689AC335}"/>
    <hyperlink ref="F612" r:id="rId266" xr:uid="{F6853F99-FDF7-4A64-916B-926D75784B33}"/>
    <hyperlink ref="F613" r:id="rId267" xr:uid="{DD1222A1-D731-4F8E-8932-3802C7C6CC40}"/>
    <hyperlink ref="F614" r:id="rId268" xr:uid="{E4475D20-B00F-4A9D-B6CF-960FFE63B8A1}"/>
    <hyperlink ref="F615" r:id="rId269" xr:uid="{7D544D00-8DED-4FA9-AD9B-C309FC0594BA}"/>
    <hyperlink ref="F616" r:id="rId270" xr:uid="{07F6E3AA-93D7-481A-AA48-5C81B00E2870}"/>
    <hyperlink ref="F617" r:id="rId271" xr:uid="{F74D4D3F-EC03-431C-8259-798E6FAAA117}"/>
    <hyperlink ref="F618" r:id="rId272" xr:uid="{F9DDBE1E-DE76-472E-B925-6EB6696EEDCA}"/>
    <hyperlink ref="F619" r:id="rId273" xr:uid="{EE8A9B15-C139-41BE-A04B-060ACD77D120}"/>
    <hyperlink ref="F620" r:id="rId274" xr:uid="{C14133FE-F574-43FF-B669-A464BE461952}"/>
    <hyperlink ref="F621" r:id="rId275" xr:uid="{2BD62C56-29C8-49DF-A0C8-E44AB8149E85}"/>
    <hyperlink ref="F622" r:id="rId276" xr:uid="{5B83E4E0-D359-4420-ABB9-7CCD7B2A9766}"/>
    <hyperlink ref="F623" r:id="rId277" xr:uid="{F528329D-EFA4-437A-898D-86DE181A061F}"/>
    <hyperlink ref="F624" r:id="rId278" xr:uid="{E884100F-883A-4D7E-850D-D5BB90D48475}"/>
    <hyperlink ref="F625" r:id="rId279" xr:uid="{DF2633BE-FBC1-4976-8B4C-CB561A4F3FBC}"/>
    <hyperlink ref="F626" r:id="rId280" xr:uid="{B4BF8C4F-2B22-4C66-BE28-157CA0E378C3}"/>
    <hyperlink ref="F627" r:id="rId281" xr:uid="{9BD3E1F4-2093-4CE2-86DF-1F43B5F4541E}"/>
    <hyperlink ref="F628" r:id="rId282" xr:uid="{DB83EEF8-6B78-40A9-89D7-E865A6F2C42C}"/>
    <hyperlink ref="F629" r:id="rId283" xr:uid="{416B7D12-5309-4D67-BC40-EDCFB040AC96}"/>
    <hyperlink ref="F630" r:id="rId284" xr:uid="{F5E54EA5-2371-4BEC-B045-DE9B572B8077}"/>
    <hyperlink ref="F631" r:id="rId285" xr:uid="{0BBA185F-77DB-4BAF-9F4D-95CCDF9A3C73}"/>
    <hyperlink ref="F632" r:id="rId286" xr:uid="{21C2F842-F97F-473F-A05D-E235E1C61C4E}"/>
    <hyperlink ref="F633" r:id="rId287" xr:uid="{8FE17C20-C3E4-4EBB-AAEA-A37178DE82A9}"/>
    <hyperlink ref="F634" r:id="rId288" xr:uid="{9FCD94EF-8490-4B4F-97BB-999070D3E3D8}"/>
    <hyperlink ref="F635" r:id="rId289" xr:uid="{E238BB17-35CD-4F9C-B70F-286F68C76FF8}"/>
    <hyperlink ref="F636" r:id="rId290" xr:uid="{811E9D9B-D661-4891-B7F4-D8CA75EC8421}"/>
    <hyperlink ref="F637" r:id="rId291" xr:uid="{782B256E-D625-4BEC-84D5-5145A07EBC3B}"/>
    <hyperlink ref="F638" r:id="rId292" xr:uid="{118F73DF-AE26-4F21-B366-A41A25F2916B}"/>
    <hyperlink ref="F639" r:id="rId293" xr:uid="{F9CF9B26-F28D-48E7-9255-365BF71D29DC}"/>
    <hyperlink ref="F640" r:id="rId294" xr:uid="{1B354351-0219-4AA5-9DDA-31C475C047D4}"/>
    <hyperlink ref="F641" r:id="rId295" xr:uid="{88D3E632-E4C0-4405-ADF4-8A27EE4637F7}"/>
    <hyperlink ref="F642" r:id="rId296" xr:uid="{EAAF0F0C-A695-458D-9204-6968D5E4567A}"/>
    <hyperlink ref="F643" r:id="rId297" xr:uid="{0F85D66D-2215-425F-83DB-2ADE4FF6E721}"/>
    <hyperlink ref="F644" r:id="rId298" xr:uid="{C958975F-84DA-44B8-BD19-EED0B4153782}"/>
    <hyperlink ref="F645" r:id="rId299" xr:uid="{AACC63D8-07F3-4B62-8983-6B9A5F497785}"/>
    <hyperlink ref="F646" r:id="rId300" xr:uid="{AF6E65DE-2D2C-44E6-803B-A7768E27A112}"/>
    <hyperlink ref="F647" r:id="rId301" xr:uid="{4D4D688D-3304-422B-B536-AE6B111D9CE3}"/>
    <hyperlink ref="F648" r:id="rId302" xr:uid="{ECB7F7B4-059E-440F-84BC-77116D9C0099}"/>
    <hyperlink ref="F649" r:id="rId303" xr:uid="{9A49DD13-33FE-43D1-B1E2-144E897B4A23}"/>
    <hyperlink ref="F650" r:id="rId304" xr:uid="{805A32EA-72D3-40BF-B467-BC0C6B5DFA46}"/>
    <hyperlink ref="F651" r:id="rId305" xr:uid="{72276B62-3141-4D1D-9123-242E7B00C4E3}"/>
    <hyperlink ref="F652" r:id="rId306" xr:uid="{D2461FF8-C042-4AB9-86B1-B732583E980E}"/>
    <hyperlink ref="F653" r:id="rId307" xr:uid="{CBDC8566-849A-43F1-8615-9CB20786305F}"/>
    <hyperlink ref="F654" r:id="rId308" xr:uid="{15F31F7C-801B-4B0E-82F8-69B1C04DD72D}"/>
    <hyperlink ref="F655" r:id="rId309" xr:uid="{4639394D-2108-47FE-AD1A-68B7262C8C74}"/>
    <hyperlink ref="F656" r:id="rId310" xr:uid="{0BEECDF8-ED40-4818-86F0-DDCDD9EB4AA0}"/>
    <hyperlink ref="F657" r:id="rId311" xr:uid="{187DC727-7E1A-4854-A86D-65601230985A}"/>
    <hyperlink ref="F658" r:id="rId312" xr:uid="{D8A015D5-9897-4A62-BDE2-E92D44F25929}"/>
    <hyperlink ref="F659" r:id="rId313" xr:uid="{AAF3A69D-DE4A-4545-811E-D0A34AAE5FE8}"/>
    <hyperlink ref="F660" r:id="rId314" xr:uid="{3ED1EAB3-02B7-464E-BBAB-04B7B6B3808F}"/>
    <hyperlink ref="F661" r:id="rId315" xr:uid="{38A5CCDD-8A1B-43FA-83A7-7F247AF59A4F}"/>
    <hyperlink ref="F662" r:id="rId316" xr:uid="{CEB31D0B-FCDB-40FF-B029-620EF40B7D60}"/>
    <hyperlink ref="F663" r:id="rId317" xr:uid="{857C47F6-D068-4D1B-BCC5-163A74716113}"/>
    <hyperlink ref="F664" r:id="rId318" xr:uid="{E83E1847-39CE-4EC3-85AB-56894DDB9BDC}"/>
    <hyperlink ref="F665" r:id="rId319" xr:uid="{A5F15116-7E06-4DE3-A878-45ADBB8FB9F3}"/>
    <hyperlink ref="F666" r:id="rId320" xr:uid="{06ED1F81-A90F-4800-A4A2-CA90049ED886}"/>
    <hyperlink ref="F667" r:id="rId321" xr:uid="{B8D7C82A-EE69-4EF9-A756-F72DF4F06D00}"/>
    <hyperlink ref="F668" r:id="rId322" xr:uid="{30A1A3CA-EBAC-493B-BA02-DBC5546EAC97}"/>
    <hyperlink ref="F669" r:id="rId323" xr:uid="{29848CF8-DB3B-4F5E-8FCB-4746A871B11A}"/>
    <hyperlink ref="F670" r:id="rId324" xr:uid="{CD0D4CB4-A1DB-41E4-941C-D22817C3E4F7}"/>
    <hyperlink ref="F671" r:id="rId325" xr:uid="{0555682D-AD4C-45E6-B19A-139930CA5A7A}"/>
    <hyperlink ref="F672" r:id="rId326" xr:uid="{738B7F76-899B-420F-909F-CCCFE87C2575}"/>
    <hyperlink ref="F673" r:id="rId327" xr:uid="{25BE9C85-BA24-4970-B8B7-7CA9B370F583}"/>
    <hyperlink ref="F674" r:id="rId328" xr:uid="{7B45BD27-DC12-4FE2-A0A9-FA980CDF9D8C}"/>
    <hyperlink ref="F675" r:id="rId329" xr:uid="{7ED4AF37-D3C7-424E-9B1E-12B9CF00F83F}"/>
    <hyperlink ref="F676" r:id="rId330" xr:uid="{027F6962-AC19-4CA7-96D4-B5447AEE17D2}"/>
    <hyperlink ref="F677" r:id="rId331" xr:uid="{115B71DE-7675-4C4C-BA34-C71398226AE7}"/>
    <hyperlink ref="F678" r:id="rId332" xr:uid="{EB13328C-5DCC-466E-B0AA-6B7D54BC4EDD}"/>
    <hyperlink ref="F679" r:id="rId333" xr:uid="{EEC6CBA4-FFCB-4363-B343-743BA843B5D3}"/>
    <hyperlink ref="F680" r:id="rId334" xr:uid="{42A583B3-7EDF-4A52-8379-E4E599383036}"/>
    <hyperlink ref="F681" r:id="rId335" xr:uid="{C06E89F4-E725-4F52-B9C8-CFEFFC13F44D}"/>
    <hyperlink ref="F682" r:id="rId336" xr:uid="{079B0753-B498-4AB1-9893-34607C54E86B}"/>
    <hyperlink ref="F683" r:id="rId337" xr:uid="{02127A0B-0CE9-4698-8647-907DDD605C9F}"/>
    <hyperlink ref="F684" r:id="rId338" xr:uid="{3752600B-B824-4DDB-B5DE-36A28663A847}"/>
    <hyperlink ref="F685" r:id="rId339" xr:uid="{4491DA43-1C70-4460-9B54-1A6D2EF2A1A2}"/>
    <hyperlink ref="F686" r:id="rId340" xr:uid="{6C2EAFD2-8A76-4BE7-8C41-34CD184F7344}"/>
    <hyperlink ref="F687" r:id="rId341" xr:uid="{3D154A02-F49C-495D-B8A3-C64AE48928F3}"/>
    <hyperlink ref="F688" r:id="rId342" xr:uid="{69D229C3-00AE-46FA-A82A-DA4303CB9700}"/>
    <hyperlink ref="F689" r:id="rId343" xr:uid="{37F0297B-6696-41C0-AED2-71D3C722D745}"/>
    <hyperlink ref="F690" r:id="rId344" xr:uid="{C7A78B9F-554F-4FC4-8EC0-F6A45BBB7B23}"/>
    <hyperlink ref="F691" r:id="rId345" xr:uid="{10450C21-4B6D-49DA-8B8B-72E632D973D1}"/>
    <hyperlink ref="F692" r:id="rId346" xr:uid="{310B3B12-F677-4BA1-BE47-2C1D428CEF44}"/>
    <hyperlink ref="F693" r:id="rId347" xr:uid="{0FF4D3F4-558D-421C-82A1-B7C7F91F8738}"/>
    <hyperlink ref="F694" r:id="rId348" xr:uid="{D548EB8D-64CB-4BDD-AEE9-4BC2DEB547F7}"/>
    <hyperlink ref="F695" r:id="rId349" xr:uid="{08C133BE-6D40-4C78-BC09-522693A75972}"/>
    <hyperlink ref="F696" r:id="rId350" xr:uid="{C08CA705-1417-45EB-BF36-26C0EDB36F67}"/>
    <hyperlink ref="F697" r:id="rId351" xr:uid="{BB630320-27C0-456B-A50C-A65DBEF282A8}"/>
    <hyperlink ref="F698" r:id="rId352" xr:uid="{2CC62D9D-6C09-408C-A70B-2772F634B4B8}"/>
    <hyperlink ref="F699" r:id="rId353" xr:uid="{B5E9ADBD-D989-4818-B9A5-902929CC5651}"/>
    <hyperlink ref="F700" r:id="rId354" xr:uid="{85B2AE2E-839D-4BA2-8ED5-82175C644CCF}"/>
    <hyperlink ref="F701" r:id="rId355" xr:uid="{CF7F36ED-8722-44D4-8605-5FAA4552B6A4}"/>
    <hyperlink ref="F702" r:id="rId356" xr:uid="{E0192DA9-AEFE-43A8-B5EB-672C45047561}"/>
    <hyperlink ref="F703" r:id="rId357" xr:uid="{F6DA3AA0-1432-4BF8-9DB2-9BFA2B835ECE}"/>
    <hyperlink ref="F704" r:id="rId358" xr:uid="{37DE5C36-D0BD-4BD3-BD38-7CEDF9B2EC76}"/>
    <hyperlink ref="F705" r:id="rId359" xr:uid="{5A1EC9D9-BE9B-4F22-BA97-5FF17ED413B7}"/>
    <hyperlink ref="F706" r:id="rId360" xr:uid="{347C31F7-8F5F-46B5-931F-5524B8762FCC}"/>
    <hyperlink ref="F707" r:id="rId361" xr:uid="{15844674-AC1B-469C-ADF1-4D1DDFE60A0D}"/>
    <hyperlink ref="F708" r:id="rId362" xr:uid="{6D815B17-A7AF-46DD-9C64-4936A128CCAA}"/>
    <hyperlink ref="F709" r:id="rId363" xr:uid="{E51E4DAA-5FB1-4F04-AE77-9998D5A3FEC1}"/>
    <hyperlink ref="F710" r:id="rId364" xr:uid="{926F8B00-CC51-4C00-9C03-CFA38A700E69}"/>
    <hyperlink ref="F711" r:id="rId365" xr:uid="{3736D652-E823-4C64-9B13-1EE2339B7612}"/>
    <hyperlink ref="F712" r:id="rId366" xr:uid="{50F00333-2A2D-4C25-9C52-E6DD0C5B8855}"/>
    <hyperlink ref="F713" r:id="rId367" xr:uid="{9709079D-4117-44CF-8459-2B6F44AA4564}"/>
    <hyperlink ref="F714" r:id="rId368" xr:uid="{F48EFA46-1C35-48B2-9429-7DB577B985CC}"/>
    <hyperlink ref="F715" r:id="rId369" xr:uid="{7D7745A1-E3D2-481F-A3BF-8F44507CA57C}"/>
    <hyperlink ref="F716" r:id="rId370" xr:uid="{C529B589-A4E6-4FD5-8DFE-D35539E0120F}"/>
    <hyperlink ref="F717" r:id="rId371" xr:uid="{02478013-6240-4AC9-AC35-34C815A0A1E3}"/>
    <hyperlink ref="F718" r:id="rId372" xr:uid="{65551895-372C-4392-80BA-39E2A0BFC4E8}"/>
    <hyperlink ref="F719" r:id="rId373" xr:uid="{73FAF10F-446A-46C8-8CC6-6BDCC3B6C023}"/>
    <hyperlink ref="F720" r:id="rId374" xr:uid="{6C0A70C7-91A2-4150-8D2A-0A52EE9D85F7}"/>
    <hyperlink ref="F721" r:id="rId375" xr:uid="{B75B5A3F-8CFC-4A04-82EF-4FEB3B0CF2D6}"/>
    <hyperlink ref="F722" r:id="rId376" xr:uid="{9219E777-70B2-4663-B0C6-60ACCF06C50A}"/>
    <hyperlink ref="F723" r:id="rId377" xr:uid="{0B73576D-4390-42EF-A469-E0F41EFBC442}"/>
    <hyperlink ref="F724" r:id="rId378" xr:uid="{F0A6A03A-3CE2-4988-8964-C434624C9B61}"/>
    <hyperlink ref="F725" r:id="rId379" xr:uid="{2CB3C002-3517-4666-9423-E935C91D7A37}"/>
    <hyperlink ref="F726" r:id="rId380" xr:uid="{3A54C3AB-7F4F-4593-8980-E7F356FBDCFB}"/>
    <hyperlink ref="F727" r:id="rId381" xr:uid="{A81D9365-EAFB-4299-8339-B7B6B40F2779}"/>
    <hyperlink ref="F728" r:id="rId382" xr:uid="{7CB33930-D7B4-4BBA-B89A-48E0143C2586}"/>
    <hyperlink ref="F729" r:id="rId383" xr:uid="{D8A729F2-E8F3-40D2-9013-B7C9097CEFCF}"/>
    <hyperlink ref="F730" r:id="rId384" xr:uid="{411CFC82-3DEF-4872-A08D-EFA486A21E51}"/>
    <hyperlink ref="F731" r:id="rId385" xr:uid="{4B878C9A-4D21-49C6-98F4-3D1D362E6B49}"/>
    <hyperlink ref="F732" r:id="rId386" xr:uid="{BB6AA115-F69E-4F07-84E8-947F5FB1A26A}"/>
    <hyperlink ref="F733" r:id="rId387" xr:uid="{391F97E3-8825-4463-A66D-08B81261A25B}"/>
    <hyperlink ref="F734" r:id="rId388" xr:uid="{67526C98-7FED-4E32-82FC-8835C1266030}"/>
    <hyperlink ref="F735" r:id="rId389" xr:uid="{536AE81C-2C83-452B-B74B-A41EFDB18040}"/>
    <hyperlink ref="F736" r:id="rId390" xr:uid="{4F067497-2BA7-4323-8B25-7664F5B4068E}"/>
    <hyperlink ref="F737" r:id="rId391" xr:uid="{F6D70CBB-1DB5-479B-BCFC-1D1C896434E5}"/>
    <hyperlink ref="F738" r:id="rId392" xr:uid="{B464BCA6-0140-45EA-B1D8-B2F55FF55F83}"/>
    <hyperlink ref="F739" r:id="rId393" xr:uid="{B70515B3-911A-4B92-8C09-2143BFA52525}"/>
    <hyperlink ref="F740" r:id="rId394" xr:uid="{D719A388-E2A0-4BE0-8F3E-9D295464D8CE}"/>
    <hyperlink ref="F741" r:id="rId395" xr:uid="{E5109B46-1DB3-40FC-8DDC-358530B5CC15}"/>
    <hyperlink ref="F742" r:id="rId396" xr:uid="{DC1633BF-2BAB-4283-A0A3-1509196484E5}"/>
    <hyperlink ref="F743" r:id="rId397" xr:uid="{3B1A8029-DBA7-4A43-ADBA-A0D6E8085C89}"/>
    <hyperlink ref="F744" r:id="rId398" xr:uid="{1A4C5636-A81A-4012-9A68-EDE2ACE445AA}"/>
    <hyperlink ref="F745" r:id="rId399" xr:uid="{9DC0B9C6-477A-43AC-B6BF-BD0500EFB5F4}"/>
    <hyperlink ref="F746" r:id="rId400" xr:uid="{DF6F9F69-926F-4A5C-A14C-D9294BB05EC9}"/>
    <hyperlink ref="F747" r:id="rId401" xr:uid="{C897A543-4E5F-44B2-8A96-F42E4C98BEA4}"/>
    <hyperlink ref="F748" r:id="rId402" xr:uid="{720EB29E-1536-49AB-98ED-4F1D9856FBE7}"/>
    <hyperlink ref="F749" r:id="rId403" xr:uid="{20529D65-23F0-4CCC-AF17-37374B20E27A}"/>
    <hyperlink ref="F750" r:id="rId404" xr:uid="{8FE606B4-D702-4116-A271-19E7C9131F2A}"/>
    <hyperlink ref="F751" r:id="rId405" xr:uid="{D475178B-5610-46E7-9A48-8A2077A1758F}"/>
    <hyperlink ref="F752" r:id="rId406" xr:uid="{D53A1A28-6DA2-4C45-99DF-C66AA269BAB1}"/>
    <hyperlink ref="F753" r:id="rId407" xr:uid="{48B6EA9C-D4E5-463A-9D08-48E65BD1F53D}"/>
    <hyperlink ref="F754" r:id="rId408" xr:uid="{DAD51A89-D083-442F-9874-1C670F2F2AC3}"/>
    <hyperlink ref="F755" r:id="rId409" xr:uid="{7DA5DE9F-B8E7-443F-A5AB-86B8CAB7E6B9}"/>
    <hyperlink ref="F756" r:id="rId410" xr:uid="{117777E2-D4D4-4776-9B8F-5D24A49A10D8}"/>
    <hyperlink ref="F757" r:id="rId411" xr:uid="{5A015B70-D3CA-4AB8-B2B1-5531DAF4F1F7}"/>
    <hyperlink ref="F758" r:id="rId412" xr:uid="{24D5421F-FE15-4312-AB41-025BC5B804DD}"/>
    <hyperlink ref="F759" r:id="rId413" xr:uid="{AE57D452-F54B-4F5C-8FED-3EE80950DD82}"/>
    <hyperlink ref="F760" r:id="rId414" xr:uid="{66793FE9-C1C8-4153-A1CE-2AEE4531D2EE}"/>
    <hyperlink ref="F761" r:id="rId415" xr:uid="{9555E7F1-B974-427D-9B1F-A346A00B7439}"/>
    <hyperlink ref="F762" r:id="rId416" xr:uid="{8C429E0E-13AE-49B5-8E98-061C9CA46D81}"/>
    <hyperlink ref="F763" r:id="rId417" xr:uid="{BF57B956-4073-4CDF-96A6-412C2FF7FA69}"/>
    <hyperlink ref="F764" r:id="rId418" xr:uid="{13D8F467-636C-4BEB-9311-4F513D539AE0}"/>
    <hyperlink ref="F765" r:id="rId419" xr:uid="{0D1D4E88-C3C7-4AB9-B3FC-3E9CA2296908}"/>
    <hyperlink ref="F766" r:id="rId420" xr:uid="{F6C6BB04-EAFE-4743-A9F2-017567606948}"/>
    <hyperlink ref="F767" r:id="rId421" xr:uid="{8A5475DC-80A2-471E-95BA-3C7FCD3711C2}"/>
    <hyperlink ref="F768" r:id="rId422" xr:uid="{8B26135B-CF81-42FA-9ADC-121A19316993}"/>
    <hyperlink ref="F769" r:id="rId423" xr:uid="{D546F097-65D4-42C6-8B30-2945E7050E56}"/>
    <hyperlink ref="F770" r:id="rId424" xr:uid="{67C490EF-9E5F-42B3-9E9B-36E82F5C823F}"/>
    <hyperlink ref="F771" r:id="rId425" xr:uid="{16BF054D-5954-466C-B0BD-920082B20045}"/>
    <hyperlink ref="F772" r:id="rId426" xr:uid="{E9ACD1BA-6078-401C-9F66-7B6F7BE1CCC9}"/>
    <hyperlink ref="F773" r:id="rId427" xr:uid="{D432C51F-FD57-4605-92A9-5FCA9B3F06E5}"/>
    <hyperlink ref="F774" r:id="rId428" xr:uid="{F2FE8D8F-FE31-4CFA-BD38-35EB350B69A8}"/>
    <hyperlink ref="F775" r:id="rId429" xr:uid="{C435D8C1-453A-4125-A7F0-E701C463B973}"/>
    <hyperlink ref="F776" r:id="rId430" xr:uid="{89E9A463-9E50-435C-91EB-624E6AF10C36}"/>
    <hyperlink ref="F777" r:id="rId431" xr:uid="{6DC44F66-2071-41D0-85A3-24DD7940B78A}"/>
    <hyperlink ref="F778" r:id="rId432" xr:uid="{BA9277E3-3BDC-4DEF-BE66-F99800D70521}"/>
    <hyperlink ref="F779" r:id="rId433" xr:uid="{C30AE5B3-AB5D-4559-A88A-36DAE961CCDE}"/>
    <hyperlink ref="F780" r:id="rId434" xr:uid="{F597F46D-68F9-4CF1-B7CB-0760BEA4DB2A}"/>
    <hyperlink ref="F781" r:id="rId435" xr:uid="{B014BFFE-AC71-4A5D-87F8-CCFF0E036FB4}"/>
    <hyperlink ref="F782" r:id="rId436" xr:uid="{57D47D3A-6E16-4B8A-926F-0F89966439FC}"/>
    <hyperlink ref="F783" r:id="rId437" xr:uid="{9E5717EC-0FE4-421C-8E46-9E143C378714}"/>
    <hyperlink ref="F784" r:id="rId438" xr:uid="{98489B40-DD57-496F-9B7B-EDD23EA0FF46}"/>
    <hyperlink ref="F785" r:id="rId439" xr:uid="{9CBF9A71-9171-4953-AA9E-FCC4EA82D1F1}"/>
    <hyperlink ref="F786" r:id="rId440" xr:uid="{61B2EE6A-982C-4346-9114-2DEB50467A5F}"/>
    <hyperlink ref="F787" r:id="rId441" xr:uid="{32F41445-7B02-4EF2-A572-8CAC35D5B027}"/>
    <hyperlink ref="F788" r:id="rId442" xr:uid="{7E39B4A8-9D2B-4A1F-B2EB-884DC3E5F225}"/>
    <hyperlink ref="F789" r:id="rId443" xr:uid="{1E1A77A9-E18E-44EB-B4C7-31B28912612E}"/>
    <hyperlink ref="F790" r:id="rId444" xr:uid="{630FB189-3C4A-43E8-A19B-020DA36E93C9}"/>
    <hyperlink ref="F791" r:id="rId445" xr:uid="{F0C3B85F-D1BD-481D-85A2-147239F53532}"/>
    <hyperlink ref="F792" r:id="rId446" xr:uid="{0D118B9A-AEF3-4A9F-9C60-2353C2DCB5DF}"/>
    <hyperlink ref="F793" r:id="rId447" xr:uid="{D263A9A3-AED5-40BA-B367-1A33F5C437AA}"/>
    <hyperlink ref="F794" r:id="rId448" xr:uid="{2E52F6FB-0E8F-4F8F-90F7-1FC3D908EFA3}"/>
    <hyperlink ref="F795" r:id="rId449" xr:uid="{D6341124-B6BA-4E64-8A93-2CD84873CFF8}"/>
    <hyperlink ref="F796" r:id="rId450" xr:uid="{330F9940-176F-4ACE-9706-B8A9B1ED55F0}"/>
    <hyperlink ref="F797" r:id="rId451" xr:uid="{2DF015B4-A3D2-482E-8511-33F2726EB532}"/>
    <hyperlink ref="F798" r:id="rId452" xr:uid="{DB6575EC-8C77-4F68-96F3-65B1FACA7D40}"/>
    <hyperlink ref="F799" r:id="rId453" xr:uid="{6F19A897-57C4-40F4-A56A-D268E9DE9298}"/>
    <hyperlink ref="F800" r:id="rId454" xr:uid="{5813A100-BB9F-4EAC-B877-8483D6B54736}"/>
    <hyperlink ref="F801" r:id="rId455" xr:uid="{BDE85A4D-1CE0-4A5E-97FD-3D5B034268C1}"/>
    <hyperlink ref="F802" r:id="rId456" xr:uid="{90E8A4C8-300A-425A-B819-0287532DF0B0}"/>
    <hyperlink ref="F803" r:id="rId457" xr:uid="{3AD6D0D4-27DE-4E90-BC7D-B1AB44A0577C}"/>
    <hyperlink ref="F804" r:id="rId458" xr:uid="{340A511B-9E35-4EEF-B626-6339D13E024A}"/>
    <hyperlink ref="F805" r:id="rId459" xr:uid="{64C1C8A5-65D7-40B4-A715-23F71836DFE2}"/>
    <hyperlink ref="F806" r:id="rId460" xr:uid="{00F2069A-A5BB-4EE9-BAA1-9948277A6FEA}"/>
    <hyperlink ref="F807" r:id="rId461" xr:uid="{E2702377-6C2B-43CB-ADBD-D13169E5D381}"/>
    <hyperlink ref="F808" r:id="rId462" xr:uid="{3C066F05-C414-452D-9B66-85825427A379}"/>
    <hyperlink ref="F809" r:id="rId463" xr:uid="{5A845D02-5C33-463D-906F-7CB5C78646F5}"/>
    <hyperlink ref="F810" r:id="rId464" xr:uid="{1157F6F7-C56E-4EF0-90E4-78287CE1B011}"/>
    <hyperlink ref="F811" r:id="rId465" xr:uid="{67D2ADF9-2DFE-4F89-8064-35E22DDB337E}"/>
    <hyperlink ref="F812" r:id="rId466" xr:uid="{6FC86ADA-E1E4-4ACE-8AA5-0124ED22F6C3}"/>
    <hyperlink ref="F813" r:id="rId467" xr:uid="{D16BF5AE-1252-4FE8-9F09-F5053267CE3F}"/>
    <hyperlink ref="F814" r:id="rId468" xr:uid="{6F7C3E4F-8CCE-4D04-A652-81BD09F571F8}"/>
    <hyperlink ref="F815" r:id="rId469" xr:uid="{A4C1E2C9-5E52-450F-A3FC-203C77034BC0}"/>
    <hyperlink ref="F816" r:id="rId470" xr:uid="{708EA59D-2629-46F6-ACB6-60BCCD6259F6}"/>
    <hyperlink ref="F817" r:id="rId471" xr:uid="{81F121DD-F757-4C54-BDB2-04847A3DB927}"/>
    <hyperlink ref="F818" r:id="rId472" xr:uid="{BA2CDA37-E087-443F-B240-291C9191AB9C}"/>
    <hyperlink ref="F819" r:id="rId473" xr:uid="{BC38D5F3-5203-4A1A-B41E-D302D3BE350A}"/>
    <hyperlink ref="F820" r:id="rId474" xr:uid="{77099E3D-9F51-48FF-8D53-AB11047D8512}"/>
    <hyperlink ref="F821" r:id="rId475" xr:uid="{94C53360-3279-455C-B6AE-AA0860F57000}"/>
    <hyperlink ref="F822" r:id="rId476" display="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" xr:uid="{BF33B4C7-A93E-47E9-9D01-6D2E1B7AA712}"/>
    <hyperlink ref="F823" r:id="rId477" xr:uid="{77F91648-0A9E-48A8-B210-1A9300126F40}"/>
    <hyperlink ref="F824" r:id="rId478" xr:uid="{63EC66C9-B64B-4597-A0B4-AA08D6639E2C}"/>
    <hyperlink ref="F825" r:id="rId479" display="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" xr:uid="{0C6B8BEE-4434-452A-BA76-459FEFF342DD}"/>
    <hyperlink ref="F826" r:id="rId480" xr:uid="{AB91584E-FD5A-414E-B9DF-CF3CF9BFCB51}"/>
    <hyperlink ref="F827" r:id="rId481" xr:uid="{F1E1F7C4-936A-4279-A831-05147917704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104F-2F03-435A-8231-EC7E09B1F7C5}">
  <sheetPr filterMode="1">
    <tabColor rgb="FFFFC000"/>
  </sheetPr>
  <dimension ref="A2:T4195"/>
  <sheetViews>
    <sheetView showGridLines="0" topLeftCell="A4" zoomScaleNormal="100" workbookViewId="0">
      <pane xSplit="1" ySplit="5" topLeftCell="B212" activePane="bottomRight" state="frozen"/>
      <selection pane="topRight" activeCell="B4" sqref="B4"/>
      <selection pane="bottomLeft" activeCell="A9" sqref="A9"/>
      <selection pane="bottomRight" activeCell="E8" sqref="E8:G8"/>
    </sheetView>
  </sheetViews>
  <sheetFormatPr defaultColWidth="8.69921875" defaultRowHeight="13.8"/>
  <cols>
    <col min="1" max="1" width="41.5" style="75" customWidth="1"/>
    <col min="2" max="2" width="9.8984375" style="75" bestFit="1" customWidth="1"/>
    <col min="3" max="3" width="15.19921875" style="75" customWidth="1"/>
    <col min="4" max="4" width="20.09765625" style="75" customWidth="1"/>
    <col min="5" max="5" width="22.09765625" style="75" customWidth="1"/>
    <col min="6" max="6" width="25.59765625" style="75" customWidth="1"/>
    <col min="7" max="7" width="28.69921875" style="75" customWidth="1"/>
    <col min="8" max="8" width="42.59765625" style="75" customWidth="1"/>
    <col min="9" max="9" width="16.09765625" style="75" customWidth="1"/>
    <col min="10" max="10" width="10.8984375" style="79" customWidth="1"/>
    <col min="11" max="11" width="9" style="75" bestFit="1" customWidth="1"/>
    <col min="12" max="12" width="8.8984375" style="75" bestFit="1" customWidth="1"/>
    <col min="13" max="13" width="8.69921875" style="75"/>
    <col min="14" max="14" width="11.19921875" style="75" bestFit="1" customWidth="1"/>
    <col min="15" max="16384" width="8.69921875" style="75"/>
  </cols>
  <sheetData>
    <row r="2" spans="1:15">
      <c r="B2" s="69"/>
      <c r="C2" s="69"/>
      <c r="D2" s="69"/>
      <c r="E2" s="69"/>
      <c r="F2" s="69"/>
      <c r="H2" s="93" t="e">
        <v>#N/A</v>
      </c>
      <c r="I2" s="99">
        <v>46076</v>
      </c>
    </row>
    <row r="3" spans="1:15">
      <c r="B3" s="68" t="s">
        <v>2286</v>
      </c>
      <c r="C3" s="69"/>
      <c r="D3" s="69"/>
      <c r="E3" s="69"/>
      <c r="F3" s="69"/>
      <c r="J3" s="75"/>
    </row>
    <row r="4" spans="1:15">
      <c r="B4" s="76" t="s">
        <v>2287</v>
      </c>
      <c r="C4" s="69"/>
      <c r="D4" s="69"/>
      <c r="E4" s="69"/>
    </row>
    <row r="5" spans="1:15">
      <c r="B5" s="68" t="s">
        <v>2288</v>
      </c>
      <c r="C5" s="69"/>
      <c r="D5" s="69"/>
      <c r="E5" s="69"/>
      <c r="K5" s="81" t="s">
        <v>2289</v>
      </c>
      <c r="L5" s="81"/>
      <c r="M5" s="81"/>
      <c r="N5" s="81"/>
      <c r="O5" s="81"/>
    </row>
    <row r="6" spans="1:15">
      <c r="I6" s="77"/>
      <c r="K6" s="75" t="s">
        <v>2290</v>
      </c>
    </row>
    <row r="7" spans="1:15">
      <c r="C7" s="76"/>
      <c r="I7" s="77"/>
      <c r="K7" s="78" t="s">
        <v>2291</v>
      </c>
      <c r="L7" s="78"/>
      <c r="M7" s="78"/>
    </row>
    <row r="8" spans="1:15">
      <c r="A8" s="78" t="s">
        <v>2292</v>
      </c>
      <c r="B8" s="103" t="s">
        <v>2293</v>
      </c>
      <c r="C8" s="103" t="s">
        <v>2294</v>
      </c>
      <c r="D8" s="103" t="s">
        <v>2295</v>
      </c>
      <c r="E8" s="103" t="s">
        <v>2296</v>
      </c>
      <c r="F8" s="103" t="s">
        <v>2297</v>
      </c>
      <c r="G8" s="103" t="s">
        <v>2298</v>
      </c>
      <c r="H8" s="103" t="s">
        <v>2299</v>
      </c>
      <c r="I8" s="103" t="s">
        <v>2300</v>
      </c>
      <c r="J8" s="103" t="s">
        <v>2301</v>
      </c>
      <c r="K8" s="104" t="s">
        <v>2302</v>
      </c>
      <c r="L8" s="104" t="s">
        <v>2303</v>
      </c>
      <c r="M8" s="104" t="s">
        <v>2304</v>
      </c>
      <c r="N8" s="104" t="s">
        <v>2305</v>
      </c>
      <c r="O8" s="104" t="s">
        <v>2306</v>
      </c>
    </row>
    <row r="9" spans="1:15" ht="17.399999999999999" hidden="1">
      <c r="A9" s="75" t="str">
        <f>C9&amp;D9&amp;E9&amp;F9&amp;G9</f>
        <v>AEAMAZONBluetooth SpeakerPortable Speakerالسماعات</v>
      </c>
      <c r="B9" s="94" t="str">
        <f>C9&amp;"_"&amp;D9</f>
        <v>AE_AMAZON</v>
      </c>
      <c r="C9" s="93" t="s">
        <v>498</v>
      </c>
      <c r="D9" s="93" t="s">
        <v>262</v>
      </c>
      <c r="E9" s="93" t="s">
        <v>2307</v>
      </c>
      <c r="F9" s="93" t="s">
        <v>2308</v>
      </c>
      <c r="G9" s="93" t="s">
        <v>2309</v>
      </c>
      <c r="H9" s="93" t="e">
        <v>#N/A</v>
      </c>
      <c r="I9" s="105" t="s">
        <v>2310</v>
      </c>
      <c r="J9" s="93" t="s">
        <v>189</v>
      </c>
      <c r="K9" s="93">
        <v>1831</v>
      </c>
      <c r="L9" s="93" t="e">
        <v>#N/A</v>
      </c>
      <c r="M9" s="93" t="s">
        <v>2311</v>
      </c>
      <c r="N9" s="93" t="e">
        <f>VLOOKUP(B9,'[16]01.수집 카테고리(List)'!$A$2:$H$64,8,FALSE)</f>
        <v>#N/A</v>
      </c>
      <c r="O9" s="93"/>
    </row>
    <row r="10" spans="1:15" ht="17.399999999999999" hidden="1">
      <c r="A10" s="75" t="str">
        <f t="shared" ref="A10:A73" si="0">C10&amp;D10&amp;E10&amp;F10&amp;G10</f>
        <v>AEAMAZONBluetooth SpeakerPortable bluetooth speakerالسماعات المحمولة</v>
      </c>
      <c r="B10" s="94" t="str">
        <f t="shared" ref="B10:B73" si="1">C10&amp;"_"&amp;D10</f>
        <v>AE_AMAZON</v>
      </c>
      <c r="C10" s="93" t="s">
        <v>498</v>
      </c>
      <c r="D10" s="93" t="s">
        <v>262</v>
      </c>
      <c r="E10" s="93" t="s">
        <v>2307</v>
      </c>
      <c r="F10" s="93" t="s">
        <v>2312</v>
      </c>
      <c r="G10" s="93" t="s">
        <v>2313</v>
      </c>
      <c r="H10" s="93" t="e">
        <v>#N/A</v>
      </c>
      <c r="I10" s="105" t="s">
        <v>2310</v>
      </c>
      <c r="J10" s="93" t="s">
        <v>189</v>
      </c>
      <c r="K10" s="93">
        <v>2769</v>
      </c>
      <c r="L10" s="93" t="e">
        <v>#N/A</v>
      </c>
      <c r="M10" s="93" t="s">
        <v>2311</v>
      </c>
      <c r="N10" s="93" t="e">
        <f>VLOOKUP(B10,'[16]01.수집 카테고리(List)'!$A$2:$H$64,8,FALSE)</f>
        <v>#N/A</v>
      </c>
      <c r="O10" s="93"/>
    </row>
    <row r="11" spans="1:15" ht="17.399999999999999" hidden="1">
      <c r="A11" s="75" t="str">
        <f t="shared" si="0"/>
        <v>AEAMAZONBluetooth SpeakerParty Speakerسماعات الأذن</v>
      </c>
      <c r="B11" s="94" t="str">
        <f t="shared" si="1"/>
        <v>AE_AMAZON</v>
      </c>
      <c r="C11" s="93" t="s">
        <v>498</v>
      </c>
      <c r="D11" s="93" t="s">
        <v>262</v>
      </c>
      <c r="E11" s="93" t="s">
        <v>2307</v>
      </c>
      <c r="F11" s="93" t="s">
        <v>2314</v>
      </c>
      <c r="G11" s="93" t="s">
        <v>2315</v>
      </c>
      <c r="H11" s="93" t="e">
        <v>#N/A</v>
      </c>
      <c r="I11" s="105" t="s">
        <v>2310</v>
      </c>
      <c r="J11" s="93" t="s">
        <v>189</v>
      </c>
      <c r="K11" s="93">
        <v>2201</v>
      </c>
      <c r="L11" s="93" t="e">
        <v>#N/A</v>
      </c>
      <c r="M11" s="93" t="s">
        <v>2311</v>
      </c>
      <c r="N11" s="93" t="e">
        <f>VLOOKUP(B11,'[16]01.수집 카테고리(List)'!$A$2:$H$64,8,FALSE)</f>
        <v>#N/A</v>
      </c>
      <c r="O11" s="93"/>
    </row>
    <row r="12" spans="1:15" ht="17.399999999999999" hidden="1">
      <c r="A12" s="75" t="str">
        <f t="shared" si="0"/>
        <v>AEAMAZONBluetooth SpeakerWireless speakerسماعات بلوتوث</v>
      </c>
      <c r="B12" s="94" t="str">
        <f t="shared" si="1"/>
        <v>AE_AMAZON</v>
      </c>
      <c r="C12" s="93" t="s">
        <v>498</v>
      </c>
      <c r="D12" s="93" t="s">
        <v>262</v>
      </c>
      <c r="E12" s="93" t="s">
        <v>2307</v>
      </c>
      <c r="F12" s="93" t="s">
        <v>2316</v>
      </c>
      <c r="G12" s="93" t="s">
        <v>2317</v>
      </c>
      <c r="H12" s="93" t="e">
        <v>#N/A</v>
      </c>
      <c r="I12" s="105" t="s">
        <v>2310</v>
      </c>
      <c r="J12" s="93" t="s">
        <v>189</v>
      </c>
      <c r="K12" s="93">
        <v>1693</v>
      </c>
      <c r="L12" s="93" t="e">
        <v>#N/A</v>
      </c>
      <c r="M12" s="93" t="s">
        <v>2311</v>
      </c>
      <c r="N12" s="93" t="e">
        <f>VLOOKUP(B12,'[16]01.수집 카테고리(List)'!$A$2:$H$64,8,FALSE)</f>
        <v>#N/A</v>
      </c>
      <c r="O12" s="93"/>
    </row>
    <row r="13" spans="1:15" ht="17.399999999999999" hidden="1">
      <c r="A13" s="75" t="str">
        <f t="shared" si="0"/>
        <v>AEAMAZONBluetooth SpeakerPortable Soundسماعات بلوتوث المحمولة</v>
      </c>
      <c r="B13" s="94" t="str">
        <f t="shared" si="1"/>
        <v>AE_AMAZON</v>
      </c>
      <c r="C13" s="93" t="s">
        <v>498</v>
      </c>
      <c r="D13" s="93" t="s">
        <v>262</v>
      </c>
      <c r="E13" s="93" t="s">
        <v>2307</v>
      </c>
      <c r="F13" s="93" t="s">
        <v>2318</v>
      </c>
      <c r="G13" s="93" t="s">
        <v>2319</v>
      </c>
      <c r="H13" s="93" t="e">
        <v>#N/A</v>
      </c>
      <c r="I13" s="105" t="s">
        <v>2310</v>
      </c>
      <c r="J13" s="93" t="s">
        <v>189</v>
      </c>
      <c r="K13" s="93">
        <v>2006</v>
      </c>
      <c r="L13" s="93" t="e">
        <v>#N/A</v>
      </c>
      <c r="M13" s="93" t="s">
        <v>2311</v>
      </c>
      <c r="N13" s="93" t="e">
        <f>VLOOKUP(B13,'[16]01.수집 카테고리(List)'!$A$2:$H$64,8,FALSE)</f>
        <v>#N/A</v>
      </c>
      <c r="O13" s="93"/>
    </row>
    <row r="14" spans="1:15" hidden="1">
      <c r="A14" s="75" t="str">
        <f t="shared" si="0"/>
        <v>AEAMAZONMonitor4k monitor4k monitor</v>
      </c>
      <c r="B14" s="94" t="str">
        <f t="shared" si="1"/>
        <v>AE_AMAZON</v>
      </c>
      <c r="C14" s="93" t="s">
        <v>498</v>
      </c>
      <c r="D14" s="93" t="s">
        <v>262</v>
      </c>
      <c r="E14" s="93" t="s">
        <v>2320</v>
      </c>
      <c r="F14" s="93" t="s">
        <v>2321</v>
      </c>
      <c r="G14" s="93" t="s">
        <v>2321</v>
      </c>
      <c r="H14" s="93" t="e">
        <v>#N/A</v>
      </c>
      <c r="I14" s="105" t="s">
        <v>2310</v>
      </c>
      <c r="J14" s="93" t="s">
        <v>189</v>
      </c>
      <c r="K14" s="93">
        <v>1773</v>
      </c>
      <c r="L14" s="93">
        <v>1773</v>
      </c>
      <c r="M14" s="93" t="s">
        <v>2311</v>
      </c>
      <c r="N14" s="93" t="e">
        <f>VLOOKUP(B14,'[16]01.수집 카테고리(List)'!$A$2:$H$64,8,FALSE)</f>
        <v>#N/A</v>
      </c>
      <c r="O14" s="93"/>
    </row>
    <row r="15" spans="1:15" hidden="1">
      <c r="A15" s="75" t="str">
        <f t="shared" si="0"/>
        <v>AEAMAZONMonitorgaming monitorgaming monitor</v>
      </c>
      <c r="B15" s="94" t="str">
        <f t="shared" si="1"/>
        <v>AE_AMAZON</v>
      </c>
      <c r="C15" s="93" t="s">
        <v>498</v>
      </c>
      <c r="D15" s="93" t="s">
        <v>262</v>
      </c>
      <c r="E15" s="93" t="s">
        <v>2320</v>
      </c>
      <c r="F15" s="93" t="s">
        <v>2322</v>
      </c>
      <c r="G15" s="93" t="s">
        <v>2322</v>
      </c>
      <c r="H15" s="93" t="e">
        <v>#N/A</v>
      </c>
      <c r="I15" s="105" t="s">
        <v>2310</v>
      </c>
      <c r="J15" s="93" t="s">
        <v>189</v>
      </c>
      <c r="K15" s="93">
        <v>1940</v>
      </c>
      <c r="L15" s="93">
        <v>1940</v>
      </c>
      <c r="M15" s="93" t="s">
        <v>2311</v>
      </c>
      <c r="N15" s="93" t="e">
        <f>VLOOKUP(B15,'[16]01.수집 카테고리(List)'!$A$2:$H$64,8,FALSE)</f>
        <v>#N/A</v>
      </c>
      <c r="O15" s="93"/>
    </row>
    <row r="16" spans="1:15" hidden="1">
      <c r="A16" s="75" t="str">
        <f t="shared" si="0"/>
        <v>AEAMAZONMonitormonitormonitor</v>
      </c>
      <c r="B16" s="94" t="str">
        <f t="shared" si="1"/>
        <v>AE_AMAZON</v>
      </c>
      <c r="C16" s="93" t="s">
        <v>498</v>
      </c>
      <c r="D16" s="93" t="s">
        <v>196</v>
      </c>
      <c r="E16" s="93" t="s">
        <v>2320</v>
      </c>
      <c r="F16" s="93" t="s">
        <v>2323</v>
      </c>
      <c r="G16" s="93" t="s">
        <v>2323</v>
      </c>
      <c r="H16" s="93" t="e">
        <v>#N/A</v>
      </c>
      <c r="I16" s="105" t="s">
        <v>2310</v>
      </c>
      <c r="J16" s="93" t="s">
        <v>189</v>
      </c>
      <c r="K16" s="93">
        <v>1844</v>
      </c>
      <c r="L16" s="93">
        <v>1844</v>
      </c>
      <c r="M16" s="93" t="s">
        <v>2311</v>
      </c>
      <c r="N16" s="93" t="e">
        <f>VLOOKUP(B16,'[16]01.수집 카테고리(List)'!$A$2:$H$64,8,FALSE)</f>
        <v>#N/A</v>
      </c>
      <c r="O16" s="93"/>
    </row>
    <row r="17" spans="1:15" hidden="1">
      <c r="A17" s="75" t="str">
        <f t="shared" si="0"/>
        <v>AEAMAZONMonitoruhd monitoruhd monitor</v>
      </c>
      <c r="B17" s="94" t="str">
        <f t="shared" si="1"/>
        <v>AE_AMAZON</v>
      </c>
      <c r="C17" s="93" t="s">
        <v>498</v>
      </c>
      <c r="D17" s="93" t="s">
        <v>262</v>
      </c>
      <c r="E17" s="93" t="s">
        <v>2320</v>
      </c>
      <c r="F17" s="93" t="s">
        <v>2324</v>
      </c>
      <c r="G17" s="93" t="s">
        <v>2324</v>
      </c>
      <c r="H17" s="93" t="e">
        <v>#N/A</v>
      </c>
      <c r="I17" s="105" t="s">
        <v>2310</v>
      </c>
      <c r="J17" s="93" t="s">
        <v>189</v>
      </c>
      <c r="K17" s="93">
        <v>1930</v>
      </c>
      <c r="L17" s="93">
        <v>1930</v>
      </c>
      <c r="M17" s="93" t="s">
        <v>2311</v>
      </c>
      <c r="N17" s="93" t="e">
        <f>VLOOKUP(B17,'[16]01.수집 카테고리(List)'!$A$2:$H$64,8,FALSE)</f>
        <v>#N/A</v>
      </c>
      <c r="O17" s="93"/>
    </row>
    <row r="18" spans="1:15" hidden="1">
      <c r="A18" s="75" t="str">
        <f t="shared" si="0"/>
        <v>AEAMAZONMonitorultrawide monitorultrawide monitor</v>
      </c>
      <c r="B18" s="94" t="str">
        <f t="shared" si="1"/>
        <v>AE_AMAZON</v>
      </c>
      <c r="C18" s="93" t="s">
        <v>498</v>
      </c>
      <c r="D18" s="93" t="s">
        <v>262</v>
      </c>
      <c r="E18" s="93" t="s">
        <v>2320</v>
      </c>
      <c r="F18" s="93" t="s">
        <v>2325</v>
      </c>
      <c r="G18" s="93" t="s">
        <v>2325</v>
      </c>
      <c r="H18" s="93" t="e">
        <v>#N/A</v>
      </c>
      <c r="I18" s="105" t="s">
        <v>2310</v>
      </c>
      <c r="J18" s="93" t="s">
        <v>189</v>
      </c>
      <c r="K18" s="93">
        <v>1629</v>
      </c>
      <c r="L18" s="93">
        <v>1629</v>
      </c>
      <c r="M18" s="93" t="s">
        <v>2311</v>
      </c>
      <c r="N18" s="93" t="e">
        <f>VLOOKUP(B18,'[16]01.수집 카테고리(List)'!$A$2:$H$64,8,FALSE)</f>
        <v>#N/A</v>
      </c>
      <c r="O18" s="93"/>
    </row>
    <row r="19" spans="1:15" hidden="1">
      <c r="A19" s="75" t="str">
        <f t="shared" si="0"/>
        <v>AEAMAZONRefrigeratorbottom freezer refrigeratorbottom freezer refrigerator</v>
      </c>
      <c r="B19" s="94" t="str">
        <f t="shared" si="1"/>
        <v>AE_AMAZON</v>
      </c>
      <c r="C19" s="93" t="s">
        <v>498</v>
      </c>
      <c r="D19" s="93" t="s">
        <v>262</v>
      </c>
      <c r="E19" s="93" t="s">
        <v>2326</v>
      </c>
      <c r="F19" s="93" t="s">
        <v>2327</v>
      </c>
      <c r="G19" s="93" t="s">
        <v>2327</v>
      </c>
      <c r="H19" s="93" t="e">
        <v>#N/A</v>
      </c>
      <c r="I19" s="105" t="s">
        <v>2310</v>
      </c>
      <c r="J19" s="93" t="s">
        <v>189</v>
      </c>
      <c r="K19" s="93">
        <v>8</v>
      </c>
      <c r="L19" s="93">
        <v>8</v>
      </c>
      <c r="M19" s="93" t="s">
        <v>2311</v>
      </c>
      <c r="N19" s="93" t="e">
        <f>VLOOKUP(B19,'[16]01.수집 카테고리(List)'!$A$2:$H$64,8,FALSE)</f>
        <v>#N/A</v>
      </c>
      <c r="O19" s="93"/>
    </row>
    <row r="20" spans="1:15" hidden="1">
      <c r="A20" s="75" t="str">
        <f t="shared" si="0"/>
        <v>AEAMAZONRefrigeratorfrench door refrigeratorfrench door refrigerator</v>
      </c>
      <c r="B20" s="94" t="str">
        <f t="shared" si="1"/>
        <v>AE_AMAZON</v>
      </c>
      <c r="C20" s="93" t="s">
        <v>498</v>
      </c>
      <c r="D20" s="93" t="s">
        <v>262</v>
      </c>
      <c r="E20" s="93" t="s">
        <v>2326</v>
      </c>
      <c r="F20" s="93" t="s">
        <v>2328</v>
      </c>
      <c r="G20" s="93" t="s">
        <v>2328</v>
      </c>
      <c r="H20" s="93" t="e">
        <v>#N/A</v>
      </c>
      <c r="I20" s="105" t="s">
        <v>2310</v>
      </c>
      <c r="J20" s="93" t="s">
        <v>189</v>
      </c>
      <c r="K20" s="93">
        <v>3</v>
      </c>
      <c r="L20" s="93">
        <v>3</v>
      </c>
      <c r="M20" s="93" t="s">
        <v>2311</v>
      </c>
      <c r="N20" s="93" t="e">
        <f>VLOOKUP(B20,'[16]01.수집 카테고리(List)'!$A$2:$H$64,8,FALSE)</f>
        <v>#N/A</v>
      </c>
      <c r="O20" s="93"/>
    </row>
    <row r="21" spans="1:15" hidden="1">
      <c r="A21" s="75" t="str">
        <f t="shared" si="0"/>
        <v>AEAMAZONRefrigeratorrefrigeratorrefrigerator</v>
      </c>
      <c r="B21" s="94" t="str">
        <f t="shared" si="1"/>
        <v>AE_AMAZON</v>
      </c>
      <c r="C21" s="93" t="s">
        <v>498</v>
      </c>
      <c r="D21" s="93" t="s">
        <v>262</v>
      </c>
      <c r="E21" s="93" t="s">
        <v>2326</v>
      </c>
      <c r="F21" s="93" t="s">
        <v>2329</v>
      </c>
      <c r="G21" s="93" t="s">
        <v>2329</v>
      </c>
      <c r="H21" s="93" t="e">
        <v>#N/A</v>
      </c>
      <c r="I21" s="105" t="s">
        <v>2310</v>
      </c>
      <c r="J21" s="93" t="s">
        <v>189</v>
      </c>
      <c r="K21" s="93">
        <v>4</v>
      </c>
      <c r="L21" s="93">
        <v>4</v>
      </c>
      <c r="M21" s="93" t="s">
        <v>2311</v>
      </c>
      <c r="N21" s="93" t="e">
        <f>VLOOKUP(B21,'[16]01.수집 카테고리(List)'!$A$2:$H$64,8,FALSE)</f>
        <v>#N/A</v>
      </c>
      <c r="O21" s="93"/>
    </row>
    <row r="22" spans="1:15" hidden="1">
      <c r="A22" s="75" t="str">
        <f t="shared" si="0"/>
        <v>AEAMAZONRefrigeratorside by side refrigeratorside by side fridge</v>
      </c>
      <c r="B22" s="94" t="str">
        <f t="shared" si="1"/>
        <v>AE_AMAZON</v>
      </c>
      <c r="C22" s="93" t="s">
        <v>498</v>
      </c>
      <c r="D22" s="93" t="s">
        <v>262</v>
      </c>
      <c r="E22" s="93" t="s">
        <v>2326</v>
      </c>
      <c r="F22" s="93" t="s">
        <v>2330</v>
      </c>
      <c r="G22" s="93" t="s">
        <v>2331</v>
      </c>
      <c r="H22" s="93" t="e">
        <v>#N/A</v>
      </c>
      <c r="I22" s="105" t="s">
        <v>2310</v>
      </c>
      <c r="J22" s="93" t="s">
        <v>189</v>
      </c>
      <c r="K22" s="93">
        <v>6</v>
      </c>
      <c r="L22" s="93" t="e">
        <v>#N/A</v>
      </c>
      <c r="M22" s="93" t="s">
        <v>2311</v>
      </c>
      <c r="N22" s="93" t="e">
        <f>VLOOKUP(B22,'[16]01.수집 카테고리(List)'!$A$2:$H$64,8,FALSE)</f>
        <v>#N/A</v>
      </c>
      <c r="O22" s="93"/>
    </row>
    <row r="23" spans="1:15" hidden="1">
      <c r="A23" s="75" t="str">
        <f t="shared" si="0"/>
        <v>AEAMAZONRefrigeratortop freezer refrigeratortop freezer refrigerator</v>
      </c>
      <c r="B23" s="94" t="str">
        <f t="shared" si="1"/>
        <v>AE_AMAZON</v>
      </c>
      <c r="C23" s="93" t="s">
        <v>498</v>
      </c>
      <c r="D23" s="93" t="s">
        <v>262</v>
      </c>
      <c r="E23" s="93" t="s">
        <v>2326</v>
      </c>
      <c r="F23" s="93" t="s">
        <v>2332</v>
      </c>
      <c r="G23" s="93" t="s">
        <v>2332</v>
      </c>
      <c r="H23" s="93" t="e">
        <v>#N/A</v>
      </c>
      <c r="I23" s="105" t="s">
        <v>2310</v>
      </c>
      <c r="J23" s="93" t="s">
        <v>189</v>
      </c>
      <c r="K23" s="93">
        <v>18</v>
      </c>
      <c r="L23" s="93">
        <v>18</v>
      </c>
      <c r="M23" s="93" t="s">
        <v>2311</v>
      </c>
      <c r="N23" s="93" t="e">
        <f>VLOOKUP(B23,'[16]01.수집 카테고리(List)'!$A$2:$H$64,8,FALSE)</f>
        <v>#N/A</v>
      </c>
      <c r="O23" s="93"/>
    </row>
    <row r="24" spans="1:15" hidden="1">
      <c r="A24" s="75" t="str">
        <f t="shared" si="0"/>
        <v>AEAMAZONWashing Machinefront loaderfront load washer</v>
      </c>
      <c r="B24" s="94" t="str">
        <f t="shared" si="1"/>
        <v>AE_AMAZON</v>
      </c>
      <c r="C24" s="93" t="s">
        <v>498</v>
      </c>
      <c r="D24" s="93" t="s">
        <v>262</v>
      </c>
      <c r="E24" s="93" t="s">
        <v>2333</v>
      </c>
      <c r="F24" s="93" t="s">
        <v>2334</v>
      </c>
      <c r="G24" s="93" t="s">
        <v>2335</v>
      </c>
      <c r="H24" s="93" t="e">
        <v>#N/A</v>
      </c>
      <c r="I24" s="105" t="s">
        <v>2310</v>
      </c>
      <c r="J24" s="93" t="s">
        <v>189</v>
      </c>
      <c r="K24" s="93">
        <v>1</v>
      </c>
      <c r="L24" s="93" t="e">
        <v>#N/A</v>
      </c>
      <c r="M24" s="93" t="s">
        <v>2311</v>
      </c>
      <c r="N24" s="93" t="e">
        <f>VLOOKUP(B24,'[16]01.수집 카테고리(List)'!$A$2:$H$64,8,FALSE)</f>
        <v>#N/A</v>
      </c>
      <c r="O24" s="93"/>
    </row>
    <row r="25" spans="1:15" hidden="1">
      <c r="A25" s="75" t="str">
        <f t="shared" si="0"/>
        <v>AEAMAZONWashing Machinetop loadertop load washer</v>
      </c>
      <c r="B25" s="94" t="str">
        <f t="shared" si="1"/>
        <v>AE_AMAZON</v>
      </c>
      <c r="C25" s="93" t="s">
        <v>498</v>
      </c>
      <c r="D25" s="93" t="s">
        <v>262</v>
      </c>
      <c r="E25" s="93" t="s">
        <v>2333</v>
      </c>
      <c r="F25" s="93" t="s">
        <v>2336</v>
      </c>
      <c r="G25" s="93" t="s">
        <v>2337</v>
      </c>
      <c r="H25" s="93" t="e">
        <v>#N/A</v>
      </c>
      <c r="I25" s="105" t="s">
        <v>2310</v>
      </c>
      <c r="J25" s="93" t="s">
        <v>189</v>
      </c>
      <c r="K25" s="93">
        <v>1</v>
      </c>
      <c r="L25" s="93" t="e">
        <v>#N/A</v>
      </c>
      <c r="M25" s="93" t="s">
        <v>2311</v>
      </c>
      <c r="N25" s="93" t="e">
        <f>VLOOKUP(B25,'[16]01.수집 카테고리(List)'!$A$2:$H$64,8,FALSE)</f>
        <v>#N/A</v>
      </c>
      <c r="O25" s="93"/>
    </row>
    <row r="26" spans="1:15" hidden="1">
      <c r="A26" s="75" t="str">
        <f t="shared" si="0"/>
        <v>AEAMAZONWashing Machinewasher dryer combowasher dryer</v>
      </c>
      <c r="B26" s="94" t="str">
        <f t="shared" si="1"/>
        <v>AE_AMAZON</v>
      </c>
      <c r="C26" s="93" t="s">
        <v>498</v>
      </c>
      <c r="D26" s="93" t="s">
        <v>262</v>
      </c>
      <c r="E26" s="93" t="s">
        <v>2333</v>
      </c>
      <c r="F26" s="93" t="s">
        <v>2338</v>
      </c>
      <c r="G26" s="93" t="s">
        <v>2339</v>
      </c>
      <c r="H26" s="93" t="e">
        <v>#N/A</v>
      </c>
      <c r="I26" s="105" t="s">
        <v>2310</v>
      </c>
      <c r="J26" s="93" t="s">
        <v>189</v>
      </c>
      <c r="K26" s="93">
        <v>32</v>
      </c>
      <c r="L26" s="93" t="e">
        <v>#N/A</v>
      </c>
      <c r="M26" s="93" t="s">
        <v>2311</v>
      </c>
      <c r="N26" s="93" t="e">
        <f>VLOOKUP(B26,'[16]01.수집 카테고리(List)'!$A$2:$H$64,8,FALSE)</f>
        <v>#N/A</v>
      </c>
      <c r="O26" s="93"/>
    </row>
    <row r="27" spans="1:15" hidden="1">
      <c r="A27" s="75" t="str">
        <f t="shared" si="0"/>
        <v>AEAMAZONWashing Machinewashing machinewashing machine</v>
      </c>
      <c r="B27" s="94" t="str">
        <f t="shared" si="1"/>
        <v>AE_AMAZON</v>
      </c>
      <c r="C27" s="93" t="s">
        <v>498</v>
      </c>
      <c r="D27" s="93" t="s">
        <v>262</v>
      </c>
      <c r="E27" s="93" t="s">
        <v>2333</v>
      </c>
      <c r="F27" s="93" t="s">
        <v>2340</v>
      </c>
      <c r="G27" s="93" t="s">
        <v>2340</v>
      </c>
      <c r="H27" s="93" t="e">
        <v>#N/A</v>
      </c>
      <c r="I27" s="105" t="s">
        <v>2310</v>
      </c>
      <c r="J27" s="93" t="s">
        <v>189</v>
      </c>
      <c r="K27" s="93">
        <v>4</v>
      </c>
      <c r="L27" s="93">
        <v>4</v>
      </c>
      <c r="M27" s="93" t="s">
        <v>2311</v>
      </c>
      <c r="N27" s="93" t="e">
        <f>VLOOKUP(B27,'[16]01.수집 카테고리(List)'!$A$2:$H$64,8,FALSE)</f>
        <v>#N/A</v>
      </c>
      <c r="O27" s="93"/>
    </row>
    <row r="28" spans="1:15" hidden="1">
      <c r="A28" s="75" t="str">
        <f t="shared" si="0"/>
        <v>AELULUAir cleanerAir CleanerAir Cleaner</v>
      </c>
      <c r="B28" s="94" t="str">
        <f t="shared" si="1"/>
        <v>AE_LULU</v>
      </c>
      <c r="C28" s="93" t="s">
        <v>498</v>
      </c>
      <c r="D28" s="93" t="s">
        <v>500</v>
      </c>
      <c r="E28" s="93" t="s">
        <v>2341</v>
      </c>
      <c r="F28" s="93" t="s">
        <v>2342</v>
      </c>
      <c r="G28" s="93" t="s">
        <v>2342</v>
      </c>
      <c r="H28" s="93" t="e">
        <v>#N/A</v>
      </c>
      <c r="I28" s="105" t="s">
        <v>2310</v>
      </c>
      <c r="J28" s="93" t="s">
        <v>189</v>
      </c>
      <c r="K28" s="93">
        <v>525</v>
      </c>
      <c r="L28" s="93">
        <v>525</v>
      </c>
      <c r="M28" s="93" t="s">
        <v>2311</v>
      </c>
      <c r="N28" s="93" t="e">
        <f>VLOOKUP(B28,'[16]01.수집 카테고리(List)'!$A$2:$H$64,8,FALSE)</f>
        <v>#N/A</v>
      </c>
      <c r="O28" s="93"/>
    </row>
    <row r="29" spans="1:15" hidden="1">
      <c r="A29" s="75" t="str">
        <f t="shared" si="0"/>
        <v>AELULUAir cleanerAir PurifierAir Purifier</v>
      </c>
      <c r="B29" s="94" t="str">
        <f t="shared" si="1"/>
        <v>AE_LULU</v>
      </c>
      <c r="C29" s="93" t="s">
        <v>498</v>
      </c>
      <c r="D29" s="93" t="s">
        <v>500</v>
      </c>
      <c r="E29" s="93" t="s">
        <v>2341</v>
      </c>
      <c r="F29" s="93" t="s">
        <v>2343</v>
      </c>
      <c r="G29" s="93" t="s">
        <v>2343</v>
      </c>
      <c r="H29" s="93" t="e">
        <v>#N/A</v>
      </c>
      <c r="I29" s="105" t="s">
        <v>2310</v>
      </c>
      <c r="J29" s="93" t="s">
        <v>189</v>
      </c>
      <c r="K29" s="93">
        <v>173</v>
      </c>
      <c r="L29" s="93">
        <v>173</v>
      </c>
      <c r="M29" s="93" t="s">
        <v>2311</v>
      </c>
      <c r="N29" s="93" t="e">
        <f>VLOOKUP(B29,'[16]01.수집 카테고리(List)'!$A$2:$H$64,8,FALSE)</f>
        <v>#N/A</v>
      </c>
      <c r="O29" s="93"/>
    </row>
    <row r="30" spans="1:15" hidden="1">
      <c r="A30" s="75" t="str">
        <f t="shared" si="0"/>
        <v>AELULUAir cleanerAir TreatmentAir Treatment</v>
      </c>
      <c r="B30" s="94" t="str">
        <f t="shared" si="1"/>
        <v>AE_LULU</v>
      </c>
      <c r="C30" s="93" t="s">
        <v>498</v>
      </c>
      <c r="D30" s="93" t="s">
        <v>500</v>
      </c>
      <c r="E30" s="93" t="s">
        <v>2344</v>
      </c>
      <c r="F30" s="93" t="s">
        <v>2345</v>
      </c>
      <c r="G30" s="93" t="s">
        <v>2345</v>
      </c>
      <c r="H30" s="93" t="e">
        <v>#N/A</v>
      </c>
      <c r="I30" s="105" t="s">
        <v>2310</v>
      </c>
      <c r="J30" s="93" t="s">
        <v>189</v>
      </c>
      <c r="K30" s="93">
        <v>200</v>
      </c>
      <c r="L30" s="93">
        <v>200</v>
      </c>
      <c r="M30" s="93" t="s">
        <v>2311</v>
      </c>
      <c r="N30" s="93" t="e">
        <f>VLOOKUP(B30,'[16]01.수집 카테고리(List)'!$A$2:$H$64,8,FALSE)</f>
        <v>#N/A</v>
      </c>
      <c r="O30" s="93"/>
    </row>
    <row r="31" spans="1:15" hidden="1">
      <c r="A31" s="75" t="str">
        <f t="shared" si="0"/>
        <v>AELULUAir Conditionerair conditionerair conditioner</v>
      </c>
      <c r="B31" s="94" t="str">
        <f t="shared" si="1"/>
        <v>AE_LULU</v>
      </c>
      <c r="C31" s="93" t="s">
        <v>498</v>
      </c>
      <c r="D31" s="93" t="s">
        <v>500</v>
      </c>
      <c r="E31" s="93" t="s">
        <v>2346</v>
      </c>
      <c r="F31" s="93" t="s">
        <v>2347</v>
      </c>
      <c r="G31" s="93" t="s">
        <v>2347</v>
      </c>
      <c r="H31" s="93" t="e">
        <v>#N/A</v>
      </c>
      <c r="I31" s="105" t="s">
        <v>2310</v>
      </c>
      <c r="J31" s="93" t="s">
        <v>189</v>
      </c>
      <c r="K31" s="93">
        <v>293</v>
      </c>
      <c r="L31" s="93">
        <v>293</v>
      </c>
      <c r="M31" s="93" t="s">
        <v>2311</v>
      </c>
      <c r="N31" s="93" t="e">
        <f>VLOOKUP(B31,'[16]01.수집 카테고리(List)'!$A$2:$H$64,8,FALSE)</f>
        <v>#N/A</v>
      </c>
      <c r="O31" s="93"/>
    </row>
    <row r="32" spans="1:15" hidden="1">
      <c r="A32" s="75" t="str">
        <f t="shared" si="0"/>
        <v>AELULUAir Conditionerinverter air conditionerinverter air conditioner</v>
      </c>
      <c r="B32" s="94" t="str">
        <f t="shared" si="1"/>
        <v>AE_LULU</v>
      </c>
      <c r="C32" s="93" t="s">
        <v>498</v>
      </c>
      <c r="D32" s="93" t="s">
        <v>500</v>
      </c>
      <c r="E32" s="93" t="s">
        <v>2346</v>
      </c>
      <c r="F32" s="93" t="s">
        <v>2348</v>
      </c>
      <c r="G32" s="93" t="s">
        <v>2348</v>
      </c>
      <c r="H32" s="93" t="e">
        <v>#N/A</v>
      </c>
      <c r="I32" s="105" t="s">
        <v>2310</v>
      </c>
      <c r="J32" s="93" t="s">
        <v>189</v>
      </c>
      <c r="K32" s="93">
        <v>309</v>
      </c>
      <c r="L32" s="93">
        <v>309</v>
      </c>
      <c r="M32" s="93" t="s">
        <v>2311</v>
      </c>
      <c r="N32" s="93" t="e">
        <f>VLOOKUP(B32,'[16]01.수집 카테고리(List)'!$A$2:$H$64,8,FALSE)</f>
        <v>#N/A</v>
      </c>
      <c r="O32" s="93"/>
    </row>
    <row r="33" spans="1:15" hidden="1">
      <c r="A33" s="75" t="str">
        <f t="shared" si="0"/>
        <v>AELULUAir Conditionerportable air conditionerportable air conditioner</v>
      </c>
      <c r="B33" s="94" t="str">
        <f t="shared" si="1"/>
        <v>AE_LULU</v>
      </c>
      <c r="C33" s="93" t="s">
        <v>498</v>
      </c>
      <c r="D33" s="93" t="s">
        <v>500</v>
      </c>
      <c r="E33" s="93" t="s">
        <v>2346</v>
      </c>
      <c r="F33" s="93" t="s">
        <v>2349</v>
      </c>
      <c r="G33" s="93" t="s">
        <v>2349</v>
      </c>
      <c r="H33" s="93" t="e">
        <v>#N/A</v>
      </c>
      <c r="I33" s="105" t="s">
        <v>2310</v>
      </c>
      <c r="J33" s="93" t="s">
        <v>189</v>
      </c>
      <c r="K33" s="93">
        <v>464</v>
      </c>
      <c r="L33" s="93">
        <v>464</v>
      </c>
      <c r="M33" s="93" t="s">
        <v>2311</v>
      </c>
      <c r="N33" s="93" t="e">
        <f>VLOOKUP(B33,'[16]01.수집 카테고리(List)'!$A$2:$H$64,8,FALSE)</f>
        <v>#N/A</v>
      </c>
      <c r="O33" s="93"/>
    </row>
    <row r="34" spans="1:15" hidden="1">
      <c r="A34" s="75" t="str">
        <f t="shared" si="0"/>
        <v>AELULUAir Conditionerwindow air conditionerwindow air conditioner</v>
      </c>
      <c r="B34" s="94" t="str">
        <f t="shared" si="1"/>
        <v>AE_LULU</v>
      </c>
      <c r="C34" s="93" t="s">
        <v>498</v>
      </c>
      <c r="D34" s="93" t="s">
        <v>500</v>
      </c>
      <c r="E34" s="93" t="s">
        <v>2346</v>
      </c>
      <c r="F34" s="93" t="s">
        <v>2350</v>
      </c>
      <c r="G34" s="93" t="s">
        <v>2350</v>
      </c>
      <c r="H34" s="93" t="e">
        <v>#N/A</v>
      </c>
      <c r="I34" s="105" t="s">
        <v>2310</v>
      </c>
      <c r="J34" s="93" t="s">
        <v>189</v>
      </c>
      <c r="K34" s="93">
        <v>397</v>
      </c>
      <c r="L34" s="93">
        <v>397</v>
      </c>
      <c r="M34" s="93" t="s">
        <v>2311</v>
      </c>
      <c r="N34" s="93" t="e">
        <f>VLOOKUP(B34,'[16]01.수집 카테고리(List)'!$A$2:$H$64,8,FALSE)</f>
        <v>#N/A</v>
      </c>
      <c r="O34" s="93"/>
    </row>
    <row r="35" spans="1:15" ht="17.399999999999999" hidden="1">
      <c r="A35" s="75" t="str">
        <f t="shared" si="0"/>
        <v>AELULUBluetooth SpeakerPortable Speakerالسماعات</v>
      </c>
      <c r="B35" s="94" t="str">
        <f t="shared" si="1"/>
        <v>AE_LULU</v>
      </c>
      <c r="C35" s="93" t="s">
        <v>498</v>
      </c>
      <c r="D35" s="93" t="s">
        <v>500</v>
      </c>
      <c r="E35" s="93" t="s">
        <v>2307</v>
      </c>
      <c r="F35" s="93" t="s">
        <v>2308</v>
      </c>
      <c r="G35" s="93" t="s">
        <v>2309</v>
      </c>
      <c r="H35" s="93" t="e">
        <v>#N/A</v>
      </c>
      <c r="I35" s="105" t="s">
        <v>2310</v>
      </c>
      <c r="J35" s="93" t="s">
        <v>189</v>
      </c>
      <c r="K35" s="93" t="e">
        <v>#N/A</v>
      </c>
      <c r="L35" s="93">
        <v>254</v>
      </c>
      <c r="M35" s="93" t="s">
        <v>2351</v>
      </c>
      <c r="N35" s="93" t="e">
        <f>VLOOKUP(B35,'[16]01.수집 카테고리(List)'!$A$2:$H$64,8,FALSE)</f>
        <v>#N/A</v>
      </c>
      <c r="O35" s="93"/>
    </row>
    <row r="36" spans="1:15" ht="17.399999999999999" hidden="1">
      <c r="A36" s="75" t="str">
        <f t="shared" si="0"/>
        <v>AELULUBluetooth SpeakerPortable bluetooth speakerالسماعات المحمولة</v>
      </c>
      <c r="B36" s="94" t="str">
        <f t="shared" si="1"/>
        <v>AE_LULU</v>
      </c>
      <c r="C36" s="93" t="s">
        <v>498</v>
      </c>
      <c r="D36" s="93" t="s">
        <v>500</v>
      </c>
      <c r="E36" s="93" t="s">
        <v>2307</v>
      </c>
      <c r="F36" s="93" t="s">
        <v>2312</v>
      </c>
      <c r="G36" s="93" t="s">
        <v>2313</v>
      </c>
      <c r="H36" s="93" t="e">
        <v>#N/A</v>
      </c>
      <c r="I36" s="105" t="s">
        <v>2310</v>
      </c>
      <c r="J36" s="93" t="s">
        <v>189</v>
      </c>
      <c r="K36" s="93" t="e">
        <v>#N/A</v>
      </c>
      <c r="L36" s="93">
        <v>1092</v>
      </c>
      <c r="M36" s="93" t="s">
        <v>2351</v>
      </c>
      <c r="N36" s="93" t="e">
        <f>VLOOKUP(B36,'[16]01.수집 카테고리(List)'!$A$2:$H$64,8,FALSE)</f>
        <v>#N/A</v>
      </c>
      <c r="O36" s="93"/>
    </row>
    <row r="37" spans="1:15" ht="17.399999999999999" hidden="1">
      <c r="A37" s="75" t="str">
        <f t="shared" si="0"/>
        <v>AELULUBluetooth SpeakerParty Speakerسماعات الأذن</v>
      </c>
      <c r="B37" s="94" t="str">
        <f t="shared" si="1"/>
        <v>AE_LULU</v>
      </c>
      <c r="C37" s="93" t="s">
        <v>498</v>
      </c>
      <c r="D37" s="93" t="s">
        <v>500</v>
      </c>
      <c r="E37" s="93" t="s">
        <v>2307</v>
      </c>
      <c r="F37" s="93" t="s">
        <v>2314</v>
      </c>
      <c r="G37" s="93" t="s">
        <v>2315</v>
      </c>
      <c r="H37" s="93" t="e">
        <v>#N/A</v>
      </c>
      <c r="I37" s="105" t="s">
        <v>2310</v>
      </c>
      <c r="J37" s="93" t="s">
        <v>189</v>
      </c>
      <c r="K37" s="93" t="e">
        <v>#N/A</v>
      </c>
      <c r="L37" s="93">
        <v>523</v>
      </c>
      <c r="M37" s="93" t="s">
        <v>2351</v>
      </c>
      <c r="N37" s="93" t="e">
        <f>VLOOKUP(B37,'[16]01.수집 카테고리(List)'!$A$2:$H$64,8,FALSE)</f>
        <v>#N/A</v>
      </c>
      <c r="O37" s="93"/>
    </row>
    <row r="38" spans="1:15" ht="17.399999999999999" hidden="1">
      <c r="A38" s="75" t="str">
        <f t="shared" si="0"/>
        <v>AELULUBluetooth SpeakerWireless speakerسماعات بلوتوث</v>
      </c>
      <c r="B38" s="94" t="str">
        <f t="shared" si="1"/>
        <v>AE_LULU</v>
      </c>
      <c r="C38" s="93" t="s">
        <v>498</v>
      </c>
      <c r="D38" s="93" t="s">
        <v>500</v>
      </c>
      <c r="E38" s="93" t="s">
        <v>2307</v>
      </c>
      <c r="F38" s="93" t="s">
        <v>2316</v>
      </c>
      <c r="G38" s="93" t="s">
        <v>2317</v>
      </c>
      <c r="H38" s="93" t="e">
        <v>#N/A</v>
      </c>
      <c r="I38" s="105" t="s">
        <v>2310</v>
      </c>
      <c r="J38" s="93" t="s">
        <v>189</v>
      </c>
      <c r="K38" s="93" t="e">
        <v>#N/A</v>
      </c>
      <c r="L38" s="93">
        <v>618</v>
      </c>
      <c r="M38" s="93" t="s">
        <v>2351</v>
      </c>
      <c r="N38" s="93" t="e">
        <f>VLOOKUP(B38,'[16]01.수집 카테고리(List)'!$A$2:$H$64,8,FALSE)</f>
        <v>#N/A</v>
      </c>
      <c r="O38" s="93"/>
    </row>
    <row r="39" spans="1:15" ht="17.399999999999999" hidden="1">
      <c r="A39" s="75" t="str">
        <f t="shared" si="0"/>
        <v>AELULUBluetooth SpeakerPortable Soundسماعات بلوتوث المحمولة</v>
      </c>
      <c r="B39" s="94" t="str">
        <f t="shared" si="1"/>
        <v>AE_LULU</v>
      </c>
      <c r="C39" s="93" t="s">
        <v>498</v>
      </c>
      <c r="D39" s="93" t="s">
        <v>500</v>
      </c>
      <c r="E39" s="93" t="s">
        <v>2307</v>
      </c>
      <c r="F39" s="93" t="s">
        <v>2318</v>
      </c>
      <c r="G39" s="93" t="s">
        <v>2319</v>
      </c>
      <c r="H39" s="93" t="e">
        <v>#N/A</v>
      </c>
      <c r="I39" s="105" t="s">
        <v>2310</v>
      </c>
      <c r="J39" s="93" t="s">
        <v>189</v>
      </c>
      <c r="K39" s="93" t="e">
        <v>#N/A</v>
      </c>
      <c r="L39" s="93">
        <v>602</v>
      </c>
      <c r="M39" s="93" t="s">
        <v>2351</v>
      </c>
      <c r="N39" s="93" t="e">
        <f>VLOOKUP(B39,'[16]01.수집 카테고리(List)'!$A$2:$H$64,8,FALSE)</f>
        <v>#N/A</v>
      </c>
      <c r="O39" s="93"/>
    </row>
    <row r="40" spans="1:15" ht="17.399999999999999" hidden="1">
      <c r="A40" s="75" t="str">
        <f t="shared" si="0"/>
        <v>AELULUDISHWASHERFreestanding Dishwasherغسالة أطباق قائمة بذاتها</v>
      </c>
      <c r="B40" s="94" t="str">
        <f t="shared" si="1"/>
        <v>AE_LULU</v>
      </c>
      <c r="C40" s="93" t="s">
        <v>498</v>
      </c>
      <c r="D40" s="93" t="s">
        <v>500</v>
      </c>
      <c r="E40" s="93" t="s">
        <v>169</v>
      </c>
      <c r="F40" s="93" t="s">
        <v>2352</v>
      </c>
      <c r="G40" s="93" t="s">
        <v>2353</v>
      </c>
      <c r="H40" s="93" t="e">
        <v>#N/A</v>
      </c>
      <c r="I40" s="105" t="s">
        <v>2310</v>
      </c>
      <c r="J40" s="93" t="s">
        <v>189</v>
      </c>
      <c r="K40" s="93" t="e">
        <v>#N/A</v>
      </c>
      <c r="L40" s="93">
        <v>1561</v>
      </c>
      <c r="M40" s="93" t="s">
        <v>2351</v>
      </c>
      <c r="N40" s="93" t="e">
        <f>VLOOKUP(B40,'[16]01.수집 카테고리(List)'!$A$2:$H$64,8,FALSE)</f>
        <v>#N/A</v>
      </c>
      <c r="O40" s="93"/>
    </row>
    <row r="41" spans="1:15" ht="17.399999999999999" hidden="1">
      <c r="A41" s="75" t="str">
        <f t="shared" si="0"/>
        <v>AELULUDISHWASHERdishwasherغسالة الأواني</v>
      </c>
      <c r="B41" s="94" t="str">
        <f t="shared" si="1"/>
        <v>AE_LULU</v>
      </c>
      <c r="C41" s="93" t="s">
        <v>498</v>
      </c>
      <c r="D41" s="93" t="s">
        <v>500</v>
      </c>
      <c r="E41" s="93" t="s">
        <v>169</v>
      </c>
      <c r="F41" s="93" t="s">
        <v>2354</v>
      </c>
      <c r="G41" s="93" t="s">
        <v>2355</v>
      </c>
      <c r="H41" s="93" t="e">
        <v>#N/A</v>
      </c>
      <c r="I41" s="105" t="s">
        <v>2310</v>
      </c>
      <c r="J41" s="93" t="s">
        <v>189</v>
      </c>
      <c r="K41" s="93" t="e">
        <v>#N/A</v>
      </c>
      <c r="L41" s="93">
        <v>5980</v>
      </c>
      <c r="M41" s="93" t="s">
        <v>2351</v>
      </c>
      <c r="N41" s="93" t="e">
        <f>VLOOKUP(B41,'[16]01.수집 카테고리(List)'!$A$2:$H$64,8,FALSE)</f>
        <v>#N/A</v>
      </c>
      <c r="O41" s="93"/>
    </row>
    <row r="42" spans="1:15" ht="17.399999999999999" hidden="1">
      <c r="A42" s="75" t="str">
        <f t="shared" si="0"/>
        <v>AELULUDISHWASHERBuilt in Dish washerغسالة صحون مدمجة</v>
      </c>
      <c r="B42" s="94" t="str">
        <f t="shared" si="1"/>
        <v>AE_LULU</v>
      </c>
      <c r="C42" s="93" t="s">
        <v>498</v>
      </c>
      <c r="D42" s="93" t="s">
        <v>500</v>
      </c>
      <c r="E42" s="93" t="s">
        <v>169</v>
      </c>
      <c r="F42" s="93" t="s">
        <v>2356</v>
      </c>
      <c r="G42" s="93" t="s">
        <v>2357</v>
      </c>
      <c r="H42" s="93" t="e">
        <v>#N/A</v>
      </c>
      <c r="I42" s="105" t="s">
        <v>2310</v>
      </c>
      <c r="J42" s="93" t="s">
        <v>189</v>
      </c>
      <c r="K42" s="93" t="e">
        <v>#N/A</v>
      </c>
      <c r="L42" s="93">
        <v>7807</v>
      </c>
      <c r="M42" s="93" t="s">
        <v>2351</v>
      </c>
      <c r="N42" s="93" t="e">
        <f>VLOOKUP(B42,'[16]01.수집 카테고리(List)'!$A$2:$H$64,8,FALSE)</f>
        <v>#N/A</v>
      </c>
      <c r="O42" s="93"/>
    </row>
    <row r="43" spans="1:15" hidden="1">
      <c r="A43" s="75" t="str">
        <f t="shared" si="0"/>
        <v>AELULURefrigeratorbottom freezer refrigeratorbottom freezer refrigerator</v>
      </c>
      <c r="B43" s="94" t="str">
        <f t="shared" si="1"/>
        <v>AE_LULU</v>
      </c>
      <c r="C43" s="93" t="s">
        <v>498</v>
      </c>
      <c r="D43" s="93" t="s">
        <v>500</v>
      </c>
      <c r="E43" s="93" t="s">
        <v>2326</v>
      </c>
      <c r="F43" s="93" t="s">
        <v>2327</v>
      </c>
      <c r="G43" s="93" t="s">
        <v>2327</v>
      </c>
      <c r="H43" s="93" t="e">
        <v>#N/A</v>
      </c>
      <c r="I43" s="105" t="s">
        <v>2310</v>
      </c>
      <c r="J43" s="93" t="s">
        <v>189</v>
      </c>
      <c r="K43" s="93">
        <v>344</v>
      </c>
      <c r="L43" s="93">
        <v>344</v>
      </c>
      <c r="M43" s="93" t="s">
        <v>2311</v>
      </c>
      <c r="N43" s="93" t="e">
        <f>VLOOKUP(B43,'[16]01.수집 카테고리(List)'!$A$2:$H$64,8,FALSE)</f>
        <v>#N/A</v>
      </c>
      <c r="O43" s="93"/>
    </row>
    <row r="44" spans="1:15" hidden="1">
      <c r="A44" s="75" t="str">
        <f t="shared" si="0"/>
        <v>AELULURefrigeratorfrench door refrigeratorfrench door refrigerator</v>
      </c>
      <c r="B44" s="94" t="str">
        <f t="shared" si="1"/>
        <v>AE_LULU</v>
      </c>
      <c r="C44" s="93" t="s">
        <v>498</v>
      </c>
      <c r="D44" s="93" t="s">
        <v>500</v>
      </c>
      <c r="E44" s="93" t="s">
        <v>2326</v>
      </c>
      <c r="F44" s="93" t="s">
        <v>2328</v>
      </c>
      <c r="G44" s="93" t="s">
        <v>2328</v>
      </c>
      <c r="H44" s="93" t="e">
        <v>#N/A</v>
      </c>
      <c r="I44" s="105" t="s">
        <v>2310</v>
      </c>
      <c r="J44" s="93" t="s">
        <v>189</v>
      </c>
      <c r="K44" s="93">
        <v>857</v>
      </c>
      <c r="L44" s="93">
        <v>857</v>
      </c>
      <c r="M44" s="93" t="s">
        <v>2311</v>
      </c>
      <c r="N44" s="93" t="e">
        <f>VLOOKUP(B44,'[16]01.수집 카테고리(List)'!$A$2:$H$64,8,FALSE)</f>
        <v>#N/A</v>
      </c>
      <c r="O44" s="93"/>
    </row>
    <row r="45" spans="1:15" hidden="1">
      <c r="A45" s="75" t="str">
        <f t="shared" si="0"/>
        <v>AELULURefrigeratorrefrigeratorrefrigerator</v>
      </c>
      <c r="B45" s="94" t="str">
        <f t="shared" si="1"/>
        <v>AE_LULU</v>
      </c>
      <c r="C45" s="93" t="s">
        <v>498</v>
      </c>
      <c r="D45" s="93" t="s">
        <v>500</v>
      </c>
      <c r="E45" s="93" t="s">
        <v>2326</v>
      </c>
      <c r="F45" s="93" t="s">
        <v>2329</v>
      </c>
      <c r="G45" s="93" t="s">
        <v>2329</v>
      </c>
      <c r="H45" s="93" t="e">
        <v>#N/A</v>
      </c>
      <c r="I45" s="105" t="s">
        <v>2310</v>
      </c>
      <c r="J45" s="93" t="s">
        <v>189</v>
      </c>
      <c r="K45" s="93">
        <v>54</v>
      </c>
      <c r="L45" s="93">
        <v>54</v>
      </c>
      <c r="M45" s="93" t="s">
        <v>2311</v>
      </c>
      <c r="N45" s="93" t="e">
        <f>VLOOKUP(B45,'[16]01.수집 카테고리(List)'!$A$2:$H$64,8,FALSE)</f>
        <v>#N/A</v>
      </c>
      <c r="O45" s="93"/>
    </row>
    <row r="46" spans="1:15" hidden="1">
      <c r="A46" s="75" t="str">
        <f t="shared" si="0"/>
        <v>AELULURefrigeratorside by side refrigeratorside by side fridge</v>
      </c>
      <c r="B46" s="94" t="str">
        <f t="shared" si="1"/>
        <v>AE_LULU</v>
      </c>
      <c r="C46" s="93" t="s">
        <v>498</v>
      </c>
      <c r="D46" s="93" t="s">
        <v>500</v>
      </c>
      <c r="E46" s="93" t="s">
        <v>2326</v>
      </c>
      <c r="F46" s="93" t="s">
        <v>2330</v>
      </c>
      <c r="G46" s="93" t="s">
        <v>2331</v>
      </c>
      <c r="H46" s="93" t="e">
        <v>#N/A</v>
      </c>
      <c r="I46" s="105" t="s">
        <v>2310</v>
      </c>
      <c r="J46" s="93" t="s">
        <v>189</v>
      </c>
      <c r="K46" s="93">
        <v>848</v>
      </c>
      <c r="L46" s="93" t="e">
        <v>#N/A</v>
      </c>
      <c r="M46" s="93" t="s">
        <v>2311</v>
      </c>
      <c r="N46" s="93" t="e">
        <f>VLOOKUP(B46,'[16]01.수집 카테고리(List)'!$A$2:$H$64,8,FALSE)</f>
        <v>#N/A</v>
      </c>
      <c r="O46" s="93"/>
    </row>
    <row r="47" spans="1:15" hidden="1">
      <c r="A47" s="75" t="str">
        <f t="shared" si="0"/>
        <v>AELULURefrigeratortop freezer refrigeratortop freezer refrigerator</v>
      </c>
      <c r="B47" s="94" t="str">
        <f t="shared" si="1"/>
        <v>AE_LULU</v>
      </c>
      <c r="C47" s="93" t="s">
        <v>498</v>
      </c>
      <c r="D47" s="93" t="s">
        <v>500</v>
      </c>
      <c r="E47" s="93" t="s">
        <v>2326</v>
      </c>
      <c r="F47" s="93" t="s">
        <v>2332</v>
      </c>
      <c r="G47" s="93" t="s">
        <v>2358</v>
      </c>
      <c r="H47" s="93" t="e">
        <v>#N/A</v>
      </c>
      <c r="I47" s="105" t="s">
        <v>2310</v>
      </c>
      <c r="J47" s="93" t="s">
        <v>189</v>
      </c>
      <c r="K47" s="93">
        <v>236</v>
      </c>
      <c r="L47" s="93">
        <v>236</v>
      </c>
      <c r="M47" s="93" t="s">
        <v>2311</v>
      </c>
      <c r="N47" s="93" t="e">
        <f>VLOOKUP(B47,'[16]01.수집 카테고리(List)'!$A$2:$H$64,8,FALSE)</f>
        <v>#N/A</v>
      </c>
      <c r="O47" s="93"/>
    </row>
    <row r="48" spans="1:15" ht="17.399999999999999" hidden="1">
      <c r="A48" s="75" t="str">
        <f t="shared" si="0"/>
        <v>AELULUSOUNDBARSound systemالسماعة</v>
      </c>
      <c r="B48" s="94" t="str">
        <f t="shared" si="1"/>
        <v>AE_LULU</v>
      </c>
      <c r="C48" s="93" t="s">
        <v>498</v>
      </c>
      <c r="D48" s="93" t="s">
        <v>500</v>
      </c>
      <c r="E48" s="93" t="s">
        <v>165</v>
      </c>
      <c r="F48" s="93" t="s">
        <v>2359</v>
      </c>
      <c r="G48" s="93" t="s">
        <v>2360</v>
      </c>
      <c r="H48" s="93" t="e">
        <v>#N/A</v>
      </c>
      <c r="I48" s="105" t="s">
        <v>2310</v>
      </c>
      <c r="J48" s="93" t="s">
        <v>189</v>
      </c>
      <c r="K48" s="93" t="e">
        <v>#N/A</v>
      </c>
      <c r="L48" s="93">
        <v>618</v>
      </c>
      <c r="M48" s="93" t="s">
        <v>2351</v>
      </c>
      <c r="N48" s="93" t="e">
        <f>VLOOKUP(B48,'[16]01.수집 카테고리(List)'!$A$2:$H$64,8,FALSE)</f>
        <v>#N/A</v>
      </c>
      <c r="O48" s="93"/>
    </row>
    <row r="49" spans="1:15" ht="17.399999999999999" hidden="1">
      <c r="A49" s="75" t="str">
        <f t="shared" si="0"/>
        <v>AELULUSOUNDBARSoundbarsمكبر الصوت</v>
      </c>
      <c r="B49" s="94" t="str">
        <f t="shared" si="1"/>
        <v>AE_LULU</v>
      </c>
      <c r="C49" s="93" t="s">
        <v>498</v>
      </c>
      <c r="D49" s="93" t="s">
        <v>500</v>
      </c>
      <c r="E49" s="93" t="s">
        <v>165</v>
      </c>
      <c r="F49" s="93" t="s">
        <v>2361</v>
      </c>
      <c r="G49" s="93" t="s">
        <v>2362</v>
      </c>
      <c r="H49" s="93" t="e">
        <v>#N/A</v>
      </c>
      <c r="I49" s="105" t="s">
        <v>2310</v>
      </c>
      <c r="J49" s="93" t="s">
        <v>189</v>
      </c>
      <c r="K49" s="93" t="e">
        <v>#N/A</v>
      </c>
      <c r="L49" s="93">
        <v>18</v>
      </c>
      <c r="M49" s="93" t="s">
        <v>2351</v>
      </c>
      <c r="N49" s="93" t="e">
        <f>VLOOKUP(B49,'[16]01.수집 카테고리(List)'!$A$2:$H$64,8,FALSE)</f>
        <v>#N/A</v>
      </c>
      <c r="O49" s="93"/>
    </row>
    <row r="50" spans="1:15" ht="17.399999999999999" hidden="1">
      <c r="A50" s="75" t="str">
        <f t="shared" si="0"/>
        <v>AELULUSOUNDBARSoundbarمكبرات الصوت</v>
      </c>
      <c r="B50" s="94" t="str">
        <f t="shared" si="1"/>
        <v>AE_LULU</v>
      </c>
      <c r="C50" s="93" t="s">
        <v>498</v>
      </c>
      <c r="D50" s="93" t="s">
        <v>500</v>
      </c>
      <c r="E50" s="93" t="s">
        <v>165</v>
      </c>
      <c r="F50" s="93" t="s">
        <v>2363</v>
      </c>
      <c r="G50" s="93" t="s">
        <v>2364</v>
      </c>
      <c r="H50" s="93" t="e">
        <v>#N/A</v>
      </c>
      <c r="I50" s="105" t="s">
        <v>2310</v>
      </c>
      <c r="J50" s="93" t="s">
        <v>189</v>
      </c>
      <c r="K50" s="93" t="e">
        <v>#N/A</v>
      </c>
      <c r="L50" s="93">
        <v>20</v>
      </c>
      <c r="M50" s="93" t="s">
        <v>2351</v>
      </c>
      <c r="N50" s="93" t="e">
        <f>VLOOKUP(B50,'[16]01.수집 카테고리(List)'!$A$2:$H$64,8,FALSE)</f>
        <v>#N/A</v>
      </c>
      <c r="O50" s="93"/>
    </row>
    <row r="51" spans="1:15" ht="17.399999999999999" hidden="1">
      <c r="A51" s="75" t="str">
        <f t="shared" si="0"/>
        <v>AELULUSOUNDBARSound barمكبرات الصوت</v>
      </c>
      <c r="B51" s="94" t="str">
        <f t="shared" si="1"/>
        <v>AE_LULU</v>
      </c>
      <c r="C51" s="93" t="s">
        <v>498</v>
      </c>
      <c r="D51" s="93" t="s">
        <v>500</v>
      </c>
      <c r="E51" s="93" t="s">
        <v>165</v>
      </c>
      <c r="F51" s="93" t="s">
        <v>2365</v>
      </c>
      <c r="G51" s="93" t="s">
        <v>2364</v>
      </c>
      <c r="H51" s="93" t="e">
        <v>#N/A</v>
      </c>
      <c r="I51" s="105" t="s">
        <v>2310</v>
      </c>
      <c r="J51" s="93" t="s">
        <v>189</v>
      </c>
      <c r="K51" s="93" t="e">
        <v>#N/A</v>
      </c>
      <c r="L51" s="93">
        <v>885</v>
      </c>
      <c r="M51" s="93" t="s">
        <v>2351</v>
      </c>
      <c r="N51" s="93" t="e">
        <f>VLOOKUP(B51,'[16]01.수집 카테고리(List)'!$A$2:$H$64,8,FALSE)</f>
        <v>#N/A</v>
      </c>
      <c r="O51" s="93"/>
    </row>
    <row r="52" spans="1:15" ht="17.399999999999999" hidden="1">
      <c r="A52" s="75" t="str">
        <f t="shared" si="0"/>
        <v>AELULUSOUNDBARSound barsنظام الصوت</v>
      </c>
      <c r="B52" s="94" t="str">
        <f t="shared" si="1"/>
        <v>AE_LULU</v>
      </c>
      <c r="C52" s="93" t="s">
        <v>498</v>
      </c>
      <c r="D52" s="93" t="s">
        <v>500</v>
      </c>
      <c r="E52" s="93" t="s">
        <v>165</v>
      </c>
      <c r="F52" s="93" t="s">
        <v>2366</v>
      </c>
      <c r="G52" s="93" t="s">
        <v>2367</v>
      </c>
      <c r="H52" s="93" t="e">
        <v>#N/A</v>
      </c>
      <c r="I52" s="105" t="s">
        <v>2310</v>
      </c>
      <c r="J52" s="93" t="s">
        <v>189</v>
      </c>
      <c r="K52" s="93" t="e">
        <v>#N/A</v>
      </c>
      <c r="L52" s="93">
        <v>707</v>
      </c>
      <c r="M52" s="93" t="s">
        <v>2351</v>
      </c>
      <c r="N52" s="93" t="e">
        <f>VLOOKUP(B52,'[16]01.수집 카테고리(List)'!$A$2:$H$64,8,FALSE)</f>
        <v>#N/A</v>
      </c>
      <c r="O52" s="93"/>
    </row>
    <row r="53" spans="1:15" hidden="1">
      <c r="A53" s="75" t="str">
        <f t="shared" si="0"/>
        <v>AELULUTV4k TV4k TV</v>
      </c>
      <c r="B53" s="94" t="str">
        <f t="shared" si="1"/>
        <v>AE_LULU</v>
      </c>
      <c r="C53" s="93" t="s">
        <v>498</v>
      </c>
      <c r="D53" s="93" t="s">
        <v>500</v>
      </c>
      <c r="E53" s="93" t="s">
        <v>161</v>
      </c>
      <c r="F53" s="93" t="s">
        <v>2368</v>
      </c>
      <c r="G53" s="93" t="s">
        <v>2368</v>
      </c>
      <c r="H53" s="93" t="e">
        <v>#N/A</v>
      </c>
      <c r="I53" s="105" t="s">
        <v>2310</v>
      </c>
      <c r="J53" s="93" t="s">
        <v>189</v>
      </c>
      <c r="K53" s="93">
        <v>250</v>
      </c>
      <c r="L53" s="93">
        <v>250</v>
      </c>
      <c r="M53" s="93" t="s">
        <v>2311</v>
      </c>
      <c r="N53" s="93" t="e">
        <f>VLOOKUP(B53,'[16]01.수집 카테고리(List)'!$A$2:$H$64,8,FALSE)</f>
        <v>#N/A</v>
      </c>
      <c r="O53" s="93"/>
    </row>
    <row r="54" spans="1:15" hidden="1">
      <c r="A54" s="75" t="str">
        <f t="shared" si="0"/>
        <v>AELULUTVoled TVoled</v>
      </c>
      <c r="B54" s="94" t="str">
        <f t="shared" si="1"/>
        <v>AE_LULU</v>
      </c>
      <c r="C54" s="93" t="s">
        <v>498</v>
      </c>
      <c r="D54" s="93" t="s">
        <v>500</v>
      </c>
      <c r="E54" s="93" t="s">
        <v>161</v>
      </c>
      <c r="F54" s="93" t="s">
        <v>2369</v>
      </c>
      <c r="G54" s="93" t="s">
        <v>2370</v>
      </c>
      <c r="H54" s="93" t="e">
        <v>#N/A</v>
      </c>
      <c r="I54" s="105" t="s">
        <v>2310</v>
      </c>
      <c r="J54" s="93" t="s">
        <v>189</v>
      </c>
      <c r="K54" s="93">
        <v>676</v>
      </c>
      <c r="L54" s="93" t="e">
        <v>#N/A</v>
      </c>
      <c r="M54" s="93" t="s">
        <v>2311</v>
      </c>
      <c r="N54" s="93" t="e">
        <f>VLOOKUP(B54,'[16]01.수집 카테고리(List)'!$A$2:$H$64,8,FALSE)</f>
        <v>#N/A</v>
      </c>
      <c r="O54" s="93"/>
    </row>
    <row r="55" spans="1:15" hidden="1">
      <c r="A55" s="75" t="str">
        <f t="shared" si="0"/>
        <v>AELULUTVsmart TVsmart oled</v>
      </c>
      <c r="B55" s="94" t="str">
        <f t="shared" si="1"/>
        <v>AE_LULU</v>
      </c>
      <c r="C55" s="93" t="s">
        <v>498</v>
      </c>
      <c r="D55" s="93" t="s">
        <v>500</v>
      </c>
      <c r="E55" s="93" t="s">
        <v>161</v>
      </c>
      <c r="F55" s="93" t="s">
        <v>2371</v>
      </c>
      <c r="G55" s="93" t="s">
        <v>2372</v>
      </c>
      <c r="H55" s="93" t="e">
        <v>#N/A</v>
      </c>
      <c r="I55" s="105" t="s">
        <v>2310</v>
      </c>
      <c r="J55" s="93" t="s">
        <v>189</v>
      </c>
      <c r="K55" s="93">
        <v>1211</v>
      </c>
      <c r="L55" s="93" t="e">
        <v>#N/A</v>
      </c>
      <c r="M55" s="93" t="s">
        <v>2311</v>
      </c>
      <c r="N55" s="93" t="e">
        <f>VLOOKUP(B55,'[16]01.수집 카테고리(List)'!$A$2:$H$64,8,FALSE)</f>
        <v>#N/A</v>
      </c>
      <c r="O55" s="93"/>
    </row>
    <row r="56" spans="1:15" hidden="1">
      <c r="A56" s="75" t="str">
        <f t="shared" si="0"/>
        <v>AELULUTVTVTV</v>
      </c>
      <c r="B56" s="94" t="str">
        <f t="shared" si="1"/>
        <v>AE_LULU</v>
      </c>
      <c r="C56" s="93" t="s">
        <v>498</v>
      </c>
      <c r="D56" s="93" t="s">
        <v>500</v>
      </c>
      <c r="E56" s="93" t="s">
        <v>161</v>
      </c>
      <c r="F56" s="93" t="s">
        <v>161</v>
      </c>
      <c r="G56" s="93" t="s">
        <v>161</v>
      </c>
      <c r="H56" s="93" t="e">
        <v>#N/A</v>
      </c>
      <c r="I56" s="105" t="s">
        <v>2310</v>
      </c>
      <c r="J56" s="93" t="s">
        <v>189</v>
      </c>
      <c r="K56" s="93">
        <v>63</v>
      </c>
      <c r="L56" s="93">
        <v>63</v>
      </c>
      <c r="M56" s="93" t="s">
        <v>2311</v>
      </c>
      <c r="N56" s="93" t="e">
        <f>VLOOKUP(B56,'[16]01.수집 카테고리(List)'!$A$2:$H$64,8,FALSE)</f>
        <v>#N/A</v>
      </c>
      <c r="O56" s="93"/>
    </row>
    <row r="57" spans="1:15" hidden="1">
      <c r="A57" s="75" t="str">
        <f t="shared" si="0"/>
        <v>AELULUWashing Machinefront loaderfront load washer</v>
      </c>
      <c r="B57" s="94" t="str">
        <f t="shared" si="1"/>
        <v>AE_LULU</v>
      </c>
      <c r="C57" s="93" t="s">
        <v>498</v>
      </c>
      <c r="D57" s="93" t="s">
        <v>500</v>
      </c>
      <c r="E57" s="93" t="s">
        <v>2333</v>
      </c>
      <c r="F57" s="93" t="s">
        <v>2334</v>
      </c>
      <c r="G57" s="93" t="s">
        <v>2335</v>
      </c>
      <c r="H57" s="93" t="e">
        <v>#N/A</v>
      </c>
      <c r="I57" s="105" t="s">
        <v>2310</v>
      </c>
      <c r="J57" s="93" t="s">
        <v>189</v>
      </c>
      <c r="K57" s="93">
        <v>1033</v>
      </c>
      <c r="L57" s="93" t="e">
        <v>#N/A</v>
      </c>
      <c r="M57" s="93" t="s">
        <v>2311</v>
      </c>
      <c r="N57" s="93" t="e">
        <f>VLOOKUP(B57,'[16]01.수집 카테고리(List)'!$A$2:$H$64,8,FALSE)</f>
        <v>#N/A</v>
      </c>
      <c r="O57" s="93"/>
    </row>
    <row r="58" spans="1:15" hidden="1">
      <c r="A58" s="75" t="str">
        <f t="shared" si="0"/>
        <v>AELULUWashing Machinetop loadertop load washer</v>
      </c>
      <c r="B58" s="94" t="str">
        <f t="shared" si="1"/>
        <v>AE_LULU</v>
      </c>
      <c r="C58" s="93" t="s">
        <v>498</v>
      </c>
      <c r="D58" s="93" t="s">
        <v>500</v>
      </c>
      <c r="E58" s="93" t="s">
        <v>2333</v>
      </c>
      <c r="F58" s="93" t="s">
        <v>2336</v>
      </c>
      <c r="G58" s="93" t="s">
        <v>2337</v>
      </c>
      <c r="H58" s="93" t="e">
        <v>#N/A</v>
      </c>
      <c r="I58" s="105" t="s">
        <v>2310</v>
      </c>
      <c r="J58" s="93" t="s">
        <v>189</v>
      </c>
      <c r="K58" s="93">
        <v>1034</v>
      </c>
      <c r="L58" s="93" t="e">
        <v>#N/A</v>
      </c>
      <c r="M58" s="93" t="s">
        <v>2311</v>
      </c>
      <c r="N58" s="93" t="e">
        <f>VLOOKUP(B58,'[16]01.수집 카테고리(List)'!$A$2:$H$64,8,FALSE)</f>
        <v>#N/A</v>
      </c>
      <c r="O58" s="93"/>
    </row>
    <row r="59" spans="1:15" hidden="1">
      <c r="A59" s="75" t="str">
        <f t="shared" si="0"/>
        <v>AELULUWashing Machinewasher dryer combowasher dryer</v>
      </c>
      <c r="B59" s="94" t="str">
        <f t="shared" si="1"/>
        <v>AE_LULU</v>
      </c>
      <c r="C59" s="93" t="s">
        <v>498</v>
      </c>
      <c r="D59" s="93" t="s">
        <v>500</v>
      </c>
      <c r="E59" s="93" t="s">
        <v>2333</v>
      </c>
      <c r="F59" s="93" t="s">
        <v>2338</v>
      </c>
      <c r="G59" s="93" t="s">
        <v>2339</v>
      </c>
      <c r="H59" s="93" t="e">
        <v>#N/A</v>
      </c>
      <c r="I59" s="105" t="s">
        <v>2310</v>
      </c>
      <c r="J59" s="93" t="s">
        <v>189</v>
      </c>
      <c r="K59" s="93">
        <v>618</v>
      </c>
      <c r="L59" s="93" t="e">
        <v>#N/A</v>
      </c>
      <c r="M59" s="93" t="s">
        <v>2311</v>
      </c>
      <c r="N59" s="93" t="e">
        <f>VLOOKUP(B59,'[16]01.수집 카테고리(List)'!$A$2:$H$64,8,FALSE)</f>
        <v>#N/A</v>
      </c>
      <c r="O59" s="93"/>
    </row>
    <row r="60" spans="1:15" hidden="1">
      <c r="A60" s="75" t="str">
        <f t="shared" si="0"/>
        <v>AELULUWashing Machinewashing machinewashing machine</v>
      </c>
      <c r="B60" s="94" t="str">
        <f t="shared" si="1"/>
        <v>AE_LULU</v>
      </c>
      <c r="C60" s="93" t="s">
        <v>498</v>
      </c>
      <c r="D60" s="93" t="s">
        <v>500</v>
      </c>
      <c r="E60" s="93" t="s">
        <v>2333</v>
      </c>
      <c r="F60" s="93" t="s">
        <v>2340</v>
      </c>
      <c r="G60" s="93" t="s">
        <v>2340</v>
      </c>
      <c r="H60" s="93" t="e">
        <v>#N/A</v>
      </c>
      <c r="I60" s="105" t="s">
        <v>2310</v>
      </c>
      <c r="J60" s="93" t="s">
        <v>189</v>
      </c>
      <c r="K60" s="93">
        <v>41</v>
      </c>
      <c r="L60" s="93">
        <v>41</v>
      </c>
      <c r="M60" s="93" t="s">
        <v>2311</v>
      </c>
      <c r="N60" s="93" t="e">
        <f>VLOOKUP(B60,'[16]01.수집 카테고리(List)'!$A$2:$H$64,8,FALSE)</f>
        <v>#N/A</v>
      </c>
      <c r="O60" s="93"/>
    </row>
    <row r="61" spans="1:15" ht="17.399999999999999" hidden="1">
      <c r="A61" s="75" t="str">
        <f t="shared" si="0"/>
        <v>AELULUWireless HeadsetTrue wireless earbudsسماعات أذن بلوتوث</v>
      </c>
      <c r="B61" s="94" t="str">
        <f t="shared" si="1"/>
        <v>AE_LULU</v>
      </c>
      <c r="C61" s="93" t="s">
        <v>498</v>
      </c>
      <c r="D61" s="93" t="s">
        <v>500</v>
      </c>
      <c r="E61" s="93" t="s">
        <v>2373</v>
      </c>
      <c r="F61" s="93" t="s">
        <v>2374</v>
      </c>
      <c r="G61" s="93" t="s">
        <v>2375</v>
      </c>
      <c r="H61" s="93" t="e">
        <v>#N/A</v>
      </c>
      <c r="I61" s="105" t="s">
        <v>2310</v>
      </c>
      <c r="J61" s="93" t="s">
        <v>189</v>
      </c>
      <c r="K61" s="93" t="e">
        <v>#N/A</v>
      </c>
      <c r="L61" s="93">
        <v>345</v>
      </c>
      <c r="M61" s="93" t="s">
        <v>2351</v>
      </c>
      <c r="N61" s="93" t="e">
        <f>VLOOKUP(B61,'[16]01.수집 카테고리(List)'!$A$2:$H$64,8,FALSE)</f>
        <v>#N/A</v>
      </c>
      <c r="O61" s="93"/>
    </row>
    <row r="62" spans="1:15" ht="17.399999999999999" hidden="1">
      <c r="A62" s="75" t="str">
        <f t="shared" si="0"/>
        <v>AELULUWireless HeadsetWireless earbudsسماعات أذن حقيقة لاسلكية</v>
      </c>
      <c r="B62" s="94" t="str">
        <f t="shared" si="1"/>
        <v>AE_LULU</v>
      </c>
      <c r="C62" s="93" t="s">
        <v>498</v>
      </c>
      <c r="D62" s="93" t="s">
        <v>500</v>
      </c>
      <c r="E62" s="93" t="s">
        <v>2373</v>
      </c>
      <c r="F62" s="93" t="s">
        <v>2376</v>
      </c>
      <c r="G62" s="93" t="s">
        <v>2377</v>
      </c>
      <c r="H62" s="93" t="e">
        <v>#N/A</v>
      </c>
      <c r="I62" s="105" t="s">
        <v>2310</v>
      </c>
      <c r="J62" s="93" t="s">
        <v>189</v>
      </c>
      <c r="K62" s="93" t="e">
        <v>#N/A</v>
      </c>
      <c r="L62" s="93">
        <v>1469</v>
      </c>
      <c r="M62" s="93" t="s">
        <v>2351</v>
      </c>
      <c r="N62" s="93" t="e">
        <f>VLOOKUP(B62,'[16]01.수집 카테고리(List)'!$A$2:$H$64,8,FALSE)</f>
        <v>#N/A</v>
      </c>
      <c r="O62" s="93"/>
    </row>
    <row r="63" spans="1:15" ht="17.399999999999999" hidden="1">
      <c r="A63" s="75" t="str">
        <f t="shared" si="0"/>
        <v>AELULUWireless HeadsetNoise cancelling earbudsسماعات الأذن اللاسلكية</v>
      </c>
      <c r="B63" s="94" t="str">
        <f t="shared" si="1"/>
        <v>AE_LULU</v>
      </c>
      <c r="C63" s="93" t="s">
        <v>498</v>
      </c>
      <c r="D63" s="93" t="s">
        <v>500</v>
      </c>
      <c r="E63" s="93" t="s">
        <v>2373</v>
      </c>
      <c r="F63" s="93" t="s">
        <v>2378</v>
      </c>
      <c r="G63" s="93" t="s">
        <v>2379</v>
      </c>
      <c r="H63" s="93" t="e">
        <v>#N/A</v>
      </c>
      <c r="I63" s="105" t="s">
        <v>2310</v>
      </c>
      <c r="J63" s="93" t="s">
        <v>189</v>
      </c>
      <c r="K63" s="93" t="e">
        <v>#N/A</v>
      </c>
      <c r="L63" s="93">
        <v>281</v>
      </c>
      <c r="M63" s="93" t="s">
        <v>2351</v>
      </c>
      <c r="N63" s="93" t="e">
        <f>VLOOKUP(B63,'[16]01.수집 카테고리(List)'!$A$2:$H$64,8,FALSE)</f>
        <v>#N/A</v>
      </c>
      <c r="O63" s="93"/>
    </row>
    <row r="64" spans="1:15" ht="17.399999999999999" hidden="1">
      <c r="A64" s="75" t="str">
        <f t="shared" si="0"/>
        <v>AELULUWireless HeadsetEar budsسماعات الأذن المبعدة للضوضاء</v>
      </c>
      <c r="B64" s="94" t="str">
        <f t="shared" si="1"/>
        <v>AE_LULU</v>
      </c>
      <c r="C64" s="93" t="s">
        <v>498</v>
      </c>
      <c r="D64" s="93" t="s">
        <v>500</v>
      </c>
      <c r="E64" s="93" t="s">
        <v>2373</v>
      </c>
      <c r="F64" s="93" t="s">
        <v>2380</v>
      </c>
      <c r="G64" s="93" t="s">
        <v>2381</v>
      </c>
      <c r="H64" s="93" t="e">
        <v>#N/A</v>
      </c>
      <c r="I64" s="105" t="s">
        <v>2310</v>
      </c>
      <c r="J64" s="93" t="s">
        <v>189</v>
      </c>
      <c r="K64" s="93" t="e">
        <v>#N/A</v>
      </c>
      <c r="L64" s="93">
        <v>150</v>
      </c>
      <c r="M64" s="93" t="s">
        <v>2351</v>
      </c>
      <c r="N64" s="93" t="e">
        <f>VLOOKUP(B64,'[16]01.수집 카테고리(List)'!$A$2:$H$64,8,FALSE)</f>
        <v>#N/A</v>
      </c>
      <c r="O64" s="93"/>
    </row>
    <row r="65" spans="1:15" ht="17.399999999999999" hidden="1">
      <c r="A65" s="75" t="str">
        <f t="shared" si="0"/>
        <v>AELULUWireless HeadsetBluetooth earbudsسماعات بلوتوث</v>
      </c>
      <c r="B65" s="94" t="str">
        <f t="shared" si="1"/>
        <v>AE_LULU</v>
      </c>
      <c r="C65" s="93" t="s">
        <v>498</v>
      </c>
      <c r="D65" s="93" t="s">
        <v>500</v>
      </c>
      <c r="E65" s="93" t="s">
        <v>2373</v>
      </c>
      <c r="F65" s="93" t="s">
        <v>2382</v>
      </c>
      <c r="G65" s="93" t="s">
        <v>2317</v>
      </c>
      <c r="H65" s="93" t="e">
        <v>#N/A</v>
      </c>
      <c r="I65" s="105" t="s">
        <v>2310</v>
      </c>
      <c r="J65" s="93" t="s">
        <v>189</v>
      </c>
      <c r="K65" s="93" t="e">
        <v>#N/A</v>
      </c>
      <c r="L65" s="93">
        <v>90</v>
      </c>
      <c r="M65" s="93" t="s">
        <v>2351</v>
      </c>
      <c r="N65" s="93" t="e">
        <f>VLOOKUP(B65,'[16]01.수집 카테고리(List)'!$A$2:$H$64,8,FALSE)</f>
        <v>#N/A</v>
      </c>
      <c r="O65" s="93"/>
    </row>
    <row r="66" spans="1:15" hidden="1">
      <c r="A66" s="75" t="str">
        <f t="shared" si="0"/>
        <v>AESHARAFDGAir cleanerAir CleanerAir Cleaner</v>
      </c>
      <c r="B66" s="94" t="str">
        <f t="shared" si="1"/>
        <v>AE_SHARAFDG</v>
      </c>
      <c r="C66" s="93" t="s">
        <v>498</v>
      </c>
      <c r="D66" s="93" t="s">
        <v>502</v>
      </c>
      <c r="E66" s="93" t="s">
        <v>2341</v>
      </c>
      <c r="F66" s="93" t="s">
        <v>2342</v>
      </c>
      <c r="G66" s="93" t="s">
        <v>2342</v>
      </c>
      <c r="H66" s="93" t="e">
        <v>#N/A</v>
      </c>
      <c r="I66" s="105" t="s">
        <v>2310</v>
      </c>
      <c r="J66" s="93" t="s">
        <v>189</v>
      </c>
      <c r="K66" s="93">
        <v>1</v>
      </c>
      <c r="L66" s="93">
        <v>1</v>
      </c>
      <c r="M66" s="93" t="s">
        <v>2311</v>
      </c>
      <c r="N66" s="93" t="e">
        <f>VLOOKUP(B66,'[16]01.수집 카테고리(List)'!$A$2:$H$64,8,FALSE)</f>
        <v>#N/A</v>
      </c>
      <c r="O66" s="93"/>
    </row>
    <row r="67" spans="1:15" hidden="1">
      <c r="A67" s="75" t="str">
        <f t="shared" si="0"/>
        <v>AESHARAFDGAir cleanerAir PurifierAir Purifier</v>
      </c>
      <c r="B67" s="94" t="str">
        <f t="shared" si="1"/>
        <v>AE_SHARAFDG</v>
      </c>
      <c r="C67" s="93" t="s">
        <v>498</v>
      </c>
      <c r="D67" s="93" t="s">
        <v>502</v>
      </c>
      <c r="E67" s="93" t="s">
        <v>2341</v>
      </c>
      <c r="F67" s="93" t="s">
        <v>2343</v>
      </c>
      <c r="G67" s="93" t="s">
        <v>2343</v>
      </c>
      <c r="H67" s="93" t="e">
        <v>#N/A</v>
      </c>
      <c r="I67" s="105" t="s">
        <v>2310</v>
      </c>
      <c r="J67" s="93" t="s">
        <v>189</v>
      </c>
      <c r="K67" s="93">
        <v>74</v>
      </c>
      <c r="L67" s="93">
        <v>74</v>
      </c>
      <c r="M67" s="93" t="s">
        <v>2311</v>
      </c>
      <c r="N67" s="93" t="e">
        <f>VLOOKUP(B67,'[16]01.수집 카테고리(List)'!$A$2:$H$64,8,FALSE)</f>
        <v>#N/A</v>
      </c>
      <c r="O67" s="93"/>
    </row>
    <row r="68" spans="1:15" hidden="1">
      <c r="A68" s="75" t="str">
        <f t="shared" si="0"/>
        <v>AESHARAFDGAir cleanerAir TreatmentAir Treatment</v>
      </c>
      <c r="B68" s="94" t="str">
        <f t="shared" si="1"/>
        <v>AE_SHARAFDG</v>
      </c>
      <c r="C68" s="93" t="s">
        <v>498</v>
      </c>
      <c r="D68" s="93" t="s">
        <v>502</v>
      </c>
      <c r="E68" s="93" t="s">
        <v>2341</v>
      </c>
      <c r="F68" s="93" t="s">
        <v>2345</v>
      </c>
      <c r="G68" s="93" t="s">
        <v>2345</v>
      </c>
      <c r="H68" s="93" t="e">
        <v>#N/A</v>
      </c>
      <c r="I68" s="105" t="s">
        <v>2310</v>
      </c>
      <c r="J68" s="93" t="s">
        <v>189</v>
      </c>
      <c r="K68" s="93">
        <v>249</v>
      </c>
      <c r="L68" s="93">
        <v>249</v>
      </c>
      <c r="M68" s="93" t="s">
        <v>2311</v>
      </c>
      <c r="N68" s="93" t="e">
        <f>VLOOKUP(B68,'[16]01.수집 카테고리(List)'!$A$2:$H$64,8,FALSE)</f>
        <v>#N/A</v>
      </c>
      <c r="O68" s="93"/>
    </row>
    <row r="69" spans="1:15" ht="17.399999999999999" hidden="1">
      <c r="A69" s="75" t="str">
        <f t="shared" si="0"/>
        <v>AESHARAFDGBluetooth SpeakerPortable Speakerالسماعات</v>
      </c>
      <c r="B69" s="94" t="str">
        <f t="shared" si="1"/>
        <v>AE_SHARAFDG</v>
      </c>
      <c r="C69" s="93" t="s">
        <v>498</v>
      </c>
      <c r="D69" s="93" t="s">
        <v>502</v>
      </c>
      <c r="E69" s="93" t="s">
        <v>2307</v>
      </c>
      <c r="F69" s="93" t="s">
        <v>2308</v>
      </c>
      <c r="G69" s="93" t="s">
        <v>2309</v>
      </c>
      <c r="H69" s="93" t="e">
        <v>#N/A</v>
      </c>
      <c r="I69" s="105" t="s">
        <v>2310</v>
      </c>
      <c r="J69" s="93" t="s">
        <v>189</v>
      </c>
      <c r="K69" s="93" t="e">
        <v>#N/A</v>
      </c>
      <c r="L69" s="93">
        <v>109</v>
      </c>
      <c r="M69" s="93" t="s">
        <v>2351</v>
      </c>
      <c r="N69" s="93" t="e">
        <f>VLOOKUP(B69,'[16]01.수집 카테고리(List)'!$A$2:$H$64,8,FALSE)</f>
        <v>#N/A</v>
      </c>
      <c r="O69" s="93"/>
    </row>
    <row r="70" spans="1:15" ht="17.399999999999999" hidden="1">
      <c r="A70" s="75" t="str">
        <f t="shared" si="0"/>
        <v>AESHARAFDGBluetooth SpeakerPortable bluetooth speakerالسماعات المحمولة</v>
      </c>
      <c r="B70" s="94" t="str">
        <f t="shared" si="1"/>
        <v>AE_SHARAFDG</v>
      </c>
      <c r="C70" s="93" t="s">
        <v>498</v>
      </c>
      <c r="D70" s="93" t="s">
        <v>502</v>
      </c>
      <c r="E70" s="93" t="s">
        <v>2307</v>
      </c>
      <c r="F70" s="93" t="s">
        <v>2312</v>
      </c>
      <c r="G70" s="93" t="s">
        <v>2313</v>
      </c>
      <c r="H70" s="93" t="e">
        <v>#N/A</v>
      </c>
      <c r="I70" s="105" t="s">
        <v>2310</v>
      </c>
      <c r="J70" s="93" t="s">
        <v>189</v>
      </c>
      <c r="K70" s="93" t="e">
        <v>#N/A</v>
      </c>
      <c r="L70" s="93">
        <v>66</v>
      </c>
      <c r="M70" s="93" t="s">
        <v>2351</v>
      </c>
      <c r="N70" s="93" t="e">
        <f>VLOOKUP(B70,'[16]01.수집 카테고리(List)'!$A$2:$H$64,8,FALSE)</f>
        <v>#N/A</v>
      </c>
      <c r="O70" s="93"/>
    </row>
    <row r="71" spans="1:15" ht="17.399999999999999" hidden="1">
      <c r="A71" s="75" t="str">
        <f t="shared" si="0"/>
        <v>AESHARAFDGBluetooth SpeakerParty Speakerسماعات الأذن</v>
      </c>
      <c r="B71" s="94" t="str">
        <f t="shared" si="1"/>
        <v>AE_SHARAFDG</v>
      </c>
      <c r="C71" s="93" t="s">
        <v>498</v>
      </c>
      <c r="D71" s="93" t="s">
        <v>502</v>
      </c>
      <c r="E71" s="93" t="s">
        <v>2307</v>
      </c>
      <c r="F71" s="93" t="s">
        <v>2314</v>
      </c>
      <c r="G71" s="93" t="s">
        <v>2315</v>
      </c>
      <c r="H71" s="93" t="e">
        <v>#N/A</v>
      </c>
      <c r="I71" s="105" t="s">
        <v>2310</v>
      </c>
      <c r="J71" s="93" t="s">
        <v>189</v>
      </c>
      <c r="K71" s="93" t="e">
        <v>#N/A</v>
      </c>
      <c r="L71" s="93">
        <v>17</v>
      </c>
      <c r="M71" s="93" t="s">
        <v>2351</v>
      </c>
      <c r="N71" s="93" t="e">
        <f>VLOOKUP(B71,'[16]01.수집 카테고리(List)'!$A$2:$H$64,8,FALSE)</f>
        <v>#N/A</v>
      </c>
      <c r="O71" s="93"/>
    </row>
    <row r="72" spans="1:15" ht="17.399999999999999" hidden="1">
      <c r="A72" s="75" t="str">
        <f t="shared" si="0"/>
        <v>AESHARAFDGBluetooth SpeakerWireless speakerسماعات بلوتوث</v>
      </c>
      <c r="B72" s="94" t="str">
        <f t="shared" si="1"/>
        <v>AE_SHARAFDG</v>
      </c>
      <c r="C72" s="93" t="s">
        <v>498</v>
      </c>
      <c r="D72" s="93" t="s">
        <v>502</v>
      </c>
      <c r="E72" s="93" t="s">
        <v>2307</v>
      </c>
      <c r="F72" s="93" t="s">
        <v>2316</v>
      </c>
      <c r="G72" s="93" t="s">
        <v>2317</v>
      </c>
      <c r="H72" s="93" t="e">
        <v>#N/A</v>
      </c>
      <c r="I72" s="105" t="s">
        <v>2310</v>
      </c>
      <c r="J72" s="93" t="s">
        <v>189</v>
      </c>
      <c r="K72" s="93" t="e">
        <v>#N/A</v>
      </c>
      <c r="L72" s="93">
        <v>574</v>
      </c>
      <c r="M72" s="93" t="s">
        <v>2351</v>
      </c>
      <c r="N72" s="93" t="e">
        <f>VLOOKUP(B72,'[16]01.수집 카테고리(List)'!$A$2:$H$64,8,FALSE)</f>
        <v>#N/A</v>
      </c>
      <c r="O72" s="93"/>
    </row>
    <row r="73" spans="1:15" ht="17.399999999999999" hidden="1">
      <c r="A73" s="75" t="str">
        <f t="shared" si="0"/>
        <v>AESHARAFDGBluetooth SpeakerPortable Soundسماعات بلوتوث المحمولة</v>
      </c>
      <c r="B73" s="94" t="str">
        <f t="shared" si="1"/>
        <v>AE_SHARAFDG</v>
      </c>
      <c r="C73" s="93" t="s">
        <v>498</v>
      </c>
      <c r="D73" s="93" t="s">
        <v>502</v>
      </c>
      <c r="E73" s="93" t="s">
        <v>2307</v>
      </c>
      <c r="F73" s="93" t="s">
        <v>2318</v>
      </c>
      <c r="G73" s="93" t="s">
        <v>2319</v>
      </c>
      <c r="H73" s="93" t="e">
        <v>#N/A</v>
      </c>
      <c r="I73" s="105" t="s">
        <v>2310</v>
      </c>
      <c r="J73" s="93" t="s">
        <v>189</v>
      </c>
      <c r="K73" s="93" t="e">
        <v>#N/A</v>
      </c>
      <c r="L73" s="93">
        <v>345</v>
      </c>
      <c r="M73" s="93" t="s">
        <v>2351</v>
      </c>
      <c r="N73" s="93" t="e">
        <f>VLOOKUP(B73,'[16]01.수집 카테고리(List)'!$A$2:$H$64,8,FALSE)</f>
        <v>#N/A</v>
      </c>
      <c r="O73" s="93"/>
    </row>
    <row r="74" spans="1:15" hidden="1">
      <c r="A74" s="75" t="str">
        <f t="shared" ref="A74:A137" si="2">C74&amp;D74&amp;E74&amp;F74&amp;G74</f>
        <v>AESHARAFDGMonitor4k monitor4k monitor</v>
      </c>
      <c r="B74" s="94" t="str">
        <f t="shared" ref="B74:B137" si="3">C74&amp;"_"&amp;D74</f>
        <v>AE_SHARAFDG</v>
      </c>
      <c r="C74" s="93" t="s">
        <v>498</v>
      </c>
      <c r="D74" s="93" t="s">
        <v>502</v>
      </c>
      <c r="E74" s="93" t="s">
        <v>2320</v>
      </c>
      <c r="F74" s="93" t="s">
        <v>2321</v>
      </c>
      <c r="G74" s="93" t="s">
        <v>2321</v>
      </c>
      <c r="H74" s="93" t="e">
        <v>#N/A</v>
      </c>
      <c r="I74" s="105" t="s">
        <v>2310</v>
      </c>
      <c r="J74" s="93" t="s">
        <v>189</v>
      </c>
      <c r="K74" s="93">
        <v>91</v>
      </c>
      <c r="L74" s="93">
        <v>91</v>
      </c>
      <c r="M74" s="93" t="s">
        <v>2311</v>
      </c>
      <c r="N74" s="93" t="e">
        <f>VLOOKUP(B74,'[16]01.수집 카테고리(List)'!$A$2:$H$64,8,FALSE)</f>
        <v>#N/A</v>
      </c>
      <c r="O74" s="93"/>
    </row>
    <row r="75" spans="1:15" hidden="1">
      <c r="A75" s="75" t="str">
        <f t="shared" si="2"/>
        <v>AESHARAFDGMonitorgaming monitorgaming monitor</v>
      </c>
      <c r="B75" s="94" t="str">
        <f t="shared" si="3"/>
        <v>AE_SHARAFDG</v>
      </c>
      <c r="C75" s="93" t="s">
        <v>498</v>
      </c>
      <c r="D75" s="93" t="s">
        <v>502</v>
      </c>
      <c r="E75" s="93" t="s">
        <v>2320</v>
      </c>
      <c r="F75" s="93" t="s">
        <v>2322</v>
      </c>
      <c r="G75" s="93" t="s">
        <v>2322</v>
      </c>
      <c r="H75" s="93" t="e">
        <v>#N/A</v>
      </c>
      <c r="I75" s="105" t="s">
        <v>2310</v>
      </c>
      <c r="J75" s="93" t="s">
        <v>189</v>
      </c>
      <c r="K75" s="93">
        <v>214</v>
      </c>
      <c r="L75" s="93">
        <v>214</v>
      </c>
      <c r="M75" s="93" t="s">
        <v>2311</v>
      </c>
      <c r="N75" s="93" t="e">
        <f>VLOOKUP(B75,'[16]01.수집 카테고리(List)'!$A$2:$H$64,8,FALSE)</f>
        <v>#N/A</v>
      </c>
      <c r="O75" s="93"/>
    </row>
    <row r="76" spans="1:15" hidden="1">
      <c r="A76" s="75" t="str">
        <f t="shared" si="2"/>
        <v>AESHARAFDGMonitormonitormonitor</v>
      </c>
      <c r="B76" s="94" t="str">
        <f t="shared" si="3"/>
        <v>AE_SHARAFDG</v>
      </c>
      <c r="C76" s="93" t="s">
        <v>498</v>
      </c>
      <c r="D76" s="93" t="s">
        <v>502</v>
      </c>
      <c r="E76" s="93" t="s">
        <v>2320</v>
      </c>
      <c r="F76" s="93" t="s">
        <v>2323</v>
      </c>
      <c r="G76" s="93" t="s">
        <v>2323</v>
      </c>
      <c r="H76" s="93" t="e">
        <v>#N/A</v>
      </c>
      <c r="I76" s="105" t="s">
        <v>2310</v>
      </c>
      <c r="J76" s="93" t="s">
        <v>189</v>
      </c>
      <c r="K76" s="93">
        <v>264</v>
      </c>
      <c r="L76" s="93">
        <v>264</v>
      </c>
      <c r="M76" s="93" t="s">
        <v>2311</v>
      </c>
      <c r="N76" s="93" t="e">
        <f>VLOOKUP(B76,'[16]01.수집 카테고리(List)'!$A$2:$H$64,8,FALSE)</f>
        <v>#N/A</v>
      </c>
      <c r="O76" s="93"/>
    </row>
    <row r="77" spans="1:15" hidden="1">
      <c r="A77" s="75" t="str">
        <f t="shared" si="2"/>
        <v>AESHARAFDGMonitoruhd monitoruhd monitor</v>
      </c>
      <c r="B77" s="94" t="str">
        <f t="shared" si="3"/>
        <v>AE_SHARAFDG</v>
      </c>
      <c r="C77" s="93" t="s">
        <v>498</v>
      </c>
      <c r="D77" s="93" t="s">
        <v>502</v>
      </c>
      <c r="E77" s="93" t="s">
        <v>2320</v>
      </c>
      <c r="F77" s="93" t="s">
        <v>2324</v>
      </c>
      <c r="G77" s="93" t="s">
        <v>2324</v>
      </c>
      <c r="H77" s="93" t="e">
        <v>#N/A</v>
      </c>
      <c r="I77" s="105" t="s">
        <v>2310</v>
      </c>
      <c r="J77" s="93" t="s">
        <v>189</v>
      </c>
      <c r="K77" s="93">
        <v>2</v>
      </c>
      <c r="L77" s="93">
        <v>2</v>
      </c>
      <c r="M77" s="93" t="s">
        <v>2311</v>
      </c>
      <c r="N77" s="93" t="e">
        <f>VLOOKUP(B77,'[16]01.수집 카테고리(List)'!$A$2:$H$64,8,FALSE)</f>
        <v>#N/A</v>
      </c>
      <c r="O77" s="93"/>
    </row>
    <row r="78" spans="1:15" hidden="1">
      <c r="A78" s="75" t="str">
        <f t="shared" si="2"/>
        <v>AESHARAFDGMonitorultrawide monitorultrawide monitor</v>
      </c>
      <c r="B78" s="94" t="str">
        <f t="shared" si="3"/>
        <v>AE_SHARAFDG</v>
      </c>
      <c r="C78" s="93" t="s">
        <v>498</v>
      </c>
      <c r="D78" s="93" t="s">
        <v>502</v>
      </c>
      <c r="E78" s="93" t="s">
        <v>2320</v>
      </c>
      <c r="F78" s="93" t="s">
        <v>2325</v>
      </c>
      <c r="G78" s="93" t="s">
        <v>2325</v>
      </c>
      <c r="H78" s="93" t="e">
        <v>#N/A</v>
      </c>
      <c r="I78" s="105" t="s">
        <v>2310</v>
      </c>
      <c r="J78" s="93" t="s">
        <v>189</v>
      </c>
      <c r="K78" s="93">
        <v>2</v>
      </c>
      <c r="L78" s="93">
        <v>2</v>
      </c>
      <c r="M78" s="93" t="s">
        <v>2311</v>
      </c>
      <c r="N78" s="93" t="e">
        <f>VLOOKUP(B78,'[16]01.수집 카테고리(List)'!$A$2:$H$64,8,FALSE)</f>
        <v>#N/A</v>
      </c>
      <c r="O78" s="93"/>
    </row>
    <row r="79" spans="1:15" hidden="1">
      <c r="A79" s="75" t="str">
        <f t="shared" si="2"/>
        <v>AESHARAFDGRefrigeratorbottom freezer refrigeratorbottom freezer refrigerator</v>
      </c>
      <c r="B79" s="94" t="str">
        <f t="shared" si="3"/>
        <v>AE_SHARAFDG</v>
      </c>
      <c r="C79" s="93" t="s">
        <v>498</v>
      </c>
      <c r="D79" s="93" t="s">
        <v>502</v>
      </c>
      <c r="E79" s="93" t="s">
        <v>2326</v>
      </c>
      <c r="F79" s="93" t="s">
        <v>2327</v>
      </c>
      <c r="G79" s="93" t="s">
        <v>2327</v>
      </c>
      <c r="H79" s="93" t="e">
        <v>#N/A</v>
      </c>
      <c r="I79" s="105" t="s">
        <v>2310</v>
      </c>
      <c r="J79" s="93" t="s">
        <v>189</v>
      </c>
      <c r="K79" s="93">
        <v>239</v>
      </c>
      <c r="L79" s="93">
        <v>239</v>
      </c>
      <c r="M79" s="93" t="s">
        <v>2311</v>
      </c>
      <c r="N79" s="93" t="e">
        <f>VLOOKUP(B79,'[16]01.수집 카테고리(List)'!$A$2:$H$64,8,FALSE)</f>
        <v>#N/A</v>
      </c>
      <c r="O79" s="93"/>
    </row>
    <row r="80" spans="1:15" hidden="1">
      <c r="A80" s="75" t="str">
        <f t="shared" si="2"/>
        <v>AESHARAFDGRefrigeratorfrench door refrigeratorfrench door refrigerator</v>
      </c>
      <c r="B80" s="94" t="str">
        <f t="shared" si="3"/>
        <v>AE_SHARAFDG</v>
      </c>
      <c r="C80" s="93" t="s">
        <v>498</v>
      </c>
      <c r="D80" s="93" t="s">
        <v>502</v>
      </c>
      <c r="E80" s="93" t="s">
        <v>2326</v>
      </c>
      <c r="F80" s="93" t="s">
        <v>2328</v>
      </c>
      <c r="G80" s="93" t="s">
        <v>2328</v>
      </c>
      <c r="H80" s="93" t="e">
        <v>#N/A</v>
      </c>
      <c r="I80" s="105" t="s">
        <v>2310</v>
      </c>
      <c r="J80" s="93" t="s">
        <v>189</v>
      </c>
      <c r="K80" s="93">
        <v>172</v>
      </c>
      <c r="L80" s="93">
        <v>172</v>
      </c>
      <c r="M80" s="93" t="s">
        <v>2311</v>
      </c>
      <c r="N80" s="93" t="e">
        <f>VLOOKUP(B80,'[16]01.수집 카테고리(List)'!$A$2:$H$64,8,FALSE)</f>
        <v>#N/A</v>
      </c>
      <c r="O80" s="93"/>
    </row>
    <row r="81" spans="1:15" hidden="1">
      <c r="A81" s="75" t="str">
        <f t="shared" si="2"/>
        <v>AESHARAFDGRefrigeratorrefrigeratorrefrigerator</v>
      </c>
      <c r="B81" s="94" t="str">
        <f t="shared" si="3"/>
        <v>AE_SHARAFDG</v>
      </c>
      <c r="C81" s="93" t="s">
        <v>498</v>
      </c>
      <c r="D81" s="93" t="s">
        <v>502</v>
      </c>
      <c r="E81" s="93" t="s">
        <v>2326</v>
      </c>
      <c r="F81" s="93" t="s">
        <v>2329</v>
      </c>
      <c r="G81" s="93" t="s">
        <v>2329</v>
      </c>
      <c r="H81" s="93" t="e">
        <v>#N/A</v>
      </c>
      <c r="I81" s="105" t="s">
        <v>2310</v>
      </c>
      <c r="J81" s="93" t="s">
        <v>189</v>
      </c>
      <c r="K81" s="93">
        <v>324</v>
      </c>
      <c r="L81" s="93">
        <v>324</v>
      </c>
      <c r="M81" s="93" t="s">
        <v>2311</v>
      </c>
      <c r="N81" s="93" t="e">
        <f>VLOOKUP(B81,'[16]01.수집 카테고리(List)'!$A$2:$H$64,8,FALSE)</f>
        <v>#N/A</v>
      </c>
      <c r="O81" s="93"/>
    </row>
    <row r="82" spans="1:15" hidden="1">
      <c r="A82" s="75" t="str">
        <f t="shared" si="2"/>
        <v>AESHARAFDGRefrigeratorside by side refrigeratorside by side fridge</v>
      </c>
      <c r="B82" s="94" t="str">
        <f t="shared" si="3"/>
        <v>AE_SHARAFDG</v>
      </c>
      <c r="C82" s="93" t="s">
        <v>498</v>
      </c>
      <c r="D82" s="93" t="s">
        <v>502</v>
      </c>
      <c r="E82" s="93" t="s">
        <v>2326</v>
      </c>
      <c r="F82" s="93" t="s">
        <v>2330</v>
      </c>
      <c r="G82" s="93" t="s">
        <v>2331</v>
      </c>
      <c r="H82" s="93" t="e">
        <v>#N/A</v>
      </c>
      <c r="I82" s="105" t="s">
        <v>2310</v>
      </c>
      <c r="J82" s="93" t="s">
        <v>189</v>
      </c>
      <c r="K82" s="93">
        <v>443</v>
      </c>
      <c r="L82" s="93" t="e">
        <v>#N/A</v>
      </c>
      <c r="M82" s="93" t="s">
        <v>2311</v>
      </c>
      <c r="N82" s="93" t="e">
        <f>VLOOKUP(B82,'[16]01.수집 카테고리(List)'!$A$2:$H$64,8,FALSE)</f>
        <v>#N/A</v>
      </c>
      <c r="O82" s="93"/>
    </row>
    <row r="83" spans="1:15" hidden="1">
      <c r="A83" s="75" t="str">
        <f t="shared" si="2"/>
        <v>AESHARAFDGRefrigeratortop freezer refrigeratortop freezer refrigerator</v>
      </c>
      <c r="B83" s="94" t="str">
        <f t="shared" si="3"/>
        <v>AE_SHARAFDG</v>
      </c>
      <c r="C83" s="93" t="s">
        <v>498</v>
      </c>
      <c r="D83" s="93" t="s">
        <v>502</v>
      </c>
      <c r="E83" s="93" t="s">
        <v>2326</v>
      </c>
      <c r="F83" s="93" t="s">
        <v>2332</v>
      </c>
      <c r="G83" s="93" t="s">
        <v>2332</v>
      </c>
      <c r="H83" s="93" t="e">
        <v>#N/A</v>
      </c>
      <c r="I83" s="105" t="s">
        <v>2310</v>
      </c>
      <c r="J83" s="93" t="s">
        <v>189</v>
      </c>
      <c r="K83" s="93">
        <v>17</v>
      </c>
      <c r="L83" s="93">
        <v>17</v>
      </c>
      <c r="M83" s="93" t="s">
        <v>2311</v>
      </c>
      <c r="N83" s="93" t="e">
        <f>VLOOKUP(B83,'[16]01.수집 카테고리(List)'!$A$2:$H$64,8,FALSE)</f>
        <v>#N/A</v>
      </c>
      <c r="O83" s="93"/>
    </row>
    <row r="84" spans="1:15" ht="17.399999999999999" hidden="1">
      <c r="A84" s="75" t="str">
        <f t="shared" si="2"/>
        <v>AESHARAFDGSOUNDBARSound systemالسماعة</v>
      </c>
      <c r="B84" s="94" t="str">
        <f t="shared" si="3"/>
        <v>AE_SHARAFDG</v>
      </c>
      <c r="C84" s="93" t="s">
        <v>498</v>
      </c>
      <c r="D84" s="93" t="s">
        <v>502</v>
      </c>
      <c r="E84" s="93" t="s">
        <v>165</v>
      </c>
      <c r="F84" s="93" t="s">
        <v>2359</v>
      </c>
      <c r="G84" s="93" t="s">
        <v>2360</v>
      </c>
      <c r="H84" s="93" t="e">
        <v>#N/A</v>
      </c>
      <c r="I84" s="105" t="s">
        <v>2310</v>
      </c>
      <c r="J84" s="93" t="s">
        <v>189</v>
      </c>
      <c r="K84" s="93" t="e">
        <v>#N/A</v>
      </c>
      <c r="L84" s="93">
        <v>19</v>
      </c>
      <c r="M84" s="93" t="s">
        <v>2351</v>
      </c>
      <c r="N84" s="93" t="e">
        <f>VLOOKUP(B84,'[16]01.수집 카테고리(List)'!$A$2:$H$64,8,FALSE)</f>
        <v>#N/A</v>
      </c>
      <c r="O84" s="93"/>
    </row>
    <row r="85" spans="1:15" ht="17.399999999999999" hidden="1">
      <c r="A85" s="75" t="str">
        <f t="shared" si="2"/>
        <v>AESHARAFDGSOUNDBARSoundbarsمكبر الصوت</v>
      </c>
      <c r="B85" s="94" t="str">
        <f t="shared" si="3"/>
        <v>AE_SHARAFDG</v>
      </c>
      <c r="C85" s="93" t="s">
        <v>498</v>
      </c>
      <c r="D85" s="93" t="s">
        <v>502</v>
      </c>
      <c r="E85" s="93" t="s">
        <v>165</v>
      </c>
      <c r="F85" s="93" t="s">
        <v>2361</v>
      </c>
      <c r="G85" s="93" t="s">
        <v>2362</v>
      </c>
      <c r="H85" s="93" t="e">
        <v>#N/A</v>
      </c>
      <c r="I85" s="105" t="s">
        <v>2310</v>
      </c>
      <c r="J85" s="93" t="s">
        <v>189</v>
      </c>
      <c r="K85" s="93" t="e">
        <v>#N/A</v>
      </c>
      <c r="L85" s="93">
        <v>287</v>
      </c>
      <c r="M85" s="93" t="s">
        <v>2351</v>
      </c>
      <c r="N85" s="93" t="e">
        <f>VLOOKUP(B85,'[16]01.수집 카테고리(List)'!$A$2:$H$64,8,FALSE)</f>
        <v>#N/A</v>
      </c>
      <c r="O85" s="93"/>
    </row>
    <row r="86" spans="1:15" ht="17.399999999999999" hidden="1">
      <c r="A86" s="75" t="str">
        <f t="shared" si="2"/>
        <v>AESHARAFDGSOUNDBARSoundbarمكبرات الصوت</v>
      </c>
      <c r="B86" s="94" t="str">
        <f t="shared" si="3"/>
        <v>AE_SHARAFDG</v>
      </c>
      <c r="C86" s="93" t="s">
        <v>498</v>
      </c>
      <c r="D86" s="93" t="s">
        <v>502</v>
      </c>
      <c r="E86" s="93" t="s">
        <v>165</v>
      </c>
      <c r="F86" s="93" t="s">
        <v>2363</v>
      </c>
      <c r="G86" s="93" t="s">
        <v>2364</v>
      </c>
      <c r="H86" s="93" t="e">
        <v>#N/A</v>
      </c>
      <c r="I86" s="105" t="s">
        <v>2310</v>
      </c>
      <c r="J86" s="93" t="s">
        <v>189</v>
      </c>
      <c r="K86" s="93" t="e">
        <v>#N/A</v>
      </c>
      <c r="L86" s="93">
        <v>669</v>
      </c>
      <c r="M86" s="93" t="s">
        <v>2351</v>
      </c>
      <c r="N86" s="93" t="e">
        <f>VLOOKUP(B86,'[16]01.수집 카테고리(List)'!$A$2:$H$64,8,FALSE)</f>
        <v>#N/A</v>
      </c>
      <c r="O86" s="93"/>
    </row>
    <row r="87" spans="1:15" ht="17.399999999999999" hidden="1">
      <c r="A87" s="75" t="str">
        <f t="shared" si="2"/>
        <v>AESHARAFDGSOUNDBARSound barمكبرات الصوت</v>
      </c>
      <c r="B87" s="94" t="str">
        <f t="shared" si="3"/>
        <v>AE_SHARAFDG</v>
      </c>
      <c r="C87" s="93" t="s">
        <v>498</v>
      </c>
      <c r="D87" s="93" t="s">
        <v>502</v>
      </c>
      <c r="E87" s="93" t="s">
        <v>165</v>
      </c>
      <c r="F87" s="93" t="s">
        <v>2365</v>
      </c>
      <c r="G87" s="93" t="s">
        <v>2364</v>
      </c>
      <c r="H87" s="93" t="e">
        <v>#N/A</v>
      </c>
      <c r="I87" s="105" t="s">
        <v>2310</v>
      </c>
      <c r="J87" s="93" t="s">
        <v>189</v>
      </c>
      <c r="K87" s="93" t="e">
        <v>#N/A</v>
      </c>
      <c r="L87" s="93">
        <v>178</v>
      </c>
      <c r="M87" s="93" t="s">
        <v>2351</v>
      </c>
      <c r="N87" s="93" t="e">
        <f>VLOOKUP(B87,'[16]01.수집 카테고리(List)'!$A$2:$H$64,8,FALSE)</f>
        <v>#N/A</v>
      </c>
      <c r="O87" s="93"/>
    </row>
    <row r="88" spans="1:15" ht="17.399999999999999" hidden="1">
      <c r="A88" s="75" t="str">
        <f t="shared" si="2"/>
        <v>AESHARAFDGSOUNDBARSound barsنظام الصوت</v>
      </c>
      <c r="B88" s="94" t="str">
        <f t="shared" si="3"/>
        <v>AE_SHARAFDG</v>
      </c>
      <c r="C88" s="93" t="s">
        <v>498</v>
      </c>
      <c r="D88" s="93" t="s">
        <v>502</v>
      </c>
      <c r="E88" s="93" t="s">
        <v>165</v>
      </c>
      <c r="F88" s="93" t="s">
        <v>2366</v>
      </c>
      <c r="G88" s="93" t="s">
        <v>2367</v>
      </c>
      <c r="H88" s="93" t="e">
        <v>#N/A</v>
      </c>
      <c r="I88" s="105" t="s">
        <v>2310</v>
      </c>
      <c r="J88" s="93" t="s">
        <v>189</v>
      </c>
      <c r="K88" s="93" t="e">
        <v>#N/A</v>
      </c>
      <c r="L88" s="93">
        <v>172</v>
      </c>
      <c r="M88" s="93" t="s">
        <v>2351</v>
      </c>
      <c r="N88" s="93" t="e">
        <f>VLOOKUP(B88,'[16]01.수집 카테고리(List)'!$A$2:$H$64,8,FALSE)</f>
        <v>#N/A</v>
      </c>
      <c r="O88" s="93"/>
    </row>
    <row r="89" spans="1:15" hidden="1">
      <c r="A89" s="75" t="str">
        <f t="shared" si="2"/>
        <v>AESHARAFDGTV4k TV4k TV</v>
      </c>
      <c r="B89" s="94" t="str">
        <f t="shared" si="3"/>
        <v>AE_SHARAFDG</v>
      </c>
      <c r="C89" s="93" t="s">
        <v>498</v>
      </c>
      <c r="D89" s="93" t="s">
        <v>502</v>
      </c>
      <c r="E89" s="93" t="s">
        <v>161</v>
      </c>
      <c r="F89" s="93" t="s">
        <v>2368</v>
      </c>
      <c r="G89" s="93" t="s">
        <v>2368</v>
      </c>
      <c r="H89" s="93" t="e">
        <v>#N/A</v>
      </c>
      <c r="I89" s="105" t="s">
        <v>2310</v>
      </c>
      <c r="J89" s="93" t="s">
        <v>189</v>
      </c>
      <c r="K89" s="93">
        <v>41</v>
      </c>
      <c r="L89" s="93">
        <v>41</v>
      </c>
      <c r="M89" s="93" t="s">
        <v>2311</v>
      </c>
      <c r="N89" s="93" t="e">
        <f>VLOOKUP(B89,'[16]01.수집 카테고리(List)'!$A$2:$H$64,8,FALSE)</f>
        <v>#N/A</v>
      </c>
      <c r="O89" s="93"/>
    </row>
    <row r="90" spans="1:15" hidden="1">
      <c r="A90" s="75" t="str">
        <f t="shared" si="2"/>
        <v>AESHARAFDGTVoled TVoled</v>
      </c>
      <c r="B90" s="94" t="str">
        <f t="shared" si="3"/>
        <v>AE_SHARAFDG</v>
      </c>
      <c r="C90" s="93" t="s">
        <v>498</v>
      </c>
      <c r="D90" s="93" t="s">
        <v>502</v>
      </c>
      <c r="E90" s="93" t="s">
        <v>161</v>
      </c>
      <c r="F90" s="93" t="s">
        <v>2369</v>
      </c>
      <c r="G90" s="93" t="s">
        <v>2370</v>
      </c>
      <c r="H90" s="93" t="e">
        <v>#N/A</v>
      </c>
      <c r="I90" s="105" t="s">
        <v>2310</v>
      </c>
      <c r="J90" s="93" t="s">
        <v>189</v>
      </c>
      <c r="K90" s="93">
        <v>92</v>
      </c>
      <c r="L90" s="93" t="e">
        <v>#N/A</v>
      </c>
      <c r="M90" s="93" t="s">
        <v>2311</v>
      </c>
      <c r="N90" s="93" t="e">
        <f>VLOOKUP(B90,'[16]01.수집 카테고리(List)'!$A$2:$H$64,8,FALSE)</f>
        <v>#N/A</v>
      </c>
      <c r="O90" s="93"/>
    </row>
    <row r="91" spans="1:15" hidden="1">
      <c r="A91" s="75" t="str">
        <f t="shared" si="2"/>
        <v>AESHARAFDGTVsmart TVsmart oled</v>
      </c>
      <c r="B91" s="94" t="str">
        <f t="shared" si="3"/>
        <v>AE_SHARAFDG</v>
      </c>
      <c r="C91" s="93" t="s">
        <v>498</v>
      </c>
      <c r="D91" s="93" t="s">
        <v>502</v>
      </c>
      <c r="E91" s="93" t="s">
        <v>161</v>
      </c>
      <c r="F91" s="93" t="s">
        <v>2371</v>
      </c>
      <c r="G91" s="93" t="s">
        <v>2372</v>
      </c>
      <c r="H91" s="93" t="e">
        <v>#N/A</v>
      </c>
      <c r="I91" s="105" t="s">
        <v>2310</v>
      </c>
      <c r="J91" s="93" t="s">
        <v>189</v>
      </c>
      <c r="K91" s="93">
        <v>4</v>
      </c>
      <c r="L91" s="93" t="e">
        <v>#N/A</v>
      </c>
      <c r="M91" s="93" t="s">
        <v>2311</v>
      </c>
      <c r="N91" s="93" t="e">
        <f>VLOOKUP(B91,'[16]01.수집 카테고리(List)'!$A$2:$H$64,8,FALSE)</f>
        <v>#N/A</v>
      </c>
      <c r="O91" s="93"/>
    </row>
    <row r="92" spans="1:15" hidden="1">
      <c r="A92" s="75" t="str">
        <f t="shared" si="2"/>
        <v>AESHARAFDGTVTVTV</v>
      </c>
      <c r="B92" s="94" t="str">
        <f t="shared" si="3"/>
        <v>AE_SHARAFDG</v>
      </c>
      <c r="C92" s="93" t="s">
        <v>498</v>
      </c>
      <c r="D92" s="93" t="s">
        <v>502</v>
      </c>
      <c r="E92" s="93" t="s">
        <v>161</v>
      </c>
      <c r="F92" s="93" t="s">
        <v>161</v>
      </c>
      <c r="G92" s="93" t="s">
        <v>161</v>
      </c>
      <c r="H92" s="93" t="e">
        <v>#N/A</v>
      </c>
      <c r="I92" s="105" t="s">
        <v>2310</v>
      </c>
      <c r="J92" s="93" t="s">
        <v>189</v>
      </c>
      <c r="K92" s="93">
        <v>28</v>
      </c>
      <c r="L92" s="93">
        <v>28</v>
      </c>
      <c r="M92" s="93" t="s">
        <v>2311</v>
      </c>
      <c r="N92" s="93" t="e">
        <f>VLOOKUP(B92,'[16]01.수집 카테고리(List)'!$A$2:$H$64,8,FALSE)</f>
        <v>#N/A</v>
      </c>
      <c r="O92" s="93"/>
    </row>
    <row r="93" spans="1:15" hidden="1">
      <c r="A93" s="75" t="str">
        <f t="shared" si="2"/>
        <v>AESHARAFDGWashing Machinefront loaderfront load washer</v>
      </c>
      <c r="B93" s="94" t="str">
        <f t="shared" si="3"/>
        <v>AE_SHARAFDG</v>
      </c>
      <c r="C93" s="93" t="s">
        <v>498</v>
      </c>
      <c r="D93" s="93" t="s">
        <v>502</v>
      </c>
      <c r="E93" s="93" t="s">
        <v>2333</v>
      </c>
      <c r="F93" s="93" t="s">
        <v>2334</v>
      </c>
      <c r="G93" s="93" t="s">
        <v>2335</v>
      </c>
      <c r="H93" s="93" t="e">
        <v>#N/A</v>
      </c>
      <c r="I93" s="105" t="s">
        <v>2310</v>
      </c>
      <c r="J93" s="93" t="s">
        <v>189</v>
      </c>
      <c r="K93" s="93">
        <v>33</v>
      </c>
      <c r="L93" s="93" t="e">
        <v>#N/A</v>
      </c>
      <c r="M93" s="93" t="s">
        <v>2311</v>
      </c>
      <c r="N93" s="93" t="e">
        <f>VLOOKUP(B93,'[16]01.수집 카테고리(List)'!$A$2:$H$64,8,FALSE)</f>
        <v>#N/A</v>
      </c>
      <c r="O93" s="93"/>
    </row>
    <row r="94" spans="1:15" hidden="1">
      <c r="A94" s="75" t="str">
        <f t="shared" si="2"/>
        <v>AESHARAFDGWashing Machinetop loadertop load washer</v>
      </c>
      <c r="B94" s="94" t="str">
        <f t="shared" si="3"/>
        <v>AE_SHARAFDG</v>
      </c>
      <c r="C94" s="93" t="s">
        <v>498</v>
      </c>
      <c r="D94" s="93" t="s">
        <v>502</v>
      </c>
      <c r="E94" s="93" t="s">
        <v>2333</v>
      </c>
      <c r="F94" s="93" t="s">
        <v>2336</v>
      </c>
      <c r="G94" s="93" t="s">
        <v>2337</v>
      </c>
      <c r="H94" s="93" t="e">
        <v>#N/A</v>
      </c>
      <c r="I94" s="105" t="s">
        <v>2310</v>
      </c>
      <c r="J94" s="93" t="s">
        <v>189</v>
      </c>
      <c r="K94" s="93">
        <v>218</v>
      </c>
      <c r="L94" s="93" t="e">
        <v>#N/A</v>
      </c>
      <c r="M94" s="93" t="s">
        <v>2311</v>
      </c>
      <c r="N94" s="93" t="e">
        <f>VLOOKUP(B94,'[16]01.수집 카테고리(List)'!$A$2:$H$64,8,FALSE)</f>
        <v>#N/A</v>
      </c>
      <c r="O94" s="93"/>
    </row>
    <row r="95" spans="1:15" hidden="1">
      <c r="A95" s="75" t="str">
        <f t="shared" si="2"/>
        <v>AESHARAFDGWashing Machinewasher dryer combowasher dryer</v>
      </c>
      <c r="B95" s="94" t="str">
        <f t="shared" si="3"/>
        <v>AE_SHARAFDG</v>
      </c>
      <c r="C95" s="93" t="s">
        <v>498</v>
      </c>
      <c r="D95" s="93" t="s">
        <v>502</v>
      </c>
      <c r="E95" s="93" t="s">
        <v>2333</v>
      </c>
      <c r="F95" s="93" t="s">
        <v>2338</v>
      </c>
      <c r="G95" s="93" t="s">
        <v>2339</v>
      </c>
      <c r="H95" s="93" t="e">
        <v>#N/A</v>
      </c>
      <c r="I95" s="105" t="s">
        <v>2310</v>
      </c>
      <c r="J95" s="93" t="s">
        <v>189</v>
      </c>
      <c r="K95" s="93">
        <v>71</v>
      </c>
      <c r="L95" s="93" t="e">
        <v>#N/A</v>
      </c>
      <c r="M95" s="93" t="s">
        <v>2311</v>
      </c>
      <c r="N95" s="93" t="e">
        <f>VLOOKUP(B95,'[16]01.수집 카테고리(List)'!$A$2:$H$64,8,FALSE)</f>
        <v>#N/A</v>
      </c>
      <c r="O95" s="93"/>
    </row>
    <row r="96" spans="1:15" hidden="1">
      <c r="A96" s="75" t="str">
        <f t="shared" si="2"/>
        <v>AESHARAFDGWashing Machinewashing machinewashing machine</v>
      </c>
      <c r="B96" s="94" t="str">
        <f t="shared" si="3"/>
        <v>AE_SHARAFDG</v>
      </c>
      <c r="C96" s="93" t="s">
        <v>498</v>
      </c>
      <c r="D96" s="93" t="s">
        <v>502</v>
      </c>
      <c r="E96" s="93" t="s">
        <v>2333</v>
      </c>
      <c r="F96" s="93" t="s">
        <v>2340</v>
      </c>
      <c r="G96" s="93" t="s">
        <v>2340</v>
      </c>
      <c r="H96" s="93" t="e">
        <v>#N/A</v>
      </c>
      <c r="I96" s="105" t="s">
        <v>2310</v>
      </c>
      <c r="J96" s="93" t="s">
        <v>189</v>
      </c>
      <c r="K96" s="93">
        <v>94</v>
      </c>
      <c r="L96" s="93">
        <v>94</v>
      </c>
      <c r="M96" s="93" t="s">
        <v>2311</v>
      </c>
      <c r="N96" s="93" t="e">
        <f>VLOOKUP(B96,'[16]01.수집 카테고리(List)'!$A$2:$H$64,8,FALSE)</f>
        <v>#N/A</v>
      </c>
      <c r="O96" s="93"/>
    </row>
    <row r="97" spans="1:15" ht="17.399999999999999" hidden="1">
      <c r="A97" s="75" t="str">
        <f t="shared" si="2"/>
        <v>AESHARAFDGWireless HeadsetTrue wireless earbudsسماعات أذن بلوتوث</v>
      </c>
      <c r="B97" s="94" t="str">
        <f t="shared" si="3"/>
        <v>AE_SHARAFDG</v>
      </c>
      <c r="C97" s="93" t="s">
        <v>498</v>
      </c>
      <c r="D97" s="93" t="s">
        <v>502</v>
      </c>
      <c r="E97" s="93" t="s">
        <v>2373</v>
      </c>
      <c r="F97" s="93" t="s">
        <v>2374</v>
      </c>
      <c r="G97" s="93" t="s">
        <v>2375</v>
      </c>
      <c r="H97" s="93" t="e">
        <v>#N/A</v>
      </c>
      <c r="I97" s="105" t="s">
        <v>2310</v>
      </c>
      <c r="J97" s="93" t="s">
        <v>189</v>
      </c>
      <c r="K97" s="93" t="e">
        <v>#N/A</v>
      </c>
      <c r="L97" s="93">
        <v>7</v>
      </c>
      <c r="M97" s="93" t="s">
        <v>2351</v>
      </c>
      <c r="N97" s="93" t="e">
        <f>VLOOKUP(B97,'[16]01.수집 카테고리(List)'!$A$2:$H$64,8,FALSE)</f>
        <v>#N/A</v>
      </c>
      <c r="O97" s="93"/>
    </row>
    <row r="98" spans="1:15" ht="17.399999999999999" hidden="1">
      <c r="A98" s="75" t="str">
        <f t="shared" si="2"/>
        <v>AESHARAFDGWireless HeadsetWireless earbudsسماعات أذن حقيقة لاسلكية</v>
      </c>
      <c r="B98" s="94" t="str">
        <f t="shared" si="3"/>
        <v>AE_SHARAFDG</v>
      </c>
      <c r="C98" s="93" t="s">
        <v>498</v>
      </c>
      <c r="D98" s="93" t="s">
        <v>502</v>
      </c>
      <c r="E98" s="93" t="s">
        <v>2373</v>
      </c>
      <c r="F98" s="93" t="s">
        <v>2376</v>
      </c>
      <c r="G98" s="93" t="s">
        <v>2377</v>
      </c>
      <c r="H98" s="93" t="e">
        <v>#N/A</v>
      </c>
      <c r="I98" s="105" t="s">
        <v>2310</v>
      </c>
      <c r="J98" s="93" t="s">
        <v>189</v>
      </c>
      <c r="K98" s="93" t="e">
        <v>#N/A</v>
      </c>
      <c r="L98" s="93">
        <v>68</v>
      </c>
      <c r="M98" s="93" t="s">
        <v>2351</v>
      </c>
      <c r="N98" s="93" t="e">
        <f>VLOOKUP(B98,'[16]01.수집 카테고리(List)'!$A$2:$H$64,8,FALSE)</f>
        <v>#N/A</v>
      </c>
      <c r="O98" s="93"/>
    </row>
    <row r="99" spans="1:15" ht="17.399999999999999" hidden="1">
      <c r="A99" s="75" t="str">
        <f t="shared" si="2"/>
        <v>AESHARAFDGWireless HeadsetNoise cancelling earbudsسماعات الأذن اللاسلكية</v>
      </c>
      <c r="B99" s="94" t="str">
        <f t="shared" si="3"/>
        <v>AE_SHARAFDG</v>
      </c>
      <c r="C99" s="93" t="s">
        <v>498</v>
      </c>
      <c r="D99" s="93" t="s">
        <v>502</v>
      </c>
      <c r="E99" s="93" t="s">
        <v>2373</v>
      </c>
      <c r="F99" s="93" t="s">
        <v>2378</v>
      </c>
      <c r="G99" s="93" t="s">
        <v>2379</v>
      </c>
      <c r="H99" s="93" t="e">
        <v>#N/A</v>
      </c>
      <c r="I99" s="105" t="s">
        <v>2310</v>
      </c>
      <c r="J99" s="93" t="s">
        <v>189</v>
      </c>
      <c r="K99" s="93" t="e">
        <v>#N/A</v>
      </c>
      <c r="L99" s="93">
        <v>2</v>
      </c>
      <c r="M99" s="93" t="s">
        <v>2351</v>
      </c>
      <c r="N99" s="93" t="e">
        <f>VLOOKUP(B99,'[16]01.수집 카테고리(List)'!$A$2:$H$64,8,FALSE)</f>
        <v>#N/A</v>
      </c>
      <c r="O99" s="93"/>
    </row>
    <row r="100" spans="1:15" ht="14.4" hidden="1">
      <c r="A100" s="75" t="str">
        <f t="shared" si="2"/>
        <v>AESHARAFDGWireless HeadsetEar budsسماعات الأذن المبعدة للضوضاء</v>
      </c>
      <c r="B100" s="94" t="str">
        <f t="shared" si="3"/>
        <v>AE_SHARAFDG</v>
      </c>
      <c r="C100" s="93" t="s">
        <v>498</v>
      </c>
      <c r="D100" s="93" t="s">
        <v>502</v>
      </c>
      <c r="E100" s="93" t="s">
        <v>2373</v>
      </c>
      <c r="F100" s="93" t="s">
        <v>2380</v>
      </c>
      <c r="G100" s="93" t="s">
        <v>2383</v>
      </c>
      <c r="H100" s="93" t="e">
        <v>#N/A</v>
      </c>
      <c r="I100" s="105" t="s">
        <v>2310</v>
      </c>
      <c r="J100" s="93" t="s">
        <v>189</v>
      </c>
      <c r="K100" s="93" t="e">
        <v>#N/A</v>
      </c>
      <c r="L100" s="93">
        <v>20</v>
      </c>
      <c r="M100" s="93" t="s">
        <v>2351</v>
      </c>
      <c r="N100" s="93" t="e">
        <f>VLOOKUP(B100,'[16]01.수집 카테고리(List)'!$A$2:$H$64,8,FALSE)</f>
        <v>#N/A</v>
      </c>
      <c r="O100" s="93"/>
    </row>
    <row r="101" spans="1:15" ht="17.399999999999999" hidden="1">
      <c r="A101" s="75" t="str">
        <f t="shared" si="2"/>
        <v>AESHARAFDGWireless HeadsetBluetooth earbudsسماعات بلوتوث</v>
      </c>
      <c r="B101" s="94" t="str">
        <f t="shared" si="3"/>
        <v>AE_SHARAFDG</v>
      </c>
      <c r="C101" s="93" t="s">
        <v>498</v>
      </c>
      <c r="D101" s="93" t="s">
        <v>502</v>
      </c>
      <c r="E101" s="93" t="s">
        <v>2373</v>
      </c>
      <c r="F101" s="93" t="s">
        <v>2382</v>
      </c>
      <c r="G101" s="93" t="s">
        <v>2317</v>
      </c>
      <c r="H101" s="93" t="e">
        <v>#N/A</v>
      </c>
      <c r="I101" s="105" t="s">
        <v>2310</v>
      </c>
      <c r="J101" s="93" t="s">
        <v>189</v>
      </c>
      <c r="K101" s="93" t="e">
        <v>#N/A</v>
      </c>
      <c r="L101" s="93">
        <v>5</v>
      </c>
      <c r="M101" s="93" t="s">
        <v>2351</v>
      </c>
      <c r="N101" s="93" t="e">
        <f>VLOOKUP(B101,'[16]01.수집 카테고리(List)'!$A$2:$H$64,8,FALSE)</f>
        <v>#N/A</v>
      </c>
      <c r="O101" s="93"/>
    </row>
    <row r="102" spans="1:15" hidden="1">
      <c r="A102" s="75" t="str">
        <f t="shared" si="2"/>
        <v>ATMEDIAMARKTMONITOR4k monitor4K monitor</v>
      </c>
      <c r="B102" s="94" t="str">
        <f t="shared" si="3"/>
        <v>AT_MEDIAMARKT</v>
      </c>
      <c r="C102" s="93" t="s">
        <v>430</v>
      </c>
      <c r="D102" s="93" t="s">
        <v>264</v>
      </c>
      <c r="E102" s="93" t="s">
        <v>2384</v>
      </c>
      <c r="F102" s="93" t="s">
        <v>2321</v>
      </c>
      <c r="G102" s="93" t="s">
        <v>2385</v>
      </c>
      <c r="H102" s="93" t="e">
        <v>#N/A</v>
      </c>
      <c r="I102" s="105" t="s">
        <v>2310</v>
      </c>
      <c r="J102" s="93" t="s">
        <v>189</v>
      </c>
      <c r="K102" s="93">
        <v>2</v>
      </c>
      <c r="L102" s="93">
        <v>2</v>
      </c>
      <c r="M102" s="93" t="s">
        <v>2311</v>
      </c>
      <c r="N102" s="93" t="e">
        <f>VLOOKUP(B102,'[16]01.수집 카테고리(List)'!$A$2:$H$64,8,FALSE)</f>
        <v>#N/A</v>
      </c>
      <c r="O102" s="93"/>
    </row>
    <row r="103" spans="1:15" hidden="1">
      <c r="A103" s="75" t="str">
        <f t="shared" si="2"/>
        <v>ATMEDIAMARKTMONITORgaming monitorgaming monitor</v>
      </c>
      <c r="B103" s="94" t="str">
        <f t="shared" si="3"/>
        <v>AT_MEDIAMARKT</v>
      </c>
      <c r="C103" s="93" t="s">
        <v>430</v>
      </c>
      <c r="D103" s="93" t="s">
        <v>264</v>
      </c>
      <c r="E103" s="93" t="s">
        <v>2384</v>
      </c>
      <c r="F103" s="93" t="s">
        <v>2322</v>
      </c>
      <c r="G103" s="93" t="s">
        <v>2322</v>
      </c>
      <c r="H103" s="93" t="e">
        <v>#N/A</v>
      </c>
      <c r="I103" s="105" t="s">
        <v>2310</v>
      </c>
      <c r="J103" s="93" t="s">
        <v>189</v>
      </c>
      <c r="K103" s="93">
        <v>14</v>
      </c>
      <c r="L103" s="93">
        <v>14</v>
      </c>
      <c r="M103" s="93" t="s">
        <v>2311</v>
      </c>
      <c r="N103" s="93" t="e">
        <f>VLOOKUP(B103,'[16]01.수집 카테고리(List)'!$A$2:$H$64,8,FALSE)</f>
        <v>#N/A</v>
      </c>
      <c r="O103" s="93"/>
    </row>
    <row r="104" spans="1:15" hidden="1">
      <c r="A104" s="75" t="str">
        <f t="shared" si="2"/>
        <v>ATMEDIAMARKTMONITORmonitormonitor</v>
      </c>
      <c r="B104" s="94" t="str">
        <f t="shared" si="3"/>
        <v>AT_MEDIAMARKT</v>
      </c>
      <c r="C104" s="93" t="s">
        <v>430</v>
      </c>
      <c r="D104" s="93" t="s">
        <v>264</v>
      </c>
      <c r="E104" s="93" t="s">
        <v>2384</v>
      </c>
      <c r="F104" s="93" t="s">
        <v>2323</v>
      </c>
      <c r="G104" s="93" t="s">
        <v>2323</v>
      </c>
      <c r="H104" s="93" t="e">
        <v>#N/A</v>
      </c>
      <c r="I104" s="105" t="s">
        <v>2310</v>
      </c>
      <c r="J104" s="93" t="s">
        <v>189</v>
      </c>
      <c r="K104" s="93">
        <v>13</v>
      </c>
      <c r="L104" s="93">
        <v>13</v>
      </c>
      <c r="M104" s="93" t="s">
        <v>2311</v>
      </c>
      <c r="N104" s="93" t="e">
        <f>VLOOKUP(B104,'[16]01.수집 카테고리(List)'!$A$2:$H$64,8,FALSE)</f>
        <v>#N/A</v>
      </c>
      <c r="O104" s="93"/>
    </row>
    <row r="105" spans="1:15" hidden="1">
      <c r="A105" s="75" t="str">
        <f t="shared" si="2"/>
        <v>ATMEDIAMARKTMONITORuhd monitorUHD monitor</v>
      </c>
      <c r="B105" s="94" t="str">
        <f t="shared" si="3"/>
        <v>AT_MEDIAMARKT</v>
      </c>
      <c r="C105" s="93" t="s">
        <v>430</v>
      </c>
      <c r="D105" s="93" t="s">
        <v>264</v>
      </c>
      <c r="E105" s="93" t="s">
        <v>2384</v>
      </c>
      <c r="F105" s="93" t="s">
        <v>2324</v>
      </c>
      <c r="G105" s="93" t="s">
        <v>2386</v>
      </c>
      <c r="H105" s="93" t="e">
        <v>#N/A</v>
      </c>
      <c r="I105" s="105" t="s">
        <v>2310</v>
      </c>
      <c r="J105" s="93" t="s">
        <v>189</v>
      </c>
      <c r="K105" s="93">
        <v>33</v>
      </c>
      <c r="L105" s="93">
        <v>33</v>
      </c>
      <c r="M105" s="93" t="s">
        <v>2311</v>
      </c>
      <c r="N105" s="93" t="e">
        <f>VLOOKUP(B105,'[16]01.수집 카테고리(List)'!$A$2:$H$64,8,FALSE)</f>
        <v>#N/A</v>
      </c>
      <c r="O105" s="93"/>
    </row>
    <row r="106" spans="1:15" hidden="1">
      <c r="A106" s="75" t="str">
        <f t="shared" si="2"/>
        <v>ATMEDIAMARKTMONITORultrawide monitorultrawide monitor</v>
      </c>
      <c r="B106" s="94" t="str">
        <f t="shared" si="3"/>
        <v>AT_MEDIAMARKT</v>
      </c>
      <c r="C106" s="93" t="s">
        <v>430</v>
      </c>
      <c r="D106" s="93" t="s">
        <v>264</v>
      </c>
      <c r="E106" s="93" t="s">
        <v>2384</v>
      </c>
      <c r="F106" s="93" t="s">
        <v>2325</v>
      </c>
      <c r="G106" s="93" t="s">
        <v>2325</v>
      </c>
      <c r="H106" s="93" t="e">
        <v>#N/A</v>
      </c>
      <c r="I106" s="105" t="s">
        <v>2310</v>
      </c>
      <c r="J106" s="93" t="s">
        <v>189</v>
      </c>
      <c r="K106" s="93">
        <v>27</v>
      </c>
      <c r="L106" s="93">
        <v>27</v>
      </c>
      <c r="M106" s="93" t="s">
        <v>2311</v>
      </c>
      <c r="N106" s="93" t="e">
        <f>VLOOKUP(B106,'[16]01.수집 카테고리(List)'!$A$2:$H$64,8,FALSE)</f>
        <v>#N/A</v>
      </c>
      <c r="O106" s="93"/>
    </row>
    <row r="107" spans="1:15" hidden="1">
      <c r="A107" s="75" t="str">
        <f t="shared" si="2"/>
        <v>ATMEDIAMARKTREFRIGERATORfrench door refrigeratorFrench-Door-Kühlschrank</v>
      </c>
      <c r="B107" s="94" t="str">
        <f t="shared" si="3"/>
        <v>AT_MEDIAMARKT</v>
      </c>
      <c r="C107" s="93" t="s">
        <v>430</v>
      </c>
      <c r="D107" s="93" t="s">
        <v>264</v>
      </c>
      <c r="E107" s="93" t="s">
        <v>2387</v>
      </c>
      <c r="F107" s="93" t="s">
        <v>2328</v>
      </c>
      <c r="G107" s="93" t="s">
        <v>2388</v>
      </c>
      <c r="H107" s="93" t="e">
        <v>#N/A</v>
      </c>
      <c r="I107" s="105" t="s">
        <v>2310</v>
      </c>
      <c r="J107" s="93" t="s">
        <v>189</v>
      </c>
      <c r="K107" s="93">
        <v>182</v>
      </c>
      <c r="L107" s="93" t="e">
        <v>#N/A</v>
      </c>
      <c r="M107" s="93" t="s">
        <v>2311</v>
      </c>
      <c r="N107" s="93" t="e">
        <f>VLOOKUP(B107,'[16]01.수집 카테고리(List)'!$A$2:$H$64,8,FALSE)</f>
        <v>#N/A</v>
      </c>
      <c r="O107" s="93"/>
    </row>
    <row r="108" spans="1:15" hidden="1">
      <c r="A108" s="75" t="str">
        <f t="shared" si="2"/>
        <v>ATMEDIAMARKTREFRIGERATORrefrigeratorKühlschrank</v>
      </c>
      <c r="B108" s="94" t="str">
        <f t="shared" si="3"/>
        <v>AT_MEDIAMARKT</v>
      </c>
      <c r="C108" s="93" t="s">
        <v>430</v>
      </c>
      <c r="D108" s="93" t="s">
        <v>264</v>
      </c>
      <c r="E108" s="93" t="s">
        <v>2387</v>
      </c>
      <c r="F108" s="93" t="s">
        <v>2329</v>
      </c>
      <c r="G108" s="93" t="s">
        <v>2389</v>
      </c>
      <c r="H108" s="93" t="e">
        <v>#N/A</v>
      </c>
      <c r="I108" s="105" t="s">
        <v>2310</v>
      </c>
      <c r="J108" s="93" t="s">
        <v>189</v>
      </c>
      <c r="K108" s="93">
        <v>108</v>
      </c>
      <c r="L108" s="93" t="e">
        <v>#N/A</v>
      </c>
      <c r="M108" s="93" t="s">
        <v>2311</v>
      </c>
      <c r="N108" s="93" t="e">
        <f>VLOOKUP(B108,'[16]01.수집 카테고리(List)'!$A$2:$H$64,8,FALSE)</f>
        <v>#N/A</v>
      </c>
      <c r="O108" s="93"/>
    </row>
    <row r="109" spans="1:15" hidden="1">
      <c r="A109" s="75" t="str">
        <f t="shared" si="2"/>
        <v>ATMEDIAMARKTREFRIGERATORtop freezer refrigeratorKühlschrank Gefrierfach oben</v>
      </c>
      <c r="B109" s="94" t="str">
        <f t="shared" si="3"/>
        <v>AT_MEDIAMARKT</v>
      </c>
      <c r="C109" s="93" t="s">
        <v>430</v>
      </c>
      <c r="D109" s="93" t="s">
        <v>264</v>
      </c>
      <c r="E109" s="93" t="s">
        <v>2387</v>
      </c>
      <c r="F109" s="93" t="s">
        <v>2332</v>
      </c>
      <c r="G109" s="93" t="s">
        <v>2390</v>
      </c>
      <c r="H109" s="93" t="e">
        <v>#N/A</v>
      </c>
      <c r="I109" s="105" t="s">
        <v>2310</v>
      </c>
      <c r="J109" s="93" t="s">
        <v>189</v>
      </c>
      <c r="K109" s="93">
        <v>27</v>
      </c>
      <c r="L109" s="93" t="e">
        <v>#N/A</v>
      </c>
      <c r="M109" s="93" t="s">
        <v>2311</v>
      </c>
      <c r="N109" s="93" t="e">
        <f>VLOOKUP(B109,'[16]01.수집 카테고리(List)'!$A$2:$H$64,8,FALSE)</f>
        <v>#N/A</v>
      </c>
      <c r="O109" s="93"/>
    </row>
    <row r="110" spans="1:15" ht="14.4" hidden="1">
      <c r="A110" s="75" t="str">
        <f t="shared" si="2"/>
        <v>ATMEDIAMARKTREFRIGERATORbottom freezer refrigeratorKühlschrank Gefrierfach unten</v>
      </c>
      <c r="B110" s="94" t="str">
        <f t="shared" si="3"/>
        <v>AT_MEDIAMARKT</v>
      </c>
      <c r="C110" s="93" t="s">
        <v>430</v>
      </c>
      <c r="D110" s="93" t="s">
        <v>264</v>
      </c>
      <c r="E110" s="93" t="s">
        <v>2391</v>
      </c>
      <c r="F110" s="93" t="s">
        <v>2327</v>
      </c>
      <c r="G110" s="93" t="s">
        <v>2392</v>
      </c>
      <c r="H110" s="93" t="e">
        <v>#N/A</v>
      </c>
      <c r="I110" s="105" t="s">
        <v>2310</v>
      </c>
      <c r="J110" s="93" t="s">
        <v>189</v>
      </c>
      <c r="K110" s="93" t="e">
        <v>#N/A</v>
      </c>
      <c r="L110" s="93" t="e">
        <v>#N/A</v>
      </c>
      <c r="M110" s="93" t="s">
        <v>2393</v>
      </c>
      <c r="N110" s="93" t="e">
        <f>VLOOKUP(B110,'[16]01.수집 카테고리(List)'!$A$2:$H$64,8,FALSE)</f>
        <v>#N/A</v>
      </c>
      <c r="O110" s="93"/>
    </row>
    <row r="111" spans="1:15" hidden="1">
      <c r="A111" s="75" t="str">
        <f t="shared" si="2"/>
        <v>ATMEDIAMARKTREFRIGERATORside by side refrigeratorSide-by-Side-Kühlschrank</v>
      </c>
      <c r="B111" s="94" t="str">
        <f t="shared" si="3"/>
        <v>AT_MEDIAMARKT</v>
      </c>
      <c r="C111" s="93" t="s">
        <v>430</v>
      </c>
      <c r="D111" s="93" t="s">
        <v>264</v>
      </c>
      <c r="E111" s="93" t="s">
        <v>2387</v>
      </c>
      <c r="F111" s="93" t="s">
        <v>2330</v>
      </c>
      <c r="G111" s="93" t="s">
        <v>2394</v>
      </c>
      <c r="H111" s="93" t="e">
        <v>#N/A</v>
      </c>
      <c r="I111" s="105" t="s">
        <v>2310</v>
      </c>
      <c r="J111" s="93" t="s">
        <v>189</v>
      </c>
      <c r="K111" s="93">
        <v>4</v>
      </c>
      <c r="L111" s="93" t="e">
        <v>#N/A</v>
      </c>
      <c r="M111" s="93" t="s">
        <v>2311</v>
      </c>
      <c r="N111" s="93" t="e">
        <f>VLOOKUP(B111,'[16]01.수집 카테고리(List)'!$A$2:$H$64,8,FALSE)</f>
        <v>#N/A</v>
      </c>
      <c r="O111" s="93"/>
    </row>
    <row r="112" spans="1:15" hidden="1">
      <c r="A112" s="75" t="str">
        <f t="shared" si="2"/>
        <v>ATMEDIAMARKTTV4k TV4K Fernseher</v>
      </c>
      <c r="B112" s="94" t="str">
        <f t="shared" si="3"/>
        <v>AT_MEDIAMARKT</v>
      </c>
      <c r="C112" s="93" t="s">
        <v>430</v>
      </c>
      <c r="D112" s="93" t="s">
        <v>264</v>
      </c>
      <c r="E112" s="93" t="s">
        <v>161</v>
      </c>
      <c r="F112" s="93" t="s">
        <v>2368</v>
      </c>
      <c r="G112" s="93" t="s">
        <v>2395</v>
      </c>
      <c r="H112" s="93" t="e">
        <v>#N/A</v>
      </c>
      <c r="I112" s="105" t="s">
        <v>2310</v>
      </c>
      <c r="J112" s="93" t="s">
        <v>189</v>
      </c>
      <c r="K112" s="93" t="e">
        <v>#N/A</v>
      </c>
      <c r="L112" s="93">
        <v>41</v>
      </c>
      <c r="M112" s="93" t="s">
        <v>2351</v>
      </c>
      <c r="N112" s="93" t="e">
        <f>VLOOKUP(B112,'[16]01.수집 카테고리(List)'!$A$2:$H$64,8,FALSE)</f>
        <v>#N/A</v>
      </c>
      <c r="O112" s="93"/>
    </row>
    <row r="113" spans="1:15" hidden="1">
      <c r="A113" s="75" t="str">
        <f t="shared" si="2"/>
        <v>ATMEDIAMARKTTVoled TVDu bist im Fernsehen</v>
      </c>
      <c r="B113" s="94" t="str">
        <f t="shared" si="3"/>
        <v>AT_MEDIAMARKT</v>
      </c>
      <c r="C113" s="93" t="s">
        <v>430</v>
      </c>
      <c r="D113" s="93" t="s">
        <v>264</v>
      </c>
      <c r="E113" s="93" t="s">
        <v>161</v>
      </c>
      <c r="F113" s="93" t="s">
        <v>2369</v>
      </c>
      <c r="G113" s="93" t="s">
        <v>2396</v>
      </c>
      <c r="H113" s="93" t="e">
        <v>#N/A</v>
      </c>
      <c r="I113" s="105" t="s">
        <v>2310</v>
      </c>
      <c r="J113" s="93" t="s">
        <v>189</v>
      </c>
      <c r="K113" s="93" t="e">
        <v>#N/A</v>
      </c>
      <c r="L113" s="93">
        <v>21</v>
      </c>
      <c r="M113" s="93" t="s">
        <v>2351</v>
      </c>
      <c r="N113" s="93" t="e">
        <f>VLOOKUP(B113,'[16]01.수집 카테고리(List)'!$A$2:$H$64,8,FALSE)</f>
        <v>#N/A</v>
      </c>
      <c r="O113" s="93"/>
    </row>
    <row r="114" spans="1:15" hidden="1">
      <c r="A114" s="75" t="str">
        <f t="shared" si="2"/>
        <v>ATMEDIAMARKTTVTVFernseher</v>
      </c>
      <c r="B114" s="94" t="str">
        <f t="shared" si="3"/>
        <v>AT_MEDIAMARKT</v>
      </c>
      <c r="C114" s="93" t="s">
        <v>430</v>
      </c>
      <c r="D114" s="93" t="s">
        <v>264</v>
      </c>
      <c r="E114" s="93" t="s">
        <v>161</v>
      </c>
      <c r="F114" s="93" t="s">
        <v>161</v>
      </c>
      <c r="G114" s="93" t="s">
        <v>2397</v>
      </c>
      <c r="H114" s="93" t="e">
        <v>#N/A</v>
      </c>
      <c r="I114" s="105" t="s">
        <v>2310</v>
      </c>
      <c r="J114" s="93" t="s">
        <v>189</v>
      </c>
      <c r="K114" s="93" t="e">
        <v>#N/A</v>
      </c>
      <c r="L114" s="93">
        <v>44</v>
      </c>
      <c r="M114" s="93" t="s">
        <v>2351</v>
      </c>
      <c r="N114" s="93" t="e">
        <f>VLOOKUP(B114,'[16]01.수집 카테고리(List)'!$A$2:$H$64,8,FALSE)</f>
        <v>#N/A</v>
      </c>
      <c r="O114" s="93"/>
    </row>
    <row r="115" spans="1:15" hidden="1">
      <c r="A115" s="75" t="str">
        <f t="shared" si="2"/>
        <v>ATMEDIAMARKTTVsmart TVfernseher smart</v>
      </c>
      <c r="B115" s="94" t="str">
        <f t="shared" si="3"/>
        <v>AT_MEDIAMARKT</v>
      </c>
      <c r="C115" s="93" t="s">
        <v>430</v>
      </c>
      <c r="D115" s="93" t="s">
        <v>264</v>
      </c>
      <c r="E115" s="93" t="s">
        <v>161</v>
      </c>
      <c r="F115" s="93" t="s">
        <v>2371</v>
      </c>
      <c r="G115" s="93" t="s">
        <v>2398</v>
      </c>
      <c r="H115" s="93" t="e">
        <v>#N/A</v>
      </c>
      <c r="I115" s="105" t="s">
        <v>2310</v>
      </c>
      <c r="J115" s="93" t="s">
        <v>189</v>
      </c>
      <c r="K115" s="93" t="e">
        <v>#N/A</v>
      </c>
      <c r="L115" s="93">
        <v>34</v>
      </c>
      <c r="M115" s="93" t="s">
        <v>2351</v>
      </c>
      <c r="N115" s="93" t="e">
        <f>VLOOKUP(B115,'[16]01.수집 카테고리(List)'!$A$2:$H$64,8,FALSE)</f>
        <v>#N/A</v>
      </c>
      <c r="O115" s="93"/>
    </row>
    <row r="116" spans="1:15" hidden="1">
      <c r="A116" s="75" t="str">
        <f t="shared" si="2"/>
        <v>ATMEDIAMARKTTVuhd TVuhd fernseher</v>
      </c>
      <c r="B116" s="94" t="str">
        <f t="shared" si="3"/>
        <v>AT_MEDIAMARKT</v>
      </c>
      <c r="C116" s="93" t="s">
        <v>430</v>
      </c>
      <c r="D116" s="93" t="s">
        <v>264</v>
      </c>
      <c r="E116" s="93" t="s">
        <v>161</v>
      </c>
      <c r="F116" s="93" t="s">
        <v>2399</v>
      </c>
      <c r="G116" s="93" t="s">
        <v>2400</v>
      </c>
      <c r="H116" s="93" t="e">
        <v>#N/A</v>
      </c>
      <c r="I116" s="105" t="s">
        <v>2310</v>
      </c>
      <c r="J116" s="93" t="s">
        <v>189</v>
      </c>
      <c r="K116" s="93" t="e">
        <v>#N/A</v>
      </c>
      <c r="L116" s="93">
        <v>31</v>
      </c>
      <c r="M116" s="93" t="s">
        <v>2351</v>
      </c>
      <c r="N116" s="93" t="e">
        <f>VLOOKUP(B116,'[16]01.수집 카테고리(List)'!$A$2:$H$64,8,FALSE)</f>
        <v>#N/A</v>
      </c>
      <c r="O116" s="93"/>
    </row>
    <row r="117" spans="1:15" hidden="1">
      <c r="A117" s="75" t="str">
        <f t="shared" si="2"/>
        <v>ATMEDIAMARKTWASHING MACHINEfront load washerFrontlader-Waschmaschine</v>
      </c>
      <c r="B117" s="94" t="str">
        <f t="shared" si="3"/>
        <v>AT_MEDIAMARKT</v>
      </c>
      <c r="C117" s="93" t="s">
        <v>430</v>
      </c>
      <c r="D117" s="93" t="s">
        <v>264</v>
      </c>
      <c r="E117" s="93" t="s">
        <v>2401</v>
      </c>
      <c r="F117" s="93" t="s">
        <v>2335</v>
      </c>
      <c r="G117" s="93" t="s">
        <v>2402</v>
      </c>
      <c r="H117" s="93" t="e">
        <v>#N/A</v>
      </c>
      <c r="I117" s="105" t="s">
        <v>2310</v>
      </c>
      <c r="J117" s="93" t="s">
        <v>189</v>
      </c>
      <c r="K117" s="93">
        <v>28</v>
      </c>
      <c r="L117" s="93" t="e">
        <v>#N/A</v>
      </c>
      <c r="M117" s="93" t="s">
        <v>2311</v>
      </c>
      <c r="N117" s="93" t="e">
        <f>VLOOKUP(B117,'[16]01.수집 카테고리(List)'!$A$2:$H$64,8,FALSE)</f>
        <v>#N/A</v>
      </c>
      <c r="O117" s="93"/>
    </row>
    <row r="118" spans="1:15" hidden="1">
      <c r="A118" s="75" t="str">
        <f t="shared" si="2"/>
        <v>ATMEDIAMARKTWASHING MACHINEtop load washertoplader waschmaschine</v>
      </c>
      <c r="B118" s="94" t="str">
        <f t="shared" si="3"/>
        <v>AT_MEDIAMARKT</v>
      </c>
      <c r="C118" s="93" t="s">
        <v>430</v>
      </c>
      <c r="D118" s="93" t="s">
        <v>264</v>
      </c>
      <c r="E118" s="93" t="s">
        <v>2401</v>
      </c>
      <c r="F118" s="93" t="s">
        <v>2337</v>
      </c>
      <c r="G118" s="93" t="s">
        <v>2403</v>
      </c>
      <c r="H118" s="93" t="e">
        <v>#N/A</v>
      </c>
      <c r="I118" s="105" t="s">
        <v>2310</v>
      </c>
      <c r="J118" s="93" t="s">
        <v>189</v>
      </c>
      <c r="K118" s="93">
        <v>72</v>
      </c>
      <c r="L118" s="93" t="e">
        <v>#N/A</v>
      </c>
      <c r="M118" s="93" t="s">
        <v>2311</v>
      </c>
      <c r="N118" s="93" t="e">
        <f>VLOOKUP(B118,'[16]01.수집 카테고리(List)'!$A$2:$H$64,8,FALSE)</f>
        <v>#N/A</v>
      </c>
      <c r="O118" s="93"/>
    </row>
    <row r="119" spans="1:15" hidden="1">
      <c r="A119" s="75" t="str">
        <f t="shared" si="2"/>
        <v>ATMEDIAMARKTWASHING MACHINEfront load washerwaschmaschine frontlader</v>
      </c>
      <c r="B119" s="94" t="str">
        <f t="shared" si="3"/>
        <v>AT_MEDIAMARKT</v>
      </c>
      <c r="C119" s="93" t="s">
        <v>430</v>
      </c>
      <c r="D119" s="93" t="s">
        <v>264</v>
      </c>
      <c r="E119" s="93" t="s">
        <v>2401</v>
      </c>
      <c r="F119" s="93" t="s">
        <v>2335</v>
      </c>
      <c r="G119" s="93" t="s">
        <v>2404</v>
      </c>
      <c r="H119" s="93" t="e">
        <v>#N/A</v>
      </c>
      <c r="I119" s="105" t="s">
        <v>2310</v>
      </c>
      <c r="J119" s="93" t="s">
        <v>189</v>
      </c>
      <c r="K119" s="93">
        <v>27</v>
      </c>
      <c r="L119" s="93" t="e">
        <v>#N/A</v>
      </c>
      <c r="M119" s="93" t="s">
        <v>2311</v>
      </c>
      <c r="N119" s="93" t="e">
        <f>VLOOKUP(B119,'[16]01.수집 카테고리(List)'!$A$2:$H$64,8,FALSE)</f>
        <v>#N/A</v>
      </c>
      <c r="O119" s="93"/>
    </row>
    <row r="120" spans="1:15" hidden="1">
      <c r="A120" s="75" t="str">
        <f t="shared" si="2"/>
        <v>ATMEDIAMARKTWASHING MACHINEwashing machineWaschmaschinen</v>
      </c>
      <c r="B120" s="94" t="str">
        <f t="shared" si="3"/>
        <v>AT_MEDIAMARKT</v>
      </c>
      <c r="C120" s="93" t="s">
        <v>430</v>
      </c>
      <c r="D120" s="93" t="s">
        <v>264</v>
      </c>
      <c r="E120" s="93" t="s">
        <v>2401</v>
      </c>
      <c r="F120" s="93" t="s">
        <v>2340</v>
      </c>
      <c r="G120" s="93" t="s">
        <v>2405</v>
      </c>
      <c r="H120" s="93" t="e">
        <v>#N/A</v>
      </c>
      <c r="I120" s="105" t="s">
        <v>2310</v>
      </c>
      <c r="J120" s="93" t="s">
        <v>189</v>
      </c>
      <c r="K120" s="93">
        <v>2</v>
      </c>
      <c r="L120" s="93" t="e">
        <v>#N/A</v>
      </c>
      <c r="M120" s="93" t="s">
        <v>2311</v>
      </c>
      <c r="N120" s="93" t="e">
        <f>VLOOKUP(B120,'[16]01.수집 카테고리(List)'!$A$2:$H$64,8,FALSE)</f>
        <v>#N/A</v>
      </c>
      <c r="O120" s="93"/>
    </row>
    <row r="121" spans="1:15" hidden="1">
      <c r="A121" s="75" t="str">
        <f t="shared" si="2"/>
        <v>ATMEDIAMARKTWASHING MACHINEwasher dryer comboWaschtrockner</v>
      </c>
      <c r="B121" s="94" t="str">
        <f t="shared" si="3"/>
        <v>AT_MEDIAMARKT</v>
      </c>
      <c r="C121" s="93" t="s">
        <v>430</v>
      </c>
      <c r="D121" s="93" t="s">
        <v>264</v>
      </c>
      <c r="E121" s="93" t="s">
        <v>2401</v>
      </c>
      <c r="F121" s="93" t="s">
        <v>2338</v>
      </c>
      <c r="G121" s="93" t="s">
        <v>2406</v>
      </c>
      <c r="H121" s="93" t="e">
        <v>#N/A</v>
      </c>
      <c r="I121" s="105" t="s">
        <v>2310</v>
      </c>
      <c r="J121" s="93" t="s">
        <v>189</v>
      </c>
      <c r="K121" s="93">
        <v>19</v>
      </c>
      <c r="L121" s="93" t="e">
        <v>#N/A</v>
      </c>
      <c r="M121" s="93" t="s">
        <v>2311</v>
      </c>
      <c r="N121" s="93" t="e">
        <f>VLOOKUP(B121,'[16]01.수집 카테고리(List)'!$A$2:$H$64,8,FALSE)</f>
        <v>#N/A</v>
      </c>
      <c r="O121" s="93"/>
    </row>
    <row r="122" spans="1:15" hidden="1">
      <c r="A122" s="75" t="str">
        <f t="shared" si="2"/>
        <v>AUAMAZONLaptop15inch Laptop15inch Laptop</v>
      </c>
      <c r="B122" s="94" t="str">
        <f t="shared" si="3"/>
        <v>AU_AMAZON</v>
      </c>
      <c r="C122" s="93" t="s">
        <v>201</v>
      </c>
      <c r="D122" s="93" t="s">
        <v>262</v>
      </c>
      <c r="E122" s="93" t="s">
        <v>2407</v>
      </c>
      <c r="F122" s="93" t="s">
        <v>2408</v>
      </c>
      <c r="G122" s="93" t="s">
        <v>2408</v>
      </c>
      <c r="H122" s="93" t="e">
        <v>#N/A</v>
      </c>
      <c r="I122" s="105" t="s">
        <v>2310</v>
      </c>
      <c r="J122" s="93" t="s">
        <v>189</v>
      </c>
      <c r="K122" s="93">
        <v>5851</v>
      </c>
      <c r="L122" s="93">
        <v>5851</v>
      </c>
      <c r="M122" s="93" t="s">
        <v>2311</v>
      </c>
      <c r="N122" s="93">
        <f>VLOOKUP(B122,'[16]01.수집 카테고리(List)'!$A$2:$H$64,8,FALSE)</f>
        <v>99991231</v>
      </c>
      <c r="O122" s="93" t="s">
        <v>646</v>
      </c>
    </row>
    <row r="123" spans="1:15" hidden="1">
      <c r="A123" s="75" t="str">
        <f t="shared" si="2"/>
        <v>AUAMAZONLaptop17inch Laptop17inch Laptop</v>
      </c>
      <c r="B123" s="94" t="str">
        <f t="shared" si="3"/>
        <v>AU_AMAZON</v>
      </c>
      <c r="C123" s="93" t="s">
        <v>201</v>
      </c>
      <c r="D123" s="93" t="s">
        <v>262</v>
      </c>
      <c r="E123" s="93" t="s">
        <v>2407</v>
      </c>
      <c r="F123" s="93" t="s">
        <v>2409</v>
      </c>
      <c r="G123" s="93" t="s">
        <v>2409</v>
      </c>
      <c r="H123" s="93" t="e">
        <v>#N/A</v>
      </c>
      <c r="I123" s="105" t="s">
        <v>2310</v>
      </c>
      <c r="J123" s="93" t="s">
        <v>189</v>
      </c>
      <c r="K123" s="93">
        <v>6484</v>
      </c>
      <c r="L123" s="93">
        <v>6484</v>
      </c>
      <c r="M123" s="93" t="s">
        <v>2311</v>
      </c>
      <c r="N123" s="93">
        <f>VLOOKUP(B123,'[16]01.수집 카테고리(List)'!$A$2:$H$64,8,FALSE)</f>
        <v>99991231</v>
      </c>
      <c r="O123" s="93" t="s">
        <v>646</v>
      </c>
    </row>
    <row r="124" spans="1:15" hidden="1">
      <c r="A124" s="75" t="str">
        <f t="shared" si="2"/>
        <v>AUAMAZONLaptopi7 laptopi7 laptop</v>
      </c>
      <c r="B124" s="94" t="str">
        <f t="shared" si="3"/>
        <v>AU_AMAZON</v>
      </c>
      <c r="C124" s="93" t="s">
        <v>201</v>
      </c>
      <c r="D124" s="93" t="s">
        <v>262</v>
      </c>
      <c r="E124" s="93" t="s">
        <v>2407</v>
      </c>
      <c r="F124" s="93" t="s">
        <v>2410</v>
      </c>
      <c r="G124" s="93" t="s">
        <v>2410</v>
      </c>
      <c r="H124" s="93" t="e">
        <v>#N/A</v>
      </c>
      <c r="I124" s="105" t="s">
        <v>2310</v>
      </c>
      <c r="J124" s="93" t="s">
        <v>189</v>
      </c>
      <c r="K124" s="93">
        <v>5370</v>
      </c>
      <c r="L124" s="93">
        <v>5370</v>
      </c>
      <c r="M124" s="93" t="s">
        <v>2311</v>
      </c>
      <c r="N124" s="93">
        <f>VLOOKUP(B124,'[16]01.수집 카테고리(List)'!$A$2:$H$64,8,FALSE)</f>
        <v>99991231</v>
      </c>
      <c r="O124" s="93" t="s">
        <v>646</v>
      </c>
    </row>
    <row r="125" spans="1:15" hidden="1">
      <c r="A125" s="75" t="str">
        <f t="shared" si="2"/>
        <v>AUAMAZONLaptopLaptopLaptop</v>
      </c>
      <c r="B125" s="94" t="str">
        <f t="shared" si="3"/>
        <v>AU_AMAZON</v>
      </c>
      <c r="C125" s="93" t="s">
        <v>201</v>
      </c>
      <c r="D125" s="93" t="s">
        <v>262</v>
      </c>
      <c r="E125" s="93" t="s">
        <v>2407</v>
      </c>
      <c r="F125" s="93" t="s">
        <v>2407</v>
      </c>
      <c r="G125" s="93" t="s">
        <v>2407</v>
      </c>
      <c r="H125" s="93" t="e">
        <v>#N/A</v>
      </c>
      <c r="I125" s="105" t="s">
        <v>2310</v>
      </c>
      <c r="J125" s="93" t="s">
        <v>189</v>
      </c>
      <c r="K125" s="93">
        <v>4981</v>
      </c>
      <c r="L125" s="93">
        <v>4981</v>
      </c>
      <c r="M125" s="93" t="s">
        <v>2311</v>
      </c>
      <c r="N125" s="93">
        <f>VLOOKUP(B125,'[16]01.수집 카테고리(List)'!$A$2:$H$64,8,FALSE)</f>
        <v>99991231</v>
      </c>
      <c r="O125" s="93" t="s">
        <v>646</v>
      </c>
    </row>
    <row r="126" spans="1:15" hidden="1">
      <c r="A126" s="75" t="str">
        <f t="shared" si="2"/>
        <v>AUAMAZONLaptopLightweight LaptopLightweight Laptop</v>
      </c>
      <c r="B126" s="94" t="str">
        <f t="shared" si="3"/>
        <v>AU_AMAZON</v>
      </c>
      <c r="C126" s="93" t="s">
        <v>201</v>
      </c>
      <c r="D126" s="93" t="s">
        <v>262</v>
      </c>
      <c r="E126" s="93" t="s">
        <v>2407</v>
      </c>
      <c r="F126" s="93" t="s">
        <v>2411</v>
      </c>
      <c r="G126" s="93" t="s">
        <v>2411</v>
      </c>
      <c r="H126" s="93" t="e">
        <v>#N/A</v>
      </c>
      <c r="I126" s="105" t="s">
        <v>2310</v>
      </c>
      <c r="J126" s="93" t="s">
        <v>189</v>
      </c>
      <c r="K126" s="93">
        <v>4515</v>
      </c>
      <c r="L126" s="93">
        <v>4515</v>
      </c>
      <c r="M126" s="93" t="s">
        <v>2311</v>
      </c>
      <c r="N126" s="93">
        <f>VLOOKUP(B126,'[16]01.수집 카테고리(List)'!$A$2:$H$64,8,FALSE)</f>
        <v>99991231</v>
      </c>
      <c r="O126" s="93" t="s">
        <v>646</v>
      </c>
    </row>
    <row r="127" spans="1:15" hidden="1">
      <c r="A127" s="75" t="str">
        <f t="shared" si="2"/>
        <v>AUAMAZONMonitor4k monitor4k monitor</v>
      </c>
      <c r="B127" s="94" t="str">
        <f t="shared" si="3"/>
        <v>AU_AMAZON</v>
      </c>
      <c r="C127" s="93" t="s">
        <v>201</v>
      </c>
      <c r="D127" s="93" t="s">
        <v>262</v>
      </c>
      <c r="E127" s="93" t="s">
        <v>2320</v>
      </c>
      <c r="F127" s="93" t="s">
        <v>2321</v>
      </c>
      <c r="G127" s="93" t="s">
        <v>2321</v>
      </c>
      <c r="H127" s="93" t="e">
        <v>#N/A</v>
      </c>
      <c r="I127" s="105" t="s">
        <v>2310</v>
      </c>
      <c r="J127" s="93" t="s">
        <v>189</v>
      </c>
      <c r="K127" s="93">
        <v>2380</v>
      </c>
      <c r="L127" s="93">
        <v>2380</v>
      </c>
      <c r="M127" s="93" t="s">
        <v>2311</v>
      </c>
      <c r="N127" s="93">
        <f>VLOOKUP(B127,'[16]01.수집 카테고리(List)'!$A$2:$H$64,8,FALSE)</f>
        <v>99991231</v>
      </c>
      <c r="O127" s="93" t="s">
        <v>646</v>
      </c>
    </row>
    <row r="128" spans="1:15" hidden="1">
      <c r="A128" s="75" t="str">
        <f t="shared" si="2"/>
        <v>AUAMAZONMonitorgaming monitorgaming monitor</v>
      </c>
      <c r="B128" s="94" t="str">
        <f t="shared" si="3"/>
        <v>AU_AMAZON</v>
      </c>
      <c r="C128" s="93" t="s">
        <v>201</v>
      </c>
      <c r="D128" s="93" t="s">
        <v>262</v>
      </c>
      <c r="E128" s="93" t="s">
        <v>2320</v>
      </c>
      <c r="F128" s="93" t="s">
        <v>2322</v>
      </c>
      <c r="G128" s="93" t="s">
        <v>2322</v>
      </c>
      <c r="H128" s="93" t="e">
        <v>#N/A</v>
      </c>
      <c r="I128" s="105" t="s">
        <v>2310</v>
      </c>
      <c r="J128" s="93" t="s">
        <v>189</v>
      </c>
      <c r="K128" s="93">
        <v>2518</v>
      </c>
      <c r="L128" s="93">
        <v>2518</v>
      </c>
      <c r="M128" s="93" t="s">
        <v>2311</v>
      </c>
      <c r="N128" s="93">
        <f>VLOOKUP(B128,'[16]01.수집 카테고리(List)'!$A$2:$H$64,8,FALSE)</f>
        <v>99991231</v>
      </c>
      <c r="O128" s="93" t="s">
        <v>646</v>
      </c>
    </row>
    <row r="129" spans="1:15" hidden="1">
      <c r="A129" s="75" t="str">
        <f t="shared" si="2"/>
        <v>AUAMAZONMonitormonitormonitor</v>
      </c>
      <c r="B129" s="94" t="str">
        <f t="shared" si="3"/>
        <v>AU_AMAZON</v>
      </c>
      <c r="C129" s="93" t="s">
        <v>201</v>
      </c>
      <c r="D129" s="93" t="s">
        <v>262</v>
      </c>
      <c r="E129" s="93" t="s">
        <v>2320</v>
      </c>
      <c r="F129" s="93" t="s">
        <v>2323</v>
      </c>
      <c r="G129" s="93" t="s">
        <v>2323</v>
      </c>
      <c r="H129" s="93" t="e">
        <v>#N/A</v>
      </c>
      <c r="I129" s="105" t="s">
        <v>2310</v>
      </c>
      <c r="J129" s="93" t="s">
        <v>189</v>
      </c>
      <c r="K129" s="93">
        <v>3089</v>
      </c>
      <c r="L129" s="93">
        <v>3089</v>
      </c>
      <c r="M129" s="93" t="s">
        <v>2311</v>
      </c>
      <c r="N129" s="93">
        <f>VLOOKUP(B129,'[16]01.수집 카테고리(List)'!$A$2:$H$64,8,FALSE)</f>
        <v>99991231</v>
      </c>
      <c r="O129" s="93" t="s">
        <v>646</v>
      </c>
    </row>
    <row r="130" spans="1:15" hidden="1">
      <c r="A130" s="75" t="str">
        <f t="shared" si="2"/>
        <v>AUAMAZONMonitoruhd monitoruhd monitor</v>
      </c>
      <c r="B130" s="94" t="str">
        <f t="shared" si="3"/>
        <v>AU_AMAZON</v>
      </c>
      <c r="C130" s="93" t="s">
        <v>201</v>
      </c>
      <c r="D130" s="93" t="s">
        <v>262</v>
      </c>
      <c r="E130" s="93" t="s">
        <v>2320</v>
      </c>
      <c r="F130" s="93" t="s">
        <v>2324</v>
      </c>
      <c r="G130" s="93" t="s">
        <v>2324</v>
      </c>
      <c r="H130" s="93" t="e">
        <v>#N/A</v>
      </c>
      <c r="I130" s="105" t="s">
        <v>2310</v>
      </c>
      <c r="J130" s="93" t="s">
        <v>189</v>
      </c>
      <c r="K130" s="93">
        <v>2033</v>
      </c>
      <c r="L130" s="93">
        <v>2033</v>
      </c>
      <c r="M130" s="93" t="s">
        <v>2311</v>
      </c>
      <c r="N130" s="93">
        <f>VLOOKUP(B130,'[16]01.수집 카테고리(List)'!$A$2:$H$64,8,FALSE)</f>
        <v>99991231</v>
      </c>
      <c r="O130" s="93" t="s">
        <v>646</v>
      </c>
    </row>
    <row r="131" spans="1:15" hidden="1">
      <c r="A131" s="75" t="str">
        <f t="shared" si="2"/>
        <v>AUAMAZONMonitorultrawide monitorultrawide monitor</v>
      </c>
      <c r="B131" s="94" t="str">
        <f t="shared" si="3"/>
        <v>AU_AMAZON</v>
      </c>
      <c r="C131" s="93" t="s">
        <v>201</v>
      </c>
      <c r="D131" s="93" t="s">
        <v>262</v>
      </c>
      <c r="E131" s="93" t="s">
        <v>2320</v>
      </c>
      <c r="F131" s="93" t="s">
        <v>2325</v>
      </c>
      <c r="G131" s="93" t="s">
        <v>2325</v>
      </c>
      <c r="H131" s="93" t="e">
        <v>#N/A</v>
      </c>
      <c r="I131" s="105" t="s">
        <v>2310</v>
      </c>
      <c r="J131" s="93" t="s">
        <v>189</v>
      </c>
      <c r="K131" s="93">
        <v>2090</v>
      </c>
      <c r="L131" s="93">
        <v>2090</v>
      </c>
      <c r="M131" s="93" t="s">
        <v>2311</v>
      </c>
      <c r="N131" s="93">
        <f>VLOOKUP(B131,'[16]01.수집 카테고리(List)'!$A$2:$H$64,8,FALSE)</f>
        <v>99991231</v>
      </c>
      <c r="O131" s="93" t="s">
        <v>646</v>
      </c>
    </row>
    <row r="132" spans="1:15">
      <c r="A132" s="75" t="str">
        <f t="shared" si="2"/>
        <v>AUAMAZONRefrigeratorbottom freezer refrigeratorBottom Mount Fridges</v>
      </c>
      <c r="B132" s="94" t="str">
        <f t="shared" si="3"/>
        <v>AU_AMAZON</v>
      </c>
      <c r="C132" s="93" t="s">
        <v>201</v>
      </c>
      <c r="D132" s="93" t="s">
        <v>262</v>
      </c>
      <c r="E132" s="93" t="s">
        <v>2326</v>
      </c>
      <c r="F132" s="93" t="s">
        <v>2327</v>
      </c>
      <c r="G132" s="93" t="s">
        <v>2412</v>
      </c>
      <c r="H132" s="93" t="e">
        <v>#N/A</v>
      </c>
      <c r="I132" s="105" t="s">
        <v>2310</v>
      </c>
      <c r="J132" s="93" t="s">
        <v>189</v>
      </c>
      <c r="K132" s="93">
        <v>104</v>
      </c>
      <c r="L132" s="93" t="e">
        <v>#N/A</v>
      </c>
      <c r="M132" s="93" t="s">
        <v>2311</v>
      </c>
      <c r="N132" s="93">
        <f>VLOOKUP(B132,'[16]01.수집 카테고리(List)'!$A$2:$H$64,8,FALSE)</f>
        <v>99991231</v>
      </c>
      <c r="O132" s="93" t="s">
        <v>646</v>
      </c>
    </row>
    <row r="133" spans="1:15">
      <c r="A133" s="75" t="str">
        <f t="shared" si="2"/>
        <v>AUAMAZONRefrigeratorfrench door refrigeratorFrench Door Fridges</v>
      </c>
      <c r="B133" s="94" t="str">
        <f t="shared" si="3"/>
        <v>AU_AMAZON</v>
      </c>
      <c r="C133" s="93" t="s">
        <v>201</v>
      </c>
      <c r="D133" s="93" t="s">
        <v>262</v>
      </c>
      <c r="E133" s="93" t="s">
        <v>2326</v>
      </c>
      <c r="F133" s="93" t="s">
        <v>2328</v>
      </c>
      <c r="G133" s="93" t="s">
        <v>2413</v>
      </c>
      <c r="H133" s="93" t="e">
        <v>#N/A</v>
      </c>
      <c r="I133" s="105" t="s">
        <v>2310</v>
      </c>
      <c r="J133" s="93" t="s">
        <v>189</v>
      </c>
      <c r="K133" s="93">
        <v>81</v>
      </c>
      <c r="L133" s="93" t="e">
        <v>#N/A</v>
      </c>
      <c r="M133" s="93" t="s">
        <v>2311</v>
      </c>
      <c r="N133" s="93">
        <f>VLOOKUP(B133,'[16]01.수집 카테고리(List)'!$A$2:$H$64,8,FALSE)</f>
        <v>99991231</v>
      </c>
      <c r="O133" s="93" t="s">
        <v>646</v>
      </c>
    </row>
    <row r="134" spans="1:15">
      <c r="A134" s="75" t="str">
        <f t="shared" si="2"/>
        <v>AUAMAZONRefrigeratorfridgeFridges</v>
      </c>
      <c r="B134" s="94" t="str">
        <f t="shared" si="3"/>
        <v>AU_AMAZON</v>
      </c>
      <c r="C134" s="93" t="s">
        <v>201</v>
      </c>
      <c r="D134" s="93" t="s">
        <v>262</v>
      </c>
      <c r="E134" s="93" t="s">
        <v>2326</v>
      </c>
      <c r="F134" s="93" t="s">
        <v>2414</v>
      </c>
      <c r="G134" s="93" t="s">
        <v>2415</v>
      </c>
      <c r="H134" s="93" t="e">
        <v>#N/A</v>
      </c>
      <c r="I134" s="105" t="s">
        <v>2310</v>
      </c>
      <c r="J134" s="93" t="s">
        <v>189</v>
      </c>
      <c r="K134" s="93">
        <v>221</v>
      </c>
      <c r="L134" s="93" t="e">
        <v>#N/A</v>
      </c>
      <c r="M134" s="93" t="s">
        <v>2311</v>
      </c>
      <c r="N134" s="93">
        <f>VLOOKUP(B134,'[16]01.수집 카테고리(List)'!$A$2:$H$64,8,FALSE)</f>
        <v>99991231</v>
      </c>
      <c r="O134" s="93" t="s">
        <v>646</v>
      </c>
    </row>
    <row r="135" spans="1:15">
      <c r="A135" s="75" t="str">
        <f t="shared" si="2"/>
        <v>AUAMAZONRefrigeratorrefrigeratorrefrigerator</v>
      </c>
      <c r="B135" s="94" t="str">
        <f t="shared" si="3"/>
        <v>AU_AMAZON</v>
      </c>
      <c r="C135" s="93" t="s">
        <v>201</v>
      </c>
      <c r="D135" s="93" t="s">
        <v>262</v>
      </c>
      <c r="E135" s="93" t="s">
        <v>2326</v>
      </c>
      <c r="F135" s="93" t="s">
        <v>2329</v>
      </c>
      <c r="G135" s="93" t="s">
        <v>2329</v>
      </c>
      <c r="H135" s="93" t="e">
        <v>#N/A</v>
      </c>
      <c r="I135" s="105" t="s">
        <v>2310</v>
      </c>
      <c r="J135" s="93" t="s">
        <v>189</v>
      </c>
      <c r="K135" s="93">
        <v>202</v>
      </c>
      <c r="L135" s="93">
        <v>202</v>
      </c>
      <c r="M135" s="93" t="s">
        <v>2311</v>
      </c>
      <c r="N135" s="93">
        <f>VLOOKUP(B135,'[16]01.수집 카테고리(List)'!$A$2:$H$64,8,FALSE)</f>
        <v>99991231</v>
      </c>
      <c r="O135" s="93" t="s">
        <v>646</v>
      </c>
    </row>
    <row r="136" spans="1:15">
      <c r="A136" s="75" t="str">
        <f t="shared" si="2"/>
        <v>AUAMAZONRefrigeratorside by side refrigeratorSide by Side Fridges</v>
      </c>
      <c r="B136" s="94" t="str">
        <f t="shared" si="3"/>
        <v>AU_AMAZON</v>
      </c>
      <c r="C136" s="93" t="s">
        <v>201</v>
      </c>
      <c r="D136" s="93" t="s">
        <v>262</v>
      </c>
      <c r="E136" s="93" t="s">
        <v>2326</v>
      </c>
      <c r="F136" s="93" t="s">
        <v>2330</v>
      </c>
      <c r="G136" s="93" t="s">
        <v>2416</v>
      </c>
      <c r="H136" s="93" t="e">
        <v>#N/A</v>
      </c>
      <c r="I136" s="105" t="s">
        <v>2310</v>
      </c>
      <c r="J136" s="93" t="s">
        <v>189</v>
      </c>
      <c r="K136" s="93">
        <v>185</v>
      </c>
      <c r="L136" s="93" t="e">
        <v>#N/A</v>
      </c>
      <c r="M136" s="93" t="s">
        <v>2311</v>
      </c>
      <c r="N136" s="93">
        <f>VLOOKUP(B136,'[16]01.수집 카테고리(List)'!$A$2:$H$64,8,FALSE)</f>
        <v>99991231</v>
      </c>
      <c r="O136" s="93" t="s">
        <v>646</v>
      </c>
    </row>
    <row r="137" spans="1:15">
      <c r="A137" s="75" t="str">
        <f t="shared" si="2"/>
        <v>AUAMAZONRefrigeratortop freezer refrigeratorTop Mount Fridges</v>
      </c>
      <c r="B137" s="94" t="str">
        <f t="shared" si="3"/>
        <v>AU_AMAZON</v>
      </c>
      <c r="C137" s="93" t="s">
        <v>201</v>
      </c>
      <c r="D137" s="93" t="s">
        <v>262</v>
      </c>
      <c r="E137" s="93" t="s">
        <v>2326</v>
      </c>
      <c r="F137" s="93" t="s">
        <v>2332</v>
      </c>
      <c r="G137" s="93" t="s">
        <v>2417</v>
      </c>
      <c r="H137" s="93" t="e">
        <v>#N/A</v>
      </c>
      <c r="I137" s="105" t="s">
        <v>2310</v>
      </c>
      <c r="J137" s="93" t="s">
        <v>189</v>
      </c>
      <c r="K137" s="93">
        <v>55</v>
      </c>
      <c r="L137" s="93" t="e">
        <v>#N/A</v>
      </c>
      <c r="M137" s="93" t="s">
        <v>2311</v>
      </c>
      <c r="N137" s="93">
        <f>VLOOKUP(B137,'[16]01.수집 카테고리(List)'!$A$2:$H$64,8,FALSE)</f>
        <v>99991231</v>
      </c>
      <c r="O137" s="93" t="s">
        <v>646</v>
      </c>
    </row>
    <row r="138" spans="1:15">
      <c r="A138" s="75" t="str">
        <f t="shared" ref="A138:A201" si="4">C138&amp;D138&amp;E138&amp;F138&amp;G138</f>
        <v>AUAMAZONWashing Machinefront loaderFront Load Washing Machines</v>
      </c>
      <c r="B138" s="94" t="str">
        <f t="shared" ref="B138:B201" si="5">C138&amp;"_"&amp;D138</f>
        <v>AU_AMAZON</v>
      </c>
      <c r="C138" s="93" t="s">
        <v>201</v>
      </c>
      <c r="D138" s="93" t="s">
        <v>262</v>
      </c>
      <c r="E138" s="93" t="s">
        <v>2333</v>
      </c>
      <c r="F138" s="93" t="s">
        <v>2334</v>
      </c>
      <c r="G138" s="93" t="s">
        <v>2418</v>
      </c>
      <c r="H138" s="93" t="e">
        <v>#N/A</v>
      </c>
      <c r="I138" s="105" t="s">
        <v>2310</v>
      </c>
      <c r="J138" s="93" t="s">
        <v>189</v>
      </c>
      <c r="K138" s="93">
        <v>374</v>
      </c>
      <c r="L138" s="93" t="e">
        <v>#N/A</v>
      </c>
      <c r="M138" s="93" t="s">
        <v>2311</v>
      </c>
      <c r="N138" s="93">
        <f>VLOOKUP(B138,'[16]01.수집 카테고리(List)'!$A$2:$H$64,8,FALSE)</f>
        <v>99991231</v>
      </c>
      <c r="O138" s="93" t="s">
        <v>646</v>
      </c>
    </row>
    <row r="139" spans="1:15">
      <c r="A139" s="75" t="str">
        <f t="shared" si="4"/>
        <v>AUAMAZONWashing Machinetop loaderTop Load Washing Machines</v>
      </c>
      <c r="B139" s="94" t="str">
        <f t="shared" si="5"/>
        <v>AU_AMAZON</v>
      </c>
      <c r="C139" s="93" t="s">
        <v>201</v>
      </c>
      <c r="D139" s="93" t="s">
        <v>262</v>
      </c>
      <c r="E139" s="93" t="s">
        <v>2333</v>
      </c>
      <c r="F139" s="93" t="s">
        <v>2336</v>
      </c>
      <c r="G139" s="93" t="s">
        <v>2419</v>
      </c>
      <c r="H139" s="93" t="e">
        <v>#N/A</v>
      </c>
      <c r="I139" s="105" t="s">
        <v>2310</v>
      </c>
      <c r="J139" s="93" t="s">
        <v>189</v>
      </c>
      <c r="K139" s="93">
        <v>118</v>
      </c>
      <c r="L139" s="93" t="e">
        <v>#N/A</v>
      </c>
      <c r="M139" s="93" t="s">
        <v>2311</v>
      </c>
      <c r="N139" s="93">
        <f>VLOOKUP(B139,'[16]01.수집 카테고리(List)'!$A$2:$H$64,8,FALSE)</f>
        <v>99991231</v>
      </c>
      <c r="O139" s="93" t="s">
        <v>646</v>
      </c>
    </row>
    <row r="140" spans="1:15">
      <c r="A140" s="75" t="str">
        <f t="shared" si="4"/>
        <v>AUAMAZONWashing Machinewasher dryer comboWasher Dryer Combos</v>
      </c>
      <c r="B140" s="94" t="str">
        <f t="shared" si="5"/>
        <v>AU_AMAZON</v>
      </c>
      <c r="C140" s="93" t="s">
        <v>201</v>
      </c>
      <c r="D140" s="93" t="s">
        <v>262</v>
      </c>
      <c r="E140" s="93" t="s">
        <v>2333</v>
      </c>
      <c r="F140" s="93" t="s">
        <v>2338</v>
      </c>
      <c r="G140" s="93" t="s">
        <v>2420</v>
      </c>
      <c r="H140" s="93" t="e">
        <v>#N/A</v>
      </c>
      <c r="I140" s="105" t="s">
        <v>2310</v>
      </c>
      <c r="J140" s="93" t="s">
        <v>189</v>
      </c>
      <c r="K140" s="93">
        <v>174</v>
      </c>
      <c r="L140" s="93" t="e">
        <v>#N/A</v>
      </c>
      <c r="M140" s="93" t="s">
        <v>2311</v>
      </c>
      <c r="N140" s="93">
        <f>VLOOKUP(B140,'[16]01.수집 카테고리(List)'!$A$2:$H$64,8,FALSE)</f>
        <v>99991231</v>
      </c>
      <c r="O140" s="93" t="s">
        <v>646</v>
      </c>
    </row>
    <row r="141" spans="1:15">
      <c r="A141" s="75" t="str">
        <f t="shared" si="4"/>
        <v>AUAMAZONWashing Machinewashing machineWashing Machines</v>
      </c>
      <c r="B141" s="94" t="str">
        <f t="shared" si="5"/>
        <v>AU_AMAZON</v>
      </c>
      <c r="C141" s="93" t="s">
        <v>201</v>
      </c>
      <c r="D141" s="93" t="s">
        <v>262</v>
      </c>
      <c r="E141" s="93" t="s">
        <v>2333</v>
      </c>
      <c r="F141" s="93" t="s">
        <v>2340</v>
      </c>
      <c r="G141" s="93" t="s">
        <v>2421</v>
      </c>
      <c r="H141" s="93" t="e">
        <v>#N/A</v>
      </c>
      <c r="I141" s="99">
        <v>45797</v>
      </c>
      <c r="J141" s="93" t="s">
        <v>189</v>
      </c>
      <c r="K141" s="93">
        <v>303</v>
      </c>
      <c r="L141" s="93" t="e">
        <v>#N/A</v>
      </c>
      <c r="M141" s="93" t="s">
        <v>2311</v>
      </c>
      <c r="N141" s="93">
        <f>VLOOKUP(B141,'[16]01.수집 카테고리(List)'!$A$2:$H$64,8,FALSE)</f>
        <v>99991231</v>
      </c>
      <c r="O141" s="93" t="s">
        <v>646</v>
      </c>
    </row>
    <row r="142" spans="1:15" s="81" customFormat="1" hidden="1">
      <c r="A142" s="81" t="str">
        <f t="shared" si="4"/>
        <v>AUAMAZONTV4k TV4k TV</v>
      </c>
      <c r="B142" s="106" t="str">
        <f t="shared" si="5"/>
        <v>AU_AMAZON</v>
      </c>
      <c r="C142" s="107" t="s">
        <v>201</v>
      </c>
      <c r="D142" s="107" t="s">
        <v>262</v>
      </c>
      <c r="E142" s="107" t="s">
        <v>161</v>
      </c>
      <c r="F142" s="107" t="s">
        <v>2368</v>
      </c>
      <c r="G142" s="107" t="s">
        <v>2368</v>
      </c>
      <c r="H142" s="107" t="e">
        <v>#N/A</v>
      </c>
      <c r="I142" s="99">
        <v>46076</v>
      </c>
      <c r="J142" s="107" t="s">
        <v>189</v>
      </c>
      <c r="K142" s="107"/>
      <c r="L142" s="107"/>
      <c r="M142" s="107"/>
      <c r="N142" s="107"/>
      <c r="O142" s="107"/>
    </row>
    <row r="143" spans="1:15" s="81" customFormat="1" hidden="1">
      <c r="A143" s="81" t="str">
        <f t="shared" si="4"/>
        <v>AUAMAZONTVoled TVoled TV</v>
      </c>
      <c r="B143" s="106" t="str">
        <f t="shared" si="5"/>
        <v>AU_AMAZON</v>
      </c>
      <c r="C143" s="107" t="s">
        <v>201</v>
      </c>
      <c r="D143" s="107" t="s">
        <v>262</v>
      </c>
      <c r="E143" s="107" t="s">
        <v>161</v>
      </c>
      <c r="F143" s="107" t="s">
        <v>2369</v>
      </c>
      <c r="G143" s="107" t="s">
        <v>2369</v>
      </c>
      <c r="H143" s="107" t="e">
        <v>#N/A</v>
      </c>
      <c r="I143" s="99">
        <v>46076</v>
      </c>
      <c r="J143" s="107" t="s">
        <v>189</v>
      </c>
      <c r="K143" s="107"/>
      <c r="L143" s="107"/>
      <c r="M143" s="107"/>
      <c r="N143" s="107"/>
      <c r="O143" s="107"/>
    </row>
    <row r="144" spans="1:15" s="81" customFormat="1" hidden="1">
      <c r="A144" s="81" t="str">
        <f t="shared" si="4"/>
        <v>AUAMAZONTVTVTV</v>
      </c>
      <c r="B144" s="106" t="str">
        <f t="shared" si="5"/>
        <v>AU_AMAZON</v>
      </c>
      <c r="C144" s="107" t="s">
        <v>201</v>
      </c>
      <c r="D144" s="107" t="s">
        <v>262</v>
      </c>
      <c r="E144" s="107" t="s">
        <v>161</v>
      </c>
      <c r="F144" s="107" t="s">
        <v>161</v>
      </c>
      <c r="G144" s="107" t="s">
        <v>161</v>
      </c>
      <c r="H144" s="107" t="e">
        <v>#N/A</v>
      </c>
      <c r="I144" s="99">
        <v>46076</v>
      </c>
      <c r="J144" s="107" t="s">
        <v>189</v>
      </c>
      <c r="K144" s="107"/>
      <c r="L144" s="107"/>
      <c r="M144" s="107"/>
      <c r="N144" s="107"/>
      <c r="O144" s="107"/>
    </row>
    <row r="145" spans="1:15" s="81" customFormat="1" hidden="1">
      <c r="A145" s="81" t="str">
        <f t="shared" si="4"/>
        <v>AUAMAZONTVsmart TVsmart TV</v>
      </c>
      <c r="B145" s="106" t="str">
        <f t="shared" si="5"/>
        <v>AU_AMAZON</v>
      </c>
      <c r="C145" s="107" t="s">
        <v>201</v>
      </c>
      <c r="D145" s="107" t="s">
        <v>262</v>
      </c>
      <c r="E145" s="107" t="s">
        <v>161</v>
      </c>
      <c r="F145" s="107" t="s">
        <v>2371</v>
      </c>
      <c r="G145" s="107" t="s">
        <v>2371</v>
      </c>
      <c r="H145" s="107" t="e">
        <v>#N/A</v>
      </c>
      <c r="I145" s="99">
        <v>46076</v>
      </c>
      <c r="J145" s="107" t="s">
        <v>189</v>
      </c>
      <c r="K145" s="107"/>
      <c r="L145" s="107"/>
      <c r="M145" s="107"/>
      <c r="N145" s="107"/>
      <c r="O145" s="107"/>
    </row>
    <row r="146" spans="1:15" s="81" customFormat="1" hidden="1">
      <c r="A146" s="81" t="str">
        <f t="shared" si="4"/>
        <v>AUAMAZONTVuhd TVuhd TV</v>
      </c>
      <c r="B146" s="106" t="str">
        <f t="shared" si="5"/>
        <v>AU_AMAZON</v>
      </c>
      <c r="C146" s="107" t="s">
        <v>201</v>
      </c>
      <c r="D146" s="107" t="s">
        <v>262</v>
      </c>
      <c r="E146" s="107" t="s">
        <v>161</v>
      </c>
      <c r="F146" s="107" t="s">
        <v>2399</v>
      </c>
      <c r="G146" s="107" t="s">
        <v>2399</v>
      </c>
      <c r="H146" s="107" t="e">
        <v>#N/A</v>
      </c>
      <c r="I146" s="99">
        <v>46076</v>
      </c>
      <c r="J146" s="107" t="s">
        <v>189</v>
      </c>
      <c r="K146" s="107"/>
      <c r="L146" s="107"/>
      <c r="M146" s="107"/>
      <c r="N146" s="107"/>
      <c r="O146" s="107"/>
    </row>
    <row r="147" spans="1:15" s="108" customFormat="1" hidden="1">
      <c r="A147" s="108" t="str">
        <f t="shared" si="4"/>
        <v>AUAMAZONAir Conditionerair conditionerair conditioner</v>
      </c>
      <c r="B147" s="109" t="str">
        <f t="shared" si="5"/>
        <v>AU_AMAZON</v>
      </c>
      <c r="C147" s="110" t="s">
        <v>201</v>
      </c>
      <c r="D147" s="110" t="s">
        <v>262</v>
      </c>
      <c r="E147" s="110" t="s">
        <v>2346</v>
      </c>
      <c r="F147" s="110" t="s">
        <v>2347</v>
      </c>
      <c r="G147" s="110" t="s">
        <v>2347</v>
      </c>
      <c r="H147" s="110" t="e">
        <v>#N/A</v>
      </c>
      <c r="I147" s="99">
        <v>46076</v>
      </c>
      <c r="J147" s="110" t="s">
        <v>189</v>
      </c>
      <c r="K147" s="110"/>
      <c r="L147" s="110"/>
      <c r="M147" s="110"/>
      <c r="N147" s="110"/>
      <c r="O147" s="110"/>
    </row>
    <row r="148" spans="1:15" s="108" customFormat="1" hidden="1">
      <c r="A148" s="108" t="str">
        <f t="shared" si="4"/>
        <v>AUAMAZONAir Conditionerinverter air conditionerinverter air conditioner</v>
      </c>
      <c r="B148" s="109" t="str">
        <f t="shared" si="5"/>
        <v>AU_AMAZON</v>
      </c>
      <c r="C148" s="110" t="s">
        <v>201</v>
      </c>
      <c r="D148" s="110" t="s">
        <v>262</v>
      </c>
      <c r="E148" s="110" t="s">
        <v>2346</v>
      </c>
      <c r="F148" s="110" t="s">
        <v>2348</v>
      </c>
      <c r="G148" s="110" t="s">
        <v>2348</v>
      </c>
      <c r="H148" s="110" t="e">
        <v>#N/A</v>
      </c>
      <c r="I148" s="99">
        <v>46076</v>
      </c>
      <c r="J148" s="110" t="s">
        <v>189</v>
      </c>
      <c r="K148" s="110"/>
      <c r="L148" s="110"/>
      <c r="M148" s="110"/>
      <c r="N148" s="110"/>
      <c r="O148" s="110"/>
    </row>
    <row r="149" spans="1:15" s="108" customFormat="1" hidden="1">
      <c r="A149" s="108" t="str">
        <f t="shared" si="4"/>
        <v>AUAMAZONAir Conditionersplit air conditionersplit air conditioner</v>
      </c>
      <c r="B149" s="109" t="str">
        <f t="shared" si="5"/>
        <v>AU_AMAZON</v>
      </c>
      <c r="C149" s="110" t="s">
        <v>201</v>
      </c>
      <c r="D149" s="110" t="s">
        <v>262</v>
      </c>
      <c r="E149" s="110" t="s">
        <v>2346</v>
      </c>
      <c r="F149" s="110" t="s">
        <v>2422</v>
      </c>
      <c r="G149" s="110" t="s">
        <v>2422</v>
      </c>
      <c r="H149" s="110" t="e">
        <v>#N/A</v>
      </c>
      <c r="I149" s="99">
        <v>46076</v>
      </c>
      <c r="J149" s="110" t="s">
        <v>189</v>
      </c>
      <c r="K149" s="110"/>
      <c r="L149" s="110"/>
      <c r="M149" s="110"/>
      <c r="N149" s="110"/>
      <c r="O149" s="110"/>
    </row>
    <row r="150" spans="1:15" s="108" customFormat="1" hidden="1">
      <c r="A150" s="108" t="str">
        <f t="shared" si="4"/>
        <v>AUAMAZONAir Conditionersplit inverter air conditionersplit inverter air conditioner</v>
      </c>
      <c r="B150" s="109" t="str">
        <f t="shared" si="5"/>
        <v>AU_AMAZON</v>
      </c>
      <c r="C150" s="110" t="s">
        <v>201</v>
      </c>
      <c r="D150" s="110" t="s">
        <v>262</v>
      </c>
      <c r="E150" s="110" t="s">
        <v>2346</v>
      </c>
      <c r="F150" s="110" t="s">
        <v>2423</v>
      </c>
      <c r="G150" s="110" t="s">
        <v>2423</v>
      </c>
      <c r="H150" s="110" t="e">
        <v>#N/A</v>
      </c>
      <c r="I150" s="99">
        <v>46076</v>
      </c>
      <c r="J150" s="110" t="s">
        <v>189</v>
      </c>
      <c r="K150" s="110"/>
      <c r="L150" s="110"/>
      <c r="M150" s="110"/>
      <c r="N150" s="110"/>
      <c r="O150" s="110"/>
    </row>
    <row r="151" spans="1:15" s="108" customFormat="1" hidden="1">
      <c r="A151" s="108" t="str">
        <f t="shared" si="4"/>
        <v>AUAMAZONAir Conditionerwindow air conditionerwindow air conditioner</v>
      </c>
      <c r="B151" s="109" t="str">
        <f t="shared" si="5"/>
        <v>AU_AMAZON</v>
      </c>
      <c r="C151" s="110" t="s">
        <v>201</v>
      </c>
      <c r="D151" s="110" t="s">
        <v>262</v>
      </c>
      <c r="E151" s="110" t="s">
        <v>2346</v>
      </c>
      <c r="F151" s="110" t="s">
        <v>2350</v>
      </c>
      <c r="G151" s="110" t="s">
        <v>2350</v>
      </c>
      <c r="H151" s="110" t="e">
        <v>#N/A</v>
      </c>
      <c r="I151" s="99">
        <v>46076</v>
      </c>
      <c r="J151" s="110" t="s">
        <v>189</v>
      </c>
      <c r="K151" s="110"/>
      <c r="L151" s="110"/>
      <c r="M151" s="110"/>
      <c r="N151" s="110"/>
      <c r="O151" s="110"/>
    </row>
    <row r="152" spans="1:15" s="108" customFormat="1" hidden="1">
      <c r="A152" s="108" t="str">
        <f t="shared" si="4"/>
        <v>AUAMAZONAir Conditionerwindow inverter air conditionerwindow inverter air conditioner</v>
      </c>
      <c r="B152" s="109" t="str">
        <f t="shared" si="5"/>
        <v>AU_AMAZON</v>
      </c>
      <c r="C152" s="110" t="s">
        <v>201</v>
      </c>
      <c r="D152" s="110" t="s">
        <v>262</v>
      </c>
      <c r="E152" s="110" t="s">
        <v>2346</v>
      </c>
      <c r="F152" s="110" t="s">
        <v>2424</v>
      </c>
      <c r="G152" s="110" t="s">
        <v>2424</v>
      </c>
      <c r="H152" s="110" t="e">
        <v>#N/A</v>
      </c>
      <c r="I152" s="99">
        <v>46076</v>
      </c>
      <c r="J152" s="110" t="s">
        <v>189</v>
      </c>
      <c r="K152" s="110"/>
      <c r="L152" s="110"/>
      <c r="M152" s="110"/>
      <c r="N152" s="110"/>
      <c r="O152" s="110"/>
    </row>
    <row r="153" spans="1:15" s="81" customFormat="1" hidden="1">
      <c r="A153" s="81" t="str">
        <f t="shared" si="4"/>
        <v>AUAMAZONBluetooth SpeakerBluetooth speakersBluetooth speakers</v>
      </c>
      <c r="B153" s="106" t="str">
        <f t="shared" si="5"/>
        <v>AU_AMAZON</v>
      </c>
      <c r="C153" s="107" t="s">
        <v>201</v>
      </c>
      <c r="D153" s="107" t="s">
        <v>262</v>
      </c>
      <c r="E153" s="107" t="s">
        <v>2307</v>
      </c>
      <c r="F153" s="107" t="s">
        <v>2425</v>
      </c>
      <c r="G153" s="107" t="s">
        <v>2425</v>
      </c>
      <c r="H153" s="107" t="e">
        <v>#N/A</v>
      </c>
      <c r="I153" s="99">
        <v>46076</v>
      </c>
      <c r="J153" s="107" t="s">
        <v>189</v>
      </c>
      <c r="K153" s="107"/>
      <c r="L153" s="107"/>
      <c r="M153" s="107"/>
      <c r="N153" s="107"/>
      <c r="O153" s="107"/>
    </row>
    <row r="154" spans="1:15" s="81" customFormat="1" hidden="1">
      <c r="A154" s="81" t="str">
        <f t="shared" si="4"/>
        <v>AUAMAZONBluetooth SpeakerPortable bluetooth speakersPortable bluetooth speakers</v>
      </c>
      <c r="B154" s="106" t="str">
        <f t="shared" si="5"/>
        <v>AU_AMAZON</v>
      </c>
      <c r="C154" s="107" t="s">
        <v>201</v>
      </c>
      <c r="D154" s="107" t="s">
        <v>262</v>
      </c>
      <c r="E154" s="107" t="s">
        <v>2307</v>
      </c>
      <c r="F154" s="107" t="s">
        <v>2426</v>
      </c>
      <c r="G154" s="107" t="s">
        <v>2426</v>
      </c>
      <c r="H154" s="107" t="e">
        <v>#N/A</v>
      </c>
      <c r="I154" s="99">
        <v>46076</v>
      </c>
      <c r="J154" s="107" t="s">
        <v>189</v>
      </c>
      <c r="K154" s="107"/>
      <c r="L154" s="107"/>
      <c r="M154" s="107"/>
      <c r="N154" s="107"/>
      <c r="O154" s="107"/>
    </row>
    <row r="155" spans="1:15" s="81" customFormat="1" hidden="1">
      <c r="A155" s="81" t="str">
        <f t="shared" si="4"/>
        <v>AUAMAZONBluetooth SpeakerPortable speakersPortable speakers</v>
      </c>
      <c r="B155" s="106" t="str">
        <f t="shared" si="5"/>
        <v>AU_AMAZON</v>
      </c>
      <c r="C155" s="107" t="s">
        <v>201</v>
      </c>
      <c r="D155" s="107" t="s">
        <v>262</v>
      </c>
      <c r="E155" s="107" t="s">
        <v>2307</v>
      </c>
      <c r="F155" s="107" t="s">
        <v>2427</v>
      </c>
      <c r="G155" s="107" t="s">
        <v>2427</v>
      </c>
      <c r="H155" s="107" t="e">
        <v>#N/A</v>
      </c>
      <c r="I155" s="99">
        <v>46076</v>
      </c>
      <c r="J155" s="107" t="s">
        <v>189</v>
      </c>
      <c r="K155" s="107"/>
      <c r="L155" s="107"/>
      <c r="M155" s="107"/>
      <c r="N155" s="107"/>
      <c r="O155" s="107"/>
    </row>
    <row r="156" spans="1:15" s="81" customFormat="1" hidden="1">
      <c r="A156" s="81" t="str">
        <f t="shared" si="4"/>
        <v>AUAMAZONBluetooth SpeakerSpeakerSpeaker</v>
      </c>
      <c r="B156" s="106" t="str">
        <f t="shared" si="5"/>
        <v>AU_AMAZON</v>
      </c>
      <c r="C156" s="107" t="s">
        <v>201</v>
      </c>
      <c r="D156" s="107" t="s">
        <v>262</v>
      </c>
      <c r="E156" s="107" t="s">
        <v>2307</v>
      </c>
      <c r="F156" s="107" t="s">
        <v>2428</v>
      </c>
      <c r="G156" s="107" t="s">
        <v>2428</v>
      </c>
      <c r="H156" s="107" t="e">
        <v>#N/A</v>
      </c>
      <c r="I156" s="99">
        <v>46076</v>
      </c>
      <c r="J156" s="107" t="s">
        <v>189</v>
      </c>
      <c r="K156" s="107"/>
      <c r="L156" s="107"/>
      <c r="M156" s="107"/>
      <c r="N156" s="107"/>
      <c r="O156" s="107"/>
    </row>
    <row r="157" spans="1:15" s="81" customFormat="1" hidden="1">
      <c r="A157" s="81" t="str">
        <f t="shared" si="4"/>
        <v>AUAMAZONBluetooth SpeakerSpeakersSpeakers</v>
      </c>
      <c r="B157" s="106" t="str">
        <f t="shared" si="5"/>
        <v>AU_AMAZON</v>
      </c>
      <c r="C157" s="107" t="s">
        <v>201</v>
      </c>
      <c r="D157" s="107" t="s">
        <v>262</v>
      </c>
      <c r="E157" s="107" t="s">
        <v>2307</v>
      </c>
      <c r="F157" s="107" t="s">
        <v>2429</v>
      </c>
      <c r="G157" s="107" t="s">
        <v>2429</v>
      </c>
      <c r="H157" s="107" t="e">
        <v>#N/A</v>
      </c>
      <c r="I157" s="99">
        <v>46076</v>
      </c>
      <c r="J157" s="107" t="s">
        <v>189</v>
      </c>
      <c r="K157" s="107"/>
      <c r="L157" s="107"/>
      <c r="M157" s="107"/>
      <c r="N157" s="107"/>
      <c r="O157" s="107"/>
    </row>
    <row r="158" spans="1:15" s="81" customFormat="1" hidden="1">
      <c r="A158" s="81" t="str">
        <f t="shared" si="4"/>
        <v>AUAMAZONSOUNDBARSound barSound bar</v>
      </c>
      <c r="B158" s="106" t="str">
        <f t="shared" si="5"/>
        <v>AU_AMAZON</v>
      </c>
      <c r="C158" s="107" t="s">
        <v>201</v>
      </c>
      <c r="D158" s="107" t="s">
        <v>262</v>
      </c>
      <c r="E158" s="107" t="s">
        <v>165</v>
      </c>
      <c r="F158" s="107" t="s">
        <v>2365</v>
      </c>
      <c r="G158" s="107" t="s">
        <v>2365</v>
      </c>
      <c r="H158" s="107" t="e">
        <v>#N/A</v>
      </c>
      <c r="I158" s="99">
        <v>46076</v>
      </c>
      <c r="J158" s="107" t="s">
        <v>189</v>
      </c>
      <c r="K158" s="107"/>
      <c r="L158" s="107"/>
      <c r="M158" s="107"/>
      <c r="N158" s="107"/>
      <c r="O158" s="107"/>
    </row>
    <row r="159" spans="1:15" s="81" customFormat="1" hidden="1">
      <c r="A159" s="81" t="str">
        <f t="shared" si="4"/>
        <v>AUAMAZONSOUNDBARSound barsSound bars</v>
      </c>
      <c r="B159" s="106" t="str">
        <f t="shared" si="5"/>
        <v>AU_AMAZON</v>
      </c>
      <c r="C159" s="107" t="s">
        <v>201</v>
      </c>
      <c r="D159" s="107" t="s">
        <v>262</v>
      </c>
      <c r="E159" s="107" t="s">
        <v>165</v>
      </c>
      <c r="F159" s="107" t="s">
        <v>2366</v>
      </c>
      <c r="G159" s="107" t="s">
        <v>2366</v>
      </c>
      <c r="H159" s="107" t="e">
        <v>#N/A</v>
      </c>
      <c r="I159" s="99">
        <v>46076</v>
      </c>
      <c r="J159" s="107" t="s">
        <v>189</v>
      </c>
      <c r="K159" s="107"/>
      <c r="L159" s="107"/>
      <c r="M159" s="107"/>
      <c r="N159" s="107"/>
      <c r="O159" s="107"/>
    </row>
    <row r="160" spans="1:15" s="81" customFormat="1" hidden="1">
      <c r="A160" s="81" t="str">
        <f t="shared" si="4"/>
        <v>AUAMAZONSOUNDBARSound systemSound bars for tv</v>
      </c>
      <c r="B160" s="106" t="str">
        <f t="shared" si="5"/>
        <v>AU_AMAZON</v>
      </c>
      <c r="C160" s="107" t="s">
        <v>201</v>
      </c>
      <c r="D160" s="107" t="s">
        <v>262</v>
      </c>
      <c r="E160" s="107" t="s">
        <v>165</v>
      </c>
      <c r="F160" s="107" t="s">
        <v>2359</v>
      </c>
      <c r="G160" s="107" t="s">
        <v>2430</v>
      </c>
      <c r="H160" s="107" t="e">
        <v>#N/A</v>
      </c>
      <c r="I160" s="99">
        <v>46076</v>
      </c>
      <c r="J160" s="107" t="s">
        <v>189</v>
      </c>
      <c r="K160" s="107"/>
      <c r="L160" s="107"/>
      <c r="M160" s="107"/>
      <c r="N160" s="107"/>
      <c r="O160" s="107"/>
    </row>
    <row r="161" spans="1:15" s="81" customFormat="1" hidden="1">
      <c r="A161" s="81" t="str">
        <f t="shared" si="4"/>
        <v>AUAMAZONSOUNDBARSoundbarSoundbar</v>
      </c>
      <c r="B161" s="106" t="str">
        <f t="shared" si="5"/>
        <v>AU_AMAZON</v>
      </c>
      <c r="C161" s="107" t="s">
        <v>201</v>
      </c>
      <c r="D161" s="107" t="s">
        <v>262</v>
      </c>
      <c r="E161" s="107" t="s">
        <v>165</v>
      </c>
      <c r="F161" s="107" t="s">
        <v>2363</v>
      </c>
      <c r="G161" s="107" t="s">
        <v>2363</v>
      </c>
      <c r="H161" s="107" t="e">
        <v>#N/A</v>
      </c>
      <c r="I161" s="99">
        <v>46076</v>
      </c>
      <c r="J161" s="107" t="s">
        <v>189</v>
      </c>
      <c r="K161" s="107"/>
      <c r="L161" s="107"/>
      <c r="M161" s="107"/>
      <c r="N161" s="107"/>
      <c r="O161" s="107"/>
    </row>
    <row r="162" spans="1:15" s="81" customFormat="1" hidden="1">
      <c r="A162" s="81" t="str">
        <f t="shared" si="4"/>
        <v>AUAMAZONSOUNDBARSoundbarsSoundbars</v>
      </c>
      <c r="B162" s="106" t="str">
        <f t="shared" si="5"/>
        <v>AU_AMAZON</v>
      </c>
      <c r="C162" s="107" t="s">
        <v>201</v>
      </c>
      <c r="D162" s="107" t="s">
        <v>262</v>
      </c>
      <c r="E162" s="107" t="s">
        <v>165</v>
      </c>
      <c r="F162" s="107" t="s">
        <v>2361</v>
      </c>
      <c r="G162" s="107" t="s">
        <v>2361</v>
      </c>
      <c r="H162" s="107" t="e">
        <v>#N/A</v>
      </c>
      <c r="I162" s="99">
        <v>46076</v>
      </c>
      <c r="J162" s="107" t="s">
        <v>189</v>
      </c>
      <c r="K162" s="107"/>
      <c r="L162" s="107"/>
      <c r="M162" s="107"/>
      <c r="N162" s="107"/>
      <c r="O162" s="107"/>
    </row>
    <row r="163" spans="1:15" s="81" customFormat="1">
      <c r="A163" s="81" t="str">
        <f t="shared" si="4"/>
        <v>AUAMAZONDryerDryerDryer</v>
      </c>
      <c r="B163" s="106" t="str">
        <f t="shared" si="5"/>
        <v>AU_AMAZON</v>
      </c>
      <c r="C163" s="107" t="s">
        <v>201</v>
      </c>
      <c r="D163" s="107" t="s">
        <v>262</v>
      </c>
      <c r="E163" s="107" t="s">
        <v>2431</v>
      </c>
      <c r="F163" s="107" t="s">
        <v>2431</v>
      </c>
      <c r="G163" s="107" t="s">
        <v>2431</v>
      </c>
      <c r="H163" s="107" t="e">
        <v>#N/A</v>
      </c>
      <c r="I163" s="99">
        <v>46076</v>
      </c>
      <c r="J163" s="107" t="s">
        <v>189</v>
      </c>
      <c r="K163" s="107"/>
      <c r="L163" s="107"/>
      <c r="M163" s="107"/>
      <c r="N163" s="107"/>
      <c r="O163" s="107"/>
    </row>
    <row r="164" spans="1:15" s="81" customFormat="1">
      <c r="A164" s="81" t="str">
        <f t="shared" si="4"/>
        <v>AUAMAZONDryerheatpump  heatpump</v>
      </c>
      <c r="B164" s="106" t="str">
        <f t="shared" si="5"/>
        <v>AU_AMAZON</v>
      </c>
      <c r="C164" s="107" t="s">
        <v>201</v>
      </c>
      <c r="D164" s="107" t="s">
        <v>262</v>
      </c>
      <c r="E164" s="107" t="s">
        <v>2431</v>
      </c>
      <c r="F164" s="107" t="s">
        <v>2432</v>
      </c>
      <c r="G164" s="107" t="s">
        <v>2433</v>
      </c>
      <c r="H164" s="107" t="e">
        <v>#N/A</v>
      </c>
      <c r="I164" s="99">
        <v>46076</v>
      </c>
      <c r="J164" s="107" t="s">
        <v>189</v>
      </c>
      <c r="K164" s="107"/>
      <c r="L164" s="107"/>
      <c r="M164" s="107"/>
      <c r="N164" s="107"/>
      <c r="O164" s="107"/>
    </row>
    <row r="165" spans="1:15" s="81" customFormat="1">
      <c r="A165" s="81" t="str">
        <f t="shared" si="4"/>
        <v>AUAMAZONDryerLG DryerLG Dryer</v>
      </c>
      <c r="B165" s="106" t="str">
        <f t="shared" si="5"/>
        <v>AU_AMAZON</v>
      </c>
      <c r="C165" s="107" t="s">
        <v>201</v>
      </c>
      <c r="D165" s="107" t="s">
        <v>262</v>
      </c>
      <c r="E165" s="107" t="s">
        <v>2431</v>
      </c>
      <c r="F165" s="107" t="s">
        <v>2434</v>
      </c>
      <c r="G165" s="107" t="s">
        <v>2434</v>
      </c>
      <c r="H165" s="107" t="e">
        <v>#N/A</v>
      </c>
      <c r="I165" s="99">
        <v>46076</v>
      </c>
      <c r="J165" s="107" t="s">
        <v>189</v>
      </c>
      <c r="K165" s="107"/>
      <c r="L165" s="107"/>
      <c r="M165" s="107"/>
      <c r="N165" s="107"/>
      <c r="O165" s="107"/>
    </row>
    <row r="166" spans="1:15" s="111" customFormat="1" hidden="1">
      <c r="A166" s="111" t="str">
        <f t="shared" si="4"/>
        <v>AUAMAZONWIRELESS HEADSETBluetooth earbudsBluetooth earbuds</v>
      </c>
      <c r="B166" s="112" t="str">
        <f t="shared" si="5"/>
        <v>AU_AMAZON</v>
      </c>
      <c r="C166" s="113" t="s">
        <v>201</v>
      </c>
      <c r="D166" s="113" t="s">
        <v>262</v>
      </c>
      <c r="E166" s="113" t="s">
        <v>2201</v>
      </c>
      <c r="F166" s="113" t="s">
        <v>2382</v>
      </c>
      <c r="G166" s="113" t="s">
        <v>2382</v>
      </c>
      <c r="H166" s="113" t="e">
        <v>#N/A</v>
      </c>
      <c r="I166" s="99">
        <v>46076</v>
      </c>
      <c r="J166" s="113" t="s">
        <v>189</v>
      </c>
      <c r="K166" s="113"/>
      <c r="L166" s="113"/>
      <c r="M166" s="113"/>
      <c r="N166" s="113"/>
      <c r="O166" s="113"/>
    </row>
    <row r="167" spans="1:15" s="111" customFormat="1" hidden="1">
      <c r="A167" s="111" t="str">
        <f t="shared" si="4"/>
        <v>AUAMAZONWIRELESS HEADSETEar budsEar buds</v>
      </c>
      <c r="B167" s="112" t="str">
        <f t="shared" si="5"/>
        <v>AU_AMAZON</v>
      </c>
      <c r="C167" s="113" t="s">
        <v>201</v>
      </c>
      <c r="D167" s="113" t="s">
        <v>262</v>
      </c>
      <c r="E167" s="113" t="s">
        <v>2201</v>
      </c>
      <c r="F167" s="113" t="s">
        <v>2380</v>
      </c>
      <c r="G167" s="113" t="s">
        <v>2380</v>
      </c>
      <c r="H167" s="113" t="e">
        <v>#N/A</v>
      </c>
      <c r="I167" s="99">
        <v>46076</v>
      </c>
      <c r="J167" s="113" t="s">
        <v>189</v>
      </c>
      <c r="K167" s="113"/>
      <c r="L167" s="113"/>
      <c r="M167" s="113"/>
      <c r="N167" s="113"/>
      <c r="O167" s="113"/>
    </row>
    <row r="168" spans="1:15" s="111" customFormat="1" hidden="1">
      <c r="A168" s="111" t="str">
        <f t="shared" si="4"/>
        <v>AUAMAZONWIRELESS HEADSETNoise cancelling earbudsNoise cancelling earbuds</v>
      </c>
      <c r="B168" s="112" t="str">
        <f t="shared" si="5"/>
        <v>AU_AMAZON</v>
      </c>
      <c r="C168" s="113" t="s">
        <v>201</v>
      </c>
      <c r="D168" s="113" t="s">
        <v>262</v>
      </c>
      <c r="E168" s="113" t="s">
        <v>2201</v>
      </c>
      <c r="F168" s="113" t="s">
        <v>2378</v>
      </c>
      <c r="G168" s="113" t="s">
        <v>2378</v>
      </c>
      <c r="H168" s="113" t="e">
        <v>#N/A</v>
      </c>
      <c r="I168" s="99">
        <v>46076</v>
      </c>
      <c r="J168" s="113" t="s">
        <v>189</v>
      </c>
      <c r="K168" s="113"/>
      <c r="L168" s="113"/>
      <c r="M168" s="113"/>
      <c r="N168" s="113"/>
      <c r="O168" s="113"/>
    </row>
    <row r="169" spans="1:15" s="111" customFormat="1" hidden="1">
      <c r="A169" s="111" t="str">
        <f t="shared" si="4"/>
        <v>AUAMAZONWIRELESS HEADSETTrue wireless earbudsTrue wireless earbuds</v>
      </c>
      <c r="B169" s="112" t="str">
        <f t="shared" si="5"/>
        <v>AU_AMAZON</v>
      </c>
      <c r="C169" s="113" t="s">
        <v>201</v>
      </c>
      <c r="D169" s="113" t="s">
        <v>262</v>
      </c>
      <c r="E169" s="113" t="s">
        <v>2201</v>
      </c>
      <c r="F169" s="113" t="s">
        <v>2374</v>
      </c>
      <c r="G169" s="113" t="s">
        <v>2374</v>
      </c>
      <c r="H169" s="113" t="e">
        <v>#N/A</v>
      </c>
      <c r="I169" s="99">
        <v>46076</v>
      </c>
      <c r="J169" s="113" t="s">
        <v>189</v>
      </c>
      <c r="K169" s="113"/>
      <c r="L169" s="113"/>
      <c r="M169" s="113"/>
      <c r="N169" s="113"/>
      <c r="O169" s="113"/>
    </row>
    <row r="170" spans="1:15" s="111" customFormat="1" hidden="1">
      <c r="A170" s="111" t="str">
        <f t="shared" si="4"/>
        <v>AUAMAZONWIRELESS HEADSETWireless earbudsWireless earbuds</v>
      </c>
      <c r="B170" s="112" t="str">
        <f t="shared" si="5"/>
        <v>AU_AMAZON</v>
      </c>
      <c r="C170" s="113" t="s">
        <v>201</v>
      </c>
      <c r="D170" s="113" t="s">
        <v>262</v>
      </c>
      <c r="E170" s="113" t="s">
        <v>2201</v>
      </c>
      <c r="F170" s="113" t="s">
        <v>2376</v>
      </c>
      <c r="G170" s="113" t="s">
        <v>2376</v>
      </c>
      <c r="H170" s="113" t="e">
        <v>#N/A</v>
      </c>
      <c r="I170" s="99">
        <v>46076</v>
      </c>
      <c r="J170" s="113" t="s">
        <v>189</v>
      </c>
      <c r="K170" s="113"/>
      <c r="L170" s="113"/>
      <c r="M170" s="113"/>
      <c r="N170" s="113"/>
      <c r="O170" s="113"/>
    </row>
    <row r="171" spans="1:15" hidden="1">
      <c r="A171" s="75" t="str">
        <f t="shared" si="4"/>
        <v>AUHARVEYNORMANBluetooth SpeakerBluetooth speakersBluetooth speakers</v>
      </c>
      <c r="B171" s="94" t="str">
        <f t="shared" si="5"/>
        <v>AU_HARVEYNORMAN</v>
      </c>
      <c r="C171" s="93" t="s">
        <v>201</v>
      </c>
      <c r="D171" s="93" t="s">
        <v>202</v>
      </c>
      <c r="E171" s="93" t="s">
        <v>2307</v>
      </c>
      <c r="F171" s="93" t="s">
        <v>2425</v>
      </c>
      <c r="G171" s="93" t="s">
        <v>2425</v>
      </c>
      <c r="H171" s="93" t="e">
        <v>#N/A</v>
      </c>
      <c r="I171" s="105" t="s">
        <v>2310</v>
      </c>
      <c r="J171" s="93" t="s">
        <v>189</v>
      </c>
      <c r="K171" s="93">
        <v>871</v>
      </c>
      <c r="L171" s="93">
        <v>871</v>
      </c>
      <c r="M171" s="93" t="s">
        <v>2311</v>
      </c>
      <c r="N171" s="93">
        <f>VLOOKUP(B171,'[16]01.수집 카테고리(List)'!$A$2:$H$64,8,FALSE)</f>
        <v>99991231</v>
      </c>
      <c r="O171" s="93" t="s">
        <v>646</v>
      </c>
    </row>
    <row r="172" spans="1:15" hidden="1">
      <c r="A172" s="75" t="str">
        <f t="shared" si="4"/>
        <v>AUHARVEYNORMANBluetooth SpeakerPortable bluetooth speakersPortable bluetooth speakers</v>
      </c>
      <c r="B172" s="94" t="str">
        <f t="shared" si="5"/>
        <v>AU_HARVEYNORMAN</v>
      </c>
      <c r="C172" s="93" t="s">
        <v>201</v>
      </c>
      <c r="D172" s="93" t="s">
        <v>202</v>
      </c>
      <c r="E172" s="93" t="s">
        <v>2307</v>
      </c>
      <c r="F172" s="93" t="s">
        <v>2426</v>
      </c>
      <c r="G172" s="93" t="s">
        <v>2426</v>
      </c>
      <c r="H172" s="93" t="e">
        <v>#N/A</v>
      </c>
      <c r="I172" s="105" t="s">
        <v>2310</v>
      </c>
      <c r="J172" s="93" t="s">
        <v>189</v>
      </c>
      <c r="K172" s="93">
        <v>783</v>
      </c>
      <c r="L172" s="93">
        <v>783</v>
      </c>
      <c r="M172" s="93" t="s">
        <v>2311</v>
      </c>
      <c r="N172" s="93">
        <f>VLOOKUP(B172,'[16]01.수집 카테고리(List)'!$A$2:$H$64,8,FALSE)</f>
        <v>99991231</v>
      </c>
      <c r="O172" s="93" t="s">
        <v>646</v>
      </c>
    </row>
    <row r="173" spans="1:15" hidden="1">
      <c r="A173" s="75" t="str">
        <f t="shared" si="4"/>
        <v>AUHARVEYNORMANBluetooth SpeakerPortable speakersPortable speakers</v>
      </c>
      <c r="B173" s="94" t="str">
        <f t="shared" si="5"/>
        <v>AU_HARVEYNORMAN</v>
      </c>
      <c r="C173" s="93" t="s">
        <v>201</v>
      </c>
      <c r="D173" s="93" t="s">
        <v>202</v>
      </c>
      <c r="E173" s="93" t="s">
        <v>2307</v>
      </c>
      <c r="F173" s="93" t="s">
        <v>2427</v>
      </c>
      <c r="G173" s="93" t="s">
        <v>2427</v>
      </c>
      <c r="H173" s="93" t="e">
        <v>#N/A</v>
      </c>
      <c r="I173" s="105" t="s">
        <v>2310</v>
      </c>
      <c r="J173" s="93" t="s">
        <v>189</v>
      </c>
      <c r="K173" s="93">
        <v>779</v>
      </c>
      <c r="L173" s="93">
        <v>779</v>
      </c>
      <c r="M173" s="93" t="s">
        <v>2311</v>
      </c>
      <c r="N173" s="93">
        <f>VLOOKUP(B173,'[16]01.수집 카테고리(List)'!$A$2:$H$64,8,FALSE)</f>
        <v>99991231</v>
      </c>
      <c r="O173" s="93" t="s">
        <v>646</v>
      </c>
    </row>
    <row r="174" spans="1:15" hidden="1">
      <c r="A174" s="75" t="str">
        <f t="shared" si="4"/>
        <v>AUHARVEYNORMANBluetooth SpeakerSpeakerSpeaker</v>
      </c>
      <c r="B174" s="94" t="str">
        <f t="shared" si="5"/>
        <v>AU_HARVEYNORMAN</v>
      </c>
      <c r="C174" s="93" t="s">
        <v>201</v>
      </c>
      <c r="D174" s="93" t="s">
        <v>202</v>
      </c>
      <c r="E174" s="93" t="s">
        <v>2307</v>
      </c>
      <c r="F174" s="93" t="s">
        <v>2428</v>
      </c>
      <c r="G174" s="93" t="s">
        <v>2428</v>
      </c>
      <c r="H174" s="93" t="e">
        <v>#N/A</v>
      </c>
      <c r="I174" s="105" t="s">
        <v>2310</v>
      </c>
      <c r="J174" s="93" t="s">
        <v>189</v>
      </c>
      <c r="K174" s="93">
        <v>978</v>
      </c>
      <c r="L174" s="93">
        <v>978</v>
      </c>
      <c r="M174" s="93" t="s">
        <v>2311</v>
      </c>
      <c r="N174" s="93">
        <f>VLOOKUP(B174,'[16]01.수집 카테고리(List)'!$A$2:$H$64,8,FALSE)</f>
        <v>99991231</v>
      </c>
      <c r="O174" s="93" t="s">
        <v>646</v>
      </c>
    </row>
    <row r="175" spans="1:15" hidden="1">
      <c r="A175" s="75" t="str">
        <f t="shared" si="4"/>
        <v>AUHARVEYNORMANBluetooth SpeakerSpeakersSpeakers</v>
      </c>
      <c r="B175" s="94" t="str">
        <f t="shared" si="5"/>
        <v>AU_HARVEYNORMAN</v>
      </c>
      <c r="C175" s="93" t="s">
        <v>201</v>
      </c>
      <c r="D175" s="93" t="s">
        <v>202</v>
      </c>
      <c r="E175" s="93" t="s">
        <v>2307</v>
      </c>
      <c r="F175" s="93" t="s">
        <v>2429</v>
      </c>
      <c r="G175" s="93" t="s">
        <v>2429</v>
      </c>
      <c r="H175" s="93" t="e">
        <v>#N/A</v>
      </c>
      <c r="I175" s="105" t="s">
        <v>2310</v>
      </c>
      <c r="J175" s="93" t="s">
        <v>189</v>
      </c>
      <c r="K175" s="93">
        <v>973</v>
      </c>
      <c r="L175" s="93">
        <v>973</v>
      </c>
      <c r="M175" s="93" t="s">
        <v>2311</v>
      </c>
      <c r="N175" s="93">
        <f>VLOOKUP(B175,'[16]01.수집 카테고리(List)'!$A$2:$H$64,8,FALSE)</f>
        <v>99991231</v>
      </c>
      <c r="O175" s="93" t="s">
        <v>646</v>
      </c>
    </row>
    <row r="176" spans="1:15" hidden="1">
      <c r="A176" s="75" t="str">
        <f t="shared" si="4"/>
        <v>AUHARVEYNORMANCordless stick vacuumcordless stick vacuumcordless stick vacuum</v>
      </c>
      <c r="B176" s="94" t="str">
        <f t="shared" si="5"/>
        <v>AU_HARVEYNORMAN</v>
      </c>
      <c r="C176" s="93" t="s">
        <v>201</v>
      </c>
      <c r="D176" s="93" t="s">
        <v>202</v>
      </c>
      <c r="E176" s="93" t="s">
        <v>2435</v>
      </c>
      <c r="F176" s="93" t="s">
        <v>2436</v>
      </c>
      <c r="G176" s="93" t="s">
        <v>2436</v>
      </c>
      <c r="H176" s="93" t="e">
        <v>#N/A</v>
      </c>
      <c r="I176" s="105" t="s">
        <v>2310</v>
      </c>
      <c r="J176" s="93" t="s">
        <v>189</v>
      </c>
      <c r="K176" s="93">
        <v>73</v>
      </c>
      <c r="L176" s="93">
        <v>73</v>
      </c>
      <c r="M176" s="93" t="s">
        <v>2311</v>
      </c>
      <c r="N176" s="93">
        <f>VLOOKUP(B176,'[16]01.수집 카테고리(List)'!$A$2:$H$64,8,FALSE)</f>
        <v>99991231</v>
      </c>
      <c r="O176" s="93" t="s">
        <v>646</v>
      </c>
    </row>
    <row r="177" spans="1:15" hidden="1">
      <c r="A177" s="75" t="str">
        <f t="shared" si="4"/>
        <v>AUHARVEYNORMANCordless stick vacuumhandstick Vacuumhandstick Vacuum</v>
      </c>
      <c r="B177" s="94" t="str">
        <f t="shared" si="5"/>
        <v>AU_HARVEYNORMAN</v>
      </c>
      <c r="C177" s="93" t="s">
        <v>201</v>
      </c>
      <c r="D177" s="93" t="s">
        <v>202</v>
      </c>
      <c r="E177" s="93" t="s">
        <v>2435</v>
      </c>
      <c r="F177" s="93" t="s">
        <v>2437</v>
      </c>
      <c r="G177" s="93" t="s">
        <v>2437</v>
      </c>
      <c r="H177" s="93" t="e">
        <v>#N/A</v>
      </c>
      <c r="I177" s="105" t="s">
        <v>2310</v>
      </c>
      <c r="J177" s="93" t="s">
        <v>189</v>
      </c>
      <c r="K177" s="93">
        <v>15</v>
      </c>
      <c r="L177" s="93">
        <v>15</v>
      </c>
      <c r="M177" s="93" t="s">
        <v>2311</v>
      </c>
      <c r="N177" s="93">
        <f>VLOOKUP(B177,'[16]01.수집 카테고리(List)'!$A$2:$H$64,8,FALSE)</f>
        <v>99991231</v>
      </c>
      <c r="O177" s="93" t="s">
        <v>646</v>
      </c>
    </row>
    <row r="178" spans="1:15" hidden="1">
      <c r="A178" s="75" t="str">
        <f t="shared" si="4"/>
        <v>AUHARVEYNORMANCordless stick vacuumstick vacuumstick vacuum</v>
      </c>
      <c r="B178" s="94" t="str">
        <f t="shared" si="5"/>
        <v>AU_HARVEYNORMAN</v>
      </c>
      <c r="C178" s="93" t="s">
        <v>201</v>
      </c>
      <c r="D178" s="93" t="s">
        <v>202</v>
      </c>
      <c r="E178" s="93" t="s">
        <v>2435</v>
      </c>
      <c r="F178" s="93" t="s">
        <v>2438</v>
      </c>
      <c r="G178" s="93" t="s">
        <v>2438</v>
      </c>
      <c r="H178" s="93" t="e">
        <v>#N/A</v>
      </c>
      <c r="I178" s="105" t="s">
        <v>2310</v>
      </c>
      <c r="J178" s="93" t="s">
        <v>189</v>
      </c>
      <c r="K178" s="93">
        <v>120</v>
      </c>
      <c r="L178" s="93">
        <v>120</v>
      </c>
      <c r="M178" s="93" t="s">
        <v>2311</v>
      </c>
      <c r="N178" s="93">
        <f>VLOOKUP(B178,'[16]01.수집 카테고리(List)'!$A$2:$H$64,8,FALSE)</f>
        <v>99991231</v>
      </c>
      <c r="O178" s="93" t="s">
        <v>646</v>
      </c>
    </row>
    <row r="179" spans="1:15" hidden="1">
      <c r="A179" s="75" t="str">
        <f t="shared" si="4"/>
        <v>AUHARVEYNORMANCordless stick vacuumstick vacuum cleanerstick vacuum cleaner</v>
      </c>
      <c r="B179" s="94" t="str">
        <f t="shared" si="5"/>
        <v>AU_HARVEYNORMAN</v>
      </c>
      <c r="C179" s="93" t="s">
        <v>201</v>
      </c>
      <c r="D179" s="93" t="s">
        <v>202</v>
      </c>
      <c r="E179" s="93" t="s">
        <v>2435</v>
      </c>
      <c r="F179" s="93" t="s">
        <v>2439</v>
      </c>
      <c r="G179" s="93" t="s">
        <v>2439</v>
      </c>
      <c r="H179" s="93" t="e">
        <v>#N/A</v>
      </c>
      <c r="I179" s="105" t="s">
        <v>2310</v>
      </c>
      <c r="J179" s="93" t="s">
        <v>189</v>
      </c>
      <c r="K179" s="93">
        <v>59</v>
      </c>
      <c r="L179" s="93">
        <v>59</v>
      </c>
      <c r="M179" s="93" t="s">
        <v>2311</v>
      </c>
      <c r="N179" s="93">
        <f>VLOOKUP(B179,'[16]01.수집 카테고리(List)'!$A$2:$H$64,8,FALSE)</f>
        <v>99991231</v>
      </c>
      <c r="O179" s="93" t="s">
        <v>646</v>
      </c>
    </row>
    <row r="180" spans="1:15" hidden="1">
      <c r="A180" s="75" t="str">
        <f t="shared" si="4"/>
        <v>AUHARVEYNORMANDishwasherdishwasherdishwasher</v>
      </c>
      <c r="B180" s="94" t="str">
        <f t="shared" si="5"/>
        <v>AU_HARVEYNORMAN</v>
      </c>
      <c r="C180" s="93" t="s">
        <v>201</v>
      </c>
      <c r="D180" s="93" t="s">
        <v>202</v>
      </c>
      <c r="E180" s="93" t="s">
        <v>2440</v>
      </c>
      <c r="F180" s="93" t="s">
        <v>2354</v>
      </c>
      <c r="G180" s="93" t="s">
        <v>2354</v>
      </c>
      <c r="H180" s="93" t="e">
        <v>#N/A</v>
      </c>
      <c r="I180" s="105" t="s">
        <v>2310</v>
      </c>
      <c r="J180" s="93" t="s">
        <v>189</v>
      </c>
      <c r="K180" s="93">
        <v>240</v>
      </c>
      <c r="L180" s="93">
        <v>240</v>
      </c>
      <c r="M180" s="93" t="s">
        <v>2311</v>
      </c>
      <c r="N180" s="93">
        <f>VLOOKUP(B180,'[16]01.수집 카테고리(List)'!$A$2:$H$64,8,FALSE)</f>
        <v>99991231</v>
      </c>
      <c r="O180" s="93" t="s">
        <v>646</v>
      </c>
    </row>
    <row r="181" spans="1:15" hidden="1">
      <c r="A181" s="75" t="str">
        <f t="shared" si="4"/>
        <v>AUHARVEYNORMANDishwasherFreestanding Dishwasher Freestanding Dishwasher</v>
      </c>
      <c r="B181" s="94" t="str">
        <f t="shared" si="5"/>
        <v>AU_HARVEYNORMAN</v>
      </c>
      <c r="C181" s="93" t="s">
        <v>201</v>
      </c>
      <c r="D181" s="93" t="s">
        <v>202</v>
      </c>
      <c r="E181" s="93" t="s">
        <v>2440</v>
      </c>
      <c r="F181" s="93" t="s">
        <v>2441</v>
      </c>
      <c r="G181" s="93" t="s">
        <v>2352</v>
      </c>
      <c r="H181" s="93" t="e">
        <v>#N/A</v>
      </c>
      <c r="I181" s="105" t="s">
        <v>2310</v>
      </c>
      <c r="J181" s="93" t="s">
        <v>189</v>
      </c>
      <c r="K181" s="93">
        <v>617</v>
      </c>
      <c r="L181" s="93" t="e">
        <v>#N/A</v>
      </c>
      <c r="M181" s="93" t="s">
        <v>2311</v>
      </c>
      <c r="N181" s="93">
        <f>VLOOKUP(B181,'[16]01.수집 카테고리(List)'!$A$2:$H$64,8,FALSE)</f>
        <v>99991231</v>
      </c>
      <c r="O181" s="93" t="s">
        <v>646</v>
      </c>
    </row>
    <row r="182" spans="1:15" hidden="1">
      <c r="A182" s="75" t="str">
        <f t="shared" si="4"/>
        <v>AUHARVEYNORMANDishwasherLG DishwasherLG Dishwasher</v>
      </c>
      <c r="B182" s="94" t="str">
        <f t="shared" si="5"/>
        <v>AU_HARVEYNORMAN</v>
      </c>
      <c r="C182" s="93" t="s">
        <v>201</v>
      </c>
      <c r="D182" s="93" t="s">
        <v>202</v>
      </c>
      <c r="E182" s="93" t="s">
        <v>2440</v>
      </c>
      <c r="F182" s="93" t="s">
        <v>2442</v>
      </c>
      <c r="G182" s="93" t="s">
        <v>2442</v>
      </c>
      <c r="H182" s="93" t="e">
        <v>#N/A</v>
      </c>
      <c r="I182" s="105" t="s">
        <v>2310</v>
      </c>
      <c r="J182" s="93" t="s">
        <v>189</v>
      </c>
      <c r="K182" s="93">
        <v>9</v>
      </c>
      <c r="L182" s="93">
        <v>9</v>
      </c>
      <c r="M182" s="93" t="s">
        <v>2311</v>
      </c>
      <c r="N182" s="93">
        <f>VLOOKUP(B182,'[16]01.수집 카테고리(List)'!$A$2:$H$64,8,FALSE)</f>
        <v>99991231</v>
      </c>
      <c r="O182" s="93" t="s">
        <v>646</v>
      </c>
    </row>
    <row r="183" spans="1:15">
      <c r="A183" s="75" t="str">
        <f t="shared" si="4"/>
        <v>AUHARVEYNORMANDryerDryerDryer</v>
      </c>
      <c r="B183" s="94" t="str">
        <f t="shared" si="5"/>
        <v>AU_HARVEYNORMAN</v>
      </c>
      <c r="C183" s="93" t="s">
        <v>201</v>
      </c>
      <c r="D183" s="93" t="s">
        <v>202</v>
      </c>
      <c r="E183" s="93" t="s">
        <v>2431</v>
      </c>
      <c r="F183" s="93" t="s">
        <v>2431</v>
      </c>
      <c r="G183" s="93" t="s">
        <v>2431</v>
      </c>
      <c r="H183" s="93" t="e">
        <v>#N/A</v>
      </c>
      <c r="I183" s="105" t="s">
        <v>2310</v>
      </c>
      <c r="J183" s="93" t="s">
        <v>189</v>
      </c>
      <c r="K183" s="93">
        <v>799</v>
      </c>
      <c r="L183" s="93">
        <v>799</v>
      </c>
      <c r="M183" s="93" t="s">
        <v>2311</v>
      </c>
      <c r="N183" s="93">
        <f>VLOOKUP(B183,'[16]01.수집 카테고리(List)'!$A$2:$H$64,8,FALSE)</f>
        <v>99991231</v>
      </c>
      <c r="O183" s="93" t="s">
        <v>646</v>
      </c>
    </row>
    <row r="184" spans="1:15">
      <c r="A184" s="75" t="str">
        <f t="shared" si="4"/>
        <v>AUHARVEYNORMANDryerheatpump  heatpump</v>
      </c>
      <c r="B184" s="94" t="str">
        <f t="shared" si="5"/>
        <v>AU_HARVEYNORMAN</v>
      </c>
      <c r="C184" s="93" t="s">
        <v>201</v>
      </c>
      <c r="D184" s="93" t="s">
        <v>202</v>
      </c>
      <c r="E184" s="93" t="s">
        <v>2431</v>
      </c>
      <c r="F184" s="93" t="s">
        <v>2432</v>
      </c>
      <c r="G184" s="93" t="s">
        <v>2433</v>
      </c>
      <c r="H184" s="93" t="e">
        <v>#N/A</v>
      </c>
      <c r="I184" s="105" t="s">
        <v>2310</v>
      </c>
      <c r="J184" s="93" t="s">
        <v>189</v>
      </c>
      <c r="K184" s="93">
        <v>1056</v>
      </c>
      <c r="L184" s="93" t="e">
        <v>#N/A</v>
      </c>
      <c r="M184" s="93" t="s">
        <v>2311</v>
      </c>
      <c r="N184" s="93">
        <f>VLOOKUP(B184,'[16]01.수집 카테고리(List)'!$A$2:$H$64,8,FALSE)</f>
        <v>99991231</v>
      </c>
      <c r="O184" s="93" t="s">
        <v>646</v>
      </c>
    </row>
    <row r="185" spans="1:15">
      <c r="A185" s="75" t="str">
        <f t="shared" si="4"/>
        <v>AUHARVEYNORMANDryerLG DryerLG Dryer</v>
      </c>
      <c r="B185" s="94" t="str">
        <f t="shared" si="5"/>
        <v>AU_HARVEYNORMAN</v>
      </c>
      <c r="C185" s="93" t="s">
        <v>201</v>
      </c>
      <c r="D185" s="93" t="s">
        <v>202</v>
      </c>
      <c r="E185" s="93" t="s">
        <v>2431</v>
      </c>
      <c r="F185" s="93" t="s">
        <v>2434</v>
      </c>
      <c r="G185" s="93" t="s">
        <v>2434</v>
      </c>
      <c r="H185" s="93" t="e">
        <v>#N/A</v>
      </c>
      <c r="I185" s="105" t="s">
        <v>2310</v>
      </c>
      <c r="J185" s="93" t="s">
        <v>189</v>
      </c>
      <c r="K185" s="93">
        <v>67</v>
      </c>
      <c r="L185" s="93">
        <v>67</v>
      </c>
      <c r="M185" s="93" t="s">
        <v>2311</v>
      </c>
      <c r="N185" s="93">
        <f>VLOOKUP(B185,'[16]01.수집 카테고리(List)'!$A$2:$H$64,8,FALSE)</f>
        <v>99991231</v>
      </c>
      <c r="O185" s="93" t="s">
        <v>646</v>
      </c>
    </row>
    <row r="186" spans="1:15" hidden="1">
      <c r="A186" s="75" t="str">
        <f t="shared" si="4"/>
        <v>AUHARVEYNORMANLaptop15inch Laptop15inch Laptop</v>
      </c>
      <c r="B186" s="94" t="str">
        <f t="shared" si="5"/>
        <v>AU_HARVEYNORMAN</v>
      </c>
      <c r="C186" s="93" t="s">
        <v>201</v>
      </c>
      <c r="D186" s="93" t="s">
        <v>202</v>
      </c>
      <c r="E186" s="93" t="s">
        <v>2407</v>
      </c>
      <c r="F186" s="93" t="s">
        <v>2408</v>
      </c>
      <c r="G186" s="93" t="s">
        <v>2408</v>
      </c>
      <c r="H186" s="93" t="e">
        <v>#N/A</v>
      </c>
      <c r="I186" s="105" t="s">
        <v>2310</v>
      </c>
      <c r="J186" s="93" t="s">
        <v>189</v>
      </c>
      <c r="K186" s="93">
        <v>422</v>
      </c>
      <c r="L186" s="93">
        <v>422</v>
      </c>
      <c r="M186" s="93" t="s">
        <v>2311</v>
      </c>
      <c r="N186" s="93">
        <f>VLOOKUP(B186,'[16]01.수집 카테고리(List)'!$A$2:$H$64,8,FALSE)</f>
        <v>99991231</v>
      </c>
      <c r="O186" s="93" t="s">
        <v>646</v>
      </c>
    </row>
    <row r="187" spans="1:15" hidden="1">
      <c r="A187" s="75" t="str">
        <f t="shared" si="4"/>
        <v>AUHARVEYNORMANLaptop17inch Laptop17inch Laptop</v>
      </c>
      <c r="B187" s="94" t="str">
        <f t="shared" si="5"/>
        <v>AU_HARVEYNORMAN</v>
      </c>
      <c r="C187" s="93" t="s">
        <v>201</v>
      </c>
      <c r="D187" s="93" t="s">
        <v>202</v>
      </c>
      <c r="E187" s="93" t="s">
        <v>2407</v>
      </c>
      <c r="F187" s="93" t="s">
        <v>2409</v>
      </c>
      <c r="G187" s="93" t="s">
        <v>2409</v>
      </c>
      <c r="H187" s="93" t="e">
        <v>#N/A</v>
      </c>
      <c r="I187" s="105" t="s">
        <v>2310</v>
      </c>
      <c r="J187" s="93" t="s">
        <v>189</v>
      </c>
      <c r="K187" s="93">
        <v>39</v>
      </c>
      <c r="L187" s="93">
        <v>39</v>
      </c>
      <c r="M187" s="93" t="s">
        <v>2311</v>
      </c>
      <c r="N187" s="93">
        <f>VLOOKUP(B187,'[16]01.수집 카테고리(List)'!$A$2:$H$64,8,FALSE)</f>
        <v>99991231</v>
      </c>
      <c r="O187" s="93" t="s">
        <v>646</v>
      </c>
    </row>
    <row r="188" spans="1:15" hidden="1">
      <c r="A188" s="75" t="str">
        <f t="shared" si="4"/>
        <v>AUHARVEYNORMANLaptopi7 laptopi7 laptop</v>
      </c>
      <c r="B188" s="94" t="str">
        <f t="shared" si="5"/>
        <v>AU_HARVEYNORMAN</v>
      </c>
      <c r="C188" s="93" t="s">
        <v>201</v>
      </c>
      <c r="D188" s="93" t="s">
        <v>202</v>
      </c>
      <c r="E188" s="93" t="s">
        <v>2407</v>
      </c>
      <c r="F188" s="93" t="s">
        <v>2410</v>
      </c>
      <c r="G188" s="93" t="s">
        <v>2410</v>
      </c>
      <c r="H188" s="93" t="e">
        <v>#N/A</v>
      </c>
      <c r="I188" s="105" t="s">
        <v>2310</v>
      </c>
      <c r="J188" s="93" t="s">
        <v>189</v>
      </c>
      <c r="K188" s="93">
        <v>96</v>
      </c>
      <c r="L188" s="93">
        <v>96</v>
      </c>
      <c r="M188" s="93" t="s">
        <v>2311</v>
      </c>
      <c r="N188" s="93">
        <f>VLOOKUP(B188,'[16]01.수집 카테고리(List)'!$A$2:$H$64,8,FALSE)</f>
        <v>99991231</v>
      </c>
      <c r="O188" s="93" t="s">
        <v>646</v>
      </c>
    </row>
    <row r="189" spans="1:15" hidden="1">
      <c r="A189" s="75" t="str">
        <f t="shared" si="4"/>
        <v>AUHARVEYNORMANLaptopLaptopLaptop</v>
      </c>
      <c r="B189" s="94" t="str">
        <f t="shared" si="5"/>
        <v>AU_HARVEYNORMAN</v>
      </c>
      <c r="C189" s="93" t="s">
        <v>201</v>
      </c>
      <c r="D189" s="93" t="s">
        <v>202</v>
      </c>
      <c r="E189" s="93" t="s">
        <v>2407</v>
      </c>
      <c r="F189" s="93" t="s">
        <v>2407</v>
      </c>
      <c r="G189" s="93" t="s">
        <v>2407</v>
      </c>
      <c r="H189" s="93" t="e">
        <v>#N/A</v>
      </c>
      <c r="I189" s="105" t="s">
        <v>2310</v>
      </c>
      <c r="J189" s="93" t="s">
        <v>189</v>
      </c>
      <c r="K189" s="93">
        <v>1369</v>
      </c>
      <c r="L189" s="93">
        <v>1369</v>
      </c>
      <c r="M189" s="93" t="s">
        <v>2311</v>
      </c>
      <c r="N189" s="93">
        <f>VLOOKUP(B189,'[16]01.수집 카테고리(List)'!$A$2:$H$64,8,FALSE)</f>
        <v>99991231</v>
      </c>
      <c r="O189" s="93" t="s">
        <v>646</v>
      </c>
    </row>
    <row r="190" spans="1:15" hidden="1">
      <c r="A190" s="75" t="str">
        <f t="shared" si="4"/>
        <v>AUHARVEYNORMANLaptopLightweight LaptopLightweight Laptop</v>
      </c>
      <c r="B190" s="94" t="str">
        <f t="shared" si="5"/>
        <v>AU_HARVEYNORMAN</v>
      </c>
      <c r="C190" s="93" t="s">
        <v>201</v>
      </c>
      <c r="D190" s="93" t="s">
        <v>202</v>
      </c>
      <c r="E190" s="93" t="s">
        <v>2407</v>
      </c>
      <c r="F190" s="93" t="s">
        <v>2411</v>
      </c>
      <c r="G190" s="93" t="s">
        <v>2411</v>
      </c>
      <c r="H190" s="93" t="e">
        <v>#N/A</v>
      </c>
      <c r="I190" s="105" t="s">
        <v>2310</v>
      </c>
      <c r="J190" s="93" t="s">
        <v>189</v>
      </c>
      <c r="K190" s="93">
        <v>150</v>
      </c>
      <c r="L190" s="93">
        <v>150</v>
      </c>
      <c r="M190" s="93" t="s">
        <v>2311</v>
      </c>
      <c r="N190" s="93">
        <f>VLOOKUP(B190,'[16]01.수집 카테고리(List)'!$A$2:$H$64,8,FALSE)</f>
        <v>99991231</v>
      </c>
      <c r="O190" s="93" t="s">
        <v>646</v>
      </c>
    </row>
    <row r="191" spans="1:15" hidden="1">
      <c r="A191" s="75" t="str">
        <f t="shared" si="4"/>
        <v>AUHARVEYNORMANMonitor4k monitor4k monitor</v>
      </c>
      <c r="B191" s="94" t="str">
        <f t="shared" si="5"/>
        <v>AU_HARVEYNORMAN</v>
      </c>
      <c r="C191" s="93" t="s">
        <v>201</v>
      </c>
      <c r="D191" s="93" t="s">
        <v>202</v>
      </c>
      <c r="E191" s="93" t="s">
        <v>2320</v>
      </c>
      <c r="F191" s="93" t="s">
        <v>2321</v>
      </c>
      <c r="G191" s="93" t="s">
        <v>2321</v>
      </c>
      <c r="H191" s="93" t="e">
        <v>#N/A</v>
      </c>
      <c r="I191" s="105" t="s">
        <v>2310</v>
      </c>
      <c r="J191" s="93" t="s">
        <v>189</v>
      </c>
      <c r="K191" s="93">
        <v>2652</v>
      </c>
      <c r="L191" s="93">
        <v>2652</v>
      </c>
      <c r="M191" s="93" t="s">
        <v>2311</v>
      </c>
      <c r="N191" s="93">
        <f>VLOOKUP(B191,'[16]01.수집 카테고리(List)'!$A$2:$H$64,8,FALSE)</f>
        <v>99991231</v>
      </c>
      <c r="O191" s="93" t="s">
        <v>646</v>
      </c>
    </row>
    <row r="192" spans="1:15" hidden="1">
      <c r="A192" s="75" t="str">
        <f t="shared" si="4"/>
        <v>AUHARVEYNORMANMonitorgaming monitorgaming monitor</v>
      </c>
      <c r="B192" s="94" t="str">
        <f t="shared" si="5"/>
        <v>AU_HARVEYNORMAN</v>
      </c>
      <c r="C192" s="93" t="s">
        <v>201</v>
      </c>
      <c r="D192" s="93" t="s">
        <v>202</v>
      </c>
      <c r="E192" s="93" t="s">
        <v>2320</v>
      </c>
      <c r="F192" s="93" t="s">
        <v>2322</v>
      </c>
      <c r="G192" s="93" t="s">
        <v>2322</v>
      </c>
      <c r="H192" s="93" t="e">
        <v>#N/A</v>
      </c>
      <c r="I192" s="105" t="s">
        <v>2310</v>
      </c>
      <c r="J192" s="93" t="s">
        <v>189</v>
      </c>
      <c r="K192" s="93">
        <v>321</v>
      </c>
      <c r="L192" s="93">
        <v>321</v>
      </c>
      <c r="M192" s="93" t="s">
        <v>2311</v>
      </c>
      <c r="N192" s="93">
        <f>VLOOKUP(B192,'[16]01.수집 카테고리(List)'!$A$2:$H$64,8,FALSE)</f>
        <v>99991231</v>
      </c>
      <c r="O192" s="93" t="s">
        <v>646</v>
      </c>
    </row>
    <row r="193" spans="1:15" hidden="1">
      <c r="A193" s="75" t="str">
        <f t="shared" si="4"/>
        <v>AUHARVEYNORMANMonitormonitormonitor</v>
      </c>
      <c r="B193" s="94" t="str">
        <f t="shared" si="5"/>
        <v>AU_HARVEYNORMAN</v>
      </c>
      <c r="C193" s="93" t="s">
        <v>201</v>
      </c>
      <c r="D193" s="93" t="s">
        <v>202</v>
      </c>
      <c r="E193" s="93" t="s">
        <v>2320</v>
      </c>
      <c r="F193" s="93" t="s">
        <v>2323</v>
      </c>
      <c r="G193" s="93" t="s">
        <v>2323</v>
      </c>
      <c r="H193" s="93" t="e">
        <v>#N/A</v>
      </c>
      <c r="I193" s="105" t="s">
        <v>2310</v>
      </c>
      <c r="J193" s="93" t="s">
        <v>189</v>
      </c>
      <c r="K193" s="93">
        <v>515</v>
      </c>
      <c r="L193" s="93">
        <v>515</v>
      </c>
      <c r="M193" s="93" t="s">
        <v>2311</v>
      </c>
      <c r="N193" s="93">
        <f>VLOOKUP(B193,'[16]01.수집 카테고리(List)'!$A$2:$H$64,8,FALSE)</f>
        <v>99991231</v>
      </c>
      <c r="O193" s="93" t="s">
        <v>646</v>
      </c>
    </row>
    <row r="194" spans="1:15" hidden="1">
      <c r="A194" s="75" t="str">
        <f t="shared" si="4"/>
        <v>AUHARVEYNORMANMonitoruhd monitoruhd monitor</v>
      </c>
      <c r="B194" s="94" t="str">
        <f t="shared" si="5"/>
        <v>AU_HARVEYNORMAN</v>
      </c>
      <c r="C194" s="93" t="s">
        <v>201</v>
      </c>
      <c r="D194" s="93" t="s">
        <v>202</v>
      </c>
      <c r="E194" s="93" t="s">
        <v>2320</v>
      </c>
      <c r="F194" s="93" t="s">
        <v>2324</v>
      </c>
      <c r="G194" s="93" t="s">
        <v>2324</v>
      </c>
      <c r="H194" s="93" t="e">
        <v>#N/A</v>
      </c>
      <c r="I194" s="105" t="s">
        <v>2310</v>
      </c>
      <c r="J194" s="93" t="s">
        <v>189</v>
      </c>
      <c r="K194" s="93">
        <v>2</v>
      </c>
      <c r="L194" s="93">
        <v>2</v>
      </c>
      <c r="M194" s="93" t="s">
        <v>2311</v>
      </c>
      <c r="N194" s="93">
        <f>VLOOKUP(B194,'[16]01.수집 카테고리(List)'!$A$2:$H$64,8,FALSE)</f>
        <v>99991231</v>
      </c>
      <c r="O194" s="93" t="s">
        <v>646</v>
      </c>
    </row>
    <row r="195" spans="1:15" hidden="1">
      <c r="A195" s="75" t="str">
        <f t="shared" si="4"/>
        <v>AUHARVEYNORMANMonitorultrawide monitorultrawide monitor</v>
      </c>
      <c r="B195" s="94" t="str">
        <f t="shared" si="5"/>
        <v>AU_HARVEYNORMAN</v>
      </c>
      <c r="C195" s="93" t="s">
        <v>201</v>
      </c>
      <c r="D195" s="93" t="s">
        <v>202</v>
      </c>
      <c r="E195" s="93" t="s">
        <v>2320</v>
      </c>
      <c r="F195" s="93" t="s">
        <v>2325</v>
      </c>
      <c r="G195" s="93" t="s">
        <v>2325</v>
      </c>
      <c r="H195" s="93" t="e">
        <v>#N/A</v>
      </c>
      <c r="I195" s="105" t="s">
        <v>2310</v>
      </c>
      <c r="J195" s="93" t="s">
        <v>189</v>
      </c>
      <c r="K195" s="93">
        <v>54</v>
      </c>
      <c r="L195" s="93">
        <v>54</v>
      </c>
      <c r="M195" s="93" t="s">
        <v>2311</v>
      </c>
      <c r="N195" s="93">
        <f>VLOOKUP(B195,'[16]01.수집 카테고리(List)'!$A$2:$H$64,8,FALSE)</f>
        <v>99991231</v>
      </c>
      <c r="O195" s="93" t="s">
        <v>646</v>
      </c>
    </row>
    <row r="196" spans="1:15">
      <c r="A196" s="75" t="str">
        <f t="shared" si="4"/>
        <v>AUHARVEYNORMANRefrigeratorbottom freezer refrigeratorBottom Mount Fridges</v>
      </c>
      <c r="B196" s="94" t="str">
        <f t="shared" si="5"/>
        <v>AU_HARVEYNORMAN</v>
      </c>
      <c r="C196" s="93" t="s">
        <v>201</v>
      </c>
      <c r="D196" s="93" t="s">
        <v>202</v>
      </c>
      <c r="E196" s="93" t="s">
        <v>2326</v>
      </c>
      <c r="F196" s="93" t="s">
        <v>2327</v>
      </c>
      <c r="G196" s="93" t="s">
        <v>2412</v>
      </c>
      <c r="H196" s="93" t="e">
        <v>#N/A</v>
      </c>
      <c r="I196" s="105" t="s">
        <v>2310</v>
      </c>
      <c r="J196" s="93" t="s">
        <v>189</v>
      </c>
      <c r="K196" s="93">
        <v>498</v>
      </c>
      <c r="L196" s="93" t="e">
        <v>#N/A</v>
      </c>
      <c r="M196" s="93" t="s">
        <v>2311</v>
      </c>
      <c r="N196" s="93">
        <f>VLOOKUP(B196,'[16]01.수집 카테고리(List)'!$A$2:$H$64,8,FALSE)</f>
        <v>99991231</v>
      </c>
      <c r="O196" s="93" t="s">
        <v>646</v>
      </c>
    </row>
    <row r="197" spans="1:15">
      <c r="A197" s="75" t="str">
        <f t="shared" si="4"/>
        <v>AUHARVEYNORMANRefrigeratorfrench door refrigeratorFrench Door Fridges</v>
      </c>
      <c r="B197" s="94" t="str">
        <f t="shared" si="5"/>
        <v>AU_HARVEYNORMAN</v>
      </c>
      <c r="C197" s="93" t="s">
        <v>201</v>
      </c>
      <c r="D197" s="93" t="s">
        <v>202</v>
      </c>
      <c r="E197" s="93" t="s">
        <v>2326</v>
      </c>
      <c r="F197" s="93" t="s">
        <v>2328</v>
      </c>
      <c r="G197" s="93" t="s">
        <v>2413</v>
      </c>
      <c r="H197" s="93" t="e">
        <v>#N/A</v>
      </c>
      <c r="I197" s="105" t="s">
        <v>2310</v>
      </c>
      <c r="J197" s="93" t="s">
        <v>189</v>
      </c>
      <c r="K197" s="93">
        <v>284</v>
      </c>
      <c r="L197" s="93" t="e">
        <v>#N/A</v>
      </c>
      <c r="M197" s="93" t="s">
        <v>2311</v>
      </c>
      <c r="N197" s="93">
        <f>VLOOKUP(B197,'[16]01.수집 카테고리(List)'!$A$2:$H$64,8,FALSE)</f>
        <v>99991231</v>
      </c>
      <c r="O197" s="93" t="s">
        <v>646</v>
      </c>
    </row>
    <row r="198" spans="1:15">
      <c r="A198" s="75" t="str">
        <f t="shared" si="4"/>
        <v>AUHARVEYNORMANRefrigeratorfridgeFridges</v>
      </c>
      <c r="B198" s="94" t="str">
        <f t="shared" si="5"/>
        <v>AU_HARVEYNORMAN</v>
      </c>
      <c r="C198" s="93" t="s">
        <v>201</v>
      </c>
      <c r="D198" s="93" t="s">
        <v>202</v>
      </c>
      <c r="E198" s="93" t="s">
        <v>2326</v>
      </c>
      <c r="F198" s="93" t="s">
        <v>2414</v>
      </c>
      <c r="G198" s="93" t="s">
        <v>2415</v>
      </c>
      <c r="H198" s="93" t="e">
        <v>#N/A</v>
      </c>
      <c r="I198" s="105" t="s">
        <v>2310</v>
      </c>
      <c r="J198" s="93" t="s">
        <v>189</v>
      </c>
      <c r="K198" s="93">
        <v>1791</v>
      </c>
      <c r="L198" s="93" t="e">
        <v>#N/A</v>
      </c>
      <c r="M198" s="93" t="s">
        <v>2311</v>
      </c>
      <c r="N198" s="93">
        <f>VLOOKUP(B198,'[16]01.수집 카테고리(List)'!$A$2:$H$64,8,FALSE)</f>
        <v>99991231</v>
      </c>
      <c r="O198" s="93" t="s">
        <v>646</v>
      </c>
    </row>
    <row r="199" spans="1:15">
      <c r="A199" s="75" t="str">
        <f t="shared" si="4"/>
        <v>AUHARVEYNORMANRefrigeratorrefrigeratorrefrigerator</v>
      </c>
      <c r="B199" s="94" t="str">
        <f t="shared" si="5"/>
        <v>AU_HARVEYNORMAN</v>
      </c>
      <c r="C199" s="93" t="s">
        <v>201</v>
      </c>
      <c r="D199" s="93" t="s">
        <v>202</v>
      </c>
      <c r="E199" s="93" t="s">
        <v>2326</v>
      </c>
      <c r="F199" s="93" t="s">
        <v>2329</v>
      </c>
      <c r="G199" s="93" t="s">
        <v>2329</v>
      </c>
      <c r="H199" s="93" t="e">
        <v>#N/A</v>
      </c>
      <c r="I199" s="105" t="s">
        <v>2310</v>
      </c>
      <c r="J199" s="93" t="s">
        <v>189</v>
      </c>
      <c r="K199" s="93">
        <v>377</v>
      </c>
      <c r="L199" s="93">
        <v>377</v>
      </c>
      <c r="M199" s="93" t="s">
        <v>2311</v>
      </c>
      <c r="N199" s="93">
        <f>VLOOKUP(B199,'[16]01.수집 카테고리(List)'!$A$2:$H$64,8,FALSE)</f>
        <v>99991231</v>
      </c>
      <c r="O199" s="93" t="s">
        <v>646</v>
      </c>
    </row>
    <row r="200" spans="1:15">
      <c r="A200" s="75" t="str">
        <f t="shared" si="4"/>
        <v>AUHARVEYNORMANRefrigeratorside by side refrigeratorSide by Side Fridges</v>
      </c>
      <c r="B200" s="94" t="str">
        <f t="shared" si="5"/>
        <v>AU_HARVEYNORMAN</v>
      </c>
      <c r="C200" s="93" t="s">
        <v>201</v>
      </c>
      <c r="D200" s="93" t="s">
        <v>202</v>
      </c>
      <c r="E200" s="93" t="s">
        <v>2326</v>
      </c>
      <c r="F200" s="93" t="s">
        <v>2330</v>
      </c>
      <c r="G200" s="93" t="s">
        <v>2416</v>
      </c>
      <c r="H200" s="93" t="e">
        <v>#N/A</v>
      </c>
      <c r="I200" s="105" t="s">
        <v>2310</v>
      </c>
      <c r="J200" s="93" t="s">
        <v>189</v>
      </c>
      <c r="K200" s="93">
        <v>270</v>
      </c>
      <c r="L200" s="93" t="e">
        <v>#N/A</v>
      </c>
      <c r="M200" s="93" t="s">
        <v>2311</v>
      </c>
      <c r="N200" s="93">
        <f>VLOOKUP(B200,'[16]01.수집 카테고리(List)'!$A$2:$H$64,8,FALSE)</f>
        <v>99991231</v>
      </c>
      <c r="O200" s="93" t="s">
        <v>646</v>
      </c>
    </row>
    <row r="201" spans="1:15">
      <c r="A201" s="75" t="str">
        <f t="shared" si="4"/>
        <v>AUHARVEYNORMANRefrigeratortop freezer refrigeratorTop Mount Fridges</v>
      </c>
      <c r="B201" s="94" t="str">
        <f t="shared" si="5"/>
        <v>AU_HARVEYNORMAN</v>
      </c>
      <c r="C201" s="93" t="s">
        <v>201</v>
      </c>
      <c r="D201" s="93" t="s">
        <v>202</v>
      </c>
      <c r="E201" s="93" t="s">
        <v>2326</v>
      </c>
      <c r="F201" s="93" t="s">
        <v>2332</v>
      </c>
      <c r="G201" s="93" t="s">
        <v>2417</v>
      </c>
      <c r="H201" s="93" t="e">
        <v>#N/A</v>
      </c>
      <c r="I201" s="105" t="s">
        <v>2310</v>
      </c>
      <c r="J201" s="93" t="s">
        <v>189</v>
      </c>
      <c r="K201" s="93">
        <v>139</v>
      </c>
      <c r="L201" s="93" t="e">
        <v>#N/A</v>
      </c>
      <c r="M201" s="93" t="s">
        <v>2311</v>
      </c>
      <c r="N201" s="93">
        <f>VLOOKUP(B201,'[16]01.수집 카테고리(List)'!$A$2:$H$64,8,FALSE)</f>
        <v>99991231</v>
      </c>
      <c r="O201" s="93" t="s">
        <v>646</v>
      </c>
    </row>
    <row r="202" spans="1:15" hidden="1">
      <c r="A202" s="75" t="str">
        <f t="shared" ref="A202:A265" si="6">C202&amp;D202&amp;E202&amp;F202&amp;G202</f>
        <v>AUHARVEYNORMANSOUNDBARSound barSound bar</v>
      </c>
      <c r="B202" s="94" t="str">
        <f t="shared" ref="B202:B265" si="7">C202&amp;"_"&amp;D202</f>
        <v>AU_HARVEYNORMAN</v>
      </c>
      <c r="C202" s="93" t="s">
        <v>201</v>
      </c>
      <c r="D202" s="93" t="s">
        <v>202</v>
      </c>
      <c r="E202" s="93" t="s">
        <v>165</v>
      </c>
      <c r="F202" s="93" t="s">
        <v>2365</v>
      </c>
      <c r="G202" s="93" t="s">
        <v>2365</v>
      </c>
      <c r="H202" s="93" t="e">
        <v>#N/A</v>
      </c>
      <c r="I202" s="105" t="s">
        <v>2310</v>
      </c>
      <c r="J202" s="93" t="s">
        <v>189</v>
      </c>
      <c r="K202" s="93">
        <v>171</v>
      </c>
      <c r="L202" s="93">
        <v>171</v>
      </c>
      <c r="M202" s="93" t="s">
        <v>2311</v>
      </c>
      <c r="N202" s="93">
        <f>VLOOKUP(B202,'[16]01.수집 카테고리(List)'!$A$2:$H$64,8,FALSE)</f>
        <v>99991231</v>
      </c>
      <c r="O202" s="93" t="s">
        <v>646</v>
      </c>
    </row>
    <row r="203" spans="1:15" hidden="1">
      <c r="A203" s="75" t="str">
        <f t="shared" si="6"/>
        <v>AUHARVEYNORMANSOUNDBARSound barsSound bars</v>
      </c>
      <c r="B203" s="94" t="str">
        <f t="shared" si="7"/>
        <v>AU_HARVEYNORMAN</v>
      </c>
      <c r="C203" s="93" t="s">
        <v>201</v>
      </c>
      <c r="D203" s="93" t="s">
        <v>202</v>
      </c>
      <c r="E203" s="93" t="s">
        <v>165</v>
      </c>
      <c r="F203" s="93" t="s">
        <v>2366</v>
      </c>
      <c r="G203" s="93" t="s">
        <v>2366</v>
      </c>
      <c r="H203" s="93" t="e">
        <v>#N/A</v>
      </c>
      <c r="I203" s="105" t="s">
        <v>2310</v>
      </c>
      <c r="J203" s="93" t="s">
        <v>189</v>
      </c>
      <c r="K203" s="93">
        <v>541</v>
      </c>
      <c r="L203" s="93">
        <v>541</v>
      </c>
      <c r="M203" s="93" t="s">
        <v>2311</v>
      </c>
      <c r="N203" s="93">
        <f>VLOOKUP(B203,'[16]01.수집 카테고리(List)'!$A$2:$H$64,8,FALSE)</f>
        <v>99991231</v>
      </c>
      <c r="O203" s="93" t="s">
        <v>646</v>
      </c>
    </row>
    <row r="204" spans="1:15" hidden="1">
      <c r="A204" s="75" t="str">
        <f t="shared" si="6"/>
        <v>AUHARVEYNORMANSOUNDBARSound systemSound bars for tv</v>
      </c>
      <c r="B204" s="94" t="str">
        <f t="shared" si="7"/>
        <v>AU_HARVEYNORMAN</v>
      </c>
      <c r="C204" s="93" t="s">
        <v>201</v>
      </c>
      <c r="D204" s="93" t="s">
        <v>202</v>
      </c>
      <c r="E204" s="93" t="s">
        <v>165</v>
      </c>
      <c r="F204" s="93" t="s">
        <v>2359</v>
      </c>
      <c r="G204" s="93" t="s">
        <v>2430</v>
      </c>
      <c r="H204" s="93" t="e">
        <v>#N/A</v>
      </c>
      <c r="I204" s="105" t="s">
        <v>2310</v>
      </c>
      <c r="J204" s="93" t="s">
        <v>189</v>
      </c>
      <c r="K204" s="93">
        <v>434</v>
      </c>
      <c r="L204" s="93">
        <v>708</v>
      </c>
      <c r="M204" s="93" t="s">
        <v>2311</v>
      </c>
      <c r="N204" s="93">
        <f>VLOOKUP(B204,'[16]01.수집 카테고리(List)'!$A$2:$H$64,8,FALSE)</f>
        <v>99991231</v>
      </c>
      <c r="O204" s="93" t="s">
        <v>646</v>
      </c>
    </row>
    <row r="205" spans="1:15" hidden="1">
      <c r="A205" s="75" t="str">
        <f t="shared" si="6"/>
        <v>AUHARVEYNORMANSOUNDBARSoundbarSoundbar</v>
      </c>
      <c r="B205" s="94" t="str">
        <f t="shared" si="7"/>
        <v>AU_HARVEYNORMAN</v>
      </c>
      <c r="C205" s="93" t="s">
        <v>201</v>
      </c>
      <c r="D205" s="93" t="s">
        <v>202</v>
      </c>
      <c r="E205" s="93" t="s">
        <v>165</v>
      </c>
      <c r="F205" s="93" t="s">
        <v>2363</v>
      </c>
      <c r="G205" s="93" t="s">
        <v>2363</v>
      </c>
      <c r="H205" s="93" t="e">
        <v>#N/A</v>
      </c>
      <c r="I205" s="105" t="s">
        <v>2310</v>
      </c>
      <c r="J205" s="93" t="s">
        <v>189</v>
      </c>
      <c r="K205" s="93">
        <v>171</v>
      </c>
      <c r="L205" s="93">
        <v>171</v>
      </c>
      <c r="M205" s="93" t="s">
        <v>2311</v>
      </c>
      <c r="N205" s="93">
        <f>VLOOKUP(B205,'[16]01.수집 카테고리(List)'!$A$2:$H$64,8,FALSE)</f>
        <v>99991231</v>
      </c>
      <c r="O205" s="93" t="s">
        <v>646</v>
      </c>
    </row>
    <row r="206" spans="1:15" hidden="1">
      <c r="A206" s="75" t="str">
        <f t="shared" si="6"/>
        <v>AUHARVEYNORMANSOUNDBARSoundbarsSoundbars</v>
      </c>
      <c r="B206" s="94" t="str">
        <f t="shared" si="7"/>
        <v>AU_HARVEYNORMAN</v>
      </c>
      <c r="C206" s="93" t="s">
        <v>201</v>
      </c>
      <c r="D206" s="93" t="s">
        <v>202</v>
      </c>
      <c r="E206" s="93" t="s">
        <v>165</v>
      </c>
      <c r="F206" s="93" t="s">
        <v>2361</v>
      </c>
      <c r="G206" s="93" t="s">
        <v>2361</v>
      </c>
      <c r="H206" s="93" t="e">
        <v>#N/A</v>
      </c>
      <c r="I206" s="105" t="s">
        <v>2310</v>
      </c>
      <c r="J206" s="93" t="s">
        <v>189</v>
      </c>
      <c r="K206" s="93">
        <v>254</v>
      </c>
      <c r="L206" s="93">
        <v>254</v>
      </c>
      <c r="M206" s="93" t="s">
        <v>2311</v>
      </c>
      <c r="N206" s="93">
        <f>VLOOKUP(B206,'[16]01.수집 카테고리(List)'!$A$2:$H$64,8,FALSE)</f>
        <v>99991231</v>
      </c>
      <c r="O206" s="93" t="s">
        <v>646</v>
      </c>
    </row>
    <row r="207" spans="1:15" hidden="1">
      <c r="A207" s="75" t="str">
        <f t="shared" si="6"/>
        <v>AUHARVEYNORMANTV4k TV4k TV</v>
      </c>
      <c r="B207" s="94" t="str">
        <f t="shared" si="7"/>
        <v>AU_HARVEYNORMAN</v>
      </c>
      <c r="C207" s="93" t="s">
        <v>201</v>
      </c>
      <c r="D207" s="93" t="s">
        <v>202</v>
      </c>
      <c r="E207" s="93" t="s">
        <v>161</v>
      </c>
      <c r="F207" s="93" t="s">
        <v>2368</v>
      </c>
      <c r="G207" s="93" t="s">
        <v>2368</v>
      </c>
      <c r="H207" s="93" t="e">
        <v>#N/A</v>
      </c>
      <c r="I207" s="105" t="s">
        <v>2310</v>
      </c>
      <c r="J207" s="93" t="s">
        <v>189</v>
      </c>
      <c r="K207" s="93">
        <v>709</v>
      </c>
      <c r="L207" s="93">
        <v>709</v>
      </c>
      <c r="M207" s="93" t="s">
        <v>2311</v>
      </c>
      <c r="N207" s="93">
        <f>VLOOKUP(B207,'[16]01.수집 카테고리(List)'!$A$2:$H$64,8,FALSE)</f>
        <v>99991231</v>
      </c>
      <c r="O207" s="93" t="s">
        <v>646</v>
      </c>
    </row>
    <row r="208" spans="1:15" hidden="1">
      <c r="A208" s="75" t="str">
        <f t="shared" si="6"/>
        <v>AUHARVEYNORMANTVoled TVoled TV</v>
      </c>
      <c r="B208" s="94" t="str">
        <f t="shared" si="7"/>
        <v>AU_HARVEYNORMAN</v>
      </c>
      <c r="C208" s="93" t="s">
        <v>201</v>
      </c>
      <c r="D208" s="93" t="s">
        <v>202</v>
      </c>
      <c r="E208" s="93" t="s">
        <v>161</v>
      </c>
      <c r="F208" s="93" t="s">
        <v>2369</v>
      </c>
      <c r="G208" s="93" t="s">
        <v>2369</v>
      </c>
      <c r="H208" s="93" t="e">
        <v>#N/A</v>
      </c>
      <c r="I208" s="105" t="s">
        <v>2310</v>
      </c>
      <c r="J208" s="93" t="s">
        <v>189</v>
      </c>
      <c r="K208" s="93">
        <v>76</v>
      </c>
      <c r="L208" s="93">
        <v>76</v>
      </c>
      <c r="M208" s="93" t="s">
        <v>2311</v>
      </c>
      <c r="N208" s="93">
        <f>VLOOKUP(B208,'[16]01.수집 카테고리(List)'!$A$2:$H$64,8,FALSE)</f>
        <v>99991231</v>
      </c>
      <c r="O208" s="93" t="s">
        <v>646</v>
      </c>
    </row>
    <row r="209" spans="1:15" hidden="1">
      <c r="A209" s="75" t="str">
        <f t="shared" si="6"/>
        <v>AUHARVEYNORMANTVsmart TVsmart TV</v>
      </c>
      <c r="B209" s="94" t="str">
        <f t="shared" si="7"/>
        <v>AU_HARVEYNORMAN</v>
      </c>
      <c r="C209" s="93" t="s">
        <v>201</v>
      </c>
      <c r="D209" s="93" t="s">
        <v>202</v>
      </c>
      <c r="E209" s="93" t="s">
        <v>161</v>
      </c>
      <c r="F209" s="93" t="s">
        <v>2371</v>
      </c>
      <c r="G209" s="93" t="s">
        <v>2371</v>
      </c>
      <c r="H209" s="93" t="e">
        <v>#N/A</v>
      </c>
      <c r="I209" s="105" t="s">
        <v>2310</v>
      </c>
      <c r="J209" s="93" t="s">
        <v>189</v>
      </c>
      <c r="K209" s="93">
        <v>809</v>
      </c>
      <c r="L209" s="93">
        <v>809</v>
      </c>
      <c r="M209" s="93" t="s">
        <v>2311</v>
      </c>
      <c r="N209" s="93">
        <f>VLOOKUP(B209,'[16]01.수집 카테고리(List)'!$A$2:$H$64,8,FALSE)</f>
        <v>99991231</v>
      </c>
      <c r="O209" s="93" t="s">
        <v>646</v>
      </c>
    </row>
    <row r="210" spans="1:15" hidden="1">
      <c r="A210" s="75" t="str">
        <f t="shared" si="6"/>
        <v>AUHARVEYNORMANTVTVTV</v>
      </c>
      <c r="B210" s="94" t="str">
        <f t="shared" si="7"/>
        <v>AU_HARVEYNORMAN</v>
      </c>
      <c r="C210" s="93" t="s">
        <v>201</v>
      </c>
      <c r="D210" s="93" t="s">
        <v>202</v>
      </c>
      <c r="E210" s="93" t="s">
        <v>161</v>
      </c>
      <c r="F210" s="93" t="s">
        <v>161</v>
      </c>
      <c r="G210" s="93" t="s">
        <v>161</v>
      </c>
      <c r="H210" s="93" t="e">
        <v>#N/A</v>
      </c>
      <c r="I210" s="105" t="s">
        <v>2310</v>
      </c>
      <c r="J210" s="93" t="s">
        <v>189</v>
      </c>
      <c r="K210" s="93">
        <v>2975</v>
      </c>
      <c r="L210" s="93">
        <v>2975</v>
      </c>
      <c r="M210" s="93" t="s">
        <v>2311</v>
      </c>
      <c r="N210" s="93">
        <f>VLOOKUP(B210,'[16]01.수집 카테고리(List)'!$A$2:$H$64,8,FALSE)</f>
        <v>99991231</v>
      </c>
      <c r="O210" s="93" t="s">
        <v>646</v>
      </c>
    </row>
    <row r="211" spans="1:15" hidden="1">
      <c r="A211" s="75" t="str">
        <f t="shared" si="6"/>
        <v>AUHARVEYNORMANTVuhd TVuhd TV</v>
      </c>
      <c r="B211" s="94" t="str">
        <f t="shared" si="7"/>
        <v>AU_HARVEYNORMAN</v>
      </c>
      <c r="C211" s="93" t="s">
        <v>201</v>
      </c>
      <c r="D211" s="93" t="s">
        <v>202</v>
      </c>
      <c r="E211" s="93" t="s">
        <v>161</v>
      </c>
      <c r="F211" s="93" t="s">
        <v>2399</v>
      </c>
      <c r="G211" s="93" t="s">
        <v>2399</v>
      </c>
      <c r="H211" s="93" t="e">
        <v>#N/A</v>
      </c>
      <c r="I211" s="105" t="s">
        <v>2310</v>
      </c>
      <c r="J211" s="93" t="s">
        <v>189</v>
      </c>
      <c r="K211" s="93">
        <v>243</v>
      </c>
      <c r="L211" s="93">
        <v>243</v>
      </c>
      <c r="M211" s="93" t="s">
        <v>2311</v>
      </c>
      <c r="N211" s="93">
        <f>VLOOKUP(B211,'[16]01.수집 카테고리(List)'!$A$2:$H$64,8,FALSE)</f>
        <v>99991231</v>
      </c>
      <c r="O211" s="93" t="s">
        <v>646</v>
      </c>
    </row>
    <row r="212" spans="1:15">
      <c r="A212" s="75" t="str">
        <f t="shared" si="6"/>
        <v>AUHARVEYNORMANWashing Machinefront loaderFront Load Washing Machines</v>
      </c>
      <c r="B212" s="94" t="str">
        <f t="shared" si="7"/>
        <v>AU_HARVEYNORMAN</v>
      </c>
      <c r="C212" s="93" t="s">
        <v>201</v>
      </c>
      <c r="D212" s="93" t="s">
        <v>202</v>
      </c>
      <c r="E212" s="93" t="s">
        <v>2333</v>
      </c>
      <c r="F212" s="93" t="s">
        <v>2334</v>
      </c>
      <c r="G212" s="93" t="s">
        <v>2418</v>
      </c>
      <c r="H212" s="93" t="e">
        <v>#N/A</v>
      </c>
      <c r="I212" s="105" t="s">
        <v>2310</v>
      </c>
      <c r="J212" s="93" t="s">
        <v>189</v>
      </c>
      <c r="K212" s="93">
        <v>641</v>
      </c>
      <c r="L212" s="93" t="e">
        <v>#N/A</v>
      </c>
      <c r="M212" s="93" t="s">
        <v>2311</v>
      </c>
      <c r="N212" s="93">
        <f>VLOOKUP(B212,'[16]01.수집 카테고리(List)'!$A$2:$H$64,8,FALSE)</f>
        <v>99991231</v>
      </c>
      <c r="O212" s="93" t="s">
        <v>646</v>
      </c>
    </row>
    <row r="213" spans="1:15">
      <c r="A213" s="75" t="str">
        <f t="shared" si="6"/>
        <v>AUHARVEYNORMANWashing Machinetop loaderTop Load Washing Machines</v>
      </c>
      <c r="B213" s="94" t="str">
        <f t="shared" si="7"/>
        <v>AU_HARVEYNORMAN</v>
      </c>
      <c r="C213" s="93" t="s">
        <v>201</v>
      </c>
      <c r="D213" s="93" t="s">
        <v>202</v>
      </c>
      <c r="E213" s="93" t="s">
        <v>2333</v>
      </c>
      <c r="F213" s="93" t="s">
        <v>2336</v>
      </c>
      <c r="G213" s="93" t="s">
        <v>2419</v>
      </c>
      <c r="H213" s="93" t="e">
        <v>#N/A</v>
      </c>
      <c r="I213" s="105" t="s">
        <v>2310</v>
      </c>
      <c r="J213" s="93" t="s">
        <v>189</v>
      </c>
      <c r="K213" s="93">
        <v>101</v>
      </c>
      <c r="L213" s="93" t="e">
        <v>#N/A</v>
      </c>
      <c r="M213" s="93" t="s">
        <v>2311</v>
      </c>
      <c r="N213" s="93">
        <f>VLOOKUP(B213,'[16]01.수집 카테고리(List)'!$A$2:$H$64,8,FALSE)</f>
        <v>99991231</v>
      </c>
      <c r="O213" s="93" t="s">
        <v>646</v>
      </c>
    </row>
    <row r="214" spans="1:15">
      <c r="A214" s="75" t="str">
        <f t="shared" si="6"/>
        <v>AUHARVEYNORMANWashing Machinewasher dryer comboWasher Dryer Combos</v>
      </c>
      <c r="B214" s="94" t="str">
        <f t="shared" si="7"/>
        <v>AU_HARVEYNORMAN</v>
      </c>
      <c r="C214" s="93" t="s">
        <v>201</v>
      </c>
      <c r="D214" s="93" t="s">
        <v>202</v>
      </c>
      <c r="E214" s="93" t="s">
        <v>2333</v>
      </c>
      <c r="F214" s="93" t="s">
        <v>2338</v>
      </c>
      <c r="G214" s="93" t="s">
        <v>2420</v>
      </c>
      <c r="H214" s="93" t="e">
        <v>#N/A</v>
      </c>
      <c r="I214" s="105" t="s">
        <v>2310</v>
      </c>
      <c r="J214" s="93" t="s">
        <v>189</v>
      </c>
      <c r="K214" s="93">
        <v>129</v>
      </c>
      <c r="L214" s="93" t="e">
        <v>#N/A</v>
      </c>
      <c r="M214" s="93" t="s">
        <v>2311</v>
      </c>
      <c r="N214" s="93">
        <f>VLOOKUP(B214,'[16]01.수집 카테고리(List)'!$A$2:$H$64,8,FALSE)</f>
        <v>99991231</v>
      </c>
      <c r="O214" s="93" t="s">
        <v>646</v>
      </c>
    </row>
    <row r="215" spans="1:15">
      <c r="A215" s="75" t="str">
        <f t="shared" si="6"/>
        <v>AUHARVEYNORMANWashing Machinewashing machineWashing Machines</v>
      </c>
      <c r="B215" s="94" t="str">
        <f t="shared" si="7"/>
        <v>AU_HARVEYNORMAN</v>
      </c>
      <c r="C215" s="93" t="s">
        <v>201</v>
      </c>
      <c r="D215" s="93" t="s">
        <v>202</v>
      </c>
      <c r="E215" s="93" t="s">
        <v>2333</v>
      </c>
      <c r="F215" s="93" t="s">
        <v>2340</v>
      </c>
      <c r="G215" s="93" t="s">
        <v>2421</v>
      </c>
      <c r="H215" s="93" t="e">
        <v>#N/A</v>
      </c>
      <c r="I215" s="105" t="s">
        <v>2310</v>
      </c>
      <c r="J215" s="93" t="s">
        <v>189</v>
      </c>
      <c r="K215" s="93">
        <v>290</v>
      </c>
      <c r="L215" s="93" t="e">
        <v>#N/A</v>
      </c>
      <c r="M215" s="93" t="s">
        <v>2311</v>
      </c>
      <c r="N215" s="93">
        <f>VLOOKUP(B215,'[16]01.수집 카테고리(List)'!$A$2:$H$64,8,FALSE)</f>
        <v>99991231</v>
      </c>
      <c r="O215" s="93" t="s">
        <v>646</v>
      </c>
    </row>
    <row r="216" spans="1:15" hidden="1">
      <c r="A216" s="75" t="str">
        <f t="shared" si="6"/>
        <v>AUHARVEYNORMANWIRELESS HEADSETBluetooth earbudsBluetooth earbuds</v>
      </c>
      <c r="B216" s="94" t="str">
        <f t="shared" si="7"/>
        <v>AU_HARVEYNORMAN</v>
      </c>
      <c r="C216" s="93" t="s">
        <v>201</v>
      </c>
      <c r="D216" s="93" t="s">
        <v>202</v>
      </c>
      <c r="E216" s="93" t="s">
        <v>2201</v>
      </c>
      <c r="F216" s="93" t="s">
        <v>2382</v>
      </c>
      <c r="G216" s="93" t="s">
        <v>2382</v>
      </c>
      <c r="H216" s="93" t="e">
        <v>#N/A</v>
      </c>
      <c r="I216" s="105" t="s">
        <v>2310</v>
      </c>
      <c r="J216" s="93" t="s">
        <v>189</v>
      </c>
      <c r="K216" s="93">
        <v>686</v>
      </c>
      <c r="L216" s="93">
        <v>686</v>
      </c>
      <c r="M216" s="93" t="s">
        <v>2311</v>
      </c>
      <c r="N216" s="93">
        <f>VLOOKUP(B216,'[16]01.수집 카테고리(List)'!$A$2:$H$64,8,FALSE)</f>
        <v>99991231</v>
      </c>
      <c r="O216" s="93" t="s">
        <v>646</v>
      </c>
    </row>
    <row r="217" spans="1:15" hidden="1">
      <c r="A217" s="75" t="str">
        <f t="shared" si="6"/>
        <v>AUHARVEYNORMANWIRELESS HEADSETEar budsEar buds</v>
      </c>
      <c r="B217" s="94" t="str">
        <f t="shared" si="7"/>
        <v>AU_HARVEYNORMAN</v>
      </c>
      <c r="C217" s="93" t="s">
        <v>201</v>
      </c>
      <c r="D217" s="93" t="s">
        <v>202</v>
      </c>
      <c r="E217" s="93" t="s">
        <v>2201</v>
      </c>
      <c r="F217" s="93" t="s">
        <v>2380</v>
      </c>
      <c r="G217" s="93" t="s">
        <v>2380</v>
      </c>
      <c r="H217" s="93" t="e">
        <v>#N/A</v>
      </c>
      <c r="I217" s="105" t="s">
        <v>2310</v>
      </c>
      <c r="J217" s="93" t="s">
        <v>189</v>
      </c>
      <c r="K217" s="93">
        <v>318</v>
      </c>
      <c r="L217" s="93">
        <v>318</v>
      </c>
      <c r="M217" s="93" t="s">
        <v>2311</v>
      </c>
      <c r="N217" s="93">
        <f>VLOOKUP(B217,'[16]01.수집 카테고리(List)'!$A$2:$H$64,8,FALSE)</f>
        <v>99991231</v>
      </c>
      <c r="O217" s="93" t="s">
        <v>646</v>
      </c>
    </row>
    <row r="218" spans="1:15" hidden="1">
      <c r="A218" s="75" t="str">
        <f t="shared" si="6"/>
        <v>AUHARVEYNORMANWIRELESS HEADSETNoise cancelling earbudsNoise cancelling earbuds</v>
      </c>
      <c r="B218" s="94" t="str">
        <f t="shared" si="7"/>
        <v>AU_HARVEYNORMAN</v>
      </c>
      <c r="C218" s="93" t="s">
        <v>201</v>
      </c>
      <c r="D218" s="93" t="s">
        <v>202</v>
      </c>
      <c r="E218" s="93" t="s">
        <v>2201</v>
      </c>
      <c r="F218" s="93" t="s">
        <v>2378</v>
      </c>
      <c r="G218" s="93" t="s">
        <v>2378</v>
      </c>
      <c r="H218" s="93" t="e">
        <v>#N/A</v>
      </c>
      <c r="I218" s="105" t="s">
        <v>2310</v>
      </c>
      <c r="J218" s="93" t="s">
        <v>189</v>
      </c>
      <c r="K218" s="93">
        <v>611</v>
      </c>
      <c r="L218" s="93">
        <v>611</v>
      </c>
      <c r="M218" s="93" t="s">
        <v>2311</v>
      </c>
      <c r="N218" s="93">
        <f>VLOOKUP(B218,'[16]01.수집 카테고리(List)'!$A$2:$H$64,8,FALSE)</f>
        <v>99991231</v>
      </c>
      <c r="O218" s="93" t="s">
        <v>646</v>
      </c>
    </row>
    <row r="219" spans="1:15" hidden="1">
      <c r="A219" s="75" t="str">
        <f t="shared" si="6"/>
        <v>AUHARVEYNORMANWIRELESS HEADSETTrue wireless earbudsTrue wireless earbuds</v>
      </c>
      <c r="B219" s="94" t="str">
        <f t="shared" si="7"/>
        <v>AU_HARVEYNORMAN</v>
      </c>
      <c r="C219" s="93" t="s">
        <v>201</v>
      </c>
      <c r="D219" s="93" t="s">
        <v>202</v>
      </c>
      <c r="E219" s="93" t="s">
        <v>2201</v>
      </c>
      <c r="F219" s="93" t="s">
        <v>2374</v>
      </c>
      <c r="G219" s="93" t="s">
        <v>2374</v>
      </c>
      <c r="H219" s="93" t="e">
        <v>#N/A</v>
      </c>
      <c r="I219" s="105" t="s">
        <v>2310</v>
      </c>
      <c r="J219" s="93" t="s">
        <v>189</v>
      </c>
      <c r="K219" s="93">
        <v>736</v>
      </c>
      <c r="L219" s="93">
        <v>736</v>
      </c>
      <c r="M219" s="93" t="s">
        <v>2311</v>
      </c>
      <c r="N219" s="93">
        <f>VLOOKUP(B219,'[16]01.수집 카테고리(List)'!$A$2:$H$64,8,FALSE)</f>
        <v>99991231</v>
      </c>
      <c r="O219" s="93" t="s">
        <v>646</v>
      </c>
    </row>
    <row r="220" spans="1:15" hidden="1">
      <c r="A220" s="75" t="str">
        <f t="shared" si="6"/>
        <v>AUHARVEYNORMANWIRELESS HEADSETWireless earbudsWireless earbuds</v>
      </c>
      <c r="B220" s="94" t="str">
        <f t="shared" si="7"/>
        <v>AU_HARVEYNORMAN</v>
      </c>
      <c r="C220" s="93" t="s">
        <v>201</v>
      </c>
      <c r="D220" s="93" t="s">
        <v>202</v>
      </c>
      <c r="E220" s="93" t="s">
        <v>2201</v>
      </c>
      <c r="F220" s="93" t="s">
        <v>2376</v>
      </c>
      <c r="G220" s="93" t="s">
        <v>2376</v>
      </c>
      <c r="H220" s="93" t="e">
        <v>#N/A</v>
      </c>
      <c r="I220" s="105" t="s">
        <v>2310</v>
      </c>
      <c r="J220" s="93" t="s">
        <v>189</v>
      </c>
      <c r="K220" s="93">
        <v>845</v>
      </c>
      <c r="L220" s="93">
        <v>845</v>
      </c>
      <c r="M220" s="93" t="s">
        <v>2311</v>
      </c>
      <c r="N220" s="93">
        <f>VLOOKUP(B220,'[16]01.수집 카테고리(List)'!$A$2:$H$64,8,FALSE)</f>
        <v>99991231</v>
      </c>
      <c r="O220" s="93" t="s">
        <v>646</v>
      </c>
    </row>
    <row r="221" spans="1:15" s="108" customFormat="1" hidden="1">
      <c r="A221" s="108" t="str">
        <f t="shared" si="6"/>
        <v>AUHARVEYNORMANAir Conditionerair conditionerair conditioner</v>
      </c>
      <c r="B221" s="109" t="str">
        <f t="shared" si="7"/>
        <v>AU_HARVEYNORMAN</v>
      </c>
      <c r="C221" s="110" t="s">
        <v>201</v>
      </c>
      <c r="D221" s="110" t="s">
        <v>202</v>
      </c>
      <c r="E221" s="110" t="s">
        <v>2346</v>
      </c>
      <c r="F221" s="110" t="s">
        <v>2347</v>
      </c>
      <c r="G221" s="110" t="s">
        <v>2347</v>
      </c>
      <c r="H221" s="93" t="e">
        <v>#N/A</v>
      </c>
      <c r="I221" s="99">
        <v>46076</v>
      </c>
      <c r="J221" s="83" t="s">
        <v>189</v>
      </c>
      <c r="K221" s="110"/>
      <c r="L221" s="110"/>
      <c r="M221" s="110"/>
      <c r="N221" s="110"/>
      <c r="O221" s="110"/>
    </row>
    <row r="222" spans="1:15" s="108" customFormat="1" hidden="1">
      <c r="A222" s="108" t="str">
        <f t="shared" si="6"/>
        <v>AUHARVEYNORMANAir Conditionerinverter air conditionerinverter air conditioner</v>
      </c>
      <c r="B222" s="109" t="str">
        <f t="shared" si="7"/>
        <v>AU_HARVEYNORMAN</v>
      </c>
      <c r="C222" s="110" t="s">
        <v>201</v>
      </c>
      <c r="D222" s="110" t="s">
        <v>202</v>
      </c>
      <c r="E222" s="110" t="s">
        <v>2346</v>
      </c>
      <c r="F222" s="110" t="s">
        <v>2348</v>
      </c>
      <c r="G222" s="110" t="s">
        <v>2348</v>
      </c>
      <c r="H222" s="93" t="e">
        <v>#N/A</v>
      </c>
      <c r="I222" s="99">
        <v>46076</v>
      </c>
      <c r="J222" s="83" t="s">
        <v>189</v>
      </c>
      <c r="K222" s="110"/>
      <c r="L222" s="110"/>
      <c r="M222" s="110"/>
      <c r="N222" s="110"/>
      <c r="O222" s="110"/>
    </row>
    <row r="223" spans="1:15" s="108" customFormat="1" hidden="1">
      <c r="A223" s="108" t="str">
        <f t="shared" si="6"/>
        <v>AUHARVEYNORMANAir Conditionersplit air conditionersplit air conditioner</v>
      </c>
      <c r="B223" s="109" t="str">
        <f t="shared" si="7"/>
        <v>AU_HARVEYNORMAN</v>
      </c>
      <c r="C223" s="110" t="s">
        <v>201</v>
      </c>
      <c r="D223" s="110" t="s">
        <v>202</v>
      </c>
      <c r="E223" s="110" t="s">
        <v>2346</v>
      </c>
      <c r="F223" s="110" t="s">
        <v>2422</v>
      </c>
      <c r="G223" s="110" t="s">
        <v>2422</v>
      </c>
      <c r="H223" s="93" t="e">
        <v>#N/A</v>
      </c>
      <c r="I223" s="99">
        <v>46076</v>
      </c>
      <c r="J223" s="83" t="s">
        <v>189</v>
      </c>
      <c r="K223" s="110"/>
      <c r="L223" s="110"/>
      <c r="M223" s="110"/>
      <c r="N223" s="110"/>
      <c r="O223" s="110"/>
    </row>
    <row r="224" spans="1:15" s="108" customFormat="1" hidden="1">
      <c r="A224" s="108" t="str">
        <f t="shared" si="6"/>
        <v>AUHARVEYNORMANAir Conditionersplit inverter air conditionersplit inverter air conditioner</v>
      </c>
      <c r="B224" s="109" t="str">
        <f t="shared" si="7"/>
        <v>AU_HARVEYNORMAN</v>
      </c>
      <c r="C224" s="110" t="s">
        <v>201</v>
      </c>
      <c r="D224" s="110" t="s">
        <v>202</v>
      </c>
      <c r="E224" s="110" t="s">
        <v>2346</v>
      </c>
      <c r="F224" s="110" t="s">
        <v>2423</v>
      </c>
      <c r="G224" s="110" t="s">
        <v>2423</v>
      </c>
      <c r="H224" s="93" t="e">
        <v>#N/A</v>
      </c>
      <c r="I224" s="99">
        <v>46076</v>
      </c>
      <c r="J224" s="83" t="s">
        <v>189</v>
      </c>
      <c r="K224" s="110"/>
      <c r="L224" s="110"/>
      <c r="M224" s="110"/>
      <c r="N224" s="110"/>
      <c r="O224" s="110"/>
    </row>
    <row r="225" spans="1:15" s="108" customFormat="1" hidden="1">
      <c r="A225" s="108" t="str">
        <f t="shared" si="6"/>
        <v>AUHARVEYNORMANAir Conditionerwindow air conditionerwindow air conditioner</v>
      </c>
      <c r="B225" s="109" t="str">
        <f t="shared" si="7"/>
        <v>AU_HARVEYNORMAN</v>
      </c>
      <c r="C225" s="110" t="s">
        <v>201</v>
      </c>
      <c r="D225" s="110" t="s">
        <v>202</v>
      </c>
      <c r="E225" s="110" t="s">
        <v>2346</v>
      </c>
      <c r="F225" s="110" t="s">
        <v>2350</v>
      </c>
      <c r="G225" s="110" t="s">
        <v>2350</v>
      </c>
      <c r="H225" s="93" t="e">
        <v>#N/A</v>
      </c>
      <c r="I225" s="99">
        <v>46076</v>
      </c>
      <c r="J225" s="83" t="s">
        <v>189</v>
      </c>
      <c r="K225" s="110"/>
      <c r="L225" s="110"/>
      <c r="M225" s="110"/>
      <c r="N225" s="110"/>
      <c r="O225" s="110"/>
    </row>
    <row r="226" spans="1:15" s="108" customFormat="1" hidden="1">
      <c r="A226" s="108" t="str">
        <f t="shared" si="6"/>
        <v>AUHARVEYNORMANAir Conditionerwindow inverter air conditionerwindow inverter air conditioner</v>
      </c>
      <c r="B226" s="109" t="str">
        <f t="shared" si="7"/>
        <v>AU_HARVEYNORMAN</v>
      </c>
      <c r="C226" s="110" t="s">
        <v>201</v>
      </c>
      <c r="D226" s="110" t="s">
        <v>202</v>
      </c>
      <c r="E226" s="110" t="s">
        <v>2346</v>
      </c>
      <c r="F226" s="110" t="s">
        <v>2424</v>
      </c>
      <c r="G226" s="110" t="s">
        <v>2424</v>
      </c>
      <c r="H226" s="93" t="e">
        <v>#N/A</v>
      </c>
      <c r="I226" s="99">
        <v>46076</v>
      </c>
      <c r="J226" s="83" t="s">
        <v>189</v>
      </c>
      <c r="K226" s="110"/>
      <c r="L226" s="110"/>
      <c r="M226" s="110"/>
      <c r="N226" s="110"/>
      <c r="O226" s="110"/>
    </row>
    <row r="227" spans="1:15" hidden="1">
      <c r="A227" s="75" t="str">
        <f t="shared" si="6"/>
        <v>AUJBHIFIBluetooth SpeakerBluetooth speakersBluetooth speakers</v>
      </c>
      <c r="B227" s="94" t="str">
        <f t="shared" si="7"/>
        <v>AU_JBHIFI</v>
      </c>
      <c r="C227" s="93" t="s">
        <v>201</v>
      </c>
      <c r="D227" s="93" t="s">
        <v>206</v>
      </c>
      <c r="E227" s="93" t="s">
        <v>2307</v>
      </c>
      <c r="F227" s="93" t="s">
        <v>2425</v>
      </c>
      <c r="G227" s="93" t="s">
        <v>2425</v>
      </c>
      <c r="H227" s="93" t="e">
        <v>#N/A</v>
      </c>
      <c r="I227" s="105" t="s">
        <v>2310</v>
      </c>
      <c r="J227" s="93" t="s">
        <v>189</v>
      </c>
      <c r="K227" s="93">
        <v>3465</v>
      </c>
      <c r="L227" s="93">
        <v>3465</v>
      </c>
      <c r="M227" s="93" t="s">
        <v>2311</v>
      </c>
      <c r="N227" s="93">
        <f>VLOOKUP(B227,'[16]01.수집 카테고리(List)'!$A$2:$H$64,8,FALSE)</f>
        <v>99991231</v>
      </c>
      <c r="O227" s="93" t="s">
        <v>646</v>
      </c>
    </row>
    <row r="228" spans="1:15" hidden="1">
      <c r="A228" s="75" t="str">
        <f t="shared" si="6"/>
        <v>AUJBHIFIBluetooth SpeakerPortable bluetooth speakersPortable bluetooth speakers</v>
      </c>
      <c r="B228" s="94" t="str">
        <f t="shared" si="7"/>
        <v>AU_JBHIFI</v>
      </c>
      <c r="C228" s="93" t="s">
        <v>201</v>
      </c>
      <c r="D228" s="93" t="s">
        <v>206</v>
      </c>
      <c r="E228" s="93" t="s">
        <v>2307</v>
      </c>
      <c r="F228" s="93" t="s">
        <v>2426</v>
      </c>
      <c r="G228" s="93" t="s">
        <v>2426</v>
      </c>
      <c r="H228" s="93" t="e">
        <v>#N/A</v>
      </c>
      <c r="I228" s="105" t="s">
        <v>2310</v>
      </c>
      <c r="J228" s="93" t="s">
        <v>189</v>
      </c>
      <c r="K228" s="93">
        <v>2725</v>
      </c>
      <c r="L228" s="93">
        <v>2725</v>
      </c>
      <c r="M228" s="93" t="s">
        <v>2311</v>
      </c>
      <c r="N228" s="93">
        <f>VLOOKUP(B228,'[16]01.수집 카테고리(List)'!$A$2:$H$64,8,FALSE)</f>
        <v>99991231</v>
      </c>
      <c r="O228" s="93" t="s">
        <v>646</v>
      </c>
    </row>
    <row r="229" spans="1:15" hidden="1">
      <c r="A229" s="75" t="str">
        <f t="shared" si="6"/>
        <v>AUJBHIFIBluetooth SpeakerPortable speakersPortable speakers</v>
      </c>
      <c r="B229" s="94" t="str">
        <f t="shared" si="7"/>
        <v>AU_JBHIFI</v>
      </c>
      <c r="C229" s="93" t="s">
        <v>201</v>
      </c>
      <c r="D229" s="93" t="s">
        <v>206</v>
      </c>
      <c r="E229" s="93" t="s">
        <v>2307</v>
      </c>
      <c r="F229" s="93" t="s">
        <v>2427</v>
      </c>
      <c r="G229" s="93" t="s">
        <v>2427</v>
      </c>
      <c r="H229" s="93" t="e">
        <v>#N/A</v>
      </c>
      <c r="I229" s="105" t="s">
        <v>2310</v>
      </c>
      <c r="J229" s="93" t="s">
        <v>189</v>
      </c>
      <c r="K229" s="93">
        <v>3006</v>
      </c>
      <c r="L229" s="93">
        <v>3006</v>
      </c>
      <c r="M229" s="93" t="s">
        <v>2311</v>
      </c>
      <c r="N229" s="93">
        <f>VLOOKUP(B229,'[16]01.수집 카테고리(List)'!$A$2:$H$64,8,FALSE)</f>
        <v>99991231</v>
      </c>
      <c r="O229" s="93" t="s">
        <v>646</v>
      </c>
    </row>
    <row r="230" spans="1:15" hidden="1">
      <c r="A230" s="75" t="str">
        <f t="shared" si="6"/>
        <v>AUJBHIFIBluetooth SpeakerSpeakerSpeaker</v>
      </c>
      <c r="B230" s="94" t="str">
        <f t="shared" si="7"/>
        <v>AU_JBHIFI</v>
      </c>
      <c r="C230" s="93" t="s">
        <v>201</v>
      </c>
      <c r="D230" s="93" t="s">
        <v>206</v>
      </c>
      <c r="E230" s="93" t="s">
        <v>2307</v>
      </c>
      <c r="F230" s="93" t="s">
        <v>2428</v>
      </c>
      <c r="G230" s="93" t="s">
        <v>2428</v>
      </c>
      <c r="H230" s="93" t="e">
        <v>#N/A</v>
      </c>
      <c r="I230" s="105" t="s">
        <v>2310</v>
      </c>
      <c r="J230" s="93" t="s">
        <v>189</v>
      </c>
      <c r="K230" s="93">
        <v>6806</v>
      </c>
      <c r="L230" s="93">
        <v>6806</v>
      </c>
      <c r="M230" s="93" t="s">
        <v>2311</v>
      </c>
      <c r="N230" s="93">
        <f>VLOOKUP(B230,'[16]01.수집 카테고리(List)'!$A$2:$H$64,8,FALSE)</f>
        <v>99991231</v>
      </c>
      <c r="O230" s="93" t="s">
        <v>646</v>
      </c>
    </row>
    <row r="231" spans="1:15" hidden="1">
      <c r="A231" s="75" t="str">
        <f t="shared" si="6"/>
        <v>AUJBHIFIBluetooth SpeakerSpeakersSpeakers</v>
      </c>
      <c r="B231" s="94" t="str">
        <f t="shared" si="7"/>
        <v>AU_JBHIFI</v>
      </c>
      <c r="C231" s="93" t="s">
        <v>201</v>
      </c>
      <c r="D231" s="93" t="s">
        <v>206</v>
      </c>
      <c r="E231" s="93" t="s">
        <v>2307</v>
      </c>
      <c r="F231" s="93" t="s">
        <v>2429</v>
      </c>
      <c r="G231" s="93" t="s">
        <v>2429</v>
      </c>
      <c r="H231" s="93" t="e">
        <v>#N/A</v>
      </c>
      <c r="I231" s="105" t="s">
        <v>2310</v>
      </c>
      <c r="J231" s="93" t="s">
        <v>189</v>
      </c>
      <c r="K231" s="93">
        <v>8574</v>
      </c>
      <c r="L231" s="93">
        <v>8574</v>
      </c>
      <c r="M231" s="93" t="s">
        <v>2311</v>
      </c>
      <c r="N231" s="93">
        <f>VLOOKUP(B231,'[16]01.수집 카테고리(List)'!$A$2:$H$64,8,FALSE)</f>
        <v>99991231</v>
      </c>
      <c r="O231" s="93" t="s">
        <v>646</v>
      </c>
    </row>
    <row r="232" spans="1:15" hidden="1">
      <c r="A232" s="75" t="str">
        <f t="shared" si="6"/>
        <v>AUJBHIFICordless stick vacuumcordless stick vacuumcordless stick vacuum</v>
      </c>
      <c r="B232" s="94" t="str">
        <f t="shared" si="7"/>
        <v>AU_JBHIFI</v>
      </c>
      <c r="C232" s="93" t="s">
        <v>201</v>
      </c>
      <c r="D232" s="93" t="s">
        <v>206</v>
      </c>
      <c r="E232" s="93" t="s">
        <v>2435</v>
      </c>
      <c r="F232" s="93" t="s">
        <v>2436</v>
      </c>
      <c r="G232" s="93" t="s">
        <v>2436</v>
      </c>
      <c r="H232" s="93" t="e">
        <v>#N/A</v>
      </c>
      <c r="I232" s="105" t="s">
        <v>2310</v>
      </c>
      <c r="J232" s="93" t="s">
        <v>189</v>
      </c>
      <c r="K232" s="93">
        <v>37</v>
      </c>
      <c r="L232" s="93">
        <v>37</v>
      </c>
      <c r="M232" s="93" t="s">
        <v>2311</v>
      </c>
      <c r="N232" s="93">
        <f>VLOOKUP(B232,'[16]01.수집 카테고리(List)'!$A$2:$H$64,8,FALSE)</f>
        <v>99991231</v>
      </c>
      <c r="O232" s="93" t="s">
        <v>646</v>
      </c>
    </row>
    <row r="233" spans="1:15" hidden="1">
      <c r="A233" s="75" t="str">
        <f t="shared" si="6"/>
        <v>AUJBHIFICordless stick vacuumhandstick Vacuumhandstick Vacuum</v>
      </c>
      <c r="B233" s="94" t="str">
        <f t="shared" si="7"/>
        <v>AU_JBHIFI</v>
      </c>
      <c r="C233" s="93" t="s">
        <v>201</v>
      </c>
      <c r="D233" s="93" t="s">
        <v>206</v>
      </c>
      <c r="E233" s="93" t="s">
        <v>2435</v>
      </c>
      <c r="F233" s="93" t="s">
        <v>2437</v>
      </c>
      <c r="G233" s="93" t="s">
        <v>2437</v>
      </c>
      <c r="H233" s="93" t="e">
        <v>#N/A</v>
      </c>
      <c r="I233" s="105" t="s">
        <v>2310</v>
      </c>
      <c r="J233" s="93" t="s">
        <v>189</v>
      </c>
      <c r="K233" s="93">
        <v>376</v>
      </c>
      <c r="L233" s="93">
        <v>376</v>
      </c>
      <c r="M233" s="93" t="s">
        <v>2311</v>
      </c>
      <c r="N233" s="93">
        <f>VLOOKUP(B233,'[16]01.수집 카테고리(List)'!$A$2:$H$64,8,FALSE)</f>
        <v>99991231</v>
      </c>
      <c r="O233" s="93" t="s">
        <v>646</v>
      </c>
    </row>
    <row r="234" spans="1:15" hidden="1">
      <c r="A234" s="75" t="str">
        <f t="shared" si="6"/>
        <v>AUJBHIFICordless stick vacuumstick vacuumstick vacuum</v>
      </c>
      <c r="B234" s="94" t="str">
        <f t="shared" si="7"/>
        <v>AU_JBHIFI</v>
      </c>
      <c r="C234" s="93" t="s">
        <v>201</v>
      </c>
      <c r="D234" s="93" t="s">
        <v>206</v>
      </c>
      <c r="E234" s="93" t="s">
        <v>2435</v>
      </c>
      <c r="F234" s="93" t="s">
        <v>2438</v>
      </c>
      <c r="G234" s="93" t="s">
        <v>2438</v>
      </c>
      <c r="H234" s="93" t="e">
        <v>#N/A</v>
      </c>
      <c r="I234" s="105" t="s">
        <v>2310</v>
      </c>
      <c r="J234" s="93" t="s">
        <v>189</v>
      </c>
      <c r="K234" s="93">
        <v>663</v>
      </c>
      <c r="L234" s="93">
        <v>663</v>
      </c>
      <c r="M234" s="93" t="s">
        <v>2311</v>
      </c>
      <c r="N234" s="93">
        <f>VLOOKUP(B234,'[16]01.수집 카테고리(List)'!$A$2:$H$64,8,FALSE)</f>
        <v>99991231</v>
      </c>
      <c r="O234" s="93" t="s">
        <v>646</v>
      </c>
    </row>
    <row r="235" spans="1:15" hidden="1">
      <c r="A235" s="75" t="str">
        <f t="shared" si="6"/>
        <v>AUJBHIFICordless stick vacuumstick vacuum cleanerstick vacuum cleaner</v>
      </c>
      <c r="B235" s="94" t="str">
        <f t="shared" si="7"/>
        <v>AU_JBHIFI</v>
      </c>
      <c r="C235" s="93" t="s">
        <v>201</v>
      </c>
      <c r="D235" s="93" t="s">
        <v>206</v>
      </c>
      <c r="E235" s="93" t="s">
        <v>2435</v>
      </c>
      <c r="F235" s="93" t="s">
        <v>2439</v>
      </c>
      <c r="G235" s="93" t="s">
        <v>2439</v>
      </c>
      <c r="H235" s="93" t="e">
        <v>#N/A</v>
      </c>
      <c r="I235" s="105" t="s">
        <v>2310</v>
      </c>
      <c r="J235" s="93" t="s">
        <v>189</v>
      </c>
      <c r="K235" s="93">
        <v>9182</v>
      </c>
      <c r="L235" s="93">
        <v>9182</v>
      </c>
      <c r="M235" s="93" t="s">
        <v>2311</v>
      </c>
      <c r="N235" s="93">
        <f>VLOOKUP(B235,'[16]01.수집 카테고리(List)'!$A$2:$H$64,8,FALSE)</f>
        <v>99991231</v>
      </c>
      <c r="O235" s="93" t="s">
        <v>646</v>
      </c>
    </row>
    <row r="236" spans="1:15" hidden="1">
      <c r="A236" s="75" t="str">
        <f t="shared" si="6"/>
        <v>AUJBHIFIDishwasherdishwasherdishwasher</v>
      </c>
      <c r="B236" s="94" t="str">
        <f t="shared" si="7"/>
        <v>AU_JBHIFI</v>
      </c>
      <c r="C236" s="93" t="s">
        <v>201</v>
      </c>
      <c r="D236" s="93" t="s">
        <v>206</v>
      </c>
      <c r="E236" s="93" t="s">
        <v>2440</v>
      </c>
      <c r="F236" s="93" t="s">
        <v>2354</v>
      </c>
      <c r="G236" s="93" t="s">
        <v>2354</v>
      </c>
      <c r="H236" s="93" t="e">
        <v>#N/A</v>
      </c>
      <c r="I236" s="105" t="s">
        <v>2310</v>
      </c>
      <c r="J236" s="93" t="s">
        <v>189</v>
      </c>
      <c r="K236" s="93">
        <v>740</v>
      </c>
      <c r="L236" s="93">
        <v>740</v>
      </c>
      <c r="M236" s="93" t="s">
        <v>2311</v>
      </c>
      <c r="N236" s="93">
        <f>VLOOKUP(B236,'[16]01.수집 카테고리(List)'!$A$2:$H$64,8,FALSE)</f>
        <v>99991231</v>
      </c>
      <c r="O236" s="93" t="s">
        <v>646</v>
      </c>
    </row>
    <row r="237" spans="1:15" hidden="1">
      <c r="A237" s="75" t="str">
        <f t="shared" si="6"/>
        <v>AUJBHIFIDishwasherFreestanding Dishwasher Freestanding Dishwasher</v>
      </c>
      <c r="B237" s="94" t="str">
        <f t="shared" si="7"/>
        <v>AU_JBHIFI</v>
      </c>
      <c r="C237" s="93" t="s">
        <v>201</v>
      </c>
      <c r="D237" s="93" t="s">
        <v>206</v>
      </c>
      <c r="E237" s="93" t="s">
        <v>2440</v>
      </c>
      <c r="F237" s="93" t="s">
        <v>2441</v>
      </c>
      <c r="G237" s="93" t="s">
        <v>2352</v>
      </c>
      <c r="H237" s="93" t="e">
        <v>#N/A</v>
      </c>
      <c r="I237" s="105" t="s">
        <v>2310</v>
      </c>
      <c r="J237" s="93" t="s">
        <v>189</v>
      </c>
      <c r="K237" s="93">
        <v>454</v>
      </c>
      <c r="L237" s="93" t="e">
        <v>#N/A</v>
      </c>
      <c r="M237" s="93" t="s">
        <v>2311</v>
      </c>
      <c r="N237" s="93">
        <f>VLOOKUP(B237,'[16]01.수집 카테고리(List)'!$A$2:$H$64,8,FALSE)</f>
        <v>99991231</v>
      </c>
      <c r="O237" s="93" t="s">
        <v>646</v>
      </c>
    </row>
    <row r="238" spans="1:15" hidden="1">
      <c r="A238" s="75" t="str">
        <f t="shared" si="6"/>
        <v>AUJBHIFIDishwasherLG DishwasherLG Dishwasher</v>
      </c>
      <c r="B238" s="94" t="str">
        <f t="shared" si="7"/>
        <v>AU_JBHIFI</v>
      </c>
      <c r="C238" s="93" t="s">
        <v>201</v>
      </c>
      <c r="D238" s="93" t="s">
        <v>206</v>
      </c>
      <c r="E238" s="93" t="s">
        <v>2440</v>
      </c>
      <c r="F238" s="93" t="s">
        <v>2442</v>
      </c>
      <c r="G238" s="93" t="s">
        <v>2442</v>
      </c>
      <c r="H238" s="93" t="e">
        <v>#N/A</v>
      </c>
      <c r="I238" s="105" t="s">
        <v>2310</v>
      </c>
      <c r="J238" s="93" t="s">
        <v>189</v>
      </c>
      <c r="K238" s="93">
        <v>92</v>
      </c>
      <c r="L238" s="93">
        <v>92</v>
      </c>
      <c r="M238" s="93" t="s">
        <v>2311</v>
      </c>
      <c r="N238" s="93">
        <f>VLOOKUP(B238,'[16]01.수집 카테고리(List)'!$A$2:$H$64,8,FALSE)</f>
        <v>99991231</v>
      </c>
      <c r="O238" s="93" t="s">
        <v>646</v>
      </c>
    </row>
    <row r="239" spans="1:15">
      <c r="A239" s="75" t="str">
        <f t="shared" si="6"/>
        <v>AUJBHIFIDryerDryerDryer</v>
      </c>
      <c r="B239" s="94" t="str">
        <f t="shared" si="7"/>
        <v>AU_JBHIFI</v>
      </c>
      <c r="C239" s="93" t="s">
        <v>201</v>
      </c>
      <c r="D239" s="93" t="s">
        <v>206</v>
      </c>
      <c r="E239" s="93" t="s">
        <v>2431</v>
      </c>
      <c r="F239" s="93" t="s">
        <v>2431</v>
      </c>
      <c r="G239" s="93" t="s">
        <v>2431</v>
      </c>
      <c r="H239" s="93" t="e">
        <v>#N/A</v>
      </c>
      <c r="I239" s="105" t="s">
        <v>2310</v>
      </c>
      <c r="J239" s="93" t="s">
        <v>189</v>
      </c>
      <c r="K239" s="93">
        <v>2022</v>
      </c>
      <c r="L239" s="93">
        <v>2022</v>
      </c>
      <c r="M239" s="93" t="s">
        <v>2311</v>
      </c>
      <c r="N239" s="93">
        <f>VLOOKUP(B239,'[16]01.수집 카테고리(List)'!$A$2:$H$64,8,FALSE)</f>
        <v>99991231</v>
      </c>
      <c r="O239" s="93" t="s">
        <v>646</v>
      </c>
    </row>
    <row r="240" spans="1:15">
      <c r="A240" s="75" t="str">
        <f t="shared" si="6"/>
        <v>AUJBHIFIDryerheatpump  heatpump</v>
      </c>
      <c r="B240" s="94" t="str">
        <f t="shared" si="7"/>
        <v>AU_JBHIFI</v>
      </c>
      <c r="C240" s="93" t="s">
        <v>201</v>
      </c>
      <c r="D240" s="93" t="s">
        <v>206</v>
      </c>
      <c r="E240" s="93" t="s">
        <v>2431</v>
      </c>
      <c r="F240" s="93" t="s">
        <v>2432</v>
      </c>
      <c r="G240" s="93" t="s">
        <v>2433</v>
      </c>
      <c r="H240" s="93" t="e">
        <v>#N/A</v>
      </c>
      <c r="I240" s="105" t="s">
        <v>2310</v>
      </c>
      <c r="J240" s="93" t="s">
        <v>189</v>
      </c>
      <c r="K240" s="93">
        <v>445</v>
      </c>
      <c r="L240" s="93" t="e">
        <v>#N/A</v>
      </c>
      <c r="M240" s="93" t="s">
        <v>2311</v>
      </c>
      <c r="N240" s="93">
        <f>VLOOKUP(B240,'[16]01.수집 카테고리(List)'!$A$2:$H$64,8,FALSE)</f>
        <v>99991231</v>
      </c>
      <c r="O240" s="93" t="s">
        <v>646</v>
      </c>
    </row>
    <row r="241" spans="1:15">
      <c r="A241" s="75" t="str">
        <f t="shared" si="6"/>
        <v>AUJBHIFIDryerLG DryerLG Dryer</v>
      </c>
      <c r="B241" s="94" t="str">
        <f t="shared" si="7"/>
        <v>AU_JBHIFI</v>
      </c>
      <c r="C241" s="93" t="s">
        <v>201</v>
      </c>
      <c r="D241" s="93" t="s">
        <v>206</v>
      </c>
      <c r="E241" s="93" t="s">
        <v>2431</v>
      </c>
      <c r="F241" s="93" t="s">
        <v>2434</v>
      </c>
      <c r="G241" s="93" t="s">
        <v>2434</v>
      </c>
      <c r="H241" s="93" t="e">
        <v>#N/A</v>
      </c>
      <c r="I241" s="105" t="s">
        <v>2310</v>
      </c>
      <c r="J241" s="93" t="s">
        <v>189</v>
      </c>
      <c r="K241" s="93">
        <v>164</v>
      </c>
      <c r="L241" s="93">
        <v>164</v>
      </c>
      <c r="M241" s="93" t="s">
        <v>2311</v>
      </c>
      <c r="N241" s="93">
        <f>VLOOKUP(B241,'[16]01.수집 카테고리(List)'!$A$2:$H$64,8,FALSE)</f>
        <v>99991231</v>
      </c>
      <c r="O241" s="93" t="s">
        <v>646</v>
      </c>
    </row>
    <row r="242" spans="1:15" hidden="1">
      <c r="A242" s="75" t="str">
        <f t="shared" si="6"/>
        <v>AUJBHIFILaptop15inch Laptop15inch Laptop</v>
      </c>
      <c r="B242" s="94" t="str">
        <f t="shared" si="7"/>
        <v>AU_JBHIFI</v>
      </c>
      <c r="C242" s="93" t="s">
        <v>201</v>
      </c>
      <c r="D242" s="93" t="s">
        <v>206</v>
      </c>
      <c r="E242" s="93" t="s">
        <v>2407</v>
      </c>
      <c r="F242" s="93" t="s">
        <v>2408</v>
      </c>
      <c r="G242" s="93" t="s">
        <v>2408</v>
      </c>
      <c r="H242" s="93" t="e">
        <v>#N/A</v>
      </c>
      <c r="I242" s="105" t="s">
        <v>2310</v>
      </c>
      <c r="J242" s="93" t="s">
        <v>189</v>
      </c>
      <c r="K242" s="93">
        <v>4</v>
      </c>
      <c r="L242" s="93">
        <v>4</v>
      </c>
      <c r="M242" s="93" t="s">
        <v>2311</v>
      </c>
      <c r="N242" s="93">
        <f>VLOOKUP(B242,'[16]01.수집 카테고리(List)'!$A$2:$H$64,8,FALSE)</f>
        <v>99991231</v>
      </c>
      <c r="O242" s="93" t="s">
        <v>646</v>
      </c>
    </row>
    <row r="243" spans="1:15" hidden="1">
      <c r="A243" s="75" t="str">
        <f t="shared" si="6"/>
        <v>AUJBHIFILaptop17inch Laptop17inch Laptop</v>
      </c>
      <c r="B243" s="94" t="str">
        <f t="shared" si="7"/>
        <v>AU_JBHIFI</v>
      </c>
      <c r="C243" s="93" t="s">
        <v>201</v>
      </c>
      <c r="D243" s="93" t="s">
        <v>206</v>
      </c>
      <c r="E243" s="93" t="s">
        <v>2407</v>
      </c>
      <c r="F243" s="93" t="s">
        <v>2409</v>
      </c>
      <c r="G243" s="93" t="s">
        <v>2409</v>
      </c>
      <c r="H243" s="93" t="e">
        <v>#N/A</v>
      </c>
      <c r="I243" s="105" t="s">
        <v>2310</v>
      </c>
      <c r="J243" s="93" t="s">
        <v>189</v>
      </c>
      <c r="K243" s="93">
        <v>254</v>
      </c>
      <c r="L243" s="93">
        <v>254</v>
      </c>
      <c r="M243" s="93" t="s">
        <v>2311</v>
      </c>
      <c r="N243" s="93">
        <f>VLOOKUP(B243,'[16]01.수집 카테고리(List)'!$A$2:$H$64,8,FALSE)</f>
        <v>99991231</v>
      </c>
      <c r="O243" s="93" t="s">
        <v>646</v>
      </c>
    </row>
    <row r="244" spans="1:15" hidden="1">
      <c r="A244" s="75" t="str">
        <f t="shared" si="6"/>
        <v>AUJBHIFILaptopi7 laptopi7 laptop</v>
      </c>
      <c r="B244" s="94" t="str">
        <f t="shared" si="7"/>
        <v>AU_JBHIFI</v>
      </c>
      <c r="C244" s="93" t="s">
        <v>201</v>
      </c>
      <c r="D244" s="93" t="s">
        <v>206</v>
      </c>
      <c r="E244" s="93" t="s">
        <v>2407</v>
      </c>
      <c r="F244" s="93" t="s">
        <v>2410</v>
      </c>
      <c r="G244" s="93" t="s">
        <v>2410</v>
      </c>
      <c r="H244" s="93" t="e">
        <v>#N/A</v>
      </c>
      <c r="I244" s="105" t="s">
        <v>2310</v>
      </c>
      <c r="J244" s="93" t="s">
        <v>189</v>
      </c>
      <c r="K244" s="93">
        <v>48</v>
      </c>
      <c r="L244" s="93">
        <v>48</v>
      </c>
      <c r="M244" s="93" t="s">
        <v>2311</v>
      </c>
      <c r="N244" s="93">
        <f>VLOOKUP(B244,'[16]01.수집 카테고리(List)'!$A$2:$H$64,8,FALSE)</f>
        <v>99991231</v>
      </c>
      <c r="O244" s="93" t="s">
        <v>646</v>
      </c>
    </row>
    <row r="245" spans="1:15" hidden="1">
      <c r="A245" s="75" t="str">
        <f t="shared" si="6"/>
        <v>AUJBHIFILaptopLaptopLaptop</v>
      </c>
      <c r="B245" s="94" t="str">
        <f t="shared" si="7"/>
        <v>AU_JBHIFI</v>
      </c>
      <c r="C245" s="93" t="s">
        <v>201</v>
      </c>
      <c r="D245" s="93" t="s">
        <v>206</v>
      </c>
      <c r="E245" s="93" t="s">
        <v>2407</v>
      </c>
      <c r="F245" s="93" t="s">
        <v>2407</v>
      </c>
      <c r="G245" s="93" t="s">
        <v>2407</v>
      </c>
      <c r="H245" s="93" t="e">
        <v>#N/A</v>
      </c>
      <c r="I245" s="105" t="s">
        <v>2310</v>
      </c>
      <c r="J245" s="93" t="s">
        <v>189</v>
      </c>
      <c r="K245" s="93">
        <v>781</v>
      </c>
      <c r="L245" s="93">
        <v>781</v>
      </c>
      <c r="M245" s="93" t="s">
        <v>2311</v>
      </c>
      <c r="N245" s="93">
        <f>VLOOKUP(B245,'[16]01.수집 카테고리(List)'!$A$2:$H$64,8,FALSE)</f>
        <v>99991231</v>
      </c>
      <c r="O245" s="93" t="s">
        <v>646</v>
      </c>
    </row>
    <row r="246" spans="1:15" hidden="1">
      <c r="A246" s="75" t="str">
        <f t="shared" si="6"/>
        <v>AUJBHIFILaptopLightweight LaptopLightweight Laptop</v>
      </c>
      <c r="B246" s="94" t="str">
        <f t="shared" si="7"/>
        <v>AU_JBHIFI</v>
      </c>
      <c r="C246" s="93" t="s">
        <v>201</v>
      </c>
      <c r="D246" s="93" t="s">
        <v>206</v>
      </c>
      <c r="E246" s="93" t="s">
        <v>2407</v>
      </c>
      <c r="F246" s="93" t="s">
        <v>2411</v>
      </c>
      <c r="G246" s="93" t="s">
        <v>2411</v>
      </c>
      <c r="H246" s="93" t="e">
        <v>#N/A</v>
      </c>
      <c r="I246" s="105" t="s">
        <v>2310</v>
      </c>
      <c r="J246" s="93" t="s">
        <v>189</v>
      </c>
      <c r="K246" s="93">
        <v>12</v>
      </c>
      <c r="L246" s="93">
        <v>12</v>
      </c>
      <c r="M246" s="93" t="s">
        <v>2311</v>
      </c>
      <c r="N246" s="93">
        <f>VLOOKUP(B246,'[16]01.수집 카테고리(List)'!$A$2:$H$64,8,FALSE)</f>
        <v>99991231</v>
      </c>
      <c r="O246" s="93" t="s">
        <v>646</v>
      </c>
    </row>
    <row r="247" spans="1:15" hidden="1">
      <c r="A247" s="75" t="str">
        <f t="shared" si="6"/>
        <v>AUJBHIFIMonitor4k monitor4k monitor</v>
      </c>
      <c r="B247" s="94" t="str">
        <f t="shared" si="7"/>
        <v>AU_JBHIFI</v>
      </c>
      <c r="C247" s="93" t="s">
        <v>201</v>
      </c>
      <c r="D247" s="93" t="s">
        <v>206</v>
      </c>
      <c r="E247" s="93" t="s">
        <v>2320</v>
      </c>
      <c r="F247" s="93" t="s">
        <v>2321</v>
      </c>
      <c r="G247" s="93" t="s">
        <v>2321</v>
      </c>
      <c r="H247" s="93" t="e">
        <v>#N/A</v>
      </c>
      <c r="I247" s="105" t="s">
        <v>2310</v>
      </c>
      <c r="J247" s="93" t="s">
        <v>189</v>
      </c>
      <c r="K247" s="93">
        <v>20</v>
      </c>
      <c r="L247" s="93">
        <v>20</v>
      </c>
      <c r="M247" s="93" t="s">
        <v>2311</v>
      </c>
      <c r="N247" s="93">
        <f>VLOOKUP(B247,'[16]01.수집 카테고리(List)'!$A$2:$H$64,8,FALSE)</f>
        <v>99991231</v>
      </c>
      <c r="O247" s="93" t="s">
        <v>646</v>
      </c>
    </row>
    <row r="248" spans="1:15" hidden="1">
      <c r="A248" s="75" t="str">
        <f t="shared" si="6"/>
        <v>AUJBHIFIMonitorgaming monitorgaming monitor</v>
      </c>
      <c r="B248" s="94" t="str">
        <f t="shared" si="7"/>
        <v>AU_JBHIFI</v>
      </c>
      <c r="C248" s="93" t="s">
        <v>201</v>
      </c>
      <c r="D248" s="93" t="s">
        <v>206</v>
      </c>
      <c r="E248" s="93" t="s">
        <v>2320</v>
      </c>
      <c r="F248" s="93" t="s">
        <v>2322</v>
      </c>
      <c r="G248" s="93" t="s">
        <v>2322</v>
      </c>
      <c r="H248" s="93" t="e">
        <v>#N/A</v>
      </c>
      <c r="I248" s="105" t="s">
        <v>2310</v>
      </c>
      <c r="J248" s="93" t="s">
        <v>189</v>
      </c>
      <c r="K248" s="93">
        <v>502</v>
      </c>
      <c r="L248" s="93">
        <v>502</v>
      </c>
      <c r="M248" s="93" t="s">
        <v>2311</v>
      </c>
      <c r="N248" s="93">
        <f>VLOOKUP(B248,'[16]01.수집 카테고리(List)'!$A$2:$H$64,8,FALSE)</f>
        <v>99991231</v>
      </c>
      <c r="O248" s="93" t="s">
        <v>646</v>
      </c>
    </row>
    <row r="249" spans="1:15" hidden="1">
      <c r="A249" s="75" t="str">
        <f t="shared" si="6"/>
        <v>AUJBHIFIMonitormonitormonitor</v>
      </c>
      <c r="B249" s="94" t="str">
        <f t="shared" si="7"/>
        <v>AU_JBHIFI</v>
      </c>
      <c r="C249" s="93" t="s">
        <v>201</v>
      </c>
      <c r="D249" s="93" t="s">
        <v>206</v>
      </c>
      <c r="E249" s="93" t="s">
        <v>2320</v>
      </c>
      <c r="F249" s="93" t="s">
        <v>2323</v>
      </c>
      <c r="G249" s="93" t="s">
        <v>2323</v>
      </c>
      <c r="H249" s="93" t="e">
        <v>#N/A</v>
      </c>
      <c r="I249" s="105" t="s">
        <v>2310</v>
      </c>
      <c r="J249" s="93" t="s">
        <v>189</v>
      </c>
      <c r="K249" s="93">
        <v>952</v>
      </c>
      <c r="L249" s="93">
        <v>952</v>
      </c>
      <c r="M249" s="93" t="s">
        <v>2311</v>
      </c>
      <c r="N249" s="93">
        <f>VLOOKUP(B249,'[16]01.수집 카테고리(List)'!$A$2:$H$64,8,FALSE)</f>
        <v>99991231</v>
      </c>
      <c r="O249" s="93" t="s">
        <v>646</v>
      </c>
    </row>
    <row r="250" spans="1:15" hidden="1">
      <c r="A250" s="75" t="str">
        <f t="shared" si="6"/>
        <v>AUJBHIFIMonitoruhd monitoruhd monitor</v>
      </c>
      <c r="B250" s="94" t="str">
        <f t="shared" si="7"/>
        <v>AU_JBHIFI</v>
      </c>
      <c r="C250" s="93" t="s">
        <v>201</v>
      </c>
      <c r="D250" s="93" t="s">
        <v>206</v>
      </c>
      <c r="E250" s="93" t="s">
        <v>2320</v>
      </c>
      <c r="F250" s="93" t="s">
        <v>2324</v>
      </c>
      <c r="G250" s="93" t="s">
        <v>2324</v>
      </c>
      <c r="H250" s="93" t="e">
        <v>#N/A</v>
      </c>
      <c r="I250" s="105" t="s">
        <v>2310</v>
      </c>
      <c r="J250" s="93" t="s">
        <v>189</v>
      </c>
      <c r="K250" s="93">
        <v>20</v>
      </c>
      <c r="L250" s="93">
        <v>20</v>
      </c>
      <c r="M250" s="93" t="s">
        <v>2311</v>
      </c>
      <c r="N250" s="93">
        <f>VLOOKUP(B250,'[16]01.수집 카테고리(List)'!$A$2:$H$64,8,FALSE)</f>
        <v>99991231</v>
      </c>
      <c r="O250" s="93" t="s">
        <v>646</v>
      </c>
    </row>
    <row r="251" spans="1:15" hidden="1">
      <c r="A251" s="75" t="str">
        <f t="shared" si="6"/>
        <v>AUJBHIFIMonitorultrawide monitorultrawide monitor</v>
      </c>
      <c r="B251" s="94" t="str">
        <f t="shared" si="7"/>
        <v>AU_JBHIFI</v>
      </c>
      <c r="C251" s="93" t="s">
        <v>201</v>
      </c>
      <c r="D251" s="93" t="s">
        <v>206</v>
      </c>
      <c r="E251" s="93" t="s">
        <v>2320</v>
      </c>
      <c r="F251" s="93" t="s">
        <v>2325</v>
      </c>
      <c r="G251" s="93" t="s">
        <v>2325</v>
      </c>
      <c r="H251" s="93" t="e">
        <v>#N/A</v>
      </c>
      <c r="I251" s="105" t="s">
        <v>2310</v>
      </c>
      <c r="J251" s="93" t="s">
        <v>189</v>
      </c>
      <c r="K251" s="93">
        <v>165</v>
      </c>
      <c r="L251" s="93">
        <v>165</v>
      </c>
      <c r="M251" s="93" t="s">
        <v>2311</v>
      </c>
      <c r="N251" s="93">
        <f>VLOOKUP(B251,'[16]01.수집 카테고리(List)'!$A$2:$H$64,8,FALSE)</f>
        <v>99991231</v>
      </c>
      <c r="O251" s="93" t="s">
        <v>646</v>
      </c>
    </row>
    <row r="252" spans="1:15">
      <c r="A252" s="75" t="str">
        <f t="shared" si="6"/>
        <v>AUJBHIFIRefrigeratorbottom freezer refrigeratorBottom Mount Fridges</v>
      </c>
      <c r="B252" s="94" t="str">
        <f t="shared" si="7"/>
        <v>AU_JBHIFI</v>
      </c>
      <c r="C252" s="93" t="s">
        <v>201</v>
      </c>
      <c r="D252" s="93" t="s">
        <v>206</v>
      </c>
      <c r="E252" s="93" t="s">
        <v>2326</v>
      </c>
      <c r="F252" s="93" t="s">
        <v>2327</v>
      </c>
      <c r="G252" s="93" t="s">
        <v>2412</v>
      </c>
      <c r="H252" s="93" t="e">
        <v>#N/A</v>
      </c>
      <c r="I252" s="105" t="s">
        <v>2310</v>
      </c>
      <c r="J252" s="93" t="s">
        <v>189</v>
      </c>
      <c r="K252" s="93">
        <v>568</v>
      </c>
      <c r="L252" s="93" t="e">
        <v>#N/A</v>
      </c>
      <c r="M252" s="93" t="s">
        <v>2311</v>
      </c>
      <c r="N252" s="93">
        <f>VLOOKUP(B252,'[16]01.수집 카테고리(List)'!$A$2:$H$64,8,FALSE)</f>
        <v>99991231</v>
      </c>
      <c r="O252" s="93" t="s">
        <v>646</v>
      </c>
    </row>
    <row r="253" spans="1:15">
      <c r="A253" s="75" t="str">
        <f t="shared" si="6"/>
        <v>AUJBHIFIRefrigeratorfrench door refrigeratorFrench Door Fridges</v>
      </c>
      <c r="B253" s="94" t="str">
        <f t="shared" si="7"/>
        <v>AU_JBHIFI</v>
      </c>
      <c r="C253" s="93" t="s">
        <v>201</v>
      </c>
      <c r="D253" s="93" t="s">
        <v>206</v>
      </c>
      <c r="E253" s="93" t="s">
        <v>2326</v>
      </c>
      <c r="F253" s="93" t="s">
        <v>2328</v>
      </c>
      <c r="G253" s="93" t="s">
        <v>2413</v>
      </c>
      <c r="H253" s="93" t="e">
        <v>#N/A</v>
      </c>
      <c r="I253" s="105" t="s">
        <v>2310</v>
      </c>
      <c r="J253" s="93" t="s">
        <v>189</v>
      </c>
      <c r="K253" s="93">
        <v>1315</v>
      </c>
      <c r="L253" s="93" t="e">
        <v>#N/A</v>
      </c>
      <c r="M253" s="93" t="s">
        <v>2311</v>
      </c>
      <c r="N253" s="93">
        <f>VLOOKUP(B253,'[16]01.수집 카테고리(List)'!$A$2:$H$64,8,FALSE)</f>
        <v>99991231</v>
      </c>
      <c r="O253" s="93" t="s">
        <v>646</v>
      </c>
    </row>
    <row r="254" spans="1:15">
      <c r="A254" s="75" t="str">
        <f t="shared" si="6"/>
        <v>AUJBHIFIRefrigeratorfridgeFridges</v>
      </c>
      <c r="B254" s="94" t="str">
        <f t="shared" si="7"/>
        <v>AU_JBHIFI</v>
      </c>
      <c r="C254" s="93" t="s">
        <v>201</v>
      </c>
      <c r="D254" s="93" t="s">
        <v>206</v>
      </c>
      <c r="E254" s="93" t="s">
        <v>2326</v>
      </c>
      <c r="F254" s="93" t="s">
        <v>2414</v>
      </c>
      <c r="G254" s="93" t="s">
        <v>2415</v>
      </c>
      <c r="H254" s="93" t="e">
        <v>#N/A</v>
      </c>
      <c r="I254" s="105" t="s">
        <v>2310</v>
      </c>
      <c r="J254" s="93" t="s">
        <v>189</v>
      </c>
      <c r="K254" s="93">
        <v>4408</v>
      </c>
      <c r="L254" s="93" t="e">
        <v>#N/A</v>
      </c>
      <c r="M254" s="93" t="s">
        <v>2311</v>
      </c>
      <c r="N254" s="93">
        <f>VLOOKUP(B254,'[16]01.수집 카테고리(List)'!$A$2:$H$64,8,FALSE)</f>
        <v>99991231</v>
      </c>
      <c r="O254" s="93" t="s">
        <v>646</v>
      </c>
    </row>
    <row r="255" spans="1:15">
      <c r="A255" s="75" t="str">
        <f t="shared" si="6"/>
        <v>AUJBHIFIRefrigeratorrefrigeratorrefrigerator</v>
      </c>
      <c r="B255" s="94" t="str">
        <f t="shared" si="7"/>
        <v>AU_JBHIFI</v>
      </c>
      <c r="C255" s="93" t="s">
        <v>201</v>
      </c>
      <c r="D255" s="93" t="s">
        <v>206</v>
      </c>
      <c r="E255" s="93" t="s">
        <v>2326</v>
      </c>
      <c r="F255" s="93" t="s">
        <v>2329</v>
      </c>
      <c r="G255" s="93" t="s">
        <v>2329</v>
      </c>
      <c r="H255" s="93" t="e">
        <v>#N/A</v>
      </c>
      <c r="I255" s="105" t="s">
        <v>2310</v>
      </c>
      <c r="J255" s="93" t="s">
        <v>189</v>
      </c>
      <c r="K255" s="93">
        <v>4062</v>
      </c>
      <c r="L255" s="93">
        <v>4062</v>
      </c>
      <c r="M255" s="93" t="s">
        <v>2311</v>
      </c>
      <c r="N255" s="93">
        <f>VLOOKUP(B255,'[16]01.수집 카테고리(List)'!$A$2:$H$64,8,FALSE)</f>
        <v>99991231</v>
      </c>
      <c r="O255" s="93" t="s">
        <v>646</v>
      </c>
    </row>
    <row r="256" spans="1:15">
      <c r="A256" s="75" t="str">
        <f t="shared" si="6"/>
        <v>AUJBHIFIRefrigeratorside by side refrigeratorSide by Side Fridges</v>
      </c>
      <c r="B256" s="94" t="str">
        <f t="shared" si="7"/>
        <v>AU_JBHIFI</v>
      </c>
      <c r="C256" s="93" t="s">
        <v>201</v>
      </c>
      <c r="D256" s="93" t="s">
        <v>206</v>
      </c>
      <c r="E256" s="93" t="s">
        <v>2326</v>
      </c>
      <c r="F256" s="93" t="s">
        <v>2330</v>
      </c>
      <c r="G256" s="93" t="s">
        <v>2416</v>
      </c>
      <c r="H256" s="93" t="e">
        <v>#N/A</v>
      </c>
      <c r="I256" s="105" t="s">
        <v>2310</v>
      </c>
      <c r="J256" s="93" t="s">
        <v>189</v>
      </c>
      <c r="K256" s="93">
        <v>122</v>
      </c>
      <c r="L256" s="93" t="e">
        <v>#N/A</v>
      </c>
      <c r="M256" s="93" t="s">
        <v>2311</v>
      </c>
      <c r="N256" s="93">
        <f>VLOOKUP(B256,'[16]01.수집 카테고리(List)'!$A$2:$H$64,8,FALSE)</f>
        <v>99991231</v>
      </c>
      <c r="O256" s="93" t="s">
        <v>646</v>
      </c>
    </row>
    <row r="257" spans="1:15">
      <c r="A257" s="75" t="str">
        <f t="shared" si="6"/>
        <v>AUJBHIFIRefrigeratortop freezer refrigeratorTop Mount Fridges</v>
      </c>
      <c r="B257" s="94" t="str">
        <f t="shared" si="7"/>
        <v>AU_JBHIFI</v>
      </c>
      <c r="C257" s="93" t="s">
        <v>201</v>
      </c>
      <c r="D257" s="93" t="s">
        <v>206</v>
      </c>
      <c r="E257" s="93" t="s">
        <v>2326</v>
      </c>
      <c r="F257" s="93" t="s">
        <v>2332</v>
      </c>
      <c r="G257" s="93" t="s">
        <v>2417</v>
      </c>
      <c r="H257" s="93" t="e">
        <v>#N/A</v>
      </c>
      <c r="I257" s="105" t="s">
        <v>2310</v>
      </c>
      <c r="J257" s="93" t="s">
        <v>189</v>
      </c>
      <c r="K257" s="93">
        <v>397</v>
      </c>
      <c r="L257" s="93" t="e">
        <v>#N/A</v>
      </c>
      <c r="M257" s="93" t="s">
        <v>2311</v>
      </c>
      <c r="N257" s="93">
        <f>VLOOKUP(B257,'[16]01.수집 카테고리(List)'!$A$2:$H$64,8,FALSE)</f>
        <v>99991231</v>
      </c>
      <c r="O257" s="93" t="s">
        <v>646</v>
      </c>
    </row>
    <row r="258" spans="1:15" hidden="1">
      <c r="A258" s="75" t="str">
        <f t="shared" si="6"/>
        <v>AUJBHIFISOUNDBARSound barSound bar</v>
      </c>
      <c r="B258" s="94" t="str">
        <f t="shared" si="7"/>
        <v>AU_JBHIFI</v>
      </c>
      <c r="C258" s="93" t="s">
        <v>201</v>
      </c>
      <c r="D258" s="93" t="s">
        <v>206</v>
      </c>
      <c r="E258" s="93" t="s">
        <v>165</v>
      </c>
      <c r="F258" s="93" t="s">
        <v>2365</v>
      </c>
      <c r="G258" s="93" t="s">
        <v>2365</v>
      </c>
      <c r="H258" s="93" t="e">
        <v>#N/A</v>
      </c>
      <c r="I258" s="105" t="s">
        <v>2310</v>
      </c>
      <c r="J258" s="93" t="s">
        <v>189</v>
      </c>
      <c r="K258" s="93">
        <v>2366</v>
      </c>
      <c r="L258" s="93">
        <v>2366</v>
      </c>
      <c r="M258" s="93" t="s">
        <v>2311</v>
      </c>
      <c r="N258" s="93">
        <f>VLOOKUP(B258,'[16]01.수집 카테고리(List)'!$A$2:$H$64,8,FALSE)</f>
        <v>99991231</v>
      </c>
      <c r="O258" s="93" t="s">
        <v>646</v>
      </c>
    </row>
    <row r="259" spans="1:15" hidden="1">
      <c r="A259" s="75" t="str">
        <f t="shared" si="6"/>
        <v>AUJBHIFISOUNDBARSound barsSound bars</v>
      </c>
      <c r="B259" s="94" t="str">
        <f t="shared" si="7"/>
        <v>AU_JBHIFI</v>
      </c>
      <c r="C259" s="93" t="s">
        <v>201</v>
      </c>
      <c r="D259" s="93" t="s">
        <v>206</v>
      </c>
      <c r="E259" s="93" t="s">
        <v>165</v>
      </c>
      <c r="F259" s="93" t="s">
        <v>2366</v>
      </c>
      <c r="G259" s="93" t="s">
        <v>2366</v>
      </c>
      <c r="H259" s="93" t="e">
        <v>#N/A</v>
      </c>
      <c r="I259" s="105" t="s">
        <v>2310</v>
      </c>
      <c r="J259" s="93" t="s">
        <v>189</v>
      </c>
      <c r="K259" s="93">
        <v>2167</v>
      </c>
      <c r="L259" s="93">
        <v>2167</v>
      </c>
      <c r="M259" s="93" t="s">
        <v>2311</v>
      </c>
      <c r="N259" s="93">
        <f>VLOOKUP(B259,'[16]01.수집 카테고리(List)'!$A$2:$H$64,8,FALSE)</f>
        <v>99991231</v>
      </c>
      <c r="O259" s="93" t="s">
        <v>646</v>
      </c>
    </row>
    <row r="260" spans="1:15" hidden="1">
      <c r="A260" s="75" t="str">
        <f t="shared" si="6"/>
        <v>AUJBHIFISOUNDBARSound systemSound bars for tv</v>
      </c>
      <c r="B260" s="94" t="str">
        <f t="shared" si="7"/>
        <v>AU_JBHIFI</v>
      </c>
      <c r="C260" s="93" t="s">
        <v>201</v>
      </c>
      <c r="D260" s="93" t="s">
        <v>206</v>
      </c>
      <c r="E260" s="93" t="s">
        <v>165</v>
      </c>
      <c r="F260" s="93" t="s">
        <v>2359</v>
      </c>
      <c r="G260" s="93" t="s">
        <v>2430</v>
      </c>
      <c r="H260" s="93" t="e">
        <v>#N/A</v>
      </c>
      <c r="I260" s="105" t="s">
        <v>2310</v>
      </c>
      <c r="J260" s="93" t="s">
        <v>189</v>
      </c>
      <c r="K260" s="93">
        <v>26827</v>
      </c>
      <c r="L260" s="93">
        <v>1</v>
      </c>
      <c r="M260" s="93" t="s">
        <v>2311</v>
      </c>
      <c r="N260" s="93">
        <f>VLOOKUP(B260,'[16]01.수집 카테고리(List)'!$A$2:$H$64,8,FALSE)</f>
        <v>99991231</v>
      </c>
      <c r="O260" s="93" t="s">
        <v>646</v>
      </c>
    </row>
    <row r="261" spans="1:15" hidden="1">
      <c r="A261" s="75" t="str">
        <f t="shared" si="6"/>
        <v>AUJBHIFISOUNDBARSoundbarSoundbar</v>
      </c>
      <c r="B261" s="94" t="str">
        <f t="shared" si="7"/>
        <v>AU_JBHIFI</v>
      </c>
      <c r="C261" s="93" t="s">
        <v>201</v>
      </c>
      <c r="D261" s="93" t="s">
        <v>206</v>
      </c>
      <c r="E261" s="93" t="s">
        <v>165</v>
      </c>
      <c r="F261" s="93" t="s">
        <v>2363</v>
      </c>
      <c r="G261" s="93" t="s">
        <v>2363</v>
      </c>
      <c r="H261" s="93" t="e">
        <v>#N/A</v>
      </c>
      <c r="I261" s="105" t="s">
        <v>2310</v>
      </c>
      <c r="J261" s="93" t="s">
        <v>189</v>
      </c>
      <c r="K261" s="93">
        <v>13340</v>
      </c>
      <c r="L261" s="93">
        <v>13340</v>
      </c>
      <c r="M261" s="93" t="s">
        <v>2311</v>
      </c>
      <c r="N261" s="93">
        <f>VLOOKUP(B261,'[16]01.수집 카테고리(List)'!$A$2:$H$64,8,FALSE)</f>
        <v>99991231</v>
      </c>
      <c r="O261" s="93" t="s">
        <v>646</v>
      </c>
    </row>
    <row r="262" spans="1:15" hidden="1">
      <c r="A262" s="75" t="str">
        <f t="shared" si="6"/>
        <v>AUJBHIFISOUNDBARSoundbarsSoundbars</v>
      </c>
      <c r="B262" s="94" t="str">
        <f t="shared" si="7"/>
        <v>AU_JBHIFI</v>
      </c>
      <c r="C262" s="93" t="s">
        <v>201</v>
      </c>
      <c r="D262" s="93" t="s">
        <v>206</v>
      </c>
      <c r="E262" s="93" t="s">
        <v>165</v>
      </c>
      <c r="F262" s="93" t="s">
        <v>2361</v>
      </c>
      <c r="G262" s="93" t="s">
        <v>2361</v>
      </c>
      <c r="H262" s="93" t="e">
        <v>#N/A</v>
      </c>
      <c r="I262" s="105" t="s">
        <v>2310</v>
      </c>
      <c r="J262" s="93" t="s">
        <v>189</v>
      </c>
      <c r="K262" s="93">
        <v>2323</v>
      </c>
      <c r="L262" s="93">
        <v>2323</v>
      </c>
      <c r="M262" s="93" t="s">
        <v>2311</v>
      </c>
      <c r="N262" s="93">
        <f>VLOOKUP(B262,'[16]01.수집 카테고리(List)'!$A$2:$H$64,8,FALSE)</f>
        <v>99991231</v>
      </c>
      <c r="O262" s="93" t="s">
        <v>646</v>
      </c>
    </row>
    <row r="263" spans="1:15" hidden="1">
      <c r="A263" s="75" t="str">
        <f t="shared" si="6"/>
        <v>AUJBHIFITV4k TV4k TV</v>
      </c>
      <c r="B263" s="94" t="str">
        <f t="shared" si="7"/>
        <v>AU_JBHIFI</v>
      </c>
      <c r="C263" s="93" t="s">
        <v>201</v>
      </c>
      <c r="D263" s="93" t="s">
        <v>206</v>
      </c>
      <c r="E263" s="93" t="s">
        <v>161</v>
      </c>
      <c r="F263" s="93" t="s">
        <v>2368</v>
      </c>
      <c r="G263" s="93" t="s">
        <v>2368</v>
      </c>
      <c r="H263" s="93" t="e">
        <v>#N/A</v>
      </c>
      <c r="I263" s="105" t="s">
        <v>2310</v>
      </c>
      <c r="J263" s="93" t="s">
        <v>189</v>
      </c>
      <c r="K263" s="93">
        <v>2649</v>
      </c>
      <c r="L263" s="93">
        <v>2649</v>
      </c>
      <c r="M263" s="93" t="s">
        <v>2311</v>
      </c>
      <c r="N263" s="93">
        <f>VLOOKUP(B263,'[16]01.수집 카테고리(List)'!$A$2:$H$64,8,FALSE)</f>
        <v>99991231</v>
      </c>
      <c r="O263" s="93" t="s">
        <v>646</v>
      </c>
    </row>
    <row r="264" spans="1:15" hidden="1">
      <c r="A264" s="75" t="str">
        <f t="shared" si="6"/>
        <v>AUJBHIFITVoled TVoled TV</v>
      </c>
      <c r="B264" s="94" t="str">
        <f t="shared" si="7"/>
        <v>AU_JBHIFI</v>
      </c>
      <c r="C264" s="93" t="s">
        <v>201</v>
      </c>
      <c r="D264" s="93" t="s">
        <v>206</v>
      </c>
      <c r="E264" s="93" t="s">
        <v>161</v>
      </c>
      <c r="F264" s="93" t="s">
        <v>2369</v>
      </c>
      <c r="G264" s="93" t="s">
        <v>2369</v>
      </c>
      <c r="H264" s="93" t="e">
        <v>#N/A</v>
      </c>
      <c r="I264" s="105" t="s">
        <v>2310</v>
      </c>
      <c r="J264" s="93" t="s">
        <v>189</v>
      </c>
      <c r="K264" s="93">
        <v>334</v>
      </c>
      <c r="L264" s="93">
        <v>334</v>
      </c>
      <c r="M264" s="93" t="s">
        <v>2311</v>
      </c>
      <c r="N264" s="93">
        <f>VLOOKUP(B264,'[16]01.수집 카테고리(List)'!$A$2:$H$64,8,FALSE)</f>
        <v>99991231</v>
      </c>
      <c r="O264" s="93" t="s">
        <v>646</v>
      </c>
    </row>
    <row r="265" spans="1:15" hidden="1">
      <c r="A265" s="75" t="str">
        <f t="shared" si="6"/>
        <v>AUJBHIFITVsmart TVsmart TV</v>
      </c>
      <c r="B265" s="94" t="str">
        <f t="shared" si="7"/>
        <v>AU_JBHIFI</v>
      </c>
      <c r="C265" s="93" t="s">
        <v>201</v>
      </c>
      <c r="D265" s="93" t="s">
        <v>206</v>
      </c>
      <c r="E265" s="93" t="s">
        <v>161</v>
      </c>
      <c r="F265" s="93" t="s">
        <v>2371</v>
      </c>
      <c r="G265" s="93" t="s">
        <v>2371</v>
      </c>
      <c r="H265" s="93" t="e">
        <v>#N/A</v>
      </c>
      <c r="I265" s="105" t="s">
        <v>2310</v>
      </c>
      <c r="J265" s="93" t="s">
        <v>189</v>
      </c>
      <c r="K265" s="93">
        <v>1478</v>
      </c>
      <c r="L265" s="93">
        <v>1478</v>
      </c>
      <c r="M265" s="93" t="s">
        <v>2311</v>
      </c>
      <c r="N265" s="93">
        <f>VLOOKUP(B265,'[16]01.수집 카테고리(List)'!$A$2:$H$64,8,FALSE)</f>
        <v>99991231</v>
      </c>
      <c r="O265" s="93" t="s">
        <v>646</v>
      </c>
    </row>
    <row r="266" spans="1:15" hidden="1">
      <c r="A266" s="75" t="str">
        <f t="shared" ref="A266:A329" si="8">C266&amp;D266&amp;E266&amp;F266&amp;G266</f>
        <v>AUJBHIFITVTVTV</v>
      </c>
      <c r="B266" s="94" t="str">
        <f t="shared" ref="B266:B329" si="9">C266&amp;"_"&amp;D266</f>
        <v>AU_JBHIFI</v>
      </c>
      <c r="C266" s="93" t="s">
        <v>201</v>
      </c>
      <c r="D266" s="93" t="s">
        <v>206</v>
      </c>
      <c r="E266" s="93" t="s">
        <v>161</v>
      </c>
      <c r="F266" s="93" t="s">
        <v>161</v>
      </c>
      <c r="G266" s="93" t="s">
        <v>161</v>
      </c>
      <c r="H266" s="93" t="e">
        <v>#N/A</v>
      </c>
      <c r="I266" s="105" t="s">
        <v>2310</v>
      </c>
      <c r="J266" s="93" t="s">
        <v>189</v>
      </c>
      <c r="K266" s="93">
        <v>53359</v>
      </c>
      <c r="L266" s="93">
        <v>53359</v>
      </c>
      <c r="M266" s="93" t="s">
        <v>2311</v>
      </c>
      <c r="N266" s="93">
        <f>VLOOKUP(B266,'[16]01.수집 카테고리(List)'!$A$2:$H$64,8,FALSE)</f>
        <v>99991231</v>
      </c>
      <c r="O266" s="93" t="s">
        <v>646</v>
      </c>
    </row>
    <row r="267" spans="1:15" hidden="1">
      <c r="A267" s="75" t="str">
        <f t="shared" si="8"/>
        <v>AUJBHIFITVuhd TVuhd TV</v>
      </c>
      <c r="B267" s="94" t="str">
        <f t="shared" si="9"/>
        <v>AU_JBHIFI</v>
      </c>
      <c r="C267" s="93" t="s">
        <v>201</v>
      </c>
      <c r="D267" s="93" t="s">
        <v>206</v>
      </c>
      <c r="E267" s="93" t="s">
        <v>161</v>
      </c>
      <c r="F267" s="93" t="s">
        <v>2399</v>
      </c>
      <c r="G267" s="93" t="s">
        <v>2399</v>
      </c>
      <c r="H267" s="93" t="e">
        <v>#N/A</v>
      </c>
      <c r="I267" s="105" t="s">
        <v>2310</v>
      </c>
      <c r="J267" s="93" t="s">
        <v>189</v>
      </c>
      <c r="K267" s="93">
        <v>2672</v>
      </c>
      <c r="L267" s="93">
        <v>2672</v>
      </c>
      <c r="M267" s="93" t="s">
        <v>2311</v>
      </c>
      <c r="N267" s="93">
        <f>VLOOKUP(B267,'[16]01.수집 카테고리(List)'!$A$2:$H$64,8,FALSE)</f>
        <v>99991231</v>
      </c>
      <c r="O267" s="93" t="s">
        <v>646</v>
      </c>
    </row>
    <row r="268" spans="1:15">
      <c r="A268" s="75" t="str">
        <f t="shared" si="8"/>
        <v>AUJBHIFIWashing Machinefront loaderFront Load Washing Machines</v>
      </c>
      <c r="B268" s="94" t="str">
        <f t="shared" si="9"/>
        <v>AU_JBHIFI</v>
      </c>
      <c r="C268" s="93" t="s">
        <v>201</v>
      </c>
      <c r="D268" s="93" t="s">
        <v>206</v>
      </c>
      <c r="E268" s="93" t="s">
        <v>2333</v>
      </c>
      <c r="F268" s="93" t="s">
        <v>2334</v>
      </c>
      <c r="G268" s="93" t="s">
        <v>2418</v>
      </c>
      <c r="H268" s="93" t="e">
        <v>#N/A</v>
      </c>
      <c r="I268" s="105" t="s">
        <v>2310</v>
      </c>
      <c r="J268" s="93" t="s">
        <v>189</v>
      </c>
      <c r="K268" s="93">
        <v>767</v>
      </c>
      <c r="L268" s="93" t="e">
        <v>#N/A</v>
      </c>
      <c r="M268" s="93" t="s">
        <v>2311</v>
      </c>
      <c r="N268" s="93">
        <f>VLOOKUP(B268,'[16]01.수집 카테고리(List)'!$A$2:$H$64,8,FALSE)</f>
        <v>99991231</v>
      </c>
      <c r="O268" s="93" t="s">
        <v>646</v>
      </c>
    </row>
    <row r="269" spans="1:15">
      <c r="A269" s="75" t="str">
        <f t="shared" si="8"/>
        <v>AUJBHIFIWashing Machinetop loaderTop Load Washing Machines</v>
      </c>
      <c r="B269" s="94" t="str">
        <f t="shared" si="9"/>
        <v>AU_JBHIFI</v>
      </c>
      <c r="C269" s="93" t="s">
        <v>201</v>
      </c>
      <c r="D269" s="93" t="s">
        <v>206</v>
      </c>
      <c r="E269" s="93" t="s">
        <v>2333</v>
      </c>
      <c r="F269" s="93" t="s">
        <v>2336</v>
      </c>
      <c r="G269" s="93" t="s">
        <v>2419</v>
      </c>
      <c r="H269" s="93" t="e">
        <v>#N/A</v>
      </c>
      <c r="I269" s="105" t="s">
        <v>2310</v>
      </c>
      <c r="J269" s="93" t="s">
        <v>189</v>
      </c>
      <c r="K269" s="93">
        <v>236</v>
      </c>
      <c r="L269" s="93" t="e">
        <v>#N/A</v>
      </c>
      <c r="M269" s="93" t="s">
        <v>2311</v>
      </c>
      <c r="N269" s="93">
        <f>VLOOKUP(B269,'[16]01.수집 카테고리(List)'!$A$2:$H$64,8,FALSE)</f>
        <v>99991231</v>
      </c>
      <c r="O269" s="93" t="s">
        <v>646</v>
      </c>
    </row>
    <row r="270" spans="1:15">
      <c r="A270" s="75" t="str">
        <f t="shared" si="8"/>
        <v>AUJBHIFIWashing Machinewasher dryer comboWasher Dryer Combos</v>
      </c>
      <c r="B270" s="94" t="str">
        <f t="shared" si="9"/>
        <v>AU_JBHIFI</v>
      </c>
      <c r="C270" s="93" t="s">
        <v>201</v>
      </c>
      <c r="D270" s="93" t="s">
        <v>206</v>
      </c>
      <c r="E270" s="93" t="s">
        <v>2333</v>
      </c>
      <c r="F270" s="93" t="s">
        <v>2338</v>
      </c>
      <c r="G270" s="93" t="s">
        <v>2420</v>
      </c>
      <c r="H270" s="93" t="e">
        <v>#N/A</v>
      </c>
      <c r="I270" s="105" t="s">
        <v>2310</v>
      </c>
      <c r="J270" s="93" t="s">
        <v>189</v>
      </c>
      <c r="K270" s="93">
        <v>130</v>
      </c>
      <c r="L270" s="93" t="e">
        <v>#N/A</v>
      </c>
      <c r="M270" s="93" t="s">
        <v>2311</v>
      </c>
      <c r="N270" s="93">
        <f>VLOOKUP(B270,'[16]01.수집 카테고리(List)'!$A$2:$H$64,8,FALSE)</f>
        <v>99991231</v>
      </c>
      <c r="O270" s="93" t="s">
        <v>646</v>
      </c>
    </row>
    <row r="271" spans="1:15">
      <c r="A271" s="75" t="str">
        <f t="shared" si="8"/>
        <v>AUJBHIFIWashing Machinewashing machineWashing Machines</v>
      </c>
      <c r="B271" s="94" t="str">
        <f t="shared" si="9"/>
        <v>AU_JBHIFI</v>
      </c>
      <c r="C271" s="93" t="s">
        <v>201</v>
      </c>
      <c r="D271" s="93" t="s">
        <v>206</v>
      </c>
      <c r="E271" s="93" t="s">
        <v>2333</v>
      </c>
      <c r="F271" s="93" t="s">
        <v>2340</v>
      </c>
      <c r="G271" s="93" t="s">
        <v>2421</v>
      </c>
      <c r="H271" s="93" t="e">
        <v>#N/A</v>
      </c>
      <c r="I271" s="105" t="s">
        <v>2310</v>
      </c>
      <c r="J271" s="93" t="s">
        <v>189</v>
      </c>
      <c r="K271" s="93">
        <v>990</v>
      </c>
      <c r="L271" s="93" t="e">
        <v>#N/A</v>
      </c>
      <c r="M271" s="93" t="s">
        <v>2311</v>
      </c>
      <c r="N271" s="93">
        <f>VLOOKUP(B271,'[16]01.수집 카테고리(List)'!$A$2:$H$64,8,FALSE)</f>
        <v>99991231</v>
      </c>
      <c r="O271" s="93" t="s">
        <v>646</v>
      </c>
    </row>
    <row r="272" spans="1:15" hidden="1">
      <c r="A272" s="75" t="str">
        <f t="shared" si="8"/>
        <v>AUJBHIFIWIRELESS HEADSETBluetooth earbudsBluetooth earbuds</v>
      </c>
      <c r="B272" s="94" t="str">
        <f t="shared" si="9"/>
        <v>AU_JBHIFI</v>
      </c>
      <c r="C272" s="93" t="s">
        <v>201</v>
      </c>
      <c r="D272" s="93" t="s">
        <v>206</v>
      </c>
      <c r="E272" s="93" t="s">
        <v>2201</v>
      </c>
      <c r="F272" s="93" t="s">
        <v>2382</v>
      </c>
      <c r="G272" s="93" t="s">
        <v>2382</v>
      </c>
      <c r="H272" s="93" t="e">
        <v>#N/A</v>
      </c>
      <c r="I272" s="105" t="s">
        <v>2310</v>
      </c>
      <c r="J272" s="93" t="s">
        <v>189</v>
      </c>
      <c r="K272" s="93">
        <v>627</v>
      </c>
      <c r="L272" s="93">
        <v>627</v>
      </c>
      <c r="M272" s="93" t="s">
        <v>2311</v>
      </c>
      <c r="N272" s="93">
        <f>VLOOKUP(B272,'[16]01.수집 카테고리(List)'!$A$2:$H$64,8,FALSE)</f>
        <v>99991231</v>
      </c>
      <c r="O272" s="93" t="s">
        <v>646</v>
      </c>
    </row>
    <row r="273" spans="1:15" hidden="1">
      <c r="A273" s="75" t="str">
        <f t="shared" si="8"/>
        <v>AUJBHIFIWIRELESS HEADSETEar budsEar buds</v>
      </c>
      <c r="B273" s="94" t="str">
        <f t="shared" si="9"/>
        <v>AU_JBHIFI</v>
      </c>
      <c r="C273" s="93" t="s">
        <v>201</v>
      </c>
      <c r="D273" s="93" t="s">
        <v>206</v>
      </c>
      <c r="E273" s="93" t="s">
        <v>2201</v>
      </c>
      <c r="F273" s="93" t="s">
        <v>2380</v>
      </c>
      <c r="G273" s="93" t="s">
        <v>2380</v>
      </c>
      <c r="H273" s="93" t="e">
        <v>#N/A</v>
      </c>
      <c r="I273" s="105" t="s">
        <v>2310</v>
      </c>
      <c r="J273" s="93" t="s">
        <v>189</v>
      </c>
      <c r="K273" s="93">
        <v>5776</v>
      </c>
      <c r="L273" s="93">
        <v>5776</v>
      </c>
      <c r="M273" s="93" t="s">
        <v>2311</v>
      </c>
      <c r="N273" s="93">
        <f>VLOOKUP(B273,'[16]01.수집 카테고리(List)'!$A$2:$H$64,8,FALSE)</f>
        <v>99991231</v>
      </c>
      <c r="O273" s="93" t="s">
        <v>646</v>
      </c>
    </row>
    <row r="274" spans="1:15" hidden="1">
      <c r="A274" s="75" t="str">
        <f t="shared" si="8"/>
        <v>AUJBHIFIWIRELESS HEADSETNoise cancelling earbudsNoise cancelling earbuds</v>
      </c>
      <c r="B274" s="94" t="str">
        <f t="shared" si="9"/>
        <v>AU_JBHIFI</v>
      </c>
      <c r="C274" s="93" t="s">
        <v>201</v>
      </c>
      <c r="D274" s="93" t="s">
        <v>206</v>
      </c>
      <c r="E274" s="93" t="s">
        <v>2201</v>
      </c>
      <c r="F274" s="93" t="s">
        <v>2378</v>
      </c>
      <c r="G274" s="93" t="s">
        <v>2378</v>
      </c>
      <c r="H274" s="93" t="e">
        <v>#N/A</v>
      </c>
      <c r="I274" s="105" t="s">
        <v>2310</v>
      </c>
      <c r="J274" s="93" t="s">
        <v>189</v>
      </c>
      <c r="K274" s="93">
        <v>1461</v>
      </c>
      <c r="L274" s="93">
        <v>1461</v>
      </c>
      <c r="M274" s="93" t="s">
        <v>2311</v>
      </c>
      <c r="N274" s="93">
        <f>VLOOKUP(B274,'[16]01.수집 카테고리(List)'!$A$2:$H$64,8,FALSE)</f>
        <v>99991231</v>
      </c>
      <c r="O274" s="93" t="s">
        <v>646</v>
      </c>
    </row>
    <row r="275" spans="1:15" hidden="1">
      <c r="A275" s="75" t="str">
        <f t="shared" si="8"/>
        <v>AUJBHIFIWIRELESS HEADSETTrue wireless earbudsTrue wireless earbuds</v>
      </c>
      <c r="B275" s="94" t="str">
        <f t="shared" si="9"/>
        <v>AU_JBHIFI</v>
      </c>
      <c r="C275" s="93" t="s">
        <v>201</v>
      </c>
      <c r="D275" s="93" t="s">
        <v>206</v>
      </c>
      <c r="E275" s="93" t="s">
        <v>2201</v>
      </c>
      <c r="F275" s="93" t="s">
        <v>2374</v>
      </c>
      <c r="G275" s="93" t="s">
        <v>2374</v>
      </c>
      <c r="H275" s="93" t="e">
        <v>#N/A</v>
      </c>
      <c r="I275" s="105" t="s">
        <v>2310</v>
      </c>
      <c r="J275" s="93" t="s">
        <v>189</v>
      </c>
      <c r="K275" s="93">
        <v>2231</v>
      </c>
      <c r="L275" s="93">
        <v>2231</v>
      </c>
      <c r="M275" s="93" t="s">
        <v>2311</v>
      </c>
      <c r="N275" s="93">
        <f>VLOOKUP(B275,'[16]01.수집 카테고리(List)'!$A$2:$H$64,8,FALSE)</f>
        <v>99991231</v>
      </c>
      <c r="O275" s="93" t="s">
        <v>646</v>
      </c>
    </row>
    <row r="276" spans="1:15" hidden="1">
      <c r="A276" s="75" t="str">
        <f t="shared" si="8"/>
        <v>AUJBHIFIWIRELESS HEADSETWireless earbudsWireless earbuds</v>
      </c>
      <c r="B276" s="94" t="str">
        <f t="shared" si="9"/>
        <v>AU_JBHIFI</v>
      </c>
      <c r="C276" s="93" t="s">
        <v>201</v>
      </c>
      <c r="D276" s="93" t="s">
        <v>206</v>
      </c>
      <c r="E276" s="93" t="s">
        <v>2201</v>
      </c>
      <c r="F276" s="93" t="s">
        <v>2376</v>
      </c>
      <c r="G276" s="93" t="s">
        <v>2376</v>
      </c>
      <c r="H276" s="93" t="e">
        <v>#N/A</v>
      </c>
      <c r="I276" s="105" t="s">
        <v>2310</v>
      </c>
      <c r="J276" s="93" t="s">
        <v>189</v>
      </c>
      <c r="K276" s="93">
        <v>4855</v>
      </c>
      <c r="L276" s="93">
        <v>4855</v>
      </c>
      <c r="M276" s="93" t="s">
        <v>2311</v>
      </c>
      <c r="N276" s="93">
        <f>VLOOKUP(B276,'[16]01.수집 카테고리(List)'!$A$2:$H$64,8,FALSE)</f>
        <v>99991231</v>
      </c>
      <c r="O276" s="93" t="s">
        <v>646</v>
      </c>
    </row>
    <row r="277" spans="1:15" s="108" customFormat="1" hidden="1">
      <c r="A277" s="108" t="str">
        <f t="shared" si="8"/>
        <v>AUJBHIFIAir Conditionerair conditionerair conditioner</v>
      </c>
      <c r="B277" s="109" t="str">
        <f t="shared" si="9"/>
        <v>AU_JBHIFI</v>
      </c>
      <c r="C277" s="110" t="s">
        <v>201</v>
      </c>
      <c r="D277" s="110" t="s">
        <v>206</v>
      </c>
      <c r="E277" s="110" t="s">
        <v>2346</v>
      </c>
      <c r="F277" s="110" t="s">
        <v>2347</v>
      </c>
      <c r="G277" s="110" t="s">
        <v>2347</v>
      </c>
      <c r="H277" s="93" t="e">
        <v>#N/A</v>
      </c>
      <c r="I277" s="99">
        <v>46076</v>
      </c>
      <c r="J277" s="83" t="s">
        <v>189</v>
      </c>
      <c r="K277" s="110"/>
      <c r="L277" s="110"/>
      <c r="M277" s="110"/>
      <c r="N277" s="110"/>
      <c r="O277" s="110"/>
    </row>
    <row r="278" spans="1:15" s="108" customFormat="1" hidden="1">
      <c r="A278" s="108" t="str">
        <f t="shared" si="8"/>
        <v>AUJBHIFIAir Conditionerinverter air conditionerinverter air conditioner</v>
      </c>
      <c r="B278" s="109" t="str">
        <f t="shared" si="9"/>
        <v>AU_JBHIFI</v>
      </c>
      <c r="C278" s="110" t="s">
        <v>201</v>
      </c>
      <c r="D278" s="110" t="s">
        <v>206</v>
      </c>
      <c r="E278" s="110" t="s">
        <v>2346</v>
      </c>
      <c r="F278" s="110" t="s">
        <v>2348</v>
      </c>
      <c r="G278" s="110" t="s">
        <v>2348</v>
      </c>
      <c r="H278" s="93" t="e">
        <v>#N/A</v>
      </c>
      <c r="I278" s="99">
        <v>46076</v>
      </c>
      <c r="J278" s="83" t="s">
        <v>189</v>
      </c>
      <c r="K278" s="110"/>
      <c r="L278" s="110"/>
      <c r="M278" s="110"/>
      <c r="N278" s="110"/>
      <c r="O278" s="110"/>
    </row>
    <row r="279" spans="1:15" s="108" customFormat="1" hidden="1">
      <c r="A279" s="108" t="str">
        <f t="shared" si="8"/>
        <v>AUJBHIFIAir Conditionersplit air conditionersplit air conditioner</v>
      </c>
      <c r="B279" s="109" t="str">
        <f t="shared" si="9"/>
        <v>AU_JBHIFI</v>
      </c>
      <c r="C279" s="110" t="s">
        <v>201</v>
      </c>
      <c r="D279" s="110" t="s">
        <v>206</v>
      </c>
      <c r="E279" s="110" t="s">
        <v>2346</v>
      </c>
      <c r="F279" s="110" t="s">
        <v>2422</v>
      </c>
      <c r="G279" s="110" t="s">
        <v>2422</v>
      </c>
      <c r="H279" s="93" t="e">
        <v>#N/A</v>
      </c>
      <c r="I279" s="99">
        <v>46076</v>
      </c>
      <c r="J279" s="83" t="s">
        <v>189</v>
      </c>
      <c r="K279" s="110"/>
      <c r="L279" s="110"/>
      <c r="M279" s="110"/>
      <c r="N279" s="110"/>
      <c r="O279" s="110"/>
    </row>
    <row r="280" spans="1:15" s="108" customFormat="1" hidden="1">
      <c r="A280" s="108" t="str">
        <f t="shared" si="8"/>
        <v>AUJBHIFIAir Conditionersplit inverter air conditionersplit inverter air conditioner</v>
      </c>
      <c r="B280" s="109" t="str">
        <f t="shared" si="9"/>
        <v>AU_JBHIFI</v>
      </c>
      <c r="C280" s="110" t="s">
        <v>201</v>
      </c>
      <c r="D280" s="110" t="s">
        <v>206</v>
      </c>
      <c r="E280" s="110" t="s">
        <v>2346</v>
      </c>
      <c r="F280" s="110" t="s">
        <v>2423</v>
      </c>
      <c r="G280" s="110" t="s">
        <v>2423</v>
      </c>
      <c r="H280" s="93" t="e">
        <v>#N/A</v>
      </c>
      <c r="I280" s="99">
        <v>46076</v>
      </c>
      <c r="J280" s="83" t="s">
        <v>189</v>
      </c>
      <c r="K280" s="110"/>
      <c r="L280" s="110"/>
      <c r="M280" s="110"/>
      <c r="N280" s="110"/>
      <c r="O280" s="110"/>
    </row>
    <row r="281" spans="1:15" s="108" customFormat="1" hidden="1">
      <c r="A281" s="108" t="str">
        <f t="shared" si="8"/>
        <v>AUJBHIFIAir Conditionerwindow air conditionerwindow air conditioner</v>
      </c>
      <c r="B281" s="109" t="str">
        <f t="shared" si="9"/>
        <v>AU_JBHIFI</v>
      </c>
      <c r="C281" s="110" t="s">
        <v>201</v>
      </c>
      <c r="D281" s="110" t="s">
        <v>206</v>
      </c>
      <c r="E281" s="110" t="s">
        <v>2346</v>
      </c>
      <c r="F281" s="110" t="s">
        <v>2350</v>
      </c>
      <c r="G281" s="110" t="s">
        <v>2350</v>
      </c>
      <c r="H281" s="93" t="e">
        <v>#N/A</v>
      </c>
      <c r="I281" s="99">
        <v>46076</v>
      </c>
      <c r="J281" s="83" t="s">
        <v>189</v>
      </c>
      <c r="K281" s="110"/>
      <c r="L281" s="110"/>
      <c r="M281" s="110"/>
      <c r="N281" s="110"/>
      <c r="O281" s="110"/>
    </row>
    <row r="282" spans="1:15" s="108" customFormat="1" hidden="1">
      <c r="A282" s="108" t="str">
        <f t="shared" si="8"/>
        <v>AUJBHIFIAir Conditionerwindow inverter air conditionerwindow inverter air conditioner</v>
      </c>
      <c r="B282" s="109" t="str">
        <f t="shared" si="9"/>
        <v>AU_JBHIFI</v>
      </c>
      <c r="C282" s="110" t="s">
        <v>201</v>
      </c>
      <c r="D282" s="110" t="s">
        <v>206</v>
      </c>
      <c r="E282" s="110" t="s">
        <v>2346</v>
      </c>
      <c r="F282" s="110" t="s">
        <v>2424</v>
      </c>
      <c r="G282" s="110" t="s">
        <v>2424</v>
      </c>
      <c r="H282" s="93" t="e">
        <v>#N/A</v>
      </c>
      <c r="I282" s="99">
        <v>46076</v>
      </c>
      <c r="J282" s="83" t="s">
        <v>189</v>
      </c>
      <c r="K282" s="110"/>
      <c r="L282" s="110"/>
      <c r="M282" s="110"/>
      <c r="N282" s="110"/>
      <c r="O282" s="110"/>
    </row>
    <row r="283" spans="1:15" hidden="1">
      <c r="A283" s="75" t="str">
        <f t="shared" si="8"/>
        <v>AUSS.comAir Conditionerair conditionerair conditioner</v>
      </c>
      <c r="B283" s="94" t="str">
        <f t="shared" si="9"/>
        <v>AU_SS.com</v>
      </c>
      <c r="C283" s="93" t="s">
        <v>201</v>
      </c>
      <c r="D283" s="93" t="s">
        <v>2443</v>
      </c>
      <c r="E283" s="93" t="s">
        <v>2346</v>
      </c>
      <c r="F283" s="93" t="s">
        <v>2347</v>
      </c>
      <c r="G283" s="93" t="s">
        <v>2347</v>
      </c>
      <c r="H283" s="93" t="e">
        <v>#N/A</v>
      </c>
      <c r="I283" s="105" t="s">
        <v>2310</v>
      </c>
      <c r="J283" s="93" t="s">
        <v>189</v>
      </c>
      <c r="K283" s="93">
        <v>35</v>
      </c>
      <c r="L283" s="93">
        <v>35</v>
      </c>
      <c r="M283" s="93" t="s">
        <v>2311</v>
      </c>
      <c r="N283" s="93">
        <f>VLOOKUP(B283,'[16]01.수집 카테고리(List)'!$A$2:$H$64,8,FALSE)</f>
        <v>99991231</v>
      </c>
      <c r="O283" s="93" t="s">
        <v>646</v>
      </c>
    </row>
    <row r="284" spans="1:15" hidden="1">
      <c r="A284" s="75" t="str">
        <f t="shared" si="8"/>
        <v>AUSS.comMonitorgaming monitorgaming monitor</v>
      </c>
      <c r="B284" s="94" t="str">
        <f t="shared" si="9"/>
        <v>AU_SS.com</v>
      </c>
      <c r="C284" s="93" t="s">
        <v>201</v>
      </c>
      <c r="D284" s="93" t="s">
        <v>184</v>
      </c>
      <c r="E284" s="93" t="s">
        <v>2320</v>
      </c>
      <c r="F284" s="93" t="s">
        <v>2322</v>
      </c>
      <c r="G284" s="93" t="s">
        <v>2322</v>
      </c>
      <c r="H284" s="93" t="e">
        <v>#N/A</v>
      </c>
      <c r="I284" s="105" t="s">
        <v>2310</v>
      </c>
      <c r="J284" s="93" t="s">
        <v>189</v>
      </c>
      <c r="K284" s="93">
        <v>28</v>
      </c>
      <c r="L284" s="93">
        <v>28</v>
      </c>
      <c r="M284" s="93" t="s">
        <v>2311</v>
      </c>
      <c r="N284" s="93">
        <f>VLOOKUP(B284,'[16]01.수집 카테고리(List)'!$A$2:$H$64,8,FALSE)</f>
        <v>99991231</v>
      </c>
      <c r="O284" s="93" t="s">
        <v>646</v>
      </c>
    </row>
    <row r="285" spans="1:15" hidden="1">
      <c r="A285" s="75" t="str">
        <f t="shared" si="8"/>
        <v>AUSS.comMonitormonitormonitor</v>
      </c>
      <c r="B285" s="94" t="str">
        <f t="shared" si="9"/>
        <v>AU_SS.com</v>
      </c>
      <c r="C285" s="93" t="s">
        <v>201</v>
      </c>
      <c r="D285" s="93" t="s">
        <v>184</v>
      </c>
      <c r="E285" s="93" t="s">
        <v>2320</v>
      </c>
      <c r="F285" s="93" t="s">
        <v>2323</v>
      </c>
      <c r="G285" s="93" t="s">
        <v>2323</v>
      </c>
      <c r="H285" s="93" t="e">
        <v>#N/A</v>
      </c>
      <c r="I285" s="105" t="s">
        <v>2310</v>
      </c>
      <c r="J285" s="93" t="s">
        <v>189</v>
      </c>
      <c r="K285" s="93">
        <v>61</v>
      </c>
      <c r="L285" s="93">
        <v>61</v>
      </c>
      <c r="M285" s="93" t="s">
        <v>2311</v>
      </c>
      <c r="N285" s="93">
        <f>VLOOKUP(B285,'[16]01.수집 카테고리(List)'!$A$2:$H$64,8,FALSE)</f>
        <v>99991231</v>
      </c>
      <c r="O285" s="93" t="s">
        <v>646</v>
      </c>
    </row>
    <row r="286" spans="1:15">
      <c r="A286" s="75" t="str">
        <f t="shared" si="8"/>
        <v>AUSS.comRefrigeratorfridgefridge</v>
      </c>
      <c r="B286" s="94" t="str">
        <f t="shared" si="9"/>
        <v>AU_SS.com</v>
      </c>
      <c r="C286" s="93" t="s">
        <v>201</v>
      </c>
      <c r="D286" s="93" t="s">
        <v>184</v>
      </c>
      <c r="E286" s="93" t="s">
        <v>2326</v>
      </c>
      <c r="F286" s="93" t="s">
        <v>2414</v>
      </c>
      <c r="G286" s="93" t="s">
        <v>2414</v>
      </c>
      <c r="H286" s="93" t="e">
        <v>#N/A</v>
      </c>
      <c r="I286" s="105" t="s">
        <v>2310</v>
      </c>
      <c r="J286" s="93" t="s">
        <v>189</v>
      </c>
      <c r="K286" s="93">
        <v>25</v>
      </c>
      <c r="L286" s="93">
        <v>25</v>
      </c>
      <c r="M286" s="93" t="s">
        <v>2311</v>
      </c>
      <c r="N286" s="93">
        <f>VLOOKUP(B286,'[16]01.수집 카테고리(List)'!$A$2:$H$64,8,FALSE)</f>
        <v>99991231</v>
      </c>
      <c r="O286" s="93" t="s">
        <v>646</v>
      </c>
    </row>
    <row r="287" spans="1:15">
      <c r="A287" s="75" t="str">
        <f t="shared" si="8"/>
        <v>AUSS.comRefrigeratorrefrigeratorrefrigerator</v>
      </c>
      <c r="B287" s="94" t="str">
        <f t="shared" si="9"/>
        <v>AU_SS.com</v>
      </c>
      <c r="C287" s="93" t="s">
        <v>201</v>
      </c>
      <c r="D287" s="93" t="s">
        <v>184</v>
      </c>
      <c r="E287" s="93" t="s">
        <v>2326</v>
      </c>
      <c r="F287" s="93" t="s">
        <v>2329</v>
      </c>
      <c r="G287" s="93" t="s">
        <v>2329</v>
      </c>
      <c r="H287" s="93" t="e">
        <v>#N/A</v>
      </c>
      <c r="I287" s="105" t="s">
        <v>2310</v>
      </c>
      <c r="J287" s="93" t="s">
        <v>189</v>
      </c>
      <c r="K287" s="93">
        <v>25</v>
      </c>
      <c r="L287" s="93">
        <v>25</v>
      </c>
      <c r="M287" s="93" t="s">
        <v>2311</v>
      </c>
      <c r="N287" s="93">
        <f>VLOOKUP(B287,'[16]01.수집 카테고리(List)'!$A$2:$H$64,8,FALSE)</f>
        <v>99991231</v>
      </c>
      <c r="O287" s="93" t="s">
        <v>646</v>
      </c>
    </row>
    <row r="288" spans="1:15" hidden="1">
      <c r="A288" s="75" t="str">
        <f t="shared" si="8"/>
        <v>AUSS.comTVtvtv</v>
      </c>
      <c r="B288" s="94" t="str">
        <f t="shared" si="9"/>
        <v>AU_SS.com</v>
      </c>
      <c r="C288" s="93" t="s">
        <v>201</v>
      </c>
      <c r="D288" s="93" t="s">
        <v>184</v>
      </c>
      <c r="E288" s="93" t="s">
        <v>161</v>
      </c>
      <c r="F288" s="93" t="s">
        <v>2444</v>
      </c>
      <c r="G288" s="93" t="s">
        <v>2444</v>
      </c>
      <c r="H288" s="93" t="e">
        <v>#N/A</v>
      </c>
      <c r="I288" s="105" t="s">
        <v>2310</v>
      </c>
      <c r="J288" s="93" t="s">
        <v>189</v>
      </c>
      <c r="K288" s="93">
        <v>191</v>
      </c>
      <c r="L288" s="93">
        <v>191</v>
      </c>
      <c r="M288" s="93" t="s">
        <v>2311</v>
      </c>
      <c r="N288" s="93">
        <f>VLOOKUP(B288,'[16]01.수집 카테고리(List)'!$A$2:$H$64,8,FALSE)</f>
        <v>99991231</v>
      </c>
      <c r="O288" s="93" t="s">
        <v>646</v>
      </c>
    </row>
    <row r="289" spans="1:15">
      <c r="A289" s="75" t="str">
        <f t="shared" si="8"/>
        <v>AUSS.comWashing Machinewasher dryerwasher dryer</v>
      </c>
      <c r="B289" s="94" t="str">
        <f t="shared" si="9"/>
        <v>AU_SS.com</v>
      </c>
      <c r="C289" s="93" t="s">
        <v>201</v>
      </c>
      <c r="D289" s="93" t="s">
        <v>184</v>
      </c>
      <c r="E289" s="93" t="s">
        <v>2333</v>
      </c>
      <c r="F289" s="93" t="s">
        <v>2339</v>
      </c>
      <c r="G289" s="93" t="s">
        <v>2339</v>
      </c>
      <c r="H289" s="93" t="e">
        <v>#N/A</v>
      </c>
      <c r="I289" s="105" t="s">
        <v>2310</v>
      </c>
      <c r="J289" s="93" t="s">
        <v>189</v>
      </c>
      <c r="K289" s="93">
        <v>8</v>
      </c>
      <c r="L289" s="93">
        <v>8</v>
      </c>
      <c r="M289" s="93" t="s">
        <v>2311</v>
      </c>
      <c r="N289" s="93">
        <f>VLOOKUP(B289,'[16]01.수집 카테고리(List)'!$A$2:$H$64,8,FALSE)</f>
        <v>99991231</v>
      </c>
      <c r="O289" s="93" t="s">
        <v>646</v>
      </c>
    </row>
    <row r="290" spans="1:15">
      <c r="A290" s="75" t="str">
        <f t="shared" si="8"/>
        <v>AUSS.comWashing Machinewashing machinewashing machine</v>
      </c>
      <c r="B290" s="94" t="str">
        <f t="shared" si="9"/>
        <v>AU_SS.com</v>
      </c>
      <c r="C290" s="93" t="s">
        <v>201</v>
      </c>
      <c r="D290" s="93" t="s">
        <v>184</v>
      </c>
      <c r="E290" s="93" t="s">
        <v>2333</v>
      </c>
      <c r="F290" s="93" t="s">
        <v>2445</v>
      </c>
      <c r="G290" s="93" t="s">
        <v>2340</v>
      </c>
      <c r="H290" s="93" t="e">
        <v>#N/A</v>
      </c>
      <c r="I290" s="105" t="s">
        <v>2310</v>
      </c>
      <c r="J290" s="93" t="s">
        <v>189</v>
      </c>
      <c r="K290" s="93" t="e">
        <v>#N/A</v>
      </c>
      <c r="L290" s="93" t="e">
        <v>#N/A</v>
      </c>
      <c r="M290" s="93" t="s">
        <v>2393</v>
      </c>
      <c r="N290" s="93">
        <f>VLOOKUP(B290,'[16]01.수집 카테고리(List)'!$A$2:$H$64,8,FALSE)</f>
        <v>99991231</v>
      </c>
      <c r="O290" s="93" t="s">
        <v>646</v>
      </c>
    </row>
    <row r="291" spans="1:15" s="81" customFormat="1" hidden="1">
      <c r="A291" s="81" t="str">
        <f t="shared" si="8"/>
        <v>AUSS.comBluetooth SpeakerBluetooth speakersBluetooth speakers</v>
      </c>
      <c r="B291" s="106" t="str">
        <f t="shared" si="9"/>
        <v>AU_SS.com</v>
      </c>
      <c r="C291" s="107" t="s">
        <v>201</v>
      </c>
      <c r="D291" s="107" t="s">
        <v>184</v>
      </c>
      <c r="E291" s="107" t="s">
        <v>2307</v>
      </c>
      <c r="F291" s="107" t="s">
        <v>2425</v>
      </c>
      <c r="G291" s="107" t="s">
        <v>2425</v>
      </c>
      <c r="H291" s="93" t="e">
        <v>#N/A</v>
      </c>
      <c r="I291" s="99">
        <v>46076</v>
      </c>
      <c r="J291" s="83" t="s">
        <v>189</v>
      </c>
      <c r="K291" s="107"/>
      <c r="L291" s="107"/>
      <c r="M291" s="107"/>
      <c r="N291" s="107"/>
      <c r="O291" s="107"/>
    </row>
    <row r="292" spans="1:15" s="81" customFormat="1" hidden="1">
      <c r="A292" s="81" t="str">
        <f t="shared" si="8"/>
        <v>AUSS.comBluetooth SpeakerPortable bluetooth speakersPortable bluetooth speakers</v>
      </c>
      <c r="B292" s="106" t="str">
        <f t="shared" si="9"/>
        <v>AU_SS.com</v>
      </c>
      <c r="C292" s="107" t="s">
        <v>201</v>
      </c>
      <c r="D292" s="107" t="s">
        <v>184</v>
      </c>
      <c r="E292" s="107" t="s">
        <v>2307</v>
      </c>
      <c r="F292" s="107" t="s">
        <v>2426</v>
      </c>
      <c r="G292" s="107" t="s">
        <v>2426</v>
      </c>
      <c r="H292" s="93" t="e">
        <v>#N/A</v>
      </c>
      <c r="I292" s="99">
        <v>46076</v>
      </c>
      <c r="J292" s="83" t="s">
        <v>189</v>
      </c>
      <c r="K292" s="107"/>
      <c r="L292" s="107"/>
      <c r="M292" s="107"/>
      <c r="N292" s="107"/>
      <c r="O292" s="107"/>
    </row>
    <row r="293" spans="1:15" s="81" customFormat="1" hidden="1">
      <c r="A293" s="81" t="str">
        <f t="shared" si="8"/>
        <v>AUSS.comBluetooth SpeakerPortable speakersPortable speakers</v>
      </c>
      <c r="B293" s="106" t="str">
        <f t="shared" si="9"/>
        <v>AU_SS.com</v>
      </c>
      <c r="C293" s="107" t="s">
        <v>201</v>
      </c>
      <c r="D293" s="107" t="s">
        <v>184</v>
      </c>
      <c r="E293" s="107" t="s">
        <v>2307</v>
      </c>
      <c r="F293" s="107" t="s">
        <v>2427</v>
      </c>
      <c r="G293" s="107" t="s">
        <v>2427</v>
      </c>
      <c r="H293" s="93" t="e">
        <v>#N/A</v>
      </c>
      <c r="I293" s="99">
        <v>46076</v>
      </c>
      <c r="J293" s="83" t="s">
        <v>189</v>
      </c>
      <c r="K293" s="107"/>
      <c r="L293" s="107"/>
      <c r="M293" s="107"/>
      <c r="N293" s="107"/>
      <c r="O293" s="107"/>
    </row>
    <row r="294" spans="1:15" s="81" customFormat="1" hidden="1">
      <c r="A294" s="81" t="str">
        <f t="shared" si="8"/>
        <v>AUSS.comBluetooth SpeakerSpeakerSpeaker</v>
      </c>
      <c r="B294" s="106" t="str">
        <f t="shared" si="9"/>
        <v>AU_SS.com</v>
      </c>
      <c r="C294" s="107" t="s">
        <v>201</v>
      </c>
      <c r="D294" s="107" t="s">
        <v>184</v>
      </c>
      <c r="E294" s="107" t="s">
        <v>2307</v>
      </c>
      <c r="F294" s="107" t="s">
        <v>2428</v>
      </c>
      <c r="G294" s="107" t="s">
        <v>2428</v>
      </c>
      <c r="H294" s="93" t="e">
        <v>#N/A</v>
      </c>
      <c r="I294" s="99">
        <v>46076</v>
      </c>
      <c r="J294" s="83" t="s">
        <v>189</v>
      </c>
      <c r="K294" s="107"/>
      <c r="L294" s="107"/>
      <c r="M294" s="107"/>
      <c r="N294" s="107"/>
      <c r="O294" s="107"/>
    </row>
    <row r="295" spans="1:15" s="81" customFormat="1" hidden="1">
      <c r="A295" s="81" t="str">
        <f t="shared" si="8"/>
        <v>AUSS.comBluetooth SpeakerSpeakersSpeakers</v>
      </c>
      <c r="B295" s="106" t="str">
        <f t="shared" si="9"/>
        <v>AU_SS.com</v>
      </c>
      <c r="C295" s="107" t="s">
        <v>201</v>
      </c>
      <c r="D295" s="107" t="s">
        <v>184</v>
      </c>
      <c r="E295" s="107" t="s">
        <v>2307</v>
      </c>
      <c r="F295" s="107" t="s">
        <v>2429</v>
      </c>
      <c r="G295" s="107" t="s">
        <v>2429</v>
      </c>
      <c r="H295" s="93" t="e">
        <v>#N/A</v>
      </c>
      <c r="I295" s="99">
        <v>46076</v>
      </c>
      <c r="J295" s="83" t="s">
        <v>189</v>
      </c>
      <c r="K295" s="107"/>
      <c r="L295" s="107"/>
      <c r="M295" s="107"/>
      <c r="N295" s="107"/>
      <c r="O295" s="107"/>
    </row>
    <row r="296" spans="1:15" s="111" customFormat="1" hidden="1">
      <c r="A296" s="111" t="str">
        <f t="shared" si="8"/>
        <v>AUSS.comSOUNDBARSound barSound bar</v>
      </c>
      <c r="B296" s="112" t="str">
        <f t="shared" si="9"/>
        <v>AU_SS.com</v>
      </c>
      <c r="C296" s="113" t="s">
        <v>201</v>
      </c>
      <c r="D296" s="113" t="s">
        <v>184</v>
      </c>
      <c r="E296" s="113" t="s">
        <v>165</v>
      </c>
      <c r="F296" s="113" t="s">
        <v>2365</v>
      </c>
      <c r="G296" s="113" t="s">
        <v>2365</v>
      </c>
      <c r="H296" s="93" t="e">
        <v>#N/A</v>
      </c>
      <c r="I296" s="99">
        <v>46076</v>
      </c>
      <c r="J296" s="83" t="s">
        <v>189</v>
      </c>
      <c r="K296" s="113"/>
      <c r="L296" s="113"/>
      <c r="M296" s="113"/>
      <c r="N296" s="113"/>
      <c r="O296" s="113"/>
    </row>
    <row r="297" spans="1:15" s="111" customFormat="1" hidden="1">
      <c r="A297" s="111" t="str">
        <f t="shared" si="8"/>
        <v>AUSS.comSOUNDBARSound barsSound bars</v>
      </c>
      <c r="B297" s="112" t="str">
        <f t="shared" si="9"/>
        <v>AU_SS.com</v>
      </c>
      <c r="C297" s="113" t="s">
        <v>201</v>
      </c>
      <c r="D297" s="113" t="s">
        <v>184</v>
      </c>
      <c r="E297" s="113" t="s">
        <v>165</v>
      </c>
      <c r="F297" s="113" t="s">
        <v>2366</v>
      </c>
      <c r="G297" s="113" t="s">
        <v>2366</v>
      </c>
      <c r="H297" s="93" t="e">
        <v>#N/A</v>
      </c>
      <c r="I297" s="99">
        <v>46076</v>
      </c>
      <c r="J297" s="83" t="s">
        <v>189</v>
      </c>
      <c r="K297" s="113"/>
      <c r="L297" s="113"/>
      <c r="M297" s="113"/>
      <c r="N297" s="113"/>
      <c r="O297" s="113"/>
    </row>
    <row r="298" spans="1:15" s="111" customFormat="1" hidden="1">
      <c r="A298" s="111" t="str">
        <f t="shared" si="8"/>
        <v>AUSS.comSOUNDBARSound systemSound bars for tv</v>
      </c>
      <c r="B298" s="112" t="str">
        <f t="shared" si="9"/>
        <v>AU_SS.com</v>
      </c>
      <c r="C298" s="113" t="s">
        <v>201</v>
      </c>
      <c r="D298" s="113" t="s">
        <v>184</v>
      </c>
      <c r="E298" s="113" t="s">
        <v>165</v>
      </c>
      <c r="F298" s="113" t="s">
        <v>2359</v>
      </c>
      <c r="G298" s="113" t="s">
        <v>2430</v>
      </c>
      <c r="H298" s="93" t="e">
        <v>#N/A</v>
      </c>
      <c r="I298" s="99">
        <v>46076</v>
      </c>
      <c r="J298" s="83" t="s">
        <v>189</v>
      </c>
      <c r="K298" s="113"/>
      <c r="L298" s="113"/>
      <c r="M298" s="113"/>
      <c r="N298" s="113"/>
      <c r="O298" s="113"/>
    </row>
    <row r="299" spans="1:15" s="111" customFormat="1" hidden="1">
      <c r="A299" s="111" t="str">
        <f t="shared" si="8"/>
        <v>AUSS.comSOUNDBARSoundbarSoundbar</v>
      </c>
      <c r="B299" s="112" t="str">
        <f t="shared" si="9"/>
        <v>AU_SS.com</v>
      </c>
      <c r="C299" s="113" t="s">
        <v>201</v>
      </c>
      <c r="D299" s="113" t="s">
        <v>184</v>
      </c>
      <c r="E299" s="113" t="s">
        <v>165</v>
      </c>
      <c r="F299" s="113" t="s">
        <v>2363</v>
      </c>
      <c r="G299" s="113" t="s">
        <v>2363</v>
      </c>
      <c r="H299" s="93" t="e">
        <v>#N/A</v>
      </c>
      <c r="I299" s="99">
        <v>46076</v>
      </c>
      <c r="J299" s="83" t="s">
        <v>189</v>
      </c>
      <c r="K299" s="113"/>
      <c r="L299" s="113"/>
      <c r="M299" s="113"/>
      <c r="N299" s="113"/>
      <c r="O299" s="113"/>
    </row>
    <row r="300" spans="1:15" s="111" customFormat="1" hidden="1">
      <c r="A300" s="111" t="str">
        <f t="shared" si="8"/>
        <v>AUSS.comSOUNDBARSoundbarsSoundbars</v>
      </c>
      <c r="B300" s="112" t="str">
        <f t="shared" si="9"/>
        <v>AU_SS.com</v>
      </c>
      <c r="C300" s="113" t="s">
        <v>201</v>
      </c>
      <c r="D300" s="113" t="s">
        <v>184</v>
      </c>
      <c r="E300" s="113" t="s">
        <v>165</v>
      </c>
      <c r="F300" s="113" t="s">
        <v>2361</v>
      </c>
      <c r="G300" s="113" t="s">
        <v>2361</v>
      </c>
      <c r="H300" s="93" t="e">
        <v>#N/A</v>
      </c>
      <c r="I300" s="99">
        <v>46076</v>
      </c>
      <c r="J300" s="83" t="s">
        <v>189</v>
      </c>
      <c r="K300" s="113"/>
      <c r="L300" s="113"/>
      <c r="M300" s="113"/>
      <c r="N300" s="113"/>
      <c r="O300" s="113"/>
    </row>
    <row r="301" spans="1:15" s="81" customFormat="1" hidden="1">
      <c r="A301" s="81" t="str">
        <f t="shared" si="8"/>
        <v>AUSS.comWIRELESS HEADSETBluetooth earbudsBluetooth earbuds</v>
      </c>
      <c r="B301" s="106" t="str">
        <f t="shared" si="9"/>
        <v>AU_SS.com</v>
      </c>
      <c r="C301" s="107" t="s">
        <v>201</v>
      </c>
      <c r="D301" s="107" t="s">
        <v>184</v>
      </c>
      <c r="E301" s="107" t="s">
        <v>2201</v>
      </c>
      <c r="F301" s="107" t="s">
        <v>2382</v>
      </c>
      <c r="G301" s="107" t="s">
        <v>2382</v>
      </c>
      <c r="H301" s="93" t="e">
        <v>#N/A</v>
      </c>
      <c r="I301" s="99">
        <v>46076</v>
      </c>
      <c r="J301" s="83" t="s">
        <v>189</v>
      </c>
      <c r="K301" s="107"/>
      <c r="L301" s="107"/>
      <c r="M301" s="107"/>
      <c r="N301" s="107"/>
      <c r="O301" s="107"/>
    </row>
    <row r="302" spans="1:15" s="81" customFormat="1" hidden="1">
      <c r="A302" s="81" t="str">
        <f t="shared" si="8"/>
        <v>AUSS.comWIRELESS HEADSETEar budsEar buds</v>
      </c>
      <c r="B302" s="106" t="str">
        <f t="shared" si="9"/>
        <v>AU_SS.com</v>
      </c>
      <c r="C302" s="107" t="s">
        <v>201</v>
      </c>
      <c r="D302" s="107" t="s">
        <v>184</v>
      </c>
      <c r="E302" s="107" t="s">
        <v>2201</v>
      </c>
      <c r="F302" s="107" t="s">
        <v>2380</v>
      </c>
      <c r="G302" s="107" t="s">
        <v>2380</v>
      </c>
      <c r="H302" s="93" t="e">
        <v>#N/A</v>
      </c>
      <c r="I302" s="99">
        <v>46076</v>
      </c>
      <c r="J302" s="83" t="s">
        <v>189</v>
      </c>
      <c r="K302" s="107"/>
      <c r="L302" s="107"/>
      <c r="M302" s="107"/>
      <c r="N302" s="107"/>
      <c r="O302" s="107"/>
    </row>
    <row r="303" spans="1:15" s="81" customFormat="1" hidden="1">
      <c r="A303" s="81" t="str">
        <f t="shared" si="8"/>
        <v>AUSS.comWIRELESS HEADSETNoise cancelling earbudsNoise cancelling earbuds</v>
      </c>
      <c r="B303" s="106" t="str">
        <f t="shared" si="9"/>
        <v>AU_SS.com</v>
      </c>
      <c r="C303" s="107" t="s">
        <v>201</v>
      </c>
      <c r="D303" s="107" t="s">
        <v>184</v>
      </c>
      <c r="E303" s="107" t="s">
        <v>2201</v>
      </c>
      <c r="F303" s="107" t="s">
        <v>2378</v>
      </c>
      <c r="G303" s="107" t="s">
        <v>2378</v>
      </c>
      <c r="H303" s="93" t="e">
        <v>#N/A</v>
      </c>
      <c r="I303" s="99">
        <v>46076</v>
      </c>
      <c r="J303" s="83" t="s">
        <v>189</v>
      </c>
      <c r="K303" s="107"/>
      <c r="L303" s="107"/>
      <c r="M303" s="107"/>
      <c r="N303" s="107"/>
      <c r="O303" s="107"/>
    </row>
    <row r="304" spans="1:15" s="81" customFormat="1" hidden="1">
      <c r="A304" s="81" t="str">
        <f t="shared" si="8"/>
        <v>AUSS.comWIRELESS HEADSETTrue wireless earbudsTrue wireless earbuds</v>
      </c>
      <c r="B304" s="106" t="str">
        <f t="shared" si="9"/>
        <v>AU_SS.com</v>
      </c>
      <c r="C304" s="107" t="s">
        <v>201</v>
      </c>
      <c r="D304" s="107" t="s">
        <v>184</v>
      </c>
      <c r="E304" s="107" t="s">
        <v>2201</v>
      </c>
      <c r="F304" s="107" t="s">
        <v>2374</v>
      </c>
      <c r="G304" s="107" t="s">
        <v>2374</v>
      </c>
      <c r="H304" s="93" t="e">
        <v>#N/A</v>
      </c>
      <c r="I304" s="99">
        <v>46076</v>
      </c>
      <c r="J304" s="83" t="s">
        <v>189</v>
      </c>
      <c r="K304" s="107"/>
      <c r="L304" s="107"/>
      <c r="M304" s="107"/>
      <c r="N304" s="107"/>
      <c r="O304" s="107"/>
    </row>
    <row r="305" spans="1:15" s="81" customFormat="1" hidden="1">
      <c r="A305" s="81" t="str">
        <f t="shared" si="8"/>
        <v>AUSS.comWIRELESS HEADSETWireless earbudsWireless earbuds</v>
      </c>
      <c r="B305" s="106" t="str">
        <f t="shared" si="9"/>
        <v>AU_SS.com</v>
      </c>
      <c r="C305" s="107" t="s">
        <v>201</v>
      </c>
      <c r="D305" s="107" t="s">
        <v>184</v>
      </c>
      <c r="E305" s="107" t="s">
        <v>2201</v>
      </c>
      <c r="F305" s="107" t="s">
        <v>2376</v>
      </c>
      <c r="G305" s="107" t="s">
        <v>2376</v>
      </c>
      <c r="H305" s="93" t="e">
        <v>#N/A</v>
      </c>
      <c r="I305" s="99">
        <v>46076</v>
      </c>
      <c r="J305" s="83" t="s">
        <v>189</v>
      </c>
      <c r="K305" s="107"/>
      <c r="L305" s="107"/>
      <c r="M305" s="107"/>
      <c r="N305" s="107"/>
      <c r="O305" s="107"/>
    </row>
    <row r="306" spans="1:15" s="108" customFormat="1" hidden="1">
      <c r="A306" s="108" t="str">
        <f t="shared" si="8"/>
        <v>AULG.comAir Conditionerair conditionerair conditioner</v>
      </c>
      <c r="B306" s="109" t="str">
        <f t="shared" si="9"/>
        <v>AU_LG.com</v>
      </c>
      <c r="C306" s="110" t="s">
        <v>182</v>
      </c>
      <c r="D306" s="110" t="s">
        <v>321</v>
      </c>
      <c r="E306" s="110" t="s">
        <v>2346</v>
      </c>
      <c r="F306" s="110" t="s">
        <v>2347</v>
      </c>
      <c r="G306" s="110" t="s">
        <v>2347</v>
      </c>
      <c r="H306" s="93" t="e">
        <v>#N/A</v>
      </c>
      <c r="I306" s="99">
        <v>46076</v>
      </c>
      <c r="J306" s="83" t="s">
        <v>189</v>
      </c>
      <c r="K306" s="110"/>
      <c r="L306" s="110"/>
      <c r="M306" s="110"/>
      <c r="N306" s="110"/>
      <c r="O306" s="110"/>
    </row>
    <row r="307" spans="1:15" s="108" customFormat="1" hidden="1">
      <c r="A307" s="108" t="str">
        <f t="shared" si="8"/>
        <v>AULG.comAir Conditionerinverter air conditionerinverter air conditioner</v>
      </c>
      <c r="B307" s="109" t="str">
        <f t="shared" si="9"/>
        <v>AU_LG.com</v>
      </c>
      <c r="C307" s="110" t="s">
        <v>182</v>
      </c>
      <c r="D307" s="110" t="s">
        <v>321</v>
      </c>
      <c r="E307" s="110" t="s">
        <v>2346</v>
      </c>
      <c r="F307" s="110" t="s">
        <v>2348</v>
      </c>
      <c r="G307" s="110" t="s">
        <v>2348</v>
      </c>
      <c r="H307" s="93" t="e">
        <v>#N/A</v>
      </c>
      <c r="I307" s="99">
        <v>46076</v>
      </c>
      <c r="J307" s="83" t="s">
        <v>189</v>
      </c>
      <c r="K307" s="110"/>
      <c r="L307" s="110"/>
      <c r="M307" s="110"/>
      <c r="N307" s="110"/>
      <c r="O307" s="110"/>
    </row>
    <row r="308" spans="1:15" s="108" customFormat="1" hidden="1">
      <c r="A308" s="108" t="str">
        <f t="shared" si="8"/>
        <v>AULG.comAir Conditionersplit air conditionersplit air conditioner</v>
      </c>
      <c r="B308" s="109" t="str">
        <f t="shared" si="9"/>
        <v>AU_LG.com</v>
      </c>
      <c r="C308" s="110" t="s">
        <v>182</v>
      </c>
      <c r="D308" s="110" t="s">
        <v>321</v>
      </c>
      <c r="E308" s="110" t="s">
        <v>2346</v>
      </c>
      <c r="F308" s="110" t="s">
        <v>2422</v>
      </c>
      <c r="G308" s="110" t="s">
        <v>2422</v>
      </c>
      <c r="H308" s="93" t="e">
        <v>#N/A</v>
      </c>
      <c r="I308" s="99">
        <v>46076</v>
      </c>
      <c r="J308" s="83" t="s">
        <v>189</v>
      </c>
      <c r="K308" s="110"/>
      <c r="L308" s="110"/>
      <c r="M308" s="110"/>
      <c r="N308" s="110"/>
      <c r="O308" s="110"/>
    </row>
    <row r="309" spans="1:15" s="108" customFormat="1" hidden="1">
      <c r="A309" s="108" t="str">
        <f t="shared" si="8"/>
        <v>AULG.comAir Conditionersplit inverter air conditionersplit inverter air conditioner</v>
      </c>
      <c r="B309" s="109" t="str">
        <f t="shared" si="9"/>
        <v>AU_LG.com</v>
      </c>
      <c r="C309" s="110" t="s">
        <v>182</v>
      </c>
      <c r="D309" s="110" t="s">
        <v>321</v>
      </c>
      <c r="E309" s="110" t="s">
        <v>2346</v>
      </c>
      <c r="F309" s="110" t="s">
        <v>2423</v>
      </c>
      <c r="G309" s="110" t="s">
        <v>2423</v>
      </c>
      <c r="H309" s="93" t="e">
        <v>#N/A</v>
      </c>
      <c r="I309" s="99">
        <v>46076</v>
      </c>
      <c r="J309" s="83" t="s">
        <v>189</v>
      </c>
      <c r="K309" s="110"/>
      <c r="L309" s="110"/>
      <c r="M309" s="110"/>
      <c r="N309" s="110"/>
      <c r="O309" s="110"/>
    </row>
    <row r="310" spans="1:15" s="108" customFormat="1" hidden="1">
      <c r="A310" s="108" t="str">
        <f t="shared" si="8"/>
        <v>AULG.comAir Conditionerwindow air conditionerwindow air conditioner</v>
      </c>
      <c r="B310" s="109" t="str">
        <f t="shared" si="9"/>
        <v>AU_LG.com</v>
      </c>
      <c r="C310" s="110" t="s">
        <v>182</v>
      </c>
      <c r="D310" s="110" t="s">
        <v>321</v>
      </c>
      <c r="E310" s="110" t="s">
        <v>2346</v>
      </c>
      <c r="F310" s="110" t="s">
        <v>2350</v>
      </c>
      <c r="G310" s="110" t="s">
        <v>2350</v>
      </c>
      <c r="H310" s="93" t="e">
        <v>#N/A</v>
      </c>
      <c r="I310" s="99">
        <v>46076</v>
      </c>
      <c r="J310" s="83" t="s">
        <v>189</v>
      </c>
      <c r="K310" s="110"/>
      <c r="L310" s="110"/>
      <c r="M310" s="110"/>
      <c r="N310" s="110"/>
      <c r="O310" s="110"/>
    </row>
    <row r="311" spans="1:15" s="108" customFormat="1" hidden="1">
      <c r="A311" s="108" t="str">
        <f t="shared" si="8"/>
        <v>AULG.comAir Conditionerwindow inverter air conditionerwindow inverter air conditioner</v>
      </c>
      <c r="B311" s="109" t="str">
        <f t="shared" si="9"/>
        <v>AU_LG.com</v>
      </c>
      <c r="C311" s="110" t="s">
        <v>182</v>
      </c>
      <c r="D311" s="110" t="s">
        <v>321</v>
      </c>
      <c r="E311" s="110" t="s">
        <v>2346</v>
      </c>
      <c r="F311" s="110" t="s">
        <v>2424</v>
      </c>
      <c r="G311" s="110" t="s">
        <v>2424</v>
      </c>
      <c r="H311" s="93" t="e">
        <v>#N/A</v>
      </c>
      <c r="I311" s="99">
        <v>46076</v>
      </c>
      <c r="J311" s="83" t="s">
        <v>189</v>
      </c>
      <c r="K311" s="110"/>
      <c r="L311" s="110"/>
      <c r="M311" s="110"/>
      <c r="N311" s="110"/>
      <c r="O311" s="110"/>
    </row>
    <row r="312" spans="1:15" s="81" customFormat="1" hidden="1">
      <c r="A312" s="81" t="str">
        <f t="shared" si="8"/>
        <v>AULG.comMonitorgaming monitorgaming monitor</v>
      </c>
      <c r="B312" s="106" t="str">
        <f t="shared" si="9"/>
        <v>AU_LG.com</v>
      </c>
      <c r="C312" s="107" t="s">
        <v>182</v>
      </c>
      <c r="D312" s="107" t="s">
        <v>321</v>
      </c>
      <c r="E312" s="107" t="s">
        <v>2320</v>
      </c>
      <c r="F312" s="107" t="s">
        <v>2322</v>
      </c>
      <c r="G312" s="107" t="s">
        <v>2322</v>
      </c>
      <c r="H312" s="93" t="e">
        <v>#N/A</v>
      </c>
      <c r="I312" s="99">
        <v>46076</v>
      </c>
      <c r="J312" s="83" t="s">
        <v>189</v>
      </c>
      <c r="K312" s="107"/>
      <c r="L312" s="107"/>
      <c r="M312" s="107"/>
      <c r="N312" s="107"/>
      <c r="O312" s="107"/>
    </row>
    <row r="313" spans="1:15" s="81" customFormat="1" hidden="1">
      <c r="A313" s="81" t="str">
        <f t="shared" si="8"/>
        <v>AULG.comMonitormonitormonitor</v>
      </c>
      <c r="B313" s="106" t="str">
        <f t="shared" si="9"/>
        <v>AU_LG.com</v>
      </c>
      <c r="C313" s="107" t="s">
        <v>182</v>
      </c>
      <c r="D313" s="107" t="s">
        <v>321</v>
      </c>
      <c r="E313" s="107" t="s">
        <v>2320</v>
      </c>
      <c r="F313" s="107" t="s">
        <v>2323</v>
      </c>
      <c r="G313" s="107" t="s">
        <v>2323</v>
      </c>
      <c r="H313" s="93" t="e">
        <v>#N/A</v>
      </c>
      <c r="I313" s="99">
        <v>46076</v>
      </c>
      <c r="J313" s="83" t="s">
        <v>189</v>
      </c>
      <c r="K313" s="107"/>
      <c r="L313" s="107"/>
      <c r="M313" s="107"/>
      <c r="N313" s="107"/>
      <c r="O313" s="107"/>
    </row>
    <row r="314" spans="1:15" s="81" customFormat="1">
      <c r="A314" s="81" t="str">
        <f t="shared" si="8"/>
        <v>AULG.comRefrigeratorfridgefridge</v>
      </c>
      <c r="B314" s="106" t="str">
        <f t="shared" si="9"/>
        <v>AU_LG.com</v>
      </c>
      <c r="C314" s="107" t="s">
        <v>182</v>
      </c>
      <c r="D314" s="107" t="s">
        <v>321</v>
      </c>
      <c r="E314" s="107" t="s">
        <v>2326</v>
      </c>
      <c r="F314" s="107" t="s">
        <v>2414</v>
      </c>
      <c r="G314" s="107" t="s">
        <v>2414</v>
      </c>
      <c r="H314" s="93" t="e">
        <v>#N/A</v>
      </c>
      <c r="I314" s="99">
        <v>46076</v>
      </c>
      <c r="J314" s="83" t="s">
        <v>189</v>
      </c>
      <c r="K314" s="107"/>
      <c r="L314" s="107"/>
      <c r="M314" s="107"/>
      <c r="N314" s="107"/>
      <c r="O314" s="107"/>
    </row>
    <row r="315" spans="1:15" s="81" customFormat="1">
      <c r="A315" s="81" t="str">
        <f t="shared" si="8"/>
        <v>AULG.comRefrigeratorrefrigeratorrefrigerator</v>
      </c>
      <c r="B315" s="106" t="str">
        <f t="shared" si="9"/>
        <v>AU_LG.com</v>
      </c>
      <c r="C315" s="107" t="s">
        <v>182</v>
      </c>
      <c r="D315" s="107" t="s">
        <v>321</v>
      </c>
      <c r="E315" s="107" t="s">
        <v>2326</v>
      </c>
      <c r="F315" s="107" t="s">
        <v>2329</v>
      </c>
      <c r="G315" s="107" t="s">
        <v>2329</v>
      </c>
      <c r="H315" s="93" t="e">
        <v>#N/A</v>
      </c>
      <c r="I315" s="99">
        <v>46076</v>
      </c>
      <c r="J315" s="83" t="s">
        <v>189</v>
      </c>
      <c r="K315" s="107"/>
      <c r="L315" s="107"/>
      <c r="M315" s="107"/>
      <c r="N315" s="107"/>
      <c r="O315" s="107"/>
    </row>
    <row r="316" spans="1:15" s="81" customFormat="1" hidden="1">
      <c r="A316" s="81" t="str">
        <f t="shared" si="8"/>
        <v>AULG.comTVtvtv</v>
      </c>
      <c r="B316" s="106" t="str">
        <f t="shared" si="9"/>
        <v>AU_LG.com</v>
      </c>
      <c r="C316" s="107" t="s">
        <v>182</v>
      </c>
      <c r="D316" s="107" t="s">
        <v>321</v>
      </c>
      <c r="E316" s="107" t="s">
        <v>161</v>
      </c>
      <c r="F316" s="107" t="s">
        <v>2444</v>
      </c>
      <c r="G316" s="107" t="s">
        <v>2444</v>
      </c>
      <c r="H316" s="93" t="e">
        <v>#N/A</v>
      </c>
      <c r="I316" s="99">
        <v>46076</v>
      </c>
      <c r="J316" s="83" t="s">
        <v>189</v>
      </c>
      <c r="K316" s="107"/>
      <c r="L316" s="107"/>
      <c r="M316" s="107"/>
      <c r="N316" s="107"/>
      <c r="O316" s="107"/>
    </row>
    <row r="317" spans="1:15" s="81" customFormat="1">
      <c r="A317" s="81" t="str">
        <f t="shared" si="8"/>
        <v>AULG.comWashing Machinewasher dryerwasher dryer</v>
      </c>
      <c r="B317" s="106" t="str">
        <f t="shared" si="9"/>
        <v>AU_LG.com</v>
      </c>
      <c r="C317" s="107" t="s">
        <v>182</v>
      </c>
      <c r="D317" s="107" t="s">
        <v>321</v>
      </c>
      <c r="E317" s="107" t="s">
        <v>2333</v>
      </c>
      <c r="F317" s="107" t="s">
        <v>2339</v>
      </c>
      <c r="G317" s="107" t="s">
        <v>2339</v>
      </c>
      <c r="H317" s="93" t="e">
        <v>#N/A</v>
      </c>
      <c r="I317" s="99">
        <v>46076</v>
      </c>
      <c r="J317" s="83" t="s">
        <v>189</v>
      </c>
      <c r="K317" s="107"/>
      <c r="L317" s="107"/>
      <c r="M317" s="107"/>
      <c r="N317" s="107"/>
      <c r="O317" s="107"/>
    </row>
    <row r="318" spans="1:15" s="81" customFormat="1">
      <c r="A318" s="81" t="str">
        <f t="shared" si="8"/>
        <v>AULG.comWashing Machinewashing machinewashing machine</v>
      </c>
      <c r="B318" s="106" t="str">
        <f t="shared" si="9"/>
        <v>AU_LG.com</v>
      </c>
      <c r="C318" s="107" t="s">
        <v>182</v>
      </c>
      <c r="D318" s="107" t="s">
        <v>321</v>
      </c>
      <c r="E318" s="107" t="s">
        <v>2333</v>
      </c>
      <c r="F318" s="107" t="s">
        <v>2445</v>
      </c>
      <c r="G318" s="107" t="s">
        <v>2340</v>
      </c>
      <c r="H318" s="93" t="e">
        <v>#N/A</v>
      </c>
      <c r="I318" s="99">
        <v>46076</v>
      </c>
      <c r="J318" s="83" t="s">
        <v>189</v>
      </c>
      <c r="K318" s="107"/>
      <c r="L318" s="107"/>
      <c r="M318" s="107"/>
      <c r="N318" s="107"/>
      <c r="O318" s="107"/>
    </row>
    <row r="319" spans="1:15" s="81" customFormat="1" hidden="1">
      <c r="A319" s="81" t="str">
        <f t="shared" si="8"/>
        <v>AULG.comBluetooth SpeakerBluetooth speakersBluetooth speakers</v>
      </c>
      <c r="B319" s="106" t="str">
        <f t="shared" si="9"/>
        <v>AU_LG.com</v>
      </c>
      <c r="C319" s="107" t="s">
        <v>201</v>
      </c>
      <c r="D319" s="107" t="s">
        <v>321</v>
      </c>
      <c r="E319" s="107" t="s">
        <v>2307</v>
      </c>
      <c r="F319" s="107" t="s">
        <v>2425</v>
      </c>
      <c r="G319" s="107" t="s">
        <v>2425</v>
      </c>
      <c r="H319" s="93" t="e">
        <v>#N/A</v>
      </c>
      <c r="I319" s="99">
        <v>46076</v>
      </c>
      <c r="J319" s="83" t="s">
        <v>189</v>
      </c>
      <c r="K319" s="107"/>
      <c r="L319" s="107"/>
      <c r="M319" s="107"/>
      <c r="N319" s="107"/>
      <c r="O319" s="107"/>
    </row>
    <row r="320" spans="1:15" s="81" customFormat="1" hidden="1">
      <c r="A320" s="81" t="str">
        <f t="shared" si="8"/>
        <v>AULG.comBluetooth SpeakerPortable bluetooth speakersPortable bluetooth speakers</v>
      </c>
      <c r="B320" s="106" t="str">
        <f t="shared" si="9"/>
        <v>AU_LG.com</v>
      </c>
      <c r="C320" s="107" t="s">
        <v>201</v>
      </c>
      <c r="D320" s="107" t="s">
        <v>321</v>
      </c>
      <c r="E320" s="107" t="s">
        <v>2307</v>
      </c>
      <c r="F320" s="107" t="s">
        <v>2426</v>
      </c>
      <c r="G320" s="107" t="s">
        <v>2426</v>
      </c>
      <c r="H320" s="93" t="e">
        <v>#N/A</v>
      </c>
      <c r="I320" s="99">
        <v>46076</v>
      </c>
      <c r="J320" s="83" t="s">
        <v>189</v>
      </c>
      <c r="K320" s="107"/>
      <c r="L320" s="107"/>
      <c r="M320" s="107"/>
      <c r="N320" s="107"/>
      <c r="O320" s="107"/>
    </row>
    <row r="321" spans="1:15" s="81" customFormat="1" hidden="1">
      <c r="A321" s="81" t="str">
        <f t="shared" si="8"/>
        <v>AULG.comBluetooth SpeakerPortable speakersPortable speakers</v>
      </c>
      <c r="B321" s="106" t="str">
        <f t="shared" si="9"/>
        <v>AU_LG.com</v>
      </c>
      <c r="C321" s="107" t="s">
        <v>201</v>
      </c>
      <c r="D321" s="107" t="s">
        <v>321</v>
      </c>
      <c r="E321" s="107" t="s">
        <v>2307</v>
      </c>
      <c r="F321" s="107" t="s">
        <v>2427</v>
      </c>
      <c r="G321" s="107" t="s">
        <v>2427</v>
      </c>
      <c r="H321" s="93" t="e">
        <v>#N/A</v>
      </c>
      <c r="I321" s="99">
        <v>46076</v>
      </c>
      <c r="J321" s="83" t="s">
        <v>189</v>
      </c>
      <c r="K321" s="107"/>
      <c r="L321" s="107"/>
      <c r="M321" s="107"/>
      <c r="N321" s="107"/>
      <c r="O321" s="107"/>
    </row>
    <row r="322" spans="1:15" s="81" customFormat="1" hidden="1">
      <c r="A322" s="81" t="str">
        <f t="shared" si="8"/>
        <v>AULG.comBluetooth SpeakerSpeakerSpeaker</v>
      </c>
      <c r="B322" s="106" t="str">
        <f t="shared" si="9"/>
        <v>AU_LG.com</v>
      </c>
      <c r="C322" s="107" t="s">
        <v>201</v>
      </c>
      <c r="D322" s="107" t="s">
        <v>321</v>
      </c>
      <c r="E322" s="107" t="s">
        <v>2307</v>
      </c>
      <c r="F322" s="107" t="s">
        <v>2428</v>
      </c>
      <c r="G322" s="107" t="s">
        <v>2428</v>
      </c>
      <c r="H322" s="93" t="e">
        <v>#N/A</v>
      </c>
      <c r="I322" s="99">
        <v>46076</v>
      </c>
      <c r="J322" s="83" t="s">
        <v>189</v>
      </c>
      <c r="K322" s="107"/>
      <c r="L322" s="107"/>
      <c r="M322" s="107"/>
      <c r="N322" s="107"/>
      <c r="O322" s="107"/>
    </row>
    <row r="323" spans="1:15" s="81" customFormat="1" hidden="1">
      <c r="A323" s="81" t="str">
        <f t="shared" si="8"/>
        <v>AULG.comBluetooth SpeakerSpeakersSpeakers</v>
      </c>
      <c r="B323" s="106" t="str">
        <f t="shared" si="9"/>
        <v>AU_LG.com</v>
      </c>
      <c r="C323" s="107" t="s">
        <v>201</v>
      </c>
      <c r="D323" s="107" t="s">
        <v>321</v>
      </c>
      <c r="E323" s="107" t="s">
        <v>2307</v>
      </c>
      <c r="F323" s="107" t="s">
        <v>2429</v>
      </c>
      <c r="G323" s="107" t="s">
        <v>2429</v>
      </c>
      <c r="H323" s="93" t="e">
        <v>#N/A</v>
      </c>
      <c r="I323" s="99">
        <v>46076</v>
      </c>
      <c r="J323" s="83" t="s">
        <v>189</v>
      </c>
      <c r="K323" s="107"/>
      <c r="L323" s="107"/>
      <c r="M323" s="107"/>
      <c r="N323" s="107"/>
      <c r="O323" s="107"/>
    </row>
    <row r="324" spans="1:15" s="81" customFormat="1" hidden="1">
      <c r="A324" s="81" t="str">
        <f t="shared" si="8"/>
        <v>AULG.comSOUNDBARSound barSound bar</v>
      </c>
      <c r="B324" s="106" t="str">
        <f t="shared" si="9"/>
        <v>AU_LG.com</v>
      </c>
      <c r="C324" s="107" t="s">
        <v>201</v>
      </c>
      <c r="D324" s="107" t="s">
        <v>321</v>
      </c>
      <c r="E324" s="107" t="s">
        <v>165</v>
      </c>
      <c r="F324" s="107" t="s">
        <v>2365</v>
      </c>
      <c r="G324" s="107" t="s">
        <v>2365</v>
      </c>
      <c r="H324" s="93" t="e">
        <v>#N/A</v>
      </c>
      <c r="I324" s="99">
        <v>46076</v>
      </c>
      <c r="J324" s="83" t="s">
        <v>189</v>
      </c>
      <c r="K324" s="107"/>
      <c r="L324" s="107"/>
      <c r="M324" s="107"/>
      <c r="N324" s="107"/>
      <c r="O324" s="107"/>
    </row>
    <row r="325" spans="1:15" s="81" customFormat="1" hidden="1">
      <c r="A325" s="81" t="str">
        <f t="shared" si="8"/>
        <v>AULG.comSOUNDBARSound barsSound bars</v>
      </c>
      <c r="B325" s="106" t="str">
        <f t="shared" si="9"/>
        <v>AU_LG.com</v>
      </c>
      <c r="C325" s="107" t="s">
        <v>201</v>
      </c>
      <c r="D325" s="107" t="s">
        <v>321</v>
      </c>
      <c r="E325" s="107" t="s">
        <v>165</v>
      </c>
      <c r="F325" s="107" t="s">
        <v>2366</v>
      </c>
      <c r="G325" s="107" t="s">
        <v>2366</v>
      </c>
      <c r="H325" s="93" t="e">
        <v>#N/A</v>
      </c>
      <c r="I325" s="99">
        <v>46076</v>
      </c>
      <c r="J325" s="83" t="s">
        <v>189</v>
      </c>
      <c r="K325" s="107"/>
      <c r="L325" s="107"/>
      <c r="M325" s="107"/>
      <c r="N325" s="107"/>
      <c r="O325" s="107"/>
    </row>
    <row r="326" spans="1:15" s="81" customFormat="1" hidden="1">
      <c r="A326" s="81" t="str">
        <f t="shared" si="8"/>
        <v>AULG.comSOUNDBARSound systemSound bars for tv</v>
      </c>
      <c r="B326" s="106" t="str">
        <f t="shared" si="9"/>
        <v>AU_LG.com</v>
      </c>
      <c r="C326" s="107" t="s">
        <v>201</v>
      </c>
      <c r="D326" s="107" t="s">
        <v>321</v>
      </c>
      <c r="E326" s="107" t="s">
        <v>165</v>
      </c>
      <c r="F326" s="107" t="s">
        <v>2359</v>
      </c>
      <c r="G326" s="107" t="s">
        <v>2430</v>
      </c>
      <c r="H326" s="93" t="e">
        <v>#N/A</v>
      </c>
      <c r="I326" s="99">
        <v>46076</v>
      </c>
      <c r="J326" s="83" t="s">
        <v>189</v>
      </c>
      <c r="K326" s="107"/>
      <c r="L326" s="107"/>
      <c r="M326" s="107"/>
      <c r="N326" s="107"/>
      <c r="O326" s="107"/>
    </row>
    <row r="327" spans="1:15" s="81" customFormat="1" hidden="1">
      <c r="A327" s="81" t="str">
        <f t="shared" si="8"/>
        <v>AULG.comSOUNDBARSoundbarSoundbar</v>
      </c>
      <c r="B327" s="106" t="str">
        <f t="shared" si="9"/>
        <v>AU_LG.com</v>
      </c>
      <c r="C327" s="107" t="s">
        <v>201</v>
      </c>
      <c r="D327" s="107" t="s">
        <v>321</v>
      </c>
      <c r="E327" s="107" t="s">
        <v>165</v>
      </c>
      <c r="F327" s="107" t="s">
        <v>2363</v>
      </c>
      <c r="G327" s="107" t="s">
        <v>2363</v>
      </c>
      <c r="H327" s="93" t="e">
        <v>#N/A</v>
      </c>
      <c r="I327" s="99">
        <v>46076</v>
      </c>
      <c r="J327" s="83" t="s">
        <v>189</v>
      </c>
      <c r="K327" s="107"/>
      <c r="L327" s="107"/>
      <c r="M327" s="107"/>
      <c r="N327" s="107"/>
      <c r="O327" s="107"/>
    </row>
    <row r="328" spans="1:15" s="81" customFormat="1" hidden="1">
      <c r="A328" s="81" t="str">
        <f t="shared" si="8"/>
        <v>AULG.comSOUNDBARSoundbarsSoundbars</v>
      </c>
      <c r="B328" s="106" t="str">
        <f t="shared" si="9"/>
        <v>AU_LG.com</v>
      </c>
      <c r="C328" s="107" t="s">
        <v>201</v>
      </c>
      <c r="D328" s="107" t="s">
        <v>321</v>
      </c>
      <c r="E328" s="107" t="s">
        <v>165</v>
      </c>
      <c r="F328" s="107" t="s">
        <v>2361</v>
      </c>
      <c r="G328" s="107" t="s">
        <v>2361</v>
      </c>
      <c r="H328" s="93" t="e">
        <v>#N/A</v>
      </c>
      <c r="I328" s="99">
        <v>46076</v>
      </c>
      <c r="J328" s="83" t="s">
        <v>189</v>
      </c>
      <c r="K328" s="107"/>
      <c r="L328" s="107"/>
      <c r="M328" s="107"/>
      <c r="N328" s="107"/>
      <c r="O328" s="107"/>
    </row>
    <row r="329" spans="1:15" s="81" customFormat="1" hidden="1">
      <c r="A329" s="81" t="str">
        <f t="shared" si="8"/>
        <v>AULG.comWIRELESS HEADSETBluetooth earbudsBluetooth earbuds</v>
      </c>
      <c r="B329" s="106" t="str">
        <f t="shared" si="9"/>
        <v>AU_LG.com</v>
      </c>
      <c r="C329" s="107" t="s">
        <v>201</v>
      </c>
      <c r="D329" s="107" t="s">
        <v>321</v>
      </c>
      <c r="E329" s="107" t="s">
        <v>2201</v>
      </c>
      <c r="F329" s="107" t="s">
        <v>2382</v>
      </c>
      <c r="G329" s="107" t="s">
        <v>2382</v>
      </c>
      <c r="H329" s="93" t="e">
        <v>#N/A</v>
      </c>
      <c r="I329" s="99">
        <v>46076</v>
      </c>
      <c r="J329" s="83" t="s">
        <v>189</v>
      </c>
      <c r="K329" s="107"/>
      <c r="L329" s="107"/>
      <c r="M329" s="107"/>
      <c r="N329" s="107"/>
      <c r="O329" s="107"/>
    </row>
    <row r="330" spans="1:15" s="81" customFormat="1" hidden="1">
      <c r="A330" s="81" t="str">
        <f t="shared" ref="A330:A393" si="10">C330&amp;D330&amp;E330&amp;F330&amp;G330</f>
        <v>AULG.comWIRELESS HEADSETEar budsEar buds</v>
      </c>
      <c r="B330" s="106" t="str">
        <f t="shared" ref="B330:B393" si="11">C330&amp;"_"&amp;D330</f>
        <v>AU_LG.com</v>
      </c>
      <c r="C330" s="107" t="s">
        <v>201</v>
      </c>
      <c r="D330" s="107" t="s">
        <v>321</v>
      </c>
      <c r="E330" s="107" t="s">
        <v>2201</v>
      </c>
      <c r="F330" s="107" t="s">
        <v>2380</v>
      </c>
      <c r="G330" s="107" t="s">
        <v>2380</v>
      </c>
      <c r="H330" s="93" t="e">
        <v>#N/A</v>
      </c>
      <c r="I330" s="99">
        <v>46076</v>
      </c>
      <c r="J330" s="83" t="s">
        <v>189</v>
      </c>
      <c r="K330" s="107"/>
      <c r="L330" s="107"/>
      <c r="M330" s="107"/>
      <c r="N330" s="107"/>
      <c r="O330" s="107"/>
    </row>
    <row r="331" spans="1:15" s="81" customFormat="1" hidden="1">
      <c r="A331" s="81" t="str">
        <f t="shared" si="10"/>
        <v>AULG.comWIRELESS HEADSETNoise cancelling earbudsNoise cancelling earbuds</v>
      </c>
      <c r="B331" s="106" t="str">
        <f t="shared" si="11"/>
        <v>AU_LG.com</v>
      </c>
      <c r="C331" s="107" t="s">
        <v>201</v>
      </c>
      <c r="D331" s="107" t="s">
        <v>321</v>
      </c>
      <c r="E331" s="107" t="s">
        <v>2201</v>
      </c>
      <c r="F331" s="107" t="s">
        <v>2378</v>
      </c>
      <c r="G331" s="107" t="s">
        <v>2378</v>
      </c>
      <c r="H331" s="93" t="e">
        <v>#N/A</v>
      </c>
      <c r="I331" s="99">
        <v>46076</v>
      </c>
      <c r="J331" s="83" t="s">
        <v>189</v>
      </c>
      <c r="K331" s="107"/>
      <c r="L331" s="107"/>
      <c r="M331" s="107"/>
      <c r="N331" s="107"/>
      <c r="O331" s="107"/>
    </row>
    <row r="332" spans="1:15" s="81" customFormat="1" hidden="1">
      <c r="A332" s="81" t="str">
        <f t="shared" si="10"/>
        <v>AULG.comWIRELESS HEADSETTrue wireless earbudsTrue wireless earbuds</v>
      </c>
      <c r="B332" s="106" t="str">
        <f t="shared" si="11"/>
        <v>AU_LG.com</v>
      </c>
      <c r="C332" s="107" t="s">
        <v>201</v>
      </c>
      <c r="D332" s="107" t="s">
        <v>321</v>
      </c>
      <c r="E332" s="107" t="s">
        <v>2201</v>
      </c>
      <c r="F332" s="107" t="s">
        <v>2374</v>
      </c>
      <c r="G332" s="107" t="s">
        <v>2374</v>
      </c>
      <c r="H332" s="93" t="e">
        <v>#N/A</v>
      </c>
      <c r="I332" s="99">
        <v>46076</v>
      </c>
      <c r="J332" s="83" t="s">
        <v>189</v>
      </c>
      <c r="K332" s="107"/>
      <c r="L332" s="107"/>
      <c r="M332" s="107"/>
      <c r="N332" s="107"/>
      <c r="O332" s="107"/>
    </row>
    <row r="333" spans="1:15" s="81" customFormat="1" hidden="1">
      <c r="A333" s="81" t="str">
        <f t="shared" si="10"/>
        <v>AULG.comWIRELESS HEADSETWireless earbudsWireless earbuds</v>
      </c>
      <c r="B333" s="106" t="str">
        <f t="shared" si="11"/>
        <v>AU_LG.com</v>
      </c>
      <c r="C333" s="107" t="s">
        <v>201</v>
      </c>
      <c r="D333" s="107" t="s">
        <v>321</v>
      </c>
      <c r="E333" s="107" t="s">
        <v>2201</v>
      </c>
      <c r="F333" s="107" t="s">
        <v>2376</v>
      </c>
      <c r="G333" s="107" t="s">
        <v>2376</v>
      </c>
      <c r="H333" s="93" t="e">
        <v>#N/A</v>
      </c>
      <c r="I333" s="99">
        <v>46076</v>
      </c>
      <c r="J333" s="83" t="s">
        <v>189</v>
      </c>
      <c r="K333" s="107"/>
      <c r="L333" s="107"/>
      <c r="M333" s="107"/>
      <c r="N333" s="107"/>
      <c r="O333" s="107"/>
    </row>
    <row r="334" spans="1:15" s="111" customFormat="1">
      <c r="A334" s="111" t="str">
        <f t="shared" si="10"/>
        <v>AULG.comDryerDryerDryer</v>
      </c>
      <c r="B334" s="112" t="str">
        <f t="shared" si="11"/>
        <v>AU_LG.com</v>
      </c>
      <c r="C334" s="113" t="s">
        <v>201</v>
      </c>
      <c r="D334" s="113" t="s">
        <v>567</v>
      </c>
      <c r="E334" s="113" t="s">
        <v>2431</v>
      </c>
      <c r="F334" s="113" t="s">
        <v>2431</v>
      </c>
      <c r="G334" s="113" t="s">
        <v>2431</v>
      </c>
      <c r="H334" s="93" t="e">
        <v>#N/A</v>
      </c>
      <c r="I334" s="99">
        <v>46076</v>
      </c>
      <c r="J334" s="83" t="s">
        <v>189</v>
      </c>
      <c r="K334" s="113"/>
      <c r="L334" s="113"/>
      <c r="M334" s="113"/>
      <c r="N334" s="113"/>
      <c r="O334" s="113"/>
    </row>
    <row r="335" spans="1:15" s="111" customFormat="1">
      <c r="A335" s="111" t="str">
        <f t="shared" si="10"/>
        <v>AULG.comDryerheatpump  heatpump</v>
      </c>
      <c r="B335" s="112" t="str">
        <f t="shared" si="11"/>
        <v>AU_LG.com</v>
      </c>
      <c r="C335" s="113" t="s">
        <v>201</v>
      </c>
      <c r="D335" s="113" t="s">
        <v>567</v>
      </c>
      <c r="E335" s="113" t="s">
        <v>2431</v>
      </c>
      <c r="F335" s="113" t="s">
        <v>2432</v>
      </c>
      <c r="G335" s="113" t="s">
        <v>2433</v>
      </c>
      <c r="H335" s="93" t="e">
        <v>#N/A</v>
      </c>
      <c r="I335" s="99">
        <v>46076</v>
      </c>
      <c r="J335" s="83" t="s">
        <v>189</v>
      </c>
      <c r="K335" s="113"/>
      <c r="L335" s="113"/>
      <c r="M335" s="113"/>
      <c r="N335" s="113"/>
      <c r="O335" s="113"/>
    </row>
    <row r="336" spans="1:15" s="111" customFormat="1">
      <c r="A336" s="111" t="str">
        <f t="shared" si="10"/>
        <v>AULG.comDryerLG DryerLG Dryer</v>
      </c>
      <c r="B336" s="112" t="str">
        <f t="shared" si="11"/>
        <v>AU_LG.com</v>
      </c>
      <c r="C336" s="113" t="s">
        <v>201</v>
      </c>
      <c r="D336" s="113" t="s">
        <v>567</v>
      </c>
      <c r="E336" s="113" t="s">
        <v>2431</v>
      </c>
      <c r="F336" s="113" t="s">
        <v>2434</v>
      </c>
      <c r="G336" s="113" t="s">
        <v>2434</v>
      </c>
      <c r="H336" s="93" t="e">
        <v>#N/A</v>
      </c>
      <c r="I336" s="99">
        <v>46076</v>
      </c>
      <c r="J336" s="83" t="s">
        <v>189</v>
      </c>
      <c r="K336" s="113"/>
      <c r="L336" s="113"/>
      <c r="M336" s="113"/>
      <c r="N336" s="113"/>
      <c r="O336" s="113"/>
    </row>
    <row r="337" spans="1:15" hidden="1">
      <c r="A337" s="75" t="str">
        <f t="shared" si="10"/>
        <v>AUTHEGOODGUYSBluetooth SpeakerBluetooth speakersBluetooth speakers</v>
      </c>
      <c r="B337" s="94" t="str">
        <f t="shared" si="11"/>
        <v>AU_THEGOODGUYS</v>
      </c>
      <c r="C337" s="93" t="s">
        <v>201</v>
      </c>
      <c r="D337" s="93" t="s">
        <v>209</v>
      </c>
      <c r="E337" s="93" t="s">
        <v>2307</v>
      </c>
      <c r="F337" s="93" t="s">
        <v>2425</v>
      </c>
      <c r="G337" s="93" t="s">
        <v>2425</v>
      </c>
      <c r="H337" s="93" t="e">
        <v>#N/A</v>
      </c>
      <c r="I337" s="105" t="s">
        <v>2310</v>
      </c>
      <c r="J337" s="93" t="s">
        <v>189</v>
      </c>
      <c r="K337" s="93">
        <v>27694</v>
      </c>
      <c r="L337" s="93">
        <v>27694</v>
      </c>
      <c r="M337" s="93" t="s">
        <v>2311</v>
      </c>
      <c r="N337" s="93">
        <f>VLOOKUP(B337,'[16]01.수집 카테고리(List)'!$A$2:$H$64,8,FALSE)</f>
        <v>99991231</v>
      </c>
      <c r="O337" s="93" t="s">
        <v>646</v>
      </c>
    </row>
    <row r="338" spans="1:15" hidden="1">
      <c r="A338" s="75" t="str">
        <f t="shared" si="10"/>
        <v>AUTHEGOODGUYSBluetooth SpeakerPortable bluetooth speakersPortable bluetooth speakers</v>
      </c>
      <c r="B338" s="94" t="str">
        <f t="shared" si="11"/>
        <v>AU_THEGOODGUYS</v>
      </c>
      <c r="C338" s="93" t="s">
        <v>201</v>
      </c>
      <c r="D338" s="93" t="s">
        <v>209</v>
      </c>
      <c r="E338" s="93" t="s">
        <v>2307</v>
      </c>
      <c r="F338" s="93" t="s">
        <v>2426</v>
      </c>
      <c r="G338" s="93" t="s">
        <v>2426</v>
      </c>
      <c r="H338" s="93" t="e">
        <v>#N/A</v>
      </c>
      <c r="I338" s="105" t="s">
        <v>2310</v>
      </c>
      <c r="J338" s="93" t="s">
        <v>189</v>
      </c>
      <c r="K338" s="93">
        <v>29567</v>
      </c>
      <c r="L338" s="93">
        <v>29567</v>
      </c>
      <c r="M338" s="93" t="s">
        <v>2311</v>
      </c>
      <c r="N338" s="93">
        <f>VLOOKUP(B338,'[16]01.수집 카테고리(List)'!$A$2:$H$64,8,FALSE)</f>
        <v>99991231</v>
      </c>
      <c r="O338" s="93" t="s">
        <v>646</v>
      </c>
    </row>
    <row r="339" spans="1:15" hidden="1">
      <c r="A339" s="75" t="str">
        <f t="shared" si="10"/>
        <v>AUTHEGOODGUYSBluetooth SpeakerPortable speakersPortable speakers</v>
      </c>
      <c r="B339" s="94" t="str">
        <f t="shared" si="11"/>
        <v>AU_THEGOODGUYS</v>
      </c>
      <c r="C339" s="93" t="s">
        <v>201</v>
      </c>
      <c r="D339" s="93" t="s">
        <v>209</v>
      </c>
      <c r="E339" s="93" t="s">
        <v>2307</v>
      </c>
      <c r="F339" s="93" t="s">
        <v>2427</v>
      </c>
      <c r="G339" s="93" t="s">
        <v>2427</v>
      </c>
      <c r="H339" s="93" t="e">
        <v>#N/A</v>
      </c>
      <c r="I339" s="105" t="s">
        <v>2310</v>
      </c>
      <c r="J339" s="93" t="s">
        <v>189</v>
      </c>
      <c r="K339" s="93">
        <v>22236</v>
      </c>
      <c r="L339" s="93">
        <v>22236</v>
      </c>
      <c r="M339" s="93" t="s">
        <v>2311</v>
      </c>
      <c r="N339" s="93">
        <f>VLOOKUP(B339,'[16]01.수집 카테고리(List)'!$A$2:$H$64,8,FALSE)</f>
        <v>99991231</v>
      </c>
      <c r="O339" s="93" t="s">
        <v>646</v>
      </c>
    </row>
    <row r="340" spans="1:15" hidden="1">
      <c r="A340" s="75" t="str">
        <f t="shared" si="10"/>
        <v>AUTHEGOODGUYSBluetooth SpeakerSpeakerSpeaker</v>
      </c>
      <c r="B340" s="94" t="str">
        <f t="shared" si="11"/>
        <v>AU_THEGOODGUYS</v>
      </c>
      <c r="C340" s="93" t="s">
        <v>201</v>
      </c>
      <c r="D340" s="93" t="s">
        <v>209</v>
      </c>
      <c r="E340" s="93" t="s">
        <v>2307</v>
      </c>
      <c r="F340" s="93" t="s">
        <v>2428</v>
      </c>
      <c r="G340" s="93" t="s">
        <v>2428</v>
      </c>
      <c r="H340" s="93" t="e">
        <v>#N/A</v>
      </c>
      <c r="I340" s="105" t="s">
        <v>2310</v>
      </c>
      <c r="J340" s="93" t="s">
        <v>189</v>
      </c>
      <c r="K340" s="93">
        <v>33413</v>
      </c>
      <c r="L340" s="93">
        <v>33413</v>
      </c>
      <c r="M340" s="93" t="s">
        <v>2311</v>
      </c>
      <c r="N340" s="93">
        <f>VLOOKUP(B340,'[16]01.수집 카테고리(List)'!$A$2:$H$64,8,FALSE)</f>
        <v>99991231</v>
      </c>
      <c r="O340" s="93" t="s">
        <v>646</v>
      </c>
    </row>
    <row r="341" spans="1:15" hidden="1">
      <c r="A341" s="75" t="str">
        <f t="shared" si="10"/>
        <v>AUTHEGOODGUYSBluetooth SpeakerSpeakersSpeakers</v>
      </c>
      <c r="B341" s="94" t="str">
        <f t="shared" si="11"/>
        <v>AU_THEGOODGUYS</v>
      </c>
      <c r="C341" s="93" t="s">
        <v>201</v>
      </c>
      <c r="D341" s="93" t="s">
        <v>209</v>
      </c>
      <c r="E341" s="93" t="s">
        <v>2307</v>
      </c>
      <c r="F341" s="93" t="s">
        <v>2429</v>
      </c>
      <c r="G341" s="93" t="s">
        <v>2429</v>
      </c>
      <c r="H341" s="93" t="e">
        <v>#N/A</v>
      </c>
      <c r="I341" s="105" t="s">
        <v>2310</v>
      </c>
      <c r="J341" s="93" t="s">
        <v>189</v>
      </c>
      <c r="K341" s="93">
        <v>33638</v>
      </c>
      <c r="L341" s="93">
        <v>33638</v>
      </c>
      <c r="M341" s="93" t="s">
        <v>2311</v>
      </c>
      <c r="N341" s="93">
        <f>VLOOKUP(B341,'[16]01.수집 카테고리(List)'!$A$2:$H$64,8,FALSE)</f>
        <v>99991231</v>
      </c>
      <c r="O341" s="93" t="s">
        <v>646</v>
      </c>
    </row>
    <row r="342" spans="1:15" hidden="1">
      <c r="A342" s="75" t="str">
        <f t="shared" si="10"/>
        <v>AUTHEGOODGUYSCordless stick vacuumcordless stick vacuumcordless stick vacuum</v>
      </c>
      <c r="B342" s="94" t="str">
        <f t="shared" si="11"/>
        <v>AU_THEGOODGUYS</v>
      </c>
      <c r="C342" s="93" t="s">
        <v>201</v>
      </c>
      <c r="D342" s="93" t="s">
        <v>209</v>
      </c>
      <c r="E342" s="93" t="s">
        <v>2435</v>
      </c>
      <c r="F342" s="93" t="s">
        <v>2436</v>
      </c>
      <c r="G342" s="93" t="s">
        <v>2436</v>
      </c>
      <c r="H342" s="93" t="e">
        <v>#N/A</v>
      </c>
      <c r="I342" s="105" t="s">
        <v>2310</v>
      </c>
      <c r="J342" s="93" t="s">
        <v>189</v>
      </c>
      <c r="K342" s="93">
        <v>11375</v>
      </c>
      <c r="L342" s="93">
        <v>11375</v>
      </c>
      <c r="M342" s="93" t="s">
        <v>2311</v>
      </c>
      <c r="N342" s="93">
        <f>VLOOKUP(B342,'[16]01.수집 카테고리(List)'!$A$2:$H$64,8,FALSE)</f>
        <v>99991231</v>
      </c>
      <c r="O342" s="93" t="s">
        <v>646</v>
      </c>
    </row>
    <row r="343" spans="1:15" hidden="1">
      <c r="A343" s="75" t="str">
        <f t="shared" si="10"/>
        <v>AUTHEGOODGUYSCordless stick vacuumhandstick Vacuumhandstick Vacuum</v>
      </c>
      <c r="B343" s="94" t="str">
        <f t="shared" si="11"/>
        <v>AU_THEGOODGUYS</v>
      </c>
      <c r="C343" s="93" t="s">
        <v>201</v>
      </c>
      <c r="D343" s="93" t="s">
        <v>209</v>
      </c>
      <c r="E343" s="93" t="s">
        <v>2435</v>
      </c>
      <c r="F343" s="93" t="s">
        <v>2437</v>
      </c>
      <c r="G343" s="93" t="s">
        <v>2437</v>
      </c>
      <c r="H343" s="93" t="e">
        <v>#N/A</v>
      </c>
      <c r="I343" s="105" t="s">
        <v>2310</v>
      </c>
      <c r="J343" s="93" t="s">
        <v>189</v>
      </c>
      <c r="K343" s="93">
        <v>9780</v>
      </c>
      <c r="L343" s="93">
        <v>9780</v>
      </c>
      <c r="M343" s="93" t="s">
        <v>2311</v>
      </c>
      <c r="N343" s="93">
        <f>VLOOKUP(B343,'[16]01.수집 카테고리(List)'!$A$2:$H$64,8,FALSE)</f>
        <v>99991231</v>
      </c>
      <c r="O343" s="93" t="s">
        <v>646</v>
      </c>
    </row>
    <row r="344" spans="1:15" hidden="1">
      <c r="A344" s="75" t="str">
        <f t="shared" si="10"/>
        <v>AUTHEGOODGUYSCordless stick vacuumstick vacuumstick vacuum</v>
      </c>
      <c r="B344" s="94" t="str">
        <f t="shared" si="11"/>
        <v>AU_THEGOODGUYS</v>
      </c>
      <c r="C344" s="93" t="s">
        <v>201</v>
      </c>
      <c r="D344" s="93" t="s">
        <v>209</v>
      </c>
      <c r="E344" s="93" t="s">
        <v>2435</v>
      </c>
      <c r="F344" s="93" t="s">
        <v>2438</v>
      </c>
      <c r="G344" s="93" t="s">
        <v>2438</v>
      </c>
      <c r="H344" s="93" t="e">
        <v>#N/A</v>
      </c>
      <c r="I344" s="105" t="s">
        <v>2310</v>
      </c>
      <c r="J344" s="93" t="s">
        <v>189</v>
      </c>
      <c r="K344" s="93">
        <v>11170</v>
      </c>
      <c r="L344" s="93">
        <v>11170</v>
      </c>
      <c r="M344" s="93" t="s">
        <v>2311</v>
      </c>
      <c r="N344" s="93">
        <f>VLOOKUP(B344,'[16]01.수집 카테고리(List)'!$A$2:$H$64,8,FALSE)</f>
        <v>99991231</v>
      </c>
      <c r="O344" s="93" t="s">
        <v>646</v>
      </c>
    </row>
    <row r="345" spans="1:15" hidden="1">
      <c r="A345" s="75" t="str">
        <f t="shared" si="10"/>
        <v>AUTHEGOODGUYSCordless stick vacuumstick vacuum cleanerstick vacuum cleaner</v>
      </c>
      <c r="B345" s="94" t="str">
        <f t="shared" si="11"/>
        <v>AU_THEGOODGUYS</v>
      </c>
      <c r="C345" s="93" t="s">
        <v>201</v>
      </c>
      <c r="D345" s="93" t="s">
        <v>209</v>
      </c>
      <c r="E345" s="93" t="s">
        <v>2435</v>
      </c>
      <c r="F345" s="93" t="s">
        <v>2439</v>
      </c>
      <c r="G345" s="93" t="s">
        <v>2439</v>
      </c>
      <c r="H345" s="93" t="e">
        <v>#N/A</v>
      </c>
      <c r="I345" s="105" t="s">
        <v>2310</v>
      </c>
      <c r="J345" s="93" t="s">
        <v>189</v>
      </c>
      <c r="K345" s="93">
        <v>30065</v>
      </c>
      <c r="L345" s="93">
        <v>30065</v>
      </c>
      <c r="M345" s="93" t="s">
        <v>2311</v>
      </c>
      <c r="N345" s="93">
        <f>VLOOKUP(B345,'[16]01.수집 카테고리(List)'!$A$2:$H$64,8,FALSE)</f>
        <v>99991231</v>
      </c>
      <c r="O345" s="93" t="s">
        <v>646</v>
      </c>
    </row>
    <row r="346" spans="1:15" hidden="1">
      <c r="A346" s="75" t="str">
        <f t="shared" si="10"/>
        <v>AUTHEGOODGUYSDishwasherdishwasherdishwasher</v>
      </c>
      <c r="B346" s="94" t="str">
        <f t="shared" si="11"/>
        <v>AU_THEGOODGUYS</v>
      </c>
      <c r="C346" s="93" t="s">
        <v>201</v>
      </c>
      <c r="D346" s="93" t="s">
        <v>209</v>
      </c>
      <c r="E346" s="93" t="s">
        <v>2440</v>
      </c>
      <c r="F346" s="93" t="s">
        <v>2354</v>
      </c>
      <c r="G346" s="93" t="s">
        <v>2354</v>
      </c>
      <c r="H346" s="93" t="e">
        <v>#N/A</v>
      </c>
      <c r="I346" s="105" t="s">
        <v>2310</v>
      </c>
      <c r="J346" s="93" t="s">
        <v>189</v>
      </c>
      <c r="K346" s="93">
        <v>26657</v>
      </c>
      <c r="L346" s="93">
        <v>26657</v>
      </c>
      <c r="M346" s="93" t="s">
        <v>2311</v>
      </c>
      <c r="N346" s="93">
        <f>VLOOKUP(B346,'[16]01.수집 카테고리(List)'!$A$2:$H$64,8,FALSE)</f>
        <v>99991231</v>
      </c>
      <c r="O346" s="93" t="s">
        <v>646</v>
      </c>
    </row>
    <row r="347" spans="1:15" hidden="1">
      <c r="A347" s="75" t="str">
        <f t="shared" si="10"/>
        <v>AUTHEGOODGUYSDishwasherFreestanding Dishwasher Freestanding Dishwasher</v>
      </c>
      <c r="B347" s="94" t="str">
        <f t="shared" si="11"/>
        <v>AU_THEGOODGUYS</v>
      </c>
      <c r="C347" s="93" t="s">
        <v>201</v>
      </c>
      <c r="D347" s="93" t="s">
        <v>209</v>
      </c>
      <c r="E347" s="93" t="s">
        <v>2440</v>
      </c>
      <c r="F347" s="93" t="s">
        <v>2441</v>
      </c>
      <c r="G347" s="93" t="s">
        <v>2352</v>
      </c>
      <c r="H347" s="93" t="e">
        <v>#N/A</v>
      </c>
      <c r="I347" s="105" t="s">
        <v>2310</v>
      </c>
      <c r="J347" s="93" t="s">
        <v>189</v>
      </c>
      <c r="K347" s="93">
        <v>13703</v>
      </c>
      <c r="L347" s="93" t="e">
        <v>#N/A</v>
      </c>
      <c r="M347" s="93" t="s">
        <v>2311</v>
      </c>
      <c r="N347" s="93">
        <f>VLOOKUP(B347,'[16]01.수집 카테고리(List)'!$A$2:$H$64,8,FALSE)</f>
        <v>99991231</v>
      </c>
      <c r="O347" s="93" t="s">
        <v>646</v>
      </c>
    </row>
    <row r="348" spans="1:15" hidden="1">
      <c r="A348" s="75" t="str">
        <f t="shared" si="10"/>
        <v>AUTHEGOODGUYSDishwasherLG DishwasherLG Dishwasher</v>
      </c>
      <c r="B348" s="94" t="str">
        <f t="shared" si="11"/>
        <v>AU_THEGOODGUYS</v>
      </c>
      <c r="C348" s="93" t="s">
        <v>201</v>
      </c>
      <c r="D348" s="93" t="s">
        <v>209</v>
      </c>
      <c r="E348" s="93" t="s">
        <v>2440</v>
      </c>
      <c r="F348" s="93" t="s">
        <v>2442</v>
      </c>
      <c r="G348" s="93" t="s">
        <v>2442</v>
      </c>
      <c r="H348" s="93" t="e">
        <v>#N/A</v>
      </c>
      <c r="I348" s="105" t="s">
        <v>2310</v>
      </c>
      <c r="J348" s="93" t="s">
        <v>189</v>
      </c>
      <c r="K348" s="93">
        <v>1921</v>
      </c>
      <c r="L348" s="93">
        <v>1921</v>
      </c>
      <c r="M348" s="93" t="s">
        <v>2311</v>
      </c>
      <c r="N348" s="93">
        <f>VLOOKUP(B348,'[16]01.수집 카테고리(List)'!$A$2:$H$64,8,FALSE)</f>
        <v>99991231</v>
      </c>
      <c r="O348" s="93" t="s">
        <v>646</v>
      </c>
    </row>
    <row r="349" spans="1:15">
      <c r="A349" s="75" t="str">
        <f t="shared" si="10"/>
        <v>AUTHEGOODGUYSDryerDryerDryer</v>
      </c>
      <c r="B349" s="94" t="str">
        <f t="shared" si="11"/>
        <v>AU_THEGOODGUYS</v>
      </c>
      <c r="C349" s="93" t="s">
        <v>201</v>
      </c>
      <c r="D349" s="93" t="s">
        <v>209</v>
      </c>
      <c r="E349" s="93" t="s">
        <v>2431</v>
      </c>
      <c r="F349" s="93" t="s">
        <v>2431</v>
      </c>
      <c r="G349" s="93" t="s">
        <v>2431</v>
      </c>
      <c r="H349" s="93" t="e">
        <v>#N/A</v>
      </c>
      <c r="I349" s="105" t="s">
        <v>2310</v>
      </c>
      <c r="J349" s="93" t="s">
        <v>189</v>
      </c>
      <c r="K349" s="93">
        <v>12524</v>
      </c>
      <c r="L349" s="93">
        <v>12524</v>
      </c>
      <c r="M349" s="93" t="s">
        <v>2311</v>
      </c>
      <c r="N349" s="93">
        <f>VLOOKUP(B349,'[16]01.수집 카테고리(List)'!$A$2:$H$64,8,FALSE)</f>
        <v>99991231</v>
      </c>
      <c r="O349" s="93" t="s">
        <v>646</v>
      </c>
    </row>
    <row r="350" spans="1:15">
      <c r="A350" s="75" t="str">
        <f t="shared" si="10"/>
        <v>AUTHEGOODGUYSDryerheatpump  heatpump</v>
      </c>
      <c r="B350" s="94" t="str">
        <f t="shared" si="11"/>
        <v>AU_THEGOODGUYS</v>
      </c>
      <c r="C350" s="93" t="s">
        <v>201</v>
      </c>
      <c r="D350" s="93" t="s">
        <v>209</v>
      </c>
      <c r="E350" s="93" t="s">
        <v>2431</v>
      </c>
      <c r="F350" s="93" t="s">
        <v>2432</v>
      </c>
      <c r="G350" s="93" t="s">
        <v>2433</v>
      </c>
      <c r="H350" s="93" t="e">
        <v>#N/A</v>
      </c>
      <c r="I350" s="105" t="s">
        <v>2310</v>
      </c>
      <c r="J350" s="93" t="s">
        <v>189</v>
      </c>
      <c r="K350" s="93">
        <v>7397</v>
      </c>
      <c r="L350" s="93" t="e">
        <v>#N/A</v>
      </c>
      <c r="M350" s="93" t="s">
        <v>2311</v>
      </c>
      <c r="N350" s="93">
        <f>VLOOKUP(B350,'[16]01.수집 카테고리(List)'!$A$2:$H$64,8,FALSE)</f>
        <v>99991231</v>
      </c>
      <c r="O350" s="93" t="s">
        <v>646</v>
      </c>
    </row>
    <row r="351" spans="1:15">
      <c r="A351" s="75" t="str">
        <f t="shared" si="10"/>
        <v>AUTHEGOODGUYSDryerLG DryerLG Dryer</v>
      </c>
      <c r="B351" s="94" t="str">
        <f t="shared" si="11"/>
        <v>AU_THEGOODGUYS</v>
      </c>
      <c r="C351" s="93" t="s">
        <v>201</v>
      </c>
      <c r="D351" s="93" t="s">
        <v>209</v>
      </c>
      <c r="E351" s="93" t="s">
        <v>2431</v>
      </c>
      <c r="F351" s="93" t="s">
        <v>2434</v>
      </c>
      <c r="G351" s="93" t="s">
        <v>2434</v>
      </c>
      <c r="H351" s="93" t="e">
        <v>#N/A</v>
      </c>
      <c r="I351" s="105" t="s">
        <v>2310</v>
      </c>
      <c r="J351" s="93" t="s">
        <v>189</v>
      </c>
      <c r="K351" s="93">
        <v>2299</v>
      </c>
      <c r="L351" s="93">
        <v>2299</v>
      </c>
      <c r="M351" s="93" t="s">
        <v>2311</v>
      </c>
      <c r="N351" s="93">
        <f>VLOOKUP(B351,'[16]01.수집 카테고리(List)'!$A$2:$H$64,8,FALSE)</f>
        <v>99991231</v>
      </c>
      <c r="O351" s="93" t="s">
        <v>646</v>
      </c>
    </row>
    <row r="352" spans="1:15" hidden="1">
      <c r="A352" s="75" t="str">
        <f t="shared" si="10"/>
        <v>AUTHEGOODGUYSLaptop15inch Laptop15inch Laptop</v>
      </c>
      <c r="B352" s="94" t="str">
        <f t="shared" si="11"/>
        <v>AU_THEGOODGUYS</v>
      </c>
      <c r="C352" s="93" t="s">
        <v>201</v>
      </c>
      <c r="D352" s="93" t="s">
        <v>209</v>
      </c>
      <c r="E352" s="93" t="s">
        <v>2407</v>
      </c>
      <c r="F352" s="93" t="s">
        <v>2408</v>
      </c>
      <c r="G352" s="93" t="s">
        <v>2408</v>
      </c>
      <c r="H352" s="93" t="e">
        <v>#N/A</v>
      </c>
      <c r="I352" s="105" t="s">
        <v>2310</v>
      </c>
      <c r="J352" s="93" t="s">
        <v>189</v>
      </c>
      <c r="K352" s="93">
        <v>104</v>
      </c>
      <c r="L352" s="93">
        <v>104</v>
      </c>
      <c r="M352" s="93" t="s">
        <v>2311</v>
      </c>
      <c r="N352" s="93">
        <f>VLOOKUP(B352,'[16]01.수집 카테고리(List)'!$A$2:$H$64,8,FALSE)</f>
        <v>99991231</v>
      </c>
      <c r="O352" s="93" t="s">
        <v>646</v>
      </c>
    </row>
    <row r="353" spans="1:15" hidden="1">
      <c r="A353" s="75" t="str">
        <f t="shared" si="10"/>
        <v>AUTHEGOODGUYSLaptop17inch Laptop17inch Laptop</v>
      </c>
      <c r="B353" s="94" t="str">
        <f t="shared" si="11"/>
        <v>AU_THEGOODGUYS</v>
      </c>
      <c r="C353" s="93" t="s">
        <v>201</v>
      </c>
      <c r="D353" s="93" t="s">
        <v>209</v>
      </c>
      <c r="E353" s="93" t="s">
        <v>2407</v>
      </c>
      <c r="F353" s="93" t="s">
        <v>2409</v>
      </c>
      <c r="G353" s="93" t="s">
        <v>2409</v>
      </c>
      <c r="H353" s="93" t="e">
        <v>#N/A</v>
      </c>
      <c r="I353" s="105" t="s">
        <v>2310</v>
      </c>
      <c r="J353" s="93" t="s">
        <v>189</v>
      </c>
      <c r="K353" s="93">
        <v>106</v>
      </c>
      <c r="L353" s="93">
        <v>106</v>
      </c>
      <c r="M353" s="93" t="s">
        <v>2311</v>
      </c>
      <c r="N353" s="93">
        <f>VLOOKUP(B353,'[16]01.수집 카테고리(List)'!$A$2:$H$64,8,FALSE)</f>
        <v>99991231</v>
      </c>
      <c r="O353" s="93" t="s">
        <v>646</v>
      </c>
    </row>
    <row r="354" spans="1:15" hidden="1">
      <c r="A354" s="75" t="str">
        <f t="shared" si="10"/>
        <v>AUTHEGOODGUYSLaptopi7 laptopi7 laptop</v>
      </c>
      <c r="B354" s="94" t="str">
        <f t="shared" si="11"/>
        <v>AU_THEGOODGUYS</v>
      </c>
      <c r="C354" s="93" t="s">
        <v>201</v>
      </c>
      <c r="D354" s="93" t="s">
        <v>209</v>
      </c>
      <c r="E354" s="93" t="s">
        <v>2407</v>
      </c>
      <c r="F354" s="93" t="s">
        <v>2410</v>
      </c>
      <c r="G354" s="93" t="s">
        <v>2410</v>
      </c>
      <c r="H354" s="93" t="e">
        <v>#N/A</v>
      </c>
      <c r="I354" s="105" t="s">
        <v>2310</v>
      </c>
      <c r="J354" s="93" t="s">
        <v>189</v>
      </c>
      <c r="K354" s="93">
        <v>615</v>
      </c>
      <c r="L354" s="93">
        <v>615</v>
      </c>
      <c r="M354" s="93" t="s">
        <v>2311</v>
      </c>
      <c r="N354" s="93">
        <f>VLOOKUP(B354,'[16]01.수집 카테고리(List)'!$A$2:$H$64,8,FALSE)</f>
        <v>99991231</v>
      </c>
      <c r="O354" s="93" t="s">
        <v>646</v>
      </c>
    </row>
    <row r="355" spans="1:15" hidden="1">
      <c r="A355" s="75" t="str">
        <f t="shared" si="10"/>
        <v>AUTHEGOODGUYSLaptopLaptopLaptop</v>
      </c>
      <c r="B355" s="94" t="str">
        <f t="shared" si="11"/>
        <v>AU_THEGOODGUYS</v>
      </c>
      <c r="C355" s="93" t="s">
        <v>201</v>
      </c>
      <c r="D355" s="93" t="s">
        <v>209</v>
      </c>
      <c r="E355" s="93" t="s">
        <v>2407</v>
      </c>
      <c r="F355" s="93" t="s">
        <v>2407</v>
      </c>
      <c r="G355" s="93" t="s">
        <v>2407</v>
      </c>
      <c r="H355" s="93" t="e">
        <v>#N/A</v>
      </c>
      <c r="I355" s="105" t="s">
        <v>2310</v>
      </c>
      <c r="J355" s="93" t="s">
        <v>189</v>
      </c>
      <c r="K355" s="93">
        <v>17</v>
      </c>
      <c r="L355" s="93">
        <v>17</v>
      </c>
      <c r="M355" s="93" t="s">
        <v>2311</v>
      </c>
      <c r="N355" s="93">
        <f>VLOOKUP(B355,'[16]01.수집 카테고리(List)'!$A$2:$H$64,8,FALSE)</f>
        <v>99991231</v>
      </c>
      <c r="O355" s="93" t="s">
        <v>646</v>
      </c>
    </row>
    <row r="356" spans="1:15" hidden="1">
      <c r="A356" s="75" t="str">
        <f t="shared" si="10"/>
        <v>AUTHEGOODGUYSLaptopLightweight LaptopLightweight Laptop</v>
      </c>
      <c r="B356" s="94" t="str">
        <f t="shared" si="11"/>
        <v>AU_THEGOODGUYS</v>
      </c>
      <c r="C356" s="93" t="s">
        <v>201</v>
      </c>
      <c r="D356" s="93" t="s">
        <v>209</v>
      </c>
      <c r="E356" s="93" t="s">
        <v>2407</v>
      </c>
      <c r="F356" s="93" t="s">
        <v>2411</v>
      </c>
      <c r="G356" s="93" t="s">
        <v>2411</v>
      </c>
      <c r="H356" s="93" t="e">
        <v>#N/A</v>
      </c>
      <c r="I356" s="105" t="s">
        <v>2310</v>
      </c>
      <c r="J356" s="93" t="s">
        <v>189</v>
      </c>
      <c r="K356" s="93">
        <v>110</v>
      </c>
      <c r="L356" s="93">
        <v>110</v>
      </c>
      <c r="M356" s="93" t="s">
        <v>2311</v>
      </c>
      <c r="N356" s="93">
        <f>VLOOKUP(B356,'[16]01.수집 카테고리(List)'!$A$2:$H$64,8,FALSE)</f>
        <v>99991231</v>
      </c>
      <c r="O356" s="93" t="s">
        <v>646</v>
      </c>
    </row>
    <row r="357" spans="1:15" hidden="1">
      <c r="A357" s="75" t="str">
        <f t="shared" si="10"/>
        <v>AUTHEGOODGUYSMonitor4k monitor4k monitor</v>
      </c>
      <c r="B357" s="94" t="str">
        <f t="shared" si="11"/>
        <v>AU_THEGOODGUYS</v>
      </c>
      <c r="C357" s="93" t="s">
        <v>201</v>
      </c>
      <c r="D357" s="93" t="s">
        <v>209</v>
      </c>
      <c r="E357" s="93" t="s">
        <v>2320</v>
      </c>
      <c r="F357" s="93" t="s">
        <v>2321</v>
      </c>
      <c r="G357" s="93" t="s">
        <v>2321</v>
      </c>
      <c r="H357" s="93" t="e">
        <v>#N/A</v>
      </c>
      <c r="I357" s="105" t="s">
        <v>2310</v>
      </c>
      <c r="J357" s="93" t="s">
        <v>189</v>
      </c>
      <c r="K357" s="93">
        <v>1028</v>
      </c>
      <c r="L357" s="93">
        <v>1028</v>
      </c>
      <c r="M357" s="93" t="s">
        <v>2311</v>
      </c>
      <c r="N357" s="93">
        <f>VLOOKUP(B357,'[16]01.수집 카테고리(List)'!$A$2:$H$64,8,FALSE)</f>
        <v>99991231</v>
      </c>
      <c r="O357" s="93" t="s">
        <v>646</v>
      </c>
    </row>
    <row r="358" spans="1:15" hidden="1">
      <c r="A358" s="75" t="str">
        <f t="shared" si="10"/>
        <v>AUTHEGOODGUYSMonitorgaming monitorgaming monitor</v>
      </c>
      <c r="B358" s="94" t="str">
        <f t="shared" si="11"/>
        <v>AU_THEGOODGUYS</v>
      </c>
      <c r="C358" s="93" t="s">
        <v>201</v>
      </c>
      <c r="D358" s="93" t="s">
        <v>209</v>
      </c>
      <c r="E358" s="93" t="s">
        <v>2320</v>
      </c>
      <c r="F358" s="93" t="s">
        <v>2322</v>
      </c>
      <c r="G358" s="93" t="s">
        <v>2322</v>
      </c>
      <c r="H358" s="93" t="e">
        <v>#N/A</v>
      </c>
      <c r="I358" s="105" t="s">
        <v>2310</v>
      </c>
      <c r="J358" s="93" t="s">
        <v>189</v>
      </c>
      <c r="K358" s="93">
        <v>203</v>
      </c>
      <c r="L358" s="93">
        <v>203</v>
      </c>
      <c r="M358" s="93" t="s">
        <v>2311</v>
      </c>
      <c r="N358" s="93">
        <f>VLOOKUP(B358,'[16]01.수집 카테고리(List)'!$A$2:$H$64,8,FALSE)</f>
        <v>99991231</v>
      </c>
      <c r="O358" s="93" t="s">
        <v>646</v>
      </c>
    </row>
    <row r="359" spans="1:15" hidden="1">
      <c r="A359" s="75" t="str">
        <f t="shared" si="10"/>
        <v>AUTHEGOODGUYSMonitormonitormonitor</v>
      </c>
      <c r="B359" s="94" t="str">
        <f t="shared" si="11"/>
        <v>AU_THEGOODGUYS</v>
      </c>
      <c r="C359" s="93" t="s">
        <v>201</v>
      </c>
      <c r="D359" s="93" t="s">
        <v>209</v>
      </c>
      <c r="E359" s="93" t="s">
        <v>2320</v>
      </c>
      <c r="F359" s="93" t="s">
        <v>2323</v>
      </c>
      <c r="G359" s="93" t="s">
        <v>2323</v>
      </c>
      <c r="H359" s="93" t="e">
        <v>#N/A</v>
      </c>
      <c r="I359" s="105" t="s">
        <v>2310</v>
      </c>
      <c r="J359" s="93" t="s">
        <v>189</v>
      </c>
      <c r="K359" s="93">
        <v>1030</v>
      </c>
      <c r="L359" s="93">
        <v>1030</v>
      </c>
      <c r="M359" s="93" t="s">
        <v>2311</v>
      </c>
      <c r="N359" s="93">
        <f>VLOOKUP(B359,'[16]01.수집 카테고리(List)'!$A$2:$H$64,8,FALSE)</f>
        <v>99991231</v>
      </c>
      <c r="O359" s="93" t="s">
        <v>646</v>
      </c>
    </row>
    <row r="360" spans="1:15" hidden="1">
      <c r="A360" s="75" t="str">
        <f t="shared" si="10"/>
        <v>AUTHEGOODGUYSMonitoruhd monitoruhd monitor</v>
      </c>
      <c r="B360" s="94" t="str">
        <f t="shared" si="11"/>
        <v>AU_THEGOODGUYS</v>
      </c>
      <c r="C360" s="93" t="s">
        <v>201</v>
      </c>
      <c r="D360" s="93" t="s">
        <v>209</v>
      </c>
      <c r="E360" s="93" t="s">
        <v>2320</v>
      </c>
      <c r="F360" s="93" t="s">
        <v>2324</v>
      </c>
      <c r="G360" s="93" t="s">
        <v>2324</v>
      </c>
      <c r="H360" s="93" t="e">
        <v>#N/A</v>
      </c>
      <c r="I360" s="105" t="s">
        <v>2310</v>
      </c>
      <c r="J360" s="93" t="s">
        <v>189</v>
      </c>
      <c r="K360" s="93">
        <v>7</v>
      </c>
      <c r="L360" s="93">
        <v>7</v>
      </c>
      <c r="M360" s="93" t="s">
        <v>2311</v>
      </c>
      <c r="N360" s="93">
        <f>VLOOKUP(B360,'[16]01.수집 카테고리(List)'!$A$2:$H$64,8,FALSE)</f>
        <v>99991231</v>
      </c>
      <c r="O360" s="93" t="s">
        <v>646</v>
      </c>
    </row>
    <row r="361" spans="1:15" hidden="1">
      <c r="A361" s="75" t="str">
        <f t="shared" si="10"/>
        <v>AUTHEGOODGUYSMonitorultrawide monitorultrawide monitor</v>
      </c>
      <c r="B361" s="94" t="str">
        <f t="shared" si="11"/>
        <v>AU_THEGOODGUYS</v>
      </c>
      <c r="C361" s="93" t="s">
        <v>201</v>
      </c>
      <c r="D361" s="93" t="s">
        <v>209</v>
      </c>
      <c r="E361" s="93" t="s">
        <v>2320</v>
      </c>
      <c r="F361" s="93" t="s">
        <v>2325</v>
      </c>
      <c r="G361" s="93" t="s">
        <v>2325</v>
      </c>
      <c r="H361" s="93" t="e">
        <v>#N/A</v>
      </c>
      <c r="I361" s="105" t="s">
        <v>2310</v>
      </c>
      <c r="J361" s="93" t="s">
        <v>189</v>
      </c>
      <c r="K361" s="93">
        <v>10</v>
      </c>
      <c r="L361" s="93">
        <v>10</v>
      </c>
      <c r="M361" s="93" t="s">
        <v>2311</v>
      </c>
      <c r="N361" s="93">
        <f>VLOOKUP(B361,'[16]01.수집 카테고리(List)'!$A$2:$H$64,8,FALSE)</f>
        <v>99991231</v>
      </c>
      <c r="O361" s="93" t="s">
        <v>646</v>
      </c>
    </row>
    <row r="362" spans="1:15">
      <c r="A362" s="75" t="str">
        <f t="shared" si="10"/>
        <v>AUTHEGOODGUYSRefrigeratorbottom freezer refrigeratorBottom Mount Fridges</v>
      </c>
      <c r="B362" s="94" t="str">
        <f t="shared" si="11"/>
        <v>AU_THEGOODGUYS</v>
      </c>
      <c r="C362" s="93" t="s">
        <v>201</v>
      </c>
      <c r="D362" s="93" t="s">
        <v>209</v>
      </c>
      <c r="E362" s="93" t="s">
        <v>2326</v>
      </c>
      <c r="F362" s="93" t="s">
        <v>2327</v>
      </c>
      <c r="G362" s="93" t="s">
        <v>2412</v>
      </c>
      <c r="H362" s="93" t="e">
        <v>#N/A</v>
      </c>
      <c r="I362" s="105" t="s">
        <v>2310</v>
      </c>
      <c r="J362" s="93" t="s">
        <v>189</v>
      </c>
      <c r="K362" s="93">
        <v>10003</v>
      </c>
      <c r="L362" s="93" t="e">
        <v>#N/A</v>
      </c>
      <c r="M362" s="93" t="s">
        <v>2311</v>
      </c>
      <c r="N362" s="93">
        <f>VLOOKUP(B362,'[16]01.수집 카테고리(List)'!$A$2:$H$64,8,FALSE)</f>
        <v>99991231</v>
      </c>
      <c r="O362" s="93" t="s">
        <v>646</v>
      </c>
    </row>
    <row r="363" spans="1:15">
      <c r="A363" s="75" t="str">
        <f t="shared" si="10"/>
        <v>AUTHEGOODGUYSRefrigeratorfrench door refrigeratorFrench Door Fridges</v>
      </c>
      <c r="B363" s="94" t="str">
        <f t="shared" si="11"/>
        <v>AU_THEGOODGUYS</v>
      </c>
      <c r="C363" s="93" t="s">
        <v>201</v>
      </c>
      <c r="D363" s="93" t="s">
        <v>209</v>
      </c>
      <c r="E363" s="93" t="s">
        <v>2326</v>
      </c>
      <c r="F363" s="93" t="s">
        <v>2328</v>
      </c>
      <c r="G363" s="93" t="s">
        <v>2413</v>
      </c>
      <c r="H363" s="93" t="e">
        <v>#N/A</v>
      </c>
      <c r="I363" s="105" t="s">
        <v>2310</v>
      </c>
      <c r="J363" s="93" t="s">
        <v>189</v>
      </c>
      <c r="K363" s="93">
        <v>13279</v>
      </c>
      <c r="L363" s="93" t="e">
        <v>#N/A</v>
      </c>
      <c r="M363" s="93" t="s">
        <v>2311</v>
      </c>
      <c r="N363" s="93">
        <f>VLOOKUP(B363,'[16]01.수집 카테고리(List)'!$A$2:$H$64,8,FALSE)</f>
        <v>99991231</v>
      </c>
      <c r="O363" s="93" t="s">
        <v>646</v>
      </c>
    </row>
    <row r="364" spans="1:15">
      <c r="A364" s="75" t="str">
        <f t="shared" si="10"/>
        <v>AUTHEGOODGUYSRefrigeratorfridgeFridges</v>
      </c>
      <c r="B364" s="94" t="str">
        <f t="shared" si="11"/>
        <v>AU_THEGOODGUYS</v>
      </c>
      <c r="C364" s="93" t="s">
        <v>201</v>
      </c>
      <c r="D364" s="93" t="s">
        <v>209</v>
      </c>
      <c r="E364" s="93" t="s">
        <v>2326</v>
      </c>
      <c r="F364" s="93" t="s">
        <v>2414</v>
      </c>
      <c r="G364" s="93" t="s">
        <v>2415</v>
      </c>
      <c r="H364" s="93" t="e">
        <v>#N/A</v>
      </c>
      <c r="I364" s="105" t="s">
        <v>2310</v>
      </c>
      <c r="J364" s="93" t="s">
        <v>189</v>
      </c>
      <c r="K364" s="93">
        <v>31342</v>
      </c>
      <c r="L364" s="93" t="e">
        <v>#N/A</v>
      </c>
      <c r="M364" s="93" t="s">
        <v>2311</v>
      </c>
      <c r="N364" s="93">
        <f>VLOOKUP(B364,'[16]01.수집 카테고리(List)'!$A$2:$H$64,8,FALSE)</f>
        <v>99991231</v>
      </c>
      <c r="O364" s="93" t="s">
        <v>646</v>
      </c>
    </row>
    <row r="365" spans="1:15">
      <c r="A365" s="75" t="str">
        <f t="shared" si="10"/>
        <v>AUTHEGOODGUYSRefrigeratorrefrigeratorrefrigerator</v>
      </c>
      <c r="B365" s="94" t="str">
        <f t="shared" si="11"/>
        <v>AU_THEGOODGUYS</v>
      </c>
      <c r="C365" s="93" t="s">
        <v>201</v>
      </c>
      <c r="D365" s="93" t="s">
        <v>209</v>
      </c>
      <c r="E365" s="93" t="s">
        <v>2326</v>
      </c>
      <c r="F365" s="93" t="s">
        <v>2329</v>
      </c>
      <c r="G365" s="93" t="s">
        <v>2329</v>
      </c>
      <c r="H365" s="93" t="e">
        <v>#N/A</v>
      </c>
      <c r="I365" s="105" t="s">
        <v>2310</v>
      </c>
      <c r="J365" s="93" t="s">
        <v>189</v>
      </c>
      <c r="K365" s="93">
        <v>30945</v>
      </c>
      <c r="L365" s="93">
        <v>30945</v>
      </c>
      <c r="M365" s="93" t="s">
        <v>2311</v>
      </c>
      <c r="N365" s="93">
        <f>VLOOKUP(B365,'[16]01.수집 카테고리(List)'!$A$2:$H$64,8,FALSE)</f>
        <v>99991231</v>
      </c>
      <c r="O365" s="93" t="s">
        <v>646</v>
      </c>
    </row>
    <row r="366" spans="1:15">
      <c r="A366" s="75" t="str">
        <f t="shared" si="10"/>
        <v>AUTHEGOODGUYSRefrigeratorside by side refrigeratorSide by Side Fridges</v>
      </c>
      <c r="B366" s="94" t="str">
        <f t="shared" si="11"/>
        <v>AU_THEGOODGUYS</v>
      </c>
      <c r="C366" s="93" t="s">
        <v>201</v>
      </c>
      <c r="D366" s="93" t="s">
        <v>209</v>
      </c>
      <c r="E366" s="93" t="s">
        <v>2326</v>
      </c>
      <c r="F366" s="93" t="s">
        <v>2330</v>
      </c>
      <c r="G366" s="93" t="s">
        <v>2416</v>
      </c>
      <c r="H366" s="93" t="e">
        <v>#N/A</v>
      </c>
      <c r="I366" s="105" t="s">
        <v>2310</v>
      </c>
      <c r="J366" s="93" t="s">
        <v>189</v>
      </c>
      <c r="K366" s="93">
        <v>21777</v>
      </c>
      <c r="L366" s="93" t="e">
        <v>#N/A</v>
      </c>
      <c r="M366" s="93" t="s">
        <v>2311</v>
      </c>
      <c r="N366" s="93">
        <f>VLOOKUP(B366,'[16]01.수집 카테고리(List)'!$A$2:$H$64,8,FALSE)</f>
        <v>99991231</v>
      </c>
      <c r="O366" s="93" t="s">
        <v>646</v>
      </c>
    </row>
    <row r="367" spans="1:15">
      <c r="A367" s="75" t="str">
        <f t="shared" si="10"/>
        <v>AUTHEGOODGUYSRefrigeratortop freezer refrigeratorTop Mount Fridges</v>
      </c>
      <c r="B367" s="94" t="str">
        <f t="shared" si="11"/>
        <v>AU_THEGOODGUYS</v>
      </c>
      <c r="C367" s="93" t="s">
        <v>201</v>
      </c>
      <c r="D367" s="93" t="s">
        <v>209</v>
      </c>
      <c r="E367" s="93" t="s">
        <v>2326</v>
      </c>
      <c r="F367" s="93" t="s">
        <v>2332</v>
      </c>
      <c r="G367" s="93" t="s">
        <v>2417</v>
      </c>
      <c r="H367" s="93" t="e">
        <v>#N/A</v>
      </c>
      <c r="I367" s="105" t="s">
        <v>2310</v>
      </c>
      <c r="J367" s="93" t="s">
        <v>189</v>
      </c>
      <c r="K367" s="93">
        <v>16719</v>
      </c>
      <c r="L367" s="93" t="e">
        <v>#N/A</v>
      </c>
      <c r="M367" s="93" t="s">
        <v>2311</v>
      </c>
      <c r="N367" s="93">
        <f>VLOOKUP(B367,'[16]01.수집 카테고리(List)'!$A$2:$H$64,8,FALSE)</f>
        <v>99991231</v>
      </c>
      <c r="O367" s="93" t="s">
        <v>646</v>
      </c>
    </row>
    <row r="368" spans="1:15" hidden="1">
      <c r="A368" s="75" t="str">
        <f t="shared" si="10"/>
        <v>AUTHEGOODGUYSSOUNDBARSound barSound bar</v>
      </c>
      <c r="B368" s="94" t="str">
        <f t="shared" si="11"/>
        <v>AU_THEGOODGUYS</v>
      </c>
      <c r="C368" s="93" t="s">
        <v>201</v>
      </c>
      <c r="D368" s="93" t="s">
        <v>2446</v>
      </c>
      <c r="E368" s="93" t="s">
        <v>165</v>
      </c>
      <c r="F368" s="93" t="s">
        <v>2365</v>
      </c>
      <c r="G368" s="93" t="s">
        <v>2447</v>
      </c>
      <c r="H368" s="93" t="e">
        <v>#N/A</v>
      </c>
      <c r="I368" s="105" t="s">
        <v>2310</v>
      </c>
      <c r="J368" s="93" t="s">
        <v>189</v>
      </c>
      <c r="K368" s="93" t="e">
        <v>#N/A</v>
      </c>
      <c r="L368" s="93" t="e">
        <v>#N/A</v>
      </c>
      <c r="M368" s="93" t="s">
        <v>2393</v>
      </c>
      <c r="N368" s="93">
        <f>VLOOKUP(B368,'[16]01.수집 카테고리(List)'!$A$2:$H$64,8,FALSE)</f>
        <v>99991231</v>
      </c>
      <c r="O368" s="93" t="s">
        <v>647</v>
      </c>
    </row>
    <row r="369" spans="1:15" hidden="1">
      <c r="A369" s="75" t="str">
        <f t="shared" si="10"/>
        <v>AUTHEGOODGUYSSOUNDBARSound barsSound bars</v>
      </c>
      <c r="B369" s="94" t="str">
        <f t="shared" si="11"/>
        <v>AU_THEGOODGUYS</v>
      </c>
      <c r="C369" s="93" t="s">
        <v>201</v>
      </c>
      <c r="D369" s="93" t="s">
        <v>209</v>
      </c>
      <c r="E369" s="93" t="s">
        <v>165</v>
      </c>
      <c r="F369" s="93" t="s">
        <v>2366</v>
      </c>
      <c r="G369" s="93" t="s">
        <v>2366</v>
      </c>
      <c r="H369" s="93" t="e">
        <v>#N/A</v>
      </c>
      <c r="I369" s="105" t="s">
        <v>2310</v>
      </c>
      <c r="J369" s="93" t="s">
        <v>189</v>
      </c>
      <c r="K369" s="93">
        <v>21896</v>
      </c>
      <c r="L369" s="93">
        <v>21896</v>
      </c>
      <c r="M369" s="93" t="s">
        <v>2311</v>
      </c>
      <c r="N369" s="93">
        <f>VLOOKUP(B369,'[16]01.수집 카테고리(List)'!$A$2:$H$64,8,FALSE)</f>
        <v>99991231</v>
      </c>
      <c r="O369" s="93" t="s">
        <v>646</v>
      </c>
    </row>
    <row r="370" spans="1:15" hidden="1">
      <c r="A370" s="75" t="str">
        <f t="shared" si="10"/>
        <v>AUTHEGOODGUYSSOUNDBARSound systemSound bars for tv</v>
      </c>
      <c r="B370" s="94" t="str">
        <f t="shared" si="11"/>
        <v>AU_THEGOODGUYS</v>
      </c>
      <c r="C370" s="93" t="s">
        <v>201</v>
      </c>
      <c r="D370" s="93" t="s">
        <v>209</v>
      </c>
      <c r="E370" s="93" t="s">
        <v>165</v>
      </c>
      <c r="F370" s="93" t="s">
        <v>2359</v>
      </c>
      <c r="G370" s="93" t="s">
        <v>2430</v>
      </c>
      <c r="H370" s="93" t="e">
        <v>#N/A</v>
      </c>
      <c r="I370" s="105" t="s">
        <v>2310</v>
      </c>
      <c r="J370" s="93" t="s">
        <v>189</v>
      </c>
      <c r="K370" s="93">
        <v>14581</v>
      </c>
      <c r="L370" s="93">
        <v>1216</v>
      </c>
      <c r="M370" s="93" t="s">
        <v>2311</v>
      </c>
      <c r="N370" s="93">
        <f>VLOOKUP(B370,'[16]01.수집 카테고리(List)'!$A$2:$H$64,8,FALSE)</f>
        <v>99991231</v>
      </c>
      <c r="O370" s="93" t="s">
        <v>646</v>
      </c>
    </row>
    <row r="371" spans="1:15" hidden="1">
      <c r="A371" s="75" t="str">
        <f t="shared" si="10"/>
        <v>AUTHEGOODGUYSSOUNDBARSoundbarSoundbar</v>
      </c>
      <c r="B371" s="94" t="str">
        <f t="shared" si="11"/>
        <v>AU_THEGOODGUYS</v>
      </c>
      <c r="C371" s="93" t="s">
        <v>201</v>
      </c>
      <c r="D371" s="93" t="s">
        <v>209</v>
      </c>
      <c r="E371" s="93" t="s">
        <v>165</v>
      </c>
      <c r="F371" s="93" t="s">
        <v>2363</v>
      </c>
      <c r="G371" s="93" t="s">
        <v>2363</v>
      </c>
      <c r="H371" s="93" t="e">
        <v>#N/A</v>
      </c>
      <c r="I371" s="105" t="s">
        <v>2310</v>
      </c>
      <c r="J371" s="93" t="s">
        <v>189</v>
      </c>
      <c r="K371" s="93">
        <v>20581</v>
      </c>
      <c r="L371" s="93">
        <v>20581</v>
      </c>
      <c r="M371" s="93" t="s">
        <v>2311</v>
      </c>
      <c r="N371" s="93">
        <f>VLOOKUP(B371,'[16]01.수집 카테고리(List)'!$A$2:$H$64,8,FALSE)</f>
        <v>99991231</v>
      </c>
      <c r="O371" s="93" t="s">
        <v>646</v>
      </c>
    </row>
    <row r="372" spans="1:15" hidden="1">
      <c r="A372" s="75" t="str">
        <f t="shared" si="10"/>
        <v>AUTHEGOODGUYSSOUNDBARSoundbarsSoundbars</v>
      </c>
      <c r="B372" s="94" t="str">
        <f t="shared" si="11"/>
        <v>AU_THEGOODGUYS</v>
      </c>
      <c r="C372" s="93" t="s">
        <v>201</v>
      </c>
      <c r="D372" s="93" t="s">
        <v>209</v>
      </c>
      <c r="E372" s="93" t="s">
        <v>165</v>
      </c>
      <c r="F372" s="93" t="s">
        <v>2361</v>
      </c>
      <c r="G372" s="93" t="s">
        <v>2361</v>
      </c>
      <c r="H372" s="93" t="e">
        <v>#N/A</v>
      </c>
      <c r="I372" s="105" t="s">
        <v>2310</v>
      </c>
      <c r="J372" s="93" t="s">
        <v>189</v>
      </c>
      <c r="K372" s="93">
        <v>587</v>
      </c>
      <c r="L372" s="93">
        <v>587</v>
      </c>
      <c r="M372" s="93" t="s">
        <v>2311</v>
      </c>
      <c r="N372" s="93">
        <f>VLOOKUP(B372,'[16]01.수집 카테고리(List)'!$A$2:$H$64,8,FALSE)</f>
        <v>99991231</v>
      </c>
      <c r="O372" s="93" t="s">
        <v>646</v>
      </c>
    </row>
    <row r="373" spans="1:15" hidden="1">
      <c r="A373" s="75" t="str">
        <f t="shared" si="10"/>
        <v>AUTHEGOODGUYSTV4k TV4k TV</v>
      </c>
      <c r="B373" s="94" t="str">
        <f t="shared" si="11"/>
        <v>AU_THEGOODGUYS</v>
      </c>
      <c r="C373" s="93" t="s">
        <v>201</v>
      </c>
      <c r="D373" s="93" t="s">
        <v>209</v>
      </c>
      <c r="E373" s="93" t="s">
        <v>161</v>
      </c>
      <c r="F373" s="93" t="s">
        <v>2368</v>
      </c>
      <c r="G373" s="93" t="s">
        <v>2368</v>
      </c>
      <c r="H373" s="93" t="e">
        <v>#N/A</v>
      </c>
      <c r="I373" s="105" t="s">
        <v>2310</v>
      </c>
      <c r="J373" s="93" t="s">
        <v>189</v>
      </c>
      <c r="K373" s="93">
        <v>45166</v>
      </c>
      <c r="L373" s="93">
        <v>45166</v>
      </c>
      <c r="M373" s="93" t="s">
        <v>2311</v>
      </c>
      <c r="N373" s="93">
        <f>VLOOKUP(B373,'[16]01.수집 카테고리(List)'!$A$2:$H$64,8,FALSE)</f>
        <v>99991231</v>
      </c>
      <c r="O373" s="93" t="s">
        <v>646</v>
      </c>
    </row>
    <row r="374" spans="1:15" hidden="1">
      <c r="A374" s="75" t="str">
        <f t="shared" si="10"/>
        <v>AUTHEGOODGUYSTVoled TVoled TV</v>
      </c>
      <c r="B374" s="94" t="str">
        <f t="shared" si="11"/>
        <v>AU_THEGOODGUYS</v>
      </c>
      <c r="C374" s="93" t="s">
        <v>201</v>
      </c>
      <c r="D374" s="93" t="s">
        <v>209</v>
      </c>
      <c r="E374" s="93" t="s">
        <v>161</v>
      </c>
      <c r="F374" s="93" t="s">
        <v>2369</v>
      </c>
      <c r="G374" s="93" t="s">
        <v>2369</v>
      </c>
      <c r="H374" s="93" t="e">
        <v>#N/A</v>
      </c>
      <c r="I374" s="105" t="s">
        <v>2310</v>
      </c>
      <c r="J374" s="93" t="s">
        <v>189</v>
      </c>
      <c r="K374" s="93">
        <v>11753</v>
      </c>
      <c r="L374" s="93">
        <v>11753</v>
      </c>
      <c r="M374" s="93" t="s">
        <v>2311</v>
      </c>
      <c r="N374" s="93">
        <f>VLOOKUP(B374,'[16]01.수집 카테고리(List)'!$A$2:$H$64,8,FALSE)</f>
        <v>99991231</v>
      </c>
      <c r="O374" s="93" t="s">
        <v>646</v>
      </c>
    </row>
    <row r="375" spans="1:15" hidden="1">
      <c r="A375" s="75" t="str">
        <f t="shared" si="10"/>
        <v>AUTHEGOODGUYSTVsmart TVsmart TV</v>
      </c>
      <c r="B375" s="94" t="str">
        <f t="shared" si="11"/>
        <v>AU_THEGOODGUYS</v>
      </c>
      <c r="C375" s="93" t="s">
        <v>201</v>
      </c>
      <c r="D375" s="93" t="s">
        <v>209</v>
      </c>
      <c r="E375" s="93" t="s">
        <v>161</v>
      </c>
      <c r="F375" s="93" t="s">
        <v>2371</v>
      </c>
      <c r="G375" s="93" t="s">
        <v>2371</v>
      </c>
      <c r="H375" s="93" t="e">
        <v>#N/A</v>
      </c>
      <c r="I375" s="105" t="s">
        <v>2310</v>
      </c>
      <c r="J375" s="93" t="s">
        <v>189</v>
      </c>
      <c r="K375" s="93">
        <v>26456</v>
      </c>
      <c r="L375" s="93">
        <v>26456</v>
      </c>
      <c r="M375" s="93" t="s">
        <v>2311</v>
      </c>
      <c r="N375" s="93">
        <f>VLOOKUP(B375,'[16]01.수집 카테고리(List)'!$A$2:$H$64,8,FALSE)</f>
        <v>99991231</v>
      </c>
      <c r="O375" s="93" t="s">
        <v>646</v>
      </c>
    </row>
    <row r="376" spans="1:15" hidden="1">
      <c r="A376" s="75" t="str">
        <f t="shared" si="10"/>
        <v>AUTHEGOODGUYSTVTVTV</v>
      </c>
      <c r="B376" s="94" t="str">
        <f t="shared" si="11"/>
        <v>AU_THEGOODGUYS</v>
      </c>
      <c r="C376" s="93" t="s">
        <v>201</v>
      </c>
      <c r="D376" s="93" t="s">
        <v>209</v>
      </c>
      <c r="E376" s="93" t="s">
        <v>161</v>
      </c>
      <c r="F376" s="93" t="s">
        <v>161</v>
      </c>
      <c r="G376" s="93" t="s">
        <v>2448</v>
      </c>
      <c r="H376" s="93" t="e">
        <v>#N/A</v>
      </c>
      <c r="I376" s="105" t="s">
        <v>2310</v>
      </c>
      <c r="J376" s="93" t="s">
        <v>189</v>
      </c>
      <c r="K376" s="93" t="e">
        <v>#N/A</v>
      </c>
      <c r="L376" s="93" t="e">
        <v>#N/A</v>
      </c>
      <c r="M376" s="93" t="s">
        <v>2393</v>
      </c>
      <c r="N376" s="93">
        <f>VLOOKUP(B376,'[16]01.수집 카테고리(List)'!$A$2:$H$64,8,FALSE)</f>
        <v>99991231</v>
      </c>
      <c r="O376" s="93" t="s">
        <v>646</v>
      </c>
    </row>
    <row r="377" spans="1:15" hidden="1">
      <c r="A377" s="75" t="str">
        <f t="shared" si="10"/>
        <v>AUTHEGOODGUYSTVuhd TVuhd TV</v>
      </c>
      <c r="B377" s="94" t="str">
        <f t="shared" si="11"/>
        <v>AU_THEGOODGUYS</v>
      </c>
      <c r="C377" s="93" t="s">
        <v>201</v>
      </c>
      <c r="D377" s="93" t="s">
        <v>209</v>
      </c>
      <c r="E377" s="93" t="s">
        <v>161</v>
      </c>
      <c r="F377" s="93" t="s">
        <v>2399</v>
      </c>
      <c r="G377" s="93" t="s">
        <v>2399</v>
      </c>
      <c r="H377" s="93" t="e">
        <v>#N/A</v>
      </c>
      <c r="I377" s="105" t="s">
        <v>2310</v>
      </c>
      <c r="J377" s="93" t="s">
        <v>189</v>
      </c>
      <c r="K377" s="93">
        <v>20303</v>
      </c>
      <c r="L377" s="93">
        <v>20303</v>
      </c>
      <c r="M377" s="93" t="s">
        <v>2311</v>
      </c>
      <c r="N377" s="93">
        <f>VLOOKUP(B377,'[16]01.수집 카테고리(List)'!$A$2:$H$64,8,FALSE)</f>
        <v>99991231</v>
      </c>
      <c r="O377" s="93" t="s">
        <v>646</v>
      </c>
    </row>
    <row r="378" spans="1:15">
      <c r="A378" s="75" t="str">
        <f t="shared" si="10"/>
        <v>AUTHEGOODGUYSWashing Machinefront loaderFront Load Washing Machines</v>
      </c>
      <c r="B378" s="94" t="str">
        <f t="shared" si="11"/>
        <v>AU_THEGOODGUYS</v>
      </c>
      <c r="C378" s="93" t="s">
        <v>201</v>
      </c>
      <c r="D378" s="93" t="s">
        <v>209</v>
      </c>
      <c r="E378" s="93" t="s">
        <v>2333</v>
      </c>
      <c r="F378" s="93" t="s">
        <v>2334</v>
      </c>
      <c r="G378" s="93" t="s">
        <v>2418</v>
      </c>
      <c r="H378" s="93" t="e">
        <v>#N/A</v>
      </c>
      <c r="I378" s="105" t="s">
        <v>2310</v>
      </c>
      <c r="J378" s="93" t="s">
        <v>189</v>
      </c>
      <c r="K378" s="93">
        <v>16323</v>
      </c>
      <c r="L378" s="93" t="e">
        <v>#N/A</v>
      </c>
      <c r="M378" s="93" t="s">
        <v>2311</v>
      </c>
      <c r="N378" s="93">
        <f>VLOOKUP(B378,'[16]01.수집 카테고리(List)'!$A$2:$H$64,8,FALSE)</f>
        <v>99991231</v>
      </c>
      <c r="O378" s="93" t="s">
        <v>646</v>
      </c>
    </row>
    <row r="379" spans="1:15">
      <c r="A379" s="75" t="str">
        <f t="shared" si="10"/>
        <v>AUTHEGOODGUYSWashing Machinetop loaderTop Load Washing Machines</v>
      </c>
      <c r="B379" s="94" t="str">
        <f t="shared" si="11"/>
        <v>AU_THEGOODGUYS</v>
      </c>
      <c r="C379" s="93" t="s">
        <v>201</v>
      </c>
      <c r="D379" s="93" t="s">
        <v>209</v>
      </c>
      <c r="E379" s="93" t="s">
        <v>2333</v>
      </c>
      <c r="F379" s="93" t="s">
        <v>2336</v>
      </c>
      <c r="G379" s="93" t="s">
        <v>2419</v>
      </c>
      <c r="H379" s="93" t="e">
        <v>#N/A</v>
      </c>
      <c r="I379" s="105" t="s">
        <v>2310</v>
      </c>
      <c r="J379" s="93" t="s">
        <v>189</v>
      </c>
      <c r="K379" s="93">
        <v>30252</v>
      </c>
      <c r="L379" s="93" t="e">
        <v>#N/A</v>
      </c>
      <c r="M379" s="93" t="s">
        <v>2311</v>
      </c>
      <c r="N379" s="93">
        <f>VLOOKUP(B379,'[16]01.수집 카테고리(List)'!$A$2:$H$64,8,FALSE)</f>
        <v>99991231</v>
      </c>
      <c r="O379" s="93" t="s">
        <v>646</v>
      </c>
    </row>
    <row r="380" spans="1:15">
      <c r="A380" s="75" t="str">
        <f t="shared" si="10"/>
        <v>AUTHEGOODGUYSWashing Machinewasher dryer comboWasher Dryer Combos</v>
      </c>
      <c r="B380" s="94" t="str">
        <f t="shared" si="11"/>
        <v>AU_THEGOODGUYS</v>
      </c>
      <c r="C380" s="93" t="s">
        <v>201</v>
      </c>
      <c r="D380" s="93" t="s">
        <v>209</v>
      </c>
      <c r="E380" s="93" t="s">
        <v>2333</v>
      </c>
      <c r="F380" s="93" t="s">
        <v>2338</v>
      </c>
      <c r="G380" s="93" t="s">
        <v>2420</v>
      </c>
      <c r="H380" s="93" t="e">
        <v>#N/A</v>
      </c>
      <c r="I380" s="105" t="s">
        <v>2310</v>
      </c>
      <c r="J380" s="93" t="s">
        <v>189</v>
      </c>
      <c r="K380" s="93">
        <v>1875</v>
      </c>
      <c r="L380" s="93" t="e">
        <v>#N/A</v>
      </c>
      <c r="M380" s="93" t="s">
        <v>2311</v>
      </c>
      <c r="N380" s="93">
        <f>VLOOKUP(B380,'[16]01.수집 카테고리(List)'!$A$2:$H$64,8,FALSE)</f>
        <v>99991231</v>
      </c>
      <c r="O380" s="93" t="s">
        <v>646</v>
      </c>
    </row>
    <row r="381" spans="1:15">
      <c r="A381" s="75" t="str">
        <f t="shared" si="10"/>
        <v>AUTHEGOODGUYSWashing Machinewashing machineWashing Machines</v>
      </c>
      <c r="B381" s="94" t="str">
        <f t="shared" si="11"/>
        <v>AU_THEGOODGUYS</v>
      </c>
      <c r="C381" s="93" t="s">
        <v>201</v>
      </c>
      <c r="D381" s="93" t="s">
        <v>209</v>
      </c>
      <c r="E381" s="93" t="s">
        <v>2333</v>
      </c>
      <c r="F381" s="93" t="s">
        <v>2340</v>
      </c>
      <c r="G381" s="93" t="s">
        <v>2421</v>
      </c>
      <c r="H381" s="93" t="e">
        <v>#N/A</v>
      </c>
      <c r="I381" s="105" t="s">
        <v>2310</v>
      </c>
      <c r="J381" s="93" t="s">
        <v>189</v>
      </c>
      <c r="K381" s="93">
        <v>21331</v>
      </c>
      <c r="L381" s="93" t="e">
        <v>#N/A</v>
      </c>
      <c r="M381" s="93" t="s">
        <v>2311</v>
      </c>
      <c r="N381" s="93">
        <f>VLOOKUP(B381,'[16]01.수집 카테고리(List)'!$A$2:$H$64,8,FALSE)</f>
        <v>99991231</v>
      </c>
      <c r="O381" s="93" t="s">
        <v>646</v>
      </c>
    </row>
    <row r="382" spans="1:15" hidden="1">
      <c r="A382" s="75" t="str">
        <f t="shared" si="10"/>
        <v>AUTHEGOODGUYSWIRELESS HEADSETBluetooth earbudsBluetooth earbuds</v>
      </c>
      <c r="B382" s="94" t="str">
        <f t="shared" si="11"/>
        <v>AU_THEGOODGUYS</v>
      </c>
      <c r="C382" s="93" t="s">
        <v>201</v>
      </c>
      <c r="D382" s="93" t="s">
        <v>209</v>
      </c>
      <c r="E382" s="93" t="s">
        <v>2201</v>
      </c>
      <c r="F382" s="93" t="s">
        <v>2382</v>
      </c>
      <c r="G382" s="93" t="s">
        <v>2382</v>
      </c>
      <c r="H382" s="93" t="e">
        <v>#N/A</v>
      </c>
      <c r="I382" s="105" t="s">
        <v>2310</v>
      </c>
      <c r="J382" s="93" t="s">
        <v>189</v>
      </c>
      <c r="K382" s="93">
        <v>2097</v>
      </c>
      <c r="L382" s="93">
        <v>2097</v>
      </c>
      <c r="M382" s="93" t="s">
        <v>2311</v>
      </c>
      <c r="N382" s="93">
        <f>VLOOKUP(B382,'[16]01.수집 카테고리(List)'!$A$2:$H$64,8,FALSE)</f>
        <v>99991231</v>
      </c>
      <c r="O382" s="93" t="s">
        <v>646</v>
      </c>
    </row>
    <row r="383" spans="1:15" hidden="1">
      <c r="A383" s="75" t="str">
        <f t="shared" si="10"/>
        <v>AUTHEGOODGUYSWIRELESS HEADSETEar budsEar buds</v>
      </c>
      <c r="B383" s="94" t="str">
        <f t="shared" si="11"/>
        <v>AU_THEGOODGUYS</v>
      </c>
      <c r="C383" s="93" t="s">
        <v>201</v>
      </c>
      <c r="D383" s="93" t="s">
        <v>209</v>
      </c>
      <c r="E383" s="93" t="s">
        <v>2201</v>
      </c>
      <c r="F383" s="93" t="s">
        <v>2380</v>
      </c>
      <c r="G383" s="93" t="s">
        <v>2380</v>
      </c>
      <c r="H383" s="93" t="e">
        <v>#N/A</v>
      </c>
      <c r="I383" s="105" t="s">
        <v>2310</v>
      </c>
      <c r="J383" s="93" t="s">
        <v>189</v>
      </c>
      <c r="K383" s="93">
        <v>2651</v>
      </c>
      <c r="L383" s="93">
        <v>2651</v>
      </c>
      <c r="M383" s="93" t="s">
        <v>2311</v>
      </c>
      <c r="N383" s="93">
        <f>VLOOKUP(B383,'[16]01.수집 카테고리(List)'!$A$2:$H$64,8,FALSE)</f>
        <v>99991231</v>
      </c>
      <c r="O383" s="93" t="s">
        <v>646</v>
      </c>
    </row>
    <row r="384" spans="1:15" hidden="1">
      <c r="A384" s="75" t="str">
        <f t="shared" si="10"/>
        <v>AUTHEGOODGUYSWIRELESS HEADSETNoise cancelling earbudsNoise cancelling earbuds</v>
      </c>
      <c r="B384" s="94" t="str">
        <f t="shared" si="11"/>
        <v>AU_THEGOODGUYS</v>
      </c>
      <c r="C384" s="93" t="s">
        <v>201</v>
      </c>
      <c r="D384" s="93" t="s">
        <v>209</v>
      </c>
      <c r="E384" s="93" t="s">
        <v>2201</v>
      </c>
      <c r="F384" s="93" t="s">
        <v>2378</v>
      </c>
      <c r="G384" s="93" t="s">
        <v>2378</v>
      </c>
      <c r="H384" s="93" t="e">
        <v>#N/A</v>
      </c>
      <c r="I384" s="105" t="s">
        <v>2310</v>
      </c>
      <c r="J384" s="93" t="s">
        <v>189</v>
      </c>
      <c r="K384" s="93">
        <v>17195</v>
      </c>
      <c r="L384" s="93">
        <v>17195</v>
      </c>
      <c r="M384" s="93" t="s">
        <v>2311</v>
      </c>
      <c r="N384" s="93">
        <f>VLOOKUP(B384,'[16]01.수집 카테고리(List)'!$A$2:$H$64,8,FALSE)</f>
        <v>99991231</v>
      </c>
      <c r="O384" s="93" t="s">
        <v>646</v>
      </c>
    </row>
    <row r="385" spans="1:15" hidden="1">
      <c r="A385" s="75" t="str">
        <f t="shared" si="10"/>
        <v>AUTHEGOODGUYSWIRELESS HEADSETTrue wireless earbudsTrue wireless earbuds</v>
      </c>
      <c r="B385" s="94" t="str">
        <f t="shared" si="11"/>
        <v>AU_THEGOODGUYS</v>
      </c>
      <c r="C385" s="93" t="s">
        <v>201</v>
      </c>
      <c r="D385" s="93" t="s">
        <v>209</v>
      </c>
      <c r="E385" s="93" t="s">
        <v>2201</v>
      </c>
      <c r="F385" s="93" t="s">
        <v>2374</v>
      </c>
      <c r="G385" s="93" t="s">
        <v>2374</v>
      </c>
      <c r="H385" s="93" t="e">
        <v>#N/A</v>
      </c>
      <c r="I385" s="105" t="s">
        <v>2310</v>
      </c>
      <c r="J385" s="93" t="s">
        <v>189</v>
      </c>
      <c r="K385" s="93">
        <v>16745</v>
      </c>
      <c r="L385" s="93">
        <v>16745</v>
      </c>
      <c r="M385" s="93" t="s">
        <v>2311</v>
      </c>
      <c r="N385" s="93">
        <f>VLOOKUP(B385,'[16]01.수집 카테고리(List)'!$A$2:$H$64,8,FALSE)</f>
        <v>99991231</v>
      </c>
      <c r="O385" s="93" t="s">
        <v>646</v>
      </c>
    </row>
    <row r="386" spans="1:15" hidden="1">
      <c r="A386" s="75" t="str">
        <f t="shared" si="10"/>
        <v>AUTHEGOODGUYSWIRELESS HEADSETWireless earbudsWireless earbuds</v>
      </c>
      <c r="B386" s="94" t="str">
        <f t="shared" si="11"/>
        <v>AU_THEGOODGUYS</v>
      </c>
      <c r="C386" s="93" t="s">
        <v>201</v>
      </c>
      <c r="D386" s="93" t="s">
        <v>209</v>
      </c>
      <c r="E386" s="93" t="s">
        <v>2201</v>
      </c>
      <c r="F386" s="93" t="s">
        <v>2376</v>
      </c>
      <c r="G386" s="93" t="s">
        <v>2376</v>
      </c>
      <c r="H386" s="93" t="e">
        <v>#N/A</v>
      </c>
      <c r="I386" s="105" t="s">
        <v>2310</v>
      </c>
      <c r="J386" s="93" t="s">
        <v>189</v>
      </c>
      <c r="K386" s="93">
        <v>16700</v>
      </c>
      <c r="L386" s="93">
        <v>16700</v>
      </c>
      <c r="M386" s="93" t="s">
        <v>2311</v>
      </c>
      <c r="N386" s="93">
        <f>VLOOKUP(B386,'[16]01.수집 카테고리(List)'!$A$2:$H$64,8,FALSE)</f>
        <v>99991231</v>
      </c>
      <c r="O386" s="93" t="s">
        <v>646</v>
      </c>
    </row>
    <row r="387" spans="1:15" s="108" customFormat="1" hidden="1">
      <c r="A387" s="108" t="str">
        <f t="shared" si="10"/>
        <v>AUTHEGOODGUYSAir Conditionerair conditionerair conditioner</v>
      </c>
      <c r="B387" s="109" t="str">
        <f t="shared" si="11"/>
        <v>AU_THEGOODGUYS</v>
      </c>
      <c r="C387" s="110" t="s">
        <v>201</v>
      </c>
      <c r="D387" s="110" t="s">
        <v>209</v>
      </c>
      <c r="E387" s="110" t="s">
        <v>2346</v>
      </c>
      <c r="F387" s="110" t="s">
        <v>2347</v>
      </c>
      <c r="G387" s="110" t="s">
        <v>2347</v>
      </c>
      <c r="H387" s="93" t="e">
        <v>#N/A</v>
      </c>
      <c r="I387" s="99">
        <v>46076</v>
      </c>
      <c r="J387" s="83" t="s">
        <v>189</v>
      </c>
      <c r="K387" s="110"/>
      <c r="L387" s="110"/>
      <c r="M387" s="110"/>
      <c r="N387" s="110"/>
      <c r="O387" s="110"/>
    </row>
    <row r="388" spans="1:15" s="108" customFormat="1" hidden="1">
      <c r="A388" s="108" t="str">
        <f t="shared" si="10"/>
        <v>AUTHEGOODGUYSAir Conditionerinverter air conditionerinverter air conditioner</v>
      </c>
      <c r="B388" s="109" t="str">
        <f t="shared" si="11"/>
        <v>AU_THEGOODGUYS</v>
      </c>
      <c r="C388" s="110" t="s">
        <v>201</v>
      </c>
      <c r="D388" s="110" t="s">
        <v>209</v>
      </c>
      <c r="E388" s="110" t="s">
        <v>2346</v>
      </c>
      <c r="F388" s="110" t="s">
        <v>2348</v>
      </c>
      <c r="G388" s="110" t="s">
        <v>2348</v>
      </c>
      <c r="H388" s="93" t="e">
        <v>#N/A</v>
      </c>
      <c r="I388" s="99">
        <v>46076</v>
      </c>
      <c r="J388" s="83" t="s">
        <v>189</v>
      </c>
      <c r="K388" s="110"/>
      <c r="L388" s="110"/>
      <c r="M388" s="110"/>
      <c r="N388" s="110"/>
      <c r="O388" s="110"/>
    </row>
    <row r="389" spans="1:15" s="108" customFormat="1" hidden="1">
      <c r="A389" s="108" t="str">
        <f t="shared" si="10"/>
        <v>AUTHEGOODGUYSAir Conditionersplit air conditionersplit air conditioner</v>
      </c>
      <c r="B389" s="109" t="str">
        <f t="shared" si="11"/>
        <v>AU_THEGOODGUYS</v>
      </c>
      <c r="C389" s="110" t="s">
        <v>201</v>
      </c>
      <c r="D389" s="110" t="s">
        <v>209</v>
      </c>
      <c r="E389" s="110" t="s">
        <v>2346</v>
      </c>
      <c r="F389" s="110" t="s">
        <v>2422</v>
      </c>
      <c r="G389" s="110" t="s">
        <v>2422</v>
      </c>
      <c r="H389" s="93" t="e">
        <v>#N/A</v>
      </c>
      <c r="I389" s="99">
        <v>46076</v>
      </c>
      <c r="J389" s="83" t="s">
        <v>189</v>
      </c>
      <c r="K389" s="110"/>
      <c r="L389" s="110"/>
      <c r="M389" s="110"/>
      <c r="N389" s="110"/>
      <c r="O389" s="110"/>
    </row>
    <row r="390" spans="1:15" s="108" customFormat="1" hidden="1">
      <c r="A390" s="108" t="str">
        <f t="shared" si="10"/>
        <v>AUTHEGOODGUYSAir Conditionersplit inverter air conditionersplit inverter air conditioner</v>
      </c>
      <c r="B390" s="109" t="str">
        <f t="shared" si="11"/>
        <v>AU_THEGOODGUYS</v>
      </c>
      <c r="C390" s="110" t="s">
        <v>201</v>
      </c>
      <c r="D390" s="110" t="s">
        <v>209</v>
      </c>
      <c r="E390" s="110" t="s">
        <v>2346</v>
      </c>
      <c r="F390" s="110" t="s">
        <v>2423</v>
      </c>
      <c r="G390" s="110" t="s">
        <v>2423</v>
      </c>
      <c r="H390" s="93" t="e">
        <v>#N/A</v>
      </c>
      <c r="I390" s="99">
        <v>46076</v>
      </c>
      <c r="J390" s="83" t="s">
        <v>189</v>
      </c>
      <c r="K390" s="110"/>
      <c r="L390" s="110"/>
      <c r="M390" s="110"/>
      <c r="N390" s="110"/>
      <c r="O390" s="110"/>
    </row>
    <row r="391" spans="1:15" s="108" customFormat="1" hidden="1">
      <c r="A391" s="108" t="str">
        <f t="shared" si="10"/>
        <v>AUTHEGOODGUYSAir Conditionerwindow air conditionerwindow air conditioner</v>
      </c>
      <c r="B391" s="109" t="str">
        <f t="shared" si="11"/>
        <v>AU_THEGOODGUYS</v>
      </c>
      <c r="C391" s="110" t="s">
        <v>201</v>
      </c>
      <c r="D391" s="110" t="s">
        <v>209</v>
      </c>
      <c r="E391" s="110" t="s">
        <v>2346</v>
      </c>
      <c r="F391" s="110" t="s">
        <v>2350</v>
      </c>
      <c r="G391" s="110" t="s">
        <v>2350</v>
      </c>
      <c r="H391" s="93" t="e">
        <v>#N/A</v>
      </c>
      <c r="I391" s="99">
        <v>46076</v>
      </c>
      <c r="J391" s="83" t="s">
        <v>189</v>
      </c>
      <c r="K391" s="110"/>
      <c r="L391" s="110"/>
      <c r="M391" s="110"/>
      <c r="N391" s="110"/>
      <c r="O391" s="110"/>
    </row>
    <row r="392" spans="1:15" s="108" customFormat="1" hidden="1">
      <c r="A392" s="108" t="str">
        <f t="shared" si="10"/>
        <v>AUTHEGOODGUYSAir Conditionerwindow inverter air conditionerwindow inverter air conditioner</v>
      </c>
      <c r="B392" s="109" t="str">
        <f t="shared" si="11"/>
        <v>AU_THEGOODGUYS</v>
      </c>
      <c r="C392" s="110" t="s">
        <v>201</v>
      </c>
      <c r="D392" s="110" t="s">
        <v>209</v>
      </c>
      <c r="E392" s="110" t="s">
        <v>2346</v>
      </c>
      <c r="F392" s="110" t="s">
        <v>2424</v>
      </c>
      <c r="G392" s="110" t="s">
        <v>2424</v>
      </c>
      <c r="H392" s="93" t="e">
        <v>#N/A</v>
      </c>
      <c r="I392" s="99">
        <v>46076</v>
      </c>
      <c r="J392" s="83" t="s">
        <v>189</v>
      </c>
      <c r="K392" s="110"/>
      <c r="L392" s="110"/>
      <c r="M392" s="110"/>
      <c r="N392" s="110"/>
      <c r="O392" s="110"/>
    </row>
    <row r="393" spans="1:15" hidden="1">
      <c r="A393" s="75" t="str">
        <f t="shared" si="10"/>
        <v>BRAMAZONMonitormonitormonitor</v>
      </c>
      <c r="B393" s="94" t="str">
        <f t="shared" si="11"/>
        <v>BR_AMAZON</v>
      </c>
      <c r="C393" s="93" t="s">
        <v>311</v>
      </c>
      <c r="D393" s="93" t="s">
        <v>262</v>
      </c>
      <c r="E393" s="93" t="s">
        <v>2320</v>
      </c>
      <c r="F393" s="93" t="s">
        <v>2323</v>
      </c>
      <c r="G393" s="93" t="s">
        <v>2449</v>
      </c>
      <c r="H393" s="93" t="e">
        <v>#N/A</v>
      </c>
      <c r="I393" s="105" t="s">
        <v>2310</v>
      </c>
      <c r="J393" s="93" t="s">
        <v>189</v>
      </c>
      <c r="K393" s="93">
        <v>311</v>
      </c>
      <c r="L393" s="93">
        <v>311</v>
      </c>
      <c r="M393" s="93" t="s">
        <v>2311</v>
      </c>
      <c r="N393" s="93">
        <f>VLOOKUP(B393,'[16]01.수집 카테고리(List)'!$A$2:$H$64,8,FALSE)</f>
        <v>99991231</v>
      </c>
      <c r="O393" s="93" t="s">
        <v>646</v>
      </c>
    </row>
    <row r="394" spans="1:15" hidden="1">
      <c r="A394" s="75" t="str">
        <f t="shared" ref="A394:A457" si="12">C394&amp;D394&amp;E394&amp;F394&amp;G394</f>
        <v>BRAMAZONMonitor4k monitormonitor 4k</v>
      </c>
      <c r="B394" s="94" t="str">
        <f t="shared" ref="B394:B457" si="13">C394&amp;"_"&amp;D394</f>
        <v>BR_AMAZON</v>
      </c>
      <c r="C394" s="93" t="s">
        <v>311</v>
      </c>
      <c r="D394" s="93" t="s">
        <v>262</v>
      </c>
      <c r="E394" s="93" t="s">
        <v>2320</v>
      </c>
      <c r="F394" s="93" t="s">
        <v>2321</v>
      </c>
      <c r="G394" s="93" t="s">
        <v>2450</v>
      </c>
      <c r="H394" s="93" t="e">
        <v>#N/A</v>
      </c>
      <c r="I394" s="105" t="s">
        <v>2310</v>
      </c>
      <c r="J394" s="93" t="s">
        <v>189</v>
      </c>
      <c r="K394" s="93">
        <v>347</v>
      </c>
      <c r="L394" s="93" t="e">
        <v>#N/A</v>
      </c>
      <c r="M394" s="93" t="s">
        <v>2311</v>
      </c>
      <c r="N394" s="93">
        <f>VLOOKUP(B394,'[16]01.수집 카테고리(List)'!$A$2:$H$64,8,FALSE)</f>
        <v>99991231</v>
      </c>
      <c r="O394" s="93" t="s">
        <v>646</v>
      </c>
    </row>
    <row r="395" spans="1:15" hidden="1">
      <c r="A395" s="75" t="str">
        <f t="shared" si="12"/>
        <v>BRAMAZONMonitorgaming monitormonitor gamer</v>
      </c>
      <c r="B395" s="94" t="str">
        <f t="shared" si="13"/>
        <v>BR_AMAZON</v>
      </c>
      <c r="C395" s="93" t="s">
        <v>311</v>
      </c>
      <c r="D395" s="93" t="s">
        <v>262</v>
      </c>
      <c r="E395" s="93" t="s">
        <v>2320</v>
      </c>
      <c r="F395" s="93" t="s">
        <v>2322</v>
      </c>
      <c r="G395" s="93" t="s">
        <v>2451</v>
      </c>
      <c r="H395" s="93" t="e">
        <v>#N/A</v>
      </c>
      <c r="I395" s="105" t="s">
        <v>2310</v>
      </c>
      <c r="J395" s="93" t="s">
        <v>189</v>
      </c>
      <c r="K395" s="93">
        <v>113</v>
      </c>
      <c r="L395" s="93" t="e">
        <v>#N/A</v>
      </c>
      <c r="M395" s="93" t="s">
        <v>2311</v>
      </c>
      <c r="N395" s="93">
        <f>VLOOKUP(B395,'[16]01.수집 카테고리(List)'!$A$2:$H$64,8,FALSE)</f>
        <v>99991231</v>
      </c>
      <c r="O395" s="93" t="s">
        <v>646</v>
      </c>
    </row>
    <row r="396" spans="1:15" hidden="1">
      <c r="A396" s="75" t="str">
        <f t="shared" si="12"/>
        <v>BRAMAZONMonitoruhd monitormonitor uhd</v>
      </c>
      <c r="B396" s="94" t="str">
        <f t="shared" si="13"/>
        <v>BR_AMAZON</v>
      </c>
      <c r="C396" s="93" t="s">
        <v>311</v>
      </c>
      <c r="D396" s="93" t="s">
        <v>262</v>
      </c>
      <c r="E396" s="93" t="s">
        <v>2320</v>
      </c>
      <c r="F396" s="93" t="s">
        <v>2324</v>
      </c>
      <c r="G396" s="93" t="s">
        <v>2452</v>
      </c>
      <c r="H396" s="93" t="e">
        <v>#N/A</v>
      </c>
      <c r="I396" s="105" t="s">
        <v>2310</v>
      </c>
      <c r="J396" s="93" t="s">
        <v>189</v>
      </c>
      <c r="K396" s="93">
        <v>73</v>
      </c>
      <c r="L396" s="93" t="e">
        <v>#N/A</v>
      </c>
      <c r="M396" s="93" t="s">
        <v>2311</v>
      </c>
      <c r="N396" s="93">
        <f>VLOOKUP(B396,'[16]01.수집 카테고리(List)'!$A$2:$H$64,8,FALSE)</f>
        <v>99991231</v>
      </c>
      <c r="O396" s="93" t="s">
        <v>646</v>
      </c>
    </row>
    <row r="397" spans="1:15" hidden="1">
      <c r="A397" s="75" t="str">
        <f t="shared" si="12"/>
        <v>BRAMAZONMonitorultrawide monitormonitor ultrawide</v>
      </c>
      <c r="B397" s="94" t="str">
        <f t="shared" si="13"/>
        <v>BR_AMAZON</v>
      </c>
      <c r="C397" s="93" t="s">
        <v>311</v>
      </c>
      <c r="D397" s="93" t="s">
        <v>262</v>
      </c>
      <c r="E397" s="93" t="s">
        <v>2320</v>
      </c>
      <c r="F397" s="93" t="s">
        <v>2325</v>
      </c>
      <c r="G397" s="93" t="s">
        <v>2453</v>
      </c>
      <c r="H397" s="93" t="e">
        <v>#N/A</v>
      </c>
      <c r="I397" s="105" t="s">
        <v>2310</v>
      </c>
      <c r="J397" s="93" t="s">
        <v>189</v>
      </c>
      <c r="K397" s="93">
        <v>325</v>
      </c>
      <c r="L397" s="93" t="e">
        <v>#N/A</v>
      </c>
      <c r="M397" s="93" t="s">
        <v>2311</v>
      </c>
      <c r="N397" s="93">
        <f>VLOOKUP(B397,'[16]01.수집 카테고리(List)'!$A$2:$H$64,8,FALSE)</f>
        <v>99991231</v>
      </c>
      <c r="O397" s="93" t="s">
        <v>646</v>
      </c>
    </row>
    <row r="398" spans="1:15" hidden="1">
      <c r="A398" s="75" t="str">
        <f t="shared" si="12"/>
        <v>BRAMAZONMonitorTV MonitorTV Monitor</v>
      </c>
      <c r="B398" s="94" t="str">
        <f t="shared" si="13"/>
        <v>BR_AMAZON</v>
      </c>
      <c r="C398" s="93" t="s">
        <v>311</v>
      </c>
      <c r="D398" s="93" t="s">
        <v>262</v>
      </c>
      <c r="E398" s="93" t="s">
        <v>2320</v>
      </c>
      <c r="F398" s="93" t="s">
        <v>2454</v>
      </c>
      <c r="G398" s="93" t="s">
        <v>2455</v>
      </c>
      <c r="H398" s="93" t="e">
        <v>#N/A</v>
      </c>
      <c r="I398" s="105" t="s">
        <v>2310</v>
      </c>
      <c r="J398" s="93" t="s">
        <v>189</v>
      </c>
      <c r="K398" s="93">
        <v>278</v>
      </c>
      <c r="L398" s="93">
        <v>278</v>
      </c>
      <c r="M398" s="93" t="s">
        <v>2311</v>
      </c>
      <c r="N398" s="93">
        <f>VLOOKUP(B398,'[16]01.수집 카테고리(List)'!$A$2:$H$64,8,FALSE)</f>
        <v>99991231</v>
      </c>
      <c r="O398" s="93" t="s">
        <v>646</v>
      </c>
    </row>
    <row r="399" spans="1:15" hidden="1">
      <c r="A399" s="75" t="str">
        <f t="shared" si="12"/>
        <v>BRAMAZONTV4k TV4k TV</v>
      </c>
      <c r="B399" s="94" t="str">
        <f t="shared" si="13"/>
        <v>BR_AMAZON</v>
      </c>
      <c r="C399" s="93" t="s">
        <v>311</v>
      </c>
      <c r="D399" s="93" t="s">
        <v>262</v>
      </c>
      <c r="E399" s="93" t="s">
        <v>161</v>
      </c>
      <c r="F399" s="93" t="s">
        <v>2456</v>
      </c>
      <c r="G399" s="93" t="s">
        <v>2456</v>
      </c>
      <c r="H399" s="93" t="e">
        <v>#N/A</v>
      </c>
      <c r="I399" s="105" t="s">
        <v>2310</v>
      </c>
      <c r="J399" s="93" t="s">
        <v>189</v>
      </c>
      <c r="K399" s="93">
        <v>1022</v>
      </c>
      <c r="L399" s="93">
        <v>1022</v>
      </c>
      <c r="M399" s="93" t="s">
        <v>2311</v>
      </c>
      <c r="N399" s="93">
        <f>VLOOKUP(B399,'[16]01.수집 카테고리(List)'!$A$2:$H$64,8,FALSE)</f>
        <v>99991231</v>
      </c>
      <c r="O399" s="93" t="s">
        <v>646</v>
      </c>
    </row>
    <row r="400" spans="1:15" hidden="1">
      <c r="A400" s="75" t="str">
        <f t="shared" si="12"/>
        <v>BRAMAZONTVoled TVoled TV</v>
      </c>
      <c r="B400" s="94" t="str">
        <f t="shared" si="13"/>
        <v>BR_AMAZON</v>
      </c>
      <c r="C400" s="93" t="s">
        <v>311</v>
      </c>
      <c r="D400" s="93" t="s">
        <v>262</v>
      </c>
      <c r="E400" s="93" t="s">
        <v>161</v>
      </c>
      <c r="F400" s="93" t="s">
        <v>2457</v>
      </c>
      <c r="G400" s="93" t="s">
        <v>2457</v>
      </c>
      <c r="H400" s="93" t="e">
        <v>#N/A</v>
      </c>
      <c r="I400" s="105" t="s">
        <v>2310</v>
      </c>
      <c r="J400" s="93" t="s">
        <v>189</v>
      </c>
      <c r="K400" s="93">
        <v>87</v>
      </c>
      <c r="L400" s="93">
        <v>87</v>
      </c>
      <c r="M400" s="93" t="s">
        <v>2311</v>
      </c>
      <c r="N400" s="93">
        <f>VLOOKUP(B400,'[16]01.수집 카테고리(List)'!$A$2:$H$64,8,FALSE)</f>
        <v>99991231</v>
      </c>
      <c r="O400" s="93" t="s">
        <v>646</v>
      </c>
    </row>
    <row r="401" spans="1:15" hidden="1">
      <c r="A401" s="75" t="str">
        <f t="shared" si="12"/>
        <v>BRAMAZONTVsmart TVsmart TV</v>
      </c>
      <c r="B401" s="94" t="str">
        <f t="shared" si="13"/>
        <v>BR_AMAZON</v>
      </c>
      <c r="C401" s="93" t="s">
        <v>311</v>
      </c>
      <c r="D401" s="93" t="s">
        <v>262</v>
      </c>
      <c r="E401" s="93" t="s">
        <v>161</v>
      </c>
      <c r="F401" s="93" t="s">
        <v>2458</v>
      </c>
      <c r="G401" s="93" t="s">
        <v>2458</v>
      </c>
      <c r="H401" s="93" t="e">
        <v>#N/A</v>
      </c>
      <c r="I401" s="105" t="s">
        <v>2310</v>
      </c>
      <c r="J401" s="93" t="s">
        <v>189</v>
      </c>
      <c r="K401" s="93">
        <v>465</v>
      </c>
      <c r="L401" s="93">
        <v>465</v>
      </c>
      <c r="M401" s="93" t="s">
        <v>2311</v>
      </c>
      <c r="N401" s="93">
        <f>VLOOKUP(B401,'[16]01.수집 카테고리(List)'!$A$2:$H$64,8,FALSE)</f>
        <v>99991231</v>
      </c>
      <c r="O401" s="93" t="s">
        <v>646</v>
      </c>
    </row>
    <row r="402" spans="1:15" hidden="1">
      <c r="A402" s="75" t="str">
        <f t="shared" si="12"/>
        <v>BRAMAZONTVTVTV</v>
      </c>
      <c r="B402" s="94" t="str">
        <f t="shared" si="13"/>
        <v>BR_AMAZON</v>
      </c>
      <c r="C402" s="93" t="s">
        <v>311</v>
      </c>
      <c r="D402" s="93" t="s">
        <v>262</v>
      </c>
      <c r="E402" s="93" t="s">
        <v>161</v>
      </c>
      <c r="F402" s="93" t="s">
        <v>2448</v>
      </c>
      <c r="G402" s="93" t="s">
        <v>2448</v>
      </c>
      <c r="H402" s="93" t="e">
        <v>#N/A</v>
      </c>
      <c r="I402" s="105" t="s">
        <v>2310</v>
      </c>
      <c r="J402" s="93" t="s">
        <v>189</v>
      </c>
      <c r="K402" s="93">
        <v>7383</v>
      </c>
      <c r="L402" s="93">
        <v>7383</v>
      </c>
      <c r="M402" s="93" t="s">
        <v>2311</v>
      </c>
      <c r="N402" s="93">
        <f>VLOOKUP(B402,'[16]01.수집 카테고리(List)'!$A$2:$H$64,8,FALSE)</f>
        <v>99991231</v>
      </c>
      <c r="O402" s="93" t="s">
        <v>646</v>
      </c>
    </row>
    <row r="403" spans="1:15" hidden="1">
      <c r="A403" s="75" t="str">
        <f t="shared" si="12"/>
        <v>BRAMAZONTVTV 4KTV 4K</v>
      </c>
      <c r="B403" s="94" t="str">
        <f t="shared" si="13"/>
        <v>BR_AMAZON</v>
      </c>
      <c r="C403" s="93" t="s">
        <v>311</v>
      </c>
      <c r="D403" s="93" t="s">
        <v>262</v>
      </c>
      <c r="E403" s="93" t="s">
        <v>161</v>
      </c>
      <c r="F403" s="93" t="s">
        <v>2459</v>
      </c>
      <c r="G403" s="93" t="s">
        <v>2459</v>
      </c>
      <c r="H403" s="93" t="e">
        <v>#N/A</v>
      </c>
      <c r="I403" s="105" t="s">
        <v>2310</v>
      </c>
      <c r="J403" s="93" t="s">
        <v>189</v>
      </c>
      <c r="K403" s="93">
        <v>345</v>
      </c>
      <c r="L403" s="93" t="e">
        <v>#N/A</v>
      </c>
      <c r="M403" s="93" t="s">
        <v>2311</v>
      </c>
      <c r="N403" s="93">
        <f>VLOOKUP(B403,'[16]01.수집 카테고리(List)'!$A$2:$H$64,8,FALSE)</f>
        <v>99991231</v>
      </c>
      <c r="O403" s="93" t="s">
        <v>646</v>
      </c>
    </row>
    <row r="404" spans="1:15" hidden="1">
      <c r="A404" s="75" t="str">
        <f t="shared" si="12"/>
        <v>BRAMAZONTV55 Inch TVTV 55 Polegadas</v>
      </c>
      <c r="B404" s="94" t="str">
        <f t="shared" si="13"/>
        <v>BR_AMAZON</v>
      </c>
      <c r="C404" s="93" t="s">
        <v>311</v>
      </c>
      <c r="D404" s="93" t="s">
        <v>262</v>
      </c>
      <c r="E404" s="93" t="s">
        <v>161</v>
      </c>
      <c r="F404" s="93" t="s">
        <v>2460</v>
      </c>
      <c r="G404" s="93" t="s">
        <v>2461</v>
      </c>
      <c r="H404" s="93" t="e">
        <v>#N/A</v>
      </c>
      <c r="I404" s="105" t="s">
        <v>2310</v>
      </c>
      <c r="J404" s="93" t="s">
        <v>189</v>
      </c>
      <c r="K404" s="93">
        <v>97</v>
      </c>
      <c r="L404" s="93" t="e">
        <v>#N/A</v>
      </c>
      <c r="M404" s="93" t="s">
        <v>2311</v>
      </c>
      <c r="N404" s="93">
        <f>VLOOKUP(B404,'[16]01.수집 카테고리(List)'!$A$2:$H$64,8,FALSE)</f>
        <v>99991231</v>
      </c>
      <c r="O404" s="93" t="s">
        <v>646</v>
      </c>
    </row>
    <row r="405" spans="1:15" hidden="1">
      <c r="A405" s="75" t="str">
        <f t="shared" si="12"/>
        <v>BRAMAZONTV65 Inch TVTV 65 Polegadas</v>
      </c>
      <c r="B405" s="94" t="str">
        <f t="shared" si="13"/>
        <v>BR_AMAZON</v>
      </c>
      <c r="C405" s="93" t="s">
        <v>311</v>
      </c>
      <c r="D405" s="93" t="s">
        <v>262</v>
      </c>
      <c r="E405" s="93" t="s">
        <v>161</v>
      </c>
      <c r="F405" s="93" t="s">
        <v>2462</v>
      </c>
      <c r="G405" s="93" t="s">
        <v>2463</v>
      </c>
      <c r="H405" s="93" t="e">
        <v>#N/A</v>
      </c>
      <c r="I405" s="105" t="s">
        <v>2310</v>
      </c>
      <c r="J405" s="93" t="s">
        <v>189</v>
      </c>
      <c r="K405" s="93">
        <v>109</v>
      </c>
      <c r="L405" s="93" t="e">
        <v>#N/A</v>
      </c>
      <c r="M405" s="93" t="s">
        <v>2311</v>
      </c>
      <c r="N405" s="93">
        <f>VLOOKUP(B405,'[16]01.수집 카테고리(List)'!$A$2:$H$64,8,FALSE)</f>
        <v>99991231</v>
      </c>
      <c r="O405" s="93" t="s">
        <v>646</v>
      </c>
    </row>
    <row r="406" spans="1:15" hidden="1">
      <c r="A406" s="75" t="str">
        <f t="shared" si="12"/>
        <v>BRAMAZONTVuhd TVuhd TV</v>
      </c>
      <c r="B406" s="94" t="str">
        <f t="shared" si="13"/>
        <v>BR_AMAZON</v>
      </c>
      <c r="C406" s="93" t="s">
        <v>311</v>
      </c>
      <c r="D406" s="93" t="s">
        <v>262</v>
      </c>
      <c r="E406" s="93" t="s">
        <v>161</v>
      </c>
      <c r="F406" s="93" t="s">
        <v>2464</v>
      </c>
      <c r="G406" s="93" t="s">
        <v>2464</v>
      </c>
      <c r="H406" s="93" t="e">
        <v>#N/A</v>
      </c>
      <c r="I406" s="105" t="s">
        <v>2310</v>
      </c>
      <c r="J406" s="93" t="s">
        <v>189</v>
      </c>
      <c r="K406" s="93">
        <v>394</v>
      </c>
      <c r="L406" s="93">
        <v>394</v>
      </c>
      <c r="M406" s="93" t="s">
        <v>2311</v>
      </c>
      <c r="N406" s="93">
        <f>VLOOKUP(B406,'[16]01.수집 카테고리(List)'!$A$2:$H$64,8,FALSE)</f>
        <v>99991231</v>
      </c>
      <c r="O406" s="93" t="s">
        <v>646</v>
      </c>
    </row>
    <row r="407" spans="1:15" hidden="1">
      <c r="A407" s="75" t="str">
        <f t="shared" si="12"/>
        <v>BRLG.comAir Conditionerair conditionerar-condicionado</v>
      </c>
      <c r="B407" s="94" t="str">
        <f t="shared" si="13"/>
        <v>BR_LG.com</v>
      </c>
      <c r="C407" s="93" t="s">
        <v>311</v>
      </c>
      <c r="D407" s="93" t="s">
        <v>567</v>
      </c>
      <c r="E407" s="93" t="s">
        <v>2346</v>
      </c>
      <c r="F407" s="93" t="s">
        <v>2347</v>
      </c>
      <c r="G407" s="93" t="s">
        <v>2465</v>
      </c>
      <c r="H407" s="93" t="e">
        <v>#N/A</v>
      </c>
      <c r="I407" s="105" t="s">
        <v>2310</v>
      </c>
      <c r="J407" s="93" t="s">
        <v>189</v>
      </c>
      <c r="K407" s="93">
        <v>1907</v>
      </c>
      <c r="L407" s="93" t="e">
        <v>#N/A</v>
      </c>
      <c r="M407" s="93" t="s">
        <v>2311</v>
      </c>
      <c r="N407" s="93">
        <f>VLOOKUP(B407,'[16]01.수집 카테고리(List)'!$A$2:$H$64,8,FALSE)</f>
        <v>99991231</v>
      </c>
      <c r="O407" s="93" t="s">
        <v>646</v>
      </c>
    </row>
    <row r="408" spans="1:15" hidden="1">
      <c r="A408" s="75" t="str">
        <f t="shared" si="12"/>
        <v>BRLG.comMonitormonitormonitor</v>
      </c>
      <c r="B408" s="94" t="str">
        <f t="shared" si="13"/>
        <v>BR_LG.com</v>
      </c>
      <c r="C408" s="93" t="s">
        <v>311</v>
      </c>
      <c r="D408" s="93" t="s">
        <v>567</v>
      </c>
      <c r="E408" s="93" t="s">
        <v>2320</v>
      </c>
      <c r="F408" s="93" t="s">
        <v>2323</v>
      </c>
      <c r="G408" s="93" t="s">
        <v>2323</v>
      </c>
      <c r="H408" s="93" t="e">
        <v>#N/A</v>
      </c>
      <c r="I408" s="105" t="s">
        <v>2310</v>
      </c>
      <c r="J408" s="93" t="s">
        <v>189</v>
      </c>
      <c r="K408" s="93">
        <v>176</v>
      </c>
      <c r="L408" s="93">
        <v>176</v>
      </c>
      <c r="M408" s="93" t="s">
        <v>2311</v>
      </c>
      <c r="N408" s="93">
        <f>VLOOKUP(B408,'[16]01.수집 카테고리(List)'!$A$2:$H$64,8,FALSE)</f>
        <v>99991231</v>
      </c>
      <c r="O408" s="93" t="s">
        <v>646</v>
      </c>
    </row>
    <row r="409" spans="1:15" hidden="1">
      <c r="A409" s="75" t="str">
        <f t="shared" si="12"/>
        <v>BRLG.comMonitorgaming monitormonitor gamer</v>
      </c>
      <c r="B409" s="94" t="str">
        <f t="shared" si="13"/>
        <v>BR_LG.com</v>
      </c>
      <c r="C409" s="93" t="s">
        <v>311</v>
      </c>
      <c r="D409" s="93" t="s">
        <v>567</v>
      </c>
      <c r="E409" s="93" t="s">
        <v>2320</v>
      </c>
      <c r="F409" s="93" t="s">
        <v>2322</v>
      </c>
      <c r="G409" s="93" t="s">
        <v>2466</v>
      </c>
      <c r="H409" s="93" t="e">
        <v>#N/A</v>
      </c>
      <c r="I409" s="105" t="s">
        <v>2310</v>
      </c>
      <c r="J409" s="93" t="s">
        <v>189</v>
      </c>
      <c r="K409" s="93">
        <v>28</v>
      </c>
      <c r="L409" s="93" t="e">
        <v>#N/A</v>
      </c>
      <c r="M409" s="93" t="s">
        <v>2311</v>
      </c>
      <c r="N409" s="93">
        <f>VLOOKUP(B409,'[16]01.수집 카테고리(List)'!$A$2:$H$64,8,FALSE)</f>
        <v>99991231</v>
      </c>
      <c r="O409" s="93" t="s">
        <v>646</v>
      </c>
    </row>
    <row r="410" spans="1:15" hidden="1">
      <c r="A410" s="75" t="str">
        <f t="shared" si="12"/>
        <v>BRLG.comRefrigeratorrefrigeratorgeladeira</v>
      </c>
      <c r="B410" s="94" t="str">
        <f t="shared" si="13"/>
        <v>BR_LG.com</v>
      </c>
      <c r="C410" s="93" t="s">
        <v>311</v>
      </c>
      <c r="D410" s="93" t="s">
        <v>567</v>
      </c>
      <c r="E410" s="93" t="s">
        <v>2326</v>
      </c>
      <c r="F410" s="93" t="s">
        <v>2329</v>
      </c>
      <c r="G410" s="93" t="s">
        <v>2467</v>
      </c>
      <c r="H410" s="93" t="e">
        <v>#N/A</v>
      </c>
      <c r="I410" s="105" t="s">
        <v>2310</v>
      </c>
      <c r="J410" s="93" t="s">
        <v>189</v>
      </c>
      <c r="K410" s="93">
        <v>113</v>
      </c>
      <c r="L410" s="93" t="e">
        <v>#N/A</v>
      </c>
      <c r="M410" s="93" t="s">
        <v>2311</v>
      </c>
      <c r="N410" s="93">
        <f>VLOOKUP(B410,'[16]01.수집 카테고리(List)'!$A$2:$H$64,8,FALSE)</f>
        <v>99991231</v>
      </c>
      <c r="O410" s="93" t="s">
        <v>646</v>
      </c>
    </row>
    <row r="411" spans="1:15" hidden="1">
      <c r="A411" s="75" t="str">
        <f t="shared" si="12"/>
        <v>BRLG.comTVtvtv</v>
      </c>
      <c r="B411" s="94" t="str">
        <f t="shared" si="13"/>
        <v>BR_LG.com</v>
      </c>
      <c r="C411" s="93" t="s">
        <v>311</v>
      </c>
      <c r="D411" s="93" t="s">
        <v>567</v>
      </c>
      <c r="E411" s="93" t="s">
        <v>161</v>
      </c>
      <c r="F411" s="93" t="s">
        <v>2444</v>
      </c>
      <c r="G411" s="93" t="s">
        <v>2444</v>
      </c>
      <c r="H411" s="93" t="e">
        <v>#N/A</v>
      </c>
      <c r="I411" s="105" t="s">
        <v>2310</v>
      </c>
      <c r="J411" s="93" t="s">
        <v>189</v>
      </c>
      <c r="K411" s="93">
        <v>1628</v>
      </c>
      <c r="L411" s="93">
        <v>1628</v>
      </c>
      <c r="M411" s="93" t="s">
        <v>2311</v>
      </c>
      <c r="N411" s="93">
        <f>VLOOKUP(B411,'[16]01.수집 카테고리(List)'!$A$2:$H$64,8,FALSE)</f>
        <v>99991231</v>
      </c>
      <c r="O411" s="93" t="s">
        <v>646</v>
      </c>
    </row>
    <row r="412" spans="1:15" hidden="1">
      <c r="A412" s="75" t="str">
        <f t="shared" si="12"/>
        <v>BRLG.comWashing Machinewasher dryerlava e seca</v>
      </c>
      <c r="B412" s="94" t="str">
        <f t="shared" si="13"/>
        <v>BR_LG.com</v>
      </c>
      <c r="C412" s="93" t="s">
        <v>311</v>
      </c>
      <c r="D412" s="93" t="s">
        <v>567</v>
      </c>
      <c r="E412" s="93" t="s">
        <v>2333</v>
      </c>
      <c r="F412" s="93" t="s">
        <v>2339</v>
      </c>
      <c r="G412" s="93" t="s">
        <v>2468</v>
      </c>
      <c r="H412" s="93" t="e">
        <v>#N/A</v>
      </c>
      <c r="I412" s="105" t="s">
        <v>2310</v>
      </c>
      <c r="J412" s="93" t="s">
        <v>189</v>
      </c>
      <c r="K412" s="93">
        <v>127</v>
      </c>
      <c r="L412" s="93" t="e">
        <v>#N/A</v>
      </c>
      <c r="M412" s="93" t="s">
        <v>2311</v>
      </c>
      <c r="N412" s="93">
        <f>VLOOKUP(B412,'[16]01.수집 카테고리(List)'!$A$2:$H$64,8,FALSE)</f>
        <v>99991231</v>
      </c>
      <c r="O412" s="93" t="s">
        <v>646</v>
      </c>
    </row>
    <row r="413" spans="1:15" hidden="1">
      <c r="A413" s="75" t="str">
        <f t="shared" si="12"/>
        <v>BRLG.comWashing Machinewashing machinemáquina de lavar</v>
      </c>
      <c r="B413" s="94" t="str">
        <f t="shared" si="13"/>
        <v>BR_LG.com</v>
      </c>
      <c r="C413" s="93" t="s">
        <v>311</v>
      </c>
      <c r="D413" s="93" t="s">
        <v>567</v>
      </c>
      <c r="E413" s="93" t="s">
        <v>2333</v>
      </c>
      <c r="F413" s="93" t="s">
        <v>2340</v>
      </c>
      <c r="G413" s="93" t="s">
        <v>2469</v>
      </c>
      <c r="H413" s="93" t="e">
        <v>#N/A</v>
      </c>
      <c r="I413" s="105" t="s">
        <v>2310</v>
      </c>
      <c r="J413" s="93" t="s">
        <v>189</v>
      </c>
      <c r="K413" s="93">
        <v>360</v>
      </c>
      <c r="L413" s="93" t="e">
        <v>#N/A</v>
      </c>
      <c r="M413" s="93" t="s">
        <v>2311</v>
      </c>
      <c r="N413" s="93">
        <f>VLOOKUP(B413,'[16]01.수집 카테고리(List)'!$A$2:$H$64,8,FALSE)</f>
        <v>99991231</v>
      </c>
      <c r="O413" s="93" t="s">
        <v>646</v>
      </c>
    </row>
    <row r="414" spans="1:15" s="111" customFormat="1" hidden="1">
      <c r="A414" s="111" t="str">
        <f t="shared" si="12"/>
        <v>BRLG.comBluetooth Speakerspeakersalto-falante</v>
      </c>
      <c r="B414" s="112" t="str">
        <f t="shared" si="13"/>
        <v>BR_LG.com</v>
      </c>
      <c r="C414" s="113" t="s">
        <v>311</v>
      </c>
      <c r="D414" s="113" t="s">
        <v>567</v>
      </c>
      <c r="E414" s="114" t="s">
        <v>2470</v>
      </c>
      <c r="F414" s="114" t="s">
        <v>2471</v>
      </c>
      <c r="G414" s="114" t="s">
        <v>2472</v>
      </c>
      <c r="H414" s="93" t="e">
        <v>#N/A</v>
      </c>
      <c r="I414" s="99">
        <v>46076</v>
      </c>
      <c r="J414" s="83" t="s">
        <v>189</v>
      </c>
      <c r="K414" s="113"/>
      <c r="L414" s="113"/>
      <c r="M414" s="113"/>
      <c r="N414" s="113"/>
      <c r="O414" s="113"/>
    </row>
    <row r="415" spans="1:15" s="111" customFormat="1" hidden="1">
      <c r="A415" s="111" t="str">
        <f t="shared" si="12"/>
        <v>BRLG.comBluetooth Speakerportable speakersalto-falantes portáteis</v>
      </c>
      <c r="B415" s="112" t="str">
        <f t="shared" si="13"/>
        <v>BR_LG.com</v>
      </c>
      <c r="C415" s="113" t="s">
        <v>311</v>
      </c>
      <c r="D415" s="113" t="s">
        <v>567</v>
      </c>
      <c r="E415" s="114" t="s">
        <v>2470</v>
      </c>
      <c r="F415" s="114" t="s">
        <v>2473</v>
      </c>
      <c r="G415" s="114" t="s">
        <v>2474</v>
      </c>
      <c r="H415" s="93" t="e">
        <v>#N/A</v>
      </c>
      <c r="I415" s="99">
        <v>46076</v>
      </c>
      <c r="J415" s="83" t="s">
        <v>189</v>
      </c>
      <c r="K415" s="113"/>
      <c r="L415" s="113"/>
      <c r="M415" s="113"/>
      <c r="N415" s="113"/>
      <c r="O415" s="113"/>
    </row>
    <row r="416" spans="1:15" s="111" customFormat="1" hidden="1">
      <c r="A416" s="111" t="str">
        <f t="shared" si="12"/>
        <v>BRLG.comBluetooth Speakerwireless portable speakersalto-falantes portáteis sem fio</v>
      </c>
      <c r="B416" s="112" t="str">
        <f t="shared" si="13"/>
        <v>BR_LG.com</v>
      </c>
      <c r="C416" s="113" t="s">
        <v>311</v>
      </c>
      <c r="D416" s="113" t="s">
        <v>567</v>
      </c>
      <c r="E416" s="114" t="s">
        <v>2470</v>
      </c>
      <c r="F416" s="114" t="s">
        <v>2475</v>
      </c>
      <c r="G416" s="114" t="s">
        <v>2476</v>
      </c>
      <c r="H416" s="93" t="e">
        <v>#N/A</v>
      </c>
      <c r="I416" s="99">
        <v>46076</v>
      </c>
      <c r="J416" s="83" t="s">
        <v>189</v>
      </c>
      <c r="K416" s="113"/>
      <c r="L416" s="113"/>
      <c r="M416" s="113"/>
      <c r="N416" s="113"/>
      <c r="O416" s="113"/>
    </row>
    <row r="417" spans="1:15" s="111" customFormat="1" hidden="1">
      <c r="A417" s="111" t="str">
        <f t="shared" si="12"/>
        <v>BRLG.comBluetooth SpeakerAcoustic boxCaixa acústica</v>
      </c>
      <c r="B417" s="112" t="str">
        <f t="shared" si="13"/>
        <v>BR_LG.com</v>
      </c>
      <c r="C417" s="113" t="s">
        <v>311</v>
      </c>
      <c r="D417" s="113" t="s">
        <v>567</v>
      </c>
      <c r="E417" s="114" t="s">
        <v>2470</v>
      </c>
      <c r="F417" s="114" t="s">
        <v>2477</v>
      </c>
      <c r="G417" s="114" t="s">
        <v>2478</v>
      </c>
      <c r="H417" s="93" t="e">
        <v>#N/A</v>
      </c>
      <c r="I417" s="99">
        <v>46076</v>
      </c>
      <c r="J417" s="83" t="s">
        <v>189</v>
      </c>
      <c r="K417" s="113"/>
      <c r="L417" s="113"/>
      <c r="M417" s="113"/>
      <c r="N417" s="113"/>
      <c r="O417" s="113"/>
    </row>
    <row r="418" spans="1:15" s="111" customFormat="1" hidden="1">
      <c r="A418" s="111" t="str">
        <f t="shared" si="12"/>
        <v>BRLG.comBluetooth Speakerbluetooth speaker portableCaixa Bluetooth Portátil</v>
      </c>
      <c r="B418" s="112" t="str">
        <f t="shared" si="13"/>
        <v>BR_LG.com</v>
      </c>
      <c r="C418" s="113" t="s">
        <v>311</v>
      </c>
      <c r="D418" s="113" t="s">
        <v>567</v>
      </c>
      <c r="E418" s="114" t="s">
        <v>2470</v>
      </c>
      <c r="F418" s="114" t="s">
        <v>2479</v>
      </c>
      <c r="G418" s="114" t="s">
        <v>2480</v>
      </c>
      <c r="H418" s="93" t="e">
        <v>#N/A</v>
      </c>
      <c r="I418" s="99">
        <v>46076</v>
      </c>
      <c r="J418" s="83" t="s">
        <v>189</v>
      </c>
      <c r="K418" s="113"/>
      <c r="L418" s="113"/>
      <c r="M418" s="113"/>
      <c r="N418" s="113"/>
      <c r="O418" s="113"/>
    </row>
    <row r="419" spans="1:15" s="111" customFormat="1" hidden="1">
      <c r="A419" s="111" t="str">
        <f t="shared" si="12"/>
        <v>BRLG.comBluetooth SpeakerBluetooth speakerCaixa de som</v>
      </c>
      <c r="B419" s="112" t="str">
        <f t="shared" si="13"/>
        <v>BR_LG.com</v>
      </c>
      <c r="C419" s="113" t="s">
        <v>311</v>
      </c>
      <c r="D419" s="113" t="s">
        <v>567</v>
      </c>
      <c r="E419" s="114" t="s">
        <v>2470</v>
      </c>
      <c r="F419" s="114" t="s">
        <v>2481</v>
      </c>
      <c r="G419" s="114" t="s">
        <v>2482</v>
      </c>
      <c r="H419" s="93" t="e">
        <v>#N/A</v>
      </c>
      <c r="I419" s="99">
        <v>46076</v>
      </c>
      <c r="J419" s="83" t="s">
        <v>189</v>
      </c>
      <c r="K419" s="113"/>
      <c r="L419" s="113"/>
      <c r="M419" s="113"/>
      <c r="N419" s="113"/>
      <c r="O419" s="113"/>
    </row>
    <row r="420" spans="1:15" s="111" customFormat="1" hidden="1">
      <c r="A420" s="111" t="str">
        <f t="shared" si="12"/>
        <v>BRLG.comBluetooth SpeakerBluetooth speakerCaixa de som bluetooth</v>
      </c>
      <c r="B420" s="112" t="str">
        <f t="shared" si="13"/>
        <v>BR_LG.com</v>
      </c>
      <c r="C420" s="113" t="s">
        <v>311</v>
      </c>
      <c r="D420" s="113" t="s">
        <v>567</v>
      </c>
      <c r="E420" s="114" t="s">
        <v>2470</v>
      </c>
      <c r="F420" s="114" t="s">
        <v>2481</v>
      </c>
      <c r="G420" s="114" t="s">
        <v>2483</v>
      </c>
      <c r="H420" s="93" t="e">
        <v>#N/A</v>
      </c>
      <c r="I420" s="99">
        <v>46076</v>
      </c>
      <c r="J420" s="83" t="s">
        <v>189</v>
      </c>
      <c r="K420" s="113"/>
      <c r="L420" s="113"/>
      <c r="M420" s="113"/>
      <c r="N420" s="113"/>
      <c r="O420" s="113"/>
    </row>
    <row r="421" spans="1:15" s="111" customFormat="1" hidden="1">
      <c r="A421" s="111" t="str">
        <f t="shared" si="12"/>
        <v>BRLG.comBluetooth SpeakerPortable bluetooth speakerCaixa de som bluetooth portátil</v>
      </c>
      <c r="B421" s="112" t="str">
        <f t="shared" si="13"/>
        <v>BR_LG.com</v>
      </c>
      <c r="C421" s="113" t="s">
        <v>311</v>
      </c>
      <c r="D421" s="113" t="s">
        <v>567</v>
      </c>
      <c r="E421" s="114" t="s">
        <v>2470</v>
      </c>
      <c r="F421" s="114" t="s">
        <v>2312</v>
      </c>
      <c r="G421" s="114" t="s">
        <v>2484</v>
      </c>
      <c r="H421" s="93" t="e">
        <v>#N/A</v>
      </c>
      <c r="I421" s="99">
        <v>46076</v>
      </c>
      <c r="J421" s="83" t="s">
        <v>189</v>
      </c>
      <c r="K421" s="113"/>
      <c r="L421" s="113"/>
      <c r="M421" s="113"/>
      <c r="N421" s="113"/>
      <c r="O421" s="113"/>
    </row>
    <row r="422" spans="1:15" s="111" customFormat="1" hidden="1">
      <c r="A422" s="111" t="str">
        <f t="shared" si="12"/>
        <v>BRLG.comBluetooth SpeakerPortable bluetooth speakerCaixa de som portátil</v>
      </c>
      <c r="B422" s="112" t="str">
        <f t="shared" si="13"/>
        <v>BR_LG.com</v>
      </c>
      <c r="C422" s="113" t="s">
        <v>311</v>
      </c>
      <c r="D422" s="113" t="s">
        <v>567</v>
      </c>
      <c r="E422" s="114" t="s">
        <v>2470</v>
      </c>
      <c r="F422" s="114" t="s">
        <v>2312</v>
      </c>
      <c r="G422" s="114" t="s">
        <v>2485</v>
      </c>
      <c r="H422" s="93" t="e">
        <v>#N/A</v>
      </c>
      <c r="I422" s="99">
        <v>46076</v>
      </c>
      <c r="J422" s="83" t="s">
        <v>189</v>
      </c>
      <c r="K422" s="113"/>
      <c r="L422" s="113"/>
      <c r="M422" s="113"/>
      <c r="N422" s="113"/>
      <c r="O422" s="113"/>
    </row>
    <row r="423" spans="1:15" s="111" customFormat="1" hidden="1">
      <c r="A423" s="111" t="str">
        <f t="shared" si="12"/>
        <v>BRLG.comSOUNDBARHome TheaterHome Theater</v>
      </c>
      <c r="B423" s="112" t="str">
        <f t="shared" si="13"/>
        <v>BR_LG.com</v>
      </c>
      <c r="C423" s="113" t="s">
        <v>311</v>
      </c>
      <c r="D423" s="113" t="s">
        <v>567</v>
      </c>
      <c r="E423" s="114" t="s">
        <v>165</v>
      </c>
      <c r="F423" s="114" t="s">
        <v>2486</v>
      </c>
      <c r="G423" s="114" t="s">
        <v>2486</v>
      </c>
      <c r="H423" s="93" t="e">
        <v>#N/A</v>
      </c>
      <c r="I423" s="99">
        <v>46076</v>
      </c>
      <c r="J423" s="83" t="s">
        <v>189</v>
      </c>
      <c r="K423" s="113"/>
      <c r="L423" s="113"/>
      <c r="M423" s="113"/>
      <c r="N423" s="113"/>
      <c r="O423" s="113"/>
    </row>
    <row r="424" spans="1:15" s="111" customFormat="1" hidden="1">
      <c r="A424" s="111" t="str">
        <f t="shared" si="12"/>
        <v>BRLG.comSOUNDBARMini SystemMini System</v>
      </c>
      <c r="B424" s="112" t="str">
        <f t="shared" si="13"/>
        <v>BR_LG.com</v>
      </c>
      <c r="C424" s="113" t="s">
        <v>311</v>
      </c>
      <c r="D424" s="113" t="s">
        <v>567</v>
      </c>
      <c r="E424" s="114" t="s">
        <v>165</v>
      </c>
      <c r="F424" s="114" t="s">
        <v>2487</v>
      </c>
      <c r="G424" s="114" t="s">
        <v>2487</v>
      </c>
      <c r="H424" s="93" t="e">
        <v>#N/A</v>
      </c>
      <c r="I424" s="99">
        <v>46076</v>
      </c>
      <c r="J424" s="83" t="s">
        <v>189</v>
      </c>
      <c r="K424" s="113"/>
      <c r="L424" s="113"/>
      <c r="M424" s="113"/>
      <c r="N424" s="113"/>
      <c r="O424" s="113"/>
    </row>
    <row r="425" spans="1:15" s="111" customFormat="1" hidden="1">
      <c r="A425" s="111" t="str">
        <f t="shared" si="12"/>
        <v>BRLG.comSOUNDBARSound BarSound Bar</v>
      </c>
      <c r="B425" s="112" t="str">
        <f t="shared" si="13"/>
        <v>BR_LG.com</v>
      </c>
      <c r="C425" s="113" t="s">
        <v>311</v>
      </c>
      <c r="D425" s="113" t="s">
        <v>567</v>
      </c>
      <c r="E425" s="114" t="s">
        <v>165</v>
      </c>
      <c r="F425" s="114" t="s">
        <v>2488</v>
      </c>
      <c r="G425" s="114" t="s">
        <v>2488</v>
      </c>
      <c r="H425" s="93" t="e">
        <v>#N/A</v>
      </c>
      <c r="I425" s="99">
        <v>46076</v>
      </c>
      <c r="J425" s="83" t="s">
        <v>189</v>
      </c>
      <c r="K425" s="113"/>
      <c r="L425" s="113"/>
      <c r="M425" s="113"/>
      <c r="N425" s="113"/>
      <c r="O425" s="113"/>
    </row>
    <row r="426" spans="1:15" s="111" customFormat="1" hidden="1">
      <c r="A426" s="111" t="str">
        <f t="shared" si="12"/>
        <v>BRLG.comSOUNDBARAll in OneAll in One</v>
      </c>
      <c r="B426" s="112" t="str">
        <f t="shared" si="13"/>
        <v>BR_LG.com</v>
      </c>
      <c r="C426" s="113" t="s">
        <v>311</v>
      </c>
      <c r="D426" s="113" t="s">
        <v>567</v>
      </c>
      <c r="E426" s="114" t="s">
        <v>165</v>
      </c>
      <c r="F426" s="114" t="s">
        <v>2489</v>
      </c>
      <c r="G426" s="114" t="s">
        <v>2489</v>
      </c>
      <c r="H426" s="93" t="e">
        <v>#N/A</v>
      </c>
      <c r="I426" s="99">
        <v>46076</v>
      </c>
      <c r="J426" s="83" t="s">
        <v>189</v>
      </c>
      <c r="K426" s="113"/>
      <c r="L426" s="113"/>
      <c r="M426" s="113"/>
      <c r="N426" s="113"/>
      <c r="O426" s="113"/>
    </row>
    <row r="427" spans="1:15" s="111" customFormat="1" hidden="1">
      <c r="A427" s="111" t="str">
        <f t="shared" si="12"/>
        <v>BRLG.comWIRELESS HEADSETWireless HeadsetFone de ouvido</v>
      </c>
      <c r="B427" s="112" t="str">
        <f t="shared" si="13"/>
        <v>BR_LG.com</v>
      </c>
      <c r="C427" s="113" t="s">
        <v>311</v>
      </c>
      <c r="D427" s="113" t="s">
        <v>567</v>
      </c>
      <c r="E427" s="114" t="s">
        <v>2201</v>
      </c>
      <c r="F427" s="114" t="s">
        <v>2373</v>
      </c>
      <c r="G427" s="114" t="s">
        <v>2490</v>
      </c>
      <c r="H427" s="93" t="e">
        <v>#N/A</v>
      </c>
      <c r="I427" s="99">
        <v>46076</v>
      </c>
      <c r="J427" s="83" t="s">
        <v>189</v>
      </c>
      <c r="K427" s="113"/>
      <c r="L427" s="113"/>
      <c r="M427" s="113"/>
      <c r="N427" s="113"/>
      <c r="O427" s="113"/>
    </row>
    <row r="428" spans="1:15" s="111" customFormat="1" hidden="1">
      <c r="A428" s="111" t="str">
        <f t="shared" si="12"/>
        <v>BRLG.comDRYERDryersecador</v>
      </c>
      <c r="B428" s="112" t="str">
        <f t="shared" si="13"/>
        <v>BR_LG.com</v>
      </c>
      <c r="C428" s="113" t="s">
        <v>311</v>
      </c>
      <c r="D428" s="113" t="s">
        <v>567</v>
      </c>
      <c r="E428" s="114" t="s">
        <v>539</v>
      </c>
      <c r="F428" s="114" t="s">
        <v>2431</v>
      </c>
      <c r="G428" s="114" t="s">
        <v>2491</v>
      </c>
      <c r="H428" s="93" t="e">
        <v>#N/A</v>
      </c>
      <c r="I428" s="99">
        <v>46076</v>
      </c>
      <c r="J428" s="83" t="s">
        <v>189</v>
      </c>
      <c r="K428" s="113"/>
      <c r="L428" s="113"/>
      <c r="M428" s="113"/>
      <c r="N428" s="113"/>
      <c r="O428" s="113"/>
    </row>
    <row r="429" spans="1:15" hidden="1">
      <c r="A429" s="75" t="str">
        <f t="shared" si="12"/>
        <v>BRMAGAZINELUIZAAir ConditionerACAC</v>
      </c>
      <c r="B429" s="94" t="str">
        <f t="shared" si="13"/>
        <v>BR_MAGAZINELUIZA</v>
      </c>
      <c r="C429" s="93" t="s">
        <v>311</v>
      </c>
      <c r="D429" s="93" t="s">
        <v>318</v>
      </c>
      <c r="E429" s="93" t="s">
        <v>2346</v>
      </c>
      <c r="F429" s="93" t="s">
        <v>2492</v>
      </c>
      <c r="G429" s="93" t="s">
        <v>2492</v>
      </c>
      <c r="H429" s="93" t="e">
        <v>#N/A</v>
      </c>
      <c r="I429" s="105" t="s">
        <v>2310</v>
      </c>
      <c r="J429" s="93" t="s">
        <v>189</v>
      </c>
      <c r="K429" s="93">
        <v>5790</v>
      </c>
      <c r="L429" s="93">
        <v>5790</v>
      </c>
      <c r="M429" s="93" t="s">
        <v>2311</v>
      </c>
      <c r="N429" s="93">
        <f>VLOOKUP(B429,'[16]01.수집 카테고리(List)'!$A$2:$H$64,8,FALSE)</f>
        <v>99991231</v>
      </c>
      <c r="O429" s="93" t="s">
        <v>646</v>
      </c>
    </row>
    <row r="430" spans="1:15" hidden="1">
      <c r="A430" s="75" t="str">
        <f t="shared" si="12"/>
        <v>BRMAGAZINELUIZAAir Conditionerair conditionerar condicionado</v>
      </c>
      <c r="B430" s="94" t="str">
        <f t="shared" si="13"/>
        <v>BR_MAGAZINELUIZA</v>
      </c>
      <c r="C430" s="93" t="s">
        <v>311</v>
      </c>
      <c r="D430" s="93" t="s">
        <v>318</v>
      </c>
      <c r="E430" s="93" t="s">
        <v>2346</v>
      </c>
      <c r="F430" s="93" t="s">
        <v>2347</v>
      </c>
      <c r="G430" s="93" t="s">
        <v>2493</v>
      </c>
      <c r="H430" s="93" t="e">
        <v>#N/A</v>
      </c>
      <c r="I430" s="105" t="s">
        <v>2310</v>
      </c>
      <c r="J430" s="93" t="s">
        <v>189</v>
      </c>
      <c r="K430" s="93">
        <v>4060</v>
      </c>
      <c r="L430" s="93" t="e">
        <v>#N/A</v>
      </c>
      <c r="M430" s="93" t="s">
        <v>2311</v>
      </c>
      <c r="N430" s="93">
        <f>VLOOKUP(B430,'[16]01.수집 카테고리(List)'!$A$2:$H$64,8,FALSE)</f>
        <v>99991231</v>
      </c>
      <c r="O430" s="93" t="s">
        <v>646</v>
      </c>
    </row>
    <row r="431" spans="1:15" hidden="1">
      <c r="A431" s="75" t="str">
        <f t="shared" si="12"/>
        <v>BRMAGAZINELUIZAAir Conditionerinverter air conditionerar condicionado inverter</v>
      </c>
      <c r="B431" s="94" t="str">
        <f t="shared" si="13"/>
        <v>BR_MAGAZINELUIZA</v>
      </c>
      <c r="C431" s="93" t="s">
        <v>311</v>
      </c>
      <c r="D431" s="93" t="s">
        <v>318</v>
      </c>
      <c r="E431" s="93" t="s">
        <v>2346</v>
      </c>
      <c r="F431" s="93" t="s">
        <v>2348</v>
      </c>
      <c r="G431" s="93" t="s">
        <v>2494</v>
      </c>
      <c r="H431" s="93" t="e">
        <v>#N/A</v>
      </c>
      <c r="I431" s="105" t="s">
        <v>2310</v>
      </c>
      <c r="J431" s="93" t="s">
        <v>189</v>
      </c>
      <c r="K431" s="93">
        <v>2958</v>
      </c>
      <c r="L431" s="93" t="e">
        <v>#N/A</v>
      </c>
      <c r="M431" s="93" t="s">
        <v>2311</v>
      </c>
      <c r="N431" s="93">
        <f>VLOOKUP(B431,'[16]01.수집 카테고리(List)'!$A$2:$H$64,8,FALSE)</f>
        <v>99991231</v>
      </c>
      <c r="O431" s="93" t="s">
        <v>646</v>
      </c>
    </row>
    <row r="432" spans="1:15" hidden="1">
      <c r="A432" s="75" t="str">
        <f t="shared" si="12"/>
        <v>BRMAGAZINELUIZAAir Conditionersplit ACsplit AC</v>
      </c>
      <c r="B432" s="94" t="str">
        <f t="shared" si="13"/>
        <v>BR_MAGAZINELUIZA</v>
      </c>
      <c r="C432" s="93" t="s">
        <v>311</v>
      </c>
      <c r="D432" s="93" t="s">
        <v>318</v>
      </c>
      <c r="E432" s="93" t="s">
        <v>2346</v>
      </c>
      <c r="F432" s="93" t="s">
        <v>2495</v>
      </c>
      <c r="G432" s="93" t="s">
        <v>2495</v>
      </c>
      <c r="H432" s="93" t="e">
        <v>#N/A</v>
      </c>
      <c r="I432" s="105" t="s">
        <v>2310</v>
      </c>
      <c r="J432" s="93" t="s">
        <v>189</v>
      </c>
      <c r="K432" s="93">
        <v>1035</v>
      </c>
      <c r="L432" s="93">
        <v>1035</v>
      </c>
      <c r="M432" s="93" t="s">
        <v>2311</v>
      </c>
      <c r="N432" s="93">
        <f>VLOOKUP(B432,'[16]01.수집 카테고리(List)'!$A$2:$H$64,8,FALSE)</f>
        <v>99991231</v>
      </c>
      <c r="O432" s="93" t="s">
        <v>646</v>
      </c>
    </row>
    <row r="433" spans="1:15" hidden="1">
      <c r="A433" s="75" t="str">
        <f t="shared" si="12"/>
        <v>BRMAGAZINELUIZABluetooth Speakerspeakersalto-falante</v>
      </c>
      <c r="B433" s="94" t="str">
        <f t="shared" si="13"/>
        <v>BR_MAGAZINELUIZA</v>
      </c>
      <c r="C433" s="93" t="s">
        <v>311</v>
      </c>
      <c r="D433" s="93" t="s">
        <v>318</v>
      </c>
      <c r="E433" s="93" t="s">
        <v>2307</v>
      </c>
      <c r="F433" s="93" t="s">
        <v>2471</v>
      </c>
      <c r="G433" s="93" t="s">
        <v>2472</v>
      </c>
      <c r="H433" s="93" t="e">
        <v>#N/A</v>
      </c>
      <c r="I433" s="105" t="s">
        <v>2310</v>
      </c>
      <c r="J433" s="93" t="s">
        <v>189</v>
      </c>
      <c r="K433" s="93">
        <v>5504</v>
      </c>
      <c r="L433" s="93" t="e">
        <v>#N/A</v>
      </c>
      <c r="M433" s="93" t="s">
        <v>2311</v>
      </c>
      <c r="N433" s="93">
        <f>VLOOKUP(B433,'[16]01.수집 카테고리(List)'!$A$2:$H$64,8,FALSE)</f>
        <v>99991231</v>
      </c>
      <c r="O433" s="93" t="s">
        <v>646</v>
      </c>
    </row>
    <row r="434" spans="1:15" hidden="1">
      <c r="A434" s="75" t="str">
        <f t="shared" si="12"/>
        <v>BRMAGAZINELUIZABluetooth Speakerportable speakersalto-falantes portáteis</v>
      </c>
      <c r="B434" s="94" t="str">
        <f t="shared" si="13"/>
        <v>BR_MAGAZINELUIZA</v>
      </c>
      <c r="C434" s="93" t="s">
        <v>311</v>
      </c>
      <c r="D434" s="93" t="s">
        <v>318</v>
      </c>
      <c r="E434" s="93" t="s">
        <v>2307</v>
      </c>
      <c r="F434" s="93" t="s">
        <v>2473</v>
      </c>
      <c r="G434" s="93" t="s">
        <v>2474</v>
      </c>
      <c r="H434" s="93" t="e">
        <v>#N/A</v>
      </c>
      <c r="I434" s="105" t="s">
        <v>2310</v>
      </c>
      <c r="J434" s="93" t="s">
        <v>189</v>
      </c>
      <c r="K434" s="93">
        <v>14</v>
      </c>
      <c r="L434" s="93" t="e">
        <v>#N/A</v>
      </c>
      <c r="M434" s="93" t="s">
        <v>2311</v>
      </c>
      <c r="N434" s="93">
        <f>VLOOKUP(B434,'[16]01.수집 카테고리(List)'!$A$2:$H$64,8,FALSE)</f>
        <v>99991231</v>
      </c>
      <c r="O434" s="93" t="s">
        <v>646</v>
      </c>
    </row>
    <row r="435" spans="1:15" hidden="1">
      <c r="A435" s="75" t="str">
        <f t="shared" si="12"/>
        <v>BRMAGAZINELUIZABluetooth Speakerwireless portable speakersalto-falantes portáteis sem fio</v>
      </c>
      <c r="B435" s="94" t="str">
        <f t="shared" si="13"/>
        <v>BR_MAGAZINELUIZA</v>
      </c>
      <c r="C435" s="93" t="s">
        <v>311</v>
      </c>
      <c r="D435" s="93" t="s">
        <v>318</v>
      </c>
      <c r="E435" s="93" t="s">
        <v>2307</v>
      </c>
      <c r="F435" s="93" t="s">
        <v>2475</v>
      </c>
      <c r="G435" s="93" t="s">
        <v>2476</v>
      </c>
      <c r="H435" s="93" t="e">
        <v>#N/A</v>
      </c>
      <c r="I435" s="105" t="s">
        <v>2310</v>
      </c>
      <c r="J435" s="93" t="s">
        <v>189</v>
      </c>
      <c r="K435" s="93">
        <v>25</v>
      </c>
      <c r="L435" s="93" t="e">
        <v>#N/A</v>
      </c>
      <c r="M435" s="93" t="s">
        <v>2311</v>
      </c>
      <c r="N435" s="93">
        <f>VLOOKUP(B435,'[16]01.수집 카테고리(List)'!$A$2:$H$64,8,FALSE)</f>
        <v>99991231</v>
      </c>
      <c r="O435" s="93" t="s">
        <v>646</v>
      </c>
    </row>
    <row r="436" spans="1:15" hidden="1">
      <c r="A436" s="75" t="str">
        <f t="shared" si="12"/>
        <v>BRMAGAZINELUIZABluetooth SpeakerAcoustic boxCaixa acústica</v>
      </c>
      <c r="B436" s="94" t="str">
        <f t="shared" si="13"/>
        <v>BR_MAGAZINELUIZA</v>
      </c>
      <c r="C436" s="93" t="s">
        <v>311</v>
      </c>
      <c r="D436" s="93" t="s">
        <v>318</v>
      </c>
      <c r="E436" s="93" t="s">
        <v>2307</v>
      </c>
      <c r="F436" s="93" t="s">
        <v>2477</v>
      </c>
      <c r="G436" s="93" t="s">
        <v>2478</v>
      </c>
      <c r="H436" s="93" t="e">
        <v>#N/A</v>
      </c>
      <c r="I436" s="105" t="s">
        <v>2310</v>
      </c>
      <c r="J436" s="93" t="s">
        <v>189</v>
      </c>
      <c r="K436" s="93">
        <v>3191</v>
      </c>
      <c r="L436" s="93" t="e">
        <v>#N/A</v>
      </c>
      <c r="M436" s="93" t="s">
        <v>2311</v>
      </c>
      <c r="N436" s="93">
        <f>VLOOKUP(B436,'[16]01.수집 카테고리(List)'!$A$2:$H$64,8,FALSE)</f>
        <v>99991231</v>
      </c>
      <c r="O436" s="93" t="s">
        <v>646</v>
      </c>
    </row>
    <row r="437" spans="1:15" hidden="1">
      <c r="A437" s="75" t="str">
        <f t="shared" si="12"/>
        <v>BRMAGAZINELUIZABluetooth SpeakerBluetooth speakerCaixa Bluetooth</v>
      </c>
      <c r="B437" s="94" t="str">
        <f t="shared" si="13"/>
        <v>BR_MAGAZINELUIZA</v>
      </c>
      <c r="C437" s="93" t="s">
        <v>311</v>
      </c>
      <c r="D437" s="93" t="s">
        <v>318</v>
      </c>
      <c r="E437" s="93" t="s">
        <v>2307</v>
      </c>
      <c r="F437" s="93" t="s">
        <v>2481</v>
      </c>
      <c r="G437" s="93" t="s">
        <v>2496</v>
      </c>
      <c r="H437" s="93" t="e">
        <v>#N/A</v>
      </c>
      <c r="I437" s="105" t="s">
        <v>2310</v>
      </c>
      <c r="J437" s="93" t="s">
        <v>189</v>
      </c>
      <c r="K437" s="93">
        <v>2304</v>
      </c>
      <c r="L437" s="93" t="e">
        <v>#N/A</v>
      </c>
      <c r="M437" s="93" t="s">
        <v>2311</v>
      </c>
      <c r="N437" s="93">
        <f>VLOOKUP(B437,'[16]01.수집 카테고리(List)'!$A$2:$H$64,8,FALSE)</f>
        <v>99991231</v>
      </c>
      <c r="O437" s="93" t="s">
        <v>646</v>
      </c>
    </row>
    <row r="438" spans="1:15" hidden="1">
      <c r="A438" s="75" t="str">
        <f t="shared" si="12"/>
        <v>BRMAGAZINELUIZABluetooth Speakerbluetooth speaker portableCaixa Bluetooth Portátil</v>
      </c>
      <c r="B438" s="94" t="str">
        <f t="shared" si="13"/>
        <v>BR_MAGAZINELUIZA</v>
      </c>
      <c r="C438" s="93" t="s">
        <v>311</v>
      </c>
      <c r="D438" s="93" t="s">
        <v>318</v>
      </c>
      <c r="E438" s="93" t="s">
        <v>2307</v>
      </c>
      <c r="F438" s="93" t="s">
        <v>2479</v>
      </c>
      <c r="G438" s="93" t="s">
        <v>2480</v>
      </c>
      <c r="H438" s="93" t="e">
        <v>#N/A</v>
      </c>
      <c r="I438" s="105" t="s">
        <v>2310</v>
      </c>
      <c r="J438" s="93" t="s">
        <v>189</v>
      </c>
      <c r="K438" s="93">
        <v>2259</v>
      </c>
      <c r="L438" s="93" t="e">
        <v>#N/A</v>
      </c>
      <c r="M438" s="93" t="s">
        <v>2311</v>
      </c>
      <c r="N438" s="93">
        <f>VLOOKUP(B438,'[16]01.수집 카테고리(List)'!$A$2:$H$64,8,FALSE)</f>
        <v>99991231</v>
      </c>
      <c r="O438" s="93" t="s">
        <v>646</v>
      </c>
    </row>
    <row r="439" spans="1:15" hidden="1">
      <c r="A439" s="75" t="str">
        <f t="shared" si="12"/>
        <v>BRMAGAZINELUIZABluetooth SpeakerBluetooth speakerCaixa de som</v>
      </c>
      <c r="B439" s="94" t="str">
        <f t="shared" si="13"/>
        <v>BR_MAGAZINELUIZA</v>
      </c>
      <c r="C439" s="93" t="s">
        <v>311</v>
      </c>
      <c r="D439" s="93" t="s">
        <v>318</v>
      </c>
      <c r="E439" s="93" t="s">
        <v>2307</v>
      </c>
      <c r="F439" s="93" t="s">
        <v>2481</v>
      </c>
      <c r="G439" s="93" t="s">
        <v>2482</v>
      </c>
      <c r="H439" s="93" t="e">
        <v>#N/A</v>
      </c>
      <c r="I439" s="105" t="s">
        <v>2310</v>
      </c>
      <c r="J439" s="93" t="s">
        <v>189</v>
      </c>
      <c r="K439" s="93">
        <v>2922</v>
      </c>
      <c r="L439" s="93" t="e">
        <v>#N/A</v>
      </c>
      <c r="M439" s="93" t="s">
        <v>2311</v>
      </c>
      <c r="N439" s="93">
        <f>VLOOKUP(B439,'[16]01.수집 카테고리(List)'!$A$2:$H$64,8,FALSE)</f>
        <v>99991231</v>
      </c>
      <c r="O439" s="93" t="s">
        <v>646</v>
      </c>
    </row>
    <row r="440" spans="1:15" hidden="1">
      <c r="A440" s="75" t="str">
        <f t="shared" si="12"/>
        <v>BRMAGAZINELUIZABluetooth SpeakerBluetooth speakerCaixa de som bluetooth</v>
      </c>
      <c r="B440" s="94" t="str">
        <f t="shared" si="13"/>
        <v>BR_MAGAZINELUIZA</v>
      </c>
      <c r="C440" s="93" t="s">
        <v>311</v>
      </c>
      <c r="D440" s="93" t="s">
        <v>318</v>
      </c>
      <c r="E440" s="93" t="s">
        <v>2307</v>
      </c>
      <c r="F440" s="93" t="s">
        <v>2481</v>
      </c>
      <c r="G440" s="93" t="s">
        <v>2483</v>
      </c>
      <c r="H440" s="93" t="e">
        <v>#N/A</v>
      </c>
      <c r="I440" s="105" t="s">
        <v>2310</v>
      </c>
      <c r="J440" s="93" t="s">
        <v>189</v>
      </c>
      <c r="K440" s="93">
        <v>3170</v>
      </c>
      <c r="L440" s="93" t="e">
        <v>#N/A</v>
      </c>
      <c r="M440" s="93" t="s">
        <v>2311</v>
      </c>
      <c r="N440" s="93">
        <f>VLOOKUP(B440,'[16]01.수집 카테고리(List)'!$A$2:$H$64,8,FALSE)</f>
        <v>99991231</v>
      </c>
      <c r="O440" s="93" t="s">
        <v>646</v>
      </c>
    </row>
    <row r="441" spans="1:15" hidden="1">
      <c r="A441" s="75" t="str">
        <f t="shared" si="12"/>
        <v>BRMAGAZINELUIZABluetooth SpeakerPortable bluetooth speakerCaixa de som bluetooth portátil</v>
      </c>
      <c r="B441" s="94" t="str">
        <f t="shared" si="13"/>
        <v>BR_MAGAZINELUIZA</v>
      </c>
      <c r="C441" s="93" t="s">
        <v>311</v>
      </c>
      <c r="D441" s="93" t="s">
        <v>318</v>
      </c>
      <c r="E441" s="93" t="s">
        <v>2307</v>
      </c>
      <c r="F441" s="93" t="s">
        <v>2312</v>
      </c>
      <c r="G441" s="93" t="s">
        <v>2484</v>
      </c>
      <c r="H441" s="93" t="e">
        <v>#N/A</v>
      </c>
      <c r="I441" s="105" t="s">
        <v>2310</v>
      </c>
      <c r="J441" s="93" t="s">
        <v>189</v>
      </c>
      <c r="K441" s="93">
        <v>1833</v>
      </c>
      <c r="L441" s="93" t="e">
        <v>#N/A</v>
      </c>
      <c r="M441" s="93" t="s">
        <v>2311</v>
      </c>
      <c r="N441" s="93">
        <f>VLOOKUP(B441,'[16]01.수집 카테고리(List)'!$A$2:$H$64,8,FALSE)</f>
        <v>99991231</v>
      </c>
      <c r="O441" s="93" t="s">
        <v>646</v>
      </c>
    </row>
    <row r="442" spans="1:15" hidden="1">
      <c r="A442" s="75" t="str">
        <f t="shared" si="12"/>
        <v>BRMAGAZINELUIZABluetooth SpeakerPortable bluetooth speakerCaixa de som portátil</v>
      </c>
      <c r="B442" s="94" t="str">
        <f t="shared" si="13"/>
        <v>BR_MAGAZINELUIZA</v>
      </c>
      <c r="C442" s="93" t="s">
        <v>311</v>
      </c>
      <c r="D442" s="93" t="s">
        <v>318</v>
      </c>
      <c r="E442" s="93" t="s">
        <v>2307</v>
      </c>
      <c r="F442" s="93" t="s">
        <v>2312</v>
      </c>
      <c r="G442" s="93" t="s">
        <v>2485</v>
      </c>
      <c r="H442" s="93" t="e">
        <v>#N/A</v>
      </c>
      <c r="I442" s="105" t="s">
        <v>2310</v>
      </c>
      <c r="J442" s="93" t="s">
        <v>189</v>
      </c>
      <c r="K442" s="93">
        <v>4227</v>
      </c>
      <c r="L442" s="93" t="e">
        <v>#N/A</v>
      </c>
      <c r="M442" s="93" t="s">
        <v>2311</v>
      </c>
      <c r="N442" s="93">
        <f>VLOOKUP(B442,'[16]01.수집 카테고리(List)'!$A$2:$H$64,8,FALSE)</f>
        <v>99991231</v>
      </c>
      <c r="O442" s="93" t="s">
        <v>646</v>
      </c>
    </row>
    <row r="443" spans="1:15" hidden="1">
      <c r="A443" s="75" t="str">
        <f t="shared" si="12"/>
        <v>BRMAGAZINELUIZAMonitormonitormonitor</v>
      </c>
      <c r="B443" s="94" t="str">
        <f t="shared" si="13"/>
        <v>BR_MAGAZINELUIZA</v>
      </c>
      <c r="C443" s="93" t="s">
        <v>311</v>
      </c>
      <c r="D443" s="93" t="s">
        <v>318</v>
      </c>
      <c r="E443" s="93" t="s">
        <v>2320</v>
      </c>
      <c r="F443" s="93" t="s">
        <v>2323</v>
      </c>
      <c r="G443" s="93" t="s">
        <v>2323</v>
      </c>
      <c r="H443" s="93" t="e">
        <v>#N/A</v>
      </c>
      <c r="I443" s="105" t="s">
        <v>2310</v>
      </c>
      <c r="J443" s="93" t="s">
        <v>189</v>
      </c>
      <c r="K443" s="93">
        <v>3347</v>
      </c>
      <c r="L443" s="93">
        <v>3347</v>
      </c>
      <c r="M443" s="93" t="s">
        <v>2311</v>
      </c>
      <c r="N443" s="93">
        <f>VLOOKUP(B443,'[16]01.수집 카테고리(List)'!$A$2:$H$64,8,FALSE)</f>
        <v>99991231</v>
      </c>
      <c r="O443" s="93" t="s">
        <v>646</v>
      </c>
    </row>
    <row r="444" spans="1:15" hidden="1">
      <c r="A444" s="75" t="str">
        <f t="shared" si="12"/>
        <v>BRMAGAZINELUIZAMonitor4k monitormonitor 4k</v>
      </c>
      <c r="B444" s="94" t="str">
        <f t="shared" si="13"/>
        <v>BR_MAGAZINELUIZA</v>
      </c>
      <c r="C444" s="93" t="s">
        <v>311</v>
      </c>
      <c r="D444" s="93" t="s">
        <v>318</v>
      </c>
      <c r="E444" s="93" t="s">
        <v>2320</v>
      </c>
      <c r="F444" s="93" t="s">
        <v>2321</v>
      </c>
      <c r="G444" s="93" t="s">
        <v>2497</v>
      </c>
      <c r="H444" s="93" t="e">
        <v>#N/A</v>
      </c>
      <c r="I444" s="105" t="s">
        <v>2310</v>
      </c>
      <c r="J444" s="93" t="s">
        <v>189</v>
      </c>
      <c r="K444" s="93">
        <v>1739</v>
      </c>
      <c r="L444" s="93" t="e">
        <v>#N/A</v>
      </c>
      <c r="M444" s="93" t="s">
        <v>2311</v>
      </c>
      <c r="N444" s="93">
        <f>VLOOKUP(B444,'[16]01.수집 카테고리(List)'!$A$2:$H$64,8,FALSE)</f>
        <v>99991231</v>
      </c>
      <c r="O444" s="93" t="s">
        <v>646</v>
      </c>
    </row>
    <row r="445" spans="1:15" hidden="1">
      <c r="A445" s="75" t="str">
        <f t="shared" si="12"/>
        <v>BRMAGAZINELUIZAMonitorgaming monitormonitor gamer</v>
      </c>
      <c r="B445" s="94" t="str">
        <f t="shared" si="13"/>
        <v>BR_MAGAZINELUIZA</v>
      </c>
      <c r="C445" s="93" t="s">
        <v>311</v>
      </c>
      <c r="D445" s="93" t="s">
        <v>318</v>
      </c>
      <c r="E445" s="93" t="s">
        <v>2320</v>
      </c>
      <c r="F445" s="93" t="s">
        <v>2322</v>
      </c>
      <c r="G445" s="93" t="s">
        <v>2466</v>
      </c>
      <c r="H445" s="93" t="e">
        <v>#N/A</v>
      </c>
      <c r="I445" s="105" t="s">
        <v>2310</v>
      </c>
      <c r="J445" s="93" t="s">
        <v>189</v>
      </c>
      <c r="K445" s="93">
        <v>3413</v>
      </c>
      <c r="L445" s="93" t="e">
        <v>#N/A</v>
      </c>
      <c r="M445" s="93" t="s">
        <v>2311</v>
      </c>
      <c r="N445" s="93">
        <f>VLOOKUP(B445,'[16]01.수집 카테고리(List)'!$A$2:$H$64,8,FALSE)</f>
        <v>99991231</v>
      </c>
      <c r="O445" s="93" t="s">
        <v>646</v>
      </c>
    </row>
    <row r="446" spans="1:15" hidden="1">
      <c r="A446" s="75" t="str">
        <f t="shared" si="12"/>
        <v>BRMAGAZINELUIZAMonitoruhd monitormonitor uhd</v>
      </c>
      <c r="B446" s="94" t="str">
        <f t="shared" si="13"/>
        <v>BR_MAGAZINELUIZA</v>
      </c>
      <c r="C446" s="93" t="s">
        <v>311</v>
      </c>
      <c r="D446" s="93" t="s">
        <v>318</v>
      </c>
      <c r="E446" s="93" t="s">
        <v>2320</v>
      </c>
      <c r="F446" s="93" t="s">
        <v>2324</v>
      </c>
      <c r="G446" s="93" t="s">
        <v>2498</v>
      </c>
      <c r="H446" s="93" t="e">
        <v>#N/A</v>
      </c>
      <c r="I446" s="105" t="s">
        <v>2310</v>
      </c>
      <c r="J446" s="93" t="s">
        <v>189</v>
      </c>
      <c r="K446" s="93">
        <v>1206</v>
      </c>
      <c r="L446" s="93" t="e">
        <v>#N/A</v>
      </c>
      <c r="M446" s="93" t="s">
        <v>2311</v>
      </c>
      <c r="N446" s="93">
        <f>VLOOKUP(B446,'[16]01.수집 카테고리(List)'!$A$2:$H$64,8,FALSE)</f>
        <v>99991231</v>
      </c>
      <c r="O446" s="93" t="s">
        <v>646</v>
      </c>
    </row>
    <row r="447" spans="1:15" hidden="1">
      <c r="A447" s="75" t="str">
        <f t="shared" si="12"/>
        <v>BRMAGAZINELUIZAMonitorultrawide monitormonitor ultrawide</v>
      </c>
      <c r="B447" s="94" t="str">
        <f t="shared" si="13"/>
        <v>BR_MAGAZINELUIZA</v>
      </c>
      <c r="C447" s="93" t="s">
        <v>311</v>
      </c>
      <c r="D447" s="93" t="s">
        <v>318</v>
      </c>
      <c r="E447" s="93" t="s">
        <v>2320</v>
      </c>
      <c r="F447" s="93" t="s">
        <v>2325</v>
      </c>
      <c r="G447" s="93" t="s">
        <v>2499</v>
      </c>
      <c r="H447" s="93" t="e">
        <v>#N/A</v>
      </c>
      <c r="I447" s="105" t="s">
        <v>2310</v>
      </c>
      <c r="J447" s="93" t="s">
        <v>189</v>
      </c>
      <c r="K447" s="93">
        <v>1043</v>
      </c>
      <c r="L447" s="93" t="e">
        <v>#N/A</v>
      </c>
      <c r="M447" s="93" t="s">
        <v>2311</v>
      </c>
      <c r="N447" s="93">
        <f>VLOOKUP(B447,'[16]01.수집 카테고리(List)'!$A$2:$H$64,8,FALSE)</f>
        <v>99991231</v>
      </c>
      <c r="O447" s="93" t="s">
        <v>646</v>
      </c>
    </row>
    <row r="448" spans="1:15" hidden="1">
      <c r="A448" s="75" t="str">
        <f t="shared" si="12"/>
        <v>BRMAGAZINELUIZAMonitorTV MonitorTV Monitor</v>
      </c>
      <c r="B448" s="94" t="str">
        <f t="shared" si="13"/>
        <v>BR_MAGAZINELUIZA</v>
      </c>
      <c r="C448" s="93" t="s">
        <v>311</v>
      </c>
      <c r="D448" s="93" t="s">
        <v>318</v>
      </c>
      <c r="E448" s="93" t="s">
        <v>2320</v>
      </c>
      <c r="F448" s="93" t="s">
        <v>2454</v>
      </c>
      <c r="G448" s="93" t="s">
        <v>2454</v>
      </c>
      <c r="H448" s="93" t="e">
        <v>#N/A</v>
      </c>
      <c r="I448" s="105" t="s">
        <v>2310</v>
      </c>
      <c r="J448" s="93" t="s">
        <v>189</v>
      </c>
      <c r="K448" s="93">
        <v>5810</v>
      </c>
      <c r="L448" s="93">
        <v>5810</v>
      </c>
      <c r="M448" s="93" t="s">
        <v>2311</v>
      </c>
      <c r="N448" s="93">
        <f>VLOOKUP(B448,'[16]01.수집 카테고리(List)'!$A$2:$H$64,8,FALSE)</f>
        <v>99991231</v>
      </c>
      <c r="O448" s="93" t="s">
        <v>646</v>
      </c>
    </row>
    <row r="449" spans="1:15" hidden="1">
      <c r="A449" s="75" t="str">
        <f t="shared" si="12"/>
        <v>BRMAGAZINELUIZARefrigeratorrefrigeratorgeladeira</v>
      </c>
      <c r="B449" s="94" t="str">
        <f t="shared" si="13"/>
        <v>BR_MAGAZINELUIZA</v>
      </c>
      <c r="C449" s="93" t="s">
        <v>311</v>
      </c>
      <c r="D449" s="93" t="s">
        <v>318</v>
      </c>
      <c r="E449" s="93" t="s">
        <v>2326</v>
      </c>
      <c r="F449" s="93" t="s">
        <v>2329</v>
      </c>
      <c r="G449" s="93" t="s">
        <v>2467</v>
      </c>
      <c r="H449" s="93" t="e">
        <v>#N/A</v>
      </c>
      <c r="I449" s="105" t="s">
        <v>2310</v>
      </c>
      <c r="J449" s="93" t="s">
        <v>189</v>
      </c>
      <c r="K449" s="93">
        <v>4883</v>
      </c>
      <c r="L449" s="93" t="e">
        <v>#N/A</v>
      </c>
      <c r="M449" s="93" t="s">
        <v>2311</v>
      </c>
      <c r="N449" s="93">
        <f>VLOOKUP(B449,'[16]01.수집 카테고리(List)'!$A$2:$H$64,8,FALSE)</f>
        <v>99991231</v>
      </c>
      <c r="O449" s="93" t="s">
        <v>646</v>
      </c>
    </row>
    <row r="450" spans="1:15" hidden="1">
      <c r="A450" s="75" t="str">
        <f t="shared" si="12"/>
        <v>BRMAGAZINELUIZARefrigeratorfrench door refrigeratorgeladeira french door</v>
      </c>
      <c r="B450" s="94" t="str">
        <f t="shared" si="13"/>
        <v>BR_MAGAZINELUIZA</v>
      </c>
      <c r="C450" s="93" t="s">
        <v>311</v>
      </c>
      <c r="D450" s="93" t="s">
        <v>318</v>
      </c>
      <c r="E450" s="93" t="s">
        <v>2326</v>
      </c>
      <c r="F450" s="93" t="s">
        <v>2328</v>
      </c>
      <c r="G450" s="93" t="s">
        <v>2500</v>
      </c>
      <c r="H450" s="93" t="e">
        <v>#N/A</v>
      </c>
      <c r="I450" s="105" t="s">
        <v>2310</v>
      </c>
      <c r="J450" s="93" t="s">
        <v>189</v>
      </c>
      <c r="K450" s="93">
        <v>498</v>
      </c>
      <c r="L450" s="93" t="e">
        <v>#N/A</v>
      </c>
      <c r="M450" s="93" t="s">
        <v>2311</v>
      </c>
      <c r="N450" s="93">
        <f>VLOOKUP(B450,'[16]01.수집 카테고리(List)'!$A$2:$H$64,8,FALSE)</f>
        <v>99991231</v>
      </c>
      <c r="O450" s="93" t="s">
        <v>646</v>
      </c>
    </row>
    <row r="451" spans="1:15" hidden="1">
      <c r="A451" s="75" t="str">
        <f t="shared" si="12"/>
        <v>BRMAGAZINELUIZARefrigeratorfrost free refrigeratorgeladeira frost free</v>
      </c>
      <c r="B451" s="94" t="str">
        <f t="shared" si="13"/>
        <v>BR_MAGAZINELUIZA</v>
      </c>
      <c r="C451" s="93" t="s">
        <v>311</v>
      </c>
      <c r="D451" s="93" t="s">
        <v>318</v>
      </c>
      <c r="E451" s="93" t="s">
        <v>2326</v>
      </c>
      <c r="F451" s="93" t="s">
        <v>2501</v>
      </c>
      <c r="G451" s="93" t="s">
        <v>2502</v>
      </c>
      <c r="H451" s="93" t="e">
        <v>#N/A</v>
      </c>
      <c r="I451" s="105" t="s">
        <v>2310</v>
      </c>
      <c r="J451" s="93" t="s">
        <v>189</v>
      </c>
      <c r="K451" s="93">
        <v>4247</v>
      </c>
      <c r="L451" s="93" t="e">
        <v>#N/A</v>
      </c>
      <c r="M451" s="93" t="s">
        <v>2311</v>
      </c>
      <c r="N451" s="93">
        <f>VLOOKUP(B451,'[16]01.수집 카테고리(List)'!$A$2:$H$64,8,FALSE)</f>
        <v>99991231</v>
      </c>
      <c r="O451" s="93" t="s">
        <v>646</v>
      </c>
    </row>
    <row r="452" spans="1:15" hidden="1">
      <c r="A452" s="75" t="str">
        <f t="shared" si="12"/>
        <v>BRMAGAZINELUIZARefrigeratorinverse refrigeratorgeladeira inverse</v>
      </c>
      <c r="B452" s="94" t="str">
        <f t="shared" si="13"/>
        <v>BR_MAGAZINELUIZA</v>
      </c>
      <c r="C452" s="93" t="s">
        <v>311</v>
      </c>
      <c r="D452" s="93" t="s">
        <v>318</v>
      </c>
      <c r="E452" s="93" t="s">
        <v>2326</v>
      </c>
      <c r="F452" s="93" t="s">
        <v>2503</v>
      </c>
      <c r="G452" s="93" t="s">
        <v>2504</v>
      </c>
      <c r="H452" s="93" t="e">
        <v>#N/A</v>
      </c>
      <c r="I452" s="105" t="s">
        <v>2310</v>
      </c>
      <c r="J452" s="93" t="s">
        <v>189</v>
      </c>
      <c r="K452" s="93">
        <v>1981</v>
      </c>
      <c r="L452" s="93" t="e">
        <v>#N/A</v>
      </c>
      <c r="M452" s="93" t="s">
        <v>2311</v>
      </c>
      <c r="N452" s="93">
        <f>VLOOKUP(B452,'[16]01.수집 카테고리(List)'!$A$2:$H$64,8,FALSE)</f>
        <v>99991231</v>
      </c>
      <c r="O452" s="93" t="s">
        <v>646</v>
      </c>
    </row>
    <row r="453" spans="1:15" hidden="1">
      <c r="A453" s="75" t="str">
        <f t="shared" si="12"/>
        <v>BRMAGAZINELUIZARefrigeratorside by side refrigeratorgeladeira side by side</v>
      </c>
      <c r="B453" s="94" t="str">
        <f t="shared" si="13"/>
        <v>BR_MAGAZINELUIZA</v>
      </c>
      <c r="C453" s="93" t="s">
        <v>311</v>
      </c>
      <c r="D453" s="93" t="s">
        <v>318</v>
      </c>
      <c r="E453" s="93" t="s">
        <v>2326</v>
      </c>
      <c r="F453" s="93" t="s">
        <v>2330</v>
      </c>
      <c r="G453" s="93" t="s">
        <v>2505</v>
      </c>
      <c r="H453" s="93" t="e">
        <v>#N/A</v>
      </c>
      <c r="I453" s="105" t="s">
        <v>2310</v>
      </c>
      <c r="J453" s="93" t="s">
        <v>189</v>
      </c>
      <c r="K453" s="93">
        <v>3086</v>
      </c>
      <c r="L453" s="93" t="e">
        <v>#N/A</v>
      </c>
      <c r="M453" s="93" t="s">
        <v>2311</v>
      </c>
      <c r="N453" s="93">
        <f>VLOOKUP(B453,'[16]01.수집 카테고리(List)'!$A$2:$H$64,8,FALSE)</f>
        <v>99991231</v>
      </c>
      <c r="O453" s="93" t="s">
        <v>646</v>
      </c>
    </row>
    <row r="454" spans="1:15" hidden="1">
      <c r="A454" s="75" t="str">
        <f t="shared" si="12"/>
        <v>BRMAGAZINELUIZARefrigeratortop freezer refrigeratorgeladeira top freezer</v>
      </c>
      <c r="B454" s="94" t="str">
        <f t="shared" si="13"/>
        <v>BR_MAGAZINELUIZA</v>
      </c>
      <c r="C454" s="93" t="s">
        <v>311</v>
      </c>
      <c r="D454" s="93" t="s">
        <v>318</v>
      </c>
      <c r="E454" s="93" t="s">
        <v>2326</v>
      </c>
      <c r="F454" s="93" t="s">
        <v>2332</v>
      </c>
      <c r="G454" s="93" t="s">
        <v>2506</v>
      </c>
      <c r="H454" s="93" t="e">
        <v>#N/A</v>
      </c>
      <c r="I454" s="105" t="s">
        <v>2310</v>
      </c>
      <c r="J454" s="93" t="s">
        <v>189</v>
      </c>
      <c r="K454" s="93">
        <v>834</v>
      </c>
      <c r="L454" s="93" t="e">
        <v>#N/A</v>
      </c>
      <c r="M454" s="93" t="s">
        <v>2311</v>
      </c>
      <c r="N454" s="93">
        <f>VLOOKUP(B454,'[16]01.수집 카테고리(List)'!$A$2:$H$64,8,FALSE)</f>
        <v>99991231</v>
      </c>
      <c r="O454" s="93" t="s">
        <v>646</v>
      </c>
    </row>
    <row r="455" spans="1:15" hidden="1">
      <c r="A455" s="75" t="str">
        <f t="shared" si="12"/>
        <v>BRMAGAZINELUIZASOUNDBARAll in OneAll in One</v>
      </c>
      <c r="B455" s="94" t="str">
        <f t="shared" si="13"/>
        <v>BR_MAGAZINELUIZA</v>
      </c>
      <c r="C455" s="93" t="s">
        <v>311</v>
      </c>
      <c r="D455" s="93" t="s">
        <v>318</v>
      </c>
      <c r="E455" s="93" t="s">
        <v>165</v>
      </c>
      <c r="F455" s="93" t="s">
        <v>2489</v>
      </c>
      <c r="G455" s="93" t="s">
        <v>2489</v>
      </c>
      <c r="H455" s="93" t="e">
        <v>#N/A</v>
      </c>
      <c r="I455" s="105" t="s">
        <v>2310</v>
      </c>
      <c r="J455" s="93" t="s">
        <v>189</v>
      </c>
      <c r="K455" s="93">
        <v>2196</v>
      </c>
      <c r="L455" s="93">
        <v>2196</v>
      </c>
      <c r="M455" s="93" t="s">
        <v>2311</v>
      </c>
      <c r="N455" s="93">
        <f>VLOOKUP(B455,'[16]01.수집 카테고리(List)'!$A$2:$H$64,8,FALSE)</f>
        <v>99991231</v>
      </c>
      <c r="O455" s="93" t="s">
        <v>646</v>
      </c>
    </row>
    <row r="456" spans="1:15" hidden="1">
      <c r="A456" s="75" t="str">
        <f t="shared" si="12"/>
        <v>BRMAGAZINELUIZASOUNDBARHome TheaterHome Theater</v>
      </c>
      <c r="B456" s="94" t="str">
        <f t="shared" si="13"/>
        <v>BR_MAGAZINELUIZA</v>
      </c>
      <c r="C456" s="93" t="s">
        <v>311</v>
      </c>
      <c r="D456" s="93" t="s">
        <v>318</v>
      </c>
      <c r="E456" s="93" t="s">
        <v>165</v>
      </c>
      <c r="F456" s="93" t="s">
        <v>2486</v>
      </c>
      <c r="G456" s="93" t="s">
        <v>2486</v>
      </c>
      <c r="H456" s="93" t="e">
        <v>#N/A</v>
      </c>
      <c r="I456" s="105" t="s">
        <v>2310</v>
      </c>
      <c r="J456" s="93" t="s">
        <v>189</v>
      </c>
      <c r="K456" s="93">
        <v>1749</v>
      </c>
      <c r="L456" s="93">
        <v>1749</v>
      </c>
      <c r="M456" s="93" t="s">
        <v>2311</v>
      </c>
      <c r="N456" s="93">
        <f>VLOOKUP(B456,'[16]01.수집 카테고리(List)'!$A$2:$H$64,8,FALSE)</f>
        <v>99991231</v>
      </c>
      <c r="O456" s="93" t="s">
        <v>646</v>
      </c>
    </row>
    <row r="457" spans="1:15" hidden="1">
      <c r="A457" s="75" t="str">
        <f t="shared" si="12"/>
        <v>BRMAGAZINELUIZASOUNDBARMini SystemMini System</v>
      </c>
      <c r="B457" s="94" t="str">
        <f t="shared" si="13"/>
        <v>BR_MAGAZINELUIZA</v>
      </c>
      <c r="C457" s="93" t="s">
        <v>311</v>
      </c>
      <c r="D457" s="93" t="s">
        <v>318</v>
      </c>
      <c r="E457" s="93" t="s">
        <v>165</v>
      </c>
      <c r="F457" s="93" t="s">
        <v>2487</v>
      </c>
      <c r="G457" s="93" t="s">
        <v>2487</v>
      </c>
      <c r="H457" s="93" t="e">
        <v>#N/A</v>
      </c>
      <c r="I457" s="105" t="s">
        <v>2310</v>
      </c>
      <c r="J457" s="93" t="s">
        <v>189</v>
      </c>
      <c r="K457" s="93">
        <v>2476</v>
      </c>
      <c r="L457" s="93">
        <v>2476</v>
      </c>
      <c r="M457" s="93" t="s">
        <v>2311</v>
      </c>
      <c r="N457" s="93">
        <f>VLOOKUP(B457,'[16]01.수집 카테고리(List)'!$A$2:$H$64,8,FALSE)</f>
        <v>99991231</v>
      </c>
      <c r="O457" s="93" t="s">
        <v>646</v>
      </c>
    </row>
    <row r="458" spans="1:15" hidden="1">
      <c r="A458" s="75" t="str">
        <f t="shared" ref="A458:A521" si="14">C458&amp;D458&amp;E458&amp;F458&amp;G458</f>
        <v>BRMAGAZINELUIZASOUNDBARSound BarSound Bar</v>
      </c>
      <c r="B458" s="94" t="str">
        <f t="shared" ref="B458:B521" si="15">C458&amp;"_"&amp;D458</f>
        <v>BR_MAGAZINELUIZA</v>
      </c>
      <c r="C458" s="93" t="s">
        <v>311</v>
      </c>
      <c r="D458" s="93" t="s">
        <v>318</v>
      </c>
      <c r="E458" s="93" t="s">
        <v>165</v>
      </c>
      <c r="F458" s="93" t="s">
        <v>2488</v>
      </c>
      <c r="G458" s="93" t="s">
        <v>2488</v>
      </c>
      <c r="H458" s="93" t="e">
        <v>#N/A</v>
      </c>
      <c r="I458" s="105" t="s">
        <v>2310</v>
      </c>
      <c r="J458" s="93" t="s">
        <v>189</v>
      </c>
      <c r="K458" s="93">
        <v>1389</v>
      </c>
      <c r="L458" s="93">
        <v>1389</v>
      </c>
      <c r="M458" s="93" t="s">
        <v>2311</v>
      </c>
      <c r="N458" s="93">
        <f>VLOOKUP(B458,'[16]01.수집 카테고리(List)'!$A$2:$H$64,8,FALSE)</f>
        <v>99991231</v>
      </c>
      <c r="O458" s="93" t="s">
        <v>646</v>
      </c>
    </row>
    <row r="459" spans="1:15" hidden="1">
      <c r="A459" s="75" t="str">
        <f t="shared" si="14"/>
        <v>BRMAGAZINELUIZATV4k TV4k TV</v>
      </c>
      <c r="B459" s="94" t="str">
        <f t="shared" si="15"/>
        <v>BR_MAGAZINELUIZA</v>
      </c>
      <c r="C459" s="93" t="s">
        <v>311</v>
      </c>
      <c r="D459" s="93" t="s">
        <v>318</v>
      </c>
      <c r="E459" s="93" t="s">
        <v>161</v>
      </c>
      <c r="F459" s="93" t="s">
        <v>2368</v>
      </c>
      <c r="G459" s="93" t="s">
        <v>2368</v>
      </c>
      <c r="H459" s="93" t="e">
        <v>#N/A</v>
      </c>
      <c r="I459" s="105" t="s">
        <v>2310</v>
      </c>
      <c r="J459" s="93" t="s">
        <v>189</v>
      </c>
      <c r="K459" s="93">
        <v>4731</v>
      </c>
      <c r="L459" s="93">
        <v>4731</v>
      </c>
      <c r="M459" s="93" t="s">
        <v>2311</v>
      </c>
      <c r="N459" s="93">
        <f>VLOOKUP(B459,'[16]01.수집 카테고리(List)'!$A$2:$H$64,8,FALSE)</f>
        <v>99991231</v>
      </c>
      <c r="O459" s="93" t="s">
        <v>646</v>
      </c>
    </row>
    <row r="460" spans="1:15" hidden="1">
      <c r="A460" s="75" t="str">
        <f t="shared" si="14"/>
        <v>BRMAGAZINELUIZATVoled TVoled TV</v>
      </c>
      <c r="B460" s="94" t="str">
        <f t="shared" si="15"/>
        <v>BR_MAGAZINELUIZA</v>
      </c>
      <c r="C460" s="93" t="s">
        <v>311</v>
      </c>
      <c r="D460" s="93" t="s">
        <v>318</v>
      </c>
      <c r="E460" s="93" t="s">
        <v>161</v>
      </c>
      <c r="F460" s="93" t="s">
        <v>2369</v>
      </c>
      <c r="G460" s="93" t="s">
        <v>2369</v>
      </c>
      <c r="H460" s="93" t="e">
        <v>#N/A</v>
      </c>
      <c r="I460" s="105" t="s">
        <v>2310</v>
      </c>
      <c r="J460" s="93" t="s">
        <v>189</v>
      </c>
      <c r="K460" s="93">
        <v>2274</v>
      </c>
      <c r="L460" s="93">
        <v>2274</v>
      </c>
      <c r="M460" s="93" t="s">
        <v>2311</v>
      </c>
      <c r="N460" s="93">
        <f>VLOOKUP(B460,'[16]01.수집 카테고리(List)'!$A$2:$H$64,8,FALSE)</f>
        <v>99991231</v>
      </c>
      <c r="O460" s="93" t="s">
        <v>646</v>
      </c>
    </row>
    <row r="461" spans="1:15" hidden="1">
      <c r="A461" s="75" t="str">
        <f t="shared" si="14"/>
        <v>BRMAGAZINELUIZATVsmart TVsmart TV</v>
      </c>
      <c r="B461" s="94" t="str">
        <f t="shared" si="15"/>
        <v>BR_MAGAZINELUIZA</v>
      </c>
      <c r="C461" s="93" t="s">
        <v>311</v>
      </c>
      <c r="D461" s="93" t="s">
        <v>318</v>
      </c>
      <c r="E461" s="93" t="s">
        <v>161</v>
      </c>
      <c r="F461" s="93" t="s">
        <v>2371</v>
      </c>
      <c r="G461" s="93" t="s">
        <v>2371</v>
      </c>
      <c r="H461" s="93" t="e">
        <v>#N/A</v>
      </c>
      <c r="I461" s="105" t="s">
        <v>2310</v>
      </c>
      <c r="J461" s="93" t="s">
        <v>189</v>
      </c>
      <c r="K461" s="93">
        <v>4587</v>
      </c>
      <c r="L461" s="93">
        <v>4587</v>
      </c>
      <c r="M461" s="93" t="s">
        <v>2311</v>
      </c>
      <c r="N461" s="93">
        <f>VLOOKUP(B461,'[16]01.수집 카테고리(List)'!$A$2:$H$64,8,FALSE)</f>
        <v>99991231</v>
      </c>
      <c r="O461" s="93" t="s">
        <v>646</v>
      </c>
    </row>
    <row r="462" spans="1:15" hidden="1">
      <c r="A462" s="75" t="str">
        <f t="shared" si="14"/>
        <v>BRMAGAZINELUIZATVTVTV</v>
      </c>
      <c r="B462" s="94" t="str">
        <f t="shared" si="15"/>
        <v>BR_MAGAZINELUIZA</v>
      </c>
      <c r="C462" s="93" t="s">
        <v>311</v>
      </c>
      <c r="D462" s="93" t="s">
        <v>318</v>
      </c>
      <c r="E462" s="93" t="s">
        <v>161</v>
      </c>
      <c r="F462" s="93" t="s">
        <v>161</v>
      </c>
      <c r="G462" s="93" t="s">
        <v>161</v>
      </c>
      <c r="H462" s="93" t="e">
        <v>#N/A</v>
      </c>
      <c r="I462" s="105" t="s">
        <v>2310</v>
      </c>
      <c r="J462" s="93" t="s">
        <v>189</v>
      </c>
      <c r="K462" s="93">
        <v>3883</v>
      </c>
      <c r="L462" s="93">
        <v>3883</v>
      </c>
      <c r="M462" s="93" t="s">
        <v>2311</v>
      </c>
      <c r="N462" s="93">
        <f>VLOOKUP(B462,'[16]01.수집 카테고리(List)'!$A$2:$H$64,8,FALSE)</f>
        <v>99991231</v>
      </c>
      <c r="O462" s="93" t="s">
        <v>646</v>
      </c>
    </row>
    <row r="463" spans="1:15" hidden="1">
      <c r="A463" s="75" t="str">
        <f t="shared" si="14"/>
        <v>BRMAGAZINELUIZATVTV 4K TV 4K</v>
      </c>
      <c r="B463" s="94" t="str">
        <f t="shared" si="15"/>
        <v>BR_MAGAZINELUIZA</v>
      </c>
      <c r="C463" s="93" t="s">
        <v>311</v>
      </c>
      <c r="D463" s="93" t="s">
        <v>318</v>
      </c>
      <c r="E463" s="93" t="s">
        <v>161</v>
      </c>
      <c r="F463" s="93" t="s">
        <v>2507</v>
      </c>
      <c r="G463" s="93" t="s">
        <v>2508</v>
      </c>
      <c r="H463" s="93" t="e">
        <v>#N/A</v>
      </c>
      <c r="I463" s="105" t="s">
        <v>2310</v>
      </c>
      <c r="J463" s="93" t="s">
        <v>189</v>
      </c>
      <c r="K463" s="93">
        <v>4324</v>
      </c>
      <c r="L463" s="93" t="e">
        <v>#N/A</v>
      </c>
      <c r="M463" s="93" t="s">
        <v>2311</v>
      </c>
      <c r="N463" s="93">
        <f>VLOOKUP(B463,'[16]01.수집 카테고리(List)'!$A$2:$H$64,8,FALSE)</f>
        <v>99991231</v>
      </c>
      <c r="O463" s="93" t="s">
        <v>646</v>
      </c>
    </row>
    <row r="464" spans="1:15" hidden="1">
      <c r="A464" s="75" t="str">
        <f t="shared" si="14"/>
        <v>BRMAGAZINELUIZATV55 Inch TVTV 55 Polegadas</v>
      </c>
      <c r="B464" s="94" t="str">
        <f t="shared" si="15"/>
        <v>BR_MAGAZINELUIZA</v>
      </c>
      <c r="C464" s="93" t="s">
        <v>311</v>
      </c>
      <c r="D464" s="93" t="s">
        <v>318</v>
      </c>
      <c r="E464" s="93" t="s">
        <v>161</v>
      </c>
      <c r="F464" s="93" t="s">
        <v>2509</v>
      </c>
      <c r="G464" s="93" t="s">
        <v>2510</v>
      </c>
      <c r="H464" s="93" t="e">
        <v>#N/A</v>
      </c>
      <c r="I464" s="105" t="s">
        <v>2310</v>
      </c>
      <c r="J464" s="93" t="s">
        <v>189</v>
      </c>
      <c r="K464" s="93">
        <v>4482</v>
      </c>
      <c r="L464" s="93" t="e">
        <v>#N/A</v>
      </c>
      <c r="M464" s="93" t="s">
        <v>2311</v>
      </c>
      <c r="N464" s="93">
        <f>VLOOKUP(B464,'[16]01.수집 카테고리(List)'!$A$2:$H$64,8,FALSE)</f>
        <v>99991231</v>
      </c>
      <c r="O464" s="93" t="s">
        <v>646</v>
      </c>
    </row>
    <row r="465" spans="1:15" hidden="1">
      <c r="A465" s="75" t="str">
        <f t="shared" si="14"/>
        <v>BRMAGAZINELUIZATV65 Inch TVTV 65 Polegadas</v>
      </c>
      <c r="B465" s="94" t="str">
        <f t="shared" si="15"/>
        <v>BR_MAGAZINELUIZA</v>
      </c>
      <c r="C465" s="93" t="s">
        <v>311</v>
      </c>
      <c r="D465" s="93" t="s">
        <v>318</v>
      </c>
      <c r="E465" s="93" t="s">
        <v>161</v>
      </c>
      <c r="F465" s="93" t="s">
        <v>2511</v>
      </c>
      <c r="G465" s="93" t="s">
        <v>2512</v>
      </c>
      <c r="H465" s="93" t="e">
        <v>#N/A</v>
      </c>
      <c r="I465" s="105" t="s">
        <v>2310</v>
      </c>
      <c r="J465" s="93" t="s">
        <v>189</v>
      </c>
      <c r="K465" s="93">
        <v>5351</v>
      </c>
      <c r="L465" s="93" t="e">
        <v>#N/A</v>
      </c>
      <c r="M465" s="93" t="s">
        <v>2311</v>
      </c>
      <c r="N465" s="93">
        <f>VLOOKUP(B465,'[16]01.수집 카테고리(List)'!$A$2:$H$64,8,FALSE)</f>
        <v>99991231</v>
      </c>
      <c r="O465" s="93" t="s">
        <v>646</v>
      </c>
    </row>
    <row r="466" spans="1:15" hidden="1">
      <c r="A466" s="75" t="str">
        <f t="shared" si="14"/>
        <v>BRMAGAZINELUIZATVuhd TVuhd TV</v>
      </c>
      <c r="B466" s="94" t="str">
        <f t="shared" si="15"/>
        <v>BR_MAGAZINELUIZA</v>
      </c>
      <c r="C466" s="93" t="s">
        <v>311</v>
      </c>
      <c r="D466" s="93" t="s">
        <v>318</v>
      </c>
      <c r="E466" s="93" t="s">
        <v>161</v>
      </c>
      <c r="F466" s="93" t="s">
        <v>2399</v>
      </c>
      <c r="G466" s="93" t="s">
        <v>2399</v>
      </c>
      <c r="H466" s="93" t="e">
        <v>#N/A</v>
      </c>
      <c r="I466" s="105" t="s">
        <v>2310</v>
      </c>
      <c r="J466" s="93" t="s">
        <v>189</v>
      </c>
      <c r="K466" s="93">
        <v>3811</v>
      </c>
      <c r="L466" s="93">
        <v>3811</v>
      </c>
      <c r="M466" s="93" t="s">
        <v>2311</v>
      </c>
      <c r="N466" s="93">
        <f>VLOOKUP(B466,'[16]01.수집 카테고리(List)'!$A$2:$H$64,8,FALSE)</f>
        <v>99991231</v>
      </c>
      <c r="O466" s="93" t="s">
        <v>646</v>
      </c>
    </row>
    <row r="467" spans="1:15" hidden="1">
      <c r="A467" s="75" t="str">
        <f t="shared" si="14"/>
        <v>BRMAGAZINELUIZAWashing MachineWasher dryer comboLava e seca</v>
      </c>
      <c r="B467" s="94" t="str">
        <f t="shared" si="15"/>
        <v>BR_MAGAZINELUIZA</v>
      </c>
      <c r="C467" s="93" t="s">
        <v>311</v>
      </c>
      <c r="D467" s="93" t="s">
        <v>318</v>
      </c>
      <c r="E467" s="93" t="s">
        <v>2333</v>
      </c>
      <c r="F467" s="93" t="s">
        <v>2513</v>
      </c>
      <c r="G467" s="93" t="s">
        <v>2514</v>
      </c>
      <c r="H467" s="93" t="e">
        <v>#N/A</v>
      </c>
      <c r="I467" s="105" t="s">
        <v>2310</v>
      </c>
      <c r="J467" s="93" t="s">
        <v>189</v>
      </c>
      <c r="K467" s="93">
        <v>3397</v>
      </c>
      <c r="L467" s="93" t="e">
        <v>#N/A</v>
      </c>
      <c r="M467" s="93" t="s">
        <v>2311</v>
      </c>
      <c r="N467" s="93">
        <f>VLOOKUP(B467,'[16]01.수집 카테고리(List)'!$A$2:$H$64,8,FALSE)</f>
        <v>99991231</v>
      </c>
      <c r="O467" s="93" t="s">
        <v>646</v>
      </c>
    </row>
    <row r="468" spans="1:15" hidden="1">
      <c r="A468" s="75" t="str">
        <f t="shared" si="14"/>
        <v>BRMAGAZINELUIZAWashing Machinewashing machineMáquina de lavar</v>
      </c>
      <c r="B468" s="94" t="str">
        <f t="shared" si="15"/>
        <v>BR_MAGAZINELUIZA</v>
      </c>
      <c r="C468" s="93" t="s">
        <v>311</v>
      </c>
      <c r="D468" s="93" t="s">
        <v>318</v>
      </c>
      <c r="E468" s="93" t="s">
        <v>2333</v>
      </c>
      <c r="F468" s="93" t="s">
        <v>2340</v>
      </c>
      <c r="G468" s="93" t="s">
        <v>2515</v>
      </c>
      <c r="H468" s="93" t="e">
        <v>#N/A</v>
      </c>
      <c r="I468" s="105" t="s">
        <v>2310</v>
      </c>
      <c r="J468" s="93" t="s">
        <v>189</v>
      </c>
      <c r="K468" s="93">
        <v>5714</v>
      </c>
      <c r="L468" s="93" t="e">
        <v>#N/A</v>
      </c>
      <c r="M468" s="93" t="s">
        <v>2311</v>
      </c>
      <c r="N468" s="93">
        <f>VLOOKUP(B468,'[16]01.수집 카테고리(List)'!$A$2:$H$64,8,FALSE)</f>
        <v>99991231</v>
      </c>
      <c r="O468" s="93" t="s">
        <v>646</v>
      </c>
    </row>
    <row r="469" spans="1:15" hidden="1">
      <c r="A469" s="75" t="str">
        <f t="shared" si="14"/>
        <v>BRMAGAZINELUIZAWIRELESS HEADSETWireless HeadsetFone de ouvido</v>
      </c>
      <c r="B469" s="94" t="str">
        <f t="shared" si="15"/>
        <v>BR_MAGAZINELUIZA</v>
      </c>
      <c r="C469" s="93" t="s">
        <v>311</v>
      </c>
      <c r="D469" s="93" t="s">
        <v>318</v>
      </c>
      <c r="E469" s="93" t="s">
        <v>2201</v>
      </c>
      <c r="F469" s="93" t="s">
        <v>2373</v>
      </c>
      <c r="G469" s="93" t="s">
        <v>2490</v>
      </c>
      <c r="H469" s="93" t="e">
        <v>#N/A</v>
      </c>
      <c r="I469" s="105" t="s">
        <v>2310</v>
      </c>
      <c r="J469" s="93" t="s">
        <v>189</v>
      </c>
      <c r="K469" s="93">
        <v>3410</v>
      </c>
      <c r="L469" s="93" t="e">
        <v>#N/A</v>
      </c>
      <c r="M469" s="93" t="s">
        <v>2311</v>
      </c>
      <c r="N469" s="93">
        <f>VLOOKUP(B469,'[16]01.수집 카테고리(List)'!$A$2:$H$64,8,FALSE)</f>
        <v>99991231</v>
      </c>
      <c r="O469" s="93" t="s">
        <v>646</v>
      </c>
    </row>
    <row r="470" spans="1:15" hidden="1">
      <c r="A470" s="75" t="str">
        <f t="shared" si="14"/>
        <v>BRSS.comAir Conditionerair conditionerar-condicionado</v>
      </c>
      <c r="B470" s="94" t="str">
        <f t="shared" si="15"/>
        <v>BR_SS.com</v>
      </c>
      <c r="C470" s="93" t="s">
        <v>311</v>
      </c>
      <c r="D470" s="93" t="s">
        <v>2443</v>
      </c>
      <c r="E470" s="93" t="s">
        <v>2346</v>
      </c>
      <c r="F470" s="93" t="s">
        <v>2347</v>
      </c>
      <c r="G470" s="93" t="s">
        <v>2516</v>
      </c>
      <c r="H470" s="93" t="e">
        <v>#N/A</v>
      </c>
      <c r="I470" s="105" t="s">
        <v>2310</v>
      </c>
      <c r="J470" s="93" t="s">
        <v>189</v>
      </c>
      <c r="K470" s="93">
        <v>528</v>
      </c>
      <c r="L470" s="93" t="e">
        <v>#N/A</v>
      </c>
      <c r="M470" s="93" t="s">
        <v>2311</v>
      </c>
      <c r="N470" s="93">
        <f>VLOOKUP(B470,'[16]01.수집 카테고리(List)'!$A$2:$H$64,8,FALSE)</f>
        <v>99991231</v>
      </c>
      <c r="O470" s="93" t="s">
        <v>646</v>
      </c>
    </row>
    <row r="471" spans="1:15" hidden="1">
      <c r="A471" s="75" t="str">
        <f t="shared" si="14"/>
        <v>BRSS.comMonitormonitormonitor</v>
      </c>
      <c r="B471" s="94" t="str">
        <f t="shared" si="15"/>
        <v>BR_SS.com</v>
      </c>
      <c r="C471" s="93" t="s">
        <v>311</v>
      </c>
      <c r="D471" s="93" t="s">
        <v>2443</v>
      </c>
      <c r="E471" s="93" t="s">
        <v>2320</v>
      </c>
      <c r="F471" s="93" t="s">
        <v>2323</v>
      </c>
      <c r="G471" s="93" t="s">
        <v>2323</v>
      </c>
      <c r="H471" s="93" t="e">
        <v>#N/A</v>
      </c>
      <c r="I471" s="105" t="s">
        <v>2310</v>
      </c>
      <c r="J471" s="93" t="s">
        <v>189</v>
      </c>
      <c r="K471" s="93">
        <v>93</v>
      </c>
      <c r="L471" s="93">
        <v>93</v>
      </c>
      <c r="M471" s="93" t="s">
        <v>2311</v>
      </c>
      <c r="N471" s="93">
        <f>VLOOKUP(B471,'[16]01.수집 카테고리(List)'!$A$2:$H$64,8,FALSE)</f>
        <v>99991231</v>
      </c>
      <c r="O471" s="93" t="s">
        <v>646</v>
      </c>
    </row>
    <row r="472" spans="1:15" hidden="1">
      <c r="A472" s="75" t="str">
        <f t="shared" si="14"/>
        <v>BRSS.comMonitorgaming monitormonitor gamer</v>
      </c>
      <c r="B472" s="94" t="str">
        <f t="shared" si="15"/>
        <v>BR_SS.com</v>
      </c>
      <c r="C472" s="93" t="s">
        <v>311</v>
      </c>
      <c r="D472" s="93" t="s">
        <v>2443</v>
      </c>
      <c r="E472" s="93" t="s">
        <v>2320</v>
      </c>
      <c r="F472" s="93" t="s">
        <v>2322</v>
      </c>
      <c r="G472" s="93" t="s">
        <v>2466</v>
      </c>
      <c r="H472" s="93" t="e">
        <v>#N/A</v>
      </c>
      <c r="I472" s="105" t="s">
        <v>2310</v>
      </c>
      <c r="J472" s="93" t="s">
        <v>189</v>
      </c>
      <c r="K472" s="93">
        <v>18</v>
      </c>
      <c r="L472" s="93" t="e">
        <v>#N/A</v>
      </c>
      <c r="M472" s="93" t="s">
        <v>2311</v>
      </c>
      <c r="N472" s="93">
        <f>VLOOKUP(B472,'[16]01.수집 카테고리(List)'!$A$2:$H$64,8,FALSE)</f>
        <v>99991231</v>
      </c>
      <c r="O472" s="93" t="s">
        <v>646</v>
      </c>
    </row>
    <row r="473" spans="1:15" hidden="1">
      <c r="A473" s="75" t="str">
        <f t="shared" si="14"/>
        <v>BRSS.comRefrigeratorrefrigeratorgeladeira</v>
      </c>
      <c r="B473" s="94" t="str">
        <f t="shared" si="15"/>
        <v>BR_SS.com</v>
      </c>
      <c r="C473" s="93" t="s">
        <v>311</v>
      </c>
      <c r="D473" s="93" t="s">
        <v>2443</v>
      </c>
      <c r="E473" s="93" t="s">
        <v>2326</v>
      </c>
      <c r="F473" s="93" t="s">
        <v>2329</v>
      </c>
      <c r="G473" s="93" t="s">
        <v>2467</v>
      </c>
      <c r="H473" s="93" t="e">
        <v>#N/A</v>
      </c>
      <c r="I473" s="105" t="s">
        <v>2310</v>
      </c>
      <c r="J473" s="93" t="s">
        <v>189</v>
      </c>
      <c r="K473" s="93">
        <v>76</v>
      </c>
      <c r="L473" s="93" t="e">
        <v>#N/A</v>
      </c>
      <c r="M473" s="93" t="s">
        <v>2311</v>
      </c>
      <c r="N473" s="93">
        <f>VLOOKUP(B473,'[16]01.수집 카테고리(List)'!$A$2:$H$64,8,FALSE)</f>
        <v>99991231</v>
      </c>
      <c r="O473" s="93" t="s">
        <v>646</v>
      </c>
    </row>
    <row r="474" spans="1:15" hidden="1">
      <c r="A474" s="75" t="str">
        <f t="shared" si="14"/>
        <v>BRSS.comTVtvtv</v>
      </c>
      <c r="B474" s="94" t="str">
        <f t="shared" si="15"/>
        <v>BR_SS.com</v>
      </c>
      <c r="C474" s="93" t="s">
        <v>311</v>
      </c>
      <c r="D474" s="93" t="s">
        <v>2443</v>
      </c>
      <c r="E474" s="93" t="s">
        <v>161</v>
      </c>
      <c r="F474" s="93" t="s">
        <v>2444</v>
      </c>
      <c r="G474" s="93" t="s">
        <v>2444</v>
      </c>
      <c r="H474" s="93" t="e">
        <v>#N/A</v>
      </c>
      <c r="I474" s="105" t="s">
        <v>2310</v>
      </c>
      <c r="J474" s="93" t="s">
        <v>189</v>
      </c>
      <c r="K474" s="93">
        <v>5</v>
      </c>
      <c r="L474" s="93">
        <v>5</v>
      </c>
      <c r="M474" s="93" t="s">
        <v>2311</v>
      </c>
      <c r="N474" s="93">
        <f>VLOOKUP(B474,'[16]01.수집 카테고리(List)'!$A$2:$H$64,8,FALSE)</f>
        <v>99991231</v>
      </c>
      <c r="O474" s="93" t="s">
        <v>646</v>
      </c>
    </row>
    <row r="475" spans="1:15" hidden="1">
      <c r="A475" s="75" t="str">
        <f t="shared" si="14"/>
        <v>BRSS.comWashing Machinewasher dryerlava e seca</v>
      </c>
      <c r="B475" s="94" t="str">
        <f t="shared" si="15"/>
        <v>BR_SS.com</v>
      </c>
      <c r="C475" s="93" t="s">
        <v>311</v>
      </c>
      <c r="D475" s="93" t="s">
        <v>2443</v>
      </c>
      <c r="E475" s="93" t="s">
        <v>2333</v>
      </c>
      <c r="F475" s="93" t="s">
        <v>2339</v>
      </c>
      <c r="G475" s="93" t="s">
        <v>2468</v>
      </c>
      <c r="H475" s="93" t="e">
        <v>#N/A</v>
      </c>
      <c r="I475" s="105" t="s">
        <v>2310</v>
      </c>
      <c r="J475" s="93" t="s">
        <v>189</v>
      </c>
      <c r="K475" s="93">
        <v>109</v>
      </c>
      <c r="L475" s="93" t="e">
        <v>#N/A</v>
      </c>
      <c r="M475" s="93" t="s">
        <v>2311</v>
      </c>
      <c r="N475" s="93">
        <f>VLOOKUP(B475,'[16]01.수집 카테고리(List)'!$A$2:$H$64,8,FALSE)</f>
        <v>99991231</v>
      </c>
      <c r="O475" s="93" t="s">
        <v>646</v>
      </c>
    </row>
    <row r="476" spans="1:15" hidden="1">
      <c r="A476" s="75" t="str">
        <f t="shared" si="14"/>
        <v>BRSS.comWashing Machinewashing machinemáquina de lavar</v>
      </c>
      <c r="B476" s="94" t="str">
        <f t="shared" si="15"/>
        <v>BR_SS.com</v>
      </c>
      <c r="C476" s="93" t="s">
        <v>311</v>
      </c>
      <c r="D476" s="93" t="s">
        <v>2443</v>
      </c>
      <c r="E476" s="93" t="s">
        <v>2517</v>
      </c>
      <c r="F476" s="93" t="s">
        <v>2340</v>
      </c>
      <c r="G476" s="93" t="s">
        <v>2469</v>
      </c>
      <c r="H476" s="93" t="e">
        <v>#N/A</v>
      </c>
      <c r="I476" s="99">
        <v>46076</v>
      </c>
      <c r="J476" s="83" t="s">
        <v>189</v>
      </c>
      <c r="K476" s="93"/>
      <c r="L476" s="93"/>
      <c r="M476" s="93"/>
      <c r="N476" s="93"/>
      <c r="O476" s="93"/>
    </row>
    <row r="477" spans="1:15" s="111" customFormat="1" hidden="1">
      <c r="A477" s="111" t="str">
        <f t="shared" si="14"/>
        <v>BRSS.comBluetooth Speakerspeakersalto-falante</v>
      </c>
      <c r="B477" s="112" t="str">
        <f t="shared" si="15"/>
        <v>BR_SS.com</v>
      </c>
      <c r="C477" s="113" t="s">
        <v>311</v>
      </c>
      <c r="D477" s="113" t="s">
        <v>184</v>
      </c>
      <c r="E477" s="113" t="s">
        <v>2470</v>
      </c>
      <c r="F477" s="113" t="s">
        <v>2471</v>
      </c>
      <c r="G477" s="113" t="s">
        <v>2472</v>
      </c>
      <c r="H477" s="93" t="e">
        <v>#N/A</v>
      </c>
      <c r="I477" s="99">
        <v>46076</v>
      </c>
      <c r="J477" s="83" t="s">
        <v>189</v>
      </c>
      <c r="K477" s="113"/>
      <c r="L477" s="113"/>
      <c r="M477" s="113"/>
      <c r="N477" s="113"/>
      <c r="O477" s="113"/>
    </row>
    <row r="478" spans="1:15" s="111" customFormat="1" hidden="1">
      <c r="A478" s="111" t="str">
        <f t="shared" si="14"/>
        <v>BRSS.comBluetooth Speakerportable speakersalto-falantes portáteis</v>
      </c>
      <c r="B478" s="112" t="str">
        <f t="shared" si="15"/>
        <v>BR_SS.com</v>
      </c>
      <c r="C478" s="113" t="s">
        <v>311</v>
      </c>
      <c r="D478" s="113" t="s">
        <v>184</v>
      </c>
      <c r="E478" s="113" t="s">
        <v>2470</v>
      </c>
      <c r="F478" s="113" t="s">
        <v>2473</v>
      </c>
      <c r="G478" s="113" t="s">
        <v>2474</v>
      </c>
      <c r="H478" s="93" t="e">
        <v>#N/A</v>
      </c>
      <c r="I478" s="99">
        <v>46076</v>
      </c>
      <c r="J478" s="83" t="s">
        <v>189</v>
      </c>
      <c r="K478" s="113"/>
      <c r="L478" s="113"/>
      <c r="M478" s="113"/>
      <c r="N478" s="113"/>
      <c r="O478" s="113"/>
    </row>
    <row r="479" spans="1:15" s="111" customFormat="1" hidden="1">
      <c r="A479" s="111" t="str">
        <f t="shared" si="14"/>
        <v>BRSS.comBluetooth Speakerwireless portable speakersalto-falantes portáteis sem fio</v>
      </c>
      <c r="B479" s="112" t="str">
        <f t="shared" si="15"/>
        <v>BR_SS.com</v>
      </c>
      <c r="C479" s="113" t="s">
        <v>311</v>
      </c>
      <c r="D479" s="113" t="s">
        <v>184</v>
      </c>
      <c r="E479" s="113" t="s">
        <v>2470</v>
      </c>
      <c r="F479" s="113" t="s">
        <v>2475</v>
      </c>
      <c r="G479" s="113" t="s">
        <v>2476</v>
      </c>
      <c r="H479" s="93" t="e">
        <v>#N/A</v>
      </c>
      <c r="I479" s="99">
        <v>46076</v>
      </c>
      <c r="J479" s="83" t="s">
        <v>189</v>
      </c>
      <c r="K479" s="113"/>
      <c r="L479" s="113"/>
      <c r="M479" s="113"/>
      <c r="N479" s="113"/>
      <c r="O479" s="113"/>
    </row>
    <row r="480" spans="1:15" s="111" customFormat="1" hidden="1">
      <c r="A480" s="111" t="str">
        <f t="shared" si="14"/>
        <v>BRSS.comBluetooth SpeakerAcoustic boxCaixa acústica</v>
      </c>
      <c r="B480" s="112" t="str">
        <f t="shared" si="15"/>
        <v>BR_SS.com</v>
      </c>
      <c r="C480" s="113" t="s">
        <v>311</v>
      </c>
      <c r="D480" s="113" t="s">
        <v>184</v>
      </c>
      <c r="E480" s="113" t="s">
        <v>2470</v>
      </c>
      <c r="F480" s="113" t="s">
        <v>2477</v>
      </c>
      <c r="G480" s="113" t="s">
        <v>2478</v>
      </c>
      <c r="H480" s="93" t="e">
        <v>#N/A</v>
      </c>
      <c r="I480" s="99">
        <v>46076</v>
      </c>
      <c r="J480" s="83" t="s">
        <v>189</v>
      </c>
      <c r="K480" s="113"/>
      <c r="L480" s="113"/>
      <c r="M480" s="113"/>
      <c r="N480" s="113"/>
      <c r="O480" s="113"/>
    </row>
    <row r="481" spans="1:15" s="111" customFormat="1" hidden="1">
      <c r="A481" s="111" t="str">
        <f t="shared" si="14"/>
        <v>BRSS.comBluetooth Speakerbluetooth speaker portableCaixa Bluetooth Portátil</v>
      </c>
      <c r="B481" s="112" t="str">
        <f t="shared" si="15"/>
        <v>BR_SS.com</v>
      </c>
      <c r="C481" s="113" t="s">
        <v>311</v>
      </c>
      <c r="D481" s="113" t="s">
        <v>184</v>
      </c>
      <c r="E481" s="113" t="s">
        <v>2470</v>
      </c>
      <c r="F481" s="113" t="s">
        <v>2479</v>
      </c>
      <c r="G481" s="113" t="s">
        <v>2480</v>
      </c>
      <c r="H481" s="93" t="e">
        <v>#N/A</v>
      </c>
      <c r="I481" s="99">
        <v>46076</v>
      </c>
      <c r="J481" s="83" t="s">
        <v>189</v>
      </c>
      <c r="K481" s="113"/>
      <c r="L481" s="113"/>
      <c r="M481" s="113"/>
      <c r="N481" s="113"/>
      <c r="O481" s="113"/>
    </row>
    <row r="482" spans="1:15" s="111" customFormat="1" hidden="1">
      <c r="A482" s="111" t="str">
        <f t="shared" si="14"/>
        <v>BRSS.comBluetooth SpeakerBluetooth speakerCaixa de som</v>
      </c>
      <c r="B482" s="112" t="str">
        <f t="shared" si="15"/>
        <v>BR_SS.com</v>
      </c>
      <c r="C482" s="113" t="s">
        <v>311</v>
      </c>
      <c r="D482" s="113" t="s">
        <v>184</v>
      </c>
      <c r="E482" s="113" t="s">
        <v>2470</v>
      </c>
      <c r="F482" s="113" t="s">
        <v>2481</v>
      </c>
      <c r="G482" s="113" t="s">
        <v>2482</v>
      </c>
      <c r="H482" s="93" t="e">
        <v>#N/A</v>
      </c>
      <c r="I482" s="99">
        <v>46076</v>
      </c>
      <c r="J482" s="83" t="s">
        <v>189</v>
      </c>
      <c r="K482" s="113"/>
      <c r="L482" s="113"/>
      <c r="M482" s="113"/>
      <c r="N482" s="113"/>
      <c r="O482" s="113"/>
    </row>
    <row r="483" spans="1:15" s="111" customFormat="1" hidden="1">
      <c r="A483" s="111" t="str">
        <f t="shared" si="14"/>
        <v>BRSS.comBluetooth SpeakerBluetooth speakerCaixa de som bluetooth</v>
      </c>
      <c r="B483" s="112" t="str">
        <f t="shared" si="15"/>
        <v>BR_SS.com</v>
      </c>
      <c r="C483" s="113" t="s">
        <v>311</v>
      </c>
      <c r="D483" s="113" t="s">
        <v>184</v>
      </c>
      <c r="E483" s="113" t="s">
        <v>2470</v>
      </c>
      <c r="F483" s="113" t="s">
        <v>2481</v>
      </c>
      <c r="G483" s="113" t="s">
        <v>2483</v>
      </c>
      <c r="H483" s="93" t="e">
        <v>#N/A</v>
      </c>
      <c r="I483" s="99">
        <v>46076</v>
      </c>
      <c r="J483" s="83" t="s">
        <v>189</v>
      </c>
      <c r="K483" s="113"/>
      <c r="L483" s="113"/>
      <c r="M483" s="113"/>
      <c r="N483" s="113"/>
      <c r="O483" s="113"/>
    </row>
    <row r="484" spans="1:15" s="111" customFormat="1" hidden="1">
      <c r="A484" s="111" t="str">
        <f t="shared" si="14"/>
        <v>BRSS.comBluetooth SpeakerPortable bluetooth speakerCaixa de som bluetooth portátil</v>
      </c>
      <c r="B484" s="112" t="str">
        <f t="shared" si="15"/>
        <v>BR_SS.com</v>
      </c>
      <c r="C484" s="113" t="s">
        <v>311</v>
      </c>
      <c r="D484" s="113" t="s">
        <v>184</v>
      </c>
      <c r="E484" s="113" t="s">
        <v>2470</v>
      </c>
      <c r="F484" s="113" t="s">
        <v>2312</v>
      </c>
      <c r="G484" s="113" t="s">
        <v>2484</v>
      </c>
      <c r="H484" s="93" t="e">
        <v>#N/A</v>
      </c>
      <c r="I484" s="99">
        <v>46076</v>
      </c>
      <c r="J484" s="83" t="s">
        <v>189</v>
      </c>
      <c r="K484" s="113"/>
      <c r="L484" s="113"/>
      <c r="M484" s="113"/>
      <c r="N484" s="113"/>
      <c r="O484" s="113"/>
    </row>
    <row r="485" spans="1:15" s="111" customFormat="1" hidden="1">
      <c r="A485" s="111" t="str">
        <f t="shared" si="14"/>
        <v>BRSS.comBluetooth SpeakerPortable bluetooth speakerCaixa de som portátil</v>
      </c>
      <c r="B485" s="112" t="str">
        <f t="shared" si="15"/>
        <v>BR_SS.com</v>
      </c>
      <c r="C485" s="113" t="s">
        <v>311</v>
      </c>
      <c r="D485" s="113" t="s">
        <v>184</v>
      </c>
      <c r="E485" s="113" t="s">
        <v>2470</v>
      </c>
      <c r="F485" s="113" t="s">
        <v>2312</v>
      </c>
      <c r="G485" s="113" t="s">
        <v>2485</v>
      </c>
      <c r="H485" s="93" t="e">
        <v>#N/A</v>
      </c>
      <c r="I485" s="99">
        <v>46076</v>
      </c>
      <c r="J485" s="83" t="s">
        <v>189</v>
      </c>
      <c r="K485" s="113"/>
      <c r="L485" s="113"/>
      <c r="M485" s="113"/>
      <c r="N485" s="113"/>
      <c r="O485" s="113"/>
    </row>
    <row r="486" spans="1:15" s="111" customFormat="1" hidden="1">
      <c r="A486" s="111" t="str">
        <f t="shared" si="14"/>
        <v>BRSS.comSOUNDBARHome TheaterHome Theater</v>
      </c>
      <c r="B486" s="112" t="str">
        <f t="shared" si="15"/>
        <v>BR_SS.com</v>
      </c>
      <c r="C486" s="113" t="s">
        <v>311</v>
      </c>
      <c r="D486" s="113" t="s">
        <v>184</v>
      </c>
      <c r="E486" s="113" t="s">
        <v>165</v>
      </c>
      <c r="F486" s="113" t="s">
        <v>2486</v>
      </c>
      <c r="G486" s="113" t="s">
        <v>2486</v>
      </c>
      <c r="H486" s="93" t="e">
        <v>#N/A</v>
      </c>
      <c r="I486" s="99">
        <v>46076</v>
      </c>
      <c r="J486" s="83" t="s">
        <v>189</v>
      </c>
      <c r="K486" s="113"/>
      <c r="L486" s="113"/>
      <c r="M486" s="113"/>
      <c r="N486" s="113"/>
      <c r="O486" s="113"/>
    </row>
    <row r="487" spans="1:15" s="111" customFormat="1" hidden="1">
      <c r="A487" s="111" t="str">
        <f t="shared" si="14"/>
        <v>BRSS.comSOUNDBARMini SystemMini System</v>
      </c>
      <c r="B487" s="112" t="str">
        <f t="shared" si="15"/>
        <v>BR_SS.com</v>
      </c>
      <c r="C487" s="113" t="s">
        <v>311</v>
      </c>
      <c r="D487" s="113" t="s">
        <v>184</v>
      </c>
      <c r="E487" s="113" t="s">
        <v>165</v>
      </c>
      <c r="F487" s="113" t="s">
        <v>2487</v>
      </c>
      <c r="G487" s="113" t="s">
        <v>2487</v>
      </c>
      <c r="H487" s="93" t="e">
        <v>#N/A</v>
      </c>
      <c r="I487" s="99">
        <v>46076</v>
      </c>
      <c r="J487" s="83" t="s">
        <v>189</v>
      </c>
      <c r="K487" s="113"/>
      <c r="L487" s="113"/>
      <c r="M487" s="113"/>
      <c r="N487" s="113"/>
      <c r="O487" s="113"/>
    </row>
    <row r="488" spans="1:15" s="111" customFormat="1" hidden="1">
      <c r="A488" s="111" t="str">
        <f t="shared" si="14"/>
        <v>BRSS.comSOUNDBARSound BarSound Bar</v>
      </c>
      <c r="B488" s="112" t="str">
        <f t="shared" si="15"/>
        <v>BR_SS.com</v>
      </c>
      <c r="C488" s="113" t="s">
        <v>311</v>
      </c>
      <c r="D488" s="113" t="s">
        <v>184</v>
      </c>
      <c r="E488" s="113" t="s">
        <v>165</v>
      </c>
      <c r="F488" s="113" t="s">
        <v>2488</v>
      </c>
      <c r="G488" s="113" t="s">
        <v>2488</v>
      </c>
      <c r="H488" s="93" t="e">
        <v>#N/A</v>
      </c>
      <c r="I488" s="99">
        <v>46076</v>
      </c>
      <c r="J488" s="83" t="s">
        <v>189</v>
      </c>
      <c r="K488" s="113"/>
      <c r="L488" s="113"/>
      <c r="M488" s="113"/>
      <c r="N488" s="113"/>
      <c r="O488" s="113"/>
    </row>
    <row r="489" spans="1:15" s="111" customFormat="1" hidden="1">
      <c r="A489" s="111" t="str">
        <f t="shared" si="14"/>
        <v>BRSS.comSOUNDBARAll in OneAll in One</v>
      </c>
      <c r="B489" s="112" t="str">
        <f t="shared" si="15"/>
        <v>BR_SS.com</v>
      </c>
      <c r="C489" s="113" t="s">
        <v>311</v>
      </c>
      <c r="D489" s="113" t="s">
        <v>184</v>
      </c>
      <c r="E489" s="113" t="s">
        <v>165</v>
      </c>
      <c r="F489" s="113" t="s">
        <v>2489</v>
      </c>
      <c r="G489" s="113" t="s">
        <v>2489</v>
      </c>
      <c r="H489" s="93" t="e">
        <v>#N/A</v>
      </c>
      <c r="I489" s="99">
        <v>46076</v>
      </c>
      <c r="J489" s="83" t="s">
        <v>189</v>
      </c>
      <c r="K489" s="113"/>
      <c r="L489" s="113"/>
      <c r="M489" s="113"/>
      <c r="N489" s="113"/>
      <c r="O489" s="113"/>
    </row>
    <row r="490" spans="1:15" s="111" customFormat="1" hidden="1">
      <c r="A490" s="111" t="str">
        <f t="shared" si="14"/>
        <v>BRSS.comWIRELESS HEADSETWireless HeadsetFone de ouvido</v>
      </c>
      <c r="B490" s="112" t="str">
        <f t="shared" si="15"/>
        <v>BR_SS.com</v>
      </c>
      <c r="C490" s="113" t="s">
        <v>311</v>
      </c>
      <c r="D490" s="113" t="s">
        <v>184</v>
      </c>
      <c r="E490" s="113" t="s">
        <v>2201</v>
      </c>
      <c r="F490" s="113" t="s">
        <v>2373</v>
      </c>
      <c r="G490" s="113" t="s">
        <v>2490</v>
      </c>
      <c r="H490" s="93" t="e">
        <v>#N/A</v>
      </c>
      <c r="I490" s="99">
        <v>46076</v>
      </c>
      <c r="J490" s="83" t="s">
        <v>189</v>
      </c>
      <c r="K490" s="113"/>
      <c r="L490" s="113"/>
      <c r="M490" s="113"/>
      <c r="N490" s="113"/>
      <c r="O490" s="113"/>
    </row>
    <row r="491" spans="1:15" hidden="1">
      <c r="A491" s="75" t="str">
        <f t="shared" si="14"/>
        <v>CAAMAZONLaptop15inch Laptop15inch Laptop</v>
      </c>
      <c r="B491" s="94" t="str">
        <f t="shared" si="15"/>
        <v>CA_AMAZON</v>
      </c>
      <c r="C491" s="93" t="s">
        <v>345</v>
      </c>
      <c r="D491" s="93" t="s">
        <v>262</v>
      </c>
      <c r="E491" s="93" t="s">
        <v>2407</v>
      </c>
      <c r="F491" s="93" t="s">
        <v>2408</v>
      </c>
      <c r="G491" s="93" t="s">
        <v>2408</v>
      </c>
      <c r="H491" s="93" t="e">
        <v>#N/A</v>
      </c>
      <c r="I491" s="105" t="s">
        <v>2310</v>
      </c>
      <c r="J491" s="93" t="s">
        <v>189</v>
      </c>
      <c r="K491" s="93">
        <v>6635</v>
      </c>
      <c r="L491" s="93">
        <v>6635</v>
      </c>
      <c r="M491" s="93" t="s">
        <v>2311</v>
      </c>
      <c r="N491" s="93">
        <f>VLOOKUP(B491,'[16]01.수집 카테고리(List)'!$A$2:$H$64,8,FALSE)</f>
        <v>99991231</v>
      </c>
      <c r="O491" s="93" t="s">
        <v>646</v>
      </c>
    </row>
    <row r="492" spans="1:15" hidden="1">
      <c r="A492" s="75" t="str">
        <f t="shared" si="14"/>
        <v>CAAMAZONLaptop17inch Laptop17inch Laptop</v>
      </c>
      <c r="B492" s="94" t="str">
        <f t="shared" si="15"/>
        <v>CA_AMAZON</v>
      </c>
      <c r="C492" s="93" t="s">
        <v>345</v>
      </c>
      <c r="D492" s="93" t="s">
        <v>262</v>
      </c>
      <c r="E492" s="93" t="s">
        <v>2407</v>
      </c>
      <c r="F492" s="93" t="s">
        <v>2409</v>
      </c>
      <c r="G492" s="93" t="s">
        <v>2409</v>
      </c>
      <c r="H492" s="93" t="e">
        <v>#N/A</v>
      </c>
      <c r="I492" s="105" t="s">
        <v>2310</v>
      </c>
      <c r="J492" s="93" t="s">
        <v>189</v>
      </c>
      <c r="K492" s="93">
        <v>6762</v>
      </c>
      <c r="L492" s="93">
        <v>6762</v>
      </c>
      <c r="M492" s="93" t="s">
        <v>2311</v>
      </c>
      <c r="N492" s="93">
        <f>VLOOKUP(B492,'[16]01.수집 카테고리(List)'!$A$2:$H$64,8,FALSE)</f>
        <v>99991231</v>
      </c>
      <c r="O492" s="93" t="s">
        <v>646</v>
      </c>
    </row>
    <row r="493" spans="1:15" hidden="1">
      <c r="A493" s="75" t="str">
        <f t="shared" si="14"/>
        <v>CAAMAZONLaptopi7 laptopi7 laptop</v>
      </c>
      <c r="B493" s="94" t="str">
        <f t="shared" si="15"/>
        <v>CA_AMAZON</v>
      </c>
      <c r="C493" s="93" t="s">
        <v>345</v>
      </c>
      <c r="D493" s="93" t="s">
        <v>262</v>
      </c>
      <c r="E493" s="93" t="s">
        <v>2407</v>
      </c>
      <c r="F493" s="93" t="s">
        <v>2410</v>
      </c>
      <c r="G493" s="93" t="s">
        <v>2410</v>
      </c>
      <c r="H493" s="93" t="e">
        <v>#N/A</v>
      </c>
      <c r="I493" s="105" t="s">
        <v>2310</v>
      </c>
      <c r="J493" s="93" t="s">
        <v>189</v>
      </c>
      <c r="K493" s="93">
        <v>8125</v>
      </c>
      <c r="L493" s="93">
        <v>8125</v>
      </c>
      <c r="M493" s="93" t="s">
        <v>2311</v>
      </c>
      <c r="N493" s="93">
        <f>VLOOKUP(B493,'[16]01.수집 카테고리(List)'!$A$2:$H$64,8,FALSE)</f>
        <v>99991231</v>
      </c>
      <c r="O493" s="93" t="s">
        <v>646</v>
      </c>
    </row>
    <row r="494" spans="1:15" hidden="1">
      <c r="A494" s="75" t="str">
        <f t="shared" si="14"/>
        <v>CAAMAZONLaptopLaptopLaptop</v>
      </c>
      <c r="B494" s="94" t="str">
        <f t="shared" si="15"/>
        <v>CA_AMAZON</v>
      </c>
      <c r="C494" s="93" t="s">
        <v>345</v>
      </c>
      <c r="D494" s="93" t="s">
        <v>262</v>
      </c>
      <c r="E494" s="93" t="s">
        <v>2407</v>
      </c>
      <c r="F494" s="93" t="s">
        <v>2407</v>
      </c>
      <c r="G494" s="93" t="s">
        <v>2407</v>
      </c>
      <c r="H494" s="93" t="e">
        <v>#N/A</v>
      </c>
      <c r="I494" s="105" t="s">
        <v>2310</v>
      </c>
      <c r="J494" s="93" t="s">
        <v>189</v>
      </c>
      <c r="K494" s="93">
        <v>7788</v>
      </c>
      <c r="L494" s="93">
        <v>7788</v>
      </c>
      <c r="M494" s="93" t="s">
        <v>2311</v>
      </c>
      <c r="N494" s="93">
        <f>VLOOKUP(B494,'[16]01.수집 카테고리(List)'!$A$2:$H$64,8,FALSE)</f>
        <v>99991231</v>
      </c>
      <c r="O494" s="93" t="s">
        <v>646</v>
      </c>
    </row>
    <row r="495" spans="1:15" hidden="1">
      <c r="A495" s="75" t="str">
        <f t="shared" si="14"/>
        <v>CAAMAZONLaptopLightweight LaptopLightweight Laptop</v>
      </c>
      <c r="B495" s="94" t="str">
        <f t="shared" si="15"/>
        <v>CA_AMAZON</v>
      </c>
      <c r="C495" s="93" t="s">
        <v>345</v>
      </c>
      <c r="D495" s="93" t="s">
        <v>262</v>
      </c>
      <c r="E495" s="93" t="s">
        <v>2407</v>
      </c>
      <c r="F495" s="93" t="s">
        <v>2411</v>
      </c>
      <c r="G495" s="93" t="s">
        <v>2411</v>
      </c>
      <c r="H495" s="93" t="e">
        <v>#N/A</v>
      </c>
      <c r="I495" s="105" t="s">
        <v>2310</v>
      </c>
      <c r="J495" s="93" t="s">
        <v>189</v>
      </c>
      <c r="K495" s="93">
        <v>6713</v>
      </c>
      <c r="L495" s="93">
        <v>6713</v>
      </c>
      <c r="M495" s="93" t="s">
        <v>2311</v>
      </c>
      <c r="N495" s="93">
        <f>VLOOKUP(B495,'[16]01.수집 카테고리(List)'!$A$2:$H$64,8,FALSE)</f>
        <v>99991231</v>
      </c>
      <c r="O495" s="93" t="s">
        <v>646</v>
      </c>
    </row>
    <row r="496" spans="1:15" hidden="1">
      <c r="A496" s="75" t="str">
        <f t="shared" si="14"/>
        <v>CAAMAZONLaptopUltra-light laptopUltra-light laptop</v>
      </c>
      <c r="B496" s="94" t="str">
        <f t="shared" si="15"/>
        <v>CA_AMAZON</v>
      </c>
      <c r="C496" s="93" t="s">
        <v>345</v>
      </c>
      <c r="D496" s="93" t="s">
        <v>262</v>
      </c>
      <c r="E496" s="93" t="s">
        <v>2407</v>
      </c>
      <c r="F496" s="93" t="s">
        <v>2518</v>
      </c>
      <c r="G496" s="93" t="s">
        <v>2518</v>
      </c>
      <c r="H496" s="93" t="e">
        <v>#N/A</v>
      </c>
      <c r="I496" s="105" t="s">
        <v>2310</v>
      </c>
      <c r="J496" s="93" t="s">
        <v>189</v>
      </c>
      <c r="K496" s="93">
        <v>6667</v>
      </c>
      <c r="L496" s="93">
        <v>6667</v>
      </c>
      <c r="M496" s="93" t="s">
        <v>2311</v>
      </c>
      <c r="N496" s="93">
        <f>VLOOKUP(B496,'[16]01.수집 카테고리(List)'!$A$2:$H$64,8,FALSE)</f>
        <v>99991231</v>
      </c>
      <c r="O496" s="93" t="s">
        <v>646</v>
      </c>
    </row>
    <row r="497" spans="1:15" hidden="1">
      <c r="A497" s="75" t="str">
        <f t="shared" si="14"/>
        <v>CAAMAZONMonitor4k monitor4k monitor</v>
      </c>
      <c r="B497" s="94" t="str">
        <f t="shared" si="15"/>
        <v>CA_AMAZON</v>
      </c>
      <c r="C497" s="93" t="s">
        <v>345</v>
      </c>
      <c r="D497" s="93" t="s">
        <v>262</v>
      </c>
      <c r="E497" s="93" t="s">
        <v>2320</v>
      </c>
      <c r="F497" s="93" t="s">
        <v>2321</v>
      </c>
      <c r="G497" s="93" t="s">
        <v>2321</v>
      </c>
      <c r="H497" s="93" t="e">
        <v>#N/A</v>
      </c>
      <c r="I497" s="105" t="s">
        <v>2310</v>
      </c>
      <c r="J497" s="93" t="s">
        <v>189</v>
      </c>
      <c r="K497" s="93">
        <v>4863</v>
      </c>
      <c r="L497" s="93">
        <v>4863</v>
      </c>
      <c r="M497" s="93" t="s">
        <v>2311</v>
      </c>
      <c r="N497" s="93">
        <f>VLOOKUP(B497,'[16]01.수집 카테고리(List)'!$A$2:$H$64,8,FALSE)</f>
        <v>99991231</v>
      </c>
      <c r="O497" s="93" t="s">
        <v>646</v>
      </c>
    </row>
    <row r="498" spans="1:15" hidden="1">
      <c r="A498" s="75" t="str">
        <f t="shared" si="14"/>
        <v>CAAMAZONMonitorgaming monitorgaming monitor</v>
      </c>
      <c r="B498" s="94" t="str">
        <f t="shared" si="15"/>
        <v>CA_AMAZON</v>
      </c>
      <c r="C498" s="93" t="s">
        <v>345</v>
      </c>
      <c r="D498" s="93" t="s">
        <v>262</v>
      </c>
      <c r="E498" s="93" t="s">
        <v>2320</v>
      </c>
      <c r="F498" s="93" t="s">
        <v>2322</v>
      </c>
      <c r="G498" s="93" t="s">
        <v>2322</v>
      </c>
      <c r="H498" s="93" t="e">
        <v>#N/A</v>
      </c>
      <c r="I498" s="105" t="s">
        <v>2310</v>
      </c>
      <c r="J498" s="93" t="s">
        <v>189</v>
      </c>
      <c r="K498" s="93">
        <v>5003</v>
      </c>
      <c r="L498" s="93">
        <v>5003</v>
      </c>
      <c r="M498" s="93" t="s">
        <v>2311</v>
      </c>
      <c r="N498" s="93">
        <f>VLOOKUP(B498,'[16]01.수집 카테고리(List)'!$A$2:$H$64,8,FALSE)</f>
        <v>99991231</v>
      </c>
      <c r="O498" s="93" t="s">
        <v>646</v>
      </c>
    </row>
    <row r="499" spans="1:15" hidden="1">
      <c r="A499" s="75" t="str">
        <f t="shared" si="14"/>
        <v>CAAMAZONMonitormonitormonitor</v>
      </c>
      <c r="B499" s="94" t="str">
        <f t="shared" si="15"/>
        <v>CA_AMAZON</v>
      </c>
      <c r="C499" s="93" t="s">
        <v>345</v>
      </c>
      <c r="D499" s="93" t="s">
        <v>262</v>
      </c>
      <c r="E499" s="93" t="s">
        <v>2320</v>
      </c>
      <c r="F499" s="93" t="s">
        <v>2323</v>
      </c>
      <c r="G499" s="93" t="s">
        <v>2323</v>
      </c>
      <c r="H499" s="93" t="e">
        <v>#N/A</v>
      </c>
      <c r="I499" s="105" t="s">
        <v>2310</v>
      </c>
      <c r="J499" s="93" t="s">
        <v>189</v>
      </c>
      <c r="K499" s="93">
        <v>5846</v>
      </c>
      <c r="L499" s="93">
        <v>5846</v>
      </c>
      <c r="M499" s="93" t="s">
        <v>2311</v>
      </c>
      <c r="N499" s="93">
        <f>VLOOKUP(B499,'[16]01.수집 카테고리(List)'!$A$2:$H$64,8,FALSE)</f>
        <v>99991231</v>
      </c>
      <c r="O499" s="93" t="s">
        <v>646</v>
      </c>
    </row>
    <row r="500" spans="1:15" hidden="1">
      <c r="A500" s="75" t="str">
        <f t="shared" si="14"/>
        <v>CAAMAZONMonitoruhd monitoruhd monitor</v>
      </c>
      <c r="B500" s="94" t="str">
        <f t="shared" si="15"/>
        <v>CA_AMAZON</v>
      </c>
      <c r="C500" s="93" t="s">
        <v>345</v>
      </c>
      <c r="D500" s="93" t="s">
        <v>262</v>
      </c>
      <c r="E500" s="93" t="s">
        <v>2320</v>
      </c>
      <c r="F500" s="93" t="s">
        <v>2324</v>
      </c>
      <c r="G500" s="93" t="s">
        <v>2324</v>
      </c>
      <c r="H500" s="93" t="e">
        <v>#N/A</v>
      </c>
      <c r="I500" s="105" t="s">
        <v>2310</v>
      </c>
      <c r="J500" s="93" t="s">
        <v>189</v>
      </c>
      <c r="K500" s="93">
        <v>4931</v>
      </c>
      <c r="L500" s="93">
        <v>4931</v>
      </c>
      <c r="M500" s="93" t="s">
        <v>2311</v>
      </c>
      <c r="N500" s="93">
        <f>VLOOKUP(B500,'[16]01.수집 카테고리(List)'!$A$2:$H$64,8,FALSE)</f>
        <v>99991231</v>
      </c>
      <c r="O500" s="93" t="s">
        <v>646</v>
      </c>
    </row>
    <row r="501" spans="1:15" hidden="1">
      <c r="A501" s="75" t="str">
        <f t="shared" si="14"/>
        <v>CAAMAZONMonitorultrawide monitorultrawide monitor</v>
      </c>
      <c r="B501" s="94" t="str">
        <f t="shared" si="15"/>
        <v>CA_AMAZON</v>
      </c>
      <c r="C501" s="93" t="s">
        <v>345</v>
      </c>
      <c r="D501" s="93" t="s">
        <v>262</v>
      </c>
      <c r="E501" s="93" t="s">
        <v>2320</v>
      </c>
      <c r="F501" s="93" t="s">
        <v>2325</v>
      </c>
      <c r="G501" s="93" t="s">
        <v>2325</v>
      </c>
      <c r="H501" s="93" t="e">
        <v>#N/A</v>
      </c>
      <c r="I501" s="105" t="s">
        <v>2310</v>
      </c>
      <c r="J501" s="93" t="s">
        <v>189</v>
      </c>
      <c r="K501" s="93">
        <v>5118</v>
      </c>
      <c r="L501" s="93">
        <v>5118</v>
      </c>
      <c r="M501" s="93" t="s">
        <v>2311</v>
      </c>
      <c r="N501" s="93">
        <f>VLOOKUP(B501,'[16]01.수집 카테고리(List)'!$A$2:$H$64,8,FALSE)</f>
        <v>99991231</v>
      </c>
      <c r="O501" s="93" t="s">
        <v>646</v>
      </c>
    </row>
    <row r="502" spans="1:15" hidden="1">
      <c r="A502" s="75" t="str">
        <f t="shared" si="14"/>
        <v>CAAMAZONTV4k TV4k TV</v>
      </c>
      <c r="B502" s="94" t="str">
        <f t="shared" si="15"/>
        <v>CA_AMAZON</v>
      </c>
      <c r="C502" s="93" t="s">
        <v>345</v>
      </c>
      <c r="D502" s="93" t="s">
        <v>262</v>
      </c>
      <c r="E502" s="93" t="s">
        <v>161</v>
      </c>
      <c r="F502" s="93" t="s">
        <v>2368</v>
      </c>
      <c r="G502" s="93" t="s">
        <v>2368</v>
      </c>
      <c r="H502" s="93" t="e">
        <v>#N/A</v>
      </c>
      <c r="I502" s="105" t="s">
        <v>2310</v>
      </c>
      <c r="J502" s="93" t="s">
        <v>189</v>
      </c>
      <c r="K502" s="93">
        <v>290</v>
      </c>
      <c r="L502" s="93">
        <v>290</v>
      </c>
      <c r="M502" s="93" t="s">
        <v>2311</v>
      </c>
      <c r="N502" s="93">
        <f>VLOOKUP(B502,'[16]01.수집 카테고리(List)'!$A$2:$H$64,8,FALSE)</f>
        <v>99991231</v>
      </c>
      <c r="O502" s="93" t="s">
        <v>646</v>
      </c>
    </row>
    <row r="503" spans="1:15" hidden="1">
      <c r="A503" s="75" t="str">
        <f t="shared" si="14"/>
        <v>CAAMAZONTVoled TVoled TV</v>
      </c>
      <c r="B503" s="94" t="str">
        <f t="shared" si="15"/>
        <v>CA_AMAZON</v>
      </c>
      <c r="C503" s="93" t="s">
        <v>345</v>
      </c>
      <c r="D503" s="93" t="s">
        <v>262</v>
      </c>
      <c r="E503" s="93" t="s">
        <v>161</v>
      </c>
      <c r="F503" s="93" t="s">
        <v>2369</v>
      </c>
      <c r="G503" s="93" t="s">
        <v>2369</v>
      </c>
      <c r="H503" s="93" t="e">
        <v>#N/A</v>
      </c>
      <c r="I503" s="105" t="s">
        <v>2310</v>
      </c>
      <c r="J503" s="93" t="s">
        <v>189</v>
      </c>
      <c r="K503" s="93">
        <v>762</v>
      </c>
      <c r="L503" s="93">
        <v>762</v>
      </c>
      <c r="M503" s="93" t="s">
        <v>2311</v>
      </c>
      <c r="N503" s="93">
        <f>VLOOKUP(B503,'[16]01.수집 카테고리(List)'!$A$2:$H$64,8,FALSE)</f>
        <v>99991231</v>
      </c>
      <c r="O503" s="93" t="s">
        <v>646</v>
      </c>
    </row>
    <row r="504" spans="1:15" hidden="1">
      <c r="A504" s="75" t="str">
        <f t="shared" si="14"/>
        <v>CAAMAZONTVsmart TVsmart TV</v>
      </c>
      <c r="B504" s="94" t="str">
        <f t="shared" si="15"/>
        <v>CA_AMAZON</v>
      </c>
      <c r="C504" s="93" t="s">
        <v>345</v>
      </c>
      <c r="D504" s="93" t="s">
        <v>262</v>
      </c>
      <c r="E504" s="93" t="s">
        <v>161</v>
      </c>
      <c r="F504" s="93" t="s">
        <v>2371</v>
      </c>
      <c r="G504" s="93" t="s">
        <v>2371</v>
      </c>
      <c r="H504" s="93" t="e">
        <v>#N/A</v>
      </c>
      <c r="I504" s="105" t="s">
        <v>2310</v>
      </c>
      <c r="J504" s="93" t="s">
        <v>189</v>
      </c>
      <c r="K504" s="93">
        <v>365</v>
      </c>
      <c r="L504" s="93">
        <v>365</v>
      </c>
      <c r="M504" s="93" t="s">
        <v>2311</v>
      </c>
      <c r="N504" s="93">
        <f>VLOOKUP(B504,'[16]01.수집 카테고리(List)'!$A$2:$H$64,8,FALSE)</f>
        <v>99991231</v>
      </c>
      <c r="O504" s="93" t="s">
        <v>646</v>
      </c>
    </row>
    <row r="505" spans="1:15" hidden="1">
      <c r="A505" s="75" t="str">
        <f t="shared" si="14"/>
        <v>CAAMAZONTVTVTV</v>
      </c>
      <c r="B505" s="94" t="str">
        <f t="shared" si="15"/>
        <v>CA_AMAZON</v>
      </c>
      <c r="C505" s="93" t="s">
        <v>345</v>
      </c>
      <c r="D505" s="93" t="s">
        <v>262</v>
      </c>
      <c r="E505" s="93" t="s">
        <v>161</v>
      </c>
      <c r="F505" s="93" t="s">
        <v>161</v>
      </c>
      <c r="G505" s="93" t="s">
        <v>161</v>
      </c>
      <c r="H505" s="93" t="e">
        <v>#N/A</v>
      </c>
      <c r="I505" s="105" t="s">
        <v>2310</v>
      </c>
      <c r="J505" s="93" t="s">
        <v>189</v>
      </c>
      <c r="K505" s="93">
        <v>7250</v>
      </c>
      <c r="L505" s="93">
        <v>7250</v>
      </c>
      <c r="M505" s="93" t="s">
        <v>2311</v>
      </c>
      <c r="N505" s="93">
        <f>VLOOKUP(B505,'[16]01.수집 카테고리(List)'!$A$2:$H$64,8,FALSE)</f>
        <v>99991231</v>
      </c>
      <c r="O505" s="93" t="s">
        <v>646</v>
      </c>
    </row>
    <row r="506" spans="1:15" hidden="1">
      <c r="A506" s="75" t="str">
        <f t="shared" si="14"/>
        <v>CAAMAZONTVuhd TVuhd TV</v>
      </c>
      <c r="B506" s="94" t="str">
        <f t="shared" si="15"/>
        <v>CA_AMAZON</v>
      </c>
      <c r="C506" s="93" t="s">
        <v>345</v>
      </c>
      <c r="D506" s="93" t="s">
        <v>262</v>
      </c>
      <c r="E506" s="93" t="s">
        <v>161</v>
      </c>
      <c r="F506" s="93" t="s">
        <v>2399</v>
      </c>
      <c r="G506" s="93" t="s">
        <v>2399</v>
      </c>
      <c r="H506" s="93" t="e">
        <v>#N/A</v>
      </c>
      <c r="I506" s="105" t="s">
        <v>2310</v>
      </c>
      <c r="J506" s="93" t="s">
        <v>189</v>
      </c>
      <c r="K506" s="93">
        <v>385</v>
      </c>
      <c r="L506" s="93">
        <v>385</v>
      </c>
      <c r="M506" s="93" t="s">
        <v>2311</v>
      </c>
      <c r="N506" s="93">
        <f>VLOOKUP(B506,'[16]01.수집 카테고리(List)'!$A$2:$H$64,8,FALSE)</f>
        <v>99991231</v>
      </c>
      <c r="O506" s="93" t="s">
        <v>646</v>
      </c>
    </row>
    <row r="507" spans="1:15" s="81" customFormat="1" hidden="1">
      <c r="A507" s="81" t="str">
        <f t="shared" si="14"/>
        <v>CAAMAZONRefrigerator4 door french door refrigerator4 door french door refrigerator</v>
      </c>
      <c r="B507" s="106" t="str">
        <f t="shared" si="15"/>
        <v>CA_AMAZON</v>
      </c>
      <c r="C507" s="107" t="s">
        <v>345</v>
      </c>
      <c r="D507" s="107" t="s">
        <v>262</v>
      </c>
      <c r="E507" s="107" t="s">
        <v>2326</v>
      </c>
      <c r="F507" s="107" t="s">
        <v>2519</v>
      </c>
      <c r="G507" s="107" t="s">
        <v>2519</v>
      </c>
      <c r="H507" s="93" t="e">
        <v>#N/A</v>
      </c>
      <c r="I507" s="99">
        <v>46076</v>
      </c>
      <c r="J507" s="83" t="s">
        <v>189</v>
      </c>
      <c r="K507" s="107"/>
      <c r="L507" s="107"/>
      <c r="M507" s="107"/>
      <c r="N507" s="107"/>
      <c r="O507" s="107"/>
    </row>
    <row r="508" spans="1:15" s="81" customFormat="1" hidden="1">
      <c r="A508" s="81" t="str">
        <f t="shared" si="14"/>
        <v>CAAMAZONRefrigeratorbottom freezer refrigeratorbottom freezer</v>
      </c>
      <c r="B508" s="106" t="str">
        <f t="shared" si="15"/>
        <v>CA_AMAZON</v>
      </c>
      <c r="C508" s="107" t="s">
        <v>345</v>
      </c>
      <c r="D508" s="107" t="s">
        <v>262</v>
      </c>
      <c r="E508" s="107" t="s">
        <v>2326</v>
      </c>
      <c r="F508" s="107" t="s">
        <v>2327</v>
      </c>
      <c r="G508" s="107" t="s">
        <v>2520</v>
      </c>
      <c r="H508" s="93" t="e">
        <v>#N/A</v>
      </c>
      <c r="I508" s="99">
        <v>46076</v>
      </c>
      <c r="J508" s="83" t="s">
        <v>189</v>
      </c>
      <c r="K508" s="107"/>
      <c r="L508" s="107"/>
      <c r="M508" s="107"/>
      <c r="N508" s="107"/>
      <c r="O508" s="107"/>
    </row>
    <row r="509" spans="1:15" s="81" customFormat="1" hidden="1">
      <c r="A509" s="81" t="str">
        <f t="shared" si="14"/>
        <v>CAAMAZONRefrigeratorcounter depth refrigeratorcounter depth refrigerator</v>
      </c>
      <c r="B509" s="106" t="str">
        <f t="shared" si="15"/>
        <v>CA_AMAZON</v>
      </c>
      <c r="C509" s="107" t="s">
        <v>345</v>
      </c>
      <c r="D509" s="107" t="s">
        <v>262</v>
      </c>
      <c r="E509" s="107" t="s">
        <v>2326</v>
      </c>
      <c r="F509" s="107" t="s">
        <v>2521</v>
      </c>
      <c r="G509" s="107" t="s">
        <v>2521</v>
      </c>
      <c r="H509" s="93" t="e">
        <v>#N/A</v>
      </c>
      <c r="I509" s="99">
        <v>46076</v>
      </c>
      <c r="J509" s="83" t="s">
        <v>189</v>
      </c>
      <c r="K509" s="107"/>
      <c r="L509" s="107"/>
      <c r="M509" s="107"/>
      <c r="N509" s="107"/>
      <c r="O509" s="107"/>
    </row>
    <row r="510" spans="1:15" s="81" customFormat="1" hidden="1">
      <c r="A510" s="81" t="str">
        <f t="shared" si="14"/>
        <v>CAAMAZONRefrigeratorfrench door refrigeratorfrench door refrigerator</v>
      </c>
      <c r="B510" s="106" t="str">
        <f t="shared" si="15"/>
        <v>CA_AMAZON</v>
      </c>
      <c r="C510" s="107" t="s">
        <v>345</v>
      </c>
      <c r="D510" s="107" t="s">
        <v>262</v>
      </c>
      <c r="E510" s="107" t="s">
        <v>2326</v>
      </c>
      <c r="F510" s="107" t="s">
        <v>2328</v>
      </c>
      <c r="G510" s="107" t="s">
        <v>2328</v>
      </c>
      <c r="H510" s="93" t="e">
        <v>#N/A</v>
      </c>
      <c r="I510" s="99">
        <v>46076</v>
      </c>
      <c r="J510" s="83" t="s">
        <v>189</v>
      </c>
      <c r="K510" s="107"/>
      <c r="L510" s="107"/>
      <c r="M510" s="107"/>
      <c r="N510" s="107"/>
      <c r="O510" s="107"/>
    </row>
    <row r="511" spans="1:15" s="81" customFormat="1" hidden="1">
      <c r="A511" s="81" t="str">
        <f t="shared" si="14"/>
        <v>CAAMAZONRefrigeratorrefrigeratorrefrigerator</v>
      </c>
      <c r="B511" s="106" t="str">
        <f t="shared" si="15"/>
        <v>CA_AMAZON</v>
      </c>
      <c r="C511" s="107" t="s">
        <v>345</v>
      </c>
      <c r="D511" s="107" t="s">
        <v>262</v>
      </c>
      <c r="E511" s="107" t="s">
        <v>2326</v>
      </c>
      <c r="F511" s="107" t="s">
        <v>2329</v>
      </c>
      <c r="G511" s="107" t="s">
        <v>2329</v>
      </c>
      <c r="H511" s="93" t="e">
        <v>#N/A</v>
      </c>
      <c r="I511" s="99">
        <v>46076</v>
      </c>
      <c r="J511" s="83" t="s">
        <v>189</v>
      </c>
      <c r="K511" s="107"/>
      <c r="L511" s="107"/>
      <c r="M511" s="107"/>
      <c r="N511" s="107"/>
      <c r="O511" s="107"/>
    </row>
    <row r="512" spans="1:15" s="81" customFormat="1" hidden="1">
      <c r="A512" s="81" t="str">
        <f t="shared" si="14"/>
        <v>CAAMAZONRefrigeratorside by side refrigeratorside by side refrigerator</v>
      </c>
      <c r="B512" s="106" t="str">
        <f t="shared" si="15"/>
        <v>CA_AMAZON</v>
      </c>
      <c r="C512" s="107" t="s">
        <v>345</v>
      </c>
      <c r="D512" s="107" t="s">
        <v>262</v>
      </c>
      <c r="E512" s="107" t="s">
        <v>2326</v>
      </c>
      <c r="F512" s="107" t="s">
        <v>2330</v>
      </c>
      <c r="G512" s="107" t="s">
        <v>2330</v>
      </c>
      <c r="H512" s="93" t="e">
        <v>#N/A</v>
      </c>
      <c r="I512" s="99">
        <v>46076</v>
      </c>
      <c r="J512" s="83" t="s">
        <v>189</v>
      </c>
      <c r="K512" s="107"/>
      <c r="L512" s="107"/>
      <c r="M512" s="107"/>
      <c r="N512" s="107"/>
      <c r="O512" s="107"/>
    </row>
    <row r="513" spans="1:15" s="81" customFormat="1" hidden="1">
      <c r="A513" s="81" t="str">
        <f t="shared" si="14"/>
        <v>CAAMAZONRefrigeratortop freezer refrigeratortop freezer</v>
      </c>
      <c r="B513" s="106" t="str">
        <f t="shared" si="15"/>
        <v>CA_AMAZON</v>
      </c>
      <c r="C513" s="107" t="s">
        <v>345</v>
      </c>
      <c r="D513" s="107" t="s">
        <v>262</v>
      </c>
      <c r="E513" s="107" t="s">
        <v>2326</v>
      </c>
      <c r="F513" s="107" t="s">
        <v>2332</v>
      </c>
      <c r="G513" s="107" t="s">
        <v>2522</v>
      </c>
      <c r="H513" s="93" t="e">
        <v>#N/A</v>
      </c>
      <c r="I513" s="99">
        <v>46076</v>
      </c>
      <c r="J513" s="83" t="s">
        <v>189</v>
      </c>
      <c r="K513" s="107"/>
      <c r="L513" s="107"/>
      <c r="M513" s="107"/>
      <c r="N513" s="107"/>
      <c r="O513" s="107"/>
    </row>
    <row r="514" spans="1:15" s="81" customFormat="1" hidden="1">
      <c r="A514" s="81" t="str">
        <f t="shared" si="14"/>
        <v>CAAMAZONWashing Machinefront loaderfront load washer</v>
      </c>
      <c r="B514" s="106" t="str">
        <f t="shared" si="15"/>
        <v>CA_AMAZON</v>
      </c>
      <c r="C514" s="107" t="s">
        <v>345</v>
      </c>
      <c r="D514" s="107" t="s">
        <v>262</v>
      </c>
      <c r="E514" s="107" t="s">
        <v>2517</v>
      </c>
      <c r="F514" s="107" t="s">
        <v>2334</v>
      </c>
      <c r="G514" s="107" t="s">
        <v>2335</v>
      </c>
      <c r="H514" s="93" t="e">
        <v>#N/A</v>
      </c>
      <c r="I514" s="99">
        <v>46076</v>
      </c>
      <c r="J514" s="83" t="s">
        <v>189</v>
      </c>
      <c r="K514" s="107"/>
      <c r="L514" s="107"/>
      <c r="M514" s="107"/>
      <c r="N514" s="107"/>
      <c r="O514" s="107"/>
    </row>
    <row r="515" spans="1:15" s="81" customFormat="1" hidden="1">
      <c r="A515" s="81" t="str">
        <f t="shared" si="14"/>
        <v>CAAMAZONWashing Machinetop loadertop load washer</v>
      </c>
      <c r="B515" s="106" t="str">
        <f t="shared" si="15"/>
        <v>CA_AMAZON</v>
      </c>
      <c r="C515" s="107" t="s">
        <v>345</v>
      </c>
      <c r="D515" s="107" t="s">
        <v>262</v>
      </c>
      <c r="E515" s="107" t="s">
        <v>2517</v>
      </c>
      <c r="F515" s="107" t="s">
        <v>2336</v>
      </c>
      <c r="G515" s="107" t="s">
        <v>2337</v>
      </c>
      <c r="H515" s="93" t="e">
        <v>#N/A</v>
      </c>
      <c r="I515" s="99">
        <v>46076</v>
      </c>
      <c r="J515" s="83" t="s">
        <v>189</v>
      </c>
      <c r="K515" s="107"/>
      <c r="L515" s="107"/>
      <c r="M515" s="107"/>
      <c r="N515" s="107"/>
      <c r="O515" s="107"/>
    </row>
    <row r="516" spans="1:15" s="81" customFormat="1" hidden="1">
      <c r="A516" s="81" t="str">
        <f t="shared" si="14"/>
        <v>CAAMAZONWashing Machinewashing machinewasher</v>
      </c>
      <c r="B516" s="106" t="str">
        <f t="shared" si="15"/>
        <v>CA_AMAZON</v>
      </c>
      <c r="C516" s="107" t="s">
        <v>345</v>
      </c>
      <c r="D516" s="107" t="s">
        <v>262</v>
      </c>
      <c r="E516" s="107" t="s">
        <v>2517</v>
      </c>
      <c r="F516" s="107" t="s">
        <v>2340</v>
      </c>
      <c r="G516" s="107" t="s">
        <v>2523</v>
      </c>
      <c r="H516" s="93" t="e">
        <v>#N/A</v>
      </c>
      <c r="I516" s="99">
        <v>46076</v>
      </c>
      <c r="J516" s="83" t="s">
        <v>189</v>
      </c>
      <c r="K516" s="107"/>
      <c r="L516" s="107"/>
      <c r="M516" s="107"/>
      <c r="N516" s="107"/>
      <c r="O516" s="107"/>
    </row>
    <row r="517" spans="1:15" s="81" customFormat="1" hidden="1">
      <c r="A517" s="81" t="str">
        <f t="shared" si="14"/>
        <v>CAAMAZONWashing Machinewasher dryer combowasher dryer combo</v>
      </c>
      <c r="B517" s="106" t="str">
        <f t="shared" si="15"/>
        <v>CA_AMAZON</v>
      </c>
      <c r="C517" s="107" t="s">
        <v>345</v>
      </c>
      <c r="D517" s="107" t="s">
        <v>262</v>
      </c>
      <c r="E517" s="107" t="s">
        <v>2517</v>
      </c>
      <c r="F517" s="107" t="s">
        <v>2338</v>
      </c>
      <c r="G517" s="107" t="s">
        <v>2338</v>
      </c>
      <c r="H517" s="93" t="e">
        <v>#N/A</v>
      </c>
      <c r="I517" s="99">
        <v>46076</v>
      </c>
      <c r="J517" s="83" t="s">
        <v>189</v>
      </c>
      <c r="K517" s="107"/>
      <c r="L517" s="107"/>
      <c r="M517" s="107"/>
      <c r="N517" s="107"/>
      <c r="O517" s="107"/>
    </row>
    <row r="518" spans="1:15" s="81" customFormat="1" hidden="1">
      <c r="A518" s="81" t="str">
        <f t="shared" si="14"/>
        <v>CAAMAZONAir Conditionerair conditionerair conditioner</v>
      </c>
      <c r="B518" s="106" t="str">
        <f t="shared" si="15"/>
        <v>CA_AMAZON</v>
      </c>
      <c r="C518" s="107" t="s">
        <v>345</v>
      </c>
      <c r="D518" s="107" t="s">
        <v>262</v>
      </c>
      <c r="E518" s="107" t="s">
        <v>2524</v>
      </c>
      <c r="F518" s="107" t="s">
        <v>2347</v>
      </c>
      <c r="G518" s="107" t="s">
        <v>2347</v>
      </c>
      <c r="H518" s="93" t="e">
        <v>#N/A</v>
      </c>
      <c r="I518" s="99">
        <v>46076</v>
      </c>
      <c r="J518" s="83" t="s">
        <v>189</v>
      </c>
      <c r="K518" s="107"/>
      <c r="L518" s="107"/>
      <c r="M518" s="107"/>
      <c r="N518" s="107"/>
      <c r="O518" s="107"/>
    </row>
    <row r="519" spans="1:15" s="81" customFormat="1" hidden="1">
      <c r="A519" s="81" t="str">
        <f t="shared" si="14"/>
        <v>CAAMAZONAir Conditionerinverter air conditionerinverter air conditioner</v>
      </c>
      <c r="B519" s="106" t="str">
        <f t="shared" si="15"/>
        <v>CA_AMAZON</v>
      </c>
      <c r="C519" s="107" t="s">
        <v>345</v>
      </c>
      <c r="D519" s="107" t="s">
        <v>262</v>
      </c>
      <c r="E519" s="107" t="s">
        <v>2524</v>
      </c>
      <c r="F519" s="107" t="s">
        <v>2348</v>
      </c>
      <c r="G519" s="107" t="s">
        <v>2348</v>
      </c>
      <c r="H519" s="93" t="e">
        <v>#N/A</v>
      </c>
      <c r="I519" s="99">
        <v>46076</v>
      </c>
      <c r="J519" s="83" t="s">
        <v>189</v>
      </c>
      <c r="K519" s="107"/>
      <c r="L519" s="107"/>
      <c r="M519" s="107"/>
      <c r="N519" s="107"/>
      <c r="O519" s="107"/>
    </row>
    <row r="520" spans="1:15" s="81" customFormat="1" hidden="1">
      <c r="A520" s="81" t="str">
        <f t="shared" si="14"/>
        <v>CAAMAZONAir Conditionerportable air conditionerportable air conditioner</v>
      </c>
      <c r="B520" s="106" t="str">
        <f t="shared" si="15"/>
        <v>CA_AMAZON</v>
      </c>
      <c r="C520" s="107" t="s">
        <v>345</v>
      </c>
      <c r="D520" s="107" t="s">
        <v>262</v>
      </c>
      <c r="E520" s="107" t="s">
        <v>2524</v>
      </c>
      <c r="F520" s="107" t="s">
        <v>2349</v>
      </c>
      <c r="G520" s="107" t="s">
        <v>2349</v>
      </c>
      <c r="H520" s="93" t="e">
        <v>#N/A</v>
      </c>
      <c r="I520" s="99">
        <v>46076</v>
      </c>
      <c r="J520" s="83" t="s">
        <v>189</v>
      </c>
      <c r="K520" s="107"/>
      <c r="L520" s="107"/>
      <c r="M520" s="107"/>
      <c r="N520" s="107"/>
      <c r="O520" s="107"/>
    </row>
    <row r="521" spans="1:15" s="81" customFormat="1" hidden="1">
      <c r="A521" s="81" t="str">
        <f t="shared" si="14"/>
        <v>CAAMAZONAir Conditionerwindow air conditionerwindow air conditioner</v>
      </c>
      <c r="B521" s="106" t="str">
        <f t="shared" si="15"/>
        <v>CA_AMAZON</v>
      </c>
      <c r="C521" s="107" t="s">
        <v>345</v>
      </c>
      <c r="D521" s="107" t="s">
        <v>262</v>
      </c>
      <c r="E521" s="107" t="s">
        <v>2524</v>
      </c>
      <c r="F521" s="107" t="s">
        <v>2350</v>
      </c>
      <c r="G521" s="107" t="s">
        <v>2350</v>
      </c>
      <c r="H521" s="93" t="e">
        <v>#N/A</v>
      </c>
      <c r="I521" s="99">
        <v>46076</v>
      </c>
      <c r="J521" s="83" t="s">
        <v>189</v>
      </c>
      <c r="K521" s="107"/>
      <c r="L521" s="107"/>
      <c r="M521" s="107"/>
      <c r="N521" s="107"/>
      <c r="O521" s="107"/>
    </row>
    <row r="522" spans="1:15" s="81" customFormat="1" hidden="1">
      <c r="A522" s="81" t="str">
        <f t="shared" ref="A522:A585" si="16">C522&amp;D522&amp;E522&amp;F522&amp;G522</f>
        <v>CAAMAZONBluetooth SpeakerBluetooth speakerBluetooth speaker</v>
      </c>
      <c r="B522" s="106" t="str">
        <f t="shared" ref="B522:B585" si="17">C522&amp;"_"&amp;D522</f>
        <v>CA_AMAZON</v>
      </c>
      <c r="C522" s="107" t="s">
        <v>345</v>
      </c>
      <c r="D522" s="107" t="s">
        <v>262</v>
      </c>
      <c r="E522" s="107" t="s">
        <v>2307</v>
      </c>
      <c r="F522" s="107" t="s">
        <v>2481</v>
      </c>
      <c r="G522" s="107" t="s">
        <v>2481</v>
      </c>
      <c r="H522" s="93" t="e">
        <v>#N/A</v>
      </c>
      <c r="I522" s="99">
        <v>46076</v>
      </c>
      <c r="J522" s="83" t="s">
        <v>189</v>
      </c>
      <c r="K522" s="107"/>
      <c r="L522" s="107"/>
      <c r="M522" s="107"/>
      <c r="N522" s="107"/>
      <c r="O522" s="107"/>
    </row>
    <row r="523" spans="1:15" s="81" customFormat="1" hidden="1">
      <c r="A523" s="81" t="str">
        <f t="shared" si="16"/>
        <v>CAAMAZONBluetooth SpeakerBluetooth speakersBluetooth speakers</v>
      </c>
      <c r="B523" s="106" t="str">
        <f t="shared" si="17"/>
        <v>CA_AMAZON</v>
      </c>
      <c r="C523" s="107" t="s">
        <v>345</v>
      </c>
      <c r="D523" s="107" t="s">
        <v>262</v>
      </c>
      <c r="E523" s="107" t="s">
        <v>2307</v>
      </c>
      <c r="F523" s="107" t="s">
        <v>2425</v>
      </c>
      <c r="G523" s="107" t="s">
        <v>2425</v>
      </c>
      <c r="H523" s="93" t="e">
        <v>#N/A</v>
      </c>
      <c r="I523" s="99">
        <v>46076</v>
      </c>
      <c r="J523" s="83" t="s">
        <v>189</v>
      </c>
      <c r="K523" s="107"/>
      <c r="L523" s="107"/>
      <c r="M523" s="107"/>
      <c r="N523" s="107"/>
      <c r="O523" s="107"/>
    </row>
    <row r="524" spans="1:15" s="81" customFormat="1" hidden="1">
      <c r="A524" s="81" t="str">
        <f t="shared" si="16"/>
        <v>CAAMAZONBluetooth SpeakerPortable speakerPortable speaker</v>
      </c>
      <c r="B524" s="106" t="str">
        <f t="shared" si="17"/>
        <v>CA_AMAZON</v>
      </c>
      <c r="C524" s="107" t="s">
        <v>345</v>
      </c>
      <c r="D524" s="107" t="s">
        <v>262</v>
      </c>
      <c r="E524" s="107" t="s">
        <v>2307</v>
      </c>
      <c r="F524" s="107" t="s">
        <v>2525</v>
      </c>
      <c r="G524" s="107" t="s">
        <v>2525</v>
      </c>
      <c r="H524" s="93" t="e">
        <v>#N/A</v>
      </c>
      <c r="I524" s="99">
        <v>46076</v>
      </c>
      <c r="J524" s="83" t="s">
        <v>189</v>
      </c>
      <c r="K524" s="107"/>
      <c r="L524" s="107"/>
      <c r="M524" s="107"/>
      <c r="N524" s="107"/>
      <c r="O524" s="107"/>
    </row>
    <row r="525" spans="1:15" s="81" customFormat="1" hidden="1">
      <c r="A525" s="81" t="str">
        <f t="shared" si="16"/>
        <v>CAAMAZONBluetooth SpeakerSpeakerSpeaker</v>
      </c>
      <c r="B525" s="106" t="str">
        <f t="shared" si="17"/>
        <v>CA_AMAZON</v>
      </c>
      <c r="C525" s="107" t="s">
        <v>345</v>
      </c>
      <c r="D525" s="107" t="s">
        <v>262</v>
      </c>
      <c r="E525" s="107" t="s">
        <v>2307</v>
      </c>
      <c r="F525" s="107" t="s">
        <v>2428</v>
      </c>
      <c r="G525" s="107" t="s">
        <v>2428</v>
      </c>
      <c r="H525" s="93" t="e">
        <v>#N/A</v>
      </c>
      <c r="I525" s="99">
        <v>46076</v>
      </c>
      <c r="J525" s="83" t="s">
        <v>189</v>
      </c>
      <c r="K525" s="107"/>
      <c r="L525" s="107"/>
      <c r="M525" s="107"/>
      <c r="N525" s="107"/>
      <c r="O525" s="107"/>
    </row>
    <row r="526" spans="1:15" s="81" customFormat="1" hidden="1">
      <c r="A526" s="81" t="str">
        <f t="shared" si="16"/>
        <v>CAAMAZONBluetooth SpeakerSpeakers Bluetooth WirelessSpeakers Bluetooth Wireless</v>
      </c>
      <c r="B526" s="106" t="str">
        <f t="shared" si="17"/>
        <v>CA_AMAZON</v>
      </c>
      <c r="C526" s="107" t="s">
        <v>345</v>
      </c>
      <c r="D526" s="107" t="s">
        <v>262</v>
      </c>
      <c r="E526" s="107" t="s">
        <v>2307</v>
      </c>
      <c r="F526" s="107" t="s">
        <v>2526</v>
      </c>
      <c r="G526" s="107" t="s">
        <v>2526</v>
      </c>
      <c r="H526" s="93" t="e">
        <v>#N/A</v>
      </c>
      <c r="I526" s="99">
        <v>46076</v>
      </c>
      <c r="J526" s="83" t="s">
        <v>189</v>
      </c>
      <c r="K526" s="107"/>
      <c r="L526" s="107"/>
      <c r="M526" s="107"/>
      <c r="N526" s="107"/>
      <c r="O526" s="107"/>
    </row>
    <row r="527" spans="1:15" s="81" customFormat="1" hidden="1">
      <c r="A527" s="81" t="str">
        <f t="shared" si="16"/>
        <v>CAAMAZONSOUNDBARaudioaudio</v>
      </c>
      <c r="B527" s="106" t="str">
        <f t="shared" si="17"/>
        <v>CA_AMAZON</v>
      </c>
      <c r="C527" s="107" t="s">
        <v>345</v>
      </c>
      <c r="D527" s="107" t="s">
        <v>262</v>
      </c>
      <c r="E527" s="107" t="s">
        <v>2527</v>
      </c>
      <c r="F527" s="107" t="s">
        <v>2528</v>
      </c>
      <c r="G527" s="107" t="s">
        <v>2528</v>
      </c>
      <c r="H527" s="93" t="e">
        <v>#N/A</v>
      </c>
      <c r="I527" s="99">
        <v>46076</v>
      </c>
      <c r="J527" s="83" t="s">
        <v>189</v>
      </c>
      <c r="K527" s="107"/>
      <c r="L527" s="107"/>
      <c r="M527" s="107"/>
      <c r="N527" s="107"/>
      <c r="O527" s="107"/>
    </row>
    <row r="528" spans="1:15" s="81" customFormat="1" hidden="1">
      <c r="A528" s="81" t="str">
        <f t="shared" si="16"/>
        <v>CAAMAZONSOUNDBARsound barsound bar</v>
      </c>
      <c r="B528" s="106" t="str">
        <f t="shared" si="17"/>
        <v>CA_AMAZON</v>
      </c>
      <c r="C528" s="107" t="s">
        <v>345</v>
      </c>
      <c r="D528" s="107" t="s">
        <v>262</v>
      </c>
      <c r="E528" s="107" t="s">
        <v>2527</v>
      </c>
      <c r="F528" s="107" t="s">
        <v>2529</v>
      </c>
      <c r="G528" s="107" t="s">
        <v>2529</v>
      </c>
      <c r="H528" s="93" t="e">
        <v>#N/A</v>
      </c>
      <c r="I528" s="99">
        <v>46076</v>
      </c>
      <c r="J528" s="83" t="s">
        <v>189</v>
      </c>
      <c r="K528" s="107"/>
      <c r="L528" s="107"/>
      <c r="M528" s="107"/>
      <c r="N528" s="107"/>
      <c r="O528" s="107"/>
    </row>
    <row r="529" spans="1:15" s="81" customFormat="1" hidden="1">
      <c r="A529" s="81" t="str">
        <f t="shared" si="16"/>
        <v>CAAMAZONSOUNDBARsound systemsound system</v>
      </c>
      <c r="B529" s="106" t="str">
        <f t="shared" si="17"/>
        <v>CA_AMAZON</v>
      </c>
      <c r="C529" s="107" t="s">
        <v>345</v>
      </c>
      <c r="D529" s="107" t="s">
        <v>262</v>
      </c>
      <c r="E529" s="107" t="s">
        <v>2527</v>
      </c>
      <c r="F529" s="107" t="s">
        <v>2530</v>
      </c>
      <c r="G529" s="107" t="s">
        <v>2530</v>
      </c>
      <c r="H529" s="93" t="e">
        <v>#N/A</v>
      </c>
      <c r="I529" s="99">
        <v>46076</v>
      </c>
      <c r="J529" s="83" t="s">
        <v>189</v>
      </c>
      <c r="K529" s="107"/>
      <c r="L529" s="107"/>
      <c r="M529" s="107"/>
      <c r="N529" s="107"/>
      <c r="O529" s="107"/>
    </row>
    <row r="530" spans="1:15" s="81" customFormat="1" hidden="1">
      <c r="A530" s="81" t="str">
        <f t="shared" si="16"/>
        <v>CAAMAZONSOUNDBARsoundbarssoundbars</v>
      </c>
      <c r="B530" s="106" t="str">
        <f t="shared" si="17"/>
        <v>CA_AMAZON</v>
      </c>
      <c r="C530" s="107" t="s">
        <v>345</v>
      </c>
      <c r="D530" s="107" t="s">
        <v>262</v>
      </c>
      <c r="E530" s="107" t="s">
        <v>2527</v>
      </c>
      <c r="F530" s="107" t="s">
        <v>2531</v>
      </c>
      <c r="G530" s="107" t="s">
        <v>2531</v>
      </c>
      <c r="H530" s="93" t="e">
        <v>#N/A</v>
      </c>
      <c r="I530" s="99">
        <v>46076</v>
      </c>
      <c r="J530" s="83" t="s">
        <v>189</v>
      </c>
      <c r="K530" s="107"/>
      <c r="L530" s="107"/>
      <c r="M530" s="107"/>
      <c r="N530" s="107"/>
      <c r="O530" s="107"/>
    </row>
    <row r="531" spans="1:15" s="81" customFormat="1" hidden="1">
      <c r="A531" s="81" t="str">
        <f t="shared" si="16"/>
        <v>CAAMAZONSOUNDBARspeakersspeakers</v>
      </c>
      <c r="B531" s="106" t="str">
        <f t="shared" si="17"/>
        <v>CA_AMAZON</v>
      </c>
      <c r="C531" s="107" t="s">
        <v>345</v>
      </c>
      <c r="D531" s="107" t="s">
        <v>262</v>
      </c>
      <c r="E531" s="107" t="s">
        <v>2527</v>
      </c>
      <c r="F531" s="107" t="s">
        <v>2471</v>
      </c>
      <c r="G531" s="107" t="s">
        <v>2471</v>
      </c>
      <c r="H531" s="93" t="e">
        <v>#N/A</v>
      </c>
      <c r="I531" s="99">
        <v>46076</v>
      </c>
      <c r="J531" s="83" t="s">
        <v>189</v>
      </c>
      <c r="K531" s="107"/>
      <c r="L531" s="107"/>
      <c r="M531" s="107"/>
      <c r="N531" s="107"/>
      <c r="O531" s="107"/>
    </row>
    <row r="532" spans="1:15" s="81" customFormat="1" hidden="1">
      <c r="A532" s="81" t="str">
        <f t="shared" si="16"/>
        <v>CAAMAZONWIRELESS HEADSETBluetooth earbudsBluetooth earbuds</v>
      </c>
      <c r="B532" s="106" t="str">
        <f t="shared" si="17"/>
        <v>CA_AMAZON</v>
      </c>
      <c r="C532" s="107" t="s">
        <v>345</v>
      </c>
      <c r="D532" s="107" t="s">
        <v>262</v>
      </c>
      <c r="E532" s="107" t="s">
        <v>2532</v>
      </c>
      <c r="F532" s="107" t="s">
        <v>2382</v>
      </c>
      <c r="G532" s="107" t="s">
        <v>2382</v>
      </c>
      <c r="H532" s="93" t="e">
        <v>#N/A</v>
      </c>
      <c r="I532" s="99">
        <v>46076</v>
      </c>
      <c r="J532" s="83" t="s">
        <v>189</v>
      </c>
      <c r="K532" s="107"/>
      <c r="L532" s="107"/>
      <c r="M532" s="107"/>
      <c r="N532" s="107"/>
      <c r="O532" s="107"/>
    </row>
    <row r="533" spans="1:15" s="81" customFormat="1" hidden="1">
      <c r="A533" s="81" t="str">
        <f t="shared" si="16"/>
        <v>CAAMAZONWIRELESS HEADSETBluetooth HeadphonesBluetooth Headphones</v>
      </c>
      <c r="B533" s="106" t="str">
        <f t="shared" si="17"/>
        <v>CA_AMAZON</v>
      </c>
      <c r="C533" s="107" t="s">
        <v>345</v>
      </c>
      <c r="D533" s="107" t="s">
        <v>262</v>
      </c>
      <c r="E533" s="107" t="s">
        <v>2532</v>
      </c>
      <c r="F533" s="107" t="s">
        <v>2533</v>
      </c>
      <c r="G533" s="107" t="s">
        <v>2533</v>
      </c>
      <c r="H533" s="93" t="e">
        <v>#N/A</v>
      </c>
      <c r="I533" s="99">
        <v>46076</v>
      </c>
      <c r="J533" s="83" t="s">
        <v>189</v>
      </c>
      <c r="K533" s="107"/>
      <c r="L533" s="107"/>
      <c r="M533" s="107"/>
      <c r="N533" s="107"/>
      <c r="O533" s="107"/>
    </row>
    <row r="534" spans="1:15" s="81" customFormat="1" hidden="1">
      <c r="A534" s="81" t="str">
        <f t="shared" si="16"/>
        <v>CAAMAZONWIRELESS HEADSETEar budsEar buds</v>
      </c>
      <c r="B534" s="106" t="str">
        <f t="shared" si="17"/>
        <v>CA_AMAZON</v>
      </c>
      <c r="C534" s="107" t="s">
        <v>345</v>
      </c>
      <c r="D534" s="107" t="s">
        <v>262</v>
      </c>
      <c r="E534" s="107" t="s">
        <v>2532</v>
      </c>
      <c r="F534" s="107" t="s">
        <v>2380</v>
      </c>
      <c r="G534" s="107" t="s">
        <v>2380</v>
      </c>
      <c r="H534" s="93" t="e">
        <v>#N/A</v>
      </c>
      <c r="I534" s="99">
        <v>46076</v>
      </c>
      <c r="J534" s="83" t="s">
        <v>189</v>
      </c>
      <c r="K534" s="107"/>
      <c r="L534" s="107"/>
      <c r="M534" s="107"/>
      <c r="N534" s="107"/>
      <c r="O534" s="107"/>
    </row>
    <row r="535" spans="1:15" s="81" customFormat="1" hidden="1">
      <c r="A535" s="81" t="str">
        <f t="shared" si="16"/>
        <v>CAAMAZONWIRELESS HEADSETEarbudsEarbuds</v>
      </c>
      <c r="B535" s="106" t="str">
        <f t="shared" si="17"/>
        <v>CA_AMAZON</v>
      </c>
      <c r="C535" s="107" t="s">
        <v>345</v>
      </c>
      <c r="D535" s="107" t="s">
        <v>262</v>
      </c>
      <c r="E535" s="107" t="s">
        <v>2532</v>
      </c>
      <c r="F535" s="107" t="s">
        <v>2534</v>
      </c>
      <c r="G535" s="107" t="s">
        <v>2534</v>
      </c>
      <c r="H535" s="93" t="e">
        <v>#N/A</v>
      </c>
      <c r="I535" s="99">
        <v>46076</v>
      </c>
      <c r="J535" s="83" t="s">
        <v>189</v>
      </c>
      <c r="K535" s="107"/>
      <c r="L535" s="107"/>
      <c r="M535" s="107"/>
      <c r="N535" s="107"/>
      <c r="O535" s="107"/>
    </row>
    <row r="536" spans="1:15" s="81" customFormat="1" hidden="1">
      <c r="A536" s="81" t="str">
        <f t="shared" si="16"/>
        <v>CAAMAZONWIRELESS HEADSETWireless earbudsWireless earbuds</v>
      </c>
      <c r="B536" s="106" t="str">
        <f t="shared" si="17"/>
        <v>CA_AMAZON</v>
      </c>
      <c r="C536" s="107" t="s">
        <v>345</v>
      </c>
      <c r="D536" s="107" t="s">
        <v>262</v>
      </c>
      <c r="E536" s="107" t="s">
        <v>2532</v>
      </c>
      <c r="F536" s="107" t="s">
        <v>2376</v>
      </c>
      <c r="G536" s="107" t="s">
        <v>2376</v>
      </c>
      <c r="H536" s="93" t="e">
        <v>#N/A</v>
      </c>
      <c r="I536" s="99">
        <v>46076</v>
      </c>
      <c r="J536" s="83" t="s">
        <v>189</v>
      </c>
      <c r="K536" s="107"/>
      <c r="L536" s="107"/>
      <c r="M536" s="107"/>
      <c r="N536" s="107"/>
      <c r="O536" s="107"/>
    </row>
    <row r="537" spans="1:15" s="81" customFormat="1" hidden="1">
      <c r="A537" s="81" t="str">
        <f t="shared" si="16"/>
        <v>CAAMAZONDryerDryerDryer</v>
      </c>
      <c r="B537" s="106" t="str">
        <f t="shared" si="17"/>
        <v>CA_AMAZON</v>
      </c>
      <c r="C537" s="107" t="s">
        <v>345</v>
      </c>
      <c r="D537" s="107" t="s">
        <v>262</v>
      </c>
      <c r="E537" s="107" t="s">
        <v>2535</v>
      </c>
      <c r="F537" s="107" t="s">
        <v>2431</v>
      </c>
      <c r="G537" s="107" t="s">
        <v>2431</v>
      </c>
      <c r="H537" s="93" t="e">
        <v>#N/A</v>
      </c>
      <c r="I537" s="99">
        <v>46076</v>
      </c>
      <c r="J537" s="83" t="s">
        <v>189</v>
      </c>
      <c r="K537" s="107"/>
      <c r="L537" s="107"/>
      <c r="M537" s="107"/>
      <c r="N537" s="107"/>
      <c r="O537" s="107"/>
    </row>
    <row r="538" spans="1:15" s="81" customFormat="1" hidden="1">
      <c r="A538" s="81" t="str">
        <f t="shared" si="16"/>
        <v>CAAMAZONDryerheatpump  Electric dryer</v>
      </c>
      <c r="B538" s="106" t="str">
        <f t="shared" si="17"/>
        <v>CA_AMAZON</v>
      </c>
      <c r="C538" s="107" t="s">
        <v>345</v>
      </c>
      <c r="D538" s="107" t="s">
        <v>262</v>
      </c>
      <c r="E538" s="107" t="s">
        <v>2535</v>
      </c>
      <c r="F538" s="107" t="s">
        <v>2432</v>
      </c>
      <c r="G538" s="107" t="s">
        <v>2536</v>
      </c>
      <c r="H538" s="93" t="e">
        <v>#N/A</v>
      </c>
      <c r="I538" s="99">
        <v>46076</v>
      </c>
      <c r="J538" s="83" t="s">
        <v>189</v>
      </c>
      <c r="K538" s="107"/>
      <c r="L538" s="107"/>
      <c r="M538" s="107"/>
      <c r="N538" s="107"/>
      <c r="O538" s="107"/>
    </row>
    <row r="539" spans="1:15" s="81" customFormat="1" hidden="1">
      <c r="A539" s="81" t="str">
        <f t="shared" si="16"/>
        <v>CAAMAZONDryerLG DryerGas dryer</v>
      </c>
      <c r="B539" s="106" t="str">
        <f t="shared" si="17"/>
        <v>CA_AMAZON</v>
      </c>
      <c r="C539" s="107" t="s">
        <v>345</v>
      </c>
      <c r="D539" s="107" t="s">
        <v>262</v>
      </c>
      <c r="E539" s="107" t="s">
        <v>2535</v>
      </c>
      <c r="F539" s="107" t="s">
        <v>2434</v>
      </c>
      <c r="G539" s="107" t="s">
        <v>2537</v>
      </c>
      <c r="H539" s="93" t="e">
        <v>#N/A</v>
      </c>
      <c r="I539" s="99">
        <v>46076</v>
      </c>
      <c r="J539" s="83" t="s">
        <v>189</v>
      </c>
      <c r="K539" s="107"/>
      <c r="L539" s="107"/>
      <c r="M539" s="107"/>
      <c r="N539" s="107"/>
      <c r="O539" s="107"/>
    </row>
    <row r="540" spans="1:15" hidden="1">
      <c r="A540" s="75" t="str">
        <f t="shared" si="16"/>
        <v>CABESTBUYBluetooth SpeakerBluetooth speakerBluetooth speaker</v>
      </c>
      <c r="B540" s="94" t="str">
        <f t="shared" si="17"/>
        <v>CA_BESTBUY</v>
      </c>
      <c r="C540" s="93" t="s">
        <v>345</v>
      </c>
      <c r="D540" s="93" t="s">
        <v>348</v>
      </c>
      <c r="E540" s="93" t="s">
        <v>2307</v>
      </c>
      <c r="F540" s="93" t="s">
        <v>2481</v>
      </c>
      <c r="G540" s="93" t="s">
        <v>2481</v>
      </c>
      <c r="H540" s="93" t="e">
        <v>#N/A</v>
      </c>
      <c r="I540" s="105" t="s">
        <v>2310</v>
      </c>
      <c r="J540" s="93" t="s">
        <v>189</v>
      </c>
      <c r="K540" s="93">
        <v>5465</v>
      </c>
      <c r="L540" s="93">
        <v>5465</v>
      </c>
      <c r="M540" s="93" t="s">
        <v>2311</v>
      </c>
      <c r="N540" s="93">
        <f>VLOOKUP(B540,'[16]01.수집 카테고리(List)'!$A$2:$H$64,8,FALSE)</f>
        <v>99991231</v>
      </c>
      <c r="O540" s="93" t="s">
        <v>646</v>
      </c>
    </row>
    <row r="541" spans="1:15" hidden="1">
      <c r="A541" s="75" t="str">
        <f t="shared" si="16"/>
        <v>CABESTBUYBluetooth SpeakerBluetooth speakersBluetooth speakers</v>
      </c>
      <c r="B541" s="94" t="str">
        <f t="shared" si="17"/>
        <v>CA_BESTBUY</v>
      </c>
      <c r="C541" s="93" t="s">
        <v>345</v>
      </c>
      <c r="D541" s="93" t="s">
        <v>348</v>
      </c>
      <c r="E541" s="93" t="s">
        <v>2307</v>
      </c>
      <c r="F541" s="93" t="s">
        <v>2425</v>
      </c>
      <c r="G541" s="93" t="s">
        <v>2425</v>
      </c>
      <c r="H541" s="93" t="e">
        <v>#N/A</v>
      </c>
      <c r="I541" s="105" t="s">
        <v>2310</v>
      </c>
      <c r="J541" s="93" t="s">
        <v>189</v>
      </c>
      <c r="K541" s="93">
        <v>2713</v>
      </c>
      <c r="L541" s="93">
        <v>2713</v>
      </c>
      <c r="M541" s="93" t="s">
        <v>2311</v>
      </c>
      <c r="N541" s="93">
        <f>VLOOKUP(B541,'[16]01.수집 카테고리(List)'!$A$2:$H$64,8,FALSE)</f>
        <v>99991231</v>
      </c>
      <c r="O541" s="93" t="s">
        <v>646</v>
      </c>
    </row>
    <row r="542" spans="1:15" hidden="1">
      <c r="A542" s="75" t="str">
        <f t="shared" si="16"/>
        <v>CABESTBUYBluetooth SpeakerPortable speakerPortable speaker</v>
      </c>
      <c r="B542" s="94" t="str">
        <f t="shared" si="17"/>
        <v>CA_BESTBUY</v>
      </c>
      <c r="C542" s="93" t="s">
        <v>345</v>
      </c>
      <c r="D542" s="93" t="s">
        <v>348</v>
      </c>
      <c r="E542" s="93" t="s">
        <v>2307</v>
      </c>
      <c r="F542" s="93" t="s">
        <v>2525</v>
      </c>
      <c r="G542" s="93" t="s">
        <v>2525</v>
      </c>
      <c r="H542" s="93" t="e">
        <v>#N/A</v>
      </c>
      <c r="I542" s="105" t="s">
        <v>2310</v>
      </c>
      <c r="J542" s="93" t="s">
        <v>189</v>
      </c>
      <c r="K542" s="93">
        <v>2875</v>
      </c>
      <c r="L542" s="93">
        <v>2875</v>
      </c>
      <c r="M542" s="93" t="s">
        <v>2311</v>
      </c>
      <c r="N542" s="93">
        <f>VLOOKUP(B542,'[16]01.수집 카테고리(List)'!$A$2:$H$64,8,FALSE)</f>
        <v>99991231</v>
      </c>
      <c r="O542" s="93" t="s">
        <v>646</v>
      </c>
    </row>
    <row r="543" spans="1:15" hidden="1">
      <c r="A543" s="75" t="str">
        <f t="shared" si="16"/>
        <v>CABESTBUYBluetooth SpeakerSpeakerSpeaker</v>
      </c>
      <c r="B543" s="94" t="str">
        <f t="shared" si="17"/>
        <v>CA_BESTBUY</v>
      </c>
      <c r="C543" s="93" t="s">
        <v>345</v>
      </c>
      <c r="D543" s="93" t="s">
        <v>348</v>
      </c>
      <c r="E543" s="93" t="s">
        <v>2307</v>
      </c>
      <c r="F543" s="93" t="s">
        <v>2428</v>
      </c>
      <c r="G543" s="93" t="s">
        <v>2428</v>
      </c>
      <c r="H543" s="93" t="e">
        <v>#N/A</v>
      </c>
      <c r="I543" s="105" t="s">
        <v>2310</v>
      </c>
      <c r="J543" s="93" t="s">
        <v>189</v>
      </c>
      <c r="K543" s="93">
        <v>7952</v>
      </c>
      <c r="L543" s="93">
        <v>7952</v>
      </c>
      <c r="M543" s="93" t="s">
        <v>2311</v>
      </c>
      <c r="N543" s="93">
        <f>VLOOKUP(B543,'[16]01.수집 카테고리(List)'!$A$2:$H$64,8,FALSE)</f>
        <v>99991231</v>
      </c>
      <c r="O543" s="93" t="s">
        <v>646</v>
      </c>
    </row>
    <row r="544" spans="1:15" hidden="1">
      <c r="A544" s="75" t="str">
        <f t="shared" si="16"/>
        <v>CABESTBUYBluetooth SpeakerSpeakers Bluetooth WirelessSpeakers Bluetooth Wireless</v>
      </c>
      <c r="B544" s="94" t="str">
        <f t="shared" si="17"/>
        <v>CA_BESTBUY</v>
      </c>
      <c r="C544" s="93" t="s">
        <v>345</v>
      </c>
      <c r="D544" s="93" t="s">
        <v>348</v>
      </c>
      <c r="E544" s="93" t="s">
        <v>2307</v>
      </c>
      <c r="F544" s="93" t="s">
        <v>2526</v>
      </c>
      <c r="G544" s="93" t="s">
        <v>2526</v>
      </c>
      <c r="H544" s="93" t="e">
        <v>#N/A</v>
      </c>
      <c r="I544" s="105" t="s">
        <v>2310</v>
      </c>
      <c r="J544" s="93" t="s">
        <v>189</v>
      </c>
      <c r="K544" s="93">
        <v>7779</v>
      </c>
      <c r="L544" s="93">
        <v>7779</v>
      </c>
      <c r="M544" s="93" t="s">
        <v>2311</v>
      </c>
      <c r="N544" s="93">
        <f>VLOOKUP(B544,'[16]01.수집 카테고리(List)'!$A$2:$H$64,8,FALSE)</f>
        <v>99991231</v>
      </c>
      <c r="O544" s="93" t="s">
        <v>646</v>
      </c>
    </row>
    <row r="545" spans="1:15" hidden="1">
      <c r="A545" s="75" t="str">
        <f t="shared" si="16"/>
        <v>CABESTBUYDishwasherBuilt in Dish washerBuilt in Dish washer</v>
      </c>
      <c r="B545" s="94" t="str">
        <f t="shared" si="17"/>
        <v>CA_BESTBUY</v>
      </c>
      <c r="C545" s="93" t="s">
        <v>345</v>
      </c>
      <c r="D545" s="93" t="s">
        <v>348</v>
      </c>
      <c r="E545" s="93" t="s">
        <v>2440</v>
      </c>
      <c r="F545" s="93" t="s">
        <v>2356</v>
      </c>
      <c r="G545" s="93" t="s">
        <v>2356</v>
      </c>
      <c r="H545" s="93" t="e">
        <v>#N/A</v>
      </c>
      <c r="I545" s="105" t="s">
        <v>2310</v>
      </c>
      <c r="J545" s="93" t="s">
        <v>189</v>
      </c>
      <c r="K545" s="93">
        <v>924</v>
      </c>
      <c r="L545" s="93">
        <v>924</v>
      </c>
      <c r="M545" s="93" t="s">
        <v>2311</v>
      </c>
      <c r="N545" s="93">
        <f>VLOOKUP(B545,'[16]01.수집 카테고리(List)'!$A$2:$H$64,8,FALSE)</f>
        <v>99991231</v>
      </c>
      <c r="O545" s="93" t="s">
        <v>646</v>
      </c>
    </row>
    <row r="546" spans="1:15" hidden="1">
      <c r="A546" s="75" t="str">
        <f t="shared" si="16"/>
        <v>CABESTBUYDishwasherBuilt under Dish washerBuilt under Dish washer</v>
      </c>
      <c r="B546" s="94" t="str">
        <f t="shared" si="17"/>
        <v>CA_BESTBUY</v>
      </c>
      <c r="C546" s="93" t="s">
        <v>345</v>
      </c>
      <c r="D546" s="93" t="s">
        <v>348</v>
      </c>
      <c r="E546" s="93" t="s">
        <v>2440</v>
      </c>
      <c r="F546" s="93" t="s">
        <v>2538</v>
      </c>
      <c r="G546" s="93" t="s">
        <v>2538</v>
      </c>
      <c r="H546" s="93" t="e">
        <v>#N/A</v>
      </c>
      <c r="I546" s="105" t="s">
        <v>2310</v>
      </c>
      <c r="J546" s="93" t="s">
        <v>189</v>
      </c>
      <c r="K546" s="93">
        <v>980</v>
      </c>
      <c r="L546" s="93">
        <v>980</v>
      </c>
      <c r="M546" s="93" t="s">
        <v>2311</v>
      </c>
      <c r="N546" s="93">
        <f>VLOOKUP(B546,'[16]01.수집 카테고리(List)'!$A$2:$H$64,8,FALSE)</f>
        <v>99991231</v>
      </c>
      <c r="O546" s="93" t="s">
        <v>646</v>
      </c>
    </row>
    <row r="547" spans="1:15" hidden="1">
      <c r="A547" s="75" t="str">
        <f t="shared" si="16"/>
        <v>CABESTBUYDishwasherFree standing Dish washerFree standing Dish washer</v>
      </c>
      <c r="B547" s="94" t="str">
        <f t="shared" si="17"/>
        <v>CA_BESTBUY</v>
      </c>
      <c r="C547" s="93" t="s">
        <v>345</v>
      </c>
      <c r="D547" s="93" t="s">
        <v>348</v>
      </c>
      <c r="E547" s="93" t="s">
        <v>2440</v>
      </c>
      <c r="F547" s="93" t="s">
        <v>2539</v>
      </c>
      <c r="G547" s="93" t="s">
        <v>2539</v>
      </c>
      <c r="H547" s="93" t="e">
        <v>#N/A</v>
      </c>
      <c r="I547" s="105" t="s">
        <v>2310</v>
      </c>
      <c r="J547" s="93" t="s">
        <v>189</v>
      </c>
      <c r="K547" s="93">
        <v>130</v>
      </c>
      <c r="L547" s="93">
        <v>130</v>
      </c>
      <c r="M547" s="93" t="s">
        <v>2311</v>
      </c>
      <c r="N547" s="93">
        <f>VLOOKUP(B547,'[16]01.수집 카테고리(List)'!$A$2:$H$64,8,FALSE)</f>
        <v>99991231</v>
      </c>
      <c r="O547" s="93" t="s">
        <v>646</v>
      </c>
    </row>
    <row r="548" spans="1:15" hidden="1">
      <c r="A548" s="75" t="str">
        <f t="shared" si="16"/>
        <v>CABESTBUYLaptop15inch Laptop15inch Laptop</v>
      </c>
      <c r="B548" s="94" t="str">
        <f t="shared" si="17"/>
        <v>CA_BESTBUY</v>
      </c>
      <c r="C548" s="93" t="s">
        <v>345</v>
      </c>
      <c r="D548" s="93" t="s">
        <v>348</v>
      </c>
      <c r="E548" s="93" t="s">
        <v>2407</v>
      </c>
      <c r="F548" s="93" t="s">
        <v>2408</v>
      </c>
      <c r="G548" s="93" t="s">
        <v>2408</v>
      </c>
      <c r="H548" s="93" t="e">
        <v>#N/A</v>
      </c>
      <c r="I548" s="105" t="s">
        <v>2310</v>
      </c>
      <c r="J548" s="93" t="s">
        <v>189</v>
      </c>
      <c r="K548" s="93">
        <v>12664</v>
      </c>
      <c r="L548" s="93">
        <v>12664</v>
      </c>
      <c r="M548" s="93" t="s">
        <v>2311</v>
      </c>
      <c r="N548" s="93">
        <f>VLOOKUP(B548,'[16]01.수집 카테고리(List)'!$A$2:$H$64,8,FALSE)</f>
        <v>99991231</v>
      </c>
      <c r="O548" s="93" t="s">
        <v>646</v>
      </c>
    </row>
    <row r="549" spans="1:15" hidden="1">
      <c r="A549" s="75" t="str">
        <f t="shared" si="16"/>
        <v>CABESTBUYLaptop17inch Laptop17inch Laptop</v>
      </c>
      <c r="B549" s="94" t="str">
        <f t="shared" si="17"/>
        <v>CA_BESTBUY</v>
      </c>
      <c r="C549" s="93" t="s">
        <v>345</v>
      </c>
      <c r="D549" s="93" t="s">
        <v>348</v>
      </c>
      <c r="E549" s="93" t="s">
        <v>2407</v>
      </c>
      <c r="F549" s="93" t="s">
        <v>2409</v>
      </c>
      <c r="G549" s="93" t="s">
        <v>2409</v>
      </c>
      <c r="H549" s="93" t="e">
        <v>#N/A</v>
      </c>
      <c r="I549" s="105" t="s">
        <v>2310</v>
      </c>
      <c r="J549" s="93" t="s">
        <v>189</v>
      </c>
      <c r="K549" s="93">
        <v>8748</v>
      </c>
      <c r="L549" s="93">
        <v>8748</v>
      </c>
      <c r="M549" s="93" t="s">
        <v>2311</v>
      </c>
      <c r="N549" s="93">
        <f>VLOOKUP(B549,'[16]01.수집 카테고리(List)'!$A$2:$H$64,8,FALSE)</f>
        <v>99991231</v>
      </c>
      <c r="O549" s="93" t="s">
        <v>646</v>
      </c>
    </row>
    <row r="550" spans="1:15" hidden="1">
      <c r="A550" s="75" t="str">
        <f t="shared" si="16"/>
        <v>CABESTBUYLaptopi7 laptopi7 laptop</v>
      </c>
      <c r="B550" s="94" t="str">
        <f t="shared" si="17"/>
        <v>CA_BESTBUY</v>
      </c>
      <c r="C550" s="93" t="s">
        <v>345</v>
      </c>
      <c r="D550" s="93" t="s">
        <v>348</v>
      </c>
      <c r="E550" s="93" t="s">
        <v>2407</v>
      </c>
      <c r="F550" s="93" t="s">
        <v>2410</v>
      </c>
      <c r="G550" s="93" t="s">
        <v>2410</v>
      </c>
      <c r="H550" s="93" t="e">
        <v>#N/A</v>
      </c>
      <c r="I550" s="105" t="s">
        <v>2310</v>
      </c>
      <c r="J550" s="93" t="s">
        <v>189</v>
      </c>
      <c r="K550" s="93">
        <v>25886</v>
      </c>
      <c r="L550" s="93">
        <v>25886</v>
      </c>
      <c r="M550" s="93" t="s">
        <v>2311</v>
      </c>
      <c r="N550" s="93">
        <f>VLOOKUP(B550,'[16]01.수집 카테고리(List)'!$A$2:$H$64,8,FALSE)</f>
        <v>99991231</v>
      </c>
      <c r="O550" s="93" t="s">
        <v>646</v>
      </c>
    </row>
    <row r="551" spans="1:15" hidden="1">
      <c r="A551" s="75" t="str">
        <f t="shared" si="16"/>
        <v>CABESTBUYLaptopLaptopLaptop</v>
      </c>
      <c r="B551" s="94" t="str">
        <f t="shared" si="17"/>
        <v>CA_BESTBUY</v>
      </c>
      <c r="C551" s="93" t="s">
        <v>345</v>
      </c>
      <c r="D551" s="93" t="s">
        <v>348</v>
      </c>
      <c r="E551" s="93" t="s">
        <v>2407</v>
      </c>
      <c r="F551" s="93" t="s">
        <v>2407</v>
      </c>
      <c r="G551" s="93" t="s">
        <v>2407</v>
      </c>
      <c r="H551" s="93" t="e">
        <v>#N/A</v>
      </c>
      <c r="I551" s="105" t="s">
        <v>2310</v>
      </c>
      <c r="J551" s="93" t="s">
        <v>189</v>
      </c>
      <c r="K551" s="93">
        <v>9820</v>
      </c>
      <c r="L551" s="93">
        <v>9820</v>
      </c>
      <c r="M551" s="93" t="s">
        <v>2311</v>
      </c>
      <c r="N551" s="93">
        <f>VLOOKUP(B551,'[16]01.수집 카테고리(List)'!$A$2:$H$64,8,FALSE)</f>
        <v>99991231</v>
      </c>
      <c r="O551" s="93" t="s">
        <v>646</v>
      </c>
    </row>
    <row r="552" spans="1:15" hidden="1">
      <c r="A552" s="75" t="str">
        <f t="shared" si="16"/>
        <v>CABESTBUYLaptopLightweight LaptopLightweight Laptop</v>
      </c>
      <c r="B552" s="94" t="str">
        <f t="shared" si="17"/>
        <v>CA_BESTBUY</v>
      </c>
      <c r="C552" s="93" t="s">
        <v>345</v>
      </c>
      <c r="D552" s="93" t="s">
        <v>348</v>
      </c>
      <c r="E552" s="93" t="s">
        <v>2407</v>
      </c>
      <c r="F552" s="93" t="s">
        <v>2411</v>
      </c>
      <c r="G552" s="93" t="s">
        <v>2411</v>
      </c>
      <c r="H552" s="93" t="e">
        <v>#N/A</v>
      </c>
      <c r="I552" s="105" t="s">
        <v>2310</v>
      </c>
      <c r="J552" s="93" t="s">
        <v>189</v>
      </c>
      <c r="K552" s="93">
        <v>8976</v>
      </c>
      <c r="L552" s="93">
        <v>8976</v>
      </c>
      <c r="M552" s="93" t="s">
        <v>2311</v>
      </c>
      <c r="N552" s="93">
        <f>VLOOKUP(B552,'[16]01.수집 카테고리(List)'!$A$2:$H$64,8,FALSE)</f>
        <v>99991231</v>
      </c>
      <c r="O552" s="93" t="s">
        <v>646</v>
      </c>
    </row>
    <row r="553" spans="1:15" hidden="1">
      <c r="A553" s="75" t="str">
        <f t="shared" si="16"/>
        <v>CABESTBUYLaptopUltra-light laptopUltra-light laptop</v>
      </c>
      <c r="B553" s="94" t="str">
        <f t="shared" si="17"/>
        <v>CA_BESTBUY</v>
      </c>
      <c r="C553" s="93" t="s">
        <v>345</v>
      </c>
      <c r="D553" s="93" t="s">
        <v>348</v>
      </c>
      <c r="E553" s="93" t="s">
        <v>2407</v>
      </c>
      <c r="F553" s="93" t="s">
        <v>2518</v>
      </c>
      <c r="G553" s="93" t="s">
        <v>2518</v>
      </c>
      <c r="H553" s="93" t="e">
        <v>#N/A</v>
      </c>
      <c r="I553" s="105" t="s">
        <v>2310</v>
      </c>
      <c r="J553" s="93" t="s">
        <v>189</v>
      </c>
      <c r="K553" s="93">
        <v>6049</v>
      </c>
      <c r="L553" s="93">
        <v>6049</v>
      </c>
      <c r="M553" s="93" t="s">
        <v>2311</v>
      </c>
      <c r="N553" s="93">
        <f>VLOOKUP(B553,'[16]01.수집 카테고리(List)'!$A$2:$H$64,8,FALSE)</f>
        <v>99991231</v>
      </c>
      <c r="O553" s="93" t="s">
        <v>646</v>
      </c>
    </row>
    <row r="554" spans="1:15" hidden="1">
      <c r="A554" s="75" t="str">
        <f t="shared" si="16"/>
        <v>CABESTBUYMonitor4k monitor4k monitor</v>
      </c>
      <c r="B554" s="94" t="str">
        <f t="shared" si="17"/>
        <v>CA_BESTBUY</v>
      </c>
      <c r="C554" s="93" t="s">
        <v>345</v>
      </c>
      <c r="D554" s="93" t="s">
        <v>348</v>
      </c>
      <c r="E554" s="93" t="s">
        <v>2320</v>
      </c>
      <c r="F554" s="93" t="s">
        <v>2321</v>
      </c>
      <c r="G554" s="93" t="s">
        <v>2321</v>
      </c>
      <c r="H554" s="93" t="e">
        <v>#N/A</v>
      </c>
      <c r="I554" s="105" t="s">
        <v>2310</v>
      </c>
      <c r="J554" s="93" t="s">
        <v>189</v>
      </c>
      <c r="K554" s="93">
        <v>7790</v>
      </c>
      <c r="L554" s="93">
        <v>7790</v>
      </c>
      <c r="M554" s="93" t="s">
        <v>2311</v>
      </c>
      <c r="N554" s="93">
        <f>VLOOKUP(B554,'[16]01.수집 카테고리(List)'!$A$2:$H$64,8,FALSE)</f>
        <v>99991231</v>
      </c>
      <c r="O554" s="93" t="s">
        <v>646</v>
      </c>
    </row>
    <row r="555" spans="1:15" hidden="1">
      <c r="A555" s="75" t="str">
        <f t="shared" si="16"/>
        <v>CABESTBUYMonitorgaming monitorgaming monitor</v>
      </c>
      <c r="B555" s="94" t="str">
        <f t="shared" si="17"/>
        <v>CA_BESTBUY</v>
      </c>
      <c r="C555" s="93" t="s">
        <v>345</v>
      </c>
      <c r="D555" s="93" t="s">
        <v>348</v>
      </c>
      <c r="E555" s="93" t="s">
        <v>2320</v>
      </c>
      <c r="F555" s="93" t="s">
        <v>2322</v>
      </c>
      <c r="G555" s="93" t="s">
        <v>2322</v>
      </c>
      <c r="H555" s="93" t="e">
        <v>#N/A</v>
      </c>
      <c r="I555" s="105" t="s">
        <v>2310</v>
      </c>
      <c r="J555" s="93" t="s">
        <v>189</v>
      </c>
      <c r="K555" s="93">
        <v>3386</v>
      </c>
      <c r="L555" s="93">
        <v>3386</v>
      </c>
      <c r="M555" s="93" t="s">
        <v>2311</v>
      </c>
      <c r="N555" s="93">
        <f>VLOOKUP(B555,'[16]01.수집 카테고리(List)'!$A$2:$H$64,8,FALSE)</f>
        <v>99991231</v>
      </c>
      <c r="O555" s="93" t="s">
        <v>646</v>
      </c>
    </row>
    <row r="556" spans="1:15" hidden="1">
      <c r="A556" s="75" t="str">
        <f t="shared" si="16"/>
        <v>CABESTBUYMonitormonitormonitor</v>
      </c>
      <c r="B556" s="94" t="str">
        <f t="shared" si="17"/>
        <v>CA_BESTBUY</v>
      </c>
      <c r="C556" s="93" t="s">
        <v>345</v>
      </c>
      <c r="D556" s="93" t="s">
        <v>348</v>
      </c>
      <c r="E556" s="93" t="s">
        <v>2320</v>
      </c>
      <c r="F556" s="93" t="s">
        <v>2323</v>
      </c>
      <c r="G556" s="93" t="s">
        <v>2323</v>
      </c>
      <c r="H556" s="93" t="e">
        <v>#N/A</v>
      </c>
      <c r="I556" s="105" t="s">
        <v>2310</v>
      </c>
      <c r="J556" s="93" t="s">
        <v>189</v>
      </c>
      <c r="K556" s="93">
        <v>5867</v>
      </c>
      <c r="L556" s="93">
        <v>5867</v>
      </c>
      <c r="M556" s="93" t="s">
        <v>2311</v>
      </c>
      <c r="N556" s="93">
        <f>VLOOKUP(B556,'[16]01.수집 카테고리(List)'!$A$2:$H$64,8,FALSE)</f>
        <v>99991231</v>
      </c>
      <c r="O556" s="93" t="s">
        <v>646</v>
      </c>
    </row>
    <row r="557" spans="1:15" hidden="1">
      <c r="A557" s="75" t="str">
        <f t="shared" si="16"/>
        <v>CABESTBUYMonitoruhd monitoruhd monitor</v>
      </c>
      <c r="B557" s="94" t="str">
        <f t="shared" si="17"/>
        <v>CA_BESTBUY</v>
      </c>
      <c r="C557" s="93" t="s">
        <v>345</v>
      </c>
      <c r="D557" s="93" t="s">
        <v>348</v>
      </c>
      <c r="E557" s="93" t="s">
        <v>2320</v>
      </c>
      <c r="F557" s="93" t="s">
        <v>2324</v>
      </c>
      <c r="G557" s="93" t="s">
        <v>2324</v>
      </c>
      <c r="H557" s="93" t="e">
        <v>#N/A</v>
      </c>
      <c r="I557" s="105" t="s">
        <v>2310</v>
      </c>
      <c r="J557" s="93" t="s">
        <v>189</v>
      </c>
      <c r="K557" s="93">
        <v>4665</v>
      </c>
      <c r="L557" s="93">
        <v>4665</v>
      </c>
      <c r="M557" s="93" t="s">
        <v>2311</v>
      </c>
      <c r="N557" s="93">
        <f>VLOOKUP(B557,'[16]01.수집 카테고리(List)'!$A$2:$H$64,8,FALSE)</f>
        <v>99991231</v>
      </c>
      <c r="O557" s="93" t="s">
        <v>646</v>
      </c>
    </row>
    <row r="558" spans="1:15" hidden="1">
      <c r="A558" s="75" t="str">
        <f t="shared" si="16"/>
        <v>CABESTBUYMonitorultrawide monitorultrawide monitor</v>
      </c>
      <c r="B558" s="94" t="str">
        <f t="shared" si="17"/>
        <v>CA_BESTBUY</v>
      </c>
      <c r="C558" s="93" t="s">
        <v>345</v>
      </c>
      <c r="D558" s="93" t="s">
        <v>348</v>
      </c>
      <c r="E558" s="93" t="s">
        <v>2320</v>
      </c>
      <c r="F558" s="93" t="s">
        <v>2325</v>
      </c>
      <c r="G558" s="93" t="s">
        <v>2325</v>
      </c>
      <c r="H558" s="93" t="e">
        <v>#N/A</v>
      </c>
      <c r="I558" s="105" t="s">
        <v>2310</v>
      </c>
      <c r="J558" s="93" t="s">
        <v>189</v>
      </c>
      <c r="K558" s="93">
        <v>903</v>
      </c>
      <c r="L558" s="93">
        <v>903</v>
      </c>
      <c r="M558" s="93" t="s">
        <v>2311</v>
      </c>
      <c r="N558" s="93">
        <f>VLOOKUP(B558,'[16]01.수집 카테고리(List)'!$A$2:$H$64,8,FALSE)</f>
        <v>99991231</v>
      </c>
      <c r="O558" s="93" t="s">
        <v>646</v>
      </c>
    </row>
    <row r="559" spans="1:15" hidden="1">
      <c r="A559" s="75" t="str">
        <f t="shared" si="16"/>
        <v>CABESTBUYOvenCooktopCooktop</v>
      </c>
      <c r="B559" s="94" t="str">
        <f t="shared" si="17"/>
        <v>CA_BESTBUY</v>
      </c>
      <c r="C559" s="93" t="s">
        <v>345</v>
      </c>
      <c r="D559" s="93" t="s">
        <v>348</v>
      </c>
      <c r="E559" s="93" t="s">
        <v>2540</v>
      </c>
      <c r="F559" s="93" t="s">
        <v>2541</v>
      </c>
      <c r="G559" s="93" t="s">
        <v>2541</v>
      </c>
      <c r="H559" s="93" t="e">
        <v>#N/A</v>
      </c>
      <c r="I559" s="105" t="s">
        <v>2310</v>
      </c>
      <c r="J559" s="93" t="s">
        <v>189</v>
      </c>
      <c r="K559" s="93">
        <v>752</v>
      </c>
      <c r="L559" s="93">
        <v>752</v>
      </c>
      <c r="M559" s="93" t="s">
        <v>2311</v>
      </c>
      <c r="N559" s="93">
        <f>VLOOKUP(B559,'[16]01.수집 카테고리(List)'!$A$2:$H$64,8,FALSE)</f>
        <v>99991231</v>
      </c>
      <c r="O559" s="93" t="s">
        <v>646</v>
      </c>
    </row>
    <row r="560" spans="1:15" hidden="1">
      <c r="A560" s="75" t="str">
        <f t="shared" si="16"/>
        <v>CABESTBUYOvenelectric rangeelectric range</v>
      </c>
      <c r="B560" s="94" t="str">
        <f t="shared" si="17"/>
        <v>CA_BESTBUY</v>
      </c>
      <c r="C560" s="93" t="s">
        <v>345</v>
      </c>
      <c r="D560" s="93" t="s">
        <v>348</v>
      </c>
      <c r="E560" s="93" t="s">
        <v>2540</v>
      </c>
      <c r="F560" s="93" t="s">
        <v>2542</v>
      </c>
      <c r="G560" s="93" t="s">
        <v>2542</v>
      </c>
      <c r="H560" s="93" t="e">
        <v>#N/A</v>
      </c>
      <c r="I560" s="105" t="s">
        <v>2310</v>
      </c>
      <c r="J560" s="93" t="s">
        <v>189</v>
      </c>
      <c r="K560" s="93">
        <v>9253</v>
      </c>
      <c r="L560" s="93">
        <v>9253</v>
      </c>
      <c r="M560" s="93" t="s">
        <v>2311</v>
      </c>
      <c r="N560" s="93">
        <f>VLOOKUP(B560,'[16]01.수집 카테고리(List)'!$A$2:$H$64,8,FALSE)</f>
        <v>99991231</v>
      </c>
      <c r="O560" s="93" t="s">
        <v>646</v>
      </c>
    </row>
    <row r="561" spans="1:15" hidden="1">
      <c r="A561" s="75" t="str">
        <f t="shared" si="16"/>
        <v>CABESTBUYOvengas rangegas range</v>
      </c>
      <c r="B561" s="94" t="str">
        <f t="shared" si="17"/>
        <v>CA_BESTBUY</v>
      </c>
      <c r="C561" s="93" t="s">
        <v>345</v>
      </c>
      <c r="D561" s="93" t="s">
        <v>348</v>
      </c>
      <c r="E561" s="93" t="s">
        <v>2540</v>
      </c>
      <c r="F561" s="93" t="s">
        <v>2543</v>
      </c>
      <c r="G561" s="93" t="s">
        <v>2543</v>
      </c>
      <c r="H561" s="93" t="e">
        <v>#N/A</v>
      </c>
      <c r="I561" s="105" t="s">
        <v>2310</v>
      </c>
      <c r="J561" s="93" t="s">
        <v>189</v>
      </c>
      <c r="K561" s="93">
        <v>3993</v>
      </c>
      <c r="L561" s="93">
        <v>3993</v>
      </c>
      <c r="M561" s="93" t="s">
        <v>2311</v>
      </c>
      <c r="N561" s="93">
        <f>VLOOKUP(B561,'[16]01.수집 카테고리(List)'!$A$2:$H$64,8,FALSE)</f>
        <v>99991231</v>
      </c>
      <c r="O561" s="93" t="s">
        <v>646</v>
      </c>
    </row>
    <row r="562" spans="1:15" hidden="1">
      <c r="A562" s="75" t="str">
        <f t="shared" si="16"/>
        <v>CABESTBUYOvenWall OvenWall Oven</v>
      </c>
      <c r="B562" s="94" t="str">
        <f t="shared" si="17"/>
        <v>CA_BESTBUY</v>
      </c>
      <c r="C562" s="93" t="s">
        <v>345</v>
      </c>
      <c r="D562" s="93" t="s">
        <v>348</v>
      </c>
      <c r="E562" s="93" t="s">
        <v>2540</v>
      </c>
      <c r="F562" s="93" t="s">
        <v>2544</v>
      </c>
      <c r="G562" s="93" t="s">
        <v>2544</v>
      </c>
      <c r="H562" s="93" t="e">
        <v>#N/A</v>
      </c>
      <c r="I562" s="105" t="s">
        <v>2310</v>
      </c>
      <c r="J562" s="93" t="s">
        <v>189</v>
      </c>
      <c r="K562" s="93">
        <v>631</v>
      </c>
      <c r="L562" s="93">
        <v>631</v>
      </c>
      <c r="M562" s="93" t="s">
        <v>2311</v>
      </c>
      <c r="N562" s="93">
        <f>VLOOKUP(B562,'[16]01.수집 카테고리(List)'!$A$2:$H$64,8,FALSE)</f>
        <v>99991231</v>
      </c>
      <c r="O562" s="93" t="s">
        <v>646</v>
      </c>
    </row>
    <row r="563" spans="1:15" hidden="1">
      <c r="A563" s="75" t="str">
        <f t="shared" si="16"/>
        <v>CABESTBUYRefrigerator4 door french door refrigerator4 door french door refrigerator</v>
      </c>
      <c r="B563" s="94" t="str">
        <f t="shared" si="17"/>
        <v>CA_BESTBUY</v>
      </c>
      <c r="C563" s="93" t="s">
        <v>345</v>
      </c>
      <c r="D563" s="93" t="s">
        <v>348</v>
      </c>
      <c r="E563" s="93" t="s">
        <v>2326</v>
      </c>
      <c r="F563" s="93" t="s">
        <v>2519</v>
      </c>
      <c r="G563" s="93" t="s">
        <v>2519</v>
      </c>
      <c r="H563" s="93" t="e">
        <v>#N/A</v>
      </c>
      <c r="I563" s="105" t="s">
        <v>2310</v>
      </c>
      <c r="J563" s="93" t="s">
        <v>189</v>
      </c>
      <c r="K563" s="93">
        <v>1026</v>
      </c>
      <c r="L563" s="93">
        <v>1026</v>
      </c>
      <c r="M563" s="93" t="s">
        <v>2311</v>
      </c>
      <c r="N563" s="93">
        <f>VLOOKUP(B563,'[16]01.수집 카테고리(List)'!$A$2:$H$64,8,FALSE)</f>
        <v>99991231</v>
      </c>
      <c r="O563" s="93" t="s">
        <v>646</v>
      </c>
    </row>
    <row r="564" spans="1:15" hidden="1">
      <c r="A564" s="75" t="str">
        <f t="shared" si="16"/>
        <v>CABESTBUYRefrigeratorbottom freezer refrigeratorbottom freezer</v>
      </c>
      <c r="B564" s="94" t="str">
        <f t="shared" si="17"/>
        <v>CA_BESTBUY</v>
      </c>
      <c r="C564" s="93" t="s">
        <v>345</v>
      </c>
      <c r="D564" s="93" t="s">
        <v>348</v>
      </c>
      <c r="E564" s="93" t="s">
        <v>2326</v>
      </c>
      <c r="F564" s="93" t="s">
        <v>2327</v>
      </c>
      <c r="G564" s="93" t="s">
        <v>2520</v>
      </c>
      <c r="H564" s="93" t="e">
        <v>#N/A</v>
      </c>
      <c r="I564" s="105" t="s">
        <v>2310</v>
      </c>
      <c r="J564" s="93" t="s">
        <v>189</v>
      </c>
      <c r="K564" s="93">
        <v>1261</v>
      </c>
      <c r="L564" s="93" t="e">
        <v>#N/A</v>
      </c>
      <c r="M564" s="93" t="s">
        <v>2311</v>
      </c>
      <c r="N564" s="93">
        <f>VLOOKUP(B564,'[16]01.수집 카테고리(List)'!$A$2:$H$64,8,FALSE)</f>
        <v>99991231</v>
      </c>
      <c r="O564" s="93" t="s">
        <v>646</v>
      </c>
    </row>
    <row r="565" spans="1:15" hidden="1">
      <c r="A565" s="75" t="str">
        <f t="shared" si="16"/>
        <v>CABESTBUYRefrigeratorcounter depth refrigeratorcounter depth refrigerator</v>
      </c>
      <c r="B565" s="94" t="str">
        <f t="shared" si="17"/>
        <v>CA_BESTBUY</v>
      </c>
      <c r="C565" s="93" t="s">
        <v>345</v>
      </c>
      <c r="D565" s="93" t="s">
        <v>348</v>
      </c>
      <c r="E565" s="93" t="s">
        <v>2326</v>
      </c>
      <c r="F565" s="93" t="s">
        <v>2521</v>
      </c>
      <c r="G565" s="93" t="s">
        <v>2521</v>
      </c>
      <c r="H565" s="93" t="e">
        <v>#N/A</v>
      </c>
      <c r="I565" s="105" t="s">
        <v>2310</v>
      </c>
      <c r="J565" s="93" t="s">
        <v>189</v>
      </c>
      <c r="K565" s="93">
        <v>712</v>
      </c>
      <c r="L565" s="93">
        <v>712</v>
      </c>
      <c r="M565" s="93" t="s">
        <v>2311</v>
      </c>
      <c r="N565" s="93">
        <f>VLOOKUP(B565,'[16]01.수집 카테고리(List)'!$A$2:$H$64,8,FALSE)</f>
        <v>99991231</v>
      </c>
      <c r="O565" s="93" t="s">
        <v>646</v>
      </c>
    </row>
    <row r="566" spans="1:15" hidden="1">
      <c r="A566" s="75" t="str">
        <f t="shared" si="16"/>
        <v>CABESTBUYRefrigeratorfrench door refrigeratorfrench door refrigerator</v>
      </c>
      <c r="B566" s="94" t="str">
        <f t="shared" si="17"/>
        <v>CA_BESTBUY</v>
      </c>
      <c r="C566" s="93" t="s">
        <v>345</v>
      </c>
      <c r="D566" s="93" t="s">
        <v>348</v>
      </c>
      <c r="E566" s="93" t="s">
        <v>2326</v>
      </c>
      <c r="F566" s="93" t="s">
        <v>2328</v>
      </c>
      <c r="G566" s="93" t="s">
        <v>2328</v>
      </c>
      <c r="H566" s="93" t="e">
        <v>#N/A</v>
      </c>
      <c r="I566" s="105" t="s">
        <v>2310</v>
      </c>
      <c r="J566" s="93" t="s">
        <v>189</v>
      </c>
      <c r="K566" s="93">
        <v>2108</v>
      </c>
      <c r="L566" s="93">
        <v>2108</v>
      </c>
      <c r="M566" s="93" t="s">
        <v>2311</v>
      </c>
      <c r="N566" s="93">
        <f>VLOOKUP(B566,'[16]01.수집 카테고리(List)'!$A$2:$H$64,8,FALSE)</f>
        <v>99991231</v>
      </c>
      <c r="O566" s="93" t="s">
        <v>646</v>
      </c>
    </row>
    <row r="567" spans="1:15" hidden="1">
      <c r="A567" s="75" t="str">
        <f t="shared" si="16"/>
        <v>CABESTBUYRefrigeratorrefrigeratorrefrigerator</v>
      </c>
      <c r="B567" s="94" t="str">
        <f t="shared" si="17"/>
        <v>CA_BESTBUY</v>
      </c>
      <c r="C567" s="93" t="s">
        <v>345</v>
      </c>
      <c r="D567" s="93" t="s">
        <v>348</v>
      </c>
      <c r="E567" s="93" t="s">
        <v>2326</v>
      </c>
      <c r="F567" s="93" t="s">
        <v>2329</v>
      </c>
      <c r="G567" s="93" t="s">
        <v>2329</v>
      </c>
      <c r="H567" s="93" t="e">
        <v>#N/A</v>
      </c>
      <c r="I567" s="105" t="s">
        <v>2310</v>
      </c>
      <c r="J567" s="93" t="s">
        <v>189</v>
      </c>
      <c r="K567" s="93">
        <v>2297</v>
      </c>
      <c r="L567" s="93">
        <v>2297</v>
      </c>
      <c r="M567" s="93" t="s">
        <v>2311</v>
      </c>
      <c r="N567" s="93">
        <f>VLOOKUP(B567,'[16]01.수집 카테고리(List)'!$A$2:$H$64,8,FALSE)</f>
        <v>99991231</v>
      </c>
      <c r="O567" s="93" t="s">
        <v>646</v>
      </c>
    </row>
    <row r="568" spans="1:15" hidden="1">
      <c r="A568" s="75" t="str">
        <f t="shared" si="16"/>
        <v>CABESTBUYRefrigeratorside by side refrigeratorside by side refrigerator</v>
      </c>
      <c r="B568" s="94" t="str">
        <f t="shared" si="17"/>
        <v>CA_BESTBUY</v>
      </c>
      <c r="C568" s="93" t="s">
        <v>345</v>
      </c>
      <c r="D568" s="93" t="s">
        <v>348</v>
      </c>
      <c r="E568" s="93" t="s">
        <v>2326</v>
      </c>
      <c r="F568" s="93" t="s">
        <v>2330</v>
      </c>
      <c r="G568" s="93" t="s">
        <v>2330</v>
      </c>
      <c r="H568" s="93" t="e">
        <v>#N/A</v>
      </c>
      <c r="I568" s="105" t="s">
        <v>2310</v>
      </c>
      <c r="J568" s="93" t="s">
        <v>189</v>
      </c>
      <c r="K568" s="93">
        <v>1032</v>
      </c>
      <c r="L568" s="93">
        <v>1032</v>
      </c>
      <c r="M568" s="93" t="s">
        <v>2311</v>
      </c>
      <c r="N568" s="93">
        <f>VLOOKUP(B568,'[16]01.수집 카테고리(List)'!$A$2:$H$64,8,FALSE)</f>
        <v>99991231</v>
      </c>
      <c r="O568" s="93" t="s">
        <v>646</v>
      </c>
    </row>
    <row r="569" spans="1:15" hidden="1">
      <c r="A569" s="75" t="str">
        <f t="shared" si="16"/>
        <v>CABESTBUYRefrigeratortop freezer refrigeratortop freezer</v>
      </c>
      <c r="B569" s="94" t="str">
        <f t="shared" si="17"/>
        <v>CA_BESTBUY</v>
      </c>
      <c r="C569" s="93" t="s">
        <v>345</v>
      </c>
      <c r="D569" s="93" t="s">
        <v>348</v>
      </c>
      <c r="E569" s="93" t="s">
        <v>2326</v>
      </c>
      <c r="F569" s="93" t="s">
        <v>2332</v>
      </c>
      <c r="G569" s="93" t="s">
        <v>2522</v>
      </c>
      <c r="H569" s="93" t="e">
        <v>#N/A</v>
      </c>
      <c r="I569" s="105" t="s">
        <v>2310</v>
      </c>
      <c r="J569" s="93" t="s">
        <v>189</v>
      </c>
      <c r="K569" s="93">
        <v>1152</v>
      </c>
      <c r="L569" s="93" t="e">
        <v>#N/A</v>
      </c>
      <c r="M569" s="93" t="s">
        <v>2311</v>
      </c>
      <c r="N569" s="93">
        <f>VLOOKUP(B569,'[16]01.수집 카테고리(List)'!$A$2:$H$64,8,FALSE)</f>
        <v>99991231</v>
      </c>
      <c r="O569" s="93" t="s">
        <v>646</v>
      </c>
    </row>
    <row r="570" spans="1:15" hidden="1">
      <c r="A570" s="75" t="str">
        <f t="shared" si="16"/>
        <v>CABESTBUYSoundbaraudioaudio</v>
      </c>
      <c r="B570" s="94" t="str">
        <f t="shared" si="17"/>
        <v>CA_BESTBUY</v>
      </c>
      <c r="C570" s="93" t="s">
        <v>345</v>
      </c>
      <c r="D570" s="93" t="s">
        <v>348</v>
      </c>
      <c r="E570" s="93" t="s">
        <v>2363</v>
      </c>
      <c r="F570" s="93" t="s">
        <v>2528</v>
      </c>
      <c r="G570" s="93" t="s">
        <v>2528</v>
      </c>
      <c r="H570" s="93" t="e">
        <v>#N/A</v>
      </c>
      <c r="I570" s="105" t="s">
        <v>2310</v>
      </c>
      <c r="J570" s="93" t="s">
        <v>189</v>
      </c>
      <c r="K570" s="93">
        <v>12239</v>
      </c>
      <c r="L570" s="93">
        <v>12239</v>
      </c>
      <c r="M570" s="93" t="s">
        <v>2311</v>
      </c>
      <c r="N570" s="93">
        <f>VLOOKUP(B570,'[16]01.수집 카테고리(List)'!$A$2:$H$64,8,FALSE)</f>
        <v>99991231</v>
      </c>
      <c r="O570" s="93" t="s">
        <v>646</v>
      </c>
    </row>
    <row r="571" spans="1:15" hidden="1">
      <c r="A571" s="75" t="str">
        <f t="shared" si="16"/>
        <v>CABESTBUYSoundbarsound barsound bar</v>
      </c>
      <c r="B571" s="94" t="str">
        <f t="shared" si="17"/>
        <v>CA_BESTBUY</v>
      </c>
      <c r="C571" s="93" t="s">
        <v>345</v>
      </c>
      <c r="D571" s="93" t="s">
        <v>348</v>
      </c>
      <c r="E571" s="93" t="s">
        <v>2363</v>
      </c>
      <c r="F571" s="93" t="s">
        <v>2529</v>
      </c>
      <c r="G571" s="93" t="s">
        <v>2529</v>
      </c>
      <c r="H571" s="93" t="e">
        <v>#N/A</v>
      </c>
      <c r="I571" s="105" t="s">
        <v>2310</v>
      </c>
      <c r="J571" s="93" t="s">
        <v>189</v>
      </c>
      <c r="K571" s="93">
        <v>3143</v>
      </c>
      <c r="L571" s="93">
        <v>3143</v>
      </c>
      <c r="M571" s="93" t="s">
        <v>2311</v>
      </c>
      <c r="N571" s="93">
        <f>VLOOKUP(B571,'[16]01.수집 카테고리(List)'!$A$2:$H$64,8,FALSE)</f>
        <v>99991231</v>
      </c>
      <c r="O571" s="93" t="s">
        <v>646</v>
      </c>
    </row>
    <row r="572" spans="1:15" hidden="1">
      <c r="A572" s="75" t="str">
        <f t="shared" si="16"/>
        <v>CABESTBUYSoundbarsound systemsound system</v>
      </c>
      <c r="B572" s="94" t="str">
        <f t="shared" si="17"/>
        <v>CA_BESTBUY</v>
      </c>
      <c r="C572" s="93" t="s">
        <v>345</v>
      </c>
      <c r="D572" s="93" t="s">
        <v>348</v>
      </c>
      <c r="E572" s="93" t="s">
        <v>2363</v>
      </c>
      <c r="F572" s="93" t="s">
        <v>2530</v>
      </c>
      <c r="G572" s="93" t="s">
        <v>2530</v>
      </c>
      <c r="H572" s="93" t="e">
        <v>#N/A</v>
      </c>
      <c r="I572" s="105" t="s">
        <v>2310</v>
      </c>
      <c r="J572" s="93" t="s">
        <v>189</v>
      </c>
      <c r="K572" s="93">
        <v>7252</v>
      </c>
      <c r="L572" s="93">
        <v>7252</v>
      </c>
      <c r="M572" s="93" t="s">
        <v>2311</v>
      </c>
      <c r="N572" s="93">
        <f>VLOOKUP(B572,'[16]01.수집 카테고리(List)'!$A$2:$H$64,8,FALSE)</f>
        <v>99991231</v>
      </c>
      <c r="O572" s="93" t="s">
        <v>646</v>
      </c>
    </row>
    <row r="573" spans="1:15" hidden="1">
      <c r="A573" s="75" t="str">
        <f t="shared" si="16"/>
        <v>CABESTBUYSoundbarsoundbarssoundbars</v>
      </c>
      <c r="B573" s="94" t="str">
        <f t="shared" si="17"/>
        <v>CA_BESTBUY</v>
      </c>
      <c r="C573" s="93" t="s">
        <v>345</v>
      </c>
      <c r="D573" s="93" t="s">
        <v>348</v>
      </c>
      <c r="E573" s="93" t="s">
        <v>2363</v>
      </c>
      <c r="F573" s="93" t="s">
        <v>2531</v>
      </c>
      <c r="G573" s="93" t="s">
        <v>2531</v>
      </c>
      <c r="H573" s="93" t="e">
        <v>#N/A</v>
      </c>
      <c r="I573" s="105" t="s">
        <v>2310</v>
      </c>
      <c r="J573" s="93" t="s">
        <v>189</v>
      </c>
      <c r="K573" s="93">
        <v>3554</v>
      </c>
      <c r="L573" s="93">
        <v>3554</v>
      </c>
      <c r="M573" s="93" t="s">
        <v>2311</v>
      </c>
      <c r="N573" s="93">
        <f>VLOOKUP(B573,'[16]01.수집 카테고리(List)'!$A$2:$H$64,8,FALSE)</f>
        <v>99991231</v>
      </c>
      <c r="O573" s="93" t="s">
        <v>646</v>
      </c>
    </row>
    <row r="574" spans="1:15" hidden="1">
      <c r="A574" s="75" t="str">
        <f t="shared" si="16"/>
        <v>CABESTBUYSoundbarspeakersspeakers</v>
      </c>
      <c r="B574" s="94" t="str">
        <f t="shared" si="17"/>
        <v>CA_BESTBUY</v>
      </c>
      <c r="C574" s="93" t="s">
        <v>345</v>
      </c>
      <c r="D574" s="93" t="s">
        <v>348</v>
      </c>
      <c r="E574" s="93" t="s">
        <v>2363</v>
      </c>
      <c r="F574" s="93" t="s">
        <v>2471</v>
      </c>
      <c r="G574" s="93" t="s">
        <v>2471</v>
      </c>
      <c r="H574" s="93" t="e">
        <v>#N/A</v>
      </c>
      <c r="I574" s="105" t="s">
        <v>2310</v>
      </c>
      <c r="J574" s="93" t="s">
        <v>189</v>
      </c>
      <c r="K574" s="93">
        <v>9616</v>
      </c>
      <c r="L574" s="93">
        <v>9616</v>
      </c>
      <c r="M574" s="93" t="s">
        <v>2311</v>
      </c>
      <c r="N574" s="93">
        <f>VLOOKUP(B574,'[16]01.수집 카테고리(List)'!$A$2:$H$64,8,FALSE)</f>
        <v>99991231</v>
      </c>
      <c r="O574" s="93" t="s">
        <v>646</v>
      </c>
    </row>
    <row r="575" spans="1:15" hidden="1">
      <c r="A575" s="75" t="str">
        <f t="shared" si="16"/>
        <v>CABESTBUYTV4k TV4k TV</v>
      </c>
      <c r="B575" s="94" t="str">
        <f t="shared" si="17"/>
        <v>CA_BESTBUY</v>
      </c>
      <c r="C575" s="93" t="s">
        <v>345</v>
      </c>
      <c r="D575" s="93" t="s">
        <v>348</v>
      </c>
      <c r="E575" s="93" t="s">
        <v>161</v>
      </c>
      <c r="F575" s="93" t="s">
        <v>2368</v>
      </c>
      <c r="G575" s="93" t="s">
        <v>2368</v>
      </c>
      <c r="H575" s="93" t="e">
        <v>#N/A</v>
      </c>
      <c r="I575" s="105" t="s">
        <v>2310</v>
      </c>
      <c r="J575" s="93" t="s">
        <v>189</v>
      </c>
      <c r="K575" s="93">
        <v>4696</v>
      </c>
      <c r="L575" s="93">
        <v>4696</v>
      </c>
      <c r="M575" s="93" t="s">
        <v>2311</v>
      </c>
      <c r="N575" s="93">
        <f>VLOOKUP(B575,'[16]01.수집 카테고리(List)'!$A$2:$H$64,8,FALSE)</f>
        <v>99991231</v>
      </c>
      <c r="O575" s="93" t="s">
        <v>646</v>
      </c>
    </row>
    <row r="576" spans="1:15" hidden="1">
      <c r="A576" s="75" t="str">
        <f t="shared" si="16"/>
        <v>CABESTBUYTVoled TVoled TV</v>
      </c>
      <c r="B576" s="94" t="str">
        <f t="shared" si="17"/>
        <v>CA_BESTBUY</v>
      </c>
      <c r="C576" s="93" t="s">
        <v>345</v>
      </c>
      <c r="D576" s="93" t="s">
        <v>348</v>
      </c>
      <c r="E576" s="93" t="s">
        <v>161</v>
      </c>
      <c r="F576" s="93" t="s">
        <v>2369</v>
      </c>
      <c r="G576" s="93" t="s">
        <v>2369</v>
      </c>
      <c r="H576" s="93" t="e">
        <v>#N/A</v>
      </c>
      <c r="I576" s="105" t="s">
        <v>2310</v>
      </c>
      <c r="J576" s="93" t="s">
        <v>189</v>
      </c>
      <c r="K576" s="93">
        <v>688</v>
      </c>
      <c r="L576" s="93">
        <v>688</v>
      </c>
      <c r="M576" s="93" t="s">
        <v>2311</v>
      </c>
      <c r="N576" s="93">
        <f>VLOOKUP(B576,'[16]01.수집 카테고리(List)'!$A$2:$H$64,8,FALSE)</f>
        <v>99991231</v>
      </c>
      <c r="O576" s="93" t="s">
        <v>646</v>
      </c>
    </row>
    <row r="577" spans="1:15" hidden="1">
      <c r="A577" s="75" t="str">
        <f t="shared" si="16"/>
        <v>CABESTBUYTVsmart TVsmart TV</v>
      </c>
      <c r="B577" s="94" t="str">
        <f t="shared" si="17"/>
        <v>CA_BESTBUY</v>
      </c>
      <c r="C577" s="93" t="s">
        <v>345</v>
      </c>
      <c r="D577" s="93" t="s">
        <v>348</v>
      </c>
      <c r="E577" s="93" t="s">
        <v>161</v>
      </c>
      <c r="F577" s="93" t="s">
        <v>2371</v>
      </c>
      <c r="G577" s="93" t="s">
        <v>2371</v>
      </c>
      <c r="H577" s="93" t="e">
        <v>#N/A</v>
      </c>
      <c r="I577" s="105" t="s">
        <v>2310</v>
      </c>
      <c r="J577" s="93" t="s">
        <v>189</v>
      </c>
      <c r="K577" s="93">
        <v>5401</v>
      </c>
      <c r="L577" s="93">
        <v>5401</v>
      </c>
      <c r="M577" s="93" t="s">
        <v>2311</v>
      </c>
      <c r="N577" s="93">
        <f>VLOOKUP(B577,'[16]01.수집 카테고리(List)'!$A$2:$H$64,8,FALSE)</f>
        <v>99991231</v>
      </c>
      <c r="O577" s="93" t="s">
        <v>646</v>
      </c>
    </row>
    <row r="578" spans="1:15" hidden="1">
      <c r="A578" s="75" t="str">
        <f t="shared" si="16"/>
        <v>CABESTBUYTVTVTV</v>
      </c>
      <c r="B578" s="94" t="str">
        <f t="shared" si="17"/>
        <v>CA_BESTBUY</v>
      </c>
      <c r="C578" s="93" t="s">
        <v>345</v>
      </c>
      <c r="D578" s="93" t="s">
        <v>348</v>
      </c>
      <c r="E578" s="93" t="s">
        <v>161</v>
      </c>
      <c r="F578" s="93" t="s">
        <v>161</v>
      </c>
      <c r="G578" s="93" t="s">
        <v>161</v>
      </c>
      <c r="H578" s="93" t="e">
        <v>#N/A</v>
      </c>
      <c r="I578" s="105" t="s">
        <v>2310</v>
      </c>
      <c r="J578" s="93" t="s">
        <v>189</v>
      </c>
      <c r="K578" s="93">
        <v>6244</v>
      </c>
      <c r="L578" s="93">
        <v>6244</v>
      </c>
      <c r="M578" s="93" t="s">
        <v>2311</v>
      </c>
      <c r="N578" s="93">
        <f>VLOOKUP(B578,'[16]01.수집 카테고리(List)'!$A$2:$H$64,8,FALSE)</f>
        <v>99991231</v>
      </c>
      <c r="O578" s="93" t="s">
        <v>646</v>
      </c>
    </row>
    <row r="579" spans="1:15" hidden="1">
      <c r="A579" s="75" t="str">
        <f t="shared" si="16"/>
        <v>CABESTBUYTVuhd TVuhd TV</v>
      </c>
      <c r="B579" s="94" t="str">
        <f t="shared" si="17"/>
        <v>CA_BESTBUY</v>
      </c>
      <c r="C579" s="93" t="s">
        <v>345</v>
      </c>
      <c r="D579" s="93" t="s">
        <v>348</v>
      </c>
      <c r="E579" s="93" t="s">
        <v>161</v>
      </c>
      <c r="F579" s="93" t="s">
        <v>2399</v>
      </c>
      <c r="G579" s="93" t="s">
        <v>2399</v>
      </c>
      <c r="H579" s="93" t="e">
        <v>#N/A</v>
      </c>
      <c r="I579" s="105" t="s">
        <v>2310</v>
      </c>
      <c r="J579" s="93" t="s">
        <v>189</v>
      </c>
      <c r="K579" s="93">
        <v>8721</v>
      </c>
      <c r="L579" s="93">
        <v>8721</v>
      </c>
      <c r="M579" s="93" t="s">
        <v>2311</v>
      </c>
      <c r="N579" s="93">
        <f>VLOOKUP(B579,'[16]01.수집 카테고리(List)'!$A$2:$H$64,8,FALSE)</f>
        <v>99991231</v>
      </c>
      <c r="O579" s="93" t="s">
        <v>646</v>
      </c>
    </row>
    <row r="580" spans="1:15" hidden="1">
      <c r="A580" s="75" t="str">
        <f t="shared" si="16"/>
        <v>CABESTBUYWashing Machinefront loaderfront load washer</v>
      </c>
      <c r="B580" s="94" t="str">
        <f t="shared" si="17"/>
        <v>CA_BESTBUY</v>
      </c>
      <c r="C580" s="93" t="s">
        <v>345</v>
      </c>
      <c r="D580" s="93" t="s">
        <v>348</v>
      </c>
      <c r="E580" s="93" t="s">
        <v>2333</v>
      </c>
      <c r="F580" s="93" t="s">
        <v>2334</v>
      </c>
      <c r="G580" s="93" t="s">
        <v>2335</v>
      </c>
      <c r="H580" s="93" t="e">
        <v>#N/A</v>
      </c>
      <c r="I580" s="105" t="s">
        <v>2310</v>
      </c>
      <c r="J580" s="93" t="s">
        <v>189</v>
      </c>
      <c r="K580" s="93">
        <v>2638</v>
      </c>
      <c r="L580" s="93" t="e">
        <v>#N/A</v>
      </c>
      <c r="M580" s="93" t="s">
        <v>2311</v>
      </c>
      <c r="N580" s="93">
        <f>VLOOKUP(B580,'[16]01.수집 카테고리(List)'!$A$2:$H$64,8,FALSE)</f>
        <v>99991231</v>
      </c>
      <c r="O580" s="93" t="s">
        <v>646</v>
      </c>
    </row>
    <row r="581" spans="1:15" hidden="1">
      <c r="A581" s="75" t="str">
        <f t="shared" si="16"/>
        <v>CABESTBUYWashing Machinetop loadertop load washer</v>
      </c>
      <c r="B581" s="94" t="str">
        <f t="shared" si="17"/>
        <v>CA_BESTBUY</v>
      </c>
      <c r="C581" s="93" t="s">
        <v>345</v>
      </c>
      <c r="D581" s="93" t="s">
        <v>348</v>
      </c>
      <c r="E581" s="93" t="s">
        <v>2333</v>
      </c>
      <c r="F581" s="93" t="s">
        <v>2336</v>
      </c>
      <c r="G581" s="93" t="s">
        <v>2337</v>
      </c>
      <c r="H581" s="93" t="e">
        <v>#N/A</v>
      </c>
      <c r="I581" s="105" t="s">
        <v>2310</v>
      </c>
      <c r="J581" s="93" t="s">
        <v>189</v>
      </c>
      <c r="K581" s="93">
        <v>1669</v>
      </c>
      <c r="L581" s="93" t="e">
        <v>#N/A</v>
      </c>
      <c r="M581" s="93" t="s">
        <v>2311</v>
      </c>
      <c r="N581" s="93">
        <f>VLOOKUP(B581,'[16]01.수집 카테고리(List)'!$A$2:$H$64,8,FALSE)</f>
        <v>99991231</v>
      </c>
      <c r="O581" s="93" t="s">
        <v>646</v>
      </c>
    </row>
    <row r="582" spans="1:15" hidden="1">
      <c r="A582" s="75" t="str">
        <f t="shared" si="16"/>
        <v>CABESTBUYWashing Machinewashing machinewasher</v>
      </c>
      <c r="B582" s="94" t="str">
        <f t="shared" si="17"/>
        <v>CA_BESTBUY</v>
      </c>
      <c r="C582" s="93" t="s">
        <v>345</v>
      </c>
      <c r="D582" s="93" t="s">
        <v>348</v>
      </c>
      <c r="E582" s="93" t="s">
        <v>2333</v>
      </c>
      <c r="F582" s="93" t="s">
        <v>2340</v>
      </c>
      <c r="G582" s="93" t="s">
        <v>2523</v>
      </c>
      <c r="H582" s="93" t="e">
        <v>#N/A</v>
      </c>
      <c r="I582" s="105" t="s">
        <v>2310</v>
      </c>
      <c r="J582" s="93" t="s">
        <v>189</v>
      </c>
      <c r="K582" s="93">
        <v>511</v>
      </c>
      <c r="L582" s="93" t="e">
        <v>#N/A</v>
      </c>
      <c r="M582" s="93" t="s">
        <v>2311</v>
      </c>
      <c r="N582" s="93">
        <f>VLOOKUP(B582,'[16]01.수집 카테고리(List)'!$A$2:$H$64,8,FALSE)</f>
        <v>99991231</v>
      </c>
      <c r="O582" s="93" t="s">
        <v>646</v>
      </c>
    </row>
    <row r="583" spans="1:15" hidden="1">
      <c r="A583" s="75" t="str">
        <f t="shared" si="16"/>
        <v>CABESTBUYWashing Machinewasher dryer combowasher dryer combo</v>
      </c>
      <c r="B583" s="94" t="str">
        <f t="shared" si="17"/>
        <v>CA_BESTBUY</v>
      </c>
      <c r="C583" s="93" t="s">
        <v>345</v>
      </c>
      <c r="D583" s="93" t="s">
        <v>348</v>
      </c>
      <c r="E583" s="93" t="s">
        <v>2333</v>
      </c>
      <c r="F583" s="93" t="s">
        <v>2338</v>
      </c>
      <c r="G583" s="93" t="s">
        <v>2338</v>
      </c>
      <c r="H583" s="93" t="e">
        <v>#N/A</v>
      </c>
      <c r="I583" s="105" t="s">
        <v>2310</v>
      </c>
      <c r="J583" s="93" t="s">
        <v>189</v>
      </c>
      <c r="K583" s="93">
        <v>2804</v>
      </c>
      <c r="L583" s="93">
        <v>2804</v>
      </c>
      <c r="M583" s="93" t="s">
        <v>2311</v>
      </c>
      <c r="N583" s="93">
        <f>VLOOKUP(B583,'[16]01.수집 카테고리(List)'!$A$2:$H$64,8,FALSE)</f>
        <v>99991231</v>
      </c>
      <c r="O583" s="93" t="s">
        <v>646</v>
      </c>
    </row>
    <row r="584" spans="1:15" hidden="1">
      <c r="A584" s="75" t="str">
        <f t="shared" si="16"/>
        <v>CABESTBUYWIRELESS HEADSETBluetooth earbudsBluetooth earbuds</v>
      </c>
      <c r="B584" s="94" t="str">
        <f t="shared" si="17"/>
        <v>CA_BESTBUY</v>
      </c>
      <c r="C584" s="93" t="s">
        <v>345</v>
      </c>
      <c r="D584" s="93" t="s">
        <v>348</v>
      </c>
      <c r="E584" s="93" t="s">
        <v>2201</v>
      </c>
      <c r="F584" s="93" t="s">
        <v>2382</v>
      </c>
      <c r="G584" s="93" t="s">
        <v>2382</v>
      </c>
      <c r="H584" s="93" t="e">
        <v>#N/A</v>
      </c>
      <c r="I584" s="105" t="s">
        <v>2310</v>
      </c>
      <c r="J584" s="93" t="s">
        <v>189</v>
      </c>
      <c r="K584" s="93">
        <v>7575</v>
      </c>
      <c r="L584" s="93">
        <v>7575</v>
      </c>
      <c r="M584" s="93" t="s">
        <v>2311</v>
      </c>
      <c r="N584" s="93">
        <f>VLOOKUP(B584,'[16]01.수집 카테고리(List)'!$A$2:$H$64,8,FALSE)</f>
        <v>99991231</v>
      </c>
      <c r="O584" s="93" t="s">
        <v>646</v>
      </c>
    </row>
    <row r="585" spans="1:15" hidden="1">
      <c r="A585" s="75" t="str">
        <f t="shared" si="16"/>
        <v>CABESTBUYWIRELESS HEADSETBluetooth HeadphonesBluetooth Headphones</v>
      </c>
      <c r="B585" s="94" t="str">
        <f t="shared" si="17"/>
        <v>CA_BESTBUY</v>
      </c>
      <c r="C585" s="93" t="s">
        <v>345</v>
      </c>
      <c r="D585" s="93" t="s">
        <v>348</v>
      </c>
      <c r="E585" s="93" t="s">
        <v>2201</v>
      </c>
      <c r="F585" s="93" t="s">
        <v>2533</v>
      </c>
      <c r="G585" s="93" t="s">
        <v>2533</v>
      </c>
      <c r="H585" s="93" t="e">
        <v>#N/A</v>
      </c>
      <c r="I585" s="105" t="s">
        <v>2310</v>
      </c>
      <c r="J585" s="93" t="s">
        <v>189</v>
      </c>
      <c r="K585" s="93">
        <v>6817</v>
      </c>
      <c r="L585" s="93">
        <v>6817</v>
      </c>
      <c r="M585" s="93" t="s">
        <v>2311</v>
      </c>
      <c r="N585" s="93">
        <f>VLOOKUP(B585,'[16]01.수집 카테고리(List)'!$A$2:$H$64,8,FALSE)</f>
        <v>99991231</v>
      </c>
      <c r="O585" s="93" t="s">
        <v>646</v>
      </c>
    </row>
    <row r="586" spans="1:15" hidden="1">
      <c r="A586" s="75" t="str">
        <f t="shared" ref="A586:A649" si="18">C586&amp;D586&amp;E586&amp;F586&amp;G586</f>
        <v>CABESTBUYWIRELESS HEADSETEar budsEar buds</v>
      </c>
      <c r="B586" s="94" t="str">
        <f t="shared" ref="B586:B649" si="19">C586&amp;"_"&amp;D586</f>
        <v>CA_BESTBUY</v>
      </c>
      <c r="C586" s="93" t="s">
        <v>345</v>
      </c>
      <c r="D586" s="93" t="s">
        <v>348</v>
      </c>
      <c r="E586" s="93" t="s">
        <v>2201</v>
      </c>
      <c r="F586" s="93" t="s">
        <v>2380</v>
      </c>
      <c r="G586" s="93" t="s">
        <v>2380</v>
      </c>
      <c r="H586" s="93" t="e">
        <v>#N/A</v>
      </c>
      <c r="I586" s="105" t="s">
        <v>2310</v>
      </c>
      <c r="J586" s="93" t="s">
        <v>189</v>
      </c>
      <c r="K586" s="93">
        <v>3289</v>
      </c>
      <c r="L586" s="93">
        <v>3289</v>
      </c>
      <c r="M586" s="93" t="s">
        <v>2311</v>
      </c>
      <c r="N586" s="93">
        <f>VLOOKUP(B586,'[16]01.수집 카테고리(List)'!$A$2:$H$64,8,FALSE)</f>
        <v>99991231</v>
      </c>
      <c r="O586" s="93" t="s">
        <v>646</v>
      </c>
    </row>
    <row r="587" spans="1:15" hidden="1">
      <c r="A587" s="75" t="str">
        <f t="shared" si="18"/>
        <v>CABESTBUYWIRELESS HEADSETEarbudsEarbuds</v>
      </c>
      <c r="B587" s="94" t="str">
        <f t="shared" si="19"/>
        <v>CA_BESTBUY</v>
      </c>
      <c r="C587" s="93" t="s">
        <v>345</v>
      </c>
      <c r="D587" s="93" t="s">
        <v>348</v>
      </c>
      <c r="E587" s="93" t="s">
        <v>2201</v>
      </c>
      <c r="F587" s="93" t="s">
        <v>2534</v>
      </c>
      <c r="G587" s="93" t="s">
        <v>2534</v>
      </c>
      <c r="H587" s="93" t="e">
        <v>#N/A</v>
      </c>
      <c r="I587" s="105" t="s">
        <v>2310</v>
      </c>
      <c r="J587" s="93" t="s">
        <v>189</v>
      </c>
      <c r="K587" s="93">
        <v>2754</v>
      </c>
      <c r="L587" s="93">
        <v>2754</v>
      </c>
      <c r="M587" s="93" t="s">
        <v>2311</v>
      </c>
      <c r="N587" s="93">
        <f>VLOOKUP(B587,'[16]01.수집 카테고리(List)'!$A$2:$H$64,8,FALSE)</f>
        <v>99991231</v>
      </c>
      <c r="O587" s="93" t="s">
        <v>646</v>
      </c>
    </row>
    <row r="588" spans="1:15" hidden="1">
      <c r="A588" s="75" t="str">
        <f t="shared" si="18"/>
        <v>CABESTBUYWIRELESS HEADSETWireless earbudsWireless earbuds</v>
      </c>
      <c r="B588" s="94" t="str">
        <f t="shared" si="19"/>
        <v>CA_BESTBUY</v>
      </c>
      <c r="C588" s="93" t="s">
        <v>345</v>
      </c>
      <c r="D588" s="93" t="s">
        <v>348</v>
      </c>
      <c r="E588" s="93" t="s">
        <v>2201</v>
      </c>
      <c r="F588" s="93" t="s">
        <v>2376</v>
      </c>
      <c r="G588" s="93" t="s">
        <v>2376</v>
      </c>
      <c r="H588" s="93" t="e">
        <v>#N/A</v>
      </c>
      <c r="I588" s="105" t="s">
        <v>2310</v>
      </c>
      <c r="J588" s="93" t="s">
        <v>189</v>
      </c>
      <c r="K588" s="93">
        <v>2090</v>
      </c>
      <c r="L588" s="93">
        <v>2090</v>
      </c>
      <c r="M588" s="93" t="s">
        <v>2311</v>
      </c>
      <c r="N588" s="93">
        <f>VLOOKUP(B588,'[16]01.수집 카테고리(List)'!$A$2:$H$64,8,FALSE)</f>
        <v>99991231</v>
      </c>
      <c r="O588" s="93" t="s">
        <v>646</v>
      </c>
    </row>
    <row r="589" spans="1:15" s="81" customFormat="1" hidden="1">
      <c r="A589" s="81" t="str">
        <f t="shared" si="18"/>
        <v>CABESTBUYAir Conditionerair conditionerair conditioner</v>
      </c>
      <c r="B589" s="106" t="str">
        <f t="shared" si="19"/>
        <v>CA_BESTBUY</v>
      </c>
      <c r="C589" s="107" t="s">
        <v>345</v>
      </c>
      <c r="D589" s="107" t="s">
        <v>348</v>
      </c>
      <c r="E589" s="107" t="s">
        <v>2524</v>
      </c>
      <c r="F589" s="107" t="s">
        <v>2347</v>
      </c>
      <c r="G589" s="107" t="s">
        <v>2347</v>
      </c>
      <c r="H589" s="93" t="e">
        <v>#N/A</v>
      </c>
      <c r="I589" s="99">
        <v>46076</v>
      </c>
      <c r="J589" s="83" t="s">
        <v>189</v>
      </c>
      <c r="K589" s="107"/>
      <c r="L589" s="107"/>
      <c r="M589" s="107"/>
      <c r="N589" s="107"/>
      <c r="O589" s="107"/>
    </row>
    <row r="590" spans="1:15" s="81" customFormat="1" hidden="1">
      <c r="A590" s="81" t="str">
        <f t="shared" si="18"/>
        <v>CABESTBUYAir Conditionerinverter air conditionerinverter air conditioner</v>
      </c>
      <c r="B590" s="106" t="str">
        <f t="shared" si="19"/>
        <v>CA_BESTBUY</v>
      </c>
      <c r="C590" s="107" t="s">
        <v>345</v>
      </c>
      <c r="D590" s="107" t="s">
        <v>348</v>
      </c>
      <c r="E590" s="107" t="s">
        <v>2524</v>
      </c>
      <c r="F590" s="107" t="s">
        <v>2348</v>
      </c>
      <c r="G590" s="107" t="s">
        <v>2348</v>
      </c>
      <c r="H590" s="93" t="e">
        <v>#N/A</v>
      </c>
      <c r="I590" s="99">
        <v>46076</v>
      </c>
      <c r="J590" s="83" t="s">
        <v>189</v>
      </c>
      <c r="K590" s="107"/>
      <c r="L590" s="107"/>
      <c r="M590" s="107"/>
      <c r="N590" s="107"/>
      <c r="O590" s="107"/>
    </row>
    <row r="591" spans="1:15" s="81" customFormat="1" hidden="1">
      <c r="A591" s="81" t="str">
        <f t="shared" si="18"/>
        <v>CABESTBUYAir Conditionerportable air conditionerportable air conditioner</v>
      </c>
      <c r="B591" s="106" t="str">
        <f t="shared" si="19"/>
        <v>CA_BESTBUY</v>
      </c>
      <c r="C591" s="107" t="s">
        <v>345</v>
      </c>
      <c r="D591" s="107" t="s">
        <v>348</v>
      </c>
      <c r="E591" s="107" t="s">
        <v>2524</v>
      </c>
      <c r="F591" s="107" t="s">
        <v>2349</v>
      </c>
      <c r="G591" s="107" t="s">
        <v>2349</v>
      </c>
      <c r="H591" s="93" t="e">
        <v>#N/A</v>
      </c>
      <c r="I591" s="99">
        <v>46076</v>
      </c>
      <c r="J591" s="83" t="s">
        <v>189</v>
      </c>
      <c r="K591" s="107"/>
      <c r="L591" s="107"/>
      <c r="M591" s="107"/>
      <c r="N591" s="107"/>
      <c r="O591" s="107"/>
    </row>
    <row r="592" spans="1:15" s="81" customFormat="1" hidden="1">
      <c r="A592" s="81" t="str">
        <f t="shared" si="18"/>
        <v>CABESTBUYAir Conditionerwindow air conditionerwindow air conditioner</v>
      </c>
      <c r="B592" s="106" t="str">
        <f t="shared" si="19"/>
        <v>CA_BESTBUY</v>
      </c>
      <c r="C592" s="107" t="s">
        <v>345</v>
      </c>
      <c r="D592" s="107" t="s">
        <v>348</v>
      </c>
      <c r="E592" s="107" t="s">
        <v>2524</v>
      </c>
      <c r="F592" s="107" t="s">
        <v>2350</v>
      </c>
      <c r="G592" s="107" t="s">
        <v>2350</v>
      </c>
      <c r="H592" s="93" t="e">
        <v>#N/A</v>
      </c>
      <c r="I592" s="99">
        <v>46076</v>
      </c>
      <c r="J592" s="83" t="s">
        <v>189</v>
      </c>
      <c r="K592" s="107"/>
      <c r="L592" s="107"/>
      <c r="M592" s="107"/>
      <c r="N592" s="107"/>
      <c r="O592" s="107"/>
    </row>
    <row r="593" spans="1:15" hidden="1">
      <c r="A593" s="75" t="str">
        <f t="shared" si="18"/>
        <v>CACOSTCOBluetooth SpeakerBluetooth speakerBluetooth speaker</v>
      </c>
      <c r="B593" s="94" t="str">
        <f t="shared" si="19"/>
        <v>CA_COSTCO</v>
      </c>
      <c r="C593" s="93" t="s">
        <v>345</v>
      </c>
      <c r="D593" s="93" t="s">
        <v>350</v>
      </c>
      <c r="E593" s="93" t="s">
        <v>2307</v>
      </c>
      <c r="F593" s="93" t="s">
        <v>2481</v>
      </c>
      <c r="G593" s="93" t="s">
        <v>2481</v>
      </c>
      <c r="H593" s="93" t="e">
        <v>#N/A</v>
      </c>
      <c r="I593" s="105" t="s">
        <v>2310</v>
      </c>
      <c r="J593" s="93" t="s">
        <v>189</v>
      </c>
      <c r="K593" s="93">
        <v>3</v>
      </c>
      <c r="L593" s="93">
        <v>3</v>
      </c>
      <c r="M593" s="93" t="s">
        <v>2311</v>
      </c>
      <c r="N593" s="93">
        <f>VLOOKUP(B593,'[16]01.수집 카테고리(List)'!$A$2:$H$64,8,FALSE)</f>
        <v>99991231</v>
      </c>
      <c r="O593" s="93" t="s">
        <v>646</v>
      </c>
    </row>
    <row r="594" spans="1:15" hidden="1">
      <c r="A594" s="75" t="str">
        <f t="shared" si="18"/>
        <v>CACOSTCOBluetooth SpeakerBluetooth speakersBluetooth speakers</v>
      </c>
      <c r="B594" s="94" t="str">
        <f t="shared" si="19"/>
        <v>CA_COSTCO</v>
      </c>
      <c r="C594" s="93" t="s">
        <v>345</v>
      </c>
      <c r="D594" s="93" t="s">
        <v>350</v>
      </c>
      <c r="E594" s="93" t="s">
        <v>2307</v>
      </c>
      <c r="F594" s="93" t="s">
        <v>2425</v>
      </c>
      <c r="G594" s="93" t="s">
        <v>2425</v>
      </c>
      <c r="H594" s="93" t="e">
        <v>#N/A</v>
      </c>
      <c r="I594" s="105" t="s">
        <v>2310</v>
      </c>
      <c r="J594" s="93" t="s">
        <v>189</v>
      </c>
      <c r="K594" s="93">
        <v>3</v>
      </c>
      <c r="L594" s="93">
        <v>3</v>
      </c>
      <c r="M594" s="93" t="s">
        <v>2311</v>
      </c>
      <c r="N594" s="93">
        <f>VLOOKUP(B594,'[16]01.수집 카테고리(List)'!$A$2:$H$64,8,FALSE)</f>
        <v>99991231</v>
      </c>
      <c r="O594" s="93" t="s">
        <v>646</v>
      </c>
    </row>
    <row r="595" spans="1:15" hidden="1">
      <c r="A595" s="75" t="str">
        <f t="shared" si="18"/>
        <v>CACOSTCOBluetooth SpeakerPortable speakerPortable speaker</v>
      </c>
      <c r="B595" s="94" t="str">
        <f t="shared" si="19"/>
        <v>CA_COSTCO</v>
      </c>
      <c r="C595" s="93" t="s">
        <v>345</v>
      </c>
      <c r="D595" s="93" t="s">
        <v>350</v>
      </c>
      <c r="E595" s="93" t="s">
        <v>2307</v>
      </c>
      <c r="F595" s="93" t="s">
        <v>2525</v>
      </c>
      <c r="G595" s="93" t="s">
        <v>2525</v>
      </c>
      <c r="H595" s="93" t="e">
        <v>#N/A</v>
      </c>
      <c r="I595" s="105" t="s">
        <v>2310</v>
      </c>
      <c r="J595" s="93" t="s">
        <v>189</v>
      </c>
      <c r="K595" s="93">
        <v>2</v>
      </c>
      <c r="L595" s="93">
        <v>2</v>
      </c>
      <c r="M595" s="93" t="s">
        <v>2311</v>
      </c>
      <c r="N595" s="93">
        <f>VLOOKUP(B595,'[16]01.수집 카테고리(List)'!$A$2:$H$64,8,FALSE)</f>
        <v>99991231</v>
      </c>
      <c r="O595" s="93" t="s">
        <v>646</v>
      </c>
    </row>
    <row r="596" spans="1:15" hidden="1">
      <c r="A596" s="75" t="str">
        <f t="shared" si="18"/>
        <v>CACOSTCOBluetooth SpeakerSpeakerSpeaker</v>
      </c>
      <c r="B596" s="94" t="str">
        <f t="shared" si="19"/>
        <v>CA_COSTCO</v>
      </c>
      <c r="C596" s="93" t="s">
        <v>345</v>
      </c>
      <c r="D596" s="93" t="s">
        <v>350</v>
      </c>
      <c r="E596" s="93" t="s">
        <v>2307</v>
      </c>
      <c r="F596" s="93" t="s">
        <v>2428</v>
      </c>
      <c r="G596" s="93" t="s">
        <v>2428</v>
      </c>
      <c r="H596" s="93" t="e">
        <v>#N/A</v>
      </c>
      <c r="I596" s="105" t="s">
        <v>2310</v>
      </c>
      <c r="J596" s="93" t="s">
        <v>189</v>
      </c>
      <c r="K596" s="93">
        <v>29</v>
      </c>
      <c r="L596" s="93">
        <v>29</v>
      </c>
      <c r="M596" s="93" t="s">
        <v>2311</v>
      </c>
      <c r="N596" s="93">
        <f>VLOOKUP(B596,'[16]01.수집 카테고리(List)'!$A$2:$H$64,8,FALSE)</f>
        <v>99991231</v>
      </c>
      <c r="O596" s="93" t="s">
        <v>646</v>
      </c>
    </row>
    <row r="597" spans="1:15" hidden="1">
      <c r="A597" s="75" t="str">
        <f t="shared" si="18"/>
        <v>CACOSTCOBluetooth SpeakerSpeakers Bluetooth WirelessSpeakers Bluetooth Wireless</v>
      </c>
      <c r="B597" s="94" t="str">
        <f t="shared" si="19"/>
        <v>CA_COSTCO</v>
      </c>
      <c r="C597" s="93" t="s">
        <v>345</v>
      </c>
      <c r="D597" s="93" t="s">
        <v>350</v>
      </c>
      <c r="E597" s="93" t="s">
        <v>2307</v>
      </c>
      <c r="F597" s="93" t="s">
        <v>2526</v>
      </c>
      <c r="G597" s="93" t="s">
        <v>2526</v>
      </c>
      <c r="H597" s="93" t="e">
        <v>#N/A</v>
      </c>
      <c r="I597" s="105" t="s">
        <v>2310</v>
      </c>
      <c r="J597" s="93" t="s">
        <v>189</v>
      </c>
      <c r="K597" s="93">
        <v>155</v>
      </c>
      <c r="L597" s="93">
        <v>155</v>
      </c>
      <c r="M597" s="93" t="s">
        <v>2311</v>
      </c>
      <c r="N597" s="93">
        <f>VLOOKUP(B597,'[16]01.수집 카테고리(List)'!$A$2:$H$64,8,FALSE)</f>
        <v>99991231</v>
      </c>
      <c r="O597" s="93" t="s">
        <v>646</v>
      </c>
    </row>
    <row r="598" spans="1:15" hidden="1">
      <c r="A598" s="75" t="str">
        <f t="shared" si="18"/>
        <v>CACOSTCODishwasherBuilt in Dish washerBuilt in Dish washer</v>
      </c>
      <c r="B598" s="94" t="str">
        <f t="shared" si="19"/>
        <v>CA_COSTCO</v>
      </c>
      <c r="C598" s="93" t="s">
        <v>345</v>
      </c>
      <c r="D598" s="93" t="s">
        <v>350</v>
      </c>
      <c r="E598" s="93" t="s">
        <v>2440</v>
      </c>
      <c r="F598" s="93" t="s">
        <v>2356</v>
      </c>
      <c r="G598" s="93" t="s">
        <v>2356</v>
      </c>
      <c r="H598" s="93" t="e">
        <v>#N/A</v>
      </c>
      <c r="I598" s="105" t="s">
        <v>2310</v>
      </c>
      <c r="J598" s="93" t="s">
        <v>189</v>
      </c>
      <c r="K598" s="93">
        <v>636</v>
      </c>
      <c r="L598" s="93">
        <v>636</v>
      </c>
      <c r="M598" s="93" t="s">
        <v>2311</v>
      </c>
      <c r="N598" s="93">
        <f>VLOOKUP(B598,'[16]01.수집 카테고리(List)'!$A$2:$H$64,8,FALSE)</f>
        <v>99991231</v>
      </c>
      <c r="O598" s="93" t="s">
        <v>646</v>
      </c>
    </row>
    <row r="599" spans="1:15" hidden="1">
      <c r="A599" s="75" t="str">
        <f t="shared" si="18"/>
        <v>CACOSTCODishwasherBuilt under Dish washerBuilt under Dish washer</v>
      </c>
      <c r="B599" s="94" t="str">
        <f t="shared" si="19"/>
        <v>CA_COSTCO</v>
      </c>
      <c r="C599" s="93" t="s">
        <v>345</v>
      </c>
      <c r="D599" s="93" t="s">
        <v>350</v>
      </c>
      <c r="E599" s="93" t="s">
        <v>2440</v>
      </c>
      <c r="F599" s="93" t="s">
        <v>2538</v>
      </c>
      <c r="G599" s="93" t="s">
        <v>2538</v>
      </c>
      <c r="H599" s="93" t="e">
        <v>#N/A</v>
      </c>
      <c r="I599" s="105" t="s">
        <v>2310</v>
      </c>
      <c r="J599" s="93" t="s">
        <v>189</v>
      </c>
      <c r="K599" s="93">
        <v>851</v>
      </c>
      <c r="L599" s="93">
        <v>851</v>
      </c>
      <c r="M599" s="93" t="s">
        <v>2311</v>
      </c>
      <c r="N599" s="93">
        <f>VLOOKUP(B599,'[16]01.수집 카테고리(List)'!$A$2:$H$64,8,FALSE)</f>
        <v>99991231</v>
      </c>
      <c r="O599" s="93" t="s">
        <v>646</v>
      </c>
    </row>
    <row r="600" spans="1:15" hidden="1">
      <c r="A600" s="75" t="str">
        <f t="shared" si="18"/>
        <v>CACOSTCODishwasherFree standing Dish washerFree standing Dish washer</v>
      </c>
      <c r="B600" s="94" t="str">
        <f t="shared" si="19"/>
        <v>CA_COSTCO</v>
      </c>
      <c r="C600" s="93" t="s">
        <v>345</v>
      </c>
      <c r="D600" s="93" t="s">
        <v>350</v>
      </c>
      <c r="E600" s="93" t="s">
        <v>2440</v>
      </c>
      <c r="F600" s="93" t="s">
        <v>2539</v>
      </c>
      <c r="G600" s="93" t="s">
        <v>2539</v>
      </c>
      <c r="H600" s="93" t="e">
        <v>#N/A</v>
      </c>
      <c r="I600" s="105" t="s">
        <v>2310</v>
      </c>
      <c r="J600" s="93" t="s">
        <v>189</v>
      </c>
      <c r="K600" s="93">
        <v>595</v>
      </c>
      <c r="L600" s="93">
        <v>595</v>
      </c>
      <c r="M600" s="93" t="s">
        <v>2311</v>
      </c>
      <c r="N600" s="93">
        <f>VLOOKUP(B600,'[16]01.수집 카테고리(List)'!$A$2:$H$64,8,FALSE)</f>
        <v>99991231</v>
      </c>
      <c r="O600" s="93" t="s">
        <v>646</v>
      </c>
    </row>
    <row r="601" spans="1:15" hidden="1">
      <c r="A601" s="75" t="str">
        <f t="shared" si="18"/>
        <v>CACOSTCOLaptop15inch Laptop15inch Laptop</v>
      </c>
      <c r="B601" s="94" t="str">
        <f t="shared" si="19"/>
        <v>CA_COSTCO</v>
      </c>
      <c r="C601" s="93" t="s">
        <v>345</v>
      </c>
      <c r="D601" s="93" t="s">
        <v>350</v>
      </c>
      <c r="E601" s="93" t="s">
        <v>2407</v>
      </c>
      <c r="F601" s="93" t="s">
        <v>2408</v>
      </c>
      <c r="G601" s="93" t="s">
        <v>2408</v>
      </c>
      <c r="H601" s="93" t="e">
        <v>#N/A</v>
      </c>
      <c r="I601" s="105" t="s">
        <v>2310</v>
      </c>
      <c r="J601" s="93" t="s">
        <v>189</v>
      </c>
      <c r="K601" s="93">
        <v>819</v>
      </c>
      <c r="L601" s="93">
        <v>819</v>
      </c>
      <c r="M601" s="93" t="s">
        <v>2311</v>
      </c>
      <c r="N601" s="93">
        <f>VLOOKUP(B601,'[16]01.수집 카테고리(List)'!$A$2:$H$64,8,FALSE)</f>
        <v>99991231</v>
      </c>
      <c r="O601" s="93" t="s">
        <v>646</v>
      </c>
    </row>
    <row r="602" spans="1:15" hidden="1">
      <c r="A602" s="75" t="str">
        <f t="shared" si="18"/>
        <v>CACOSTCOLaptop17inch Laptop17inch Laptop</v>
      </c>
      <c r="B602" s="94" t="str">
        <f t="shared" si="19"/>
        <v>CA_COSTCO</v>
      </c>
      <c r="C602" s="93" t="s">
        <v>345</v>
      </c>
      <c r="D602" s="93" t="s">
        <v>350</v>
      </c>
      <c r="E602" s="93" t="s">
        <v>2407</v>
      </c>
      <c r="F602" s="93" t="s">
        <v>2409</v>
      </c>
      <c r="G602" s="93" t="s">
        <v>2409</v>
      </c>
      <c r="H602" s="93" t="e">
        <v>#N/A</v>
      </c>
      <c r="I602" s="105" t="s">
        <v>2310</v>
      </c>
      <c r="J602" s="93" t="s">
        <v>189</v>
      </c>
      <c r="K602" s="93">
        <v>768</v>
      </c>
      <c r="L602" s="93">
        <v>768</v>
      </c>
      <c r="M602" s="93" t="s">
        <v>2311</v>
      </c>
      <c r="N602" s="93">
        <f>VLOOKUP(B602,'[16]01.수집 카테고리(List)'!$A$2:$H$64,8,FALSE)</f>
        <v>99991231</v>
      </c>
      <c r="O602" s="93" t="s">
        <v>646</v>
      </c>
    </row>
    <row r="603" spans="1:15" hidden="1">
      <c r="A603" s="75" t="str">
        <f t="shared" si="18"/>
        <v>CACOSTCOLaptopi7 laptopi7 laptop</v>
      </c>
      <c r="B603" s="94" t="str">
        <f t="shared" si="19"/>
        <v>CA_COSTCO</v>
      </c>
      <c r="C603" s="93" t="s">
        <v>345</v>
      </c>
      <c r="D603" s="93" t="s">
        <v>350</v>
      </c>
      <c r="E603" s="93" t="s">
        <v>2407</v>
      </c>
      <c r="F603" s="93" t="s">
        <v>2410</v>
      </c>
      <c r="G603" s="93" t="s">
        <v>2410</v>
      </c>
      <c r="H603" s="93" t="e">
        <v>#N/A</v>
      </c>
      <c r="I603" s="105" t="s">
        <v>2310</v>
      </c>
      <c r="J603" s="93" t="s">
        <v>189</v>
      </c>
      <c r="K603" s="93">
        <v>1582</v>
      </c>
      <c r="L603" s="93">
        <v>1582</v>
      </c>
      <c r="M603" s="93" t="s">
        <v>2311</v>
      </c>
      <c r="N603" s="93">
        <f>VLOOKUP(B603,'[16]01.수집 카테고리(List)'!$A$2:$H$64,8,FALSE)</f>
        <v>99991231</v>
      </c>
      <c r="O603" s="93" t="s">
        <v>646</v>
      </c>
    </row>
    <row r="604" spans="1:15" hidden="1">
      <c r="A604" s="75" t="str">
        <f t="shared" si="18"/>
        <v>CACOSTCOLaptopLaptopLaptop</v>
      </c>
      <c r="B604" s="94" t="str">
        <f t="shared" si="19"/>
        <v>CA_COSTCO</v>
      </c>
      <c r="C604" s="93" t="s">
        <v>345</v>
      </c>
      <c r="D604" s="93" t="s">
        <v>350</v>
      </c>
      <c r="E604" s="93" t="s">
        <v>2407</v>
      </c>
      <c r="F604" s="93" t="s">
        <v>2407</v>
      </c>
      <c r="G604" s="93" t="s">
        <v>2407</v>
      </c>
      <c r="H604" s="93" t="e">
        <v>#N/A</v>
      </c>
      <c r="I604" s="105" t="s">
        <v>2310</v>
      </c>
      <c r="J604" s="93" t="s">
        <v>189</v>
      </c>
      <c r="K604" s="93">
        <v>3828</v>
      </c>
      <c r="L604" s="93">
        <v>3828</v>
      </c>
      <c r="M604" s="93" t="s">
        <v>2311</v>
      </c>
      <c r="N604" s="93">
        <f>VLOOKUP(B604,'[16]01.수집 카테고리(List)'!$A$2:$H$64,8,FALSE)</f>
        <v>99991231</v>
      </c>
      <c r="O604" s="93" t="s">
        <v>646</v>
      </c>
    </row>
    <row r="605" spans="1:15" hidden="1">
      <c r="A605" s="75" t="str">
        <f t="shared" si="18"/>
        <v>CACOSTCOLaptopLightweight LaptopLightweight Laptop</v>
      </c>
      <c r="B605" s="94" t="str">
        <f t="shared" si="19"/>
        <v>CA_COSTCO</v>
      </c>
      <c r="C605" s="93" t="s">
        <v>345</v>
      </c>
      <c r="D605" s="93" t="s">
        <v>350</v>
      </c>
      <c r="E605" s="93" t="s">
        <v>2407</v>
      </c>
      <c r="F605" s="93" t="s">
        <v>2411</v>
      </c>
      <c r="G605" s="93" t="s">
        <v>2411</v>
      </c>
      <c r="H605" s="93" t="e">
        <v>#N/A</v>
      </c>
      <c r="I605" s="105" t="s">
        <v>2310</v>
      </c>
      <c r="J605" s="93" t="s">
        <v>189</v>
      </c>
      <c r="K605" s="93">
        <v>37</v>
      </c>
      <c r="L605" s="93">
        <v>37</v>
      </c>
      <c r="M605" s="93" t="s">
        <v>2311</v>
      </c>
      <c r="N605" s="93">
        <f>VLOOKUP(B605,'[16]01.수집 카테고리(List)'!$A$2:$H$64,8,FALSE)</f>
        <v>99991231</v>
      </c>
      <c r="O605" s="93" t="s">
        <v>646</v>
      </c>
    </row>
    <row r="606" spans="1:15" hidden="1">
      <c r="A606" s="75" t="str">
        <f t="shared" si="18"/>
        <v>CACOSTCOLaptopUltra-light laptopUltra-light laptop</v>
      </c>
      <c r="B606" s="94" t="str">
        <f t="shared" si="19"/>
        <v>CA_COSTCO</v>
      </c>
      <c r="C606" s="93" t="s">
        <v>345</v>
      </c>
      <c r="D606" s="93" t="s">
        <v>350</v>
      </c>
      <c r="E606" s="93" t="s">
        <v>2407</v>
      </c>
      <c r="F606" s="93" t="s">
        <v>2518</v>
      </c>
      <c r="G606" s="93" t="s">
        <v>2518</v>
      </c>
      <c r="H606" s="93" t="e">
        <v>#N/A</v>
      </c>
      <c r="I606" s="105" t="s">
        <v>2310</v>
      </c>
      <c r="J606" s="93" t="s">
        <v>189</v>
      </c>
      <c r="K606" s="93">
        <v>668</v>
      </c>
      <c r="L606" s="93">
        <v>668</v>
      </c>
      <c r="M606" s="93" t="s">
        <v>2311</v>
      </c>
      <c r="N606" s="93">
        <f>VLOOKUP(B606,'[16]01.수집 카테고리(List)'!$A$2:$H$64,8,FALSE)</f>
        <v>99991231</v>
      </c>
      <c r="O606" s="93" t="s">
        <v>646</v>
      </c>
    </row>
    <row r="607" spans="1:15" hidden="1">
      <c r="A607" s="75" t="str">
        <f t="shared" si="18"/>
        <v>CACOSTCOMonitor4k monitor4k monitor</v>
      </c>
      <c r="B607" s="94" t="str">
        <f t="shared" si="19"/>
        <v>CA_COSTCO</v>
      </c>
      <c r="C607" s="93" t="s">
        <v>345</v>
      </c>
      <c r="D607" s="93" t="s">
        <v>350</v>
      </c>
      <c r="E607" s="93" t="s">
        <v>2320</v>
      </c>
      <c r="F607" s="93" t="s">
        <v>2321</v>
      </c>
      <c r="G607" s="93" t="s">
        <v>2321</v>
      </c>
      <c r="H607" s="93" t="e">
        <v>#N/A</v>
      </c>
      <c r="I607" s="105" t="s">
        <v>2310</v>
      </c>
      <c r="J607" s="93" t="s">
        <v>189</v>
      </c>
      <c r="K607" s="93">
        <v>2767</v>
      </c>
      <c r="L607" s="93">
        <v>2767</v>
      </c>
      <c r="M607" s="93" t="s">
        <v>2311</v>
      </c>
      <c r="N607" s="93">
        <f>VLOOKUP(B607,'[16]01.수집 카테고리(List)'!$A$2:$H$64,8,FALSE)</f>
        <v>99991231</v>
      </c>
      <c r="O607" s="93" t="s">
        <v>646</v>
      </c>
    </row>
    <row r="608" spans="1:15" hidden="1">
      <c r="A608" s="75" t="str">
        <f t="shared" si="18"/>
        <v>CACOSTCOMonitorgaming monitorgaming monitor</v>
      </c>
      <c r="B608" s="94" t="str">
        <f t="shared" si="19"/>
        <v>CA_COSTCO</v>
      </c>
      <c r="C608" s="93" t="s">
        <v>345</v>
      </c>
      <c r="D608" s="93" t="s">
        <v>350</v>
      </c>
      <c r="E608" s="93" t="s">
        <v>2320</v>
      </c>
      <c r="F608" s="93" t="s">
        <v>2322</v>
      </c>
      <c r="G608" s="93" t="s">
        <v>2322</v>
      </c>
      <c r="H608" s="93" t="e">
        <v>#N/A</v>
      </c>
      <c r="I608" s="105" t="s">
        <v>2310</v>
      </c>
      <c r="J608" s="93" t="s">
        <v>189</v>
      </c>
      <c r="K608" s="93">
        <v>196</v>
      </c>
      <c r="L608" s="93">
        <v>196</v>
      </c>
      <c r="M608" s="93" t="s">
        <v>2311</v>
      </c>
      <c r="N608" s="93">
        <f>VLOOKUP(B608,'[16]01.수집 카테고리(List)'!$A$2:$H$64,8,FALSE)</f>
        <v>99991231</v>
      </c>
      <c r="O608" s="93" t="s">
        <v>646</v>
      </c>
    </row>
    <row r="609" spans="1:15" hidden="1">
      <c r="A609" s="75" t="str">
        <f t="shared" si="18"/>
        <v>CACOSTCOMonitormonitormonitor</v>
      </c>
      <c r="B609" s="94" t="str">
        <f t="shared" si="19"/>
        <v>CA_COSTCO</v>
      </c>
      <c r="C609" s="93" t="s">
        <v>345</v>
      </c>
      <c r="D609" s="93" t="s">
        <v>350</v>
      </c>
      <c r="E609" s="93" t="s">
        <v>2320</v>
      </c>
      <c r="F609" s="93" t="s">
        <v>2323</v>
      </c>
      <c r="G609" s="93" t="s">
        <v>2323</v>
      </c>
      <c r="H609" s="93" t="e">
        <v>#N/A</v>
      </c>
      <c r="I609" s="105" t="s">
        <v>2310</v>
      </c>
      <c r="J609" s="93" t="s">
        <v>189</v>
      </c>
      <c r="K609" s="93">
        <v>2376</v>
      </c>
      <c r="L609" s="93">
        <v>2376</v>
      </c>
      <c r="M609" s="93" t="s">
        <v>2311</v>
      </c>
      <c r="N609" s="93">
        <f>VLOOKUP(B609,'[16]01.수집 카테고리(List)'!$A$2:$H$64,8,FALSE)</f>
        <v>99991231</v>
      </c>
      <c r="O609" s="93" t="s">
        <v>646</v>
      </c>
    </row>
    <row r="610" spans="1:15" hidden="1">
      <c r="A610" s="75" t="str">
        <f t="shared" si="18"/>
        <v>CACOSTCOMonitoruhd monitoruhd monitor</v>
      </c>
      <c r="B610" s="94" t="str">
        <f t="shared" si="19"/>
        <v>CA_COSTCO</v>
      </c>
      <c r="C610" s="93" t="s">
        <v>345</v>
      </c>
      <c r="D610" s="93" t="s">
        <v>350</v>
      </c>
      <c r="E610" s="93" t="s">
        <v>2320</v>
      </c>
      <c r="F610" s="93" t="s">
        <v>2324</v>
      </c>
      <c r="G610" s="93" t="s">
        <v>2324</v>
      </c>
      <c r="H610" s="93" t="e">
        <v>#N/A</v>
      </c>
      <c r="I610" s="105" t="s">
        <v>2310</v>
      </c>
      <c r="J610" s="93" t="s">
        <v>189</v>
      </c>
      <c r="K610" s="93">
        <v>385</v>
      </c>
      <c r="L610" s="93">
        <v>385</v>
      </c>
      <c r="M610" s="93" t="s">
        <v>2311</v>
      </c>
      <c r="N610" s="93">
        <f>VLOOKUP(B610,'[16]01.수집 카테고리(List)'!$A$2:$H$64,8,FALSE)</f>
        <v>99991231</v>
      </c>
      <c r="O610" s="93" t="s">
        <v>646</v>
      </c>
    </row>
    <row r="611" spans="1:15" hidden="1">
      <c r="A611" s="75" t="str">
        <f t="shared" si="18"/>
        <v>CACOSTCOMonitorultrawide monitorultrawide monitor</v>
      </c>
      <c r="B611" s="94" t="str">
        <f t="shared" si="19"/>
        <v>CA_COSTCO</v>
      </c>
      <c r="C611" s="93" t="s">
        <v>345</v>
      </c>
      <c r="D611" s="93" t="s">
        <v>350</v>
      </c>
      <c r="E611" s="93" t="s">
        <v>2320</v>
      </c>
      <c r="F611" s="93" t="s">
        <v>2325</v>
      </c>
      <c r="G611" s="93" t="s">
        <v>2325</v>
      </c>
      <c r="H611" s="93" t="e">
        <v>#N/A</v>
      </c>
      <c r="I611" s="105" t="s">
        <v>2310</v>
      </c>
      <c r="J611" s="93" t="s">
        <v>189</v>
      </c>
      <c r="K611" s="93">
        <v>15</v>
      </c>
      <c r="L611" s="93">
        <v>15</v>
      </c>
      <c r="M611" s="93" t="s">
        <v>2311</v>
      </c>
      <c r="N611" s="93">
        <f>VLOOKUP(B611,'[16]01.수집 카테고리(List)'!$A$2:$H$64,8,FALSE)</f>
        <v>99991231</v>
      </c>
      <c r="O611" s="93" t="s">
        <v>646</v>
      </c>
    </row>
    <row r="612" spans="1:15" hidden="1">
      <c r="A612" s="75" t="str">
        <f t="shared" si="18"/>
        <v>CACOSTCOOvenCooktopCooktop</v>
      </c>
      <c r="B612" s="94" t="str">
        <f t="shared" si="19"/>
        <v>CA_COSTCO</v>
      </c>
      <c r="C612" s="93" t="s">
        <v>345</v>
      </c>
      <c r="D612" s="93" t="s">
        <v>350</v>
      </c>
      <c r="E612" s="93" t="s">
        <v>2540</v>
      </c>
      <c r="F612" s="93" t="s">
        <v>2541</v>
      </c>
      <c r="G612" s="93" t="s">
        <v>2541</v>
      </c>
      <c r="H612" s="93" t="e">
        <v>#N/A</v>
      </c>
      <c r="I612" s="105" t="s">
        <v>2310</v>
      </c>
      <c r="J612" s="93" t="s">
        <v>189</v>
      </c>
      <c r="K612" s="93">
        <v>4062</v>
      </c>
      <c r="L612" s="93">
        <v>4062</v>
      </c>
      <c r="M612" s="93" t="s">
        <v>2311</v>
      </c>
      <c r="N612" s="93">
        <f>VLOOKUP(B612,'[16]01.수집 카테고리(List)'!$A$2:$H$64,8,FALSE)</f>
        <v>99991231</v>
      </c>
      <c r="O612" s="93" t="s">
        <v>646</v>
      </c>
    </row>
    <row r="613" spans="1:15" hidden="1">
      <c r="A613" s="75" t="str">
        <f t="shared" si="18"/>
        <v>CACOSTCOOvenelectric rangeelectric range</v>
      </c>
      <c r="B613" s="94" t="str">
        <f t="shared" si="19"/>
        <v>CA_COSTCO</v>
      </c>
      <c r="C613" s="93" t="s">
        <v>345</v>
      </c>
      <c r="D613" s="93" t="s">
        <v>350</v>
      </c>
      <c r="E613" s="93" t="s">
        <v>2540</v>
      </c>
      <c r="F613" s="93" t="s">
        <v>2542</v>
      </c>
      <c r="G613" s="93" t="s">
        <v>2542</v>
      </c>
      <c r="H613" s="93" t="e">
        <v>#N/A</v>
      </c>
      <c r="I613" s="105" t="s">
        <v>2310</v>
      </c>
      <c r="J613" s="93" t="s">
        <v>189</v>
      </c>
      <c r="K613" s="93">
        <v>11171</v>
      </c>
      <c r="L613" s="93">
        <v>11171</v>
      </c>
      <c r="M613" s="93" t="s">
        <v>2311</v>
      </c>
      <c r="N613" s="93">
        <f>VLOOKUP(B613,'[16]01.수집 카테고리(List)'!$A$2:$H$64,8,FALSE)</f>
        <v>99991231</v>
      </c>
      <c r="O613" s="93" t="s">
        <v>646</v>
      </c>
    </row>
    <row r="614" spans="1:15" hidden="1">
      <c r="A614" s="75" t="str">
        <f t="shared" si="18"/>
        <v>CACOSTCOOvengas rangegas range</v>
      </c>
      <c r="B614" s="94" t="str">
        <f t="shared" si="19"/>
        <v>CA_COSTCO</v>
      </c>
      <c r="C614" s="93" t="s">
        <v>345</v>
      </c>
      <c r="D614" s="93" t="s">
        <v>350</v>
      </c>
      <c r="E614" s="93" t="s">
        <v>2540</v>
      </c>
      <c r="F614" s="93" t="s">
        <v>2543</v>
      </c>
      <c r="G614" s="93" t="s">
        <v>2543</v>
      </c>
      <c r="H614" s="93" t="e">
        <v>#N/A</v>
      </c>
      <c r="I614" s="105" t="s">
        <v>2310</v>
      </c>
      <c r="J614" s="93" t="s">
        <v>189</v>
      </c>
      <c r="K614" s="93">
        <v>9338</v>
      </c>
      <c r="L614" s="93">
        <v>9338</v>
      </c>
      <c r="M614" s="93" t="s">
        <v>2311</v>
      </c>
      <c r="N614" s="93">
        <f>VLOOKUP(B614,'[16]01.수집 카테고리(List)'!$A$2:$H$64,8,FALSE)</f>
        <v>99991231</v>
      </c>
      <c r="O614" s="93" t="s">
        <v>646</v>
      </c>
    </row>
    <row r="615" spans="1:15" hidden="1">
      <c r="A615" s="75" t="str">
        <f t="shared" si="18"/>
        <v>CACOSTCOOvenWall OvenWall Oven</v>
      </c>
      <c r="B615" s="94" t="str">
        <f t="shared" si="19"/>
        <v>CA_COSTCO</v>
      </c>
      <c r="C615" s="93" t="s">
        <v>345</v>
      </c>
      <c r="D615" s="93" t="s">
        <v>350</v>
      </c>
      <c r="E615" s="93" t="s">
        <v>2540</v>
      </c>
      <c r="F615" s="93" t="s">
        <v>2544</v>
      </c>
      <c r="G615" s="93" t="s">
        <v>2544</v>
      </c>
      <c r="H615" s="93" t="e">
        <v>#N/A</v>
      </c>
      <c r="I615" s="105" t="s">
        <v>2310</v>
      </c>
      <c r="J615" s="93" t="s">
        <v>189</v>
      </c>
      <c r="K615" s="93">
        <v>311</v>
      </c>
      <c r="L615" s="93">
        <v>311</v>
      </c>
      <c r="M615" s="93" t="s">
        <v>2311</v>
      </c>
      <c r="N615" s="93">
        <f>VLOOKUP(B615,'[16]01.수집 카테고리(List)'!$A$2:$H$64,8,FALSE)</f>
        <v>99991231</v>
      </c>
      <c r="O615" s="93" t="s">
        <v>646</v>
      </c>
    </row>
    <row r="616" spans="1:15" hidden="1">
      <c r="A616" s="75" t="str">
        <f t="shared" si="18"/>
        <v>CACOSTCORefrigerator4 door french door refrigerator4 door french door refrigerator</v>
      </c>
      <c r="B616" s="94" t="str">
        <f t="shared" si="19"/>
        <v>CA_COSTCO</v>
      </c>
      <c r="C616" s="93" t="s">
        <v>345</v>
      </c>
      <c r="D616" s="93" t="s">
        <v>350</v>
      </c>
      <c r="E616" s="93" t="s">
        <v>2326</v>
      </c>
      <c r="F616" s="93" t="s">
        <v>2519</v>
      </c>
      <c r="G616" s="93" t="s">
        <v>2519</v>
      </c>
      <c r="H616" s="93" t="e">
        <v>#N/A</v>
      </c>
      <c r="I616" s="105" t="s">
        <v>2310</v>
      </c>
      <c r="J616" s="93" t="s">
        <v>189</v>
      </c>
      <c r="K616" s="93">
        <v>290</v>
      </c>
      <c r="L616" s="93">
        <v>290</v>
      </c>
      <c r="M616" s="93" t="s">
        <v>2311</v>
      </c>
      <c r="N616" s="93">
        <f>VLOOKUP(B616,'[16]01.수집 카테고리(List)'!$A$2:$H$64,8,FALSE)</f>
        <v>99991231</v>
      </c>
      <c r="O616" s="93" t="s">
        <v>646</v>
      </c>
    </row>
    <row r="617" spans="1:15" hidden="1">
      <c r="A617" s="75" t="str">
        <f t="shared" si="18"/>
        <v>CACOSTCORefrigeratorbottom freezer refrigeratorbottom freezer</v>
      </c>
      <c r="B617" s="94" t="str">
        <f t="shared" si="19"/>
        <v>CA_COSTCO</v>
      </c>
      <c r="C617" s="93" t="s">
        <v>345</v>
      </c>
      <c r="D617" s="93" t="s">
        <v>350</v>
      </c>
      <c r="E617" s="93" t="s">
        <v>2326</v>
      </c>
      <c r="F617" s="93" t="s">
        <v>2327</v>
      </c>
      <c r="G617" s="93" t="s">
        <v>2520</v>
      </c>
      <c r="H617" s="93" t="e">
        <v>#N/A</v>
      </c>
      <c r="I617" s="105" t="s">
        <v>2310</v>
      </c>
      <c r="J617" s="93" t="s">
        <v>189</v>
      </c>
      <c r="K617" s="93">
        <v>923</v>
      </c>
      <c r="L617" s="93" t="e">
        <v>#N/A</v>
      </c>
      <c r="M617" s="93" t="s">
        <v>2311</v>
      </c>
      <c r="N617" s="93">
        <f>VLOOKUP(B617,'[16]01.수집 카테고리(List)'!$A$2:$H$64,8,FALSE)</f>
        <v>99991231</v>
      </c>
      <c r="O617" s="93" t="s">
        <v>646</v>
      </c>
    </row>
    <row r="618" spans="1:15" hidden="1">
      <c r="A618" s="75" t="str">
        <f t="shared" si="18"/>
        <v>CACOSTCORefrigeratorcounter depth refrigeratorcounter depth refrigerator</v>
      </c>
      <c r="B618" s="94" t="str">
        <f t="shared" si="19"/>
        <v>CA_COSTCO</v>
      </c>
      <c r="C618" s="93" t="s">
        <v>345</v>
      </c>
      <c r="D618" s="93" t="s">
        <v>350</v>
      </c>
      <c r="E618" s="93" t="s">
        <v>2326</v>
      </c>
      <c r="F618" s="93" t="s">
        <v>2521</v>
      </c>
      <c r="G618" s="93" t="s">
        <v>2521</v>
      </c>
      <c r="H618" s="93" t="e">
        <v>#N/A</v>
      </c>
      <c r="I618" s="105" t="s">
        <v>2310</v>
      </c>
      <c r="J618" s="93" t="s">
        <v>189</v>
      </c>
      <c r="K618" s="93">
        <v>599</v>
      </c>
      <c r="L618" s="93">
        <v>599</v>
      </c>
      <c r="M618" s="93" t="s">
        <v>2311</v>
      </c>
      <c r="N618" s="93">
        <f>VLOOKUP(B618,'[16]01.수집 카테고리(List)'!$A$2:$H$64,8,FALSE)</f>
        <v>99991231</v>
      </c>
      <c r="O618" s="93" t="s">
        <v>646</v>
      </c>
    </row>
    <row r="619" spans="1:15" hidden="1">
      <c r="A619" s="75" t="str">
        <f t="shared" si="18"/>
        <v>CACOSTCORefrigeratorfrench door refrigeratorfrench door refrigerator</v>
      </c>
      <c r="B619" s="94" t="str">
        <f t="shared" si="19"/>
        <v>CA_COSTCO</v>
      </c>
      <c r="C619" s="93" t="s">
        <v>345</v>
      </c>
      <c r="D619" s="93" t="s">
        <v>350</v>
      </c>
      <c r="E619" s="93" t="s">
        <v>2326</v>
      </c>
      <c r="F619" s="93" t="s">
        <v>2328</v>
      </c>
      <c r="G619" s="93" t="s">
        <v>2328</v>
      </c>
      <c r="H619" s="93" t="e">
        <v>#N/A</v>
      </c>
      <c r="I619" s="105" t="s">
        <v>2310</v>
      </c>
      <c r="J619" s="93" t="s">
        <v>189</v>
      </c>
      <c r="K619" s="93">
        <v>1954</v>
      </c>
      <c r="L619" s="93">
        <v>1954</v>
      </c>
      <c r="M619" s="93" t="s">
        <v>2311</v>
      </c>
      <c r="N619" s="93">
        <f>VLOOKUP(B619,'[16]01.수집 카테고리(List)'!$A$2:$H$64,8,FALSE)</f>
        <v>99991231</v>
      </c>
      <c r="O619" s="93" t="s">
        <v>646</v>
      </c>
    </row>
    <row r="620" spans="1:15" hidden="1">
      <c r="A620" s="75" t="str">
        <f t="shared" si="18"/>
        <v>CACOSTCORefrigeratorrefrigeratorrefrigerator</v>
      </c>
      <c r="B620" s="94" t="str">
        <f t="shared" si="19"/>
        <v>CA_COSTCO</v>
      </c>
      <c r="C620" s="93" t="s">
        <v>345</v>
      </c>
      <c r="D620" s="93" t="s">
        <v>350</v>
      </c>
      <c r="E620" s="93" t="s">
        <v>2326</v>
      </c>
      <c r="F620" s="93" t="s">
        <v>2329</v>
      </c>
      <c r="G620" s="93" t="s">
        <v>2329</v>
      </c>
      <c r="H620" s="93" t="e">
        <v>#N/A</v>
      </c>
      <c r="I620" s="105" t="s">
        <v>2310</v>
      </c>
      <c r="J620" s="93" t="s">
        <v>189</v>
      </c>
      <c r="K620" s="93">
        <v>1646</v>
      </c>
      <c r="L620" s="93">
        <v>1646</v>
      </c>
      <c r="M620" s="93" t="s">
        <v>2311</v>
      </c>
      <c r="N620" s="93">
        <f>VLOOKUP(B620,'[16]01.수집 카테고리(List)'!$A$2:$H$64,8,FALSE)</f>
        <v>99991231</v>
      </c>
      <c r="O620" s="93" t="s">
        <v>646</v>
      </c>
    </row>
    <row r="621" spans="1:15" hidden="1">
      <c r="A621" s="75" t="str">
        <f t="shared" si="18"/>
        <v>CACOSTCORefrigeratorside by side refrigeratorside by side refrigerator</v>
      </c>
      <c r="B621" s="94" t="str">
        <f t="shared" si="19"/>
        <v>CA_COSTCO</v>
      </c>
      <c r="C621" s="93" t="s">
        <v>345</v>
      </c>
      <c r="D621" s="93" t="s">
        <v>350</v>
      </c>
      <c r="E621" s="93" t="s">
        <v>2326</v>
      </c>
      <c r="F621" s="93" t="s">
        <v>2330</v>
      </c>
      <c r="G621" s="93" t="s">
        <v>2330</v>
      </c>
      <c r="H621" s="93" t="e">
        <v>#N/A</v>
      </c>
      <c r="I621" s="105" t="s">
        <v>2310</v>
      </c>
      <c r="J621" s="93" t="s">
        <v>189</v>
      </c>
      <c r="K621" s="93">
        <v>2</v>
      </c>
      <c r="L621" s="93">
        <v>2</v>
      </c>
      <c r="M621" s="93" t="s">
        <v>2311</v>
      </c>
      <c r="N621" s="93">
        <f>VLOOKUP(B621,'[16]01.수집 카테고리(List)'!$A$2:$H$64,8,FALSE)</f>
        <v>99991231</v>
      </c>
      <c r="O621" s="93" t="s">
        <v>646</v>
      </c>
    </row>
    <row r="622" spans="1:15" hidden="1">
      <c r="A622" s="75" t="str">
        <f t="shared" si="18"/>
        <v>CACOSTCORefrigeratortop freezer refrigeratortop freezer</v>
      </c>
      <c r="B622" s="94" t="str">
        <f t="shared" si="19"/>
        <v>CA_COSTCO</v>
      </c>
      <c r="C622" s="93" t="s">
        <v>345</v>
      </c>
      <c r="D622" s="93" t="s">
        <v>350</v>
      </c>
      <c r="E622" s="93" t="s">
        <v>2326</v>
      </c>
      <c r="F622" s="93" t="s">
        <v>2332</v>
      </c>
      <c r="G622" s="93" t="s">
        <v>2522</v>
      </c>
      <c r="H622" s="93" t="e">
        <v>#N/A</v>
      </c>
      <c r="I622" s="105" t="s">
        <v>2310</v>
      </c>
      <c r="J622" s="93" t="s">
        <v>189</v>
      </c>
      <c r="K622" s="93">
        <v>326</v>
      </c>
      <c r="L622" s="93" t="e">
        <v>#N/A</v>
      </c>
      <c r="M622" s="93" t="s">
        <v>2311</v>
      </c>
      <c r="N622" s="93">
        <f>VLOOKUP(B622,'[16]01.수집 카테고리(List)'!$A$2:$H$64,8,FALSE)</f>
        <v>99991231</v>
      </c>
      <c r="O622" s="93" t="s">
        <v>646</v>
      </c>
    </row>
    <row r="623" spans="1:15" hidden="1">
      <c r="A623" s="75" t="str">
        <f t="shared" si="18"/>
        <v>CACOSTCOSoundbaraudioaudio</v>
      </c>
      <c r="B623" s="94" t="str">
        <f t="shared" si="19"/>
        <v>CA_COSTCO</v>
      </c>
      <c r="C623" s="93" t="s">
        <v>345</v>
      </c>
      <c r="D623" s="93" t="s">
        <v>350</v>
      </c>
      <c r="E623" s="93" t="s">
        <v>2363</v>
      </c>
      <c r="F623" s="93" t="s">
        <v>2528</v>
      </c>
      <c r="G623" s="93" t="s">
        <v>2528</v>
      </c>
      <c r="H623" s="93" t="e">
        <v>#N/A</v>
      </c>
      <c r="I623" s="105" t="s">
        <v>2310</v>
      </c>
      <c r="J623" s="93" t="s">
        <v>189</v>
      </c>
      <c r="K623" s="93">
        <v>2695</v>
      </c>
      <c r="L623" s="93">
        <v>2695</v>
      </c>
      <c r="M623" s="93" t="s">
        <v>2311</v>
      </c>
      <c r="N623" s="93">
        <f>VLOOKUP(B623,'[16]01.수집 카테고리(List)'!$A$2:$H$64,8,FALSE)</f>
        <v>99991231</v>
      </c>
      <c r="O623" s="93" t="s">
        <v>646</v>
      </c>
    </row>
    <row r="624" spans="1:15" hidden="1">
      <c r="A624" s="75" t="str">
        <f t="shared" si="18"/>
        <v>CACOSTCOSoundbarsound barsound bar</v>
      </c>
      <c r="B624" s="94" t="str">
        <f t="shared" si="19"/>
        <v>CA_COSTCO</v>
      </c>
      <c r="C624" s="93" t="s">
        <v>345</v>
      </c>
      <c r="D624" s="93" t="s">
        <v>350</v>
      </c>
      <c r="E624" s="93" t="s">
        <v>2363</v>
      </c>
      <c r="F624" s="93" t="s">
        <v>2529</v>
      </c>
      <c r="G624" s="93" t="s">
        <v>2529</v>
      </c>
      <c r="H624" s="93" t="e">
        <v>#N/A</v>
      </c>
      <c r="I624" s="105" t="s">
        <v>2310</v>
      </c>
      <c r="J624" s="93" t="s">
        <v>189</v>
      </c>
      <c r="K624" s="93">
        <v>107</v>
      </c>
      <c r="L624" s="93">
        <v>107</v>
      </c>
      <c r="M624" s="93" t="s">
        <v>2311</v>
      </c>
      <c r="N624" s="93">
        <f>VLOOKUP(B624,'[16]01.수집 카테고리(List)'!$A$2:$H$64,8,FALSE)</f>
        <v>99991231</v>
      </c>
      <c r="O624" s="93" t="s">
        <v>646</v>
      </c>
    </row>
    <row r="625" spans="1:15" hidden="1">
      <c r="A625" s="75" t="str">
        <f t="shared" si="18"/>
        <v>CACOSTCOSoundbarsound systemsound system</v>
      </c>
      <c r="B625" s="94" t="str">
        <f t="shared" si="19"/>
        <v>CA_COSTCO</v>
      </c>
      <c r="C625" s="93" t="s">
        <v>345</v>
      </c>
      <c r="D625" s="93" t="s">
        <v>350</v>
      </c>
      <c r="E625" s="93" t="s">
        <v>2363</v>
      </c>
      <c r="F625" s="93" t="s">
        <v>2530</v>
      </c>
      <c r="G625" s="93" t="s">
        <v>2530</v>
      </c>
      <c r="H625" s="93" t="e">
        <v>#N/A</v>
      </c>
      <c r="I625" s="105" t="s">
        <v>2310</v>
      </c>
      <c r="J625" s="93" t="s">
        <v>189</v>
      </c>
      <c r="K625" s="93">
        <v>256</v>
      </c>
      <c r="L625" s="93">
        <v>256</v>
      </c>
      <c r="M625" s="93" t="s">
        <v>2311</v>
      </c>
      <c r="N625" s="93">
        <f>VLOOKUP(B625,'[16]01.수집 카테고리(List)'!$A$2:$H$64,8,FALSE)</f>
        <v>99991231</v>
      </c>
      <c r="O625" s="93" t="s">
        <v>646</v>
      </c>
    </row>
    <row r="626" spans="1:15" hidden="1">
      <c r="A626" s="75" t="str">
        <f t="shared" si="18"/>
        <v>CACOSTCOSoundbarsoundbarssoundbars</v>
      </c>
      <c r="B626" s="94" t="str">
        <f t="shared" si="19"/>
        <v>CA_COSTCO</v>
      </c>
      <c r="C626" s="93" t="s">
        <v>345</v>
      </c>
      <c r="D626" s="93" t="s">
        <v>350</v>
      </c>
      <c r="E626" s="93" t="s">
        <v>2363</v>
      </c>
      <c r="F626" s="93" t="s">
        <v>2531</v>
      </c>
      <c r="G626" s="93" t="s">
        <v>2531</v>
      </c>
      <c r="H626" s="93" t="e">
        <v>#N/A</v>
      </c>
      <c r="I626" s="105" t="s">
        <v>2310</v>
      </c>
      <c r="J626" s="93" t="s">
        <v>189</v>
      </c>
      <c r="K626" s="93">
        <v>319</v>
      </c>
      <c r="L626" s="93">
        <v>319</v>
      </c>
      <c r="M626" s="93" t="s">
        <v>2311</v>
      </c>
      <c r="N626" s="93">
        <f>VLOOKUP(B626,'[16]01.수집 카테고리(List)'!$A$2:$H$64,8,FALSE)</f>
        <v>99991231</v>
      </c>
      <c r="O626" s="93" t="s">
        <v>646</v>
      </c>
    </row>
    <row r="627" spans="1:15" hidden="1">
      <c r="A627" s="75" t="str">
        <f t="shared" si="18"/>
        <v>CACOSTCOSoundbarspeakersspeakers</v>
      </c>
      <c r="B627" s="94" t="str">
        <f t="shared" si="19"/>
        <v>CA_COSTCO</v>
      </c>
      <c r="C627" s="93" t="s">
        <v>345</v>
      </c>
      <c r="D627" s="93" t="s">
        <v>350</v>
      </c>
      <c r="E627" s="93" t="s">
        <v>2363</v>
      </c>
      <c r="F627" s="93" t="s">
        <v>2471</v>
      </c>
      <c r="G627" s="93" t="s">
        <v>2471</v>
      </c>
      <c r="H627" s="93" t="e">
        <v>#N/A</v>
      </c>
      <c r="I627" s="105" t="s">
        <v>2310</v>
      </c>
      <c r="J627" s="93" t="s">
        <v>189</v>
      </c>
      <c r="K627" s="93">
        <v>1732</v>
      </c>
      <c r="L627" s="93">
        <v>1732</v>
      </c>
      <c r="M627" s="93" t="s">
        <v>2311</v>
      </c>
      <c r="N627" s="93">
        <f>VLOOKUP(B627,'[16]01.수집 카테고리(List)'!$A$2:$H$64,8,FALSE)</f>
        <v>99991231</v>
      </c>
      <c r="O627" s="93" t="s">
        <v>646</v>
      </c>
    </row>
    <row r="628" spans="1:15" hidden="1">
      <c r="A628" s="75" t="str">
        <f t="shared" si="18"/>
        <v>CACOSTCOTV4k TV4k TV</v>
      </c>
      <c r="B628" s="94" t="str">
        <f t="shared" si="19"/>
        <v>CA_COSTCO</v>
      </c>
      <c r="C628" s="93" t="s">
        <v>345</v>
      </c>
      <c r="D628" s="93" t="s">
        <v>350</v>
      </c>
      <c r="E628" s="93" t="s">
        <v>161</v>
      </c>
      <c r="F628" s="93" t="s">
        <v>2368</v>
      </c>
      <c r="G628" s="93" t="s">
        <v>2368</v>
      </c>
      <c r="H628" s="93" t="e">
        <v>#N/A</v>
      </c>
      <c r="I628" s="105" t="s">
        <v>2310</v>
      </c>
      <c r="J628" s="93" t="s">
        <v>189</v>
      </c>
      <c r="K628" s="93">
        <v>2786</v>
      </c>
      <c r="L628" s="93">
        <v>2786</v>
      </c>
      <c r="M628" s="93" t="s">
        <v>2311</v>
      </c>
      <c r="N628" s="93">
        <f>VLOOKUP(B628,'[16]01.수집 카테고리(List)'!$A$2:$H$64,8,FALSE)</f>
        <v>99991231</v>
      </c>
      <c r="O628" s="93" t="s">
        <v>646</v>
      </c>
    </row>
    <row r="629" spans="1:15" hidden="1">
      <c r="A629" s="75" t="str">
        <f t="shared" si="18"/>
        <v>CACOSTCOTVoled TVoled TV</v>
      </c>
      <c r="B629" s="94" t="str">
        <f t="shared" si="19"/>
        <v>CA_COSTCO</v>
      </c>
      <c r="C629" s="93" t="s">
        <v>345</v>
      </c>
      <c r="D629" s="93" t="s">
        <v>350</v>
      </c>
      <c r="E629" s="93" t="s">
        <v>161</v>
      </c>
      <c r="F629" s="93" t="s">
        <v>2369</v>
      </c>
      <c r="G629" s="93" t="s">
        <v>2369</v>
      </c>
      <c r="H629" s="93" t="e">
        <v>#N/A</v>
      </c>
      <c r="I629" s="105" t="s">
        <v>2310</v>
      </c>
      <c r="J629" s="93" t="s">
        <v>189</v>
      </c>
      <c r="K629" s="93">
        <v>230</v>
      </c>
      <c r="L629" s="93">
        <v>230</v>
      </c>
      <c r="M629" s="93" t="s">
        <v>2311</v>
      </c>
      <c r="N629" s="93">
        <f>VLOOKUP(B629,'[16]01.수집 카테고리(List)'!$A$2:$H$64,8,FALSE)</f>
        <v>99991231</v>
      </c>
      <c r="O629" s="93" t="s">
        <v>646</v>
      </c>
    </row>
    <row r="630" spans="1:15" hidden="1">
      <c r="A630" s="75" t="str">
        <f t="shared" si="18"/>
        <v>CACOSTCOTVsmart TVsmart TV</v>
      </c>
      <c r="B630" s="94" t="str">
        <f t="shared" si="19"/>
        <v>CA_COSTCO</v>
      </c>
      <c r="C630" s="93" t="s">
        <v>345</v>
      </c>
      <c r="D630" s="93" t="s">
        <v>350</v>
      </c>
      <c r="E630" s="93" t="s">
        <v>161</v>
      </c>
      <c r="F630" s="93" t="s">
        <v>2371</v>
      </c>
      <c r="G630" s="93" t="s">
        <v>2371</v>
      </c>
      <c r="H630" s="93" t="e">
        <v>#N/A</v>
      </c>
      <c r="I630" s="105" t="s">
        <v>2310</v>
      </c>
      <c r="J630" s="93" t="s">
        <v>189</v>
      </c>
      <c r="K630" s="93">
        <v>2303</v>
      </c>
      <c r="L630" s="93">
        <v>2303</v>
      </c>
      <c r="M630" s="93" t="s">
        <v>2311</v>
      </c>
      <c r="N630" s="93">
        <f>VLOOKUP(B630,'[16]01.수집 카테고리(List)'!$A$2:$H$64,8,FALSE)</f>
        <v>99991231</v>
      </c>
      <c r="O630" s="93" t="s">
        <v>646</v>
      </c>
    </row>
    <row r="631" spans="1:15" hidden="1">
      <c r="A631" s="75" t="str">
        <f t="shared" si="18"/>
        <v>CACOSTCOTVTVTV</v>
      </c>
      <c r="B631" s="94" t="str">
        <f t="shared" si="19"/>
        <v>CA_COSTCO</v>
      </c>
      <c r="C631" s="93" t="s">
        <v>345</v>
      </c>
      <c r="D631" s="93" t="s">
        <v>350</v>
      </c>
      <c r="E631" s="93" t="s">
        <v>161</v>
      </c>
      <c r="F631" s="93" t="s">
        <v>161</v>
      </c>
      <c r="G631" s="93" t="s">
        <v>161</v>
      </c>
      <c r="H631" s="93" t="e">
        <v>#N/A</v>
      </c>
      <c r="I631" s="105" t="s">
        <v>2310</v>
      </c>
      <c r="J631" s="93" t="s">
        <v>189</v>
      </c>
      <c r="K631" s="93">
        <v>3144</v>
      </c>
      <c r="L631" s="93">
        <v>3144</v>
      </c>
      <c r="M631" s="93" t="s">
        <v>2311</v>
      </c>
      <c r="N631" s="93">
        <f>VLOOKUP(B631,'[16]01.수집 카테고리(List)'!$A$2:$H$64,8,FALSE)</f>
        <v>99991231</v>
      </c>
      <c r="O631" s="93" t="s">
        <v>646</v>
      </c>
    </row>
    <row r="632" spans="1:15" hidden="1">
      <c r="A632" s="75" t="str">
        <f t="shared" si="18"/>
        <v>CACOSTCOTVuhd TVuhd TV</v>
      </c>
      <c r="B632" s="94" t="str">
        <f t="shared" si="19"/>
        <v>CA_COSTCO</v>
      </c>
      <c r="C632" s="93" t="s">
        <v>345</v>
      </c>
      <c r="D632" s="93" t="s">
        <v>350</v>
      </c>
      <c r="E632" s="93" t="s">
        <v>161</v>
      </c>
      <c r="F632" s="93" t="s">
        <v>2399</v>
      </c>
      <c r="G632" s="93" t="s">
        <v>2399</v>
      </c>
      <c r="H632" s="93" t="e">
        <v>#N/A</v>
      </c>
      <c r="I632" s="105" t="s">
        <v>2310</v>
      </c>
      <c r="J632" s="93" t="s">
        <v>189</v>
      </c>
      <c r="K632" s="93">
        <v>924</v>
      </c>
      <c r="L632" s="93">
        <v>924</v>
      </c>
      <c r="M632" s="93" t="s">
        <v>2311</v>
      </c>
      <c r="N632" s="93">
        <f>VLOOKUP(B632,'[16]01.수집 카테고리(List)'!$A$2:$H$64,8,FALSE)</f>
        <v>99991231</v>
      </c>
      <c r="O632" s="93" t="s">
        <v>646</v>
      </c>
    </row>
    <row r="633" spans="1:15" hidden="1">
      <c r="A633" s="75" t="str">
        <f t="shared" si="18"/>
        <v>CACOSTCOWashing Machinefront loaderfront load washer</v>
      </c>
      <c r="B633" s="94" t="str">
        <f t="shared" si="19"/>
        <v>CA_COSTCO</v>
      </c>
      <c r="C633" s="93" t="s">
        <v>345</v>
      </c>
      <c r="D633" s="93" t="s">
        <v>350</v>
      </c>
      <c r="E633" s="93" t="s">
        <v>2333</v>
      </c>
      <c r="F633" s="93" t="s">
        <v>2334</v>
      </c>
      <c r="G633" s="93" t="s">
        <v>2335</v>
      </c>
      <c r="H633" s="93" t="e">
        <v>#N/A</v>
      </c>
      <c r="I633" s="105" t="s">
        <v>2310</v>
      </c>
      <c r="J633" s="93" t="s">
        <v>189</v>
      </c>
      <c r="K633" s="93">
        <v>151</v>
      </c>
      <c r="L633" s="93" t="e">
        <v>#N/A</v>
      </c>
      <c r="M633" s="93" t="s">
        <v>2311</v>
      </c>
      <c r="N633" s="93">
        <f>VLOOKUP(B633,'[16]01.수집 카테고리(List)'!$A$2:$H$64,8,FALSE)</f>
        <v>99991231</v>
      </c>
      <c r="O633" s="93" t="s">
        <v>646</v>
      </c>
    </row>
    <row r="634" spans="1:15" hidden="1">
      <c r="A634" s="75" t="str">
        <f t="shared" si="18"/>
        <v>CACOSTCOWashing Machinetop loadertop load washer</v>
      </c>
      <c r="B634" s="94" t="str">
        <f t="shared" si="19"/>
        <v>CA_COSTCO</v>
      </c>
      <c r="C634" s="93" t="s">
        <v>345</v>
      </c>
      <c r="D634" s="93" t="s">
        <v>350</v>
      </c>
      <c r="E634" s="93" t="s">
        <v>2333</v>
      </c>
      <c r="F634" s="93" t="s">
        <v>2336</v>
      </c>
      <c r="G634" s="93" t="s">
        <v>2337</v>
      </c>
      <c r="H634" s="93" t="e">
        <v>#N/A</v>
      </c>
      <c r="I634" s="105" t="s">
        <v>2310</v>
      </c>
      <c r="J634" s="93" t="s">
        <v>189</v>
      </c>
      <c r="K634" s="93">
        <v>67</v>
      </c>
      <c r="L634" s="93" t="e">
        <v>#N/A</v>
      </c>
      <c r="M634" s="93" t="s">
        <v>2311</v>
      </c>
      <c r="N634" s="93">
        <f>VLOOKUP(B634,'[16]01.수집 카테고리(List)'!$A$2:$H$64,8,FALSE)</f>
        <v>99991231</v>
      </c>
      <c r="O634" s="93" t="s">
        <v>646</v>
      </c>
    </row>
    <row r="635" spans="1:15" hidden="1">
      <c r="A635" s="75" t="str">
        <f t="shared" si="18"/>
        <v>CACOSTCOWashing Machinewashing machinewasher</v>
      </c>
      <c r="B635" s="94" t="str">
        <f t="shared" si="19"/>
        <v>CA_COSTCO</v>
      </c>
      <c r="C635" s="93" t="s">
        <v>345</v>
      </c>
      <c r="D635" s="93" t="s">
        <v>350</v>
      </c>
      <c r="E635" s="93" t="s">
        <v>2333</v>
      </c>
      <c r="F635" s="93" t="s">
        <v>2340</v>
      </c>
      <c r="G635" s="93" t="s">
        <v>2523</v>
      </c>
      <c r="H635" s="93" t="e">
        <v>#N/A</v>
      </c>
      <c r="I635" s="105" t="s">
        <v>2310</v>
      </c>
      <c r="J635" s="93" t="s">
        <v>189</v>
      </c>
      <c r="K635" s="93">
        <v>2053</v>
      </c>
      <c r="L635" s="93" t="e">
        <v>#N/A</v>
      </c>
      <c r="M635" s="93" t="s">
        <v>2311</v>
      </c>
      <c r="N635" s="93">
        <f>VLOOKUP(B635,'[16]01.수집 카테고리(List)'!$A$2:$H$64,8,FALSE)</f>
        <v>99991231</v>
      </c>
      <c r="O635" s="93" t="s">
        <v>646</v>
      </c>
    </row>
    <row r="636" spans="1:15" hidden="1">
      <c r="A636" s="75" t="str">
        <f t="shared" si="18"/>
        <v>CACOSTCOWashing Machinewasher dryer combowasher dryer combo</v>
      </c>
      <c r="B636" s="94" t="str">
        <f t="shared" si="19"/>
        <v>CA_COSTCO</v>
      </c>
      <c r="C636" s="93" t="s">
        <v>345</v>
      </c>
      <c r="D636" s="93" t="s">
        <v>350</v>
      </c>
      <c r="E636" s="93" t="s">
        <v>2333</v>
      </c>
      <c r="F636" s="93" t="s">
        <v>2338</v>
      </c>
      <c r="G636" s="93" t="s">
        <v>2338</v>
      </c>
      <c r="H636" s="93" t="e">
        <v>#N/A</v>
      </c>
      <c r="I636" s="105" t="s">
        <v>2310</v>
      </c>
      <c r="J636" s="93" t="s">
        <v>189</v>
      </c>
      <c r="K636" s="93">
        <v>623</v>
      </c>
      <c r="L636" s="93">
        <v>623</v>
      </c>
      <c r="M636" s="93" t="s">
        <v>2311</v>
      </c>
      <c r="N636" s="93">
        <f>VLOOKUP(B636,'[16]01.수집 카테고리(List)'!$A$2:$H$64,8,FALSE)</f>
        <v>99991231</v>
      </c>
      <c r="O636" s="93" t="s">
        <v>646</v>
      </c>
    </row>
    <row r="637" spans="1:15" hidden="1">
      <c r="A637" s="75" t="str">
        <f t="shared" si="18"/>
        <v>CACOSTCOWIRELESS HEADSETBluetooth earbudsBluetooth earbuds</v>
      </c>
      <c r="B637" s="94" t="str">
        <f t="shared" si="19"/>
        <v>CA_COSTCO</v>
      </c>
      <c r="C637" s="93" t="s">
        <v>345</v>
      </c>
      <c r="D637" s="93" t="s">
        <v>350</v>
      </c>
      <c r="E637" s="93" t="s">
        <v>2201</v>
      </c>
      <c r="F637" s="93" t="s">
        <v>2382</v>
      </c>
      <c r="G637" s="93" t="s">
        <v>2382</v>
      </c>
      <c r="H637" s="93" t="e">
        <v>#N/A</v>
      </c>
      <c r="I637" s="105" t="s">
        <v>2310</v>
      </c>
      <c r="J637" s="93" t="s">
        <v>189</v>
      </c>
      <c r="K637" s="93">
        <v>124</v>
      </c>
      <c r="L637" s="93">
        <v>124</v>
      </c>
      <c r="M637" s="93" t="s">
        <v>2311</v>
      </c>
      <c r="N637" s="93">
        <f>VLOOKUP(B637,'[16]01.수집 카테고리(List)'!$A$2:$H$64,8,FALSE)</f>
        <v>99991231</v>
      </c>
      <c r="O637" s="93" t="s">
        <v>646</v>
      </c>
    </row>
    <row r="638" spans="1:15" hidden="1">
      <c r="A638" s="75" t="str">
        <f t="shared" si="18"/>
        <v>CACOSTCOWIRELESS HEADSETBluetooth HeadphonesBluetooth Headphones</v>
      </c>
      <c r="B638" s="94" t="str">
        <f t="shared" si="19"/>
        <v>CA_COSTCO</v>
      </c>
      <c r="C638" s="93" t="s">
        <v>345</v>
      </c>
      <c r="D638" s="93" t="s">
        <v>350</v>
      </c>
      <c r="E638" s="93" t="s">
        <v>2201</v>
      </c>
      <c r="F638" s="93" t="s">
        <v>2533</v>
      </c>
      <c r="G638" s="93" t="s">
        <v>2533</v>
      </c>
      <c r="H638" s="93" t="e">
        <v>#N/A</v>
      </c>
      <c r="I638" s="105" t="s">
        <v>2310</v>
      </c>
      <c r="J638" s="93" t="s">
        <v>189</v>
      </c>
      <c r="K638" s="93">
        <v>821</v>
      </c>
      <c r="L638" s="93">
        <v>821</v>
      </c>
      <c r="M638" s="93" t="s">
        <v>2311</v>
      </c>
      <c r="N638" s="93">
        <f>VLOOKUP(B638,'[16]01.수집 카테고리(List)'!$A$2:$H$64,8,FALSE)</f>
        <v>99991231</v>
      </c>
      <c r="O638" s="93" t="s">
        <v>646</v>
      </c>
    </row>
    <row r="639" spans="1:15" hidden="1">
      <c r="A639" s="75" t="str">
        <f t="shared" si="18"/>
        <v>CACOSTCOWIRELESS HEADSETEar budsEar buds</v>
      </c>
      <c r="B639" s="94" t="str">
        <f t="shared" si="19"/>
        <v>CA_COSTCO</v>
      </c>
      <c r="C639" s="93" t="s">
        <v>345</v>
      </c>
      <c r="D639" s="93" t="s">
        <v>350</v>
      </c>
      <c r="E639" s="93" t="s">
        <v>2201</v>
      </c>
      <c r="F639" s="93" t="s">
        <v>2380</v>
      </c>
      <c r="G639" s="93" t="s">
        <v>2380</v>
      </c>
      <c r="H639" s="93" t="e">
        <v>#N/A</v>
      </c>
      <c r="I639" s="105" t="s">
        <v>2310</v>
      </c>
      <c r="J639" s="93" t="s">
        <v>189</v>
      </c>
      <c r="K639" s="93">
        <v>1712</v>
      </c>
      <c r="L639" s="93">
        <v>1712</v>
      </c>
      <c r="M639" s="93" t="s">
        <v>2311</v>
      </c>
      <c r="N639" s="93">
        <f>VLOOKUP(B639,'[16]01.수집 카테고리(List)'!$A$2:$H$64,8,FALSE)</f>
        <v>99991231</v>
      </c>
      <c r="O639" s="93" t="s">
        <v>646</v>
      </c>
    </row>
    <row r="640" spans="1:15" hidden="1">
      <c r="A640" s="75" t="str">
        <f t="shared" si="18"/>
        <v>CACOSTCOWIRELESS HEADSETEarbudsEarbuds</v>
      </c>
      <c r="B640" s="94" t="str">
        <f t="shared" si="19"/>
        <v>CA_COSTCO</v>
      </c>
      <c r="C640" s="93" t="s">
        <v>345</v>
      </c>
      <c r="D640" s="93" t="s">
        <v>350</v>
      </c>
      <c r="E640" s="93" t="s">
        <v>2201</v>
      </c>
      <c r="F640" s="93" t="s">
        <v>2534</v>
      </c>
      <c r="G640" s="93" t="s">
        <v>2534</v>
      </c>
      <c r="H640" s="93" t="e">
        <v>#N/A</v>
      </c>
      <c r="I640" s="105" t="s">
        <v>2310</v>
      </c>
      <c r="J640" s="93" t="s">
        <v>189</v>
      </c>
      <c r="K640" s="93">
        <v>7</v>
      </c>
      <c r="L640" s="93">
        <v>7</v>
      </c>
      <c r="M640" s="93" t="s">
        <v>2311</v>
      </c>
      <c r="N640" s="93">
        <f>VLOOKUP(B640,'[16]01.수집 카테고리(List)'!$A$2:$H$64,8,FALSE)</f>
        <v>99991231</v>
      </c>
      <c r="O640" s="93" t="s">
        <v>646</v>
      </c>
    </row>
    <row r="641" spans="1:15" hidden="1">
      <c r="A641" s="75" t="str">
        <f t="shared" si="18"/>
        <v>CACOSTCOWIRELESS HEADSETWireless earbudsWireless earbuds</v>
      </c>
      <c r="B641" s="94" t="str">
        <f t="shared" si="19"/>
        <v>CA_COSTCO</v>
      </c>
      <c r="C641" s="93" t="s">
        <v>345</v>
      </c>
      <c r="D641" s="93" t="s">
        <v>350</v>
      </c>
      <c r="E641" s="93" t="s">
        <v>2201</v>
      </c>
      <c r="F641" s="93" t="s">
        <v>2376</v>
      </c>
      <c r="G641" s="93" t="s">
        <v>2376</v>
      </c>
      <c r="H641" s="93" t="e">
        <v>#N/A</v>
      </c>
      <c r="I641" s="105" t="s">
        <v>2310</v>
      </c>
      <c r="J641" s="93" t="s">
        <v>189</v>
      </c>
      <c r="K641" s="93">
        <v>6</v>
      </c>
      <c r="L641" s="93">
        <v>6</v>
      </c>
      <c r="M641" s="93" t="s">
        <v>2311</v>
      </c>
      <c r="N641" s="93">
        <f>VLOOKUP(B641,'[16]01.수집 카테고리(List)'!$A$2:$H$64,8,FALSE)</f>
        <v>99991231</v>
      </c>
      <c r="O641" s="93" t="s">
        <v>646</v>
      </c>
    </row>
    <row r="642" spans="1:15" s="81" customFormat="1" hidden="1">
      <c r="A642" s="81" t="str">
        <f t="shared" si="18"/>
        <v>CACOSTCOAir Conditionerair conditionerair conditioner</v>
      </c>
      <c r="B642" s="106" t="str">
        <f t="shared" si="19"/>
        <v>CA_COSTCO</v>
      </c>
      <c r="C642" s="107" t="s">
        <v>345</v>
      </c>
      <c r="D642" s="107" t="s">
        <v>350</v>
      </c>
      <c r="E642" s="107" t="s">
        <v>2524</v>
      </c>
      <c r="F642" s="107" t="s">
        <v>2347</v>
      </c>
      <c r="G642" s="107" t="s">
        <v>2347</v>
      </c>
      <c r="H642" s="93" t="e">
        <v>#N/A</v>
      </c>
      <c r="I642" s="99">
        <v>46076</v>
      </c>
      <c r="J642" s="83" t="s">
        <v>189</v>
      </c>
      <c r="K642" s="107"/>
      <c r="L642" s="107"/>
      <c r="M642" s="107"/>
      <c r="N642" s="107"/>
      <c r="O642" s="107"/>
    </row>
    <row r="643" spans="1:15" s="81" customFormat="1" hidden="1">
      <c r="A643" s="81" t="str">
        <f t="shared" si="18"/>
        <v>CACOSTCOAir Conditionerinverter air conditionerinverter air conditioner</v>
      </c>
      <c r="B643" s="106" t="str">
        <f t="shared" si="19"/>
        <v>CA_COSTCO</v>
      </c>
      <c r="C643" s="107" t="s">
        <v>345</v>
      </c>
      <c r="D643" s="107" t="s">
        <v>350</v>
      </c>
      <c r="E643" s="107" t="s">
        <v>2524</v>
      </c>
      <c r="F643" s="107" t="s">
        <v>2348</v>
      </c>
      <c r="G643" s="107" t="s">
        <v>2348</v>
      </c>
      <c r="H643" s="93" t="e">
        <v>#N/A</v>
      </c>
      <c r="I643" s="99">
        <v>46076</v>
      </c>
      <c r="J643" s="83" t="s">
        <v>189</v>
      </c>
      <c r="K643" s="107"/>
      <c r="L643" s="107"/>
      <c r="M643" s="107"/>
      <c r="N643" s="107"/>
      <c r="O643" s="107"/>
    </row>
    <row r="644" spans="1:15" s="81" customFormat="1" hidden="1">
      <c r="A644" s="81" t="str">
        <f t="shared" si="18"/>
        <v>CACOSTCOAir Conditionerportable air conditionerportable air conditioner</v>
      </c>
      <c r="B644" s="106" t="str">
        <f t="shared" si="19"/>
        <v>CA_COSTCO</v>
      </c>
      <c r="C644" s="107" t="s">
        <v>345</v>
      </c>
      <c r="D644" s="107" t="s">
        <v>350</v>
      </c>
      <c r="E644" s="107" t="s">
        <v>2524</v>
      </c>
      <c r="F644" s="107" t="s">
        <v>2349</v>
      </c>
      <c r="G644" s="107" t="s">
        <v>2349</v>
      </c>
      <c r="H644" s="93" t="e">
        <v>#N/A</v>
      </c>
      <c r="I644" s="99">
        <v>46076</v>
      </c>
      <c r="J644" s="83" t="s">
        <v>189</v>
      </c>
      <c r="K644" s="107"/>
      <c r="L644" s="107"/>
      <c r="M644" s="107"/>
      <c r="N644" s="107"/>
      <c r="O644" s="107"/>
    </row>
    <row r="645" spans="1:15" s="81" customFormat="1" hidden="1">
      <c r="A645" s="81" t="str">
        <f t="shared" si="18"/>
        <v>CACOSTCOAir Conditionerwindow air conditionerwindow air conditioner</v>
      </c>
      <c r="B645" s="106" t="str">
        <f t="shared" si="19"/>
        <v>CA_COSTCO</v>
      </c>
      <c r="C645" s="107" t="s">
        <v>345</v>
      </c>
      <c r="D645" s="107" t="s">
        <v>350</v>
      </c>
      <c r="E645" s="107" t="s">
        <v>2524</v>
      </c>
      <c r="F645" s="107" t="s">
        <v>2350</v>
      </c>
      <c r="G645" s="107" t="s">
        <v>2350</v>
      </c>
      <c r="H645" s="93" t="e">
        <v>#N/A</v>
      </c>
      <c r="I645" s="99">
        <v>46076</v>
      </c>
      <c r="J645" s="83" t="s">
        <v>189</v>
      </c>
      <c r="K645" s="107"/>
      <c r="L645" s="107"/>
      <c r="M645" s="107"/>
      <c r="N645" s="107"/>
      <c r="O645" s="107"/>
    </row>
    <row r="646" spans="1:15" s="81" customFormat="1" hidden="1">
      <c r="A646" s="81" t="str">
        <f t="shared" si="18"/>
        <v>CACOSTCODryerDryerDryer</v>
      </c>
      <c r="B646" s="106" t="str">
        <f t="shared" si="19"/>
        <v>CA_COSTCO</v>
      </c>
      <c r="C646" s="107" t="s">
        <v>345</v>
      </c>
      <c r="D646" s="107" t="s">
        <v>350</v>
      </c>
      <c r="E646" s="107" t="s">
        <v>2535</v>
      </c>
      <c r="F646" s="107" t="s">
        <v>2431</v>
      </c>
      <c r="G646" s="107" t="s">
        <v>2431</v>
      </c>
      <c r="H646" s="93" t="e">
        <v>#N/A</v>
      </c>
      <c r="I646" s="99">
        <v>46076</v>
      </c>
      <c r="J646" s="83" t="s">
        <v>189</v>
      </c>
      <c r="K646" s="107"/>
      <c r="L646" s="107"/>
      <c r="M646" s="107"/>
      <c r="N646" s="107"/>
      <c r="O646" s="107"/>
    </row>
    <row r="647" spans="1:15" s="81" customFormat="1" hidden="1">
      <c r="A647" s="81" t="str">
        <f t="shared" si="18"/>
        <v>CACOSTCODryerheatpump  Electric dryer</v>
      </c>
      <c r="B647" s="106" t="str">
        <f t="shared" si="19"/>
        <v>CA_COSTCO</v>
      </c>
      <c r="C647" s="107" t="s">
        <v>345</v>
      </c>
      <c r="D647" s="107" t="s">
        <v>350</v>
      </c>
      <c r="E647" s="107" t="s">
        <v>2535</v>
      </c>
      <c r="F647" s="107" t="s">
        <v>2432</v>
      </c>
      <c r="G647" s="107" t="s">
        <v>2536</v>
      </c>
      <c r="H647" s="93" t="e">
        <v>#N/A</v>
      </c>
      <c r="I647" s="99">
        <v>46076</v>
      </c>
      <c r="J647" s="83" t="s">
        <v>189</v>
      </c>
      <c r="K647" s="107"/>
      <c r="L647" s="107"/>
      <c r="M647" s="107"/>
      <c r="N647" s="107"/>
      <c r="O647" s="107"/>
    </row>
    <row r="648" spans="1:15" s="81" customFormat="1" hidden="1">
      <c r="A648" s="81" t="str">
        <f t="shared" si="18"/>
        <v>CACOSTCODryerLG DryerGas dryer</v>
      </c>
      <c r="B648" s="106" t="str">
        <f t="shared" si="19"/>
        <v>CA_COSTCO</v>
      </c>
      <c r="C648" s="107" t="s">
        <v>345</v>
      </c>
      <c r="D648" s="107" t="s">
        <v>350</v>
      </c>
      <c r="E648" s="107" t="s">
        <v>2535</v>
      </c>
      <c r="F648" s="107" t="s">
        <v>2434</v>
      </c>
      <c r="G648" s="107" t="s">
        <v>2537</v>
      </c>
      <c r="H648" s="93" t="e">
        <v>#N/A</v>
      </c>
      <c r="I648" s="99">
        <v>46076</v>
      </c>
      <c r="J648" s="83" t="s">
        <v>189</v>
      </c>
      <c r="K648" s="107"/>
      <c r="L648" s="107"/>
      <c r="M648" s="107"/>
      <c r="N648" s="107"/>
      <c r="O648" s="107"/>
    </row>
    <row r="649" spans="1:15" hidden="1">
      <c r="A649" s="75" t="str">
        <f t="shared" si="18"/>
        <v>CAHOMEDEPOTAir Conditionerair conditionerair conditioner</v>
      </c>
      <c r="B649" s="94" t="str">
        <f t="shared" si="19"/>
        <v>CA_HOMEDEPOT</v>
      </c>
      <c r="C649" s="93" t="s">
        <v>345</v>
      </c>
      <c r="D649" s="93" t="s">
        <v>352</v>
      </c>
      <c r="E649" s="93" t="s">
        <v>2346</v>
      </c>
      <c r="F649" s="93" t="s">
        <v>2347</v>
      </c>
      <c r="G649" s="93" t="s">
        <v>2347</v>
      </c>
      <c r="H649" s="93" t="e">
        <v>#N/A</v>
      </c>
      <c r="I649" s="105" t="s">
        <v>2310</v>
      </c>
      <c r="J649" s="93" t="s">
        <v>189</v>
      </c>
      <c r="K649" s="93">
        <v>37</v>
      </c>
      <c r="L649" s="93">
        <v>37</v>
      </c>
      <c r="M649" s="93" t="s">
        <v>2311</v>
      </c>
      <c r="N649" s="93">
        <f>VLOOKUP(B649,'[16]01.수집 카테고리(List)'!$A$2:$H$64,8,FALSE)</f>
        <v>99991231</v>
      </c>
      <c r="O649" s="93" t="s">
        <v>646</v>
      </c>
    </row>
    <row r="650" spans="1:15" hidden="1">
      <c r="A650" s="75" t="str">
        <f t="shared" ref="A650:A713" si="20">C650&amp;D650&amp;E650&amp;F650&amp;G650</f>
        <v>CAHOMEDEPOTAir Conditionerinverter air conditionerinverter air conditioner</v>
      </c>
      <c r="B650" s="94" t="str">
        <f t="shared" ref="B650:B713" si="21">C650&amp;"_"&amp;D650</f>
        <v>CA_HOMEDEPOT</v>
      </c>
      <c r="C650" s="93" t="s">
        <v>345</v>
      </c>
      <c r="D650" s="93" t="s">
        <v>352</v>
      </c>
      <c r="E650" s="93" t="s">
        <v>2346</v>
      </c>
      <c r="F650" s="93" t="s">
        <v>2348</v>
      </c>
      <c r="G650" s="93" t="s">
        <v>2348</v>
      </c>
      <c r="H650" s="93" t="e">
        <v>#N/A</v>
      </c>
      <c r="I650" s="105" t="s">
        <v>2310</v>
      </c>
      <c r="J650" s="93" t="s">
        <v>189</v>
      </c>
      <c r="K650" s="93">
        <v>224</v>
      </c>
      <c r="L650" s="93">
        <v>224</v>
      </c>
      <c r="M650" s="93" t="s">
        <v>2311</v>
      </c>
      <c r="N650" s="93">
        <f>VLOOKUP(B650,'[16]01.수집 카테고리(List)'!$A$2:$H$64,8,FALSE)</f>
        <v>99991231</v>
      </c>
      <c r="O650" s="93" t="s">
        <v>646</v>
      </c>
    </row>
    <row r="651" spans="1:15" hidden="1">
      <c r="A651" s="75" t="str">
        <f t="shared" si="20"/>
        <v>CAHOMEDEPOTAir Conditionerportable air conditionerportable air conditioner</v>
      </c>
      <c r="B651" s="94" t="str">
        <f t="shared" si="21"/>
        <v>CA_HOMEDEPOT</v>
      </c>
      <c r="C651" s="93" t="s">
        <v>345</v>
      </c>
      <c r="D651" s="93" t="s">
        <v>352</v>
      </c>
      <c r="E651" s="93" t="s">
        <v>2346</v>
      </c>
      <c r="F651" s="93" t="s">
        <v>2349</v>
      </c>
      <c r="G651" s="93" t="s">
        <v>2349</v>
      </c>
      <c r="H651" s="93" t="e">
        <v>#N/A</v>
      </c>
      <c r="I651" s="105" t="s">
        <v>2310</v>
      </c>
      <c r="J651" s="93" t="s">
        <v>189</v>
      </c>
      <c r="K651" s="93">
        <v>634</v>
      </c>
      <c r="L651" s="93">
        <v>634</v>
      </c>
      <c r="M651" s="93" t="s">
        <v>2311</v>
      </c>
      <c r="N651" s="93">
        <f>VLOOKUP(B651,'[16]01.수집 카테고리(List)'!$A$2:$H$64,8,FALSE)</f>
        <v>99991231</v>
      </c>
      <c r="O651" s="93" t="s">
        <v>646</v>
      </c>
    </row>
    <row r="652" spans="1:15" hidden="1">
      <c r="A652" s="75" t="str">
        <f t="shared" si="20"/>
        <v>CAHOMEDEPOTAir Conditionerwindow air conditionerwindow air conditioner</v>
      </c>
      <c r="B652" s="94" t="str">
        <f t="shared" si="21"/>
        <v>CA_HOMEDEPOT</v>
      </c>
      <c r="C652" s="93" t="s">
        <v>345</v>
      </c>
      <c r="D652" s="93" t="s">
        <v>352</v>
      </c>
      <c r="E652" s="93" t="s">
        <v>2346</v>
      </c>
      <c r="F652" s="93" t="s">
        <v>2350</v>
      </c>
      <c r="G652" s="93" t="s">
        <v>2350</v>
      </c>
      <c r="H652" s="93" t="e">
        <v>#N/A</v>
      </c>
      <c r="I652" s="105" t="s">
        <v>2310</v>
      </c>
      <c r="J652" s="93" t="s">
        <v>189</v>
      </c>
      <c r="K652" s="93">
        <v>103</v>
      </c>
      <c r="L652" s="93">
        <v>103</v>
      </c>
      <c r="M652" s="93" t="s">
        <v>2311</v>
      </c>
      <c r="N652" s="93">
        <f>VLOOKUP(B652,'[16]01.수집 카테고리(List)'!$A$2:$H$64,8,FALSE)</f>
        <v>99991231</v>
      </c>
      <c r="O652" s="93" t="s">
        <v>646</v>
      </c>
    </row>
    <row r="653" spans="1:15" hidden="1">
      <c r="A653" s="75" t="str">
        <f t="shared" si="20"/>
        <v>CAHOMEDEPOTDishwasherBuilt in Dish washerBuilt in Dish washer</v>
      </c>
      <c r="B653" s="94" t="str">
        <f t="shared" si="21"/>
        <v>CA_HOMEDEPOT</v>
      </c>
      <c r="C653" s="93" t="s">
        <v>345</v>
      </c>
      <c r="D653" s="93" t="s">
        <v>352</v>
      </c>
      <c r="E653" s="93" t="s">
        <v>2440</v>
      </c>
      <c r="F653" s="93" t="s">
        <v>2356</v>
      </c>
      <c r="G653" s="93" t="s">
        <v>2356</v>
      </c>
      <c r="H653" s="93" t="e">
        <v>#N/A</v>
      </c>
      <c r="I653" s="105" t="s">
        <v>2310</v>
      </c>
      <c r="J653" s="93" t="s">
        <v>189</v>
      </c>
      <c r="K653" s="93">
        <v>319</v>
      </c>
      <c r="L653" s="93">
        <v>319</v>
      </c>
      <c r="M653" s="93" t="s">
        <v>2311</v>
      </c>
      <c r="N653" s="93">
        <f>VLOOKUP(B653,'[16]01.수집 카테고리(List)'!$A$2:$H$64,8,FALSE)</f>
        <v>99991231</v>
      </c>
      <c r="O653" s="93" t="s">
        <v>646</v>
      </c>
    </row>
    <row r="654" spans="1:15" hidden="1">
      <c r="A654" s="75" t="str">
        <f t="shared" si="20"/>
        <v>CAHOMEDEPOTDishwasherBuilt under Dish washerBuilt under Dish washer</v>
      </c>
      <c r="B654" s="94" t="str">
        <f t="shared" si="21"/>
        <v>CA_HOMEDEPOT</v>
      </c>
      <c r="C654" s="93" t="s">
        <v>345</v>
      </c>
      <c r="D654" s="93" t="s">
        <v>352</v>
      </c>
      <c r="E654" s="93" t="s">
        <v>2440</v>
      </c>
      <c r="F654" s="93" t="s">
        <v>2538</v>
      </c>
      <c r="G654" s="93" t="s">
        <v>2538</v>
      </c>
      <c r="H654" s="93" t="e">
        <v>#N/A</v>
      </c>
      <c r="I654" s="105" t="s">
        <v>2310</v>
      </c>
      <c r="J654" s="93" t="s">
        <v>189</v>
      </c>
      <c r="K654" s="93">
        <v>200</v>
      </c>
      <c r="L654" s="93">
        <v>200</v>
      </c>
      <c r="M654" s="93" t="s">
        <v>2311</v>
      </c>
      <c r="N654" s="93">
        <f>VLOOKUP(B654,'[16]01.수집 카테고리(List)'!$A$2:$H$64,8,FALSE)</f>
        <v>99991231</v>
      </c>
      <c r="O654" s="93" t="s">
        <v>646</v>
      </c>
    </row>
    <row r="655" spans="1:15" hidden="1">
      <c r="A655" s="75" t="str">
        <f t="shared" si="20"/>
        <v>CAHOMEDEPOTDishwasherFree standing Dish washerFree standing Dish washer</v>
      </c>
      <c r="B655" s="94" t="str">
        <f t="shared" si="21"/>
        <v>CA_HOMEDEPOT</v>
      </c>
      <c r="C655" s="93" t="s">
        <v>345</v>
      </c>
      <c r="D655" s="93" t="s">
        <v>352</v>
      </c>
      <c r="E655" s="93" t="s">
        <v>2440</v>
      </c>
      <c r="F655" s="93" t="s">
        <v>2539</v>
      </c>
      <c r="G655" s="93" t="s">
        <v>2539</v>
      </c>
      <c r="H655" s="93" t="e">
        <v>#N/A</v>
      </c>
      <c r="I655" s="105" t="s">
        <v>2310</v>
      </c>
      <c r="J655" s="93" t="s">
        <v>189</v>
      </c>
      <c r="K655" s="93">
        <v>189</v>
      </c>
      <c r="L655" s="93">
        <v>189</v>
      </c>
      <c r="M655" s="93" t="s">
        <v>2311</v>
      </c>
      <c r="N655" s="93">
        <f>VLOOKUP(B655,'[16]01.수집 카테고리(List)'!$A$2:$H$64,8,FALSE)</f>
        <v>99991231</v>
      </c>
      <c r="O655" s="93" t="s">
        <v>646</v>
      </c>
    </row>
    <row r="656" spans="1:15" hidden="1">
      <c r="A656" s="75" t="str">
        <f t="shared" si="20"/>
        <v>CAHOMEDEPOTOvenCooktopCooktop</v>
      </c>
      <c r="B656" s="94" t="str">
        <f t="shared" si="21"/>
        <v>CA_HOMEDEPOT</v>
      </c>
      <c r="C656" s="93" t="s">
        <v>345</v>
      </c>
      <c r="D656" s="93" t="s">
        <v>352</v>
      </c>
      <c r="E656" s="93" t="s">
        <v>2540</v>
      </c>
      <c r="F656" s="93" t="s">
        <v>2541</v>
      </c>
      <c r="G656" s="93" t="s">
        <v>2541</v>
      </c>
      <c r="H656" s="93" t="e">
        <v>#N/A</v>
      </c>
      <c r="I656" s="105" t="s">
        <v>2310</v>
      </c>
      <c r="J656" s="93" t="s">
        <v>189</v>
      </c>
      <c r="K656" s="93">
        <v>1752</v>
      </c>
      <c r="L656" s="93">
        <v>1752</v>
      </c>
      <c r="M656" s="93" t="s">
        <v>2311</v>
      </c>
      <c r="N656" s="93">
        <f>VLOOKUP(B656,'[16]01.수집 카테고리(List)'!$A$2:$H$64,8,FALSE)</f>
        <v>99991231</v>
      </c>
      <c r="O656" s="93" t="s">
        <v>646</v>
      </c>
    </row>
    <row r="657" spans="1:15" hidden="1">
      <c r="A657" s="75" t="str">
        <f t="shared" si="20"/>
        <v>CAHOMEDEPOTOvenelectric rangeelectric range</v>
      </c>
      <c r="B657" s="94" t="str">
        <f t="shared" si="21"/>
        <v>CA_HOMEDEPOT</v>
      </c>
      <c r="C657" s="93" t="s">
        <v>345</v>
      </c>
      <c r="D657" s="93" t="s">
        <v>352</v>
      </c>
      <c r="E657" s="93" t="s">
        <v>2540</v>
      </c>
      <c r="F657" s="93" t="s">
        <v>2542</v>
      </c>
      <c r="G657" s="93" t="s">
        <v>2542</v>
      </c>
      <c r="H657" s="93" t="e">
        <v>#N/A</v>
      </c>
      <c r="I657" s="105" t="s">
        <v>2310</v>
      </c>
      <c r="J657" s="93" t="s">
        <v>189</v>
      </c>
      <c r="K657" s="93">
        <v>9435</v>
      </c>
      <c r="L657" s="93">
        <v>9435</v>
      </c>
      <c r="M657" s="93" t="s">
        <v>2311</v>
      </c>
      <c r="N657" s="93">
        <f>VLOOKUP(B657,'[16]01.수집 카테고리(List)'!$A$2:$H$64,8,FALSE)</f>
        <v>99991231</v>
      </c>
      <c r="O657" s="93" t="s">
        <v>646</v>
      </c>
    </row>
    <row r="658" spans="1:15" hidden="1">
      <c r="A658" s="75" t="str">
        <f t="shared" si="20"/>
        <v>CAHOMEDEPOTOvengas rangegas range</v>
      </c>
      <c r="B658" s="94" t="str">
        <f t="shared" si="21"/>
        <v>CA_HOMEDEPOT</v>
      </c>
      <c r="C658" s="93" t="s">
        <v>345</v>
      </c>
      <c r="D658" s="93" t="s">
        <v>352</v>
      </c>
      <c r="E658" s="93" t="s">
        <v>2540</v>
      </c>
      <c r="F658" s="93" t="s">
        <v>2543</v>
      </c>
      <c r="G658" s="93" t="s">
        <v>2543</v>
      </c>
      <c r="H658" s="93" t="e">
        <v>#N/A</v>
      </c>
      <c r="I658" s="105" t="s">
        <v>2310</v>
      </c>
      <c r="J658" s="93" t="s">
        <v>189</v>
      </c>
      <c r="K658" s="93">
        <v>57073</v>
      </c>
      <c r="L658" s="93">
        <v>57073</v>
      </c>
      <c r="M658" s="93" t="s">
        <v>2311</v>
      </c>
      <c r="N658" s="93">
        <f>VLOOKUP(B658,'[16]01.수집 카테고리(List)'!$A$2:$H$64,8,FALSE)</f>
        <v>99991231</v>
      </c>
      <c r="O658" s="93" t="s">
        <v>646</v>
      </c>
    </row>
    <row r="659" spans="1:15" hidden="1">
      <c r="A659" s="75" t="str">
        <f t="shared" si="20"/>
        <v>CAHOMEDEPOTOvenWall OvenWall Oven</v>
      </c>
      <c r="B659" s="94" t="str">
        <f t="shared" si="21"/>
        <v>CA_HOMEDEPOT</v>
      </c>
      <c r="C659" s="93" t="s">
        <v>345</v>
      </c>
      <c r="D659" s="93" t="s">
        <v>352</v>
      </c>
      <c r="E659" s="93" t="s">
        <v>2540</v>
      </c>
      <c r="F659" s="93" t="s">
        <v>2544</v>
      </c>
      <c r="G659" s="93" t="s">
        <v>2544</v>
      </c>
      <c r="H659" s="93" t="e">
        <v>#N/A</v>
      </c>
      <c r="I659" s="105" t="s">
        <v>2310</v>
      </c>
      <c r="J659" s="93" t="s">
        <v>189</v>
      </c>
      <c r="K659" s="93">
        <v>6841</v>
      </c>
      <c r="L659" s="93">
        <v>6841</v>
      </c>
      <c r="M659" s="93" t="s">
        <v>2311</v>
      </c>
      <c r="N659" s="93">
        <f>VLOOKUP(B659,'[16]01.수집 카테고리(List)'!$A$2:$H$64,8,FALSE)</f>
        <v>99991231</v>
      </c>
      <c r="O659" s="93" t="s">
        <v>646</v>
      </c>
    </row>
    <row r="660" spans="1:15" hidden="1">
      <c r="A660" s="75" t="str">
        <f t="shared" si="20"/>
        <v>CAHOMEDEPOTRefrigerator4 door french door refrigerator4 door french door refrigerator</v>
      </c>
      <c r="B660" s="94" t="str">
        <f t="shared" si="21"/>
        <v>CA_HOMEDEPOT</v>
      </c>
      <c r="C660" s="93" t="s">
        <v>345</v>
      </c>
      <c r="D660" s="93" t="s">
        <v>352</v>
      </c>
      <c r="E660" s="93" t="s">
        <v>2326</v>
      </c>
      <c r="F660" s="93" t="s">
        <v>2519</v>
      </c>
      <c r="G660" s="93" t="s">
        <v>2519</v>
      </c>
      <c r="H660" s="93" t="e">
        <v>#N/A</v>
      </c>
      <c r="I660" s="105" t="s">
        <v>2310</v>
      </c>
      <c r="J660" s="93" t="s">
        <v>189</v>
      </c>
      <c r="K660" s="93">
        <v>80</v>
      </c>
      <c r="L660" s="93">
        <v>80</v>
      </c>
      <c r="M660" s="93" t="s">
        <v>2311</v>
      </c>
      <c r="N660" s="93">
        <f>VLOOKUP(B660,'[16]01.수집 카테고리(List)'!$A$2:$H$64,8,FALSE)</f>
        <v>99991231</v>
      </c>
      <c r="O660" s="93" t="s">
        <v>646</v>
      </c>
    </row>
    <row r="661" spans="1:15" hidden="1">
      <c r="A661" s="75" t="str">
        <f t="shared" si="20"/>
        <v>CAHOMEDEPOTRefrigeratorbottom freezer refrigeratorbottom freezer</v>
      </c>
      <c r="B661" s="94" t="str">
        <f t="shared" si="21"/>
        <v>CA_HOMEDEPOT</v>
      </c>
      <c r="C661" s="93" t="s">
        <v>345</v>
      </c>
      <c r="D661" s="93" t="s">
        <v>352</v>
      </c>
      <c r="E661" s="93" t="s">
        <v>2326</v>
      </c>
      <c r="F661" s="93" t="s">
        <v>2327</v>
      </c>
      <c r="G661" s="93" t="s">
        <v>2520</v>
      </c>
      <c r="H661" s="93" t="e">
        <v>#N/A</v>
      </c>
      <c r="I661" s="105" t="s">
        <v>2310</v>
      </c>
      <c r="J661" s="93" t="s">
        <v>189</v>
      </c>
      <c r="K661" s="93">
        <v>359</v>
      </c>
      <c r="L661" s="93" t="e">
        <v>#N/A</v>
      </c>
      <c r="M661" s="93" t="s">
        <v>2311</v>
      </c>
      <c r="N661" s="93">
        <f>VLOOKUP(B661,'[16]01.수집 카테고리(List)'!$A$2:$H$64,8,FALSE)</f>
        <v>99991231</v>
      </c>
      <c r="O661" s="93" t="s">
        <v>646</v>
      </c>
    </row>
    <row r="662" spans="1:15" hidden="1">
      <c r="A662" s="75" t="str">
        <f t="shared" si="20"/>
        <v>CAHOMEDEPOTRefrigeratorcounter depth refrigeratorcounter depth refrigerator</v>
      </c>
      <c r="B662" s="94" t="str">
        <f t="shared" si="21"/>
        <v>CA_HOMEDEPOT</v>
      </c>
      <c r="C662" s="93" t="s">
        <v>345</v>
      </c>
      <c r="D662" s="93" t="s">
        <v>352</v>
      </c>
      <c r="E662" s="93" t="s">
        <v>2326</v>
      </c>
      <c r="F662" s="93" t="s">
        <v>2521</v>
      </c>
      <c r="G662" s="93" t="s">
        <v>2521</v>
      </c>
      <c r="H662" s="93" t="e">
        <v>#N/A</v>
      </c>
      <c r="I662" s="105" t="s">
        <v>2310</v>
      </c>
      <c r="J662" s="93" t="s">
        <v>189</v>
      </c>
      <c r="K662" s="93">
        <v>142</v>
      </c>
      <c r="L662" s="93">
        <v>142</v>
      </c>
      <c r="M662" s="93" t="s">
        <v>2311</v>
      </c>
      <c r="N662" s="93">
        <f>VLOOKUP(B662,'[16]01.수집 카테고리(List)'!$A$2:$H$64,8,FALSE)</f>
        <v>99991231</v>
      </c>
      <c r="O662" s="93" t="s">
        <v>646</v>
      </c>
    </row>
    <row r="663" spans="1:15" hidden="1">
      <c r="A663" s="75" t="str">
        <f t="shared" si="20"/>
        <v>CAHOMEDEPOTRefrigeratorfrench door refrigeratorfrench door refrigerator</v>
      </c>
      <c r="B663" s="94" t="str">
        <f t="shared" si="21"/>
        <v>CA_HOMEDEPOT</v>
      </c>
      <c r="C663" s="93" t="s">
        <v>345</v>
      </c>
      <c r="D663" s="93" t="s">
        <v>352</v>
      </c>
      <c r="E663" s="93" t="s">
        <v>2326</v>
      </c>
      <c r="F663" s="93" t="s">
        <v>2328</v>
      </c>
      <c r="G663" s="93" t="s">
        <v>2328</v>
      </c>
      <c r="H663" s="93" t="e">
        <v>#N/A</v>
      </c>
      <c r="I663" s="105" t="s">
        <v>2310</v>
      </c>
      <c r="J663" s="93" t="s">
        <v>189</v>
      </c>
      <c r="K663" s="93">
        <v>581</v>
      </c>
      <c r="L663" s="93">
        <v>581</v>
      </c>
      <c r="M663" s="93" t="s">
        <v>2311</v>
      </c>
      <c r="N663" s="93">
        <f>VLOOKUP(B663,'[16]01.수집 카테고리(List)'!$A$2:$H$64,8,FALSE)</f>
        <v>99991231</v>
      </c>
      <c r="O663" s="93" t="s">
        <v>646</v>
      </c>
    </row>
    <row r="664" spans="1:15" hidden="1">
      <c r="A664" s="75" t="str">
        <f t="shared" si="20"/>
        <v>CAHOMEDEPOTRefrigeratorside by side refrigeratorside by side refrigerator</v>
      </c>
      <c r="B664" s="94" t="str">
        <f t="shared" si="21"/>
        <v>CA_HOMEDEPOT</v>
      </c>
      <c r="C664" s="93" t="s">
        <v>345</v>
      </c>
      <c r="D664" s="93" t="s">
        <v>352</v>
      </c>
      <c r="E664" s="93" t="s">
        <v>2326</v>
      </c>
      <c r="F664" s="93" t="s">
        <v>2330</v>
      </c>
      <c r="G664" s="93" t="s">
        <v>2330</v>
      </c>
      <c r="H664" s="93" t="e">
        <v>#N/A</v>
      </c>
      <c r="I664" s="105" t="s">
        <v>2310</v>
      </c>
      <c r="J664" s="93" t="s">
        <v>189</v>
      </c>
      <c r="K664" s="93">
        <v>40</v>
      </c>
      <c r="L664" s="93">
        <v>40</v>
      </c>
      <c r="M664" s="93" t="s">
        <v>2311</v>
      </c>
      <c r="N664" s="93">
        <f>VLOOKUP(B664,'[16]01.수집 카테고리(List)'!$A$2:$H$64,8,FALSE)</f>
        <v>99991231</v>
      </c>
      <c r="O664" s="93" t="s">
        <v>646</v>
      </c>
    </row>
    <row r="665" spans="1:15" hidden="1">
      <c r="A665" s="75" t="str">
        <f t="shared" si="20"/>
        <v>CAHOMEDEPOTRefrigeratortop freezer refrigeratortop freezer</v>
      </c>
      <c r="B665" s="94" t="str">
        <f t="shared" si="21"/>
        <v>CA_HOMEDEPOT</v>
      </c>
      <c r="C665" s="93" t="s">
        <v>345</v>
      </c>
      <c r="D665" s="93" t="s">
        <v>352</v>
      </c>
      <c r="E665" s="93" t="s">
        <v>2326</v>
      </c>
      <c r="F665" s="93" t="s">
        <v>2332</v>
      </c>
      <c r="G665" s="93" t="s">
        <v>2522</v>
      </c>
      <c r="H665" s="93" t="e">
        <v>#N/A</v>
      </c>
      <c r="I665" s="105" t="s">
        <v>2310</v>
      </c>
      <c r="J665" s="93" t="s">
        <v>189</v>
      </c>
      <c r="K665" s="93">
        <v>604</v>
      </c>
      <c r="L665" s="93" t="e">
        <v>#N/A</v>
      </c>
      <c r="M665" s="93" t="s">
        <v>2311</v>
      </c>
      <c r="N665" s="93">
        <f>VLOOKUP(B665,'[16]01.수집 카테고리(List)'!$A$2:$H$64,8,FALSE)</f>
        <v>99991231</v>
      </c>
      <c r="O665" s="93" t="s">
        <v>646</v>
      </c>
    </row>
    <row r="666" spans="1:15" hidden="1">
      <c r="A666" s="75" t="str">
        <f t="shared" si="20"/>
        <v>CAHOMEDEPOTWashing Machinefront loaderfront load washer</v>
      </c>
      <c r="B666" s="94" t="str">
        <f t="shared" si="21"/>
        <v>CA_HOMEDEPOT</v>
      </c>
      <c r="C666" s="93" t="s">
        <v>345</v>
      </c>
      <c r="D666" s="93" t="s">
        <v>352</v>
      </c>
      <c r="E666" s="93" t="s">
        <v>2333</v>
      </c>
      <c r="F666" s="93" t="s">
        <v>2334</v>
      </c>
      <c r="G666" s="93" t="s">
        <v>2335</v>
      </c>
      <c r="H666" s="93" t="e">
        <v>#N/A</v>
      </c>
      <c r="I666" s="105" t="s">
        <v>2310</v>
      </c>
      <c r="J666" s="93" t="s">
        <v>189</v>
      </c>
      <c r="K666" s="93">
        <v>388</v>
      </c>
      <c r="L666" s="93" t="e">
        <v>#N/A</v>
      </c>
      <c r="M666" s="93" t="s">
        <v>2311</v>
      </c>
      <c r="N666" s="93">
        <f>VLOOKUP(B666,'[16]01.수집 카테고리(List)'!$A$2:$H$64,8,FALSE)</f>
        <v>99991231</v>
      </c>
      <c r="O666" s="93" t="s">
        <v>646</v>
      </c>
    </row>
    <row r="667" spans="1:15" hidden="1">
      <c r="A667" s="75" t="str">
        <f t="shared" si="20"/>
        <v>CAHOMEDEPOTWashing Machinetop loadertop load washer</v>
      </c>
      <c r="B667" s="94" t="str">
        <f t="shared" si="21"/>
        <v>CA_HOMEDEPOT</v>
      </c>
      <c r="C667" s="93" t="s">
        <v>345</v>
      </c>
      <c r="D667" s="93" t="s">
        <v>352</v>
      </c>
      <c r="E667" s="93" t="s">
        <v>2333</v>
      </c>
      <c r="F667" s="93" t="s">
        <v>2336</v>
      </c>
      <c r="G667" s="93" t="s">
        <v>2337</v>
      </c>
      <c r="H667" s="93" t="e">
        <v>#N/A</v>
      </c>
      <c r="I667" s="105" t="s">
        <v>2310</v>
      </c>
      <c r="J667" s="93" t="s">
        <v>189</v>
      </c>
      <c r="K667" s="93">
        <v>99</v>
      </c>
      <c r="L667" s="93" t="e">
        <v>#N/A</v>
      </c>
      <c r="M667" s="93" t="s">
        <v>2311</v>
      </c>
      <c r="N667" s="93">
        <f>VLOOKUP(B667,'[16]01.수집 카테고리(List)'!$A$2:$H$64,8,FALSE)</f>
        <v>99991231</v>
      </c>
      <c r="O667" s="93" t="s">
        <v>646</v>
      </c>
    </row>
    <row r="668" spans="1:15" hidden="1">
      <c r="A668" s="75" t="str">
        <f t="shared" si="20"/>
        <v>CAHOMEDEPOTWashing Machinewashing machinewasher</v>
      </c>
      <c r="B668" s="94" t="str">
        <f t="shared" si="21"/>
        <v>CA_HOMEDEPOT</v>
      </c>
      <c r="C668" s="93" t="s">
        <v>345</v>
      </c>
      <c r="D668" s="93" t="s">
        <v>352</v>
      </c>
      <c r="E668" s="93" t="s">
        <v>2333</v>
      </c>
      <c r="F668" s="93" t="s">
        <v>2340</v>
      </c>
      <c r="G668" s="93" t="s">
        <v>2523</v>
      </c>
      <c r="H668" s="93" t="e">
        <v>#N/A</v>
      </c>
      <c r="I668" s="105" t="s">
        <v>2310</v>
      </c>
      <c r="J668" s="93" t="s">
        <v>189</v>
      </c>
      <c r="K668" s="93">
        <v>1916</v>
      </c>
      <c r="L668" s="93" t="e">
        <v>#N/A</v>
      </c>
      <c r="M668" s="93" t="s">
        <v>2311</v>
      </c>
      <c r="N668" s="93">
        <f>VLOOKUP(B668,'[16]01.수집 카테고리(List)'!$A$2:$H$64,8,FALSE)</f>
        <v>99991231</v>
      </c>
      <c r="O668" s="93" t="s">
        <v>646</v>
      </c>
    </row>
    <row r="669" spans="1:15" hidden="1">
      <c r="A669" s="75" t="str">
        <f t="shared" si="20"/>
        <v>CAHOMEDEPOTWashing Machinewasher dryer combowasher dryer combo</v>
      </c>
      <c r="B669" s="94" t="str">
        <f t="shared" si="21"/>
        <v>CA_HOMEDEPOT</v>
      </c>
      <c r="C669" s="93" t="s">
        <v>345</v>
      </c>
      <c r="D669" s="93" t="s">
        <v>352</v>
      </c>
      <c r="E669" s="93" t="s">
        <v>2333</v>
      </c>
      <c r="F669" s="93" t="s">
        <v>2338</v>
      </c>
      <c r="G669" s="93" t="s">
        <v>2338</v>
      </c>
      <c r="H669" s="93" t="e">
        <v>#N/A</v>
      </c>
      <c r="I669" s="105" t="s">
        <v>2310</v>
      </c>
      <c r="J669" s="93" t="s">
        <v>189</v>
      </c>
      <c r="K669" s="93">
        <v>1285</v>
      </c>
      <c r="L669" s="93">
        <v>1285</v>
      </c>
      <c r="M669" s="93" t="s">
        <v>2311</v>
      </c>
      <c r="N669" s="93">
        <f>VLOOKUP(B669,'[16]01.수집 카테고리(List)'!$A$2:$H$64,8,FALSE)</f>
        <v>99991231</v>
      </c>
      <c r="O669" s="93" t="s">
        <v>646</v>
      </c>
    </row>
    <row r="670" spans="1:15" s="81" customFormat="1" hidden="1">
      <c r="A670" s="81" t="str">
        <f t="shared" si="20"/>
        <v>CAHOMEDEPOTTV4k TV4k TV</v>
      </c>
      <c r="B670" s="106" t="str">
        <f t="shared" si="21"/>
        <v>CA_HOMEDEPOT</v>
      </c>
      <c r="C670" s="107" t="s">
        <v>345</v>
      </c>
      <c r="D670" s="107" t="s">
        <v>352</v>
      </c>
      <c r="E670" s="107" t="s">
        <v>2448</v>
      </c>
      <c r="F670" s="107" t="s">
        <v>2368</v>
      </c>
      <c r="G670" s="107" t="s">
        <v>2368</v>
      </c>
      <c r="H670" s="93" t="e">
        <v>#N/A</v>
      </c>
      <c r="I670" s="99">
        <v>46076</v>
      </c>
      <c r="J670" s="83" t="s">
        <v>189</v>
      </c>
      <c r="K670" s="107"/>
      <c r="L670" s="107"/>
      <c r="M670" s="107"/>
      <c r="N670" s="107"/>
      <c r="O670" s="107"/>
    </row>
    <row r="671" spans="1:15" s="81" customFormat="1" hidden="1">
      <c r="A671" s="81" t="str">
        <f t="shared" si="20"/>
        <v>CAHOMEDEPOTTVoled TVoled TV</v>
      </c>
      <c r="B671" s="106" t="str">
        <f t="shared" si="21"/>
        <v>CA_HOMEDEPOT</v>
      </c>
      <c r="C671" s="107" t="s">
        <v>345</v>
      </c>
      <c r="D671" s="107" t="s">
        <v>352</v>
      </c>
      <c r="E671" s="107" t="s">
        <v>2448</v>
      </c>
      <c r="F671" s="107" t="s">
        <v>2369</v>
      </c>
      <c r="G671" s="107" t="s">
        <v>2369</v>
      </c>
      <c r="H671" s="93" t="e">
        <v>#N/A</v>
      </c>
      <c r="I671" s="99">
        <v>46076</v>
      </c>
      <c r="J671" s="83" t="s">
        <v>189</v>
      </c>
      <c r="K671" s="107"/>
      <c r="L671" s="107"/>
      <c r="M671" s="107"/>
      <c r="N671" s="107"/>
      <c r="O671" s="107"/>
    </row>
    <row r="672" spans="1:15" s="81" customFormat="1" hidden="1">
      <c r="A672" s="81" t="str">
        <f t="shared" si="20"/>
        <v>CAHOMEDEPOTTVsmart TVsmart TV</v>
      </c>
      <c r="B672" s="106" t="str">
        <f t="shared" si="21"/>
        <v>CA_HOMEDEPOT</v>
      </c>
      <c r="C672" s="107" t="s">
        <v>345</v>
      </c>
      <c r="D672" s="107" t="s">
        <v>352</v>
      </c>
      <c r="E672" s="107" t="s">
        <v>2448</v>
      </c>
      <c r="F672" s="107" t="s">
        <v>2371</v>
      </c>
      <c r="G672" s="107" t="s">
        <v>2371</v>
      </c>
      <c r="H672" s="93" t="e">
        <v>#N/A</v>
      </c>
      <c r="I672" s="99">
        <v>46076</v>
      </c>
      <c r="J672" s="83" t="s">
        <v>189</v>
      </c>
      <c r="K672" s="107"/>
      <c r="L672" s="107"/>
      <c r="M672" s="107"/>
      <c r="N672" s="107"/>
      <c r="O672" s="107"/>
    </row>
    <row r="673" spans="1:15" s="81" customFormat="1" hidden="1">
      <c r="A673" s="81" t="str">
        <f t="shared" si="20"/>
        <v>CAHOMEDEPOTTVTVTV</v>
      </c>
      <c r="B673" s="106" t="str">
        <f t="shared" si="21"/>
        <v>CA_HOMEDEPOT</v>
      </c>
      <c r="C673" s="107" t="s">
        <v>345</v>
      </c>
      <c r="D673" s="107" t="s">
        <v>352</v>
      </c>
      <c r="E673" s="107" t="s">
        <v>2448</v>
      </c>
      <c r="F673" s="107" t="s">
        <v>161</v>
      </c>
      <c r="G673" s="107" t="s">
        <v>161</v>
      </c>
      <c r="H673" s="93" t="e">
        <v>#N/A</v>
      </c>
      <c r="I673" s="99">
        <v>46076</v>
      </c>
      <c r="J673" s="83" t="s">
        <v>189</v>
      </c>
      <c r="K673" s="107"/>
      <c r="L673" s="107"/>
      <c r="M673" s="107"/>
      <c r="N673" s="107"/>
      <c r="O673" s="107"/>
    </row>
    <row r="674" spans="1:15" s="81" customFormat="1" hidden="1">
      <c r="A674" s="81" t="str">
        <f t="shared" si="20"/>
        <v>CAHOMEDEPOTTVuhd TVuhd TV</v>
      </c>
      <c r="B674" s="106" t="str">
        <f t="shared" si="21"/>
        <v>CA_HOMEDEPOT</v>
      </c>
      <c r="C674" s="107" t="s">
        <v>345</v>
      </c>
      <c r="D674" s="107" t="s">
        <v>352</v>
      </c>
      <c r="E674" s="107" t="s">
        <v>2448</v>
      </c>
      <c r="F674" s="107" t="s">
        <v>2399</v>
      </c>
      <c r="G674" s="107" t="s">
        <v>2399</v>
      </c>
      <c r="H674" s="93" t="e">
        <v>#N/A</v>
      </c>
      <c r="I674" s="99">
        <v>46076</v>
      </c>
      <c r="J674" s="83" t="s">
        <v>189</v>
      </c>
      <c r="K674" s="107"/>
      <c r="L674" s="107"/>
      <c r="M674" s="107"/>
      <c r="N674" s="107"/>
      <c r="O674" s="107"/>
    </row>
    <row r="675" spans="1:15" s="81" customFormat="1" hidden="1">
      <c r="A675" s="81" t="str">
        <f t="shared" si="20"/>
        <v>CAHOMEDEPOTMonitor4k monitor4k monitor</v>
      </c>
      <c r="B675" s="106" t="str">
        <f t="shared" si="21"/>
        <v>CA_HOMEDEPOT</v>
      </c>
      <c r="C675" s="107" t="s">
        <v>345</v>
      </c>
      <c r="D675" s="107" t="s">
        <v>352</v>
      </c>
      <c r="E675" s="107" t="s">
        <v>2545</v>
      </c>
      <c r="F675" s="107" t="s">
        <v>2321</v>
      </c>
      <c r="G675" s="107" t="s">
        <v>2321</v>
      </c>
      <c r="H675" s="93" t="e">
        <v>#N/A</v>
      </c>
      <c r="I675" s="99">
        <v>46076</v>
      </c>
      <c r="J675" s="83" t="s">
        <v>189</v>
      </c>
      <c r="K675" s="107"/>
      <c r="L675" s="107"/>
      <c r="M675" s="107"/>
      <c r="N675" s="107"/>
      <c r="O675" s="107"/>
    </row>
    <row r="676" spans="1:15" s="81" customFormat="1" hidden="1">
      <c r="A676" s="81" t="str">
        <f t="shared" si="20"/>
        <v>CAHOMEDEPOTMonitorgaming monitorgaming monitor</v>
      </c>
      <c r="B676" s="106" t="str">
        <f t="shared" si="21"/>
        <v>CA_HOMEDEPOT</v>
      </c>
      <c r="C676" s="107" t="s">
        <v>345</v>
      </c>
      <c r="D676" s="107" t="s">
        <v>352</v>
      </c>
      <c r="E676" s="107" t="s">
        <v>2545</v>
      </c>
      <c r="F676" s="107" t="s">
        <v>2322</v>
      </c>
      <c r="G676" s="107" t="s">
        <v>2322</v>
      </c>
      <c r="H676" s="93" t="e">
        <v>#N/A</v>
      </c>
      <c r="I676" s="99">
        <v>46076</v>
      </c>
      <c r="J676" s="83" t="s">
        <v>189</v>
      </c>
      <c r="K676" s="107"/>
      <c r="L676" s="107"/>
      <c r="M676" s="107"/>
      <c r="N676" s="107"/>
      <c r="O676" s="107"/>
    </row>
    <row r="677" spans="1:15" s="81" customFormat="1" hidden="1">
      <c r="A677" s="81" t="str">
        <f t="shared" si="20"/>
        <v>CAHOMEDEPOTMonitormonitormonitor</v>
      </c>
      <c r="B677" s="106" t="str">
        <f t="shared" si="21"/>
        <v>CA_HOMEDEPOT</v>
      </c>
      <c r="C677" s="107" t="s">
        <v>345</v>
      </c>
      <c r="D677" s="107" t="s">
        <v>352</v>
      </c>
      <c r="E677" s="107" t="s">
        <v>2545</v>
      </c>
      <c r="F677" s="107" t="s">
        <v>2323</v>
      </c>
      <c r="G677" s="107" t="s">
        <v>2323</v>
      </c>
      <c r="H677" s="93" t="e">
        <v>#N/A</v>
      </c>
      <c r="I677" s="99">
        <v>46076</v>
      </c>
      <c r="J677" s="83" t="s">
        <v>189</v>
      </c>
      <c r="K677" s="107"/>
      <c r="L677" s="107"/>
      <c r="M677" s="107"/>
      <c r="N677" s="107"/>
      <c r="O677" s="107"/>
    </row>
    <row r="678" spans="1:15" s="81" customFormat="1" hidden="1">
      <c r="A678" s="81" t="str">
        <f t="shared" si="20"/>
        <v>CAHOMEDEPOTMonitoruhd monitoruhd monitor</v>
      </c>
      <c r="B678" s="106" t="str">
        <f t="shared" si="21"/>
        <v>CA_HOMEDEPOT</v>
      </c>
      <c r="C678" s="107" t="s">
        <v>345</v>
      </c>
      <c r="D678" s="107" t="s">
        <v>352</v>
      </c>
      <c r="E678" s="107" t="s">
        <v>2545</v>
      </c>
      <c r="F678" s="107" t="s">
        <v>2324</v>
      </c>
      <c r="G678" s="107" t="s">
        <v>2324</v>
      </c>
      <c r="H678" s="93" t="e">
        <v>#N/A</v>
      </c>
      <c r="I678" s="99">
        <v>46076</v>
      </c>
      <c r="J678" s="83" t="s">
        <v>189</v>
      </c>
      <c r="K678" s="107"/>
      <c r="L678" s="107"/>
      <c r="M678" s="107"/>
      <c r="N678" s="107"/>
      <c r="O678" s="107"/>
    </row>
    <row r="679" spans="1:15" s="81" customFormat="1" hidden="1">
      <c r="A679" s="81" t="str">
        <f t="shared" si="20"/>
        <v>CAHOMEDEPOTMonitorultrawide monitorultrawide monitor</v>
      </c>
      <c r="B679" s="106" t="str">
        <f t="shared" si="21"/>
        <v>CA_HOMEDEPOT</v>
      </c>
      <c r="C679" s="107" t="s">
        <v>345</v>
      </c>
      <c r="D679" s="107" t="s">
        <v>352</v>
      </c>
      <c r="E679" s="107" t="s">
        <v>2545</v>
      </c>
      <c r="F679" s="107" t="s">
        <v>2325</v>
      </c>
      <c r="G679" s="107" t="s">
        <v>2325</v>
      </c>
      <c r="H679" s="93" t="e">
        <v>#N/A</v>
      </c>
      <c r="I679" s="99">
        <v>46076</v>
      </c>
      <c r="J679" s="83" t="s">
        <v>189</v>
      </c>
      <c r="K679" s="107"/>
      <c r="L679" s="107"/>
      <c r="M679" s="107"/>
      <c r="N679" s="107"/>
      <c r="O679" s="107"/>
    </row>
    <row r="680" spans="1:15" s="81" customFormat="1" hidden="1">
      <c r="A680" s="81" t="str">
        <f t="shared" si="20"/>
        <v>CAHOMEDEPOTBluetooth SpeakerBluetooth speakerBluetooth speaker</v>
      </c>
      <c r="B680" s="106" t="str">
        <f t="shared" si="21"/>
        <v>CA_HOMEDEPOT</v>
      </c>
      <c r="C680" s="107" t="s">
        <v>345</v>
      </c>
      <c r="D680" s="107" t="s">
        <v>352</v>
      </c>
      <c r="E680" s="107" t="s">
        <v>2307</v>
      </c>
      <c r="F680" s="107" t="s">
        <v>2481</v>
      </c>
      <c r="G680" s="107" t="s">
        <v>2481</v>
      </c>
      <c r="H680" s="93" t="e">
        <v>#N/A</v>
      </c>
      <c r="I680" s="99">
        <v>46076</v>
      </c>
      <c r="J680" s="83" t="s">
        <v>189</v>
      </c>
      <c r="K680" s="107"/>
      <c r="L680" s="107"/>
      <c r="M680" s="107"/>
      <c r="N680" s="107"/>
      <c r="O680" s="107"/>
    </row>
    <row r="681" spans="1:15" s="81" customFormat="1" hidden="1">
      <c r="A681" s="81" t="str">
        <f t="shared" si="20"/>
        <v>CAHOMEDEPOTBluetooth SpeakerBluetooth speakersBluetooth speakers</v>
      </c>
      <c r="B681" s="106" t="str">
        <f t="shared" si="21"/>
        <v>CA_HOMEDEPOT</v>
      </c>
      <c r="C681" s="107" t="s">
        <v>345</v>
      </c>
      <c r="D681" s="107" t="s">
        <v>352</v>
      </c>
      <c r="E681" s="107" t="s">
        <v>2307</v>
      </c>
      <c r="F681" s="107" t="s">
        <v>2425</v>
      </c>
      <c r="G681" s="107" t="s">
        <v>2425</v>
      </c>
      <c r="H681" s="93" t="e">
        <v>#N/A</v>
      </c>
      <c r="I681" s="99">
        <v>46076</v>
      </c>
      <c r="J681" s="83" t="s">
        <v>189</v>
      </c>
      <c r="K681" s="107"/>
      <c r="L681" s="107"/>
      <c r="M681" s="107"/>
      <c r="N681" s="107"/>
      <c r="O681" s="107"/>
    </row>
    <row r="682" spans="1:15" s="81" customFormat="1" hidden="1">
      <c r="A682" s="81" t="str">
        <f t="shared" si="20"/>
        <v>CAHOMEDEPOTBluetooth SpeakerPortable speakerPortable speaker</v>
      </c>
      <c r="B682" s="106" t="str">
        <f t="shared" si="21"/>
        <v>CA_HOMEDEPOT</v>
      </c>
      <c r="C682" s="107" t="s">
        <v>345</v>
      </c>
      <c r="D682" s="107" t="s">
        <v>352</v>
      </c>
      <c r="E682" s="107" t="s">
        <v>2307</v>
      </c>
      <c r="F682" s="107" t="s">
        <v>2525</v>
      </c>
      <c r="G682" s="107" t="s">
        <v>2525</v>
      </c>
      <c r="H682" s="93" t="e">
        <v>#N/A</v>
      </c>
      <c r="I682" s="99">
        <v>46076</v>
      </c>
      <c r="J682" s="83" t="s">
        <v>189</v>
      </c>
      <c r="K682" s="107"/>
      <c r="L682" s="107"/>
      <c r="M682" s="107"/>
      <c r="N682" s="107"/>
      <c r="O682" s="107"/>
    </row>
    <row r="683" spans="1:15" s="81" customFormat="1" hidden="1">
      <c r="A683" s="81" t="str">
        <f t="shared" si="20"/>
        <v>CAHOMEDEPOTBluetooth SpeakerSpeakerSpeaker</v>
      </c>
      <c r="B683" s="106" t="str">
        <f t="shared" si="21"/>
        <v>CA_HOMEDEPOT</v>
      </c>
      <c r="C683" s="107" t="s">
        <v>345</v>
      </c>
      <c r="D683" s="107" t="s">
        <v>352</v>
      </c>
      <c r="E683" s="107" t="s">
        <v>2307</v>
      </c>
      <c r="F683" s="107" t="s">
        <v>2428</v>
      </c>
      <c r="G683" s="107" t="s">
        <v>2428</v>
      </c>
      <c r="H683" s="93" t="e">
        <v>#N/A</v>
      </c>
      <c r="I683" s="99">
        <v>46076</v>
      </c>
      <c r="J683" s="83" t="s">
        <v>189</v>
      </c>
      <c r="K683" s="107"/>
      <c r="L683" s="107"/>
      <c r="M683" s="107"/>
      <c r="N683" s="107"/>
      <c r="O683" s="107"/>
    </row>
    <row r="684" spans="1:15" s="81" customFormat="1" hidden="1">
      <c r="A684" s="81" t="str">
        <f t="shared" si="20"/>
        <v>CAHOMEDEPOTBluetooth SpeakerSpeakers Bluetooth WirelessSpeakers Bluetooth Wireless</v>
      </c>
      <c r="B684" s="106" t="str">
        <f t="shared" si="21"/>
        <v>CA_HOMEDEPOT</v>
      </c>
      <c r="C684" s="107" t="s">
        <v>345</v>
      </c>
      <c r="D684" s="107" t="s">
        <v>352</v>
      </c>
      <c r="E684" s="107" t="s">
        <v>2307</v>
      </c>
      <c r="F684" s="107" t="s">
        <v>2526</v>
      </c>
      <c r="G684" s="107" t="s">
        <v>2526</v>
      </c>
      <c r="H684" s="93" t="e">
        <v>#N/A</v>
      </c>
      <c r="I684" s="99">
        <v>46076</v>
      </c>
      <c r="J684" s="83" t="s">
        <v>189</v>
      </c>
      <c r="K684" s="107"/>
      <c r="L684" s="107"/>
      <c r="M684" s="107"/>
      <c r="N684" s="107"/>
      <c r="O684" s="107"/>
    </row>
    <row r="685" spans="1:15" s="81" customFormat="1" hidden="1">
      <c r="A685" s="81" t="str">
        <f t="shared" si="20"/>
        <v>CAHOMEDEPOTSoundbaraudioaudio</v>
      </c>
      <c r="B685" s="106" t="str">
        <f t="shared" si="21"/>
        <v>CA_HOMEDEPOT</v>
      </c>
      <c r="C685" s="107" t="s">
        <v>345</v>
      </c>
      <c r="D685" s="107" t="s">
        <v>352</v>
      </c>
      <c r="E685" s="107" t="s">
        <v>2546</v>
      </c>
      <c r="F685" s="107" t="s">
        <v>2528</v>
      </c>
      <c r="G685" s="107" t="s">
        <v>2528</v>
      </c>
      <c r="H685" s="93" t="e">
        <v>#N/A</v>
      </c>
      <c r="I685" s="99">
        <v>46076</v>
      </c>
      <c r="J685" s="83" t="s">
        <v>189</v>
      </c>
      <c r="K685" s="107"/>
      <c r="L685" s="107"/>
      <c r="M685" s="107"/>
      <c r="N685" s="107"/>
      <c r="O685" s="107"/>
    </row>
    <row r="686" spans="1:15" s="81" customFormat="1" hidden="1">
      <c r="A686" s="81" t="str">
        <f t="shared" si="20"/>
        <v>CAHOMEDEPOTSoundbarsound barsound bar</v>
      </c>
      <c r="B686" s="106" t="str">
        <f t="shared" si="21"/>
        <v>CA_HOMEDEPOT</v>
      </c>
      <c r="C686" s="107" t="s">
        <v>345</v>
      </c>
      <c r="D686" s="107" t="s">
        <v>352</v>
      </c>
      <c r="E686" s="107" t="s">
        <v>2546</v>
      </c>
      <c r="F686" s="107" t="s">
        <v>2529</v>
      </c>
      <c r="G686" s="107" t="s">
        <v>2529</v>
      </c>
      <c r="H686" s="93" t="e">
        <v>#N/A</v>
      </c>
      <c r="I686" s="99">
        <v>46076</v>
      </c>
      <c r="J686" s="83" t="s">
        <v>189</v>
      </c>
      <c r="K686" s="107"/>
      <c r="L686" s="107"/>
      <c r="M686" s="107"/>
      <c r="N686" s="107"/>
      <c r="O686" s="107"/>
    </row>
    <row r="687" spans="1:15" s="81" customFormat="1" hidden="1">
      <c r="A687" s="81" t="str">
        <f t="shared" si="20"/>
        <v>CAHOMEDEPOTSoundbarsound systemsound system</v>
      </c>
      <c r="B687" s="106" t="str">
        <f t="shared" si="21"/>
        <v>CA_HOMEDEPOT</v>
      </c>
      <c r="C687" s="107" t="s">
        <v>345</v>
      </c>
      <c r="D687" s="107" t="s">
        <v>352</v>
      </c>
      <c r="E687" s="107" t="s">
        <v>2546</v>
      </c>
      <c r="F687" s="107" t="s">
        <v>2530</v>
      </c>
      <c r="G687" s="107" t="s">
        <v>2530</v>
      </c>
      <c r="H687" s="93" t="e">
        <v>#N/A</v>
      </c>
      <c r="I687" s="99">
        <v>46076</v>
      </c>
      <c r="J687" s="83" t="s">
        <v>189</v>
      </c>
      <c r="K687" s="107"/>
      <c r="L687" s="107"/>
      <c r="M687" s="107"/>
      <c r="N687" s="107"/>
      <c r="O687" s="107"/>
    </row>
    <row r="688" spans="1:15" s="81" customFormat="1" hidden="1">
      <c r="A688" s="81" t="str">
        <f t="shared" si="20"/>
        <v>CAHOMEDEPOTSoundbarsoundbarssoundbars</v>
      </c>
      <c r="B688" s="106" t="str">
        <f t="shared" si="21"/>
        <v>CA_HOMEDEPOT</v>
      </c>
      <c r="C688" s="107" t="s">
        <v>345</v>
      </c>
      <c r="D688" s="107" t="s">
        <v>352</v>
      </c>
      <c r="E688" s="107" t="s">
        <v>2546</v>
      </c>
      <c r="F688" s="107" t="s">
        <v>2531</v>
      </c>
      <c r="G688" s="107" t="s">
        <v>2531</v>
      </c>
      <c r="H688" s="93" t="e">
        <v>#N/A</v>
      </c>
      <c r="I688" s="99">
        <v>46076</v>
      </c>
      <c r="J688" s="83" t="s">
        <v>189</v>
      </c>
      <c r="K688" s="107"/>
      <c r="L688" s="107"/>
      <c r="M688" s="107"/>
      <c r="N688" s="107"/>
      <c r="O688" s="107"/>
    </row>
    <row r="689" spans="1:15" s="81" customFormat="1" hidden="1">
      <c r="A689" s="81" t="str">
        <f t="shared" si="20"/>
        <v>CAHOMEDEPOTSoundbarspeakersspeakers</v>
      </c>
      <c r="B689" s="106" t="str">
        <f t="shared" si="21"/>
        <v>CA_HOMEDEPOT</v>
      </c>
      <c r="C689" s="107" t="s">
        <v>345</v>
      </c>
      <c r="D689" s="107" t="s">
        <v>352</v>
      </c>
      <c r="E689" s="107" t="s">
        <v>2546</v>
      </c>
      <c r="F689" s="107" t="s">
        <v>2471</v>
      </c>
      <c r="G689" s="107" t="s">
        <v>2471</v>
      </c>
      <c r="H689" s="93" t="e">
        <v>#N/A</v>
      </c>
      <c r="I689" s="99">
        <v>46076</v>
      </c>
      <c r="J689" s="83" t="s">
        <v>189</v>
      </c>
      <c r="K689" s="107"/>
      <c r="L689" s="107"/>
      <c r="M689" s="107"/>
      <c r="N689" s="107"/>
      <c r="O689" s="107"/>
    </row>
    <row r="690" spans="1:15" s="81" customFormat="1" hidden="1">
      <c r="A690" s="81" t="str">
        <f t="shared" si="20"/>
        <v>CAHOMEDEPOTWIRELESS HEADSETBluetooth earbudsBluetooth earbuds</v>
      </c>
      <c r="B690" s="106" t="str">
        <f t="shared" si="21"/>
        <v>CA_HOMEDEPOT</v>
      </c>
      <c r="C690" s="107" t="s">
        <v>345</v>
      </c>
      <c r="D690" s="107" t="s">
        <v>352</v>
      </c>
      <c r="E690" s="107" t="s">
        <v>2532</v>
      </c>
      <c r="F690" s="107" t="s">
        <v>2382</v>
      </c>
      <c r="G690" s="107" t="s">
        <v>2382</v>
      </c>
      <c r="H690" s="93" t="e">
        <v>#N/A</v>
      </c>
      <c r="I690" s="99">
        <v>46076</v>
      </c>
      <c r="J690" s="83" t="s">
        <v>189</v>
      </c>
      <c r="K690" s="107"/>
      <c r="L690" s="107"/>
      <c r="M690" s="107"/>
      <c r="N690" s="107"/>
      <c r="O690" s="107"/>
    </row>
    <row r="691" spans="1:15" s="81" customFormat="1" hidden="1">
      <c r="A691" s="81" t="str">
        <f t="shared" si="20"/>
        <v>CAHOMEDEPOTWIRELESS HEADSETBluetooth HeadphonesBluetooth Headphones</v>
      </c>
      <c r="B691" s="106" t="str">
        <f t="shared" si="21"/>
        <v>CA_HOMEDEPOT</v>
      </c>
      <c r="C691" s="107" t="s">
        <v>345</v>
      </c>
      <c r="D691" s="107" t="s">
        <v>352</v>
      </c>
      <c r="E691" s="107" t="s">
        <v>2532</v>
      </c>
      <c r="F691" s="107" t="s">
        <v>2533</v>
      </c>
      <c r="G691" s="107" t="s">
        <v>2533</v>
      </c>
      <c r="H691" s="93" t="e">
        <v>#N/A</v>
      </c>
      <c r="I691" s="99">
        <v>46076</v>
      </c>
      <c r="J691" s="83" t="s">
        <v>189</v>
      </c>
      <c r="K691" s="107"/>
      <c r="L691" s="107"/>
      <c r="M691" s="107"/>
      <c r="N691" s="107"/>
      <c r="O691" s="107"/>
    </row>
    <row r="692" spans="1:15" s="81" customFormat="1" hidden="1">
      <c r="A692" s="81" t="str">
        <f t="shared" si="20"/>
        <v>CAHOMEDEPOTWIRELESS HEADSETEar budsEar buds</v>
      </c>
      <c r="B692" s="106" t="str">
        <f t="shared" si="21"/>
        <v>CA_HOMEDEPOT</v>
      </c>
      <c r="C692" s="107" t="s">
        <v>345</v>
      </c>
      <c r="D692" s="107" t="s">
        <v>352</v>
      </c>
      <c r="E692" s="107" t="s">
        <v>2532</v>
      </c>
      <c r="F692" s="107" t="s">
        <v>2380</v>
      </c>
      <c r="G692" s="107" t="s">
        <v>2380</v>
      </c>
      <c r="H692" s="93" t="e">
        <v>#N/A</v>
      </c>
      <c r="I692" s="99">
        <v>46076</v>
      </c>
      <c r="J692" s="83" t="s">
        <v>189</v>
      </c>
      <c r="K692" s="107"/>
      <c r="L692" s="107"/>
      <c r="M692" s="107"/>
      <c r="N692" s="107"/>
      <c r="O692" s="107"/>
    </row>
    <row r="693" spans="1:15" s="81" customFormat="1" hidden="1">
      <c r="A693" s="81" t="str">
        <f t="shared" si="20"/>
        <v>CAHOMEDEPOTWIRELESS HEADSETEarbudsEarbuds</v>
      </c>
      <c r="B693" s="106" t="str">
        <f t="shared" si="21"/>
        <v>CA_HOMEDEPOT</v>
      </c>
      <c r="C693" s="107" t="s">
        <v>345</v>
      </c>
      <c r="D693" s="107" t="s">
        <v>352</v>
      </c>
      <c r="E693" s="107" t="s">
        <v>2532</v>
      </c>
      <c r="F693" s="107" t="s">
        <v>2534</v>
      </c>
      <c r="G693" s="107" t="s">
        <v>2534</v>
      </c>
      <c r="H693" s="93" t="e">
        <v>#N/A</v>
      </c>
      <c r="I693" s="99">
        <v>46076</v>
      </c>
      <c r="J693" s="83" t="s">
        <v>189</v>
      </c>
      <c r="K693" s="107"/>
      <c r="L693" s="107"/>
      <c r="M693" s="107"/>
      <c r="N693" s="107"/>
      <c r="O693" s="107"/>
    </row>
    <row r="694" spans="1:15" s="81" customFormat="1" hidden="1">
      <c r="A694" s="81" t="str">
        <f t="shared" si="20"/>
        <v>CAHOMEDEPOTWIRELESS HEADSETWireless earbudsWireless earbuds</v>
      </c>
      <c r="B694" s="106" t="str">
        <f t="shared" si="21"/>
        <v>CA_HOMEDEPOT</v>
      </c>
      <c r="C694" s="107" t="s">
        <v>345</v>
      </c>
      <c r="D694" s="107" t="s">
        <v>352</v>
      </c>
      <c r="E694" s="107" t="s">
        <v>2532</v>
      </c>
      <c r="F694" s="107" t="s">
        <v>2376</v>
      </c>
      <c r="G694" s="107" t="s">
        <v>2376</v>
      </c>
      <c r="H694" s="93" t="e">
        <v>#N/A</v>
      </c>
      <c r="I694" s="99">
        <v>46076</v>
      </c>
      <c r="J694" s="83" t="s">
        <v>189</v>
      </c>
      <c r="K694" s="107"/>
      <c r="L694" s="107"/>
      <c r="M694" s="107"/>
      <c r="N694" s="107"/>
      <c r="O694" s="107"/>
    </row>
    <row r="695" spans="1:15" s="81" customFormat="1" hidden="1">
      <c r="A695" s="81" t="str">
        <f t="shared" si="20"/>
        <v>CAHOMEDEPOTDryerDryerDryer</v>
      </c>
      <c r="B695" s="106" t="str">
        <f t="shared" si="21"/>
        <v>CA_HOMEDEPOT</v>
      </c>
      <c r="C695" s="107" t="s">
        <v>345</v>
      </c>
      <c r="D695" s="107" t="s">
        <v>352</v>
      </c>
      <c r="E695" s="107" t="s">
        <v>2535</v>
      </c>
      <c r="F695" s="107" t="s">
        <v>2431</v>
      </c>
      <c r="G695" s="107" t="s">
        <v>2431</v>
      </c>
      <c r="H695" s="93" t="e">
        <v>#N/A</v>
      </c>
      <c r="I695" s="99">
        <v>46076</v>
      </c>
      <c r="J695" s="83" t="s">
        <v>189</v>
      </c>
      <c r="K695" s="107"/>
      <c r="L695" s="107"/>
      <c r="M695" s="107"/>
      <c r="N695" s="107"/>
      <c r="O695" s="107"/>
    </row>
    <row r="696" spans="1:15" s="81" customFormat="1" hidden="1">
      <c r="A696" s="81" t="str">
        <f t="shared" si="20"/>
        <v>CAHOMEDEPOTDryerheatpump  Electric dryer</v>
      </c>
      <c r="B696" s="106" t="str">
        <f t="shared" si="21"/>
        <v>CA_HOMEDEPOT</v>
      </c>
      <c r="C696" s="107" t="s">
        <v>345</v>
      </c>
      <c r="D696" s="107" t="s">
        <v>352</v>
      </c>
      <c r="E696" s="107" t="s">
        <v>2535</v>
      </c>
      <c r="F696" s="107" t="s">
        <v>2432</v>
      </c>
      <c r="G696" s="107" t="s">
        <v>2536</v>
      </c>
      <c r="H696" s="93" t="e">
        <v>#N/A</v>
      </c>
      <c r="I696" s="99">
        <v>46076</v>
      </c>
      <c r="J696" s="83" t="s">
        <v>189</v>
      </c>
      <c r="K696" s="107"/>
      <c r="L696" s="107"/>
      <c r="M696" s="107"/>
      <c r="N696" s="107"/>
      <c r="O696" s="107"/>
    </row>
    <row r="697" spans="1:15" s="81" customFormat="1" hidden="1">
      <c r="A697" s="81" t="str">
        <f t="shared" si="20"/>
        <v>CAHOMEDEPOTDryerLG DryerGas dryer</v>
      </c>
      <c r="B697" s="106" t="str">
        <f t="shared" si="21"/>
        <v>CA_HOMEDEPOT</v>
      </c>
      <c r="C697" s="107" t="s">
        <v>345</v>
      </c>
      <c r="D697" s="107" t="s">
        <v>352</v>
      </c>
      <c r="E697" s="107" t="s">
        <v>2535</v>
      </c>
      <c r="F697" s="107" t="s">
        <v>2434</v>
      </c>
      <c r="G697" s="107" t="s">
        <v>2537</v>
      </c>
      <c r="H697" s="93" t="e">
        <v>#N/A</v>
      </c>
      <c r="I697" s="99">
        <v>46076</v>
      </c>
      <c r="J697" s="83" t="s">
        <v>189</v>
      </c>
      <c r="K697" s="107"/>
      <c r="L697" s="107"/>
      <c r="M697" s="107"/>
      <c r="N697" s="107"/>
      <c r="O697" s="107"/>
    </row>
    <row r="698" spans="1:15" hidden="1">
      <c r="A698" s="75" t="str">
        <f t="shared" si="20"/>
        <v>CASS.comAir Conditionerair conditionerair conditioner</v>
      </c>
      <c r="B698" s="94" t="str">
        <f t="shared" si="21"/>
        <v>CA_SS.com</v>
      </c>
      <c r="C698" s="93" t="s">
        <v>345</v>
      </c>
      <c r="D698" s="93" t="s">
        <v>2443</v>
      </c>
      <c r="E698" s="93" t="s">
        <v>2346</v>
      </c>
      <c r="F698" s="93" t="s">
        <v>2347</v>
      </c>
      <c r="G698" s="93" t="s">
        <v>2347</v>
      </c>
      <c r="H698" s="93" t="e">
        <v>#N/A</v>
      </c>
      <c r="I698" s="105" t="s">
        <v>2310</v>
      </c>
      <c r="J698" s="93" t="s">
        <v>189</v>
      </c>
      <c r="K698" s="93">
        <v>60</v>
      </c>
      <c r="L698" s="93">
        <v>60</v>
      </c>
      <c r="M698" s="93" t="s">
        <v>2311</v>
      </c>
      <c r="N698" s="93">
        <f>VLOOKUP(B698,'[16]01.수집 카테고리(List)'!$A$2:$H$64,8,FALSE)</f>
        <v>99991231</v>
      </c>
      <c r="O698" s="93" t="s">
        <v>646</v>
      </c>
    </row>
    <row r="699" spans="1:15" hidden="1">
      <c r="A699" s="75" t="str">
        <f t="shared" si="20"/>
        <v>CASS.comMonitorgaming monitorgaming monitor</v>
      </c>
      <c r="B699" s="94" t="str">
        <f t="shared" si="21"/>
        <v>CA_SS.com</v>
      </c>
      <c r="C699" s="93" t="s">
        <v>345</v>
      </c>
      <c r="D699" s="93" t="s">
        <v>2443</v>
      </c>
      <c r="E699" s="93" t="s">
        <v>2320</v>
      </c>
      <c r="F699" s="93" t="s">
        <v>2322</v>
      </c>
      <c r="G699" s="93" t="s">
        <v>2322</v>
      </c>
      <c r="H699" s="93" t="e">
        <v>#N/A</v>
      </c>
      <c r="I699" s="105" t="s">
        <v>2310</v>
      </c>
      <c r="J699" s="93" t="s">
        <v>189</v>
      </c>
      <c r="K699" s="93">
        <v>160</v>
      </c>
      <c r="L699" s="93">
        <v>160</v>
      </c>
      <c r="M699" s="93" t="s">
        <v>2311</v>
      </c>
      <c r="N699" s="93">
        <f>VLOOKUP(B699,'[16]01.수집 카테고리(List)'!$A$2:$H$64,8,FALSE)</f>
        <v>99991231</v>
      </c>
      <c r="O699" s="93" t="s">
        <v>646</v>
      </c>
    </row>
    <row r="700" spans="1:15" hidden="1">
      <c r="A700" s="75" t="str">
        <f t="shared" si="20"/>
        <v>CASS.comMonitor4k monitor4k monitor</v>
      </c>
      <c r="B700" s="94" t="str">
        <f t="shared" si="21"/>
        <v>CA_SS.com</v>
      </c>
      <c r="C700" s="93" t="s">
        <v>345</v>
      </c>
      <c r="D700" s="93" t="s">
        <v>2443</v>
      </c>
      <c r="E700" s="93" t="s">
        <v>2320</v>
      </c>
      <c r="F700" s="93" t="s">
        <v>2321</v>
      </c>
      <c r="G700" s="93" t="s">
        <v>2321</v>
      </c>
      <c r="H700" s="93" t="s">
        <v>2547</v>
      </c>
      <c r="I700" s="99">
        <v>45922</v>
      </c>
      <c r="J700" s="93" t="s">
        <v>189</v>
      </c>
      <c r="K700" s="93" t="e">
        <v>#N/A</v>
      </c>
      <c r="L700" s="93" t="e">
        <v>#N/A</v>
      </c>
      <c r="M700" s="93" t="s">
        <v>2393</v>
      </c>
      <c r="N700" s="93">
        <f>VLOOKUP(B700,'[16]01.수집 카테고리(List)'!$A$2:$H$64,8,FALSE)</f>
        <v>99991231</v>
      </c>
      <c r="O700" s="93" t="s">
        <v>646</v>
      </c>
    </row>
    <row r="701" spans="1:15" hidden="1">
      <c r="A701" s="75" t="str">
        <f t="shared" si="20"/>
        <v>CASS.comMonitoruhd monitoruhd monitor</v>
      </c>
      <c r="B701" s="94" t="str">
        <f t="shared" si="21"/>
        <v>CA_SS.com</v>
      </c>
      <c r="C701" s="93" t="s">
        <v>345</v>
      </c>
      <c r="D701" s="93" t="s">
        <v>2443</v>
      </c>
      <c r="E701" s="93" t="s">
        <v>2320</v>
      </c>
      <c r="F701" s="93" t="s">
        <v>2324</v>
      </c>
      <c r="G701" s="93" t="s">
        <v>2324</v>
      </c>
      <c r="H701" s="93" t="s">
        <v>2547</v>
      </c>
      <c r="I701" s="99">
        <v>45922</v>
      </c>
      <c r="J701" s="93" t="s">
        <v>189</v>
      </c>
      <c r="K701" s="93"/>
      <c r="L701" s="93"/>
      <c r="M701" s="93"/>
      <c r="N701" s="93"/>
      <c r="O701" s="93"/>
    </row>
    <row r="702" spans="1:15" hidden="1">
      <c r="A702" s="75" t="str">
        <f t="shared" si="20"/>
        <v>CASS.comMonitorultrawide monitorultrawide monitor</v>
      </c>
      <c r="B702" s="94" t="str">
        <f t="shared" si="21"/>
        <v>CA_SS.com</v>
      </c>
      <c r="C702" s="93" t="s">
        <v>345</v>
      </c>
      <c r="D702" s="93" t="s">
        <v>2443</v>
      </c>
      <c r="E702" s="93" t="s">
        <v>2320</v>
      </c>
      <c r="F702" s="93" t="s">
        <v>2325</v>
      </c>
      <c r="G702" s="93" t="s">
        <v>2325</v>
      </c>
      <c r="H702" s="93" t="s">
        <v>2547</v>
      </c>
      <c r="I702" s="99">
        <v>45922</v>
      </c>
      <c r="J702" s="93" t="s">
        <v>189</v>
      </c>
      <c r="K702" s="93"/>
      <c r="L702" s="93"/>
      <c r="M702" s="93"/>
      <c r="N702" s="93"/>
      <c r="O702" s="93"/>
    </row>
    <row r="703" spans="1:15" hidden="1">
      <c r="A703" s="75" t="str">
        <f t="shared" si="20"/>
        <v>CASS.comRefrigerator4 door french door refrigerator4 door french door refrigerator</v>
      </c>
      <c r="B703" s="94" t="str">
        <f t="shared" si="21"/>
        <v>CA_SS.com</v>
      </c>
      <c r="C703" s="93" t="s">
        <v>345</v>
      </c>
      <c r="D703" s="93" t="s">
        <v>2443</v>
      </c>
      <c r="E703" s="93" t="s">
        <v>2326</v>
      </c>
      <c r="F703" s="93" t="s">
        <v>2519</v>
      </c>
      <c r="G703" s="93" t="s">
        <v>2519</v>
      </c>
      <c r="H703" s="93" t="s">
        <v>2548</v>
      </c>
      <c r="I703" s="105" t="s">
        <v>2310</v>
      </c>
      <c r="J703" s="93" t="s">
        <v>189</v>
      </c>
      <c r="K703" s="93" t="e">
        <v>#N/A</v>
      </c>
      <c r="L703" s="93" t="e">
        <v>#N/A</v>
      </c>
      <c r="M703" s="93" t="s">
        <v>2393</v>
      </c>
      <c r="N703" s="93">
        <f>VLOOKUP(B703,'[16]01.수집 카테고리(List)'!$A$2:$H$64,8,FALSE)</f>
        <v>99991231</v>
      </c>
      <c r="O703" s="93" t="s">
        <v>646</v>
      </c>
    </row>
    <row r="704" spans="1:15" hidden="1">
      <c r="A704" s="75" t="str">
        <f t="shared" si="20"/>
        <v>CASS.comRefrigeratorbottom freezer refrigeratorbottom freezer refrigerator</v>
      </c>
      <c r="B704" s="94" t="str">
        <f t="shared" si="21"/>
        <v>CA_SS.com</v>
      </c>
      <c r="C704" s="93" t="s">
        <v>345</v>
      </c>
      <c r="D704" s="93" t="s">
        <v>2443</v>
      </c>
      <c r="E704" s="93" t="s">
        <v>2326</v>
      </c>
      <c r="F704" s="93" t="s">
        <v>2327</v>
      </c>
      <c r="G704" s="93" t="s">
        <v>2327</v>
      </c>
      <c r="H704" s="93" t="s">
        <v>2548</v>
      </c>
      <c r="I704" s="99">
        <v>45922</v>
      </c>
      <c r="J704" s="93" t="s">
        <v>189</v>
      </c>
      <c r="K704" s="93" t="e">
        <v>#N/A</v>
      </c>
      <c r="L704" s="93" t="e">
        <v>#N/A</v>
      </c>
      <c r="M704" s="93" t="s">
        <v>2393</v>
      </c>
      <c r="N704" s="93">
        <f>VLOOKUP(B704,'[16]01.수집 카테고리(List)'!$A$2:$H$64,8,FALSE)</f>
        <v>99991231</v>
      </c>
      <c r="O704" s="93" t="s">
        <v>646</v>
      </c>
    </row>
    <row r="705" spans="1:15" hidden="1">
      <c r="A705" s="75" t="str">
        <f t="shared" si="20"/>
        <v>CASS.comRefrigeratorcounter depth refrigeratorcounter depth refrigerator</v>
      </c>
      <c r="B705" s="94" t="str">
        <f t="shared" si="21"/>
        <v>CA_SS.com</v>
      </c>
      <c r="C705" s="93" t="s">
        <v>345</v>
      </c>
      <c r="D705" s="93" t="s">
        <v>2443</v>
      </c>
      <c r="E705" s="93" t="s">
        <v>2326</v>
      </c>
      <c r="F705" s="93" t="s">
        <v>2521</v>
      </c>
      <c r="G705" s="93" t="s">
        <v>2521</v>
      </c>
      <c r="H705" s="93" t="s">
        <v>2548</v>
      </c>
      <c r="I705" s="99">
        <v>45922</v>
      </c>
      <c r="J705" s="93" t="s">
        <v>189</v>
      </c>
      <c r="K705" s="93"/>
      <c r="L705" s="93"/>
      <c r="M705" s="93"/>
      <c r="N705" s="93"/>
      <c r="O705" s="93"/>
    </row>
    <row r="706" spans="1:15" hidden="1">
      <c r="A706" s="75" t="str">
        <f t="shared" si="20"/>
        <v>CASS.comRefrigeratorfrench door refrigeratorfrench door refrigerator</v>
      </c>
      <c r="B706" s="94" t="str">
        <f t="shared" si="21"/>
        <v>CA_SS.com</v>
      </c>
      <c r="C706" s="93" t="s">
        <v>345</v>
      </c>
      <c r="D706" s="93" t="s">
        <v>2443</v>
      </c>
      <c r="E706" s="93" t="s">
        <v>2326</v>
      </c>
      <c r="F706" s="93" t="s">
        <v>2328</v>
      </c>
      <c r="G706" s="93" t="s">
        <v>2328</v>
      </c>
      <c r="H706" s="93" t="s">
        <v>2548</v>
      </c>
      <c r="I706" s="99">
        <v>45922</v>
      </c>
      <c r="J706" s="93" t="s">
        <v>189</v>
      </c>
      <c r="K706" s="93"/>
      <c r="L706" s="93"/>
      <c r="M706" s="93"/>
      <c r="N706" s="93"/>
      <c r="O706" s="93"/>
    </row>
    <row r="707" spans="1:15" hidden="1">
      <c r="A707" s="75" t="str">
        <f t="shared" si="20"/>
        <v>CASS.comRefrigeratorside by side refrigeratorside by side refrigerator</v>
      </c>
      <c r="B707" s="94" t="str">
        <f t="shared" si="21"/>
        <v>CA_SS.com</v>
      </c>
      <c r="C707" s="93" t="s">
        <v>345</v>
      </c>
      <c r="D707" s="93" t="s">
        <v>2443</v>
      </c>
      <c r="E707" s="93" t="s">
        <v>2326</v>
      </c>
      <c r="F707" s="93" t="s">
        <v>2330</v>
      </c>
      <c r="G707" s="93" t="s">
        <v>2330</v>
      </c>
      <c r="H707" s="93" t="s">
        <v>2548</v>
      </c>
      <c r="I707" s="99">
        <v>45922</v>
      </c>
      <c r="J707" s="93" t="s">
        <v>189</v>
      </c>
      <c r="K707" s="93"/>
      <c r="L707" s="93"/>
      <c r="M707" s="93"/>
      <c r="N707" s="93"/>
      <c r="O707" s="93"/>
    </row>
    <row r="708" spans="1:15" hidden="1">
      <c r="A708" s="75" t="str">
        <f t="shared" si="20"/>
        <v>CASS.comRefrigeratortop freezer refrigeratortop freezer refrigerator</v>
      </c>
      <c r="B708" s="94" t="str">
        <f t="shared" si="21"/>
        <v>CA_SS.com</v>
      </c>
      <c r="C708" s="93" t="s">
        <v>345</v>
      </c>
      <c r="D708" s="93" t="s">
        <v>2443</v>
      </c>
      <c r="E708" s="93" t="s">
        <v>2326</v>
      </c>
      <c r="F708" s="93" t="s">
        <v>2332</v>
      </c>
      <c r="G708" s="93" t="s">
        <v>2332</v>
      </c>
      <c r="H708" s="93" t="s">
        <v>2548</v>
      </c>
      <c r="I708" s="99">
        <v>45922</v>
      </c>
      <c r="J708" s="93" t="s">
        <v>189</v>
      </c>
      <c r="K708" s="93"/>
      <c r="L708" s="93"/>
      <c r="M708" s="93"/>
      <c r="N708" s="93"/>
      <c r="O708" s="93"/>
    </row>
    <row r="709" spans="1:15" hidden="1">
      <c r="A709" s="75" t="str">
        <f t="shared" si="20"/>
        <v>CASS.comTV4k TV4k TV</v>
      </c>
      <c r="B709" s="94" t="str">
        <f t="shared" si="21"/>
        <v>CA_SS.com</v>
      </c>
      <c r="C709" s="93" t="s">
        <v>345</v>
      </c>
      <c r="D709" s="93" t="s">
        <v>2443</v>
      </c>
      <c r="E709" s="93" t="s">
        <v>161</v>
      </c>
      <c r="F709" s="93" t="s">
        <v>2368</v>
      </c>
      <c r="G709" s="93" t="s">
        <v>2368</v>
      </c>
      <c r="H709" s="93" t="s">
        <v>2549</v>
      </c>
      <c r="I709" s="99">
        <v>45922</v>
      </c>
      <c r="J709" s="93" t="s">
        <v>189</v>
      </c>
      <c r="K709" s="93" t="e">
        <v>#N/A</v>
      </c>
      <c r="L709" s="93" t="e">
        <v>#N/A</v>
      </c>
      <c r="M709" s="93" t="s">
        <v>2393</v>
      </c>
      <c r="N709" s="93">
        <f>VLOOKUP(B709,'[16]01.수집 카테고리(List)'!$A$2:$H$64,8,FALSE)</f>
        <v>99991231</v>
      </c>
      <c r="O709" s="93" t="s">
        <v>646</v>
      </c>
    </row>
    <row r="710" spans="1:15" hidden="1">
      <c r="A710" s="75" t="str">
        <f t="shared" si="20"/>
        <v>CASS.comTVoled TVoled TV</v>
      </c>
      <c r="B710" s="94" t="str">
        <f t="shared" si="21"/>
        <v>CA_SS.com</v>
      </c>
      <c r="C710" s="93" t="s">
        <v>345</v>
      </c>
      <c r="D710" s="93" t="s">
        <v>2443</v>
      </c>
      <c r="E710" s="93" t="s">
        <v>161</v>
      </c>
      <c r="F710" s="93" t="s">
        <v>2369</v>
      </c>
      <c r="G710" s="93" t="s">
        <v>2369</v>
      </c>
      <c r="H710" s="93" t="s">
        <v>2549</v>
      </c>
      <c r="I710" s="99">
        <v>45922</v>
      </c>
      <c r="J710" s="93" t="s">
        <v>189</v>
      </c>
      <c r="K710" s="93"/>
      <c r="L710" s="93"/>
      <c r="M710" s="93"/>
      <c r="N710" s="93"/>
      <c r="O710" s="93"/>
    </row>
    <row r="711" spans="1:15" hidden="1">
      <c r="A711" s="75" t="str">
        <f t="shared" si="20"/>
        <v>CASS.comTVsmart TVsmart TV</v>
      </c>
      <c r="B711" s="94" t="str">
        <f t="shared" si="21"/>
        <v>CA_SS.com</v>
      </c>
      <c r="C711" s="93" t="s">
        <v>345</v>
      </c>
      <c r="D711" s="93" t="s">
        <v>2443</v>
      </c>
      <c r="E711" s="93" t="s">
        <v>161</v>
      </c>
      <c r="F711" s="93" t="s">
        <v>2371</v>
      </c>
      <c r="G711" s="93" t="s">
        <v>2371</v>
      </c>
      <c r="H711" s="93" t="s">
        <v>2549</v>
      </c>
      <c r="I711" s="99">
        <v>45922</v>
      </c>
      <c r="J711" s="93" t="s">
        <v>189</v>
      </c>
      <c r="K711" s="93"/>
      <c r="L711" s="93"/>
      <c r="M711" s="93"/>
      <c r="N711" s="93"/>
      <c r="O711" s="93"/>
    </row>
    <row r="712" spans="1:15" hidden="1">
      <c r="A712" s="75" t="str">
        <f t="shared" si="20"/>
        <v>CASS.comTVuhd TVuhd TV</v>
      </c>
      <c r="B712" s="94" t="str">
        <f t="shared" si="21"/>
        <v>CA_SS.com</v>
      </c>
      <c r="C712" s="93" t="s">
        <v>345</v>
      </c>
      <c r="D712" s="93" t="s">
        <v>2443</v>
      </c>
      <c r="E712" s="93" t="s">
        <v>161</v>
      </c>
      <c r="F712" s="93" t="s">
        <v>2399</v>
      </c>
      <c r="G712" s="93" t="s">
        <v>2399</v>
      </c>
      <c r="H712" s="93" t="s">
        <v>2549</v>
      </c>
      <c r="I712" s="99">
        <v>45922</v>
      </c>
      <c r="J712" s="93" t="s">
        <v>189</v>
      </c>
      <c r="K712" s="93"/>
      <c r="L712" s="93"/>
      <c r="M712" s="93"/>
      <c r="N712" s="93"/>
      <c r="O712" s="93"/>
    </row>
    <row r="713" spans="1:15" hidden="1">
      <c r="A713" s="75" t="str">
        <f t="shared" si="20"/>
        <v>CASS.comWashing Machinewasher dryerwasher dryer</v>
      </c>
      <c r="B713" s="94" t="str">
        <f t="shared" si="21"/>
        <v>CA_SS.com</v>
      </c>
      <c r="C713" s="93" t="s">
        <v>345</v>
      </c>
      <c r="D713" s="93" t="s">
        <v>2443</v>
      </c>
      <c r="E713" s="93" t="s">
        <v>2333</v>
      </c>
      <c r="F713" s="93" t="s">
        <v>2339</v>
      </c>
      <c r="G713" s="93" t="s">
        <v>2339</v>
      </c>
      <c r="H713" s="93" t="e">
        <v>#N/A</v>
      </c>
      <c r="I713" s="105" t="s">
        <v>2310</v>
      </c>
      <c r="J713" s="93" t="s">
        <v>189</v>
      </c>
      <c r="K713" s="93">
        <v>76</v>
      </c>
      <c r="L713" s="93">
        <v>76</v>
      </c>
      <c r="M713" s="93" t="s">
        <v>2311</v>
      </c>
      <c r="N713" s="93">
        <f>VLOOKUP(B713,'[16]01.수집 카테고리(List)'!$A$2:$H$64,8,FALSE)</f>
        <v>99991231</v>
      </c>
      <c r="O713" s="93" t="s">
        <v>646</v>
      </c>
    </row>
    <row r="714" spans="1:15" hidden="1">
      <c r="A714" s="75" t="str">
        <f t="shared" ref="A714:A776" si="22">C714&amp;D714&amp;E714&amp;F714&amp;G714</f>
        <v>CASS.comWashing Machinewashing machinewashing machine</v>
      </c>
      <c r="B714" s="94" t="str">
        <f t="shared" ref="B714:B776" si="23">C714&amp;"_"&amp;D714</f>
        <v>CA_SS.com</v>
      </c>
      <c r="C714" s="93" t="s">
        <v>345</v>
      </c>
      <c r="D714" s="93" t="s">
        <v>2443</v>
      </c>
      <c r="E714" s="93" t="s">
        <v>2333</v>
      </c>
      <c r="F714" s="93" t="s">
        <v>2340</v>
      </c>
      <c r="G714" s="93" t="s">
        <v>2340</v>
      </c>
      <c r="H714" s="93" t="e">
        <v>#N/A</v>
      </c>
      <c r="I714" s="105" t="s">
        <v>2310</v>
      </c>
      <c r="J714" s="93" t="s">
        <v>189</v>
      </c>
      <c r="K714" s="93">
        <v>443</v>
      </c>
      <c r="L714" s="93">
        <v>443</v>
      </c>
      <c r="M714" s="93" t="s">
        <v>2311</v>
      </c>
      <c r="N714" s="93">
        <f>VLOOKUP(B714,'[16]01.수집 카테고리(List)'!$A$2:$H$64,8,FALSE)</f>
        <v>99991231</v>
      </c>
      <c r="O714" s="93" t="s">
        <v>646</v>
      </c>
    </row>
    <row r="715" spans="1:15" s="111" customFormat="1" hidden="1">
      <c r="A715" s="111" t="str">
        <f t="shared" si="22"/>
        <v>CASS.comBluetooth SpeakerBluetooth speakerBluetooth speaker</v>
      </c>
      <c r="B715" s="112" t="str">
        <f t="shared" si="23"/>
        <v>CA_SS.com</v>
      </c>
      <c r="C715" s="113" t="s">
        <v>345</v>
      </c>
      <c r="D715" s="113" t="s">
        <v>184</v>
      </c>
      <c r="E715" s="113" t="s">
        <v>2470</v>
      </c>
      <c r="F715" s="113" t="s">
        <v>2481</v>
      </c>
      <c r="G715" s="113" t="s">
        <v>2481</v>
      </c>
      <c r="H715" s="93" t="e">
        <v>#N/A</v>
      </c>
      <c r="I715" s="99">
        <v>46076</v>
      </c>
      <c r="J715" s="83" t="s">
        <v>189</v>
      </c>
      <c r="K715" s="113"/>
      <c r="L715" s="113"/>
      <c r="M715" s="113"/>
      <c r="N715" s="113"/>
      <c r="O715" s="113"/>
    </row>
    <row r="716" spans="1:15" s="111" customFormat="1" hidden="1">
      <c r="A716" s="111" t="str">
        <f t="shared" si="22"/>
        <v>CASS.comBluetooth SpeakerBluetooth speakersBluetooth speakers</v>
      </c>
      <c r="B716" s="112" t="str">
        <f t="shared" si="23"/>
        <v>CA_SS.com</v>
      </c>
      <c r="C716" s="113" t="s">
        <v>345</v>
      </c>
      <c r="D716" s="113" t="s">
        <v>184</v>
      </c>
      <c r="E716" s="113" t="s">
        <v>2470</v>
      </c>
      <c r="F716" s="113" t="s">
        <v>2425</v>
      </c>
      <c r="G716" s="113" t="s">
        <v>2425</v>
      </c>
      <c r="H716" s="93" t="e">
        <v>#N/A</v>
      </c>
      <c r="I716" s="99">
        <v>46076</v>
      </c>
      <c r="J716" s="83" t="s">
        <v>189</v>
      </c>
      <c r="K716" s="113"/>
      <c r="L716" s="113"/>
      <c r="M716" s="113"/>
      <c r="N716" s="113"/>
      <c r="O716" s="113"/>
    </row>
    <row r="717" spans="1:15" s="111" customFormat="1" hidden="1">
      <c r="A717" s="111" t="str">
        <f t="shared" si="22"/>
        <v>CASS.comBluetooth SpeakerPortable speakerPortable speaker</v>
      </c>
      <c r="B717" s="112" t="str">
        <f t="shared" si="23"/>
        <v>CA_SS.com</v>
      </c>
      <c r="C717" s="113" t="s">
        <v>345</v>
      </c>
      <c r="D717" s="113" t="s">
        <v>184</v>
      </c>
      <c r="E717" s="113" t="s">
        <v>2470</v>
      </c>
      <c r="F717" s="113" t="s">
        <v>2525</v>
      </c>
      <c r="G717" s="113" t="s">
        <v>2525</v>
      </c>
      <c r="H717" s="93" t="e">
        <v>#N/A</v>
      </c>
      <c r="I717" s="99">
        <v>46076</v>
      </c>
      <c r="J717" s="83" t="s">
        <v>189</v>
      </c>
      <c r="K717" s="113"/>
      <c r="L717" s="113"/>
      <c r="M717" s="113"/>
      <c r="N717" s="113"/>
      <c r="O717" s="113"/>
    </row>
    <row r="718" spans="1:15" s="111" customFormat="1" hidden="1">
      <c r="A718" s="111" t="str">
        <f t="shared" si="22"/>
        <v>CASS.comBluetooth SpeakerSpeakerSpeaker</v>
      </c>
      <c r="B718" s="112" t="str">
        <f t="shared" si="23"/>
        <v>CA_SS.com</v>
      </c>
      <c r="C718" s="113" t="s">
        <v>345</v>
      </c>
      <c r="D718" s="113" t="s">
        <v>184</v>
      </c>
      <c r="E718" s="113" t="s">
        <v>2470</v>
      </c>
      <c r="F718" s="113" t="s">
        <v>2428</v>
      </c>
      <c r="G718" s="113" t="s">
        <v>2428</v>
      </c>
      <c r="H718" s="93" t="e">
        <v>#N/A</v>
      </c>
      <c r="I718" s="99">
        <v>46076</v>
      </c>
      <c r="J718" s="83" t="s">
        <v>189</v>
      </c>
      <c r="K718" s="113"/>
      <c r="L718" s="113"/>
      <c r="M718" s="113"/>
      <c r="N718" s="113"/>
      <c r="O718" s="113"/>
    </row>
    <row r="719" spans="1:15" s="111" customFormat="1" hidden="1">
      <c r="A719" s="111" t="str">
        <f t="shared" si="22"/>
        <v>CASS.comBluetooth SpeakerSpeakers Bluetooth WirelessSpeakers Bluetooth Wireless</v>
      </c>
      <c r="B719" s="112" t="str">
        <f t="shared" si="23"/>
        <v>CA_SS.com</v>
      </c>
      <c r="C719" s="113" t="s">
        <v>345</v>
      </c>
      <c r="D719" s="113" t="s">
        <v>184</v>
      </c>
      <c r="E719" s="113" t="s">
        <v>2470</v>
      </c>
      <c r="F719" s="113" t="s">
        <v>2526</v>
      </c>
      <c r="G719" s="113" t="s">
        <v>2526</v>
      </c>
      <c r="H719" s="93" t="e">
        <v>#N/A</v>
      </c>
      <c r="I719" s="99">
        <v>46076</v>
      </c>
      <c r="J719" s="83" t="s">
        <v>189</v>
      </c>
      <c r="K719" s="113"/>
      <c r="L719" s="113"/>
      <c r="M719" s="113"/>
      <c r="N719" s="113"/>
      <c r="O719" s="113"/>
    </row>
    <row r="720" spans="1:15" s="111" customFormat="1" hidden="1">
      <c r="A720" s="111" t="str">
        <f t="shared" si="22"/>
        <v>CASS.comSoundbaraudioaudio</v>
      </c>
      <c r="B720" s="112" t="str">
        <f t="shared" si="23"/>
        <v>CA_SS.com</v>
      </c>
      <c r="C720" s="113" t="s">
        <v>345</v>
      </c>
      <c r="D720" s="113" t="s">
        <v>184</v>
      </c>
      <c r="E720" s="113" t="s">
        <v>2363</v>
      </c>
      <c r="F720" s="113" t="s">
        <v>2528</v>
      </c>
      <c r="G720" s="113" t="s">
        <v>2528</v>
      </c>
      <c r="H720" s="93" t="e">
        <v>#N/A</v>
      </c>
      <c r="I720" s="99">
        <v>46076</v>
      </c>
      <c r="J720" s="83" t="s">
        <v>189</v>
      </c>
      <c r="K720" s="113"/>
      <c r="L720" s="113"/>
      <c r="M720" s="113"/>
      <c r="N720" s="113"/>
      <c r="O720" s="113"/>
    </row>
    <row r="721" spans="1:15" s="111" customFormat="1" hidden="1">
      <c r="A721" s="111" t="str">
        <f t="shared" si="22"/>
        <v>CASS.comSoundbarsound systemsound system</v>
      </c>
      <c r="B721" s="112" t="str">
        <f t="shared" si="23"/>
        <v>CA_SS.com</v>
      </c>
      <c r="C721" s="113" t="s">
        <v>345</v>
      </c>
      <c r="D721" s="113" t="s">
        <v>184</v>
      </c>
      <c r="E721" s="113" t="s">
        <v>2363</v>
      </c>
      <c r="F721" s="113" t="s">
        <v>2530</v>
      </c>
      <c r="G721" s="113" t="s">
        <v>2530</v>
      </c>
      <c r="H721" s="93" t="e">
        <v>#N/A</v>
      </c>
      <c r="I721" s="99">
        <v>46076</v>
      </c>
      <c r="J721" s="83" t="s">
        <v>189</v>
      </c>
      <c r="K721" s="113"/>
      <c r="L721" s="113"/>
      <c r="M721" s="113"/>
      <c r="N721" s="113"/>
      <c r="O721" s="113"/>
    </row>
    <row r="722" spans="1:15" s="111" customFormat="1" hidden="1">
      <c r="A722" s="111" t="str">
        <f t="shared" si="22"/>
        <v>CASS.comSoundbarsoundbarssoundbars</v>
      </c>
      <c r="B722" s="112" t="str">
        <f t="shared" si="23"/>
        <v>CA_SS.com</v>
      </c>
      <c r="C722" s="113" t="s">
        <v>345</v>
      </c>
      <c r="D722" s="113" t="s">
        <v>184</v>
      </c>
      <c r="E722" s="113" t="s">
        <v>2363</v>
      </c>
      <c r="F722" s="113" t="s">
        <v>2531</v>
      </c>
      <c r="G722" s="113" t="s">
        <v>2531</v>
      </c>
      <c r="H722" s="93" t="e">
        <v>#N/A</v>
      </c>
      <c r="I722" s="99">
        <v>46076</v>
      </c>
      <c r="J722" s="83" t="s">
        <v>189</v>
      </c>
      <c r="K722" s="113"/>
      <c r="L722" s="113"/>
      <c r="M722" s="113"/>
      <c r="N722" s="113"/>
      <c r="O722" s="113"/>
    </row>
    <row r="723" spans="1:15" s="111" customFormat="1" hidden="1">
      <c r="A723" s="111" t="str">
        <f t="shared" si="22"/>
        <v>CASS.comSoundbarspeakersspeakers</v>
      </c>
      <c r="B723" s="112" t="str">
        <f t="shared" si="23"/>
        <v>CA_SS.com</v>
      </c>
      <c r="C723" s="113" t="s">
        <v>345</v>
      </c>
      <c r="D723" s="113" t="s">
        <v>184</v>
      </c>
      <c r="E723" s="113" t="s">
        <v>2363</v>
      </c>
      <c r="F723" s="113" t="s">
        <v>2471</v>
      </c>
      <c r="G723" s="113" t="s">
        <v>2471</v>
      </c>
      <c r="H723" s="93" t="e">
        <v>#N/A</v>
      </c>
      <c r="I723" s="99">
        <v>46076</v>
      </c>
      <c r="J723" s="83" t="s">
        <v>189</v>
      </c>
      <c r="K723" s="113"/>
      <c r="L723" s="113"/>
      <c r="M723" s="113"/>
      <c r="N723" s="113"/>
      <c r="O723" s="113"/>
    </row>
    <row r="724" spans="1:15" s="111" customFormat="1" hidden="1">
      <c r="A724" s="111" t="str">
        <f t="shared" si="22"/>
        <v>CASS.comWIRELESS HEADSETBluetooth earbudsBluetooth earbuds</v>
      </c>
      <c r="B724" s="112" t="str">
        <f t="shared" si="23"/>
        <v>CA_SS.com</v>
      </c>
      <c r="C724" s="113" t="s">
        <v>345</v>
      </c>
      <c r="D724" s="113" t="s">
        <v>184</v>
      </c>
      <c r="E724" s="113" t="s">
        <v>2201</v>
      </c>
      <c r="F724" s="113" t="s">
        <v>2382</v>
      </c>
      <c r="G724" s="113" t="s">
        <v>2382</v>
      </c>
      <c r="H724" s="93" t="e">
        <v>#N/A</v>
      </c>
      <c r="I724" s="99">
        <v>46076</v>
      </c>
      <c r="J724" s="83" t="s">
        <v>189</v>
      </c>
      <c r="K724" s="113"/>
      <c r="L724" s="113"/>
      <c r="M724" s="113"/>
      <c r="N724" s="113"/>
      <c r="O724" s="113"/>
    </row>
    <row r="725" spans="1:15" s="111" customFormat="1" hidden="1">
      <c r="A725" s="111" t="str">
        <f t="shared" si="22"/>
        <v>CASS.comWIRELESS HEADSETBluetooth HeadphonesBluetooth Headphones</v>
      </c>
      <c r="B725" s="112" t="str">
        <f t="shared" si="23"/>
        <v>CA_SS.com</v>
      </c>
      <c r="C725" s="113" t="s">
        <v>345</v>
      </c>
      <c r="D725" s="113" t="s">
        <v>184</v>
      </c>
      <c r="E725" s="113" t="s">
        <v>2201</v>
      </c>
      <c r="F725" s="113" t="s">
        <v>2533</v>
      </c>
      <c r="G725" s="113" t="s">
        <v>2533</v>
      </c>
      <c r="H725" s="93" t="e">
        <v>#N/A</v>
      </c>
      <c r="I725" s="99">
        <v>46076</v>
      </c>
      <c r="J725" s="83" t="s">
        <v>189</v>
      </c>
      <c r="K725" s="113"/>
      <c r="L725" s="113"/>
      <c r="M725" s="113"/>
      <c r="N725" s="113"/>
      <c r="O725" s="113"/>
    </row>
    <row r="726" spans="1:15" s="111" customFormat="1" hidden="1">
      <c r="A726" s="111" t="str">
        <f t="shared" si="22"/>
        <v>CASS.comWIRELESS HEADSETEar budsEar buds</v>
      </c>
      <c r="B726" s="112" t="str">
        <f t="shared" si="23"/>
        <v>CA_SS.com</v>
      </c>
      <c r="C726" s="113" t="s">
        <v>345</v>
      </c>
      <c r="D726" s="113" t="s">
        <v>184</v>
      </c>
      <c r="E726" s="113" t="s">
        <v>2201</v>
      </c>
      <c r="F726" s="113" t="s">
        <v>2380</v>
      </c>
      <c r="G726" s="113" t="s">
        <v>2380</v>
      </c>
      <c r="H726" s="93" t="e">
        <v>#N/A</v>
      </c>
      <c r="I726" s="99">
        <v>46076</v>
      </c>
      <c r="J726" s="83" t="s">
        <v>189</v>
      </c>
      <c r="K726" s="113"/>
      <c r="L726" s="113"/>
      <c r="M726" s="113"/>
      <c r="N726" s="113"/>
      <c r="O726" s="113"/>
    </row>
    <row r="727" spans="1:15" s="111" customFormat="1" hidden="1">
      <c r="A727" s="111" t="str">
        <f t="shared" si="22"/>
        <v>CASS.comWIRELESS HEADSETEarbudsEarbuds</v>
      </c>
      <c r="B727" s="112" t="str">
        <f t="shared" si="23"/>
        <v>CA_SS.com</v>
      </c>
      <c r="C727" s="113" t="s">
        <v>345</v>
      </c>
      <c r="D727" s="113" t="s">
        <v>184</v>
      </c>
      <c r="E727" s="113" t="s">
        <v>2201</v>
      </c>
      <c r="F727" s="113" t="s">
        <v>2534</v>
      </c>
      <c r="G727" s="113" t="s">
        <v>2534</v>
      </c>
      <c r="H727" s="93" t="e">
        <v>#N/A</v>
      </c>
      <c r="I727" s="99">
        <v>46076</v>
      </c>
      <c r="J727" s="83" t="s">
        <v>189</v>
      </c>
      <c r="K727" s="113"/>
      <c r="L727" s="113"/>
      <c r="M727" s="113"/>
      <c r="N727" s="113"/>
      <c r="O727" s="113"/>
    </row>
    <row r="728" spans="1:15" s="111" customFormat="1" hidden="1">
      <c r="A728" s="111" t="str">
        <f t="shared" si="22"/>
        <v>CASS.comWIRELESS HEADSETWireless earbudsWireless earbuds</v>
      </c>
      <c r="B728" s="112" t="str">
        <f t="shared" si="23"/>
        <v>CA_SS.com</v>
      </c>
      <c r="C728" s="113" t="s">
        <v>345</v>
      </c>
      <c r="D728" s="113" t="s">
        <v>184</v>
      </c>
      <c r="E728" s="113" t="s">
        <v>2201</v>
      </c>
      <c r="F728" s="113" t="s">
        <v>2376</v>
      </c>
      <c r="G728" s="113" t="s">
        <v>2376</v>
      </c>
      <c r="H728" s="93" t="e">
        <v>#N/A</v>
      </c>
      <c r="I728" s="99">
        <v>46076</v>
      </c>
      <c r="J728" s="83" t="s">
        <v>189</v>
      </c>
      <c r="K728" s="113"/>
      <c r="L728" s="113"/>
      <c r="M728" s="113"/>
      <c r="N728" s="113"/>
      <c r="O728" s="113"/>
    </row>
    <row r="729" spans="1:15" hidden="1">
      <c r="A729" s="75" t="str">
        <f t="shared" si="22"/>
        <v>CATHEBRICKDishwasherBuilt in Dish washerBuilt in Dish washer</v>
      </c>
      <c r="B729" s="94" t="str">
        <f t="shared" si="23"/>
        <v>CA_THEBRICK</v>
      </c>
      <c r="C729" s="93" t="s">
        <v>345</v>
      </c>
      <c r="D729" s="93" t="s">
        <v>355</v>
      </c>
      <c r="E729" s="93" t="s">
        <v>2440</v>
      </c>
      <c r="F729" s="93" t="s">
        <v>2356</v>
      </c>
      <c r="G729" s="93" t="s">
        <v>2356</v>
      </c>
      <c r="H729" s="93" t="e">
        <v>#N/A</v>
      </c>
      <c r="I729" s="105" t="s">
        <v>2310</v>
      </c>
      <c r="J729" s="93" t="s">
        <v>189</v>
      </c>
      <c r="K729" s="93">
        <v>12</v>
      </c>
      <c r="L729" s="93">
        <v>12</v>
      </c>
      <c r="M729" s="93" t="s">
        <v>2311</v>
      </c>
      <c r="N729" s="93">
        <f>VLOOKUP(B729,'[16]01.수집 카테고리(List)'!$A$2:$H$64,8,FALSE)</f>
        <v>99991231</v>
      </c>
      <c r="O729" s="93" t="s">
        <v>646</v>
      </c>
    </row>
    <row r="730" spans="1:15" hidden="1">
      <c r="A730" s="75" t="str">
        <f t="shared" si="22"/>
        <v>CATHEBRICKDishwasherBuilt under Dish washerBuilt under Dish washer</v>
      </c>
      <c r="B730" s="94" t="str">
        <f t="shared" si="23"/>
        <v>CA_THEBRICK</v>
      </c>
      <c r="C730" s="93" t="s">
        <v>345</v>
      </c>
      <c r="D730" s="93" t="s">
        <v>355</v>
      </c>
      <c r="E730" s="93" t="s">
        <v>2440</v>
      </c>
      <c r="F730" s="93" t="s">
        <v>2538</v>
      </c>
      <c r="G730" s="93" t="s">
        <v>2538</v>
      </c>
      <c r="H730" s="93" t="e">
        <v>#N/A</v>
      </c>
      <c r="I730" s="105" t="s">
        <v>2310</v>
      </c>
      <c r="J730" s="93" t="s">
        <v>189</v>
      </c>
      <c r="K730" s="93">
        <v>70</v>
      </c>
      <c r="L730" s="93">
        <v>70</v>
      </c>
      <c r="M730" s="93" t="s">
        <v>2311</v>
      </c>
      <c r="N730" s="93">
        <f>VLOOKUP(B730,'[16]01.수집 카테고리(List)'!$A$2:$H$64,8,FALSE)</f>
        <v>99991231</v>
      </c>
      <c r="O730" s="93" t="s">
        <v>646</v>
      </c>
    </row>
    <row r="731" spans="1:15" hidden="1">
      <c r="A731" s="75" t="str">
        <f t="shared" si="22"/>
        <v>CATHEBRICKDishwasherFree standing Dish washerFree standing Dish washer</v>
      </c>
      <c r="B731" s="94" t="str">
        <f t="shared" si="23"/>
        <v>CA_THEBRICK</v>
      </c>
      <c r="C731" s="93" t="s">
        <v>345</v>
      </c>
      <c r="D731" s="93" t="s">
        <v>355</v>
      </c>
      <c r="E731" s="93" t="s">
        <v>2440</v>
      </c>
      <c r="F731" s="93" t="s">
        <v>2539</v>
      </c>
      <c r="G731" s="93" t="s">
        <v>2539</v>
      </c>
      <c r="H731" s="93" t="e">
        <v>#N/A</v>
      </c>
      <c r="I731" s="105" t="s">
        <v>2310</v>
      </c>
      <c r="J731" s="93" t="s">
        <v>189</v>
      </c>
      <c r="K731" s="93">
        <v>1638</v>
      </c>
      <c r="L731" s="93">
        <v>1638</v>
      </c>
      <c r="M731" s="93" t="s">
        <v>2311</v>
      </c>
      <c r="N731" s="93">
        <f>VLOOKUP(B731,'[16]01.수집 카테고리(List)'!$A$2:$H$64,8,FALSE)</f>
        <v>99991231</v>
      </c>
      <c r="O731" s="93" t="s">
        <v>646</v>
      </c>
    </row>
    <row r="732" spans="1:15" hidden="1">
      <c r="A732" s="75" t="str">
        <f t="shared" si="22"/>
        <v>CATHEBRICKDryerDryerDryer</v>
      </c>
      <c r="B732" s="94" t="str">
        <f t="shared" si="23"/>
        <v>CA_THEBRICK</v>
      </c>
      <c r="C732" s="93" t="s">
        <v>345</v>
      </c>
      <c r="D732" s="93" t="s">
        <v>355</v>
      </c>
      <c r="E732" s="93" t="s">
        <v>2431</v>
      </c>
      <c r="F732" s="93" t="s">
        <v>2431</v>
      </c>
      <c r="G732" s="93" t="s">
        <v>2431</v>
      </c>
      <c r="H732" s="93" t="e">
        <v>#N/A</v>
      </c>
      <c r="I732" s="105" t="s">
        <v>2310</v>
      </c>
      <c r="J732" s="93" t="s">
        <v>189</v>
      </c>
      <c r="K732" s="93">
        <v>65</v>
      </c>
      <c r="L732" s="93">
        <v>65</v>
      </c>
      <c r="M732" s="93" t="s">
        <v>2311</v>
      </c>
      <c r="N732" s="93">
        <f>VLOOKUP(B732,'[16]01.수집 카테고리(List)'!$A$2:$H$64,8,FALSE)</f>
        <v>99991231</v>
      </c>
      <c r="O732" s="93" t="s">
        <v>646</v>
      </c>
    </row>
    <row r="733" spans="1:15" hidden="1">
      <c r="A733" s="75" t="str">
        <f t="shared" si="22"/>
        <v>CATHEBRICKDryerElectric dryerElectric dryer</v>
      </c>
      <c r="B733" s="94" t="str">
        <f t="shared" si="23"/>
        <v>CA_THEBRICK</v>
      </c>
      <c r="C733" s="93" t="s">
        <v>345</v>
      </c>
      <c r="D733" s="93" t="s">
        <v>355</v>
      </c>
      <c r="E733" s="93" t="s">
        <v>2431</v>
      </c>
      <c r="F733" s="93" t="s">
        <v>2536</v>
      </c>
      <c r="G733" s="93" t="s">
        <v>2536</v>
      </c>
      <c r="H733" s="93" t="e">
        <v>#N/A</v>
      </c>
      <c r="I733" s="105" t="s">
        <v>2310</v>
      </c>
      <c r="J733" s="93" t="s">
        <v>189</v>
      </c>
      <c r="K733" s="93">
        <v>40</v>
      </c>
      <c r="L733" s="93">
        <v>40</v>
      </c>
      <c r="M733" s="93" t="s">
        <v>2311</v>
      </c>
      <c r="N733" s="93">
        <f>VLOOKUP(B733,'[16]01.수집 카테고리(List)'!$A$2:$H$64,8,FALSE)</f>
        <v>99991231</v>
      </c>
      <c r="O733" s="93" t="s">
        <v>646</v>
      </c>
    </row>
    <row r="734" spans="1:15" hidden="1">
      <c r="A734" s="75" t="str">
        <f t="shared" si="22"/>
        <v>CATHEBRICKDryerGas dryerGas dryer</v>
      </c>
      <c r="B734" s="94" t="str">
        <f t="shared" si="23"/>
        <v>CA_THEBRICK</v>
      </c>
      <c r="C734" s="93" t="s">
        <v>345</v>
      </c>
      <c r="D734" s="93" t="s">
        <v>355</v>
      </c>
      <c r="E734" s="93" t="s">
        <v>2431</v>
      </c>
      <c r="F734" s="93" t="s">
        <v>2537</v>
      </c>
      <c r="G734" s="93" t="s">
        <v>2537</v>
      </c>
      <c r="H734" s="93" t="e">
        <v>#N/A</v>
      </c>
      <c r="I734" s="105" t="s">
        <v>2310</v>
      </c>
      <c r="J734" s="93" t="s">
        <v>189</v>
      </c>
      <c r="K734" s="93">
        <v>4</v>
      </c>
      <c r="L734" s="93">
        <v>4</v>
      </c>
      <c r="M734" s="93" t="s">
        <v>2311</v>
      </c>
      <c r="N734" s="93">
        <f>VLOOKUP(B734,'[16]01.수집 카테고리(List)'!$A$2:$H$64,8,FALSE)</f>
        <v>99991231</v>
      </c>
      <c r="O734" s="93" t="s">
        <v>646</v>
      </c>
    </row>
    <row r="735" spans="1:15" hidden="1">
      <c r="A735" s="75" t="str">
        <f t="shared" si="22"/>
        <v>CATHEBRICKDryerwasher dryer combowasher dryer combo</v>
      </c>
      <c r="B735" s="94" t="str">
        <f t="shared" si="23"/>
        <v>CA_THEBRICK</v>
      </c>
      <c r="C735" s="93" t="s">
        <v>345</v>
      </c>
      <c r="D735" s="93" t="s">
        <v>355</v>
      </c>
      <c r="E735" s="93" t="s">
        <v>2431</v>
      </c>
      <c r="F735" s="93" t="s">
        <v>2338</v>
      </c>
      <c r="G735" s="93" t="s">
        <v>2338</v>
      </c>
      <c r="H735" s="93" t="e">
        <v>#N/A</v>
      </c>
      <c r="I735" s="105" t="s">
        <v>2310</v>
      </c>
      <c r="J735" s="93" t="s">
        <v>189</v>
      </c>
      <c r="K735" s="93">
        <v>6</v>
      </c>
      <c r="L735" s="93">
        <v>6</v>
      </c>
      <c r="M735" s="93" t="s">
        <v>2311</v>
      </c>
      <c r="N735" s="93">
        <f>VLOOKUP(B735,'[16]01.수집 카테고리(List)'!$A$2:$H$64,8,FALSE)</f>
        <v>99991231</v>
      </c>
      <c r="O735" s="93" t="s">
        <v>646</v>
      </c>
    </row>
    <row r="736" spans="1:15" hidden="1">
      <c r="A736" s="75" t="str">
        <f t="shared" si="22"/>
        <v>CATHEBRICKOvenCooktopCooktop</v>
      </c>
      <c r="B736" s="94" t="str">
        <f t="shared" si="23"/>
        <v>CA_THEBRICK</v>
      </c>
      <c r="C736" s="93" t="s">
        <v>345</v>
      </c>
      <c r="D736" s="93" t="s">
        <v>355</v>
      </c>
      <c r="E736" s="93" t="s">
        <v>2540</v>
      </c>
      <c r="F736" s="93" t="s">
        <v>2541</v>
      </c>
      <c r="G736" s="93" t="s">
        <v>2541</v>
      </c>
      <c r="H736" s="93" t="e">
        <v>#N/A</v>
      </c>
      <c r="I736" s="105" t="s">
        <v>2310</v>
      </c>
      <c r="J736" s="93" t="s">
        <v>189</v>
      </c>
      <c r="K736" s="93">
        <v>156</v>
      </c>
      <c r="L736" s="93">
        <v>156</v>
      </c>
      <c r="M736" s="93" t="s">
        <v>2311</v>
      </c>
      <c r="N736" s="93">
        <f>VLOOKUP(B736,'[16]01.수집 카테고리(List)'!$A$2:$H$64,8,FALSE)</f>
        <v>99991231</v>
      </c>
      <c r="O736" s="93" t="s">
        <v>646</v>
      </c>
    </row>
    <row r="737" spans="1:15" hidden="1">
      <c r="A737" s="75" t="str">
        <f t="shared" si="22"/>
        <v>CATHEBRICKOvenelectric rangeelectric range</v>
      </c>
      <c r="B737" s="94" t="str">
        <f t="shared" si="23"/>
        <v>CA_THEBRICK</v>
      </c>
      <c r="C737" s="93" t="s">
        <v>345</v>
      </c>
      <c r="D737" s="93" t="s">
        <v>355</v>
      </c>
      <c r="E737" s="93" t="s">
        <v>2540</v>
      </c>
      <c r="F737" s="93" t="s">
        <v>2542</v>
      </c>
      <c r="G737" s="93" t="s">
        <v>2542</v>
      </c>
      <c r="H737" s="93" t="e">
        <v>#N/A</v>
      </c>
      <c r="I737" s="105" t="s">
        <v>2310</v>
      </c>
      <c r="J737" s="93" t="s">
        <v>189</v>
      </c>
      <c r="K737" s="93">
        <v>145</v>
      </c>
      <c r="L737" s="93">
        <v>145</v>
      </c>
      <c r="M737" s="93" t="s">
        <v>2311</v>
      </c>
      <c r="N737" s="93">
        <f>VLOOKUP(B737,'[16]01.수집 카테고리(List)'!$A$2:$H$64,8,FALSE)</f>
        <v>99991231</v>
      </c>
      <c r="O737" s="93" t="s">
        <v>646</v>
      </c>
    </row>
    <row r="738" spans="1:15" hidden="1">
      <c r="A738" s="75" t="str">
        <f t="shared" si="22"/>
        <v>CATHEBRICKOvengas rangegas range</v>
      </c>
      <c r="B738" s="94" t="str">
        <f t="shared" si="23"/>
        <v>CA_THEBRICK</v>
      </c>
      <c r="C738" s="93" t="s">
        <v>345</v>
      </c>
      <c r="D738" s="93" t="s">
        <v>355</v>
      </c>
      <c r="E738" s="93" t="s">
        <v>2540</v>
      </c>
      <c r="F738" s="93" t="s">
        <v>2543</v>
      </c>
      <c r="G738" s="93" t="s">
        <v>2543</v>
      </c>
      <c r="H738" s="93" t="e">
        <v>#N/A</v>
      </c>
      <c r="I738" s="105" t="s">
        <v>2310</v>
      </c>
      <c r="J738" s="93" t="s">
        <v>189</v>
      </c>
      <c r="K738" s="93">
        <v>94</v>
      </c>
      <c r="L738" s="93">
        <v>94</v>
      </c>
      <c r="M738" s="93" t="s">
        <v>2311</v>
      </c>
      <c r="N738" s="93">
        <f>VLOOKUP(B738,'[16]01.수집 카테고리(List)'!$A$2:$H$64,8,FALSE)</f>
        <v>99991231</v>
      </c>
      <c r="O738" s="93" t="s">
        <v>646</v>
      </c>
    </row>
    <row r="739" spans="1:15" hidden="1">
      <c r="A739" s="75" t="str">
        <f t="shared" si="22"/>
        <v>CATHEBRICKOvenWall OvenWall Oven</v>
      </c>
      <c r="B739" s="94" t="str">
        <f t="shared" si="23"/>
        <v>CA_THEBRICK</v>
      </c>
      <c r="C739" s="93" t="s">
        <v>345</v>
      </c>
      <c r="D739" s="93" t="s">
        <v>355</v>
      </c>
      <c r="E739" s="93" t="s">
        <v>2540</v>
      </c>
      <c r="F739" s="93" t="s">
        <v>2544</v>
      </c>
      <c r="G739" s="93" t="s">
        <v>2544</v>
      </c>
      <c r="H739" s="93" t="e">
        <v>#N/A</v>
      </c>
      <c r="I739" s="105" t="s">
        <v>2310</v>
      </c>
      <c r="J739" s="93" t="s">
        <v>189</v>
      </c>
      <c r="K739" s="93">
        <v>116</v>
      </c>
      <c r="L739" s="93">
        <v>116</v>
      </c>
      <c r="M739" s="93" t="s">
        <v>2311</v>
      </c>
      <c r="N739" s="93">
        <f>VLOOKUP(B739,'[16]01.수집 카테고리(List)'!$A$2:$H$64,8,FALSE)</f>
        <v>99991231</v>
      </c>
      <c r="O739" s="93" t="s">
        <v>646</v>
      </c>
    </row>
    <row r="740" spans="1:15" hidden="1">
      <c r="A740" s="75" t="str">
        <f t="shared" si="22"/>
        <v>CATHEBRICKRefrigerator4 door french door refrigerator4 door french door refrigerator</v>
      </c>
      <c r="B740" s="94" t="str">
        <f t="shared" si="23"/>
        <v>CA_THEBRICK</v>
      </c>
      <c r="C740" s="93" t="s">
        <v>345</v>
      </c>
      <c r="D740" s="93" t="s">
        <v>355</v>
      </c>
      <c r="E740" s="93" t="s">
        <v>2326</v>
      </c>
      <c r="F740" s="93" t="s">
        <v>2519</v>
      </c>
      <c r="G740" s="93" t="s">
        <v>2519</v>
      </c>
      <c r="H740" s="93" t="e">
        <v>#N/A</v>
      </c>
      <c r="I740" s="105" t="s">
        <v>2310</v>
      </c>
      <c r="J740" s="93" t="s">
        <v>189</v>
      </c>
      <c r="K740" s="93">
        <v>7</v>
      </c>
      <c r="L740" s="93">
        <v>7</v>
      </c>
      <c r="M740" s="93" t="s">
        <v>2311</v>
      </c>
      <c r="N740" s="93">
        <f>VLOOKUP(B740,'[16]01.수집 카테고리(List)'!$A$2:$H$64,8,FALSE)</f>
        <v>99991231</v>
      </c>
      <c r="O740" s="93" t="s">
        <v>646</v>
      </c>
    </row>
    <row r="741" spans="1:15" hidden="1">
      <c r="A741" s="75" t="str">
        <f t="shared" si="22"/>
        <v>CATHEBRICKRefrigeratorbottom freezer refrigeratorbottom freezer</v>
      </c>
      <c r="B741" s="94" t="str">
        <f t="shared" si="23"/>
        <v>CA_THEBRICK</v>
      </c>
      <c r="C741" s="93" t="s">
        <v>345</v>
      </c>
      <c r="D741" s="93" t="s">
        <v>355</v>
      </c>
      <c r="E741" s="93" t="s">
        <v>2326</v>
      </c>
      <c r="F741" s="93" t="s">
        <v>2327</v>
      </c>
      <c r="G741" s="93" t="s">
        <v>2520</v>
      </c>
      <c r="H741" s="93" t="e">
        <v>#N/A</v>
      </c>
      <c r="I741" s="105" t="s">
        <v>2310</v>
      </c>
      <c r="J741" s="93" t="s">
        <v>189</v>
      </c>
      <c r="K741" s="93">
        <v>5</v>
      </c>
      <c r="L741" s="93" t="e">
        <v>#N/A</v>
      </c>
      <c r="M741" s="93" t="s">
        <v>2311</v>
      </c>
      <c r="N741" s="93">
        <f>VLOOKUP(B741,'[16]01.수집 카테고리(List)'!$A$2:$H$64,8,FALSE)</f>
        <v>99991231</v>
      </c>
      <c r="O741" s="93" t="s">
        <v>646</v>
      </c>
    </row>
    <row r="742" spans="1:15" hidden="1">
      <c r="A742" s="75" t="str">
        <f t="shared" si="22"/>
        <v>CATHEBRICKRefrigeratorcounter depth refrigeratorcounter depth refrigerator</v>
      </c>
      <c r="B742" s="94" t="str">
        <f t="shared" si="23"/>
        <v>CA_THEBRICK</v>
      </c>
      <c r="C742" s="93" t="s">
        <v>345</v>
      </c>
      <c r="D742" s="93" t="s">
        <v>355</v>
      </c>
      <c r="E742" s="93" t="s">
        <v>2326</v>
      </c>
      <c r="F742" s="93" t="s">
        <v>2521</v>
      </c>
      <c r="G742" s="93" t="s">
        <v>2521</v>
      </c>
      <c r="H742" s="93" t="e">
        <v>#N/A</v>
      </c>
      <c r="I742" s="105" t="s">
        <v>2310</v>
      </c>
      <c r="J742" s="93" t="s">
        <v>189</v>
      </c>
      <c r="K742" s="93">
        <v>39</v>
      </c>
      <c r="L742" s="93">
        <v>39</v>
      </c>
      <c r="M742" s="93" t="s">
        <v>2311</v>
      </c>
      <c r="N742" s="93">
        <f>VLOOKUP(B742,'[16]01.수집 카테고리(List)'!$A$2:$H$64,8,FALSE)</f>
        <v>99991231</v>
      </c>
      <c r="O742" s="93" t="s">
        <v>646</v>
      </c>
    </row>
    <row r="743" spans="1:15" hidden="1">
      <c r="A743" s="75" t="str">
        <f t="shared" si="22"/>
        <v>CATHEBRICKRefrigeratorfrench door refrigeratorfrench door refrigerator</v>
      </c>
      <c r="B743" s="94" t="str">
        <f t="shared" si="23"/>
        <v>CA_THEBRICK</v>
      </c>
      <c r="C743" s="93" t="s">
        <v>345</v>
      </c>
      <c r="D743" s="93" t="s">
        <v>355</v>
      </c>
      <c r="E743" s="93" t="s">
        <v>2326</v>
      </c>
      <c r="F743" s="93" t="s">
        <v>2328</v>
      </c>
      <c r="G743" s="93" t="s">
        <v>2328</v>
      </c>
      <c r="H743" s="93" t="e">
        <v>#N/A</v>
      </c>
      <c r="I743" s="105" t="s">
        <v>2310</v>
      </c>
      <c r="J743" s="93" t="s">
        <v>189</v>
      </c>
      <c r="K743" s="93">
        <v>59</v>
      </c>
      <c r="L743" s="93">
        <v>59</v>
      </c>
      <c r="M743" s="93" t="s">
        <v>2311</v>
      </c>
      <c r="N743" s="93">
        <f>VLOOKUP(B743,'[16]01.수집 카테고리(List)'!$A$2:$H$64,8,FALSE)</f>
        <v>99991231</v>
      </c>
      <c r="O743" s="93" t="s">
        <v>646</v>
      </c>
    </row>
    <row r="744" spans="1:15" hidden="1">
      <c r="A744" s="75" t="str">
        <f t="shared" si="22"/>
        <v>CATHEBRICKRefrigeratorrefrigeratorrefrigerator</v>
      </c>
      <c r="B744" s="94" t="str">
        <f t="shared" si="23"/>
        <v>CA_THEBRICK</v>
      </c>
      <c r="C744" s="93" t="s">
        <v>345</v>
      </c>
      <c r="D744" s="93" t="s">
        <v>355</v>
      </c>
      <c r="E744" s="93" t="s">
        <v>2326</v>
      </c>
      <c r="F744" s="93" t="s">
        <v>2329</v>
      </c>
      <c r="G744" s="93" t="s">
        <v>2329</v>
      </c>
      <c r="H744" s="93" t="e">
        <v>#N/A</v>
      </c>
      <c r="I744" s="105" t="s">
        <v>2310</v>
      </c>
      <c r="J744" s="93" t="s">
        <v>189</v>
      </c>
      <c r="K744" s="93">
        <v>149</v>
      </c>
      <c r="L744" s="93">
        <v>149</v>
      </c>
      <c r="M744" s="93" t="s">
        <v>2311</v>
      </c>
      <c r="N744" s="93">
        <f>VLOOKUP(B744,'[16]01.수집 카테고리(List)'!$A$2:$H$64,8,FALSE)</f>
        <v>99991231</v>
      </c>
      <c r="O744" s="93" t="s">
        <v>646</v>
      </c>
    </row>
    <row r="745" spans="1:15" hidden="1">
      <c r="A745" s="75" t="str">
        <f t="shared" si="22"/>
        <v>CATHEBRICKRefrigeratorside by side refrigeratorside by side refrigerator</v>
      </c>
      <c r="B745" s="94" t="str">
        <f t="shared" si="23"/>
        <v>CA_THEBRICK</v>
      </c>
      <c r="C745" s="93" t="s">
        <v>345</v>
      </c>
      <c r="D745" s="93" t="s">
        <v>355</v>
      </c>
      <c r="E745" s="93" t="s">
        <v>2326</v>
      </c>
      <c r="F745" s="93" t="s">
        <v>2330</v>
      </c>
      <c r="G745" s="93" t="s">
        <v>2330</v>
      </c>
      <c r="H745" s="93" t="e">
        <v>#N/A</v>
      </c>
      <c r="I745" s="105" t="s">
        <v>2310</v>
      </c>
      <c r="J745" s="93" t="s">
        <v>189</v>
      </c>
      <c r="K745" s="93">
        <v>4898</v>
      </c>
      <c r="L745" s="93">
        <v>4898</v>
      </c>
      <c r="M745" s="93" t="s">
        <v>2311</v>
      </c>
      <c r="N745" s="93">
        <f>VLOOKUP(B745,'[16]01.수집 카테고리(List)'!$A$2:$H$64,8,FALSE)</f>
        <v>99991231</v>
      </c>
      <c r="O745" s="93" t="s">
        <v>646</v>
      </c>
    </row>
    <row r="746" spans="1:15" hidden="1">
      <c r="A746" s="75" t="str">
        <f t="shared" si="22"/>
        <v>CATHEBRICKRefrigeratortop freezer refrigeratortop freezer</v>
      </c>
      <c r="B746" s="94" t="str">
        <f t="shared" si="23"/>
        <v>CA_THEBRICK</v>
      </c>
      <c r="C746" s="93" t="s">
        <v>345</v>
      </c>
      <c r="D746" s="93" t="s">
        <v>355</v>
      </c>
      <c r="E746" s="93" t="s">
        <v>2326</v>
      </c>
      <c r="F746" s="93" t="s">
        <v>2332</v>
      </c>
      <c r="G746" s="93" t="s">
        <v>2522</v>
      </c>
      <c r="H746" s="93" t="e">
        <v>#N/A</v>
      </c>
      <c r="I746" s="105" t="s">
        <v>2310</v>
      </c>
      <c r="J746" s="93" t="s">
        <v>189</v>
      </c>
      <c r="K746" s="93">
        <v>101</v>
      </c>
      <c r="L746" s="93" t="e">
        <v>#N/A</v>
      </c>
      <c r="M746" s="93" t="s">
        <v>2311</v>
      </c>
      <c r="N746" s="93">
        <f>VLOOKUP(B746,'[16]01.수집 카테고리(List)'!$A$2:$H$64,8,FALSE)</f>
        <v>99991231</v>
      </c>
      <c r="O746" s="93" t="s">
        <v>646</v>
      </c>
    </row>
    <row r="747" spans="1:15" hidden="1">
      <c r="A747" s="75" t="str">
        <f t="shared" si="22"/>
        <v>CATHEBRICKstylerclothes steamer/clothing steamerclothes steamer/clothing steamer</v>
      </c>
      <c r="B747" s="94" t="str">
        <f t="shared" si="23"/>
        <v>CA_THEBRICK</v>
      </c>
      <c r="C747" s="93" t="s">
        <v>345</v>
      </c>
      <c r="D747" s="93" t="s">
        <v>355</v>
      </c>
      <c r="E747" s="93" t="s">
        <v>2550</v>
      </c>
      <c r="F747" s="93" t="s">
        <v>2551</v>
      </c>
      <c r="G747" s="93" t="s">
        <v>2551</v>
      </c>
      <c r="H747" s="93" t="e">
        <v>#N/A</v>
      </c>
      <c r="I747" s="105" t="s">
        <v>2310</v>
      </c>
      <c r="J747" s="93" t="s">
        <v>189</v>
      </c>
      <c r="K747" s="93">
        <v>82</v>
      </c>
      <c r="L747" s="93">
        <v>82</v>
      </c>
      <c r="M747" s="93" t="s">
        <v>2311</v>
      </c>
      <c r="N747" s="93">
        <f>VLOOKUP(B747,'[16]01.수집 카테고리(List)'!$A$2:$H$64,8,FALSE)</f>
        <v>99991231</v>
      </c>
      <c r="O747" s="93" t="s">
        <v>646</v>
      </c>
    </row>
    <row r="748" spans="1:15" hidden="1">
      <c r="A748" s="75" t="str">
        <f t="shared" si="22"/>
        <v>CATHEBRICKstylersteam closetsteam closet</v>
      </c>
      <c r="B748" s="94" t="str">
        <f t="shared" si="23"/>
        <v>CA_THEBRICK</v>
      </c>
      <c r="C748" s="93" t="s">
        <v>345</v>
      </c>
      <c r="D748" s="93" t="s">
        <v>355</v>
      </c>
      <c r="E748" s="93" t="s">
        <v>2550</v>
      </c>
      <c r="F748" s="93" t="s">
        <v>2552</v>
      </c>
      <c r="G748" s="93" t="s">
        <v>2552</v>
      </c>
      <c r="H748" s="93" t="e">
        <v>#N/A</v>
      </c>
      <c r="I748" s="105" t="s">
        <v>2310</v>
      </c>
      <c r="J748" s="93" t="s">
        <v>189</v>
      </c>
      <c r="K748" s="93">
        <v>4</v>
      </c>
      <c r="L748" s="93">
        <v>4</v>
      </c>
      <c r="M748" s="93" t="s">
        <v>2311</v>
      </c>
      <c r="N748" s="93">
        <f>VLOOKUP(B748,'[16]01.수집 카테고리(List)'!$A$2:$H$64,8,FALSE)</f>
        <v>99991231</v>
      </c>
      <c r="O748" s="93" t="s">
        <v>646</v>
      </c>
    </row>
    <row r="749" spans="1:15" hidden="1">
      <c r="A749" s="75" t="str">
        <f t="shared" si="22"/>
        <v>CATHEBRICKWashing Machinefront loaderfront load washer</v>
      </c>
      <c r="B749" s="94" t="str">
        <f t="shared" si="23"/>
        <v>CA_THEBRICK</v>
      </c>
      <c r="C749" s="93" t="s">
        <v>345</v>
      </c>
      <c r="D749" s="93" t="s">
        <v>355</v>
      </c>
      <c r="E749" s="93" t="s">
        <v>2333</v>
      </c>
      <c r="F749" s="93" t="s">
        <v>2334</v>
      </c>
      <c r="G749" s="93" t="s">
        <v>2335</v>
      </c>
      <c r="H749" s="93" t="e">
        <v>#N/A</v>
      </c>
      <c r="I749" s="105" t="s">
        <v>2310</v>
      </c>
      <c r="J749" s="93" t="s">
        <v>189</v>
      </c>
      <c r="K749" s="93">
        <v>27</v>
      </c>
      <c r="L749" s="93" t="e">
        <v>#N/A</v>
      </c>
      <c r="M749" s="93" t="s">
        <v>2311</v>
      </c>
      <c r="N749" s="93">
        <f>VLOOKUP(B749,'[16]01.수집 카테고리(List)'!$A$2:$H$64,8,FALSE)</f>
        <v>99991231</v>
      </c>
      <c r="O749" s="93" t="s">
        <v>646</v>
      </c>
    </row>
    <row r="750" spans="1:15" hidden="1">
      <c r="A750" s="75" t="str">
        <f t="shared" si="22"/>
        <v>CATHEBRICKWashing Machinetop loadertop load washer</v>
      </c>
      <c r="B750" s="94" t="str">
        <f t="shared" si="23"/>
        <v>CA_THEBRICK</v>
      </c>
      <c r="C750" s="93" t="s">
        <v>345</v>
      </c>
      <c r="D750" s="93" t="s">
        <v>355</v>
      </c>
      <c r="E750" s="93" t="s">
        <v>2333</v>
      </c>
      <c r="F750" s="93" t="s">
        <v>2336</v>
      </c>
      <c r="G750" s="93" t="s">
        <v>2337</v>
      </c>
      <c r="H750" s="93" t="e">
        <v>#N/A</v>
      </c>
      <c r="I750" s="105" t="s">
        <v>2310</v>
      </c>
      <c r="J750" s="93" t="s">
        <v>189</v>
      </c>
      <c r="K750" s="93">
        <v>45</v>
      </c>
      <c r="L750" s="93" t="e">
        <v>#N/A</v>
      </c>
      <c r="M750" s="93" t="s">
        <v>2311</v>
      </c>
      <c r="N750" s="93">
        <f>VLOOKUP(B750,'[16]01.수집 카테고리(List)'!$A$2:$H$64,8,FALSE)</f>
        <v>99991231</v>
      </c>
      <c r="O750" s="93" t="s">
        <v>646</v>
      </c>
    </row>
    <row r="751" spans="1:15" hidden="1">
      <c r="A751" s="75" t="str">
        <f t="shared" si="22"/>
        <v>CATHEBRICKWashing Machinewashing machinewasher</v>
      </c>
      <c r="B751" s="94" t="str">
        <f t="shared" si="23"/>
        <v>CA_THEBRICK</v>
      </c>
      <c r="C751" s="93" t="s">
        <v>345</v>
      </c>
      <c r="D751" s="93" t="s">
        <v>355</v>
      </c>
      <c r="E751" s="93" t="s">
        <v>2333</v>
      </c>
      <c r="F751" s="93" t="s">
        <v>2340</v>
      </c>
      <c r="G751" s="93" t="s">
        <v>2523</v>
      </c>
      <c r="H751" s="93" t="e">
        <v>#N/A</v>
      </c>
      <c r="I751" s="105" t="s">
        <v>2310</v>
      </c>
      <c r="J751" s="93" t="s">
        <v>189</v>
      </c>
      <c r="K751" s="93">
        <v>95</v>
      </c>
      <c r="L751" s="93" t="e">
        <v>#N/A</v>
      </c>
      <c r="M751" s="93" t="s">
        <v>2311</v>
      </c>
      <c r="N751" s="93">
        <f>VLOOKUP(B751,'[16]01.수집 카테고리(List)'!$A$2:$H$64,8,FALSE)</f>
        <v>99991231</v>
      </c>
      <c r="O751" s="93" t="s">
        <v>646</v>
      </c>
    </row>
    <row r="752" spans="1:15" hidden="1">
      <c r="A752" s="75" t="str">
        <f t="shared" si="22"/>
        <v>CATHEBRICKWashing Machinewasher dryer combowasher dryer combo</v>
      </c>
      <c r="B752" s="94" t="str">
        <f t="shared" si="23"/>
        <v>CA_THEBRICK</v>
      </c>
      <c r="C752" s="93" t="s">
        <v>345</v>
      </c>
      <c r="D752" s="93" t="s">
        <v>355</v>
      </c>
      <c r="E752" s="93" t="s">
        <v>2333</v>
      </c>
      <c r="F752" s="93" t="s">
        <v>2338</v>
      </c>
      <c r="G752" s="93" t="s">
        <v>2338</v>
      </c>
      <c r="H752" s="93" t="e">
        <v>#N/A</v>
      </c>
      <c r="I752" s="105" t="s">
        <v>2310</v>
      </c>
      <c r="J752" s="93" t="s">
        <v>189</v>
      </c>
      <c r="K752" s="93">
        <v>6</v>
      </c>
      <c r="L752" s="93">
        <v>6</v>
      </c>
      <c r="M752" s="93" t="s">
        <v>2311</v>
      </c>
      <c r="N752" s="93">
        <f>VLOOKUP(B752,'[16]01.수집 카테고리(List)'!$A$2:$H$64,8,FALSE)</f>
        <v>99991231</v>
      </c>
      <c r="O752" s="93" t="s">
        <v>646</v>
      </c>
    </row>
    <row r="753" spans="1:15" s="81" customFormat="1" hidden="1">
      <c r="A753" s="81" t="str">
        <f t="shared" si="22"/>
        <v>CATHEBRICKTV4k TV4k TV</v>
      </c>
      <c r="B753" s="106" t="str">
        <f t="shared" si="23"/>
        <v>CA_THEBRICK</v>
      </c>
      <c r="C753" s="107" t="s">
        <v>345</v>
      </c>
      <c r="D753" s="107" t="s">
        <v>355</v>
      </c>
      <c r="E753" s="107" t="s">
        <v>2448</v>
      </c>
      <c r="F753" s="107" t="s">
        <v>2368</v>
      </c>
      <c r="G753" s="107" t="s">
        <v>2368</v>
      </c>
      <c r="H753" s="93" t="e">
        <v>#N/A</v>
      </c>
      <c r="I753" s="99">
        <v>46076</v>
      </c>
      <c r="J753" s="83" t="s">
        <v>189</v>
      </c>
      <c r="K753" s="107"/>
      <c r="L753" s="107"/>
      <c r="M753" s="107"/>
      <c r="N753" s="107"/>
      <c r="O753" s="107"/>
    </row>
    <row r="754" spans="1:15" s="81" customFormat="1" hidden="1">
      <c r="A754" s="81" t="str">
        <f t="shared" si="22"/>
        <v>CATHEBRICKTVoled TVoled TV</v>
      </c>
      <c r="B754" s="106" t="str">
        <f t="shared" si="23"/>
        <v>CA_THEBRICK</v>
      </c>
      <c r="C754" s="107" t="s">
        <v>345</v>
      </c>
      <c r="D754" s="107" t="s">
        <v>355</v>
      </c>
      <c r="E754" s="107" t="s">
        <v>2448</v>
      </c>
      <c r="F754" s="107" t="s">
        <v>2369</v>
      </c>
      <c r="G754" s="107" t="s">
        <v>2369</v>
      </c>
      <c r="H754" s="93" t="e">
        <v>#N/A</v>
      </c>
      <c r="I754" s="99">
        <v>46076</v>
      </c>
      <c r="J754" s="83" t="s">
        <v>189</v>
      </c>
      <c r="K754" s="107"/>
      <c r="L754" s="107"/>
      <c r="M754" s="107"/>
      <c r="N754" s="107"/>
      <c r="O754" s="107"/>
    </row>
    <row r="755" spans="1:15" s="81" customFormat="1" hidden="1">
      <c r="A755" s="81" t="str">
        <f t="shared" si="22"/>
        <v>CATHEBRICKTVsmart TVsmart TV</v>
      </c>
      <c r="B755" s="106" t="str">
        <f t="shared" si="23"/>
        <v>CA_THEBRICK</v>
      </c>
      <c r="C755" s="107" t="s">
        <v>345</v>
      </c>
      <c r="D755" s="107" t="s">
        <v>355</v>
      </c>
      <c r="E755" s="107" t="s">
        <v>2448</v>
      </c>
      <c r="F755" s="107" t="s">
        <v>2371</v>
      </c>
      <c r="G755" s="107" t="s">
        <v>2371</v>
      </c>
      <c r="H755" s="93" t="e">
        <v>#N/A</v>
      </c>
      <c r="I755" s="99">
        <v>46076</v>
      </c>
      <c r="J755" s="83" t="s">
        <v>189</v>
      </c>
      <c r="K755" s="107"/>
      <c r="L755" s="107"/>
      <c r="M755" s="107"/>
      <c r="N755" s="107"/>
      <c r="O755" s="107"/>
    </row>
    <row r="756" spans="1:15" s="81" customFormat="1" hidden="1">
      <c r="A756" s="81" t="str">
        <f t="shared" si="22"/>
        <v>CATHEBRICKTVTVTV</v>
      </c>
      <c r="B756" s="106" t="str">
        <f t="shared" si="23"/>
        <v>CA_THEBRICK</v>
      </c>
      <c r="C756" s="107" t="s">
        <v>345</v>
      </c>
      <c r="D756" s="107" t="s">
        <v>355</v>
      </c>
      <c r="E756" s="107" t="s">
        <v>2448</v>
      </c>
      <c r="F756" s="107" t="s">
        <v>161</v>
      </c>
      <c r="G756" s="107" t="s">
        <v>161</v>
      </c>
      <c r="H756" s="93" t="e">
        <v>#N/A</v>
      </c>
      <c r="I756" s="99">
        <v>46076</v>
      </c>
      <c r="J756" s="83" t="s">
        <v>189</v>
      </c>
      <c r="K756" s="107"/>
      <c r="L756" s="107"/>
      <c r="M756" s="107"/>
      <c r="N756" s="107"/>
      <c r="O756" s="107"/>
    </row>
    <row r="757" spans="1:15" s="81" customFormat="1" hidden="1">
      <c r="A757" s="81" t="str">
        <f t="shared" si="22"/>
        <v>CATHEBRICKTVuhd TVuhd TV</v>
      </c>
      <c r="B757" s="106" t="str">
        <f t="shared" si="23"/>
        <v>CA_THEBRICK</v>
      </c>
      <c r="C757" s="107" t="s">
        <v>345</v>
      </c>
      <c r="D757" s="107" t="s">
        <v>355</v>
      </c>
      <c r="E757" s="107" t="s">
        <v>2448</v>
      </c>
      <c r="F757" s="107" t="s">
        <v>2399</v>
      </c>
      <c r="G757" s="107" t="s">
        <v>2399</v>
      </c>
      <c r="H757" s="93" t="e">
        <v>#N/A</v>
      </c>
      <c r="I757" s="99">
        <v>46076</v>
      </c>
      <c r="J757" s="83" t="s">
        <v>189</v>
      </c>
      <c r="K757" s="107"/>
      <c r="L757" s="107"/>
      <c r="M757" s="107"/>
      <c r="N757" s="107"/>
      <c r="O757" s="107"/>
    </row>
    <row r="758" spans="1:15" s="81" customFormat="1" hidden="1">
      <c r="A758" s="81" t="str">
        <f t="shared" si="22"/>
        <v>CATHEBRICKMonitor4k monitor4k monitor</v>
      </c>
      <c r="B758" s="106" t="str">
        <f t="shared" si="23"/>
        <v>CA_THEBRICK</v>
      </c>
      <c r="C758" s="107" t="s">
        <v>345</v>
      </c>
      <c r="D758" s="107" t="s">
        <v>355</v>
      </c>
      <c r="E758" s="107" t="s">
        <v>2545</v>
      </c>
      <c r="F758" s="107" t="s">
        <v>2321</v>
      </c>
      <c r="G758" s="107" t="s">
        <v>2321</v>
      </c>
      <c r="H758" s="93" t="e">
        <v>#N/A</v>
      </c>
      <c r="I758" s="99">
        <v>46076</v>
      </c>
      <c r="J758" s="83" t="s">
        <v>189</v>
      </c>
      <c r="K758" s="107"/>
      <c r="L758" s="107"/>
      <c r="M758" s="107"/>
      <c r="N758" s="107"/>
      <c r="O758" s="107"/>
    </row>
    <row r="759" spans="1:15" s="81" customFormat="1" hidden="1">
      <c r="A759" s="81" t="str">
        <f t="shared" si="22"/>
        <v>CATHEBRICKMonitorgaming monitorgaming monitor</v>
      </c>
      <c r="B759" s="106" t="str">
        <f t="shared" si="23"/>
        <v>CA_THEBRICK</v>
      </c>
      <c r="C759" s="107" t="s">
        <v>345</v>
      </c>
      <c r="D759" s="107" t="s">
        <v>355</v>
      </c>
      <c r="E759" s="107" t="s">
        <v>2545</v>
      </c>
      <c r="F759" s="107" t="s">
        <v>2322</v>
      </c>
      <c r="G759" s="107" t="s">
        <v>2322</v>
      </c>
      <c r="H759" s="93" t="e">
        <v>#N/A</v>
      </c>
      <c r="I759" s="99">
        <v>46076</v>
      </c>
      <c r="J759" s="83" t="s">
        <v>189</v>
      </c>
      <c r="K759" s="107"/>
      <c r="L759" s="107"/>
      <c r="M759" s="107"/>
      <c r="N759" s="107"/>
      <c r="O759" s="107"/>
    </row>
    <row r="760" spans="1:15" s="81" customFormat="1" hidden="1">
      <c r="A760" s="81" t="str">
        <f t="shared" si="22"/>
        <v>CATHEBRICKMonitormonitormonitor</v>
      </c>
      <c r="B760" s="106" t="str">
        <f t="shared" si="23"/>
        <v>CA_THEBRICK</v>
      </c>
      <c r="C760" s="107" t="s">
        <v>345</v>
      </c>
      <c r="D760" s="107" t="s">
        <v>355</v>
      </c>
      <c r="E760" s="107" t="s">
        <v>2545</v>
      </c>
      <c r="F760" s="107" t="s">
        <v>2323</v>
      </c>
      <c r="G760" s="107" t="s">
        <v>2323</v>
      </c>
      <c r="H760" s="93" t="e">
        <v>#N/A</v>
      </c>
      <c r="I760" s="99">
        <v>46076</v>
      </c>
      <c r="J760" s="83" t="s">
        <v>189</v>
      </c>
      <c r="K760" s="107"/>
      <c r="L760" s="107"/>
      <c r="M760" s="107"/>
      <c r="N760" s="107"/>
      <c r="O760" s="107"/>
    </row>
    <row r="761" spans="1:15" s="81" customFormat="1" hidden="1">
      <c r="A761" s="81" t="str">
        <f t="shared" si="22"/>
        <v>CATHEBRICKMonitoruhd monitoruhd monitor</v>
      </c>
      <c r="B761" s="106" t="str">
        <f t="shared" si="23"/>
        <v>CA_THEBRICK</v>
      </c>
      <c r="C761" s="107" t="s">
        <v>345</v>
      </c>
      <c r="D761" s="107" t="s">
        <v>355</v>
      </c>
      <c r="E761" s="107" t="s">
        <v>2545</v>
      </c>
      <c r="F761" s="107" t="s">
        <v>2324</v>
      </c>
      <c r="G761" s="107" t="s">
        <v>2324</v>
      </c>
      <c r="H761" s="93" t="e">
        <v>#N/A</v>
      </c>
      <c r="I761" s="99">
        <v>46076</v>
      </c>
      <c r="J761" s="83" t="s">
        <v>189</v>
      </c>
      <c r="K761" s="107"/>
      <c r="L761" s="107"/>
      <c r="M761" s="107"/>
      <c r="N761" s="107"/>
      <c r="O761" s="107"/>
    </row>
    <row r="762" spans="1:15" s="81" customFormat="1" hidden="1">
      <c r="A762" s="81" t="str">
        <f t="shared" si="22"/>
        <v>CATHEBRICKMonitorultrawide monitorultrawide monitor</v>
      </c>
      <c r="B762" s="106" t="str">
        <f t="shared" si="23"/>
        <v>CA_THEBRICK</v>
      </c>
      <c r="C762" s="107" t="s">
        <v>345</v>
      </c>
      <c r="D762" s="107" t="s">
        <v>355</v>
      </c>
      <c r="E762" s="107" t="s">
        <v>2545</v>
      </c>
      <c r="F762" s="107" t="s">
        <v>2325</v>
      </c>
      <c r="G762" s="107" t="s">
        <v>2325</v>
      </c>
      <c r="H762" s="93" t="e">
        <v>#N/A</v>
      </c>
      <c r="I762" s="99">
        <v>46076</v>
      </c>
      <c r="J762" s="83" t="s">
        <v>189</v>
      </c>
      <c r="K762" s="107"/>
      <c r="L762" s="107"/>
      <c r="M762" s="107"/>
      <c r="N762" s="107"/>
      <c r="O762" s="107"/>
    </row>
    <row r="763" spans="1:15" s="81" customFormat="1" hidden="1">
      <c r="A763" s="81" t="str">
        <f t="shared" si="22"/>
        <v>CATHEBRICKAir Conditionerair conditionerair conditioner</v>
      </c>
      <c r="B763" s="106" t="str">
        <f t="shared" si="23"/>
        <v>CA_THEBRICK</v>
      </c>
      <c r="C763" s="107" t="s">
        <v>345</v>
      </c>
      <c r="D763" s="107" t="s">
        <v>355</v>
      </c>
      <c r="E763" s="107" t="s">
        <v>2524</v>
      </c>
      <c r="F763" s="107" t="s">
        <v>2347</v>
      </c>
      <c r="G763" s="107" t="s">
        <v>2347</v>
      </c>
      <c r="H763" s="93" t="e">
        <v>#N/A</v>
      </c>
      <c r="I763" s="99">
        <v>46076</v>
      </c>
      <c r="J763" s="83" t="s">
        <v>189</v>
      </c>
      <c r="K763" s="107"/>
      <c r="L763" s="107"/>
      <c r="M763" s="107"/>
      <c r="N763" s="107"/>
      <c r="O763" s="107"/>
    </row>
    <row r="764" spans="1:15" s="81" customFormat="1" hidden="1">
      <c r="A764" s="81" t="str">
        <f t="shared" si="22"/>
        <v>CATHEBRICKAir Conditionerinverter air conditionerinverter air conditioner</v>
      </c>
      <c r="B764" s="106" t="str">
        <f t="shared" si="23"/>
        <v>CA_THEBRICK</v>
      </c>
      <c r="C764" s="107" t="s">
        <v>345</v>
      </c>
      <c r="D764" s="107" t="s">
        <v>355</v>
      </c>
      <c r="E764" s="107" t="s">
        <v>2524</v>
      </c>
      <c r="F764" s="107" t="s">
        <v>2348</v>
      </c>
      <c r="G764" s="107" t="s">
        <v>2348</v>
      </c>
      <c r="H764" s="93" t="e">
        <v>#N/A</v>
      </c>
      <c r="I764" s="99">
        <v>46076</v>
      </c>
      <c r="J764" s="83" t="s">
        <v>189</v>
      </c>
      <c r="K764" s="107"/>
      <c r="L764" s="107"/>
      <c r="M764" s="107"/>
      <c r="N764" s="107"/>
      <c r="O764" s="107"/>
    </row>
    <row r="765" spans="1:15" s="81" customFormat="1" hidden="1">
      <c r="A765" s="81" t="str">
        <f t="shared" si="22"/>
        <v>CATHEBRICKAir Conditionerportable air conditionerportable air conditioner</v>
      </c>
      <c r="B765" s="106" t="str">
        <f t="shared" si="23"/>
        <v>CA_THEBRICK</v>
      </c>
      <c r="C765" s="107" t="s">
        <v>345</v>
      </c>
      <c r="D765" s="107" t="s">
        <v>355</v>
      </c>
      <c r="E765" s="107" t="s">
        <v>2524</v>
      </c>
      <c r="F765" s="107" t="s">
        <v>2349</v>
      </c>
      <c r="G765" s="107" t="s">
        <v>2349</v>
      </c>
      <c r="H765" s="93" t="e">
        <v>#N/A</v>
      </c>
      <c r="I765" s="99">
        <v>46076</v>
      </c>
      <c r="J765" s="83" t="s">
        <v>189</v>
      </c>
      <c r="K765" s="107"/>
      <c r="L765" s="107"/>
      <c r="M765" s="107"/>
      <c r="N765" s="107"/>
      <c r="O765" s="107"/>
    </row>
    <row r="766" spans="1:15" s="81" customFormat="1" hidden="1">
      <c r="A766" s="81" t="str">
        <f t="shared" si="22"/>
        <v>CATHEBRICKAir Conditionerwindow air conditionerwindow air conditioner</v>
      </c>
      <c r="B766" s="106" t="str">
        <f t="shared" si="23"/>
        <v>CA_THEBRICK</v>
      </c>
      <c r="C766" s="107" t="s">
        <v>345</v>
      </c>
      <c r="D766" s="107" t="s">
        <v>355</v>
      </c>
      <c r="E766" s="107" t="s">
        <v>2524</v>
      </c>
      <c r="F766" s="107" t="s">
        <v>2350</v>
      </c>
      <c r="G766" s="107" t="s">
        <v>2350</v>
      </c>
      <c r="H766" s="93" t="e">
        <v>#N/A</v>
      </c>
      <c r="I766" s="99">
        <v>46076</v>
      </c>
      <c r="J766" s="83" t="s">
        <v>189</v>
      </c>
      <c r="K766" s="107"/>
      <c r="L766" s="107"/>
      <c r="M766" s="107"/>
      <c r="N766" s="107"/>
      <c r="O766" s="107"/>
    </row>
    <row r="767" spans="1:15" s="81" customFormat="1" hidden="1">
      <c r="A767" s="81" t="str">
        <f t="shared" si="22"/>
        <v>CATHEBRICKBluetooth SpeakerBluetooth speakerBluetooth speaker</v>
      </c>
      <c r="B767" s="106" t="str">
        <f t="shared" si="23"/>
        <v>CA_THEBRICK</v>
      </c>
      <c r="C767" s="107" t="s">
        <v>345</v>
      </c>
      <c r="D767" s="107" t="s">
        <v>355</v>
      </c>
      <c r="E767" s="107" t="s">
        <v>2307</v>
      </c>
      <c r="F767" s="107" t="s">
        <v>2481</v>
      </c>
      <c r="G767" s="107" t="s">
        <v>2481</v>
      </c>
      <c r="H767" s="93" t="e">
        <v>#N/A</v>
      </c>
      <c r="I767" s="99">
        <v>46076</v>
      </c>
      <c r="J767" s="83" t="s">
        <v>189</v>
      </c>
      <c r="K767" s="107"/>
      <c r="L767" s="107"/>
      <c r="M767" s="107"/>
      <c r="N767" s="107"/>
      <c r="O767" s="107"/>
    </row>
    <row r="768" spans="1:15" s="81" customFormat="1" hidden="1">
      <c r="A768" s="81" t="str">
        <f t="shared" si="22"/>
        <v>CATHEBRICKBluetooth SpeakerBluetooth speakersBluetooth speakers</v>
      </c>
      <c r="B768" s="106" t="str">
        <f t="shared" si="23"/>
        <v>CA_THEBRICK</v>
      </c>
      <c r="C768" s="107" t="s">
        <v>345</v>
      </c>
      <c r="D768" s="107" t="s">
        <v>355</v>
      </c>
      <c r="E768" s="107" t="s">
        <v>2307</v>
      </c>
      <c r="F768" s="107" t="s">
        <v>2425</v>
      </c>
      <c r="G768" s="107" t="s">
        <v>2425</v>
      </c>
      <c r="H768" s="93" t="e">
        <v>#N/A</v>
      </c>
      <c r="I768" s="99">
        <v>46076</v>
      </c>
      <c r="J768" s="83" t="s">
        <v>189</v>
      </c>
      <c r="K768" s="107"/>
      <c r="L768" s="107"/>
      <c r="M768" s="107"/>
      <c r="N768" s="107"/>
      <c r="O768" s="107"/>
    </row>
    <row r="769" spans="1:15" s="81" customFormat="1" hidden="1">
      <c r="A769" s="81" t="str">
        <f t="shared" si="22"/>
        <v>CATHEBRICKBluetooth SpeakerPortable speakerPortable speaker</v>
      </c>
      <c r="B769" s="106" t="str">
        <f t="shared" si="23"/>
        <v>CA_THEBRICK</v>
      </c>
      <c r="C769" s="107" t="s">
        <v>345</v>
      </c>
      <c r="D769" s="107" t="s">
        <v>355</v>
      </c>
      <c r="E769" s="107" t="s">
        <v>2307</v>
      </c>
      <c r="F769" s="107" t="s">
        <v>2525</v>
      </c>
      <c r="G769" s="107" t="s">
        <v>2525</v>
      </c>
      <c r="H769" s="93" t="e">
        <v>#N/A</v>
      </c>
      <c r="I769" s="99">
        <v>46076</v>
      </c>
      <c r="J769" s="83" t="s">
        <v>189</v>
      </c>
      <c r="K769" s="107"/>
      <c r="L769" s="107"/>
      <c r="M769" s="107"/>
      <c r="N769" s="107"/>
      <c r="O769" s="107"/>
    </row>
    <row r="770" spans="1:15" s="81" customFormat="1" hidden="1">
      <c r="A770" s="81" t="str">
        <f t="shared" si="22"/>
        <v>CATHEBRICKBluetooth SpeakerSpeakerSpeaker</v>
      </c>
      <c r="B770" s="106" t="str">
        <f t="shared" si="23"/>
        <v>CA_THEBRICK</v>
      </c>
      <c r="C770" s="107" t="s">
        <v>345</v>
      </c>
      <c r="D770" s="107" t="s">
        <v>355</v>
      </c>
      <c r="E770" s="107" t="s">
        <v>2307</v>
      </c>
      <c r="F770" s="107" t="s">
        <v>2428</v>
      </c>
      <c r="G770" s="107" t="s">
        <v>2428</v>
      </c>
      <c r="H770" s="93" t="e">
        <v>#N/A</v>
      </c>
      <c r="I770" s="99">
        <v>46076</v>
      </c>
      <c r="J770" s="83" t="s">
        <v>189</v>
      </c>
      <c r="K770" s="107"/>
      <c r="L770" s="107"/>
      <c r="M770" s="107"/>
      <c r="N770" s="107"/>
      <c r="O770" s="107"/>
    </row>
    <row r="771" spans="1:15" s="81" customFormat="1" hidden="1">
      <c r="A771" s="81" t="str">
        <f t="shared" si="22"/>
        <v>CATHEBRICKBluetooth SpeakerSpeakers Bluetooth WirelessSpeakers Bluetooth Wireless</v>
      </c>
      <c r="B771" s="106" t="str">
        <f t="shared" si="23"/>
        <v>CA_THEBRICK</v>
      </c>
      <c r="C771" s="107" t="s">
        <v>345</v>
      </c>
      <c r="D771" s="107" t="s">
        <v>355</v>
      </c>
      <c r="E771" s="107" t="s">
        <v>2307</v>
      </c>
      <c r="F771" s="107" t="s">
        <v>2526</v>
      </c>
      <c r="G771" s="107" t="s">
        <v>2526</v>
      </c>
      <c r="H771" s="93" t="e">
        <v>#N/A</v>
      </c>
      <c r="I771" s="99">
        <v>46076</v>
      </c>
      <c r="J771" s="83" t="s">
        <v>189</v>
      </c>
      <c r="K771" s="107"/>
      <c r="L771" s="107"/>
      <c r="M771" s="107"/>
      <c r="N771" s="107"/>
      <c r="O771" s="107"/>
    </row>
    <row r="772" spans="1:15" s="81" customFormat="1" hidden="1">
      <c r="A772" s="81" t="str">
        <f t="shared" si="22"/>
        <v>CATHEBRICKSoundbaraudioaudio</v>
      </c>
      <c r="B772" s="106" t="str">
        <f t="shared" si="23"/>
        <v>CA_THEBRICK</v>
      </c>
      <c r="C772" s="107" t="s">
        <v>345</v>
      </c>
      <c r="D772" s="107" t="s">
        <v>355</v>
      </c>
      <c r="E772" s="107" t="s">
        <v>2546</v>
      </c>
      <c r="F772" s="107" t="s">
        <v>2528</v>
      </c>
      <c r="G772" s="107" t="s">
        <v>2528</v>
      </c>
      <c r="H772" s="93" t="e">
        <v>#N/A</v>
      </c>
      <c r="I772" s="99">
        <v>46076</v>
      </c>
      <c r="J772" s="83" t="s">
        <v>189</v>
      </c>
      <c r="K772" s="107"/>
      <c r="L772" s="107"/>
      <c r="M772" s="107"/>
      <c r="N772" s="107"/>
      <c r="O772" s="107"/>
    </row>
    <row r="773" spans="1:15" s="81" customFormat="1" hidden="1">
      <c r="A773" s="81" t="str">
        <f t="shared" si="22"/>
        <v>CATHEBRICKSoundbarsound barsound bar</v>
      </c>
      <c r="B773" s="106" t="str">
        <f t="shared" si="23"/>
        <v>CA_THEBRICK</v>
      </c>
      <c r="C773" s="107" t="s">
        <v>345</v>
      </c>
      <c r="D773" s="107" t="s">
        <v>355</v>
      </c>
      <c r="E773" s="107" t="s">
        <v>2546</v>
      </c>
      <c r="F773" s="107" t="s">
        <v>2529</v>
      </c>
      <c r="G773" s="107" t="s">
        <v>2529</v>
      </c>
      <c r="H773" s="93" t="e">
        <v>#N/A</v>
      </c>
      <c r="I773" s="99">
        <v>46076</v>
      </c>
      <c r="J773" s="83" t="s">
        <v>189</v>
      </c>
      <c r="K773" s="107"/>
      <c r="L773" s="107"/>
      <c r="M773" s="107"/>
      <c r="N773" s="107"/>
      <c r="O773" s="107"/>
    </row>
    <row r="774" spans="1:15" s="81" customFormat="1" hidden="1">
      <c r="A774" s="81" t="str">
        <f t="shared" si="22"/>
        <v>CATHEBRICKSoundbarsound systemsound system</v>
      </c>
      <c r="B774" s="106" t="str">
        <f t="shared" si="23"/>
        <v>CA_THEBRICK</v>
      </c>
      <c r="C774" s="107" t="s">
        <v>345</v>
      </c>
      <c r="D774" s="107" t="s">
        <v>355</v>
      </c>
      <c r="E774" s="107" t="s">
        <v>2546</v>
      </c>
      <c r="F774" s="107" t="s">
        <v>2530</v>
      </c>
      <c r="G774" s="107" t="s">
        <v>2530</v>
      </c>
      <c r="H774" s="93" t="e">
        <v>#N/A</v>
      </c>
      <c r="I774" s="99">
        <v>46076</v>
      </c>
      <c r="J774" s="83" t="s">
        <v>189</v>
      </c>
      <c r="K774" s="107"/>
      <c r="L774" s="107"/>
      <c r="M774" s="107"/>
      <c r="N774" s="107"/>
      <c r="O774" s="107"/>
    </row>
    <row r="775" spans="1:15" s="81" customFormat="1" hidden="1">
      <c r="A775" s="81" t="str">
        <f t="shared" si="22"/>
        <v>CATHEBRICKSoundbarsoundbarssoundbars</v>
      </c>
      <c r="B775" s="106" t="str">
        <f t="shared" si="23"/>
        <v>CA_THEBRICK</v>
      </c>
      <c r="C775" s="107" t="s">
        <v>345</v>
      </c>
      <c r="D775" s="107" t="s">
        <v>355</v>
      </c>
      <c r="E775" s="107" t="s">
        <v>2546</v>
      </c>
      <c r="F775" s="107" t="s">
        <v>2531</v>
      </c>
      <c r="G775" s="107" t="s">
        <v>2531</v>
      </c>
      <c r="H775" s="93" t="e">
        <v>#N/A</v>
      </c>
      <c r="I775" s="99">
        <v>46076</v>
      </c>
      <c r="J775" s="83" t="s">
        <v>189</v>
      </c>
      <c r="K775" s="107"/>
      <c r="L775" s="107"/>
      <c r="M775" s="107"/>
      <c r="N775" s="107"/>
      <c r="O775" s="107"/>
    </row>
    <row r="776" spans="1:15" s="81" customFormat="1" hidden="1">
      <c r="A776" s="81" t="str">
        <f t="shared" si="22"/>
        <v>CATHEBRICKSoundbarspeakersspeakers</v>
      </c>
      <c r="B776" s="106" t="str">
        <f t="shared" si="23"/>
        <v>CA_THEBRICK</v>
      </c>
      <c r="C776" s="107" t="s">
        <v>345</v>
      </c>
      <c r="D776" s="107" t="s">
        <v>355</v>
      </c>
      <c r="E776" s="107" t="s">
        <v>2546</v>
      </c>
      <c r="F776" s="107" t="s">
        <v>2471</v>
      </c>
      <c r="G776" s="107" t="s">
        <v>2471</v>
      </c>
      <c r="H776" s="93" t="e">
        <v>#N/A</v>
      </c>
      <c r="I776" s="99">
        <v>46076</v>
      </c>
      <c r="J776" s="83" t="s">
        <v>189</v>
      </c>
      <c r="K776" s="107"/>
      <c r="L776" s="107"/>
      <c r="M776" s="107"/>
      <c r="N776" s="107"/>
      <c r="O776" s="107"/>
    </row>
    <row r="777" spans="1:15" s="81" customFormat="1" hidden="1">
      <c r="A777" s="81" t="str">
        <f t="shared" ref="A777:A840" si="24">C777&amp;D777&amp;E777&amp;F777&amp;G777</f>
        <v>CATHEBRICKWIRELESS HEADSETBluetooth earbudsBluetooth earbuds</v>
      </c>
      <c r="B777" s="106" t="str">
        <f t="shared" ref="B777:B840" si="25">C777&amp;"_"&amp;D777</f>
        <v>CA_THEBRICK</v>
      </c>
      <c r="C777" s="107" t="s">
        <v>345</v>
      </c>
      <c r="D777" s="107" t="s">
        <v>355</v>
      </c>
      <c r="E777" s="107" t="s">
        <v>2532</v>
      </c>
      <c r="F777" s="107" t="s">
        <v>2382</v>
      </c>
      <c r="G777" s="107" t="s">
        <v>2382</v>
      </c>
      <c r="H777" s="93" t="e">
        <v>#N/A</v>
      </c>
      <c r="I777" s="99">
        <v>46076</v>
      </c>
      <c r="J777" s="83" t="s">
        <v>189</v>
      </c>
      <c r="K777" s="107"/>
      <c r="L777" s="107"/>
      <c r="M777" s="107"/>
      <c r="N777" s="107"/>
      <c r="O777" s="107"/>
    </row>
    <row r="778" spans="1:15" s="81" customFormat="1" hidden="1">
      <c r="A778" s="81" t="str">
        <f t="shared" si="24"/>
        <v>CATHEBRICKWIRELESS HEADSETBluetooth HeadphonesBluetooth Headphones</v>
      </c>
      <c r="B778" s="106" t="str">
        <f t="shared" si="25"/>
        <v>CA_THEBRICK</v>
      </c>
      <c r="C778" s="107" t="s">
        <v>345</v>
      </c>
      <c r="D778" s="107" t="s">
        <v>355</v>
      </c>
      <c r="E778" s="107" t="s">
        <v>2532</v>
      </c>
      <c r="F778" s="107" t="s">
        <v>2533</v>
      </c>
      <c r="G778" s="107" t="s">
        <v>2533</v>
      </c>
      <c r="H778" s="93" t="e">
        <v>#N/A</v>
      </c>
      <c r="I778" s="99">
        <v>46076</v>
      </c>
      <c r="J778" s="83" t="s">
        <v>189</v>
      </c>
      <c r="K778" s="107"/>
      <c r="L778" s="107"/>
      <c r="M778" s="107"/>
      <c r="N778" s="107"/>
      <c r="O778" s="107"/>
    </row>
    <row r="779" spans="1:15" s="81" customFormat="1" hidden="1">
      <c r="A779" s="81" t="str">
        <f t="shared" si="24"/>
        <v>CATHEBRICKWIRELESS HEADSETEar budsEar buds</v>
      </c>
      <c r="B779" s="106" t="str">
        <f t="shared" si="25"/>
        <v>CA_THEBRICK</v>
      </c>
      <c r="C779" s="107" t="s">
        <v>345</v>
      </c>
      <c r="D779" s="107" t="s">
        <v>355</v>
      </c>
      <c r="E779" s="107" t="s">
        <v>2532</v>
      </c>
      <c r="F779" s="107" t="s">
        <v>2380</v>
      </c>
      <c r="G779" s="107" t="s">
        <v>2380</v>
      </c>
      <c r="H779" s="93" t="e">
        <v>#N/A</v>
      </c>
      <c r="I779" s="99">
        <v>46076</v>
      </c>
      <c r="J779" s="83" t="s">
        <v>189</v>
      </c>
      <c r="K779" s="107"/>
      <c r="L779" s="107"/>
      <c r="M779" s="107"/>
      <c r="N779" s="107"/>
      <c r="O779" s="107"/>
    </row>
    <row r="780" spans="1:15" s="81" customFormat="1" hidden="1">
      <c r="A780" s="81" t="str">
        <f t="shared" si="24"/>
        <v>CATHEBRICKWIRELESS HEADSETEarbudsEarbuds</v>
      </c>
      <c r="B780" s="106" t="str">
        <f t="shared" si="25"/>
        <v>CA_THEBRICK</v>
      </c>
      <c r="C780" s="107" t="s">
        <v>345</v>
      </c>
      <c r="D780" s="107" t="s">
        <v>355</v>
      </c>
      <c r="E780" s="107" t="s">
        <v>2532</v>
      </c>
      <c r="F780" s="107" t="s">
        <v>2534</v>
      </c>
      <c r="G780" s="107" t="s">
        <v>2534</v>
      </c>
      <c r="H780" s="93" t="e">
        <v>#N/A</v>
      </c>
      <c r="I780" s="99">
        <v>46076</v>
      </c>
      <c r="J780" s="83" t="s">
        <v>189</v>
      </c>
      <c r="K780" s="107"/>
      <c r="L780" s="107"/>
      <c r="M780" s="107"/>
      <c r="N780" s="107"/>
      <c r="O780" s="107"/>
    </row>
    <row r="781" spans="1:15" s="81" customFormat="1" hidden="1">
      <c r="A781" s="81" t="str">
        <f t="shared" si="24"/>
        <v>CATHEBRICKWIRELESS HEADSETWireless earbudsWireless earbuds</v>
      </c>
      <c r="B781" s="106" t="str">
        <f t="shared" si="25"/>
        <v>CA_THEBRICK</v>
      </c>
      <c r="C781" s="107" t="s">
        <v>345</v>
      </c>
      <c r="D781" s="107" t="s">
        <v>355</v>
      </c>
      <c r="E781" s="107" t="s">
        <v>2532</v>
      </c>
      <c r="F781" s="107" t="s">
        <v>2376</v>
      </c>
      <c r="G781" s="107" t="s">
        <v>2376</v>
      </c>
      <c r="H781" s="93" t="e">
        <v>#N/A</v>
      </c>
      <c r="I781" s="99">
        <v>46076</v>
      </c>
      <c r="J781" s="83" t="s">
        <v>189</v>
      </c>
      <c r="K781" s="107"/>
      <c r="L781" s="107"/>
      <c r="M781" s="107"/>
      <c r="N781" s="107"/>
      <c r="O781" s="107"/>
    </row>
    <row r="782" spans="1:15" hidden="1">
      <c r="A782" s="75" t="str">
        <f t="shared" si="24"/>
        <v>CLFALABELLABluetooth Speakerloud voice speakeralta voz parlante</v>
      </c>
      <c r="B782" s="94" t="str">
        <f t="shared" si="25"/>
        <v>CL_FALABELLA</v>
      </c>
      <c r="C782" s="93" t="s">
        <v>326</v>
      </c>
      <c r="D782" s="93" t="s">
        <v>327</v>
      </c>
      <c r="E782" s="93" t="s">
        <v>2307</v>
      </c>
      <c r="F782" s="93" t="s">
        <v>2553</v>
      </c>
      <c r="G782" s="93" t="s">
        <v>2554</v>
      </c>
      <c r="H782" s="93" t="e">
        <v>#N/A</v>
      </c>
      <c r="I782" s="105" t="s">
        <v>2310</v>
      </c>
      <c r="J782" s="93" t="s">
        <v>189</v>
      </c>
      <c r="K782" s="93">
        <v>122</v>
      </c>
      <c r="L782" s="93" t="e">
        <v>#N/A</v>
      </c>
      <c r="M782" s="93" t="s">
        <v>2311</v>
      </c>
      <c r="N782" s="93">
        <f>VLOOKUP(B782,'[16]01.수집 카테고리(List)'!$A$2:$H$64,8,FALSE)</f>
        <v>99991231</v>
      </c>
      <c r="O782" s="93" t="s">
        <v>646</v>
      </c>
    </row>
    <row r="783" spans="1:15" hidden="1">
      <c r="A783" s="75" t="str">
        <f t="shared" si="24"/>
        <v>CLFALABELLABluetooth Speakerspeakerparlante altavoz</v>
      </c>
      <c r="B783" s="94" t="str">
        <f t="shared" si="25"/>
        <v>CL_FALABELLA</v>
      </c>
      <c r="C783" s="93" t="s">
        <v>326</v>
      </c>
      <c r="D783" s="93" t="s">
        <v>327</v>
      </c>
      <c r="E783" s="93" t="s">
        <v>2307</v>
      </c>
      <c r="F783" s="93" t="s">
        <v>2555</v>
      </c>
      <c r="G783" s="93" t="s">
        <v>2556</v>
      </c>
      <c r="H783" s="93" t="e">
        <v>#N/A</v>
      </c>
      <c r="I783" s="105" t="s">
        <v>2310</v>
      </c>
      <c r="J783" s="93" t="s">
        <v>189</v>
      </c>
      <c r="K783" s="93">
        <v>1116</v>
      </c>
      <c r="L783" s="93" t="e">
        <v>#N/A</v>
      </c>
      <c r="M783" s="93" t="s">
        <v>2311</v>
      </c>
      <c r="N783" s="93">
        <f>VLOOKUP(B783,'[16]01.수집 카테고리(List)'!$A$2:$H$64,8,FALSE)</f>
        <v>99991231</v>
      </c>
      <c r="O783" s="93" t="s">
        <v>646</v>
      </c>
    </row>
    <row r="784" spans="1:15" hidden="1">
      <c r="A784" s="75" t="str">
        <f t="shared" si="24"/>
        <v>CLFALABELLABluetooth Speakerspeakerparlante sonido</v>
      </c>
      <c r="B784" s="94" t="str">
        <f t="shared" si="25"/>
        <v>CL_FALABELLA</v>
      </c>
      <c r="C784" s="93" t="s">
        <v>326</v>
      </c>
      <c r="D784" s="93" t="s">
        <v>327</v>
      </c>
      <c r="E784" s="93" t="s">
        <v>2307</v>
      </c>
      <c r="F784" s="93" t="s">
        <v>2555</v>
      </c>
      <c r="G784" s="93" t="s">
        <v>2557</v>
      </c>
      <c r="H784" s="93" t="e">
        <v>#N/A</v>
      </c>
      <c r="I784" s="105" t="s">
        <v>2310</v>
      </c>
      <c r="J784" s="93" t="s">
        <v>189</v>
      </c>
      <c r="K784" s="93">
        <v>1530</v>
      </c>
      <c r="L784" s="93" t="e">
        <v>#N/A</v>
      </c>
      <c r="M784" s="93" t="s">
        <v>2311</v>
      </c>
      <c r="N784" s="93">
        <f>VLOOKUP(B784,'[16]01.수집 카테고리(List)'!$A$2:$H$64,8,FALSE)</f>
        <v>99991231</v>
      </c>
      <c r="O784" s="93" t="s">
        <v>646</v>
      </c>
    </row>
    <row r="785" spans="1:15" hidden="1">
      <c r="A785" s="75" t="str">
        <f t="shared" si="24"/>
        <v>CLFALABELLABluetooth Speakerspeakersparlantes</v>
      </c>
      <c r="B785" s="94" t="str">
        <f t="shared" si="25"/>
        <v>CL_FALABELLA</v>
      </c>
      <c r="C785" s="93" t="s">
        <v>326</v>
      </c>
      <c r="D785" s="93" t="s">
        <v>327</v>
      </c>
      <c r="E785" s="93" t="s">
        <v>2307</v>
      </c>
      <c r="F785" s="93" t="s">
        <v>2471</v>
      </c>
      <c r="G785" s="93" t="s">
        <v>2558</v>
      </c>
      <c r="H785" s="93" t="e">
        <v>#N/A</v>
      </c>
      <c r="I785" s="105" t="s">
        <v>2310</v>
      </c>
      <c r="J785" s="93" t="s">
        <v>189</v>
      </c>
      <c r="K785" s="93">
        <v>1091</v>
      </c>
      <c r="L785" s="93" t="e">
        <v>#N/A</v>
      </c>
      <c r="M785" s="93" t="s">
        <v>2311</v>
      </c>
      <c r="N785" s="93">
        <f>VLOOKUP(B785,'[16]01.수집 카테고리(List)'!$A$2:$H$64,8,FALSE)</f>
        <v>99991231</v>
      </c>
      <c r="O785" s="93" t="s">
        <v>646</v>
      </c>
    </row>
    <row r="786" spans="1:15" hidden="1">
      <c r="A786" s="75" t="str">
        <f t="shared" si="24"/>
        <v>CLFALABELLABluetooth Speakersound equipment speakerparlantes equipo de sonido</v>
      </c>
      <c r="B786" s="94" t="str">
        <f t="shared" si="25"/>
        <v>CL_FALABELLA</v>
      </c>
      <c r="C786" s="93" t="s">
        <v>326</v>
      </c>
      <c r="D786" s="93" t="s">
        <v>327</v>
      </c>
      <c r="E786" s="93" t="s">
        <v>2307</v>
      </c>
      <c r="F786" s="93" t="s">
        <v>2559</v>
      </c>
      <c r="G786" s="93" t="s">
        <v>2560</v>
      </c>
      <c r="H786" s="93" t="e">
        <v>#N/A</v>
      </c>
      <c r="I786" s="105" t="s">
        <v>2310</v>
      </c>
      <c r="J786" s="93" t="s">
        <v>189</v>
      </c>
      <c r="K786" s="93">
        <v>481</v>
      </c>
      <c r="L786" s="93" t="e">
        <v>#N/A</v>
      </c>
      <c r="M786" s="93" t="s">
        <v>2311</v>
      </c>
      <c r="N786" s="93">
        <f>VLOOKUP(B786,'[16]01.수집 카테고리(List)'!$A$2:$H$64,8,FALSE)</f>
        <v>99991231</v>
      </c>
      <c r="O786" s="93" t="s">
        <v>646</v>
      </c>
    </row>
    <row r="787" spans="1:15" hidden="1">
      <c r="A787" s="75" t="str">
        <f t="shared" si="24"/>
        <v>CLFALABELLARefrigeratorrefrigeratorrefrigerador</v>
      </c>
      <c r="B787" s="94" t="str">
        <f t="shared" si="25"/>
        <v>CL_FALABELLA</v>
      </c>
      <c r="C787" s="93" t="s">
        <v>326</v>
      </c>
      <c r="D787" s="93" t="s">
        <v>327</v>
      </c>
      <c r="E787" s="93" t="s">
        <v>2326</v>
      </c>
      <c r="F787" s="93" t="s">
        <v>2329</v>
      </c>
      <c r="G787" s="93" t="s">
        <v>2561</v>
      </c>
      <c r="H787" s="93" t="e">
        <v>#N/A</v>
      </c>
      <c r="I787" s="105" t="s">
        <v>2310</v>
      </c>
      <c r="J787" s="93" t="s">
        <v>189</v>
      </c>
      <c r="K787" s="93">
        <v>43</v>
      </c>
      <c r="L787" s="93" t="e">
        <v>#N/A</v>
      </c>
      <c r="M787" s="93" t="s">
        <v>2311</v>
      </c>
      <c r="N787" s="93">
        <f>VLOOKUP(B787,'[16]01.수집 카테고리(List)'!$A$2:$H$64,8,FALSE)</f>
        <v>99991231</v>
      </c>
      <c r="O787" s="93" t="s">
        <v>646</v>
      </c>
    </row>
    <row r="788" spans="1:15" hidden="1">
      <c r="A788" s="75" t="str">
        <f t="shared" si="24"/>
        <v>CLFALABELLARefrigeratorbottom freezer refrigeratorrefrigerador bottom freezer</v>
      </c>
      <c r="B788" s="94" t="str">
        <f t="shared" si="25"/>
        <v>CL_FALABELLA</v>
      </c>
      <c r="C788" s="93" t="s">
        <v>326</v>
      </c>
      <c r="D788" s="93" t="s">
        <v>327</v>
      </c>
      <c r="E788" s="93" t="s">
        <v>2326</v>
      </c>
      <c r="F788" s="93" t="s">
        <v>2327</v>
      </c>
      <c r="G788" s="93" t="s">
        <v>2562</v>
      </c>
      <c r="H788" s="93" t="e">
        <v>#N/A</v>
      </c>
      <c r="I788" s="105" t="s">
        <v>2310</v>
      </c>
      <c r="J788" s="93" t="s">
        <v>189</v>
      </c>
      <c r="K788" s="93">
        <v>62</v>
      </c>
      <c r="L788" s="93" t="e">
        <v>#N/A</v>
      </c>
      <c r="M788" s="93" t="s">
        <v>2311</v>
      </c>
      <c r="N788" s="93">
        <f>VLOOKUP(B788,'[16]01.수집 카테고리(List)'!$A$2:$H$64,8,FALSE)</f>
        <v>99991231</v>
      </c>
      <c r="O788" s="93" t="s">
        <v>646</v>
      </c>
    </row>
    <row r="789" spans="1:15" hidden="1">
      <c r="A789" s="75" t="str">
        <f t="shared" si="24"/>
        <v>CLFALABELLARefrigeratorfrench door refrigeratorrefrigerador french door</v>
      </c>
      <c r="B789" s="94" t="str">
        <f t="shared" si="25"/>
        <v>CL_FALABELLA</v>
      </c>
      <c r="C789" s="93" t="s">
        <v>326</v>
      </c>
      <c r="D789" s="93" t="s">
        <v>327</v>
      </c>
      <c r="E789" s="93" t="s">
        <v>2326</v>
      </c>
      <c r="F789" s="93" t="s">
        <v>2328</v>
      </c>
      <c r="G789" s="93" t="s">
        <v>2563</v>
      </c>
      <c r="H789" s="93" t="e">
        <v>#N/A</v>
      </c>
      <c r="I789" s="105" t="s">
        <v>2310</v>
      </c>
      <c r="J789" s="93" t="s">
        <v>189</v>
      </c>
      <c r="K789" s="93">
        <v>74</v>
      </c>
      <c r="L789" s="93" t="e">
        <v>#N/A</v>
      </c>
      <c r="M789" s="93" t="s">
        <v>2311</v>
      </c>
      <c r="N789" s="93">
        <f>VLOOKUP(B789,'[16]01.수집 카테고리(List)'!$A$2:$H$64,8,FALSE)</f>
        <v>99991231</v>
      </c>
      <c r="O789" s="93" t="s">
        <v>646</v>
      </c>
    </row>
    <row r="790" spans="1:15" hidden="1">
      <c r="A790" s="75" t="str">
        <f t="shared" si="24"/>
        <v>CLFALABELLARefrigeratorNo frost refrigeratorRefrigerador No frost</v>
      </c>
      <c r="B790" s="94" t="str">
        <f t="shared" si="25"/>
        <v>CL_FALABELLA</v>
      </c>
      <c r="C790" s="93" t="s">
        <v>326</v>
      </c>
      <c r="D790" s="93" t="s">
        <v>327</v>
      </c>
      <c r="E790" s="93" t="s">
        <v>2326</v>
      </c>
      <c r="F790" s="93" t="s">
        <v>2564</v>
      </c>
      <c r="G790" s="93" t="s">
        <v>2565</v>
      </c>
      <c r="H790" s="93" t="e">
        <v>#N/A</v>
      </c>
      <c r="I790" s="105" t="s">
        <v>2310</v>
      </c>
      <c r="J790" s="93" t="s">
        <v>189</v>
      </c>
      <c r="K790" s="93">
        <v>52</v>
      </c>
      <c r="L790" s="93" t="e">
        <v>#N/A</v>
      </c>
      <c r="M790" s="93" t="s">
        <v>2311</v>
      </c>
      <c r="N790" s="93">
        <f>VLOOKUP(B790,'[16]01.수집 카테고리(List)'!$A$2:$H$64,8,FALSE)</f>
        <v>99991231</v>
      </c>
      <c r="O790" s="93" t="s">
        <v>646</v>
      </c>
    </row>
    <row r="791" spans="1:15" hidden="1">
      <c r="A791" s="75" t="str">
        <f t="shared" si="24"/>
        <v>CLFALABELLARefrigeratorside by side refrigeratorRefrigerador Side by Side</v>
      </c>
      <c r="B791" s="94" t="str">
        <f t="shared" si="25"/>
        <v>CL_FALABELLA</v>
      </c>
      <c r="C791" s="93" t="s">
        <v>326</v>
      </c>
      <c r="D791" s="93" t="s">
        <v>327</v>
      </c>
      <c r="E791" s="93" t="s">
        <v>2326</v>
      </c>
      <c r="F791" s="93" t="s">
        <v>2330</v>
      </c>
      <c r="G791" s="93" t="s">
        <v>2566</v>
      </c>
      <c r="H791" s="93" t="e">
        <v>#N/A</v>
      </c>
      <c r="I791" s="105" t="s">
        <v>2310</v>
      </c>
      <c r="J791" s="93" t="s">
        <v>189</v>
      </c>
      <c r="K791" s="93">
        <v>15</v>
      </c>
      <c r="L791" s="93" t="e">
        <v>#N/A</v>
      </c>
      <c r="M791" s="93" t="s">
        <v>2311</v>
      </c>
      <c r="N791" s="93">
        <f>VLOOKUP(B791,'[16]01.수집 카테고리(List)'!$A$2:$H$64,8,FALSE)</f>
        <v>99991231</v>
      </c>
      <c r="O791" s="93" t="s">
        <v>646</v>
      </c>
    </row>
    <row r="792" spans="1:15" hidden="1">
      <c r="A792" s="75" t="str">
        <f t="shared" si="24"/>
        <v>CLFALABELLARefrigeratortop freezer refrigeratorrefrigerador top freezer</v>
      </c>
      <c r="B792" s="94" t="str">
        <f t="shared" si="25"/>
        <v>CL_FALABELLA</v>
      </c>
      <c r="C792" s="93" t="s">
        <v>326</v>
      </c>
      <c r="D792" s="93" t="s">
        <v>327</v>
      </c>
      <c r="E792" s="93" t="s">
        <v>2326</v>
      </c>
      <c r="F792" s="93" t="s">
        <v>2332</v>
      </c>
      <c r="G792" s="93" t="s">
        <v>2567</v>
      </c>
      <c r="H792" s="93" t="e">
        <v>#N/A</v>
      </c>
      <c r="I792" s="105" t="s">
        <v>2310</v>
      </c>
      <c r="J792" s="93" t="s">
        <v>189</v>
      </c>
      <c r="K792" s="93">
        <v>54</v>
      </c>
      <c r="L792" s="93" t="e">
        <v>#N/A</v>
      </c>
      <c r="M792" s="93" t="s">
        <v>2311</v>
      </c>
      <c r="N792" s="93">
        <f>VLOOKUP(B792,'[16]01.수집 카테고리(List)'!$A$2:$H$64,8,FALSE)</f>
        <v>99991231</v>
      </c>
      <c r="O792" s="93" t="s">
        <v>646</v>
      </c>
    </row>
    <row r="793" spans="1:15" hidden="1">
      <c r="A793" s="75" t="str">
        <f t="shared" si="24"/>
        <v>CLFALABELLARefrigeratorTop mount refrigeratorRefrigerador Top Mount</v>
      </c>
      <c r="B793" s="94" t="str">
        <f t="shared" si="25"/>
        <v>CL_FALABELLA</v>
      </c>
      <c r="C793" s="93" t="s">
        <v>326</v>
      </c>
      <c r="D793" s="93" t="s">
        <v>327</v>
      </c>
      <c r="E793" s="93" t="s">
        <v>2326</v>
      </c>
      <c r="F793" s="93" t="s">
        <v>2568</v>
      </c>
      <c r="G793" s="93" t="s">
        <v>2569</v>
      </c>
      <c r="H793" s="93" t="e">
        <v>#N/A</v>
      </c>
      <c r="I793" s="105" t="s">
        <v>2310</v>
      </c>
      <c r="J793" s="93" t="s">
        <v>189</v>
      </c>
      <c r="K793" s="93">
        <v>5</v>
      </c>
      <c r="L793" s="93" t="e">
        <v>#N/A</v>
      </c>
      <c r="M793" s="93" t="s">
        <v>2311</v>
      </c>
      <c r="N793" s="93">
        <f>VLOOKUP(B793,'[16]01.수집 카테고리(List)'!$A$2:$H$64,8,FALSE)</f>
        <v>99991231</v>
      </c>
      <c r="O793" s="93" t="s">
        <v>646</v>
      </c>
    </row>
    <row r="794" spans="1:15" hidden="1">
      <c r="A794" s="75" t="str">
        <f t="shared" si="24"/>
        <v>CLFALABELLARefrigeratorside by side refrigeratorside by side</v>
      </c>
      <c r="B794" s="94" t="str">
        <f t="shared" si="25"/>
        <v>CL_FALABELLA</v>
      </c>
      <c r="C794" s="93" t="s">
        <v>326</v>
      </c>
      <c r="D794" s="93" t="s">
        <v>327</v>
      </c>
      <c r="E794" s="93" t="s">
        <v>2326</v>
      </c>
      <c r="F794" s="93" t="s">
        <v>2330</v>
      </c>
      <c r="G794" s="93" t="s">
        <v>2570</v>
      </c>
      <c r="H794" s="93" t="e">
        <v>#N/A</v>
      </c>
      <c r="I794" s="105" t="s">
        <v>2310</v>
      </c>
      <c r="J794" s="93" t="s">
        <v>189</v>
      </c>
      <c r="K794" s="93">
        <v>84</v>
      </c>
      <c r="L794" s="93" t="e">
        <v>#N/A</v>
      </c>
      <c r="M794" s="93" t="s">
        <v>2311</v>
      </c>
      <c r="N794" s="93">
        <f>VLOOKUP(B794,'[16]01.수집 카테고리(List)'!$A$2:$H$64,8,FALSE)</f>
        <v>99991231</v>
      </c>
      <c r="O794" s="93" t="s">
        <v>646</v>
      </c>
    </row>
    <row r="795" spans="1:15" hidden="1">
      <c r="A795" s="75" t="str">
        <f t="shared" si="24"/>
        <v>CLFALABELLASOUNDBARstereoequipo de musica</v>
      </c>
      <c r="B795" s="94" t="str">
        <f t="shared" si="25"/>
        <v>CL_FALABELLA</v>
      </c>
      <c r="C795" s="93" t="s">
        <v>326</v>
      </c>
      <c r="D795" s="93" t="s">
        <v>327</v>
      </c>
      <c r="E795" s="93" t="s">
        <v>165</v>
      </c>
      <c r="F795" s="93" t="s">
        <v>2571</v>
      </c>
      <c r="G795" s="93" t="s">
        <v>2572</v>
      </c>
      <c r="H795" s="93" t="e">
        <v>#N/A</v>
      </c>
      <c r="I795" s="105" t="s">
        <v>2310</v>
      </c>
      <c r="J795" s="93" t="s">
        <v>189</v>
      </c>
      <c r="K795" s="93">
        <v>711</v>
      </c>
      <c r="L795" s="93" t="e">
        <v>#N/A</v>
      </c>
      <c r="M795" s="93" t="s">
        <v>2311</v>
      </c>
      <c r="N795" s="93">
        <f>VLOOKUP(B795,'[16]01.수집 카테고리(List)'!$A$2:$H$64,8,FALSE)</f>
        <v>99991231</v>
      </c>
      <c r="O795" s="93" t="s">
        <v>646</v>
      </c>
    </row>
    <row r="796" spans="1:15" hidden="1">
      <c r="A796" s="75" t="str">
        <f t="shared" si="24"/>
        <v>CLFALABELLASOUNDBARsoundbar for tvparlantes para tele</v>
      </c>
      <c r="B796" s="94" t="str">
        <f t="shared" si="25"/>
        <v>CL_FALABELLA</v>
      </c>
      <c r="C796" s="93" t="s">
        <v>326</v>
      </c>
      <c r="D796" s="93" t="s">
        <v>327</v>
      </c>
      <c r="E796" s="93" t="s">
        <v>165</v>
      </c>
      <c r="F796" s="93" t="s">
        <v>2573</v>
      </c>
      <c r="G796" s="93" t="s">
        <v>2574</v>
      </c>
      <c r="H796" s="93" t="e">
        <v>#N/A</v>
      </c>
      <c r="I796" s="105" t="s">
        <v>2310</v>
      </c>
      <c r="J796" s="93" t="s">
        <v>189</v>
      </c>
      <c r="K796" s="93">
        <v>591</v>
      </c>
      <c r="L796" s="93" t="e">
        <v>#N/A</v>
      </c>
      <c r="M796" s="93" t="s">
        <v>2311</v>
      </c>
      <c r="N796" s="93">
        <f>VLOOKUP(B796,'[16]01.수집 카테고리(List)'!$A$2:$H$64,8,FALSE)</f>
        <v>99991231</v>
      </c>
      <c r="O796" s="93" t="s">
        <v>646</v>
      </c>
    </row>
    <row r="797" spans="1:15" hidden="1">
      <c r="A797" s="75" t="str">
        <f t="shared" si="24"/>
        <v>CLFALABELLASOUNDBARsoundbar for tvparlantes para televisor</v>
      </c>
      <c r="B797" s="94" t="str">
        <f t="shared" si="25"/>
        <v>CL_FALABELLA</v>
      </c>
      <c r="C797" s="93" t="s">
        <v>326</v>
      </c>
      <c r="D797" s="93" t="s">
        <v>327</v>
      </c>
      <c r="E797" s="93" t="s">
        <v>165</v>
      </c>
      <c r="F797" s="93" t="s">
        <v>2573</v>
      </c>
      <c r="G797" s="93" t="s">
        <v>2575</v>
      </c>
      <c r="H797" s="93" t="e">
        <v>#N/A</v>
      </c>
      <c r="I797" s="105" t="s">
        <v>2310</v>
      </c>
      <c r="J797" s="93" t="s">
        <v>189</v>
      </c>
      <c r="K797" s="93">
        <v>131</v>
      </c>
      <c r="L797" s="93" t="e">
        <v>#N/A</v>
      </c>
      <c r="M797" s="93" t="s">
        <v>2311</v>
      </c>
      <c r="N797" s="93">
        <f>VLOOKUP(B797,'[16]01.수집 카테고리(List)'!$A$2:$H$64,8,FALSE)</f>
        <v>99991231</v>
      </c>
      <c r="O797" s="93" t="s">
        <v>646</v>
      </c>
    </row>
    <row r="798" spans="1:15" hidden="1">
      <c r="A798" s="75" t="str">
        <f t="shared" si="24"/>
        <v>CLFALABELLASOUNDBARlg soundsystemsistema de sonido lg</v>
      </c>
      <c r="B798" s="94" t="str">
        <f t="shared" si="25"/>
        <v>CL_FALABELLA</v>
      </c>
      <c r="C798" s="93" t="s">
        <v>326</v>
      </c>
      <c r="D798" s="93" t="s">
        <v>327</v>
      </c>
      <c r="E798" s="93" t="s">
        <v>165</v>
      </c>
      <c r="F798" s="93" t="s">
        <v>2576</v>
      </c>
      <c r="G798" s="93" t="s">
        <v>2577</v>
      </c>
      <c r="H798" s="93" t="e">
        <v>#N/A</v>
      </c>
      <c r="I798" s="105" t="s">
        <v>2310</v>
      </c>
      <c r="J798" s="93" t="s">
        <v>189</v>
      </c>
      <c r="K798" s="93">
        <v>1428</v>
      </c>
      <c r="L798" s="93" t="e">
        <v>#N/A</v>
      </c>
      <c r="M798" s="93" t="s">
        <v>2311</v>
      </c>
      <c r="N798" s="93">
        <f>VLOOKUP(B798,'[16]01.수집 카테고리(List)'!$A$2:$H$64,8,FALSE)</f>
        <v>99991231</v>
      </c>
      <c r="O798" s="93" t="s">
        <v>646</v>
      </c>
    </row>
    <row r="799" spans="1:15" hidden="1">
      <c r="A799" s="75" t="str">
        <f t="shared" si="24"/>
        <v>CLFALABELLASOUNDBARtv with soundbartv con parlantes</v>
      </c>
      <c r="B799" s="94" t="str">
        <f t="shared" si="25"/>
        <v>CL_FALABELLA</v>
      </c>
      <c r="C799" s="93" t="s">
        <v>326</v>
      </c>
      <c r="D799" s="93" t="s">
        <v>327</v>
      </c>
      <c r="E799" s="93" t="s">
        <v>165</v>
      </c>
      <c r="F799" s="93" t="s">
        <v>2578</v>
      </c>
      <c r="G799" s="93" t="s">
        <v>2579</v>
      </c>
      <c r="H799" s="93" t="e">
        <v>#N/A</v>
      </c>
      <c r="I799" s="105" t="s">
        <v>2310</v>
      </c>
      <c r="J799" s="93" t="s">
        <v>189</v>
      </c>
      <c r="K799" s="93">
        <v>33</v>
      </c>
      <c r="L799" s="93" t="e">
        <v>#N/A</v>
      </c>
      <c r="M799" s="93" t="s">
        <v>2311</v>
      </c>
      <c r="N799" s="93">
        <f>VLOOKUP(B799,'[16]01.수집 카테고리(List)'!$A$2:$H$64,8,FALSE)</f>
        <v>99991231</v>
      </c>
      <c r="O799" s="93" t="s">
        <v>646</v>
      </c>
    </row>
    <row r="800" spans="1:15" hidden="1">
      <c r="A800" s="75" t="str">
        <f t="shared" si="24"/>
        <v>CLFALABELLATV4k TV4k tv</v>
      </c>
      <c r="B800" s="94" t="str">
        <f t="shared" si="25"/>
        <v>CL_FALABELLA</v>
      </c>
      <c r="C800" s="93" t="s">
        <v>326</v>
      </c>
      <c r="D800" s="93" t="s">
        <v>327</v>
      </c>
      <c r="E800" s="93" t="s">
        <v>161</v>
      </c>
      <c r="F800" s="93" t="s">
        <v>2368</v>
      </c>
      <c r="G800" s="93" t="s">
        <v>2580</v>
      </c>
      <c r="H800" s="93" t="e">
        <v>#N/A</v>
      </c>
      <c r="I800" s="105" t="s">
        <v>2310</v>
      </c>
      <c r="J800" s="93" t="s">
        <v>189</v>
      </c>
      <c r="K800" s="93">
        <v>794</v>
      </c>
      <c r="L800" s="93">
        <v>794</v>
      </c>
      <c r="M800" s="93" t="s">
        <v>2311</v>
      </c>
      <c r="N800" s="93">
        <f>VLOOKUP(B800,'[16]01.수집 카테고리(List)'!$A$2:$H$64,8,FALSE)</f>
        <v>99991231</v>
      </c>
      <c r="O800" s="93" t="s">
        <v>646</v>
      </c>
    </row>
    <row r="801" spans="1:15" hidden="1">
      <c r="A801" s="75" t="str">
        <f t="shared" si="24"/>
        <v>CLFALABELLATVoled TVoled tv</v>
      </c>
      <c r="B801" s="94" t="str">
        <f t="shared" si="25"/>
        <v>CL_FALABELLA</v>
      </c>
      <c r="C801" s="93" t="s">
        <v>326</v>
      </c>
      <c r="D801" s="93" t="s">
        <v>327</v>
      </c>
      <c r="E801" s="93" t="s">
        <v>161</v>
      </c>
      <c r="F801" s="93" t="s">
        <v>2369</v>
      </c>
      <c r="G801" s="93" t="s">
        <v>2581</v>
      </c>
      <c r="H801" s="93" t="e">
        <v>#N/A</v>
      </c>
      <c r="I801" s="105" t="s">
        <v>2310</v>
      </c>
      <c r="J801" s="93" t="s">
        <v>189</v>
      </c>
      <c r="K801" s="93">
        <v>142</v>
      </c>
      <c r="L801" s="93">
        <v>142</v>
      </c>
      <c r="M801" s="93" t="s">
        <v>2311</v>
      </c>
      <c r="N801" s="93">
        <f>VLOOKUP(B801,'[16]01.수집 카테고리(List)'!$A$2:$H$64,8,FALSE)</f>
        <v>99991231</v>
      </c>
      <c r="O801" s="93" t="s">
        <v>646</v>
      </c>
    </row>
    <row r="802" spans="1:15" hidden="1">
      <c r="A802" s="75" t="str">
        <f t="shared" si="24"/>
        <v>CLFALABELLATVsmart TVsmart tv</v>
      </c>
      <c r="B802" s="94" t="str">
        <f t="shared" si="25"/>
        <v>CL_FALABELLA</v>
      </c>
      <c r="C802" s="93" t="s">
        <v>326</v>
      </c>
      <c r="D802" s="93" t="s">
        <v>327</v>
      </c>
      <c r="E802" s="93" t="s">
        <v>161</v>
      </c>
      <c r="F802" s="93" t="s">
        <v>2371</v>
      </c>
      <c r="G802" s="93" t="s">
        <v>2582</v>
      </c>
      <c r="H802" s="93" t="e">
        <v>#N/A</v>
      </c>
      <c r="I802" s="105" t="s">
        <v>2310</v>
      </c>
      <c r="J802" s="93" t="s">
        <v>189</v>
      </c>
      <c r="K802" s="93">
        <v>4012</v>
      </c>
      <c r="L802" s="93">
        <v>4012</v>
      </c>
      <c r="M802" s="93" t="s">
        <v>2311</v>
      </c>
      <c r="N802" s="93">
        <f>VLOOKUP(B802,'[16]01.수집 카테고리(List)'!$A$2:$H$64,8,FALSE)</f>
        <v>99991231</v>
      </c>
      <c r="O802" s="93" t="s">
        <v>646</v>
      </c>
    </row>
    <row r="803" spans="1:15" hidden="1">
      <c r="A803" s="75" t="str">
        <f t="shared" si="24"/>
        <v>CLFALABELLATVTVtelevisor</v>
      </c>
      <c r="B803" s="94" t="str">
        <f t="shared" si="25"/>
        <v>CL_FALABELLA</v>
      </c>
      <c r="C803" s="93" t="s">
        <v>326</v>
      </c>
      <c r="D803" s="93" t="s">
        <v>327</v>
      </c>
      <c r="E803" s="93" t="s">
        <v>161</v>
      </c>
      <c r="F803" s="93" t="s">
        <v>161</v>
      </c>
      <c r="G803" s="93" t="s">
        <v>2583</v>
      </c>
      <c r="H803" s="93" t="e">
        <v>#N/A</v>
      </c>
      <c r="I803" s="105" t="s">
        <v>2310</v>
      </c>
      <c r="J803" s="93" t="s">
        <v>189</v>
      </c>
      <c r="K803" s="93">
        <v>92</v>
      </c>
      <c r="L803" s="93" t="e">
        <v>#N/A</v>
      </c>
      <c r="M803" s="93" t="s">
        <v>2311</v>
      </c>
      <c r="N803" s="93">
        <f>VLOOKUP(B803,'[16]01.수집 카테고리(List)'!$A$2:$H$64,8,FALSE)</f>
        <v>99991231</v>
      </c>
      <c r="O803" s="93" t="s">
        <v>646</v>
      </c>
    </row>
    <row r="804" spans="1:15" hidden="1">
      <c r="A804" s="75" t="str">
        <f t="shared" si="24"/>
        <v>CLFALABELLATVuhd TVuhd tv</v>
      </c>
      <c r="B804" s="94" t="str">
        <f t="shared" si="25"/>
        <v>CL_FALABELLA</v>
      </c>
      <c r="C804" s="93" t="s">
        <v>326</v>
      </c>
      <c r="D804" s="93" t="s">
        <v>327</v>
      </c>
      <c r="E804" s="93" t="s">
        <v>161</v>
      </c>
      <c r="F804" s="93" t="s">
        <v>2399</v>
      </c>
      <c r="G804" s="93" t="s">
        <v>2584</v>
      </c>
      <c r="H804" s="93" t="e">
        <v>#N/A</v>
      </c>
      <c r="I804" s="105" t="s">
        <v>2310</v>
      </c>
      <c r="J804" s="93" t="s">
        <v>189</v>
      </c>
      <c r="K804" s="93">
        <v>312</v>
      </c>
      <c r="L804" s="93">
        <v>312</v>
      </c>
      <c r="M804" s="93" t="s">
        <v>2311</v>
      </c>
      <c r="N804" s="93">
        <f>VLOOKUP(B804,'[16]01.수집 카테고리(List)'!$A$2:$H$64,8,FALSE)</f>
        <v>99991231</v>
      </c>
      <c r="O804" s="93" t="s">
        <v>646</v>
      </c>
    </row>
    <row r="805" spans="1:15" hidden="1">
      <c r="A805" s="75" t="str">
        <f t="shared" si="24"/>
        <v>CLFALABELLAWashing Machinefront loaderlavadora frontal</v>
      </c>
      <c r="B805" s="94" t="str">
        <f t="shared" si="25"/>
        <v>CL_FALABELLA</v>
      </c>
      <c r="C805" s="93" t="s">
        <v>326</v>
      </c>
      <c r="D805" s="93" t="s">
        <v>327</v>
      </c>
      <c r="E805" s="93" t="s">
        <v>2333</v>
      </c>
      <c r="F805" s="93" t="s">
        <v>2334</v>
      </c>
      <c r="G805" s="93" t="s">
        <v>2585</v>
      </c>
      <c r="H805" s="93" t="e">
        <v>#N/A</v>
      </c>
      <c r="I805" s="105" t="s">
        <v>2310</v>
      </c>
      <c r="J805" s="93" t="s">
        <v>189</v>
      </c>
      <c r="K805" s="93">
        <v>55</v>
      </c>
      <c r="L805" s="93" t="e">
        <v>#N/A</v>
      </c>
      <c r="M805" s="93" t="s">
        <v>2311</v>
      </c>
      <c r="N805" s="93">
        <f>VLOOKUP(B805,'[16]01.수집 카테고리(List)'!$A$2:$H$64,8,FALSE)</f>
        <v>99991231</v>
      </c>
      <c r="O805" s="93" t="s">
        <v>646</v>
      </c>
    </row>
    <row r="806" spans="1:15" hidden="1">
      <c r="A806" s="75" t="str">
        <f t="shared" si="24"/>
        <v>CLFALABELLAWashing MachineFront load washerlavadora Frontales</v>
      </c>
      <c r="B806" s="94" t="str">
        <f t="shared" si="25"/>
        <v>CL_FALABELLA</v>
      </c>
      <c r="C806" s="93" t="s">
        <v>326</v>
      </c>
      <c r="D806" s="93" t="s">
        <v>327</v>
      </c>
      <c r="E806" s="93" t="s">
        <v>2333</v>
      </c>
      <c r="F806" s="93" t="s">
        <v>2586</v>
      </c>
      <c r="G806" s="93" t="s">
        <v>2587</v>
      </c>
      <c r="H806" s="93" t="e">
        <v>#N/A</v>
      </c>
      <c r="I806" s="105" t="s">
        <v>2310</v>
      </c>
      <c r="J806" s="93" t="s">
        <v>189</v>
      </c>
      <c r="K806" s="93">
        <v>7</v>
      </c>
      <c r="L806" s="93" t="e">
        <v>#N/A</v>
      </c>
      <c r="M806" s="93" t="s">
        <v>2311</v>
      </c>
      <c r="N806" s="93">
        <f>VLOOKUP(B806,'[16]01.수집 카테고리(List)'!$A$2:$H$64,8,FALSE)</f>
        <v>99991231</v>
      </c>
      <c r="O806" s="93" t="s">
        <v>646</v>
      </c>
    </row>
    <row r="807" spans="1:15" hidden="1">
      <c r="A807" s="75" t="str">
        <f t="shared" si="24"/>
        <v>CLFALABELLAWashing Machinetop loaderlavadora superior</v>
      </c>
      <c r="B807" s="94" t="str">
        <f t="shared" si="25"/>
        <v>CL_FALABELLA</v>
      </c>
      <c r="C807" s="93" t="s">
        <v>326</v>
      </c>
      <c r="D807" s="93" t="s">
        <v>327</v>
      </c>
      <c r="E807" s="93" t="s">
        <v>2333</v>
      </c>
      <c r="F807" s="93" t="s">
        <v>2336</v>
      </c>
      <c r="G807" s="93" t="s">
        <v>2588</v>
      </c>
      <c r="H807" s="93" t="e">
        <v>#N/A</v>
      </c>
      <c r="I807" s="105" t="s">
        <v>2310</v>
      </c>
      <c r="J807" s="93" t="s">
        <v>189</v>
      </c>
      <c r="K807" s="93">
        <v>539</v>
      </c>
      <c r="L807" s="93" t="e">
        <v>#N/A</v>
      </c>
      <c r="M807" s="93" t="s">
        <v>2311</v>
      </c>
      <c r="N807" s="93">
        <f>VLOOKUP(B807,'[16]01.수집 카테고리(List)'!$A$2:$H$64,8,FALSE)</f>
        <v>99991231</v>
      </c>
      <c r="O807" s="93" t="s">
        <v>646</v>
      </c>
    </row>
    <row r="808" spans="1:15" hidden="1">
      <c r="A808" s="75" t="str">
        <f t="shared" si="24"/>
        <v>CLFALABELLAWashing Machinewasher dryer combolavadora y secadora</v>
      </c>
      <c r="B808" s="94" t="str">
        <f t="shared" si="25"/>
        <v>CL_FALABELLA</v>
      </c>
      <c r="C808" s="93" t="s">
        <v>326</v>
      </c>
      <c r="D808" s="93" t="s">
        <v>327</v>
      </c>
      <c r="E808" s="93" t="s">
        <v>2333</v>
      </c>
      <c r="F808" s="93" t="s">
        <v>2338</v>
      </c>
      <c r="G808" s="93" t="s">
        <v>2589</v>
      </c>
      <c r="H808" s="93" t="e">
        <v>#N/A</v>
      </c>
      <c r="I808" s="105" t="s">
        <v>2310</v>
      </c>
      <c r="J808" s="93" t="s">
        <v>189</v>
      </c>
      <c r="K808" s="93">
        <v>65</v>
      </c>
      <c r="L808" s="93" t="e">
        <v>#N/A</v>
      </c>
      <c r="M808" s="93" t="s">
        <v>2311</v>
      </c>
      <c r="N808" s="93">
        <f>VLOOKUP(B808,'[16]01.수집 카테고리(List)'!$A$2:$H$64,8,FALSE)</f>
        <v>99991231</v>
      </c>
      <c r="O808" s="93" t="s">
        <v>646</v>
      </c>
    </row>
    <row r="809" spans="1:15" hidden="1">
      <c r="A809" s="75" t="str">
        <f t="shared" si="24"/>
        <v>CLFALABELLAWashing Machinewashing machinelavadoras</v>
      </c>
      <c r="B809" s="94" t="str">
        <f t="shared" si="25"/>
        <v>CL_FALABELLA</v>
      </c>
      <c r="C809" s="93" t="s">
        <v>326</v>
      </c>
      <c r="D809" s="93" t="s">
        <v>327</v>
      </c>
      <c r="E809" s="93" t="s">
        <v>2333</v>
      </c>
      <c r="F809" s="93" t="s">
        <v>2340</v>
      </c>
      <c r="G809" s="93" t="s">
        <v>2590</v>
      </c>
      <c r="H809" s="93" t="e">
        <v>#N/A</v>
      </c>
      <c r="I809" s="105" t="s">
        <v>2310</v>
      </c>
      <c r="J809" s="93" t="s">
        <v>189</v>
      </c>
      <c r="K809" s="93">
        <v>260</v>
      </c>
      <c r="L809" s="93" t="e">
        <v>#N/A</v>
      </c>
      <c r="M809" s="93" t="s">
        <v>2311</v>
      </c>
      <c r="N809" s="93">
        <f>VLOOKUP(B809,'[16]01.수집 카테고리(List)'!$A$2:$H$64,8,FALSE)</f>
        <v>99991231</v>
      </c>
      <c r="O809" s="93" t="s">
        <v>646</v>
      </c>
    </row>
    <row r="810" spans="1:15" hidden="1">
      <c r="A810" s="75" t="str">
        <f t="shared" si="24"/>
        <v>CLFALABELLAWIRELESS HEADSETheadphonesaudifonos</v>
      </c>
      <c r="B810" s="94" t="str">
        <f t="shared" si="25"/>
        <v>CL_FALABELLA</v>
      </c>
      <c r="C810" s="93" t="s">
        <v>326</v>
      </c>
      <c r="D810" s="93" t="s">
        <v>327</v>
      </c>
      <c r="E810" s="93" t="s">
        <v>2201</v>
      </c>
      <c r="F810" s="93" t="s">
        <v>2591</v>
      </c>
      <c r="G810" s="93" t="s">
        <v>2592</v>
      </c>
      <c r="H810" s="93" t="e">
        <v>#N/A</v>
      </c>
      <c r="I810" s="105" t="s">
        <v>2310</v>
      </c>
      <c r="J810" s="93" t="s">
        <v>189</v>
      </c>
      <c r="K810" s="93">
        <v>899</v>
      </c>
      <c r="L810" s="93" t="e">
        <v>#N/A</v>
      </c>
      <c r="M810" s="93" t="s">
        <v>2311</v>
      </c>
      <c r="N810" s="93">
        <f>VLOOKUP(B810,'[16]01.수집 카테고리(List)'!$A$2:$H$64,8,FALSE)</f>
        <v>99991231</v>
      </c>
      <c r="O810" s="93" t="s">
        <v>646</v>
      </c>
    </row>
    <row r="811" spans="1:15" hidden="1">
      <c r="A811" s="75" t="str">
        <f t="shared" si="24"/>
        <v>CLFALABELLAWIRELESS HEADSETandroid headphonesaudifonos android</v>
      </c>
      <c r="B811" s="94" t="str">
        <f t="shared" si="25"/>
        <v>CL_FALABELLA</v>
      </c>
      <c r="C811" s="93" t="s">
        <v>326</v>
      </c>
      <c r="D811" s="93" t="s">
        <v>327</v>
      </c>
      <c r="E811" s="93" t="s">
        <v>2201</v>
      </c>
      <c r="F811" s="93" t="s">
        <v>2593</v>
      </c>
      <c r="G811" s="93" t="s">
        <v>2594</v>
      </c>
      <c r="H811" s="93" t="e">
        <v>#N/A</v>
      </c>
      <c r="I811" s="105" t="s">
        <v>2310</v>
      </c>
      <c r="J811" s="93" t="s">
        <v>189</v>
      </c>
      <c r="K811" s="93">
        <v>626</v>
      </c>
      <c r="L811" s="93" t="e">
        <v>#N/A</v>
      </c>
      <c r="M811" s="93" t="s">
        <v>2311</v>
      </c>
      <c r="N811" s="93">
        <f>VLOOKUP(B811,'[16]01.수집 카테고리(List)'!$A$2:$H$64,8,FALSE)</f>
        <v>99991231</v>
      </c>
      <c r="O811" s="93" t="s">
        <v>646</v>
      </c>
    </row>
    <row r="812" spans="1:15" hidden="1">
      <c r="A812" s="75" t="str">
        <f t="shared" si="24"/>
        <v>CLFALABELLAWIRELESS HEADSETheadphones to listen to tvaudifonos paraescuchar tv</v>
      </c>
      <c r="B812" s="94" t="str">
        <f t="shared" si="25"/>
        <v>CL_FALABELLA</v>
      </c>
      <c r="C812" s="93" t="s">
        <v>326</v>
      </c>
      <c r="D812" s="93" t="s">
        <v>327</v>
      </c>
      <c r="E812" s="93" t="s">
        <v>2201</v>
      </c>
      <c r="F812" s="93" t="s">
        <v>2595</v>
      </c>
      <c r="G812" s="93" t="s">
        <v>2596</v>
      </c>
      <c r="H812" s="93" t="e">
        <v>#N/A</v>
      </c>
      <c r="I812" s="105" t="s">
        <v>2310</v>
      </c>
      <c r="J812" s="93" t="s">
        <v>189</v>
      </c>
      <c r="K812" s="93">
        <v>2140</v>
      </c>
      <c r="L812" s="93" t="e">
        <v>#N/A</v>
      </c>
      <c r="M812" s="93" t="s">
        <v>2311</v>
      </c>
      <c r="N812" s="93">
        <f>VLOOKUP(B812,'[16]01.수집 카테고리(List)'!$A$2:$H$64,8,FALSE)</f>
        <v>99991231</v>
      </c>
      <c r="O812" s="93" t="s">
        <v>646</v>
      </c>
    </row>
    <row r="813" spans="1:15" hidden="1">
      <c r="A813" s="75" t="str">
        <f t="shared" si="24"/>
        <v>CLFALABELLAWIRELESS HEADSETwireless earphoneprecio deaudifono inalambrico</v>
      </c>
      <c r="B813" s="94" t="str">
        <f t="shared" si="25"/>
        <v>CL_FALABELLA</v>
      </c>
      <c r="C813" s="93" t="s">
        <v>326</v>
      </c>
      <c r="D813" s="93" t="s">
        <v>327</v>
      </c>
      <c r="E813" s="93" t="s">
        <v>2201</v>
      </c>
      <c r="F813" s="93" t="s">
        <v>2597</v>
      </c>
      <c r="G813" s="93" t="s">
        <v>2598</v>
      </c>
      <c r="H813" s="93" t="e">
        <v>#N/A</v>
      </c>
      <c r="I813" s="105" t="s">
        <v>2310</v>
      </c>
      <c r="J813" s="93" t="s">
        <v>189</v>
      </c>
      <c r="K813" s="93">
        <v>4</v>
      </c>
      <c r="L813" s="93" t="e">
        <v>#N/A</v>
      </c>
      <c r="M813" s="93" t="s">
        <v>2311</v>
      </c>
      <c r="N813" s="93">
        <f>VLOOKUP(B813,'[16]01.수집 카테고리(List)'!$A$2:$H$64,8,FALSE)</f>
        <v>99991231</v>
      </c>
      <c r="O813" s="93" t="s">
        <v>646</v>
      </c>
    </row>
    <row r="814" spans="1:15" hidden="1">
      <c r="A814" s="75" t="str">
        <f t="shared" si="24"/>
        <v>CLFALABELLAWIRELESS HEADSETheadphone saleventa audifonos</v>
      </c>
      <c r="B814" s="94" t="str">
        <f t="shared" si="25"/>
        <v>CL_FALABELLA</v>
      </c>
      <c r="C814" s="93" t="s">
        <v>326</v>
      </c>
      <c r="D814" s="93" t="s">
        <v>327</v>
      </c>
      <c r="E814" s="93" t="s">
        <v>2201</v>
      </c>
      <c r="F814" s="93" t="s">
        <v>2599</v>
      </c>
      <c r="G814" s="93" t="s">
        <v>2600</v>
      </c>
      <c r="H814" s="93" t="e">
        <v>#N/A</v>
      </c>
      <c r="I814" s="105" t="s">
        <v>2310</v>
      </c>
      <c r="J814" s="93" t="s">
        <v>189</v>
      </c>
      <c r="K814" s="93">
        <v>262</v>
      </c>
      <c r="L814" s="93" t="e">
        <v>#N/A</v>
      </c>
      <c r="M814" s="93" t="s">
        <v>2311</v>
      </c>
      <c r="N814" s="93">
        <f>VLOOKUP(B814,'[16]01.수집 카테고리(List)'!$A$2:$H$64,8,FALSE)</f>
        <v>99991231</v>
      </c>
      <c r="O814" s="93" t="s">
        <v>646</v>
      </c>
    </row>
    <row r="815" spans="1:15" s="108" customFormat="1" hidden="1">
      <c r="A815" s="108" t="str">
        <f t="shared" si="24"/>
        <v>CLFALABELLAMonitor4k monitormonitor 4k</v>
      </c>
      <c r="B815" s="109" t="str">
        <f t="shared" si="25"/>
        <v>CL_FALABELLA</v>
      </c>
      <c r="C815" s="110" t="s">
        <v>326</v>
      </c>
      <c r="D815" s="110" t="s">
        <v>327</v>
      </c>
      <c r="E815" s="110" t="s">
        <v>2545</v>
      </c>
      <c r="F815" s="110" t="s">
        <v>2601</v>
      </c>
      <c r="G815" s="115" t="s">
        <v>2450</v>
      </c>
      <c r="H815" s="93" t="e">
        <v>#N/A</v>
      </c>
      <c r="I815" s="99">
        <v>46076</v>
      </c>
      <c r="J815" s="83" t="s">
        <v>189</v>
      </c>
      <c r="K815" s="110"/>
      <c r="L815" s="110"/>
      <c r="M815" s="110"/>
      <c r="N815" s="110"/>
      <c r="O815" s="110"/>
    </row>
    <row r="816" spans="1:15" s="108" customFormat="1" hidden="1">
      <c r="A816" s="108" t="str">
        <f t="shared" si="24"/>
        <v>CLFALABELLAMonitorgaming monitormonitor de juegos</v>
      </c>
      <c r="B816" s="109" t="str">
        <f t="shared" si="25"/>
        <v>CL_FALABELLA</v>
      </c>
      <c r="C816" s="110" t="s">
        <v>326</v>
      </c>
      <c r="D816" s="110" t="s">
        <v>327</v>
      </c>
      <c r="E816" s="110" t="s">
        <v>2545</v>
      </c>
      <c r="F816" s="110" t="s">
        <v>2602</v>
      </c>
      <c r="G816" s="110" t="s">
        <v>2603</v>
      </c>
      <c r="H816" s="93" t="e">
        <v>#N/A</v>
      </c>
      <c r="I816" s="99">
        <v>46076</v>
      </c>
      <c r="J816" s="83" t="s">
        <v>189</v>
      </c>
      <c r="K816" s="110"/>
      <c r="L816" s="110"/>
      <c r="M816" s="110"/>
      <c r="N816" s="110"/>
      <c r="O816" s="110"/>
    </row>
    <row r="817" spans="1:15" s="108" customFormat="1" hidden="1">
      <c r="A817" s="108" t="str">
        <f t="shared" si="24"/>
        <v>CLFALABELLAMonitormonitormonitor</v>
      </c>
      <c r="B817" s="109" t="str">
        <f t="shared" si="25"/>
        <v>CL_FALABELLA</v>
      </c>
      <c r="C817" s="110" t="s">
        <v>326</v>
      </c>
      <c r="D817" s="110" t="s">
        <v>327</v>
      </c>
      <c r="E817" s="110" t="s">
        <v>2545</v>
      </c>
      <c r="F817" s="110" t="s">
        <v>2449</v>
      </c>
      <c r="G817" s="110" t="s">
        <v>2449</v>
      </c>
      <c r="H817" s="93" t="e">
        <v>#N/A</v>
      </c>
      <c r="I817" s="99">
        <v>46076</v>
      </c>
      <c r="J817" s="83" t="s">
        <v>189</v>
      </c>
      <c r="K817" s="110"/>
      <c r="L817" s="110"/>
      <c r="M817" s="110"/>
      <c r="N817" s="110"/>
      <c r="O817" s="110"/>
    </row>
    <row r="818" spans="1:15" s="108" customFormat="1" hidden="1">
      <c r="A818" s="108" t="str">
        <f t="shared" si="24"/>
        <v>CLFALABELLAMonitoruhd monitormonitor uhd</v>
      </c>
      <c r="B818" s="109" t="str">
        <f t="shared" si="25"/>
        <v>CL_FALABELLA</v>
      </c>
      <c r="C818" s="110" t="s">
        <v>326</v>
      </c>
      <c r="D818" s="110" t="s">
        <v>327</v>
      </c>
      <c r="E818" s="110" t="s">
        <v>2545</v>
      </c>
      <c r="F818" s="110" t="s">
        <v>2604</v>
      </c>
      <c r="G818" s="110" t="s">
        <v>2452</v>
      </c>
      <c r="H818" s="93" t="e">
        <v>#N/A</v>
      </c>
      <c r="I818" s="99">
        <v>46076</v>
      </c>
      <c r="J818" s="83" t="s">
        <v>189</v>
      </c>
      <c r="K818" s="110"/>
      <c r="L818" s="110"/>
      <c r="M818" s="110"/>
      <c r="N818" s="110"/>
      <c r="O818" s="110"/>
    </row>
    <row r="819" spans="1:15" s="108" customFormat="1" hidden="1">
      <c r="A819" s="108" t="str">
        <f t="shared" si="24"/>
        <v>CLFALABELLAMonitorultrawide monitormonitor ultraancho</v>
      </c>
      <c r="B819" s="109" t="str">
        <f t="shared" si="25"/>
        <v>CL_FALABELLA</v>
      </c>
      <c r="C819" s="110" t="s">
        <v>326</v>
      </c>
      <c r="D819" s="110" t="s">
        <v>327</v>
      </c>
      <c r="E819" s="110" t="s">
        <v>2545</v>
      </c>
      <c r="F819" s="110" t="s">
        <v>2605</v>
      </c>
      <c r="G819" s="110" t="s">
        <v>2606</v>
      </c>
      <c r="H819" s="93" t="e">
        <v>#N/A</v>
      </c>
      <c r="I819" s="99">
        <v>46076</v>
      </c>
      <c r="J819" s="83" t="s">
        <v>189</v>
      </c>
      <c r="K819" s="110"/>
      <c r="L819" s="110"/>
      <c r="M819" s="110"/>
      <c r="N819" s="110"/>
      <c r="O819" s="110"/>
    </row>
    <row r="820" spans="1:15" s="108" customFormat="1" hidden="1">
      <c r="A820" s="108" t="str">
        <f t="shared" si="24"/>
        <v>CLFALABELLAAir Conditionerair conditioneracondicionador de aire</v>
      </c>
      <c r="B820" s="109" t="str">
        <f t="shared" si="25"/>
        <v>CL_FALABELLA</v>
      </c>
      <c r="C820" s="110" t="s">
        <v>326</v>
      </c>
      <c r="D820" s="110" t="s">
        <v>327</v>
      </c>
      <c r="E820" s="110" t="s">
        <v>2524</v>
      </c>
      <c r="F820" s="110" t="s">
        <v>2607</v>
      </c>
      <c r="G820" s="110" t="s">
        <v>2608</v>
      </c>
      <c r="H820" s="93" t="e">
        <v>#N/A</v>
      </c>
      <c r="I820" s="99">
        <v>46076</v>
      </c>
      <c r="J820" s="83" t="s">
        <v>189</v>
      </c>
      <c r="K820" s="110"/>
      <c r="L820" s="110"/>
      <c r="M820" s="110"/>
      <c r="N820" s="110"/>
      <c r="O820" s="110"/>
    </row>
    <row r="821" spans="1:15" s="108" customFormat="1" hidden="1">
      <c r="A821" s="108" t="str">
        <f t="shared" si="24"/>
        <v>CLFALABELLAAir Conditionerinverter air conditioneraire acondicionado inversor</v>
      </c>
      <c r="B821" s="109" t="str">
        <f t="shared" si="25"/>
        <v>CL_FALABELLA</v>
      </c>
      <c r="C821" s="110" t="s">
        <v>326</v>
      </c>
      <c r="D821" s="110" t="s">
        <v>327</v>
      </c>
      <c r="E821" s="110" t="s">
        <v>2524</v>
      </c>
      <c r="F821" s="110" t="s">
        <v>2609</v>
      </c>
      <c r="G821" s="110" t="s">
        <v>2610</v>
      </c>
      <c r="H821" s="93" t="e">
        <v>#N/A</v>
      </c>
      <c r="I821" s="99">
        <v>46076</v>
      </c>
      <c r="J821" s="83" t="s">
        <v>189</v>
      </c>
      <c r="K821" s="110"/>
      <c r="L821" s="110"/>
      <c r="M821" s="110"/>
      <c r="N821" s="110"/>
      <c r="O821" s="110"/>
    </row>
    <row r="822" spans="1:15" s="197" customFormat="1" hidden="1">
      <c r="A822" s="197" t="str">
        <f>C822&amp;D822&amp;E822&amp;F822&amp;G822</f>
        <v>CLFALABELLAAir Conditionersplit air conditioneraire acondicionado split</v>
      </c>
      <c r="B822" s="198" t="str">
        <f>C822&amp;"_"&amp;D822</f>
        <v>CL_FALABELLA</v>
      </c>
      <c r="C822" s="199" t="s">
        <v>326</v>
      </c>
      <c r="D822" s="199" t="s">
        <v>327</v>
      </c>
      <c r="E822" s="199" t="s">
        <v>2524</v>
      </c>
      <c r="F822" s="199" t="s">
        <v>2611</v>
      </c>
      <c r="G822" s="200" t="s">
        <v>2612</v>
      </c>
      <c r="H822" s="199" t="s">
        <v>2613</v>
      </c>
      <c r="I822" s="201">
        <v>46076</v>
      </c>
      <c r="J822" s="202" t="s">
        <v>189</v>
      </c>
      <c r="K822" s="199"/>
      <c r="L822" s="199"/>
      <c r="M822" s="199"/>
      <c r="N822" s="199"/>
      <c r="O822" s="199"/>
    </row>
    <row r="823" spans="1:15" s="108" customFormat="1" hidden="1">
      <c r="A823" s="108" t="str">
        <f t="shared" si="24"/>
        <v>CLFALABELLAAir Conditionersplit inverter air conditioneraire acondicionado split inverter</v>
      </c>
      <c r="B823" s="109" t="str">
        <f t="shared" si="25"/>
        <v>CL_FALABELLA</v>
      </c>
      <c r="C823" s="110" t="s">
        <v>326</v>
      </c>
      <c r="D823" s="110" t="s">
        <v>327</v>
      </c>
      <c r="E823" s="110" t="s">
        <v>2524</v>
      </c>
      <c r="F823" s="110" t="s">
        <v>2614</v>
      </c>
      <c r="G823" s="110" t="s">
        <v>2615</v>
      </c>
      <c r="H823" s="93" t="e">
        <v>#N/A</v>
      </c>
      <c r="I823" s="99">
        <v>46076</v>
      </c>
      <c r="J823" s="83" t="s">
        <v>189</v>
      </c>
      <c r="K823" s="110"/>
      <c r="L823" s="110"/>
      <c r="M823" s="110"/>
      <c r="N823" s="110"/>
      <c r="O823" s="110"/>
    </row>
    <row r="824" spans="1:15" s="108" customFormat="1" hidden="1">
      <c r="A824" s="108" t="str">
        <f t="shared" ref="A824:A825" si="26">C824&amp;D824&amp;E824&amp;F824&amp;G824</f>
        <v>CLFALABELLAAir Conditionerwindow air conditioneraire acondicionado de ventana</v>
      </c>
      <c r="B824" s="109" t="str">
        <f t="shared" ref="B824:B825" si="27">C824&amp;"_"&amp;D824</f>
        <v>CL_FALABELLA</v>
      </c>
      <c r="C824" s="110" t="s">
        <v>326</v>
      </c>
      <c r="D824" s="110" t="s">
        <v>327</v>
      </c>
      <c r="E824" s="110" t="s">
        <v>2524</v>
      </c>
      <c r="F824" s="110" t="s">
        <v>2616</v>
      </c>
      <c r="G824" s="110" t="s">
        <v>2617</v>
      </c>
      <c r="H824" s="93" t="e">
        <v>#N/A</v>
      </c>
      <c r="I824" s="99">
        <v>46076</v>
      </c>
      <c r="J824" s="83" t="s">
        <v>189</v>
      </c>
      <c r="K824" s="110"/>
      <c r="L824" s="110"/>
      <c r="M824" s="110"/>
      <c r="N824" s="110"/>
      <c r="O824" s="110"/>
    </row>
    <row r="825" spans="1:15" s="108" customFormat="1" hidden="1">
      <c r="A825" s="108" t="str">
        <f t="shared" si="26"/>
        <v>CLFALABELLAAir Conditionerwindow inverter air conditioneraire acondicionado inversor de ventana</v>
      </c>
      <c r="B825" s="109" t="str">
        <f t="shared" si="27"/>
        <v>CL_FALABELLA</v>
      </c>
      <c r="C825" s="116" t="s">
        <v>326</v>
      </c>
      <c r="D825" s="116" t="s">
        <v>327</v>
      </c>
      <c r="E825" s="116" t="s">
        <v>2524</v>
      </c>
      <c r="F825" s="116" t="s">
        <v>2618</v>
      </c>
      <c r="G825" s="116" t="s">
        <v>2619</v>
      </c>
      <c r="H825" s="93" t="e">
        <v>#N/A</v>
      </c>
      <c r="I825" s="99">
        <v>46076</v>
      </c>
      <c r="J825" s="83" t="s">
        <v>189</v>
      </c>
      <c r="K825" s="110"/>
      <c r="L825" s="110"/>
      <c r="M825" s="110"/>
      <c r="N825" s="110"/>
      <c r="O825" s="110"/>
    </row>
    <row r="826" spans="1:15" s="108" customFormat="1" hidden="1">
      <c r="A826" s="108" t="str">
        <f t="shared" si="24"/>
        <v>CLFALABELLADryerDryersecadora</v>
      </c>
      <c r="B826" s="109" t="str">
        <f t="shared" si="25"/>
        <v>CL_FALABELLA</v>
      </c>
      <c r="C826" s="110" t="s">
        <v>326</v>
      </c>
      <c r="D826" s="110" t="s">
        <v>327</v>
      </c>
      <c r="E826" s="110" t="s">
        <v>2535</v>
      </c>
      <c r="F826" s="110" t="s">
        <v>2535</v>
      </c>
      <c r="G826" s="110" t="s">
        <v>2620</v>
      </c>
      <c r="H826" s="93" t="e">
        <v>#N/A</v>
      </c>
      <c r="I826" s="99">
        <v>46076</v>
      </c>
      <c r="J826" s="83" t="s">
        <v>189</v>
      </c>
      <c r="K826" s="110"/>
      <c r="L826" s="110"/>
      <c r="M826" s="110"/>
      <c r="N826" s="110"/>
      <c r="O826" s="110"/>
    </row>
    <row r="827" spans="1:15" s="108" customFormat="1" hidden="1">
      <c r="A827" s="108" t="str">
        <f t="shared" si="24"/>
        <v>CLFALABELLADryerheatpump  bomba de calor</v>
      </c>
      <c r="B827" s="109" t="str">
        <f t="shared" si="25"/>
        <v>CL_FALABELLA</v>
      </c>
      <c r="C827" s="110" t="s">
        <v>326</v>
      </c>
      <c r="D827" s="110" t="s">
        <v>327</v>
      </c>
      <c r="E827" s="110" t="s">
        <v>2535</v>
      </c>
      <c r="F827" s="110" t="s">
        <v>2621</v>
      </c>
      <c r="G827" s="110" t="s">
        <v>2622</v>
      </c>
      <c r="H827" s="93" t="e">
        <v>#N/A</v>
      </c>
      <c r="I827" s="99">
        <v>46076</v>
      </c>
      <c r="J827" s="83" t="s">
        <v>189</v>
      </c>
      <c r="K827" s="110"/>
      <c r="L827" s="110"/>
      <c r="M827" s="110"/>
      <c r="N827" s="110"/>
      <c r="O827" s="110"/>
    </row>
    <row r="828" spans="1:15" s="108" customFormat="1" hidden="1">
      <c r="A828" s="108" t="str">
        <f t="shared" si="24"/>
        <v>CLFALABELLADryerLG Dryersecadora LG</v>
      </c>
      <c r="B828" s="109" t="str">
        <f t="shared" si="25"/>
        <v>CL_FALABELLA</v>
      </c>
      <c r="C828" s="110" t="s">
        <v>326</v>
      </c>
      <c r="D828" s="110" t="s">
        <v>327</v>
      </c>
      <c r="E828" s="110" t="s">
        <v>2535</v>
      </c>
      <c r="F828" s="110" t="s">
        <v>2623</v>
      </c>
      <c r="G828" s="110" t="s">
        <v>2624</v>
      </c>
      <c r="H828" s="93" t="e">
        <v>#N/A</v>
      </c>
      <c r="I828" s="99">
        <v>46076</v>
      </c>
      <c r="J828" s="83" t="s">
        <v>189</v>
      </c>
      <c r="K828" s="110"/>
      <c r="L828" s="110"/>
      <c r="M828" s="110"/>
      <c r="N828" s="110"/>
      <c r="O828" s="110"/>
    </row>
    <row r="829" spans="1:15" hidden="1">
      <c r="A829" s="75" t="str">
        <f t="shared" si="24"/>
        <v>CZALZABluetooth SpeakerBluetooth speakersBluetooth reproduktory</v>
      </c>
      <c r="B829" s="94" t="str">
        <f t="shared" si="25"/>
        <v>CZ_ALZA</v>
      </c>
      <c r="C829" s="93" t="s">
        <v>433</v>
      </c>
      <c r="D829" s="93" t="s">
        <v>434</v>
      </c>
      <c r="E829" s="93" t="s">
        <v>2307</v>
      </c>
      <c r="F829" s="93" t="s">
        <v>2425</v>
      </c>
      <c r="G829" s="93" t="s">
        <v>2625</v>
      </c>
      <c r="H829" s="93" t="e">
        <v>#N/A</v>
      </c>
      <c r="I829" s="105" t="s">
        <v>2310</v>
      </c>
      <c r="J829" s="93" t="s">
        <v>189</v>
      </c>
      <c r="K829" s="93">
        <v>329</v>
      </c>
      <c r="L829" s="93" t="e">
        <v>#N/A</v>
      </c>
      <c r="M829" s="93" t="s">
        <v>2311</v>
      </c>
      <c r="N829" s="93" t="e">
        <f>VLOOKUP(B829,'[16]01.수집 카테고리(List)'!$A$2:$H$64,8,FALSE)</f>
        <v>#N/A</v>
      </c>
      <c r="O829" s="93"/>
    </row>
    <row r="830" spans="1:15" hidden="1">
      <c r="A830" s="75" t="str">
        <f t="shared" si="24"/>
        <v>CZALZABluetooth SpeakerSpeakermluvčí</v>
      </c>
      <c r="B830" s="94" t="str">
        <f t="shared" si="25"/>
        <v>CZ_ALZA</v>
      </c>
      <c r="C830" s="93" t="s">
        <v>433</v>
      </c>
      <c r="D830" s="93" t="s">
        <v>434</v>
      </c>
      <c r="E830" s="93" t="s">
        <v>2307</v>
      </c>
      <c r="F830" s="93" t="s">
        <v>2428</v>
      </c>
      <c r="G830" s="93" t="s">
        <v>2626</v>
      </c>
      <c r="H830" s="93" t="e">
        <v>#N/A</v>
      </c>
      <c r="I830" s="105" t="s">
        <v>2310</v>
      </c>
      <c r="J830" s="93" t="s">
        <v>189</v>
      </c>
      <c r="K830" s="93">
        <v>47530</v>
      </c>
      <c r="L830" s="93" t="e">
        <v>#N/A</v>
      </c>
      <c r="M830" s="93" t="s">
        <v>2311</v>
      </c>
      <c r="N830" s="93" t="e">
        <f>VLOOKUP(B830,'[16]01.수집 카테고리(List)'!$A$2:$H$64,8,FALSE)</f>
        <v>#N/A</v>
      </c>
      <c r="O830" s="93"/>
    </row>
    <row r="831" spans="1:15" hidden="1">
      <c r="A831" s="75" t="str">
        <f t="shared" si="24"/>
        <v>CZALZABluetooth SpeakerPortable bluetooth speakersPřenosné bluetooth reproduktory</v>
      </c>
      <c r="B831" s="94" t="str">
        <f t="shared" si="25"/>
        <v>CZ_ALZA</v>
      </c>
      <c r="C831" s="93" t="s">
        <v>433</v>
      </c>
      <c r="D831" s="93" t="s">
        <v>434</v>
      </c>
      <c r="E831" s="93" t="s">
        <v>2307</v>
      </c>
      <c r="F831" s="93" t="s">
        <v>2426</v>
      </c>
      <c r="G831" s="93" t="s">
        <v>2627</v>
      </c>
      <c r="H831" s="93" t="e">
        <v>#N/A</v>
      </c>
      <c r="I831" s="105" t="s">
        <v>2310</v>
      </c>
      <c r="J831" s="93" t="s">
        <v>189</v>
      </c>
      <c r="K831" s="93">
        <v>44</v>
      </c>
      <c r="L831" s="93" t="e">
        <v>#N/A</v>
      </c>
      <c r="M831" s="93" t="s">
        <v>2311</v>
      </c>
      <c r="N831" s="93" t="e">
        <f>VLOOKUP(B831,'[16]01.수집 카테고리(List)'!$A$2:$H$64,8,FALSE)</f>
        <v>#N/A</v>
      </c>
      <c r="O831" s="93"/>
    </row>
    <row r="832" spans="1:15" hidden="1">
      <c r="A832" s="75" t="str">
        <f t="shared" si="24"/>
        <v>CZALZABluetooth SpeakerPortable speakersPřenosné reproduktory</v>
      </c>
      <c r="B832" s="94" t="str">
        <f t="shared" si="25"/>
        <v>CZ_ALZA</v>
      </c>
      <c r="C832" s="93" t="s">
        <v>433</v>
      </c>
      <c r="D832" s="93" t="s">
        <v>434</v>
      </c>
      <c r="E832" s="93" t="s">
        <v>2307</v>
      </c>
      <c r="F832" s="93" t="s">
        <v>2427</v>
      </c>
      <c r="G832" s="93" t="s">
        <v>2628</v>
      </c>
      <c r="H832" s="93" t="e">
        <v>#N/A</v>
      </c>
      <c r="I832" s="105" t="s">
        <v>2310</v>
      </c>
      <c r="J832" s="93" t="s">
        <v>189</v>
      </c>
      <c r="K832" s="93">
        <v>1473</v>
      </c>
      <c r="L832" s="93" t="e">
        <v>#N/A</v>
      </c>
      <c r="M832" s="93" t="s">
        <v>2311</v>
      </c>
      <c r="N832" s="93" t="e">
        <f>VLOOKUP(B832,'[16]01.수집 카테고리(List)'!$A$2:$H$64,8,FALSE)</f>
        <v>#N/A</v>
      </c>
      <c r="O832" s="93"/>
    </row>
    <row r="833" spans="1:15" hidden="1">
      <c r="A833" s="75" t="str">
        <f t="shared" si="24"/>
        <v>CZALZABluetooth SpeakerSpeakersŘečníci</v>
      </c>
      <c r="B833" s="94" t="str">
        <f t="shared" si="25"/>
        <v>CZ_ALZA</v>
      </c>
      <c r="C833" s="93" t="s">
        <v>433</v>
      </c>
      <c r="D833" s="93" t="s">
        <v>434</v>
      </c>
      <c r="E833" s="93" t="s">
        <v>2307</v>
      </c>
      <c r="F833" s="93" t="s">
        <v>2429</v>
      </c>
      <c r="G833" s="93" t="s">
        <v>2629</v>
      </c>
      <c r="H833" s="93" t="e">
        <v>#N/A</v>
      </c>
      <c r="I833" s="105" t="s">
        <v>2310</v>
      </c>
      <c r="J833" s="93" t="s">
        <v>189</v>
      </c>
      <c r="K833" s="93">
        <v>27045</v>
      </c>
      <c r="L833" s="93" t="e">
        <v>#N/A</v>
      </c>
      <c r="M833" s="93" t="s">
        <v>2311</v>
      </c>
      <c r="N833" s="93" t="e">
        <f>VLOOKUP(B833,'[16]01.수집 카테고리(List)'!$A$2:$H$64,8,FALSE)</f>
        <v>#N/A</v>
      </c>
      <c r="O833" s="93"/>
    </row>
    <row r="834" spans="1:15" hidden="1">
      <c r="A834" s="75" t="str">
        <f t="shared" si="24"/>
        <v>CZALZADISHWASHERdishwasherMyčky nádobí</v>
      </c>
      <c r="B834" s="94" t="str">
        <f t="shared" si="25"/>
        <v>CZ_ALZA</v>
      </c>
      <c r="C834" s="93" t="s">
        <v>433</v>
      </c>
      <c r="D834" s="93" t="s">
        <v>434</v>
      </c>
      <c r="E834" s="93" t="s">
        <v>169</v>
      </c>
      <c r="F834" s="93" t="s">
        <v>2354</v>
      </c>
      <c r="G834" s="93" t="s">
        <v>2630</v>
      </c>
      <c r="H834" s="93" t="e">
        <v>#N/A</v>
      </c>
      <c r="I834" s="105" t="s">
        <v>2310</v>
      </c>
      <c r="J834" s="93" t="s">
        <v>189</v>
      </c>
      <c r="K834" s="93">
        <v>101</v>
      </c>
      <c r="L834" s="93" t="e">
        <v>#N/A</v>
      </c>
      <c r="M834" s="93" t="s">
        <v>2311</v>
      </c>
      <c r="N834" s="93" t="e">
        <f>VLOOKUP(B834,'[16]01.수집 카테고리(List)'!$A$2:$H$64,8,FALSE)</f>
        <v>#N/A</v>
      </c>
      <c r="O834" s="93"/>
    </row>
    <row r="835" spans="1:15" hidden="1">
      <c r="A835" s="75" t="str">
        <f t="shared" si="24"/>
        <v>CZALZADISHWASHERBuilt in Dish washerVestavěná myčka nádobí</v>
      </c>
      <c r="B835" s="94" t="str">
        <f t="shared" si="25"/>
        <v>CZ_ALZA</v>
      </c>
      <c r="C835" s="93" t="s">
        <v>433</v>
      </c>
      <c r="D835" s="93" t="s">
        <v>434</v>
      </c>
      <c r="E835" s="93" t="s">
        <v>169</v>
      </c>
      <c r="F835" s="93" t="s">
        <v>2356</v>
      </c>
      <c r="G835" s="93" t="s">
        <v>2631</v>
      </c>
      <c r="H835" s="93" t="e">
        <v>#N/A</v>
      </c>
      <c r="I835" s="105" t="s">
        <v>2310</v>
      </c>
      <c r="J835" s="93" t="s">
        <v>189</v>
      </c>
      <c r="K835" s="93">
        <v>176</v>
      </c>
      <c r="L835" s="93" t="e">
        <v>#N/A</v>
      </c>
      <c r="M835" s="93" t="s">
        <v>2311</v>
      </c>
      <c r="N835" s="93" t="e">
        <f>VLOOKUP(B835,'[16]01.수집 카테고리(List)'!$A$2:$H$64,8,FALSE)</f>
        <v>#N/A</v>
      </c>
      <c r="O835" s="93"/>
    </row>
    <row r="836" spans="1:15" hidden="1">
      <c r="A836" s="75" t="str">
        <f t="shared" si="24"/>
        <v>CZALZADISHWASHERFreestanding Dishwasher Volně stojící myčka nádobí</v>
      </c>
      <c r="B836" s="94" t="str">
        <f t="shared" si="25"/>
        <v>CZ_ALZA</v>
      </c>
      <c r="C836" s="93" t="s">
        <v>433</v>
      </c>
      <c r="D836" s="93" t="s">
        <v>434</v>
      </c>
      <c r="E836" s="93" t="s">
        <v>169</v>
      </c>
      <c r="F836" s="93" t="s">
        <v>2441</v>
      </c>
      <c r="G836" s="93" t="s">
        <v>2632</v>
      </c>
      <c r="H836" s="93" t="e">
        <v>#N/A</v>
      </c>
      <c r="I836" s="105" t="s">
        <v>2310</v>
      </c>
      <c r="J836" s="93" t="s">
        <v>189</v>
      </c>
      <c r="K836" s="93">
        <v>175</v>
      </c>
      <c r="L836" s="93" t="e">
        <v>#N/A</v>
      </c>
      <c r="M836" s="93" t="s">
        <v>2311</v>
      </c>
      <c r="N836" s="93" t="e">
        <f>VLOOKUP(B836,'[16]01.수집 카테고리(List)'!$A$2:$H$64,8,FALSE)</f>
        <v>#N/A</v>
      </c>
      <c r="O836" s="93"/>
    </row>
    <row r="837" spans="1:15" hidden="1">
      <c r="A837" s="75" t="str">
        <f t="shared" si="24"/>
        <v>CZALZADryerDryersušičky</v>
      </c>
      <c r="B837" s="94" t="str">
        <f t="shared" si="25"/>
        <v>CZ_ALZA</v>
      </c>
      <c r="C837" s="93" t="s">
        <v>433</v>
      </c>
      <c r="D837" s="93" t="s">
        <v>434</v>
      </c>
      <c r="E837" s="93" t="s">
        <v>2431</v>
      </c>
      <c r="F837" s="93" t="s">
        <v>2431</v>
      </c>
      <c r="G837" s="93" t="s">
        <v>2633</v>
      </c>
      <c r="H837" s="93" t="e">
        <v>#N/A</v>
      </c>
      <c r="I837" s="105" t="s">
        <v>2310</v>
      </c>
      <c r="J837" s="93" t="s">
        <v>189</v>
      </c>
      <c r="K837" s="93">
        <v>474</v>
      </c>
      <c r="L837" s="93" t="e">
        <v>#N/A</v>
      </c>
      <c r="M837" s="93" t="s">
        <v>2311</v>
      </c>
      <c r="N837" s="93" t="e">
        <f>VLOOKUP(B837,'[16]01.수집 카테고리(List)'!$A$2:$H$64,8,FALSE)</f>
        <v>#N/A</v>
      </c>
      <c r="O837" s="93"/>
    </row>
    <row r="838" spans="1:15" hidden="1">
      <c r="A838" s="75" t="str">
        <f t="shared" si="24"/>
        <v>CZALZARefrigeratoramerican refrigeratorAmerická chladnička</v>
      </c>
      <c r="B838" s="94" t="str">
        <f t="shared" si="25"/>
        <v>CZ_ALZA</v>
      </c>
      <c r="C838" s="93" t="s">
        <v>433</v>
      </c>
      <c r="D838" s="93" t="s">
        <v>434</v>
      </c>
      <c r="E838" s="93" t="s">
        <v>2326</v>
      </c>
      <c r="F838" s="93" t="s">
        <v>2634</v>
      </c>
      <c r="G838" s="93" t="s">
        <v>2635</v>
      </c>
      <c r="H838" s="93" t="e">
        <v>#N/A</v>
      </c>
      <c r="I838" s="105" t="s">
        <v>2310</v>
      </c>
      <c r="J838" s="93" t="s">
        <v>189</v>
      </c>
      <c r="K838" s="93">
        <v>405</v>
      </c>
      <c r="L838" s="93" t="e">
        <v>#N/A</v>
      </c>
      <c r="M838" s="93" t="s">
        <v>2311</v>
      </c>
      <c r="N838" s="93" t="e">
        <f>VLOOKUP(B838,'[16]01.수집 카테고리(List)'!$A$2:$H$64,8,FALSE)</f>
        <v>#N/A</v>
      </c>
      <c r="O838" s="93"/>
    </row>
    <row r="839" spans="1:15" hidden="1">
      <c r="A839" s="75" t="str">
        <f t="shared" si="24"/>
        <v>CZALZARefrigeratoramerican fridgeamerická lednice</v>
      </c>
      <c r="B839" s="94" t="str">
        <f t="shared" si="25"/>
        <v>CZ_ALZA</v>
      </c>
      <c r="C839" s="93" t="s">
        <v>433</v>
      </c>
      <c r="D839" s="93" t="s">
        <v>434</v>
      </c>
      <c r="E839" s="93" t="s">
        <v>2326</v>
      </c>
      <c r="F839" s="93" t="s">
        <v>2636</v>
      </c>
      <c r="G839" s="93" t="s">
        <v>2637</v>
      </c>
      <c r="H839" s="93" t="e">
        <v>#N/A</v>
      </c>
      <c r="I839" s="105" t="s">
        <v>2310</v>
      </c>
      <c r="J839" s="93" t="s">
        <v>189</v>
      </c>
      <c r="K839" s="93">
        <v>390</v>
      </c>
      <c r="L839" s="93" t="e">
        <v>#N/A</v>
      </c>
      <c r="M839" s="93" t="s">
        <v>2311</v>
      </c>
      <c r="N839" s="93" t="e">
        <f>VLOOKUP(B839,'[16]01.수집 카테고리(List)'!$A$2:$H$64,8,FALSE)</f>
        <v>#N/A</v>
      </c>
      <c r="O839" s="93"/>
    </row>
    <row r="840" spans="1:15" hidden="1">
      <c r="A840" s="75" t="str">
        <f t="shared" si="24"/>
        <v>CZALZARefrigeratorrefrigeratorchladnička</v>
      </c>
      <c r="B840" s="94" t="str">
        <f t="shared" si="25"/>
        <v>CZ_ALZA</v>
      </c>
      <c r="C840" s="93" t="s">
        <v>433</v>
      </c>
      <c r="D840" s="93" t="s">
        <v>434</v>
      </c>
      <c r="E840" s="93" t="s">
        <v>2326</v>
      </c>
      <c r="F840" s="93" t="s">
        <v>2329</v>
      </c>
      <c r="G840" s="93" t="s">
        <v>2638</v>
      </c>
      <c r="H840" s="93" t="e">
        <v>#N/A</v>
      </c>
      <c r="I840" s="105" t="s">
        <v>2310</v>
      </c>
      <c r="J840" s="93" t="s">
        <v>189</v>
      </c>
      <c r="K840" s="93">
        <v>4117</v>
      </c>
      <c r="L840" s="93" t="e">
        <v>#N/A</v>
      </c>
      <c r="M840" s="93" t="s">
        <v>2311</v>
      </c>
      <c r="N840" s="93" t="e">
        <f>VLOOKUP(B840,'[16]01.수집 카테고리(List)'!$A$2:$H$64,8,FALSE)</f>
        <v>#N/A</v>
      </c>
      <c r="O840" s="93"/>
    </row>
    <row r="841" spans="1:15" hidden="1">
      <c r="A841" s="75" t="str">
        <f t="shared" ref="A841:A904" si="28">C841&amp;D841&amp;E841&amp;F841&amp;G841</f>
        <v>CZALZARefrigeratortop freezer refrigeratorchladnička s horním mrazákem</v>
      </c>
      <c r="B841" s="94" t="str">
        <f t="shared" ref="B841:B904" si="29">C841&amp;"_"&amp;D841</f>
        <v>CZ_ALZA</v>
      </c>
      <c r="C841" s="93" t="s">
        <v>433</v>
      </c>
      <c r="D841" s="93" t="s">
        <v>434</v>
      </c>
      <c r="E841" s="93" t="s">
        <v>2326</v>
      </c>
      <c r="F841" s="93" t="s">
        <v>2332</v>
      </c>
      <c r="G841" s="93" t="s">
        <v>2639</v>
      </c>
      <c r="H841" s="93" t="e">
        <v>#N/A</v>
      </c>
      <c r="I841" s="105" t="s">
        <v>2310</v>
      </c>
      <c r="J841" s="93" t="s">
        <v>189</v>
      </c>
      <c r="K841" s="93">
        <v>452</v>
      </c>
      <c r="L841" s="93" t="e">
        <v>#N/A</v>
      </c>
      <c r="M841" s="93" t="s">
        <v>2311</v>
      </c>
      <c r="N841" s="93" t="e">
        <f>VLOOKUP(B841,'[16]01.수집 카테고리(List)'!$A$2:$H$64,8,FALSE)</f>
        <v>#N/A</v>
      </c>
      <c r="O841" s="93"/>
    </row>
    <row r="842" spans="1:15" hidden="1">
      <c r="A842" s="75" t="str">
        <f t="shared" si="28"/>
        <v>CZALZARefrigeratorbottom freezer refrigeratorchladnička s mrazákem dole</v>
      </c>
      <c r="B842" s="94" t="str">
        <f t="shared" si="29"/>
        <v>CZ_ALZA</v>
      </c>
      <c r="C842" s="93" t="s">
        <v>433</v>
      </c>
      <c r="D842" s="93" t="s">
        <v>434</v>
      </c>
      <c r="E842" s="93" t="s">
        <v>2326</v>
      </c>
      <c r="F842" s="93" t="s">
        <v>2327</v>
      </c>
      <c r="G842" s="93" t="s">
        <v>2640</v>
      </c>
      <c r="H842" s="93" t="e">
        <v>#N/A</v>
      </c>
      <c r="I842" s="105" t="s">
        <v>2310</v>
      </c>
      <c r="J842" s="93" t="s">
        <v>189</v>
      </c>
      <c r="K842" s="93">
        <v>1919</v>
      </c>
      <c r="L842" s="93" t="e">
        <v>#N/A</v>
      </c>
      <c r="M842" s="93" t="s">
        <v>2311</v>
      </c>
      <c r="N842" s="93" t="e">
        <f>VLOOKUP(B842,'[16]01.수집 카테고리(List)'!$A$2:$H$64,8,FALSE)</f>
        <v>#N/A</v>
      </c>
      <c r="O842" s="93"/>
    </row>
    <row r="843" spans="1:15" hidden="1">
      <c r="A843" s="75" t="str">
        <f t="shared" si="28"/>
        <v>CZALZASOUNDBARSoundbarssoundbarům</v>
      </c>
      <c r="B843" s="94" t="str">
        <f t="shared" si="29"/>
        <v>CZ_ALZA</v>
      </c>
      <c r="C843" s="93" t="s">
        <v>433</v>
      </c>
      <c r="D843" s="93" t="s">
        <v>434</v>
      </c>
      <c r="E843" s="93" t="s">
        <v>165</v>
      </c>
      <c r="F843" s="93" t="s">
        <v>2361</v>
      </c>
      <c r="G843" s="93" t="s">
        <v>2641</v>
      </c>
      <c r="H843" s="93" t="e">
        <v>#N/A</v>
      </c>
      <c r="I843" s="105" t="s">
        <v>2310</v>
      </c>
      <c r="J843" s="93" t="s">
        <v>189</v>
      </c>
      <c r="K843" s="93">
        <v>708</v>
      </c>
      <c r="L843" s="93" t="e">
        <v>#N/A</v>
      </c>
      <c r="M843" s="93" t="s">
        <v>2311</v>
      </c>
      <c r="N843" s="93" t="e">
        <f>VLOOKUP(B843,'[16]01.수집 카테고리(List)'!$A$2:$H$64,8,FALSE)</f>
        <v>#N/A</v>
      </c>
      <c r="O843" s="93"/>
    </row>
    <row r="844" spans="1:15" hidden="1">
      <c r="A844" s="75" t="str">
        <f t="shared" si="28"/>
        <v>CZALZASOUNDBARSoundbarSoundbary</v>
      </c>
      <c r="B844" s="94" t="str">
        <f t="shared" si="29"/>
        <v>CZ_ALZA</v>
      </c>
      <c r="C844" s="93" t="s">
        <v>433</v>
      </c>
      <c r="D844" s="93" t="s">
        <v>434</v>
      </c>
      <c r="E844" s="93" t="s">
        <v>165</v>
      </c>
      <c r="F844" s="93" t="s">
        <v>2363</v>
      </c>
      <c r="G844" s="93" t="s">
        <v>2642</v>
      </c>
      <c r="H844" s="93" t="e">
        <v>#N/A</v>
      </c>
      <c r="I844" s="105" t="s">
        <v>2310</v>
      </c>
      <c r="J844" s="93" t="s">
        <v>189</v>
      </c>
      <c r="K844" s="93">
        <v>699</v>
      </c>
      <c r="L844" s="93" t="e">
        <v>#N/A</v>
      </c>
      <c r="M844" s="93" t="s">
        <v>2311</v>
      </c>
      <c r="N844" s="93" t="e">
        <f>VLOOKUP(B844,'[16]01.수집 카테고리(List)'!$A$2:$H$64,8,FALSE)</f>
        <v>#N/A</v>
      </c>
      <c r="O844" s="93"/>
    </row>
    <row r="845" spans="1:15" hidden="1">
      <c r="A845" s="75" t="str">
        <f t="shared" si="28"/>
        <v>CZALZASOUNDBARTV Sound barTelevize Sound bary</v>
      </c>
      <c r="B845" s="94" t="str">
        <f t="shared" si="29"/>
        <v>CZ_ALZA</v>
      </c>
      <c r="C845" s="93" t="s">
        <v>433</v>
      </c>
      <c r="D845" s="93" t="s">
        <v>434</v>
      </c>
      <c r="E845" s="93" t="s">
        <v>165</v>
      </c>
      <c r="F845" s="93" t="s">
        <v>2643</v>
      </c>
      <c r="G845" s="93" t="s">
        <v>2644</v>
      </c>
      <c r="H845" s="93" t="e">
        <v>#N/A</v>
      </c>
      <c r="I845" s="105" t="s">
        <v>2310</v>
      </c>
      <c r="J845" s="93" t="s">
        <v>189</v>
      </c>
      <c r="K845" s="93">
        <v>861</v>
      </c>
      <c r="L845" s="93" t="e">
        <v>#N/A</v>
      </c>
      <c r="M845" s="93" t="s">
        <v>2311</v>
      </c>
      <c r="N845" s="93" t="e">
        <f>VLOOKUP(B845,'[16]01.수집 카테고리(List)'!$A$2:$H$64,8,FALSE)</f>
        <v>#N/A</v>
      </c>
      <c r="O845" s="93"/>
    </row>
    <row r="846" spans="1:15" hidden="1">
      <c r="A846" s="75" t="str">
        <f t="shared" si="28"/>
        <v>CZALZASOUNDBARTV SoundbarTelevize Soundbary</v>
      </c>
      <c r="B846" s="94" t="str">
        <f t="shared" si="29"/>
        <v>CZ_ALZA</v>
      </c>
      <c r="C846" s="93" t="s">
        <v>433</v>
      </c>
      <c r="D846" s="93" t="s">
        <v>434</v>
      </c>
      <c r="E846" s="93" t="s">
        <v>165</v>
      </c>
      <c r="F846" s="93" t="s">
        <v>2645</v>
      </c>
      <c r="G846" s="93" t="s">
        <v>2646</v>
      </c>
      <c r="H846" s="93" t="e">
        <v>#N/A</v>
      </c>
      <c r="I846" s="105" t="s">
        <v>2310</v>
      </c>
      <c r="J846" s="93" t="s">
        <v>189</v>
      </c>
      <c r="K846" s="93">
        <v>902</v>
      </c>
      <c r="L846" s="93" t="e">
        <v>#N/A</v>
      </c>
      <c r="M846" s="93" t="s">
        <v>2311</v>
      </c>
      <c r="N846" s="93" t="e">
        <f>VLOOKUP(B846,'[16]01.수집 카테고리(List)'!$A$2:$H$64,8,FALSE)</f>
        <v>#N/A</v>
      </c>
      <c r="O846" s="93"/>
    </row>
    <row r="847" spans="1:15" hidden="1">
      <c r="A847" s="75" t="str">
        <f t="shared" si="28"/>
        <v>CZALZASOUNDBARSound systemzvukový systém</v>
      </c>
      <c r="B847" s="94" t="str">
        <f t="shared" si="29"/>
        <v>CZ_ALZA</v>
      </c>
      <c r="C847" s="93" t="s">
        <v>433</v>
      </c>
      <c r="D847" s="93" t="s">
        <v>434</v>
      </c>
      <c r="E847" s="93" t="s">
        <v>165</v>
      </c>
      <c r="F847" s="93" t="s">
        <v>2359</v>
      </c>
      <c r="G847" s="93" t="s">
        <v>2647</v>
      </c>
      <c r="H847" s="93" t="e">
        <v>#N/A</v>
      </c>
      <c r="I847" s="105" t="s">
        <v>2310</v>
      </c>
      <c r="J847" s="93" t="s">
        <v>189</v>
      </c>
      <c r="K847" s="93">
        <v>1919</v>
      </c>
      <c r="L847" s="93" t="e">
        <v>#N/A</v>
      </c>
      <c r="M847" s="93" t="s">
        <v>2311</v>
      </c>
      <c r="N847" s="93" t="e">
        <f>VLOOKUP(B847,'[16]01.수집 카테고리(List)'!$A$2:$H$64,8,FALSE)</f>
        <v>#N/A</v>
      </c>
      <c r="O847" s="93"/>
    </row>
    <row r="848" spans="1:15" hidden="1">
      <c r="A848" s="75" t="str">
        <f t="shared" si="28"/>
        <v>CZALZATV4k TV4k TV</v>
      </c>
      <c r="B848" s="94" t="str">
        <f t="shared" si="29"/>
        <v>CZ_ALZA</v>
      </c>
      <c r="C848" s="93" t="s">
        <v>433</v>
      </c>
      <c r="D848" s="93" t="s">
        <v>434</v>
      </c>
      <c r="E848" s="93" t="s">
        <v>161</v>
      </c>
      <c r="F848" s="93" t="s">
        <v>2368</v>
      </c>
      <c r="G848" s="93" t="s">
        <v>2368</v>
      </c>
      <c r="H848" s="93" t="e">
        <v>#N/A</v>
      </c>
      <c r="I848" s="105" t="s">
        <v>2310</v>
      </c>
      <c r="J848" s="93" t="s">
        <v>189</v>
      </c>
      <c r="K848" s="93">
        <v>3549</v>
      </c>
      <c r="L848" s="93">
        <v>3549</v>
      </c>
      <c r="M848" s="93" t="s">
        <v>2311</v>
      </c>
      <c r="N848" s="93" t="e">
        <f>VLOOKUP(B848,'[16]01.수집 카테고리(List)'!$A$2:$H$64,8,FALSE)</f>
        <v>#N/A</v>
      </c>
      <c r="O848" s="93"/>
    </row>
    <row r="849" spans="1:15" hidden="1">
      <c r="A849" s="75" t="str">
        <f t="shared" si="28"/>
        <v>CZALZATVoled TVoled TV</v>
      </c>
      <c r="B849" s="94" t="str">
        <f t="shared" si="29"/>
        <v>CZ_ALZA</v>
      </c>
      <c r="C849" s="93" t="s">
        <v>433</v>
      </c>
      <c r="D849" s="93" t="s">
        <v>434</v>
      </c>
      <c r="E849" s="93" t="s">
        <v>161</v>
      </c>
      <c r="F849" s="93" t="s">
        <v>2369</v>
      </c>
      <c r="G849" s="93" t="s">
        <v>2369</v>
      </c>
      <c r="H849" s="93" t="e">
        <v>#N/A</v>
      </c>
      <c r="I849" s="105" t="s">
        <v>2310</v>
      </c>
      <c r="J849" s="93" t="s">
        <v>189</v>
      </c>
      <c r="K849" s="93">
        <v>355</v>
      </c>
      <c r="L849" s="93">
        <v>355</v>
      </c>
      <c r="M849" s="93" t="s">
        <v>2311</v>
      </c>
      <c r="N849" s="93" t="e">
        <f>VLOOKUP(B849,'[16]01.수집 카테고리(List)'!$A$2:$H$64,8,FALSE)</f>
        <v>#N/A</v>
      </c>
      <c r="O849" s="93"/>
    </row>
    <row r="850" spans="1:15" hidden="1">
      <c r="A850" s="75" t="str">
        <f t="shared" si="28"/>
        <v>CZALZATVsmart TVsmart TV</v>
      </c>
      <c r="B850" s="94" t="str">
        <f t="shared" si="29"/>
        <v>CZ_ALZA</v>
      </c>
      <c r="C850" s="93" t="s">
        <v>433</v>
      </c>
      <c r="D850" s="93" t="s">
        <v>434</v>
      </c>
      <c r="E850" s="93" t="s">
        <v>161</v>
      </c>
      <c r="F850" s="93" t="s">
        <v>2371</v>
      </c>
      <c r="G850" s="93" t="s">
        <v>2371</v>
      </c>
      <c r="H850" s="93" t="e">
        <v>#N/A</v>
      </c>
      <c r="I850" s="105" t="s">
        <v>2310</v>
      </c>
      <c r="J850" s="93" t="s">
        <v>189</v>
      </c>
      <c r="K850" s="93">
        <v>4069</v>
      </c>
      <c r="L850" s="93">
        <v>4069</v>
      </c>
      <c r="M850" s="93" t="s">
        <v>2311</v>
      </c>
      <c r="N850" s="93" t="e">
        <f>VLOOKUP(B850,'[16]01.수집 카테고리(List)'!$A$2:$H$64,8,FALSE)</f>
        <v>#N/A</v>
      </c>
      <c r="O850" s="93"/>
    </row>
    <row r="851" spans="1:15" hidden="1">
      <c r="A851" s="75" t="str">
        <f t="shared" si="28"/>
        <v>CZALZATVTVTV</v>
      </c>
      <c r="B851" s="94" t="str">
        <f t="shared" si="29"/>
        <v>CZ_ALZA</v>
      </c>
      <c r="C851" s="93" t="s">
        <v>433</v>
      </c>
      <c r="D851" s="93" t="s">
        <v>434</v>
      </c>
      <c r="E851" s="93" t="s">
        <v>161</v>
      </c>
      <c r="F851" s="93" t="s">
        <v>161</v>
      </c>
      <c r="G851" s="93" t="s">
        <v>161</v>
      </c>
      <c r="H851" s="93" t="e">
        <v>#N/A</v>
      </c>
      <c r="I851" s="105" t="s">
        <v>2310</v>
      </c>
      <c r="J851" s="93" t="s">
        <v>189</v>
      </c>
      <c r="K851" s="93">
        <v>4486</v>
      </c>
      <c r="L851" s="93">
        <v>4486</v>
      </c>
      <c r="M851" s="93" t="s">
        <v>2311</v>
      </c>
      <c r="N851" s="93" t="e">
        <f>VLOOKUP(B851,'[16]01.수집 카테고리(List)'!$A$2:$H$64,8,FALSE)</f>
        <v>#N/A</v>
      </c>
      <c r="O851" s="93"/>
    </row>
    <row r="852" spans="1:15" hidden="1">
      <c r="A852" s="75" t="str">
        <f t="shared" si="28"/>
        <v>CZALZATVuhd TVuhd TV</v>
      </c>
      <c r="B852" s="94" t="str">
        <f t="shared" si="29"/>
        <v>CZ_ALZA</v>
      </c>
      <c r="C852" s="93" t="s">
        <v>433</v>
      </c>
      <c r="D852" s="93" t="s">
        <v>434</v>
      </c>
      <c r="E852" s="93" t="s">
        <v>161</v>
      </c>
      <c r="F852" s="93" t="s">
        <v>2399</v>
      </c>
      <c r="G852" s="93" t="s">
        <v>2399</v>
      </c>
      <c r="H852" s="93" t="e">
        <v>#N/A</v>
      </c>
      <c r="I852" s="105" t="s">
        <v>2310</v>
      </c>
      <c r="J852" s="93" t="s">
        <v>189</v>
      </c>
      <c r="K852" s="93">
        <v>3607</v>
      </c>
      <c r="L852" s="93">
        <v>3607</v>
      </c>
      <c r="M852" s="93" t="s">
        <v>2311</v>
      </c>
      <c r="N852" s="93" t="e">
        <f>VLOOKUP(B852,'[16]01.수집 카테고리(List)'!$A$2:$H$64,8,FALSE)</f>
        <v>#N/A</v>
      </c>
      <c r="O852" s="93"/>
    </row>
    <row r="853" spans="1:15" hidden="1">
      <c r="A853" s="75" t="str">
        <f t="shared" si="28"/>
        <v>CZALZAWashing Machinewasher dryer comboKombinovaná pračka se sušičkou</v>
      </c>
      <c r="B853" s="94" t="str">
        <f t="shared" si="29"/>
        <v>CZ_ALZA</v>
      </c>
      <c r="C853" s="93" t="s">
        <v>433</v>
      </c>
      <c r="D853" s="93" t="s">
        <v>434</v>
      </c>
      <c r="E853" s="93" t="s">
        <v>2333</v>
      </c>
      <c r="F853" s="93" t="s">
        <v>2338</v>
      </c>
      <c r="G853" s="93" t="s">
        <v>2648</v>
      </c>
      <c r="H853" s="93" t="e">
        <v>#N/A</v>
      </c>
      <c r="I853" s="105" t="s">
        <v>2310</v>
      </c>
      <c r="J853" s="93" t="s">
        <v>189</v>
      </c>
      <c r="K853" s="93">
        <v>333</v>
      </c>
      <c r="L853" s="93" t="e">
        <v>#N/A</v>
      </c>
      <c r="M853" s="93" t="s">
        <v>2311</v>
      </c>
      <c r="N853" s="93" t="e">
        <f>VLOOKUP(B853,'[16]01.수집 카테고리(List)'!$A$2:$H$64,8,FALSE)</f>
        <v>#N/A</v>
      </c>
      <c r="O853" s="93"/>
    </row>
    <row r="854" spans="1:15" hidden="1">
      <c r="A854" s="75" t="str">
        <f t="shared" si="28"/>
        <v>CZALZAWashing Machinewashing machinepračka</v>
      </c>
      <c r="B854" s="94" t="str">
        <f t="shared" si="29"/>
        <v>CZ_ALZA</v>
      </c>
      <c r="C854" s="93" t="s">
        <v>433</v>
      </c>
      <c r="D854" s="93" t="s">
        <v>434</v>
      </c>
      <c r="E854" s="93" t="s">
        <v>2333</v>
      </c>
      <c r="F854" s="93" t="s">
        <v>2340</v>
      </c>
      <c r="G854" s="93" t="s">
        <v>2649</v>
      </c>
      <c r="H854" s="93" t="e">
        <v>#N/A</v>
      </c>
      <c r="I854" s="105" t="s">
        <v>2310</v>
      </c>
      <c r="J854" s="93" t="s">
        <v>189</v>
      </c>
      <c r="K854" s="93">
        <v>1814</v>
      </c>
      <c r="L854" s="93" t="e">
        <v>#N/A</v>
      </c>
      <c r="M854" s="93" t="s">
        <v>2311</v>
      </c>
      <c r="N854" s="93" t="e">
        <f>VLOOKUP(B854,'[16]01.수집 카테고리(List)'!$A$2:$H$64,8,FALSE)</f>
        <v>#N/A</v>
      </c>
      <c r="O854" s="93"/>
    </row>
    <row r="855" spans="1:15" hidden="1">
      <c r="A855" s="75" t="str">
        <f t="shared" si="28"/>
        <v>CZALZAWashing Machinefront loaderpračka s předním plněním</v>
      </c>
      <c r="B855" s="94" t="str">
        <f t="shared" si="29"/>
        <v>CZ_ALZA</v>
      </c>
      <c r="C855" s="93" t="s">
        <v>433</v>
      </c>
      <c r="D855" s="93" t="s">
        <v>434</v>
      </c>
      <c r="E855" s="93" t="s">
        <v>2333</v>
      </c>
      <c r="F855" s="93" t="s">
        <v>2334</v>
      </c>
      <c r="G855" s="93" t="s">
        <v>2650</v>
      </c>
      <c r="H855" s="93" t="e">
        <v>#N/A</v>
      </c>
      <c r="I855" s="105" t="s">
        <v>2310</v>
      </c>
      <c r="J855" s="93" t="s">
        <v>189</v>
      </c>
      <c r="K855" s="93">
        <v>1432</v>
      </c>
      <c r="L855" s="93" t="e">
        <v>#N/A</v>
      </c>
      <c r="M855" s="93" t="s">
        <v>2311</v>
      </c>
      <c r="N855" s="93" t="e">
        <f>VLOOKUP(B855,'[16]01.수집 카테고리(List)'!$A$2:$H$64,8,FALSE)</f>
        <v>#N/A</v>
      </c>
      <c r="O855" s="93"/>
    </row>
    <row r="856" spans="1:15" hidden="1">
      <c r="A856" s="75" t="str">
        <f t="shared" si="28"/>
        <v>CZALZAWIRELESS HEADSETIn-ear Wireless earbudsBezdrátová sluchátka do uší</v>
      </c>
      <c r="B856" s="94" t="str">
        <f t="shared" si="29"/>
        <v>CZ_ALZA</v>
      </c>
      <c r="C856" s="93" t="s">
        <v>433</v>
      </c>
      <c r="D856" s="93" t="s">
        <v>434</v>
      </c>
      <c r="E856" s="93" t="s">
        <v>2201</v>
      </c>
      <c r="F856" s="93" t="s">
        <v>2651</v>
      </c>
      <c r="G856" s="93" t="s">
        <v>2652</v>
      </c>
      <c r="H856" s="93" t="e">
        <v>#N/A</v>
      </c>
      <c r="I856" s="105" t="s">
        <v>2310</v>
      </c>
      <c r="J856" s="93" t="s">
        <v>189</v>
      </c>
      <c r="K856" s="93">
        <v>4044</v>
      </c>
      <c r="L856" s="93" t="e">
        <v>#N/A</v>
      </c>
      <c r="M856" s="93" t="s">
        <v>2311</v>
      </c>
      <c r="N856" s="93" t="e">
        <f>VLOOKUP(B856,'[16]01.수집 카테고리(List)'!$A$2:$H$64,8,FALSE)</f>
        <v>#N/A</v>
      </c>
      <c r="O856" s="93"/>
    </row>
    <row r="857" spans="1:15" hidden="1">
      <c r="A857" s="75" t="str">
        <f t="shared" si="28"/>
        <v>CZALZAWIRELESS HEADSETBluetooth earbudsBluetooth sluchátka</v>
      </c>
      <c r="B857" s="94" t="str">
        <f t="shared" si="29"/>
        <v>CZ_ALZA</v>
      </c>
      <c r="C857" s="93" t="s">
        <v>433</v>
      </c>
      <c r="D857" s="93" t="s">
        <v>434</v>
      </c>
      <c r="E857" s="93" t="s">
        <v>2201</v>
      </c>
      <c r="F857" s="93" t="s">
        <v>2382</v>
      </c>
      <c r="G857" s="93" t="s">
        <v>2653</v>
      </c>
      <c r="H857" s="93" t="e">
        <v>#N/A</v>
      </c>
      <c r="I857" s="105" t="s">
        <v>2310</v>
      </c>
      <c r="J857" s="93" t="s">
        <v>189</v>
      </c>
      <c r="K857" s="93">
        <v>6669</v>
      </c>
      <c r="L857" s="93" t="e">
        <v>#N/A</v>
      </c>
      <c r="M857" s="93" t="s">
        <v>2311</v>
      </c>
      <c r="N857" s="93" t="e">
        <f>VLOOKUP(B857,'[16]01.수집 카테고리(List)'!$A$2:$H$64,8,FALSE)</f>
        <v>#N/A</v>
      </c>
      <c r="O857" s="93"/>
    </row>
    <row r="858" spans="1:15" hidden="1">
      <c r="A858" s="75" t="str">
        <f t="shared" si="28"/>
        <v>CZALZAWIRELESS HEADSETEarbudssluchátka</v>
      </c>
      <c r="B858" s="94" t="str">
        <f t="shared" si="29"/>
        <v>CZ_ALZA</v>
      </c>
      <c r="C858" s="93" t="s">
        <v>433</v>
      </c>
      <c r="D858" s="93" t="s">
        <v>434</v>
      </c>
      <c r="E858" s="93" t="s">
        <v>2201</v>
      </c>
      <c r="F858" s="93" t="s">
        <v>2534</v>
      </c>
      <c r="G858" s="93" t="s">
        <v>2654</v>
      </c>
      <c r="H858" s="93" t="e">
        <v>#N/A</v>
      </c>
      <c r="I858" s="105" t="s">
        <v>2310</v>
      </c>
      <c r="J858" s="93" t="s">
        <v>189</v>
      </c>
      <c r="K858" s="93">
        <v>7087</v>
      </c>
      <c r="L858" s="93" t="e">
        <v>#N/A</v>
      </c>
      <c r="M858" s="93" t="s">
        <v>2311</v>
      </c>
      <c r="N858" s="93" t="e">
        <f>VLOOKUP(B858,'[16]01.수집 카테고리(List)'!$A$2:$H$64,8,FALSE)</f>
        <v>#N/A</v>
      </c>
      <c r="O858" s="93"/>
    </row>
    <row r="859" spans="1:15" hidden="1">
      <c r="A859" s="75" t="str">
        <f t="shared" si="28"/>
        <v>CZALZAWIRELESS HEADSETNoise cancelling earbudsSluchátka s potlačením Bezdrátová hluku</v>
      </c>
      <c r="B859" s="94" t="str">
        <f t="shared" si="29"/>
        <v>CZ_ALZA</v>
      </c>
      <c r="C859" s="93" t="s">
        <v>433</v>
      </c>
      <c r="D859" s="93" t="s">
        <v>434</v>
      </c>
      <c r="E859" s="93" t="s">
        <v>2201</v>
      </c>
      <c r="F859" s="93" t="s">
        <v>2378</v>
      </c>
      <c r="G859" s="93" t="s">
        <v>2655</v>
      </c>
      <c r="H859" s="93" t="e">
        <v>#N/A</v>
      </c>
      <c r="I859" s="105" t="s">
        <v>2310</v>
      </c>
      <c r="J859" s="93" t="s">
        <v>189</v>
      </c>
      <c r="K859" s="93">
        <v>47</v>
      </c>
      <c r="L859" s="93" t="e">
        <v>#N/A</v>
      </c>
      <c r="M859" s="93" t="s">
        <v>2311</v>
      </c>
      <c r="N859" s="93" t="e">
        <f>VLOOKUP(B859,'[16]01.수집 카테고리(List)'!$A$2:$H$64,8,FALSE)</f>
        <v>#N/A</v>
      </c>
      <c r="O859" s="93"/>
    </row>
    <row r="860" spans="1:15" hidden="1">
      <c r="A860" s="75" t="str">
        <f t="shared" si="28"/>
        <v>CZALZAWIRELESS HEADSETWireless earbudsWireless sluchátka</v>
      </c>
      <c r="B860" s="94" t="str">
        <f t="shared" si="29"/>
        <v>CZ_ALZA</v>
      </c>
      <c r="C860" s="93" t="s">
        <v>433</v>
      </c>
      <c r="D860" s="93" t="s">
        <v>434</v>
      </c>
      <c r="E860" s="93" t="s">
        <v>2201</v>
      </c>
      <c r="F860" s="93" t="s">
        <v>2376</v>
      </c>
      <c r="G860" s="93" t="s">
        <v>2656</v>
      </c>
      <c r="H860" s="93" t="e">
        <v>#N/A</v>
      </c>
      <c r="I860" s="105" t="s">
        <v>2310</v>
      </c>
      <c r="J860" s="93" t="s">
        <v>189</v>
      </c>
      <c r="K860" s="93">
        <v>6837</v>
      </c>
      <c r="L860" s="93" t="e">
        <v>#N/A</v>
      </c>
      <c r="M860" s="93" t="s">
        <v>2311</v>
      </c>
      <c r="N860" s="93" t="e">
        <f>VLOOKUP(B860,'[16]01.수집 카테고리(List)'!$A$2:$H$64,8,FALSE)</f>
        <v>#N/A</v>
      </c>
      <c r="O860" s="93"/>
    </row>
    <row r="861" spans="1:15" hidden="1">
      <c r="A861" s="75" t="str">
        <f t="shared" si="28"/>
        <v>DEAMAZONBluetooth Speakerbluetooth speakerBluetooth Lautsprecher</v>
      </c>
      <c r="B861" s="94" t="str">
        <f t="shared" si="29"/>
        <v>DE_AMAZON</v>
      </c>
      <c r="C861" s="93" t="s">
        <v>261</v>
      </c>
      <c r="D861" s="93" t="s">
        <v>262</v>
      </c>
      <c r="E861" s="93" t="s">
        <v>2307</v>
      </c>
      <c r="F861" s="93" t="s">
        <v>2657</v>
      </c>
      <c r="G861" s="93" t="s">
        <v>2658</v>
      </c>
      <c r="H861" s="93" t="e">
        <v>#N/A</v>
      </c>
      <c r="I861" s="105" t="s">
        <v>2310</v>
      </c>
      <c r="J861" s="93" t="s">
        <v>189</v>
      </c>
      <c r="K861" s="93">
        <v>2297</v>
      </c>
      <c r="L861" s="93" t="e">
        <v>#N/A</v>
      </c>
      <c r="M861" s="93" t="s">
        <v>2311</v>
      </c>
      <c r="N861" s="93">
        <f>VLOOKUP(B861,'[16]01.수집 카테고리(List)'!$A$2:$H$64,8,FALSE)</f>
        <v>99991231</v>
      </c>
      <c r="O861" s="93" t="s">
        <v>646</v>
      </c>
    </row>
    <row r="862" spans="1:15" hidden="1">
      <c r="A862" s="75" t="str">
        <f t="shared" si="28"/>
        <v>DEAMAZONBluetooth SpeakerspeakersLautsprecher</v>
      </c>
      <c r="B862" s="94" t="str">
        <f t="shared" si="29"/>
        <v>DE_AMAZON</v>
      </c>
      <c r="C862" s="93" t="s">
        <v>261</v>
      </c>
      <c r="D862" s="93" t="s">
        <v>262</v>
      </c>
      <c r="E862" s="93" t="s">
        <v>2307</v>
      </c>
      <c r="F862" s="93" t="s">
        <v>2471</v>
      </c>
      <c r="G862" s="93" t="s">
        <v>2659</v>
      </c>
      <c r="H862" s="93" t="e">
        <v>#N/A</v>
      </c>
      <c r="I862" s="105" t="s">
        <v>2310</v>
      </c>
      <c r="J862" s="93" t="s">
        <v>189</v>
      </c>
      <c r="K862" s="93">
        <v>2529</v>
      </c>
      <c r="L862" s="93" t="e">
        <v>#N/A</v>
      </c>
      <c r="M862" s="93" t="s">
        <v>2311</v>
      </c>
      <c r="N862" s="93">
        <f>VLOOKUP(B862,'[16]01.수집 카테고리(List)'!$A$2:$H$64,8,FALSE)</f>
        <v>99991231</v>
      </c>
      <c r="O862" s="93" t="s">
        <v>646</v>
      </c>
    </row>
    <row r="863" spans="1:15" hidden="1">
      <c r="A863" s="75" t="str">
        <f t="shared" si="28"/>
        <v>DEAMAZONBluetooth Speakerportable speakerstragbare Lautsprecher</v>
      </c>
      <c r="B863" s="94" t="str">
        <f t="shared" si="29"/>
        <v>DE_AMAZON</v>
      </c>
      <c r="C863" s="93" t="s">
        <v>261</v>
      </c>
      <c r="D863" s="93" t="s">
        <v>262</v>
      </c>
      <c r="E863" s="93" t="s">
        <v>2307</v>
      </c>
      <c r="F863" s="93" t="s">
        <v>2473</v>
      </c>
      <c r="G863" s="93" t="s">
        <v>2660</v>
      </c>
      <c r="H863" s="93" t="e">
        <v>#N/A</v>
      </c>
      <c r="I863" s="105" t="s">
        <v>2310</v>
      </c>
      <c r="J863" s="93" t="s">
        <v>189</v>
      </c>
      <c r="K863" s="93">
        <v>2637</v>
      </c>
      <c r="L863" s="93" t="e">
        <v>#N/A</v>
      </c>
      <c r="M863" s="93" t="s">
        <v>2311</v>
      </c>
      <c r="N863" s="93">
        <f>VLOOKUP(B863,'[16]01.수집 카테고리(List)'!$A$2:$H$64,8,FALSE)</f>
        <v>99991231</v>
      </c>
      <c r="O863" s="93" t="s">
        <v>646</v>
      </c>
    </row>
    <row r="864" spans="1:15" hidden="1">
      <c r="A864" s="75" t="str">
        <f t="shared" si="28"/>
        <v>DEAMAZONBluetooth SpeakerPortable bluetooth speakerTragbarer bluetooth lautsprecher</v>
      </c>
      <c r="B864" s="94" t="str">
        <f t="shared" si="29"/>
        <v>DE_AMAZON</v>
      </c>
      <c r="C864" s="93" t="s">
        <v>261</v>
      </c>
      <c r="D864" s="93" t="s">
        <v>262</v>
      </c>
      <c r="E864" s="93" t="s">
        <v>2307</v>
      </c>
      <c r="F864" s="93" t="s">
        <v>2312</v>
      </c>
      <c r="G864" s="93" t="s">
        <v>2661</v>
      </c>
      <c r="H864" s="93" t="e">
        <v>#N/A</v>
      </c>
      <c r="I864" s="105" t="s">
        <v>2310</v>
      </c>
      <c r="J864" s="93" t="s">
        <v>189</v>
      </c>
      <c r="K864" s="93">
        <v>2310</v>
      </c>
      <c r="L864" s="93" t="e">
        <v>#N/A</v>
      </c>
      <c r="M864" s="93" t="s">
        <v>2311</v>
      </c>
      <c r="N864" s="93">
        <f>VLOOKUP(B864,'[16]01.수집 카테고리(List)'!$A$2:$H$64,8,FALSE)</f>
        <v>99991231</v>
      </c>
      <c r="O864" s="93" t="s">
        <v>646</v>
      </c>
    </row>
    <row r="865" spans="1:15" hidden="1">
      <c r="A865" s="75" t="str">
        <f t="shared" si="28"/>
        <v>DEAMAZONLaptopLaptopLaptop</v>
      </c>
      <c r="B865" s="94" t="str">
        <f t="shared" si="29"/>
        <v>DE_AMAZON</v>
      </c>
      <c r="C865" s="93" t="s">
        <v>261</v>
      </c>
      <c r="D865" s="93" t="s">
        <v>262</v>
      </c>
      <c r="E865" s="93" t="s">
        <v>2407</v>
      </c>
      <c r="F865" s="93" t="s">
        <v>2407</v>
      </c>
      <c r="G865" s="93" t="s">
        <v>2407</v>
      </c>
      <c r="H865" s="93" t="e">
        <v>#N/A</v>
      </c>
      <c r="I865" s="105" t="s">
        <v>2310</v>
      </c>
      <c r="J865" s="93" t="s">
        <v>189</v>
      </c>
      <c r="K865" s="93">
        <v>2868</v>
      </c>
      <c r="L865" s="93">
        <v>2868</v>
      </c>
      <c r="M865" s="93" t="s">
        <v>2311</v>
      </c>
      <c r="N865" s="93">
        <f>VLOOKUP(B865,'[16]01.수집 카테고리(List)'!$A$2:$H$64,8,FALSE)</f>
        <v>99991231</v>
      </c>
      <c r="O865" s="93" t="s">
        <v>646</v>
      </c>
    </row>
    <row r="866" spans="1:15" hidden="1">
      <c r="A866" s="75" t="str">
        <f t="shared" si="28"/>
        <v>DEAMAZONLaptoplightweight Laptopleichtes Laptop</v>
      </c>
      <c r="B866" s="94" t="str">
        <f t="shared" si="29"/>
        <v>DE_AMAZON</v>
      </c>
      <c r="C866" s="93" t="s">
        <v>261</v>
      </c>
      <c r="D866" s="93" t="s">
        <v>262</v>
      </c>
      <c r="E866" s="93" t="s">
        <v>2407</v>
      </c>
      <c r="F866" s="93" t="s">
        <v>2662</v>
      </c>
      <c r="G866" s="93" t="s">
        <v>2663</v>
      </c>
      <c r="H866" s="93" t="e">
        <v>#N/A</v>
      </c>
      <c r="I866" s="105" t="s">
        <v>2310</v>
      </c>
      <c r="J866" s="93" t="s">
        <v>189</v>
      </c>
      <c r="K866" s="93">
        <v>2697</v>
      </c>
      <c r="L866" s="93" t="e">
        <v>#N/A</v>
      </c>
      <c r="M866" s="93" t="s">
        <v>2311</v>
      </c>
      <c r="N866" s="93">
        <f>VLOOKUP(B866,'[16]01.수집 카테고리(List)'!$A$2:$H$64,8,FALSE)</f>
        <v>99991231</v>
      </c>
      <c r="O866" s="93" t="s">
        <v>646</v>
      </c>
    </row>
    <row r="867" spans="1:15" hidden="1">
      <c r="A867" s="75" t="str">
        <f t="shared" si="28"/>
        <v>DEAMAZONLaptopNotebookNotebook</v>
      </c>
      <c r="B867" s="94" t="str">
        <f t="shared" si="29"/>
        <v>DE_AMAZON</v>
      </c>
      <c r="C867" s="93" t="s">
        <v>261</v>
      </c>
      <c r="D867" s="93" t="s">
        <v>262</v>
      </c>
      <c r="E867" s="93" t="s">
        <v>2407</v>
      </c>
      <c r="F867" s="93" t="s">
        <v>2664</v>
      </c>
      <c r="G867" s="93" t="s">
        <v>2664</v>
      </c>
      <c r="H867" s="93" t="e">
        <v>#N/A</v>
      </c>
      <c r="I867" s="105" t="s">
        <v>2310</v>
      </c>
      <c r="J867" s="93" t="s">
        <v>189</v>
      </c>
      <c r="K867" s="93">
        <v>6851</v>
      </c>
      <c r="L867" s="93">
        <v>6851</v>
      </c>
      <c r="M867" s="93" t="s">
        <v>2311</v>
      </c>
      <c r="N867" s="93">
        <f>VLOOKUP(B867,'[16]01.수집 카테고리(List)'!$A$2:$H$64,8,FALSE)</f>
        <v>99991231</v>
      </c>
      <c r="O867" s="93" t="s">
        <v>646</v>
      </c>
    </row>
    <row r="868" spans="1:15" hidden="1">
      <c r="A868" s="75" t="str">
        <f t="shared" si="28"/>
        <v>DEAMAZONLaptopUltrabookUltrabook</v>
      </c>
      <c r="B868" s="94" t="str">
        <f t="shared" si="29"/>
        <v>DE_AMAZON</v>
      </c>
      <c r="C868" s="93" t="s">
        <v>261</v>
      </c>
      <c r="D868" s="93" t="s">
        <v>262</v>
      </c>
      <c r="E868" s="93" t="s">
        <v>2407</v>
      </c>
      <c r="F868" s="93" t="s">
        <v>2665</v>
      </c>
      <c r="G868" s="93" t="s">
        <v>2665</v>
      </c>
      <c r="H868" s="93" t="e">
        <v>#N/A</v>
      </c>
      <c r="I868" s="105" t="s">
        <v>2310</v>
      </c>
      <c r="J868" s="93" t="s">
        <v>189</v>
      </c>
      <c r="K868" s="93">
        <v>2750</v>
      </c>
      <c r="L868" s="93">
        <v>2750</v>
      </c>
      <c r="M868" s="93" t="s">
        <v>2311</v>
      </c>
      <c r="N868" s="93">
        <f>VLOOKUP(B868,'[16]01.수집 카테고리(List)'!$A$2:$H$64,8,FALSE)</f>
        <v>99991231</v>
      </c>
      <c r="O868" s="93" t="s">
        <v>646</v>
      </c>
    </row>
    <row r="869" spans="1:15" hidden="1">
      <c r="A869" s="75" t="str">
        <f t="shared" si="28"/>
        <v>DEAMAZONMonitorultrawide monitor21:9 monitore</v>
      </c>
      <c r="B869" s="94" t="str">
        <f t="shared" si="29"/>
        <v>DE_AMAZON</v>
      </c>
      <c r="C869" s="93" t="s">
        <v>261</v>
      </c>
      <c r="D869" s="93" t="s">
        <v>262</v>
      </c>
      <c r="E869" s="93" t="s">
        <v>2320</v>
      </c>
      <c r="F869" s="93" t="s">
        <v>2325</v>
      </c>
      <c r="G869" s="93" t="s">
        <v>2666</v>
      </c>
      <c r="H869" s="93" t="e">
        <v>#N/A</v>
      </c>
      <c r="I869" s="105" t="s">
        <v>2310</v>
      </c>
      <c r="J869" s="93" t="s">
        <v>189</v>
      </c>
      <c r="K869" s="93">
        <v>3065</v>
      </c>
      <c r="L869" s="93" t="e">
        <v>#N/A</v>
      </c>
      <c r="M869" s="93" t="s">
        <v>2311</v>
      </c>
      <c r="N869" s="93">
        <f>VLOOKUP(B869,'[16]01.수집 카테고리(List)'!$A$2:$H$64,8,FALSE)</f>
        <v>99991231</v>
      </c>
      <c r="O869" s="93" t="s">
        <v>646</v>
      </c>
    </row>
    <row r="870" spans="1:15" hidden="1">
      <c r="A870" s="75" t="str">
        <f t="shared" si="28"/>
        <v>DEAMAZONMonitor4k monitor4K monitore</v>
      </c>
      <c r="B870" s="94" t="str">
        <f t="shared" si="29"/>
        <v>DE_AMAZON</v>
      </c>
      <c r="C870" s="93" t="s">
        <v>261</v>
      </c>
      <c r="D870" s="93" t="s">
        <v>262</v>
      </c>
      <c r="E870" s="93" t="s">
        <v>2320</v>
      </c>
      <c r="F870" s="93" t="s">
        <v>2321</v>
      </c>
      <c r="G870" s="93" t="s">
        <v>2667</v>
      </c>
      <c r="H870" s="93" t="e">
        <v>#N/A</v>
      </c>
      <c r="I870" s="105" t="s">
        <v>2310</v>
      </c>
      <c r="J870" s="93" t="s">
        <v>189</v>
      </c>
      <c r="K870" s="93">
        <v>2802</v>
      </c>
      <c r="L870" s="93" t="e">
        <v>#N/A</v>
      </c>
      <c r="M870" s="93" t="s">
        <v>2311</v>
      </c>
      <c r="N870" s="93">
        <f>VLOOKUP(B870,'[16]01.수집 카테고리(List)'!$A$2:$H$64,8,FALSE)</f>
        <v>99991231</v>
      </c>
      <c r="O870" s="93" t="s">
        <v>646</v>
      </c>
    </row>
    <row r="871" spans="1:15" hidden="1">
      <c r="A871" s="75" t="str">
        <f t="shared" si="28"/>
        <v>DEAMAZONMonitorgaming monitorgaming monitore</v>
      </c>
      <c r="B871" s="94" t="str">
        <f t="shared" si="29"/>
        <v>DE_AMAZON</v>
      </c>
      <c r="C871" s="93" t="s">
        <v>261</v>
      </c>
      <c r="D871" s="93" t="s">
        <v>262</v>
      </c>
      <c r="E871" s="93" t="s">
        <v>2320</v>
      </c>
      <c r="F871" s="93" t="s">
        <v>2322</v>
      </c>
      <c r="G871" s="93" t="s">
        <v>2668</v>
      </c>
      <c r="H871" s="93" t="e">
        <v>#N/A</v>
      </c>
      <c r="I871" s="105" t="s">
        <v>2310</v>
      </c>
      <c r="J871" s="93" t="s">
        <v>189</v>
      </c>
      <c r="K871" s="93">
        <v>1981</v>
      </c>
      <c r="L871" s="93" t="e">
        <v>#N/A</v>
      </c>
      <c r="M871" s="93" t="s">
        <v>2311</v>
      </c>
      <c r="N871" s="93">
        <f>VLOOKUP(B871,'[16]01.수집 카테고리(List)'!$A$2:$H$64,8,FALSE)</f>
        <v>99991231</v>
      </c>
      <c r="O871" s="93" t="s">
        <v>646</v>
      </c>
    </row>
    <row r="872" spans="1:15" hidden="1">
      <c r="A872" s="75" t="str">
        <f t="shared" si="28"/>
        <v>DEAMAZONMonitorMonitor Full HDMonitor Full HD</v>
      </c>
      <c r="B872" s="94" t="str">
        <f t="shared" si="29"/>
        <v>DE_AMAZON</v>
      </c>
      <c r="C872" s="93" t="s">
        <v>261</v>
      </c>
      <c r="D872" s="93" t="s">
        <v>262</v>
      </c>
      <c r="E872" s="93" t="s">
        <v>2320</v>
      </c>
      <c r="F872" s="93" t="s">
        <v>2669</v>
      </c>
      <c r="G872" s="93" t="s">
        <v>2669</v>
      </c>
      <c r="H872" s="93" t="e">
        <v>#N/A</v>
      </c>
      <c r="I872" s="105" t="s">
        <v>2310</v>
      </c>
      <c r="J872" s="93" t="s">
        <v>189</v>
      </c>
      <c r="K872" s="93">
        <v>2097</v>
      </c>
      <c r="L872" s="93">
        <v>2097</v>
      </c>
      <c r="M872" s="93" t="s">
        <v>2311</v>
      </c>
      <c r="N872" s="93">
        <f>VLOOKUP(B872,'[16]01.수집 카테고리(List)'!$A$2:$H$64,8,FALSE)</f>
        <v>99991231</v>
      </c>
      <c r="O872" s="93" t="s">
        <v>646</v>
      </c>
    </row>
    <row r="873" spans="1:15" hidden="1">
      <c r="A873" s="75" t="str">
        <f t="shared" si="28"/>
        <v>DEAMAZONMonitorMonitor GamingMonitor Gaming</v>
      </c>
      <c r="B873" s="94" t="str">
        <f t="shared" si="29"/>
        <v>DE_AMAZON</v>
      </c>
      <c r="C873" s="93" t="s">
        <v>261</v>
      </c>
      <c r="D873" s="93" t="s">
        <v>262</v>
      </c>
      <c r="E873" s="93" t="s">
        <v>2320</v>
      </c>
      <c r="F873" s="93" t="s">
        <v>2670</v>
      </c>
      <c r="G873" s="93" t="s">
        <v>2670</v>
      </c>
      <c r="H873" s="93" t="e">
        <v>#N/A</v>
      </c>
      <c r="I873" s="105" t="s">
        <v>2310</v>
      </c>
      <c r="J873" s="93" t="s">
        <v>189</v>
      </c>
      <c r="K873" s="93">
        <v>2047</v>
      </c>
      <c r="L873" s="93">
        <v>2047</v>
      </c>
      <c r="M873" s="93" t="s">
        <v>2311</v>
      </c>
      <c r="N873" s="93">
        <f>VLOOKUP(B873,'[16]01.수집 카테고리(List)'!$A$2:$H$64,8,FALSE)</f>
        <v>99991231</v>
      </c>
      <c r="O873" s="93" t="s">
        <v>646</v>
      </c>
    </row>
    <row r="874" spans="1:15" hidden="1">
      <c r="A874" s="75" t="str">
        <f t="shared" si="28"/>
        <v>DEAMAZONMonitorMonitor PCMonitor PC</v>
      </c>
      <c r="B874" s="94" t="str">
        <f t="shared" si="29"/>
        <v>DE_AMAZON</v>
      </c>
      <c r="C874" s="93" t="s">
        <v>261</v>
      </c>
      <c r="D874" s="93" t="s">
        <v>262</v>
      </c>
      <c r="E874" s="93" t="s">
        <v>2320</v>
      </c>
      <c r="F874" s="93" t="s">
        <v>2671</v>
      </c>
      <c r="G874" s="93" t="s">
        <v>2671</v>
      </c>
      <c r="H874" s="93" t="e">
        <v>#N/A</v>
      </c>
      <c r="I874" s="105" t="s">
        <v>2310</v>
      </c>
      <c r="J874" s="93" t="s">
        <v>189</v>
      </c>
      <c r="K874" s="93">
        <v>1717</v>
      </c>
      <c r="L874" s="93">
        <v>1717</v>
      </c>
      <c r="M874" s="93" t="s">
        <v>2311</v>
      </c>
      <c r="N874" s="93">
        <f>VLOOKUP(B874,'[16]01.수집 카테고리(List)'!$A$2:$H$64,8,FALSE)</f>
        <v>99991231</v>
      </c>
      <c r="O874" s="93" t="s">
        <v>646</v>
      </c>
    </row>
    <row r="875" spans="1:15" hidden="1">
      <c r="A875" s="75" t="str">
        <f t="shared" si="28"/>
        <v>DEAMAZONMonitorMonitor Ultra HDMonitor Ultra HD</v>
      </c>
      <c r="B875" s="94" t="str">
        <f t="shared" si="29"/>
        <v>DE_AMAZON</v>
      </c>
      <c r="C875" s="93" t="s">
        <v>261</v>
      </c>
      <c r="D875" s="93" t="s">
        <v>262</v>
      </c>
      <c r="E875" s="93" t="s">
        <v>2320</v>
      </c>
      <c r="F875" s="93" t="s">
        <v>2672</v>
      </c>
      <c r="G875" s="93" t="s">
        <v>2672</v>
      </c>
      <c r="H875" s="93" t="e">
        <v>#N/A</v>
      </c>
      <c r="I875" s="105" t="s">
        <v>2310</v>
      </c>
      <c r="J875" s="93" t="s">
        <v>189</v>
      </c>
      <c r="K875" s="93">
        <v>2078</v>
      </c>
      <c r="L875" s="93">
        <v>2078</v>
      </c>
      <c r="M875" s="93" t="s">
        <v>2311</v>
      </c>
      <c r="N875" s="93">
        <f>VLOOKUP(B875,'[16]01.수집 카테고리(List)'!$A$2:$H$64,8,FALSE)</f>
        <v>99991231</v>
      </c>
      <c r="O875" s="93" t="s">
        <v>646</v>
      </c>
    </row>
    <row r="876" spans="1:15" hidden="1">
      <c r="A876" s="75" t="str">
        <f t="shared" si="28"/>
        <v>DEAMAZONMonitorMonitor Ultra WideMonitor Ultra Wide</v>
      </c>
      <c r="B876" s="94" t="str">
        <f t="shared" si="29"/>
        <v>DE_AMAZON</v>
      </c>
      <c r="C876" s="93" t="s">
        <v>261</v>
      </c>
      <c r="D876" s="93" t="s">
        <v>262</v>
      </c>
      <c r="E876" s="93" t="s">
        <v>2320</v>
      </c>
      <c r="F876" s="93" t="s">
        <v>2673</v>
      </c>
      <c r="G876" s="93" t="s">
        <v>2673</v>
      </c>
      <c r="H876" s="93" t="e">
        <v>#N/A</v>
      </c>
      <c r="I876" s="105" t="s">
        <v>2310</v>
      </c>
      <c r="J876" s="93" t="s">
        <v>189</v>
      </c>
      <c r="K876" s="93">
        <v>1938</v>
      </c>
      <c r="L876" s="93">
        <v>1938</v>
      </c>
      <c r="M876" s="93" t="s">
        <v>2311</v>
      </c>
      <c r="N876" s="93">
        <f>VLOOKUP(B876,'[16]01.수집 카테고리(List)'!$A$2:$H$64,8,FALSE)</f>
        <v>99991231</v>
      </c>
      <c r="O876" s="93" t="s">
        <v>646</v>
      </c>
    </row>
    <row r="877" spans="1:15" hidden="1">
      <c r="A877" s="75" t="str">
        <f t="shared" si="28"/>
        <v>DEAMAZONMonitormonitormonitore</v>
      </c>
      <c r="B877" s="94" t="str">
        <f t="shared" si="29"/>
        <v>DE_AMAZON</v>
      </c>
      <c r="C877" s="93" t="s">
        <v>261</v>
      </c>
      <c r="D877" s="93" t="s">
        <v>262</v>
      </c>
      <c r="E877" s="93" t="s">
        <v>2320</v>
      </c>
      <c r="F877" s="93" t="s">
        <v>2323</v>
      </c>
      <c r="G877" s="93" t="s">
        <v>2674</v>
      </c>
      <c r="H877" s="93" t="e">
        <v>#N/A</v>
      </c>
      <c r="I877" s="105" t="s">
        <v>2310</v>
      </c>
      <c r="J877" s="93" t="s">
        <v>189</v>
      </c>
      <c r="K877" s="93">
        <v>2423</v>
      </c>
      <c r="L877" s="93" t="e">
        <v>#N/A</v>
      </c>
      <c r="M877" s="93" t="s">
        <v>2311</v>
      </c>
      <c r="N877" s="93">
        <f>VLOOKUP(B877,'[16]01.수집 카테고리(List)'!$A$2:$H$64,8,FALSE)</f>
        <v>99991231</v>
      </c>
      <c r="O877" s="93" t="s">
        <v>646</v>
      </c>
    </row>
    <row r="878" spans="1:15" hidden="1">
      <c r="A878" s="75" t="str">
        <f t="shared" si="28"/>
        <v>DEAMAZONMonitoruhd monitorUHD monitore</v>
      </c>
      <c r="B878" s="94" t="str">
        <f t="shared" si="29"/>
        <v>DE_AMAZON</v>
      </c>
      <c r="C878" s="93" t="s">
        <v>261</v>
      </c>
      <c r="D878" s="93" t="s">
        <v>262</v>
      </c>
      <c r="E878" s="93" t="s">
        <v>2320</v>
      </c>
      <c r="F878" s="93" t="s">
        <v>2324</v>
      </c>
      <c r="G878" s="93" t="s">
        <v>2675</v>
      </c>
      <c r="H878" s="93" t="e">
        <v>#N/A</v>
      </c>
      <c r="I878" s="105" t="s">
        <v>2310</v>
      </c>
      <c r="J878" s="93" t="s">
        <v>189</v>
      </c>
      <c r="K878" s="93">
        <v>3055</v>
      </c>
      <c r="L878" s="93" t="e">
        <v>#N/A</v>
      </c>
      <c r="M878" s="93" t="s">
        <v>2311</v>
      </c>
      <c r="N878" s="93">
        <f>VLOOKUP(B878,'[16]01.수집 카테고리(List)'!$A$2:$H$64,8,FALSE)</f>
        <v>99991231</v>
      </c>
      <c r="O878" s="93" t="s">
        <v>646</v>
      </c>
    </row>
    <row r="879" spans="1:15" hidden="1">
      <c r="A879" s="75" t="str">
        <f t="shared" si="28"/>
        <v>DEAMAZONOVENSlide-in RangeEinschiebbarer Gasherd</v>
      </c>
      <c r="B879" s="94" t="str">
        <f t="shared" si="29"/>
        <v>DE_AMAZON</v>
      </c>
      <c r="C879" s="93" t="s">
        <v>261</v>
      </c>
      <c r="D879" s="93" t="s">
        <v>262</v>
      </c>
      <c r="E879" s="93" t="s">
        <v>173</v>
      </c>
      <c r="F879" s="93" t="s">
        <v>2676</v>
      </c>
      <c r="G879" s="93" t="s">
        <v>2677</v>
      </c>
      <c r="H879" s="93" t="e">
        <v>#N/A</v>
      </c>
      <c r="I879" s="105" t="s">
        <v>2310</v>
      </c>
      <c r="J879" s="93" t="s">
        <v>189</v>
      </c>
      <c r="K879" s="93">
        <v>282</v>
      </c>
      <c r="L879" s="93" t="e">
        <v>#N/A</v>
      </c>
      <c r="M879" s="93" t="s">
        <v>2311</v>
      </c>
      <c r="N879" s="93">
        <f>VLOOKUP(B879,'[16]01.수집 카테고리(List)'!$A$2:$H$64,8,FALSE)</f>
        <v>99991231</v>
      </c>
      <c r="O879" s="93" t="s">
        <v>646</v>
      </c>
    </row>
    <row r="880" spans="1:15" hidden="1">
      <c r="A880" s="75" t="str">
        <f t="shared" si="28"/>
        <v>DEAMAZONOVENFreestanding OvenFreistehender Ofen</v>
      </c>
      <c r="B880" s="94" t="str">
        <f t="shared" si="29"/>
        <v>DE_AMAZON</v>
      </c>
      <c r="C880" s="93" t="s">
        <v>261</v>
      </c>
      <c r="D880" s="93" t="s">
        <v>262</v>
      </c>
      <c r="E880" s="93" t="s">
        <v>173</v>
      </c>
      <c r="F880" s="93" t="s">
        <v>2678</v>
      </c>
      <c r="G880" s="93" t="s">
        <v>2679</v>
      </c>
      <c r="H880" s="93" t="e">
        <v>#N/A</v>
      </c>
      <c r="I880" s="105" t="s">
        <v>2310</v>
      </c>
      <c r="J880" s="93" t="s">
        <v>189</v>
      </c>
      <c r="K880" s="93">
        <v>231</v>
      </c>
      <c r="L880" s="93" t="e">
        <v>#N/A</v>
      </c>
      <c r="M880" s="93" t="s">
        <v>2311</v>
      </c>
      <c r="N880" s="93">
        <f>VLOOKUP(B880,'[16]01.수집 카테고리(List)'!$A$2:$H$64,8,FALSE)</f>
        <v>99991231</v>
      </c>
      <c r="O880" s="93" t="s">
        <v>646</v>
      </c>
    </row>
    <row r="881" spans="1:15" hidden="1">
      <c r="A881" s="75" t="str">
        <f t="shared" si="28"/>
        <v>DEAMAZONOVENCooktopKochfeld</v>
      </c>
      <c r="B881" s="94" t="str">
        <f t="shared" si="29"/>
        <v>DE_AMAZON</v>
      </c>
      <c r="C881" s="93" t="s">
        <v>261</v>
      </c>
      <c r="D881" s="93" t="s">
        <v>262</v>
      </c>
      <c r="E881" s="93" t="s">
        <v>173</v>
      </c>
      <c r="F881" s="93" t="s">
        <v>2541</v>
      </c>
      <c r="G881" s="93" t="s">
        <v>2680</v>
      </c>
      <c r="H881" s="93" t="e">
        <v>#N/A</v>
      </c>
      <c r="I881" s="105" t="s">
        <v>2310</v>
      </c>
      <c r="J881" s="93" t="s">
        <v>189</v>
      </c>
      <c r="K881" s="93">
        <v>324</v>
      </c>
      <c r="L881" s="93" t="e">
        <v>#N/A</v>
      </c>
      <c r="M881" s="93" t="s">
        <v>2311</v>
      </c>
      <c r="N881" s="93">
        <f>VLOOKUP(B881,'[16]01.수집 카테고리(List)'!$A$2:$H$64,8,FALSE)</f>
        <v>99991231</v>
      </c>
      <c r="O881" s="93" t="s">
        <v>646</v>
      </c>
    </row>
    <row r="882" spans="1:15" hidden="1">
      <c r="A882" s="75" t="str">
        <f t="shared" si="28"/>
        <v>DEAMAZONOVENWall Ovenwand ofen</v>
      </c>
      <c r="B882" s="94" t="str">
        <f t="shared" si="29"/>
        <v>DE_AMAZON</v>
      </c>
      <c r="C882" s="93" t="s">
        <v>261</v>
      </c>
      <c r="D882" s="93" t="s">
        <v>262</v>
      </c>
      <c r="E882" s="93" t="s">
        <v>173</v>
      </c>
      <c r="F882" s="93" t="s">
        <v>2544</v>
      </c>
      <c r="G882" s="93" t="s">
        <v>2681</v>
      </c>
      <c r="H882" s="93" t="e">
        <v>#N/A</v>
      </c>
      <c r="I882" s="105" t="s">
        <v>2310</v>
      </c>
      <c r="J882" s="93" t="s">
        <v>189</v>
      </c>
      <c r="K882" s="93">
        <v>584</v>
      </c>
      <c r="L882" s="93" t="e">
        <v>#N/A</v>
      </c>
      <c r="M882" s="93" t="s">
        <v>2311</v>
      </c>
      <c r="N882" s="93">
        <f>VLOOKUP(B882,'[16]01.수집 카테고리(List)'!$A$2:$H$64,8,FALSE)</f>
        <v>99991231</v>
      </c>
      <c r="O882" s="93" t="s">
        <v>646</v>
      </c>
    </row>
    <row r="883" spans="1:15" hidden="1">
      <c r="A883" s="75" t="str">
        <f t="shared" si="28"/>
        <v>DEAMAZONRefrigeratorfrench door refrigeratorfrench door kühlschrank</v>
      </c>
      <c r="B883" s="94" t="str">
        <f t="shared" si="29"/>
        <v>DE_AMAZON</v>
      </c>
      <c r="C883" s="93" t="s">
        <v>261</v>
      </c>
      <c r="D883" s="93" t="s">
        <v>262</v>
      </c>
      <c r="E883" s="93" t="s">
        <v>2326</v>
      </c>
      <c r="F883" s="93" t="s">
        <v>2328</v>
      </c>
      <c r="G883" s="93" t="s">
        <v>2682</v>
      </c>
      <c r="H883" s="93" t="e">
        <v>#N/A</v>
      </c>
      <c r="I883" s="105" t="s">
        <v>2310</v>
      </c>
      <c r="J883" s="93" t="s">
        <v>189</v>
      </c>
      <c r="K883" s="93">
        <v>85</v>
      </c>
      <c r="L883" s="93" t="e">
        <v>#N/A</v>
      </c>
      <c r="M883" s="93" t="s">
        <v>2311</v>
      </c>
      <c r="N883" s="93">
        <f>VLOOKUP(B883,'[16]01.수집 카테고리(List)'!$A$2:$H$64,8,FALSE)</f>
        <v>99991231</v>
      </c>
      <c r="O883" s="93" t="s">
        <v>646</v>
      </c>
    </row>
    <row r="884" spans="1:15" hidden="1">
      <c r="A884" s="75" t="str">
        <f t="shared" si="28"/>
        <v>DEAMAZONRefrigeratorbottom freezer refrigeratorKühlgefrierkombination</v>
      </c>
      <c r="B884" s="94" t="str">
        <f t="shared" si="29"/>
        <v>DE_AMAZON</v>
      </c>
      <c r="C884" s="93" t="s">
        <v>261</v>
      </c>
      <c r="D884" s="93" t="s">
        <v>262</v>
      </c>
      <c r="E884" s="93" t="s">
        <v>2326</v>
      </c>
      <c r="F884" s="93" t="s">
        <v>2327</v>
      </c>
      <c r="G884" s="93" t="s">
        <v>2683</v>
      </c>
      <c r="H884" s="93" t="e">
        <v>#N/A</v>
      </c>
      <c r="I884" s="105" t="s">
        <v>2310</v>
      </c>
      <c r="J884" s="93" t="s">
        <v>189</v>
      </c>
      <c r="K884" s="93">
        <v>143</v>
      </c>
      <c r="L884" s="93" t="e">
        <v>#N/A</v>
      </c>
      <c r="M884" s="93" t="s">
        <v>2311</v>
      </c>
      <c r="N884" s="93">
        <f>VLOOKUP(B884,'[16]01.수집 카테고리(List)'!$A$2:$H$64,8,FALSE)</f>
        <v>99991231</v>
      </c>
      <c r="O884" s="93" t="s">
        <v>646</v>
      </c>
    </row>
    <row r="885" spans="1:15" hidden="1">
      <c r="A885" s="75" t="str">
        <f t="shared" si="28"/>
        <v>DEAMAZONRefrigeratorrefrigeratorKühlschrank</v>
      </c>
      <c r="B885" s="94" t="str">
        <f t="shared" si="29"/>
        <v>DE_AMAZON</v>
      </c>
      <c r="C885" s="93" t="s">
        <v>261</v>
      </c>
      <c r="D885" s="93" t="s">
        <v>262</v>
      </c>
      <c r="E885" s="93" t="s">
        <v>2326</v>
      </c>
      <c r="F885" s="93" t="s">
        <v>2329</v>
      </c>
      <c r="G885" s="93" t="s">
        <v>2389</v>
      </c>
      <c r="H885" s="93" t="e">
        <v>#N/A</v>
      </c>
      <c r="I885" s="105" t="s">
        <v>2310</v>
      </c>
      <c r="J885" s="93" t="s">
        <v>189</v>
      </c>
      <c r="K885" s="93">
        <v>499</v>
      </c>
      <c r="L885" s="93" t="e">
        <v>#N/A</v>
      </c>
      <c r="M885" s="93" t="s">
        <v>2311</v>
      </c>
      <c r="N885" s="93">
        <f>VLOOKUP(B885,'[16]01.수집 카테고리(List)'!$A$2:$H$64,8,FALSE)</f>
        <v>99991231</v>
      </c>
      <c r="O885" s="93" t="s">
        <v>646</v>
      </c>
    </row>
    <row r="886" spans="1:15" hidden="1">
      <c r="A886" s="75" t="str">
        <f t="shared" si="28"/>
        <v>DEAMAZONRefrigeratorside by side refrigeratorKühlschrank side-by-side</v>
      </c>
      <c r="B886" s="94" t="str">
        <f t="shared" si="29"/>
        <v>DE_AMAZON</v>
      </c>
      <c r="C886" s="93" t="s">
        <v>261</v>
      </c>
      <c r="D886" s="93" t="s">
        <v>262</v>
      </c>
      <c r="E886" s="93" t="s">
        <v>2326</v>
      </c>
      <c r="F886" s="93" t="s">
        <v>2330</v>
      </c>
      <c r="G886" s="93" t="s">
        <v>2684</v>
      </c>
      <c r="H886" s="93" t="e">
        <v>#N/A</v>
      </c>
      <c r="I886" s="105" t="s">
        <v>2310</v>
      </c>
      <c r="J886" s="93" t="s">
        <v>189</v>
      </c>
      <c r="K886" s="93">
        <v>99</v>
      </c>
      <c r="L886" s="93" t="e">
        <v>#N/A</v>
      </c>
      <c r="M886" s="93" t="s">
        <v>2311</v>
      </c>
      <c r="N886" s="93">
        <f>VLOOKUP(B886,'[16]01.수집 카테고리(List)'!$A$2:$H$64,8,FALSE)</f>
        <v>99991231</v>
      </c>
      <c r="O886" s="93" t="s">
        <v>646</v>
      </c>
    </row>
    <row r="887" spans="1:15" hidden="1">
      <c r="A887" s="75" t="str">
        <f t="shared" si="28"/>
        <v>DEAMAZONSoundbarSound barSound bar</v>
      </c>
      <c r="B887" s="94" t="str">
        <f t="shared" si="29"/>
        <v>DE_AMAZON</v>
      </c>
      <c r="C887" s="93" t="s">
        <v>261</v>
      </c>
      <c r="D887" s="93" t="s">
        <v>262</v>
      </c>
      <c r="E887" s="93" t="s">
        <v>2363</v>
      </c>
      <c r="F887" s="93" t="s">
        <v>2365</v>
      </c>
      <c r="G887" s="93" t="s">
        <v>2365</v>
      </c>
      <c r="H887" s="93" t="e">
        <v>#N/A</v>
      </c>
      <c r="I887" s="105" t="s">
        <v>2310</v>
      </c>
      <c r="J887" s="93" t="s">
        <v>189</v>
      </c>
      <c r="K887" s="93">
        <v>1917</v>
      </c>
      <c r="L887" s="93">
        <v>1917</v>
      </c>
      <c r="M887" s="93" t="s">
        <v>2311</v>
      </c>
      <c r="N887" s="93">
        <f>VLOOKUP(B887,'[16]01.수집 카테고리(List)'!$A$2:$H$64,8,FALSE)</f>
        <v>99991231</v>
      </c>
      <c r="O887" s="93" t="s">
        <v>646</v>
      </c>
    </row>
    <row r="888" spans="1:15" hidden="1">
      <c r="A888" s="75" t="str">
        <f t="shared" si="28"/>
        <v>DEAMAZONSOUNDBARSoundbarSoundbar</v>
      </c>
      <c r="B888" s="94" t="str">
        <f t="shared" si="29"/>
        <v>DE_AMAZON</v>
      </c>
      <c r="C888" s="93" t="s">
        <v>261</v>
      </c>
      <c r="D888" s="93" t="s">
        <v>262</v>
      </c>
      <c r="E888" s="93" t="s">
        <v>165</v>
      </c>
      <c r="F888" s="93" t="s">
        <v>2363</v>
      </c>
      <c r="G888" s="93" t="s">
        <v>2363</v>
      </c>
      <c r="H888" s="93" t="e">
        <v>#N/A</v>
      </c>
      <c r="I888" s="105" t="s">
        <v>2310</v>
      </c>
      <c r="J888" s="93" t="s">
        <v>189</v>
      </c>
      <c r="K888" s="93">
        <v>2666</v>
      </c>
      <c r="L888" s="93">
        <v>2666</v>
      </c>
      <c r="M888" s="93" t="s">
        <v>2311</v>
      </c>
      <c r="N888" s="93">
        <f>VLOOKUP(B888,'[16]01.수집 카테고리(List)'!$A$2:$H$64,8,FALSE)</f>
        <v>99991231</v>
      </c>
      <c r="O888" s="93" t="s">
        <v>646</v>
      </c>
    </row>
    <row r="889" spans="1:15" hidden="1">
      <c r="A889" s="75" t="str">
        <f t="shared" si="28"/>
        <v>DEAMAZONSOUNDBARsoundbar for tvSoundbar für den Fernseher</v>
      </c>
      <c r="B889" s="94" t="str">
        <f t="shared" si="29"/>
        <v>DE_AMAZON</v>
      </c>
      <c r="C889" s="93" t="s">
        <v>261</v>
      </c>
      <c r="D889" s="93" t="s">
        <v>262</v>
      </c>
      <c r="E889" s="93" t="s">
        <v>165</v>
      </c>
      <c r="F889" s="93" t="s">
        <v>2573</v>
      </c>
      <c r="G889" s="93" t="s">
        <v>2685</v>
      </c>
      <c r="H889" s="93" t="e">
        <v>#N/A</v>
      </c>
      <c r="I889" s="105" t="s">
        <v>2310</v>
      </c>
      <c r="J889" s="93" t="s">
        <v>189</v>
      </c>
      <c r="K889" s="93">
        <v>2904</v>
      </c>
      <c r="L889" s="93" t="e">
        <v>#N/A</v>
      </c>
      <c r="M889" s="93" t="s">
        <v>2311</v>
      </c>
      <c r="N889" s="93">
        <f>VLOOKUP(B889,'[16]01.수집 카테고리(List)'!$A$2:$H$64,8,FALSE)</f>
        <v>99991231</v>
      </c>
      <c r="O889" s="93" t="s">
        <v>646</v>
      </c>
    </row>
    <row r="890" spans="1:15" hidden="1">
      <c r="A890" s="75" t="str">
        <f t="shared" si="28"/>
        <v>DEAMAZONSoundbartv soundbarTV Soundbar</v>
      </c>
      <c r="B890" s="94" t="str">
        <f t="shared" si="29"/>
        <v>DE_AMAZON</v>
      </c>
      <c r="C890" s="93" t="s">
        <v>261</v>
      </c>
      <c r="D890" s="93" t="s">
        <v>262</v>
      </c>
      <c r="E890" s="93" t="s">
        <v>2363</v>
      </c>
      <c r="F890" s="93" t="s">
        <v>2686</v>
      </c>
      <c r="G890" s="93" t="s">
        <v>2645</v>
      </c>
      <c r="H890" s="93" t="e">
        <v>#N/A</v>
      </c>
      <c r="I890" s="105" t="s">
        <v>2310</v>
      </c>
      <c r="J890" s="93" t="s">
        <v>189</v>
      </c>
      <c r="K890" s="93">
        <v>2237</v>
      </c>
      <c r="L890" s="93">
        <v>2237</v>
      </c>
      <c r="M890" s="93" t="s">
        <v>2311</v>
      </c>
      <c r="N890" s="93">
        <f>VLOOKUP(B890,'[16]01.수집 카테고리(List)'!$A$2:$H$64,8,FALSE)</f>
        <v>99991231</v>
      </c>
      <c r="O890" s="93" t="s">
        <v>646</v>
      </c>
    </row>
    <row r="891" spans="1:15" hidden="1">
      <c r="A891" s="75" t="str">
        <f t="shared" si="28"/>
        <v>DEAMAZONTV4k TV4k TV</v>
      </c>
      <c r="B891" s="94" t="str">
        <f t="shared" si="29"/>
        <v>DE_AMAZON</v>
      </c>
      <c r="C891" s="93" t="s">
        <v>261</v>
      </c>
      <c r="D891" s="93" t="s">
        <v>262</v>
      </c>
      <c r="E891" s="93" t="s">
        <v>161</v>
      </c>
      <c r="F891" s="93" t="s">
        <v>2368</v>
      </c>
      <c r="G891" s="93" t="s">
        <v>2368</v>
      </c>
      <c r="H891" s="93" t="e">
        <v>#N/A</v>
      </c>
      <c r="I891" s="105" t="s">
        <v>2310</v>
      </c>
      <c r="J891" s="93" t="s">
        <v>189</v>
      </c>
      <c r="K891" s="93">
        <v>2076</v>
      </c>
      <c r="L891" s="93">
        <v>2076</v>
      </c>
      <c r="M891" s="93" t="s">
        <v>2311</v>
      </c>
      <c r="N891" s="93">
        <f>VLOOKUP(B891,'[16]01.수집 카테고리(List)'!$A$2:$H$64,8,FALSE)</f>
        <v>99991231</v>
      </c>
      <c r="O891" s="93" t="s">
        <v>646</v>
      </c>
    </row>
    <row r="892" spans="1:15" hidden="1">
      <c r="A892" s="75" t="str">
        <f t="shared" si="28"/>
        <v>DEAMAZONTVoled TVoled TV</v>
      </c>
      <c r="B892" s="94" t="str">
        <f t="shared" si="29"/>
        <v>DE_AMAZON</v>
      </c>
      <c r="C892" s="93" t="s">
        <v>261</v>
      </c>
      <c r="D892" s="93" t="s">
        <v>262</v>
      </c>
      <c r="E892" s="93" t="s">
        <v>161</v>
      </c>
      <c r="F892" s="93" t="s">
        <v>2369</v>
      </c>
      <c r="G892" s="93" t="s">
        <v>2369</v>
      </c>
      <c r="H892" s="93" t="e">
        <v>#N/A</v>
      </c>
      <c r="I892" s="105" t="s">
        <v>2310</v>
      </c>
      <c r="J892" s="93" t="s">
        <v>189</v>
      </c>
      <c r="K892" s="93">
        <v>1671</v>
      </c>
      <c r="L892" s="93">
        <v>1671</v>
      </c>
      <c r="M892" s="93" t="s">
        <v>2311</v>
      </c>
      <c r="N892" s="93">
        <f>VLOOKUP(B892,'[16]01.수집 카테고리(List)'!$A$2:$H$64,8,FALSE)</f>
        <v>99991231</v>
      </c>
      <c r="O892" s="93" t="s">
        <v>646</v>
      </c>
    </row>
    <row r="893" spans="1:15" hidden="1">
      <c r="A893" s="75" t="str">
        <f t="shared" si="28"/>
        <v>DEAMAZONTVsmart TVsmart TV</v>
      </c>
      <c r="B893" s="94" t="str">
        <f t="shared" si="29"/>
        <v>DE_AMAZON</v>
      </c>
      <c r="C893" s="93" t="s">
        <v>261</v>
      </c>
      <c r="D893" s="93" t="s">
        <v>262</v>
      </c>
      <c r="E893" s="93" t="s">
        <v>161</v>
      </c>
      <c r="F893" s="93" t="s">
        <v>2371</v>
      </c>
      <c r="G893" s="93" t="s">
        <v>2371</v>
      </c>
      <c r="H893" s="93" t="e">
        <v>#N/A</v>
      </c>
      <c r="I893" s="105" t="s">
        <v>2310</v>
      </c>
      <c r="J893" s="93" t="s">
        <v>189</v>
      </c>
      <c r="K893" s="93">
        <v>1593</v>
      </c>
      <c r="L893" s="93">
        <v>1593</v>
      </c>
      <c r="M893" s="93" t="s">
        <v>2311</v>
      </c>
      <c r="N893" s="93">
        <f>VLOOKUP(B893,'[16]01.수집 카테고리(List)'!$A$2:$H$64,8,FALSE)</f>
        <v>99991231</v>
      </c>
      <c r="O893" s="93" t="s">
        <v>646</v>
      </c>
    </row>
    <row r="894" spans="1:15" hidden="1">
      <c r="A894" s="75" t="str">
        <f t="shared" si="28"/>
        <v>DEAMAZONTVTVTV</v>
      </c>
      <c r="B894" s="94" t="str">
        <f t="shared" si="29"/>
        <v>DE_AMAZON</v>
      </c>
      <c r="C894" s="93" t="s">
        <v>261</v>
      </c>
      <c r="D894" s="93" t="s">
        <v>262</v>
      </c>
      <c r="E894" s="93" t="s">
        <v>161</v>
      </c>
      <c r="F894" s="93" t="s">
        <v>161</v>
      </c>
      <c r="G894" s="93" t="s">
        <v>161</v>
      </c>
      <c r="H894" s="93" t="e">
        <v>#N/A</v>
      </c>
      <c r="I894" s="105" t="s">
        <v>2310</v>
      </c>
      <c r="J894" s="93" t="s">
        <v>189</v>
      </c>
      <c r="K894" s="93">
        <v>2528</v>
      </c>
      <c r="L894" s="93">
        <v>2528</v>
      </c>
      <c r="M894" s="93" t="s">
        <v>2311</v>
      </c>
      <c r="N894" s="93">
        <f>VLOOKUP(B894,'[16]01.수집 카테고리(List)'!$A$2:$H$64,8,FALSE)</f>
        <v>99991231</v>
      </c>
      <c r="O894" s="93" t="s">
        <v>646</v>
      </c>
    </row>
    <row r="895" spans="1:15" hidden="1">
      <c r="A895" s="75" t="str">
        <f t="shared" si="28"/>
        <v>DEAMAZONTVuhd TVuhd TV</v>
      </c>
      <c r="B895" s="94" t="str">
        <f t="shared" si="29"/>
        <v>DE_AMAZON</v>
      </c>
      <c r="C895" s="93" t="s">
        <v>261</v>
      </c>
      <c r="D895" s="93" t="s">
        <v>262</v>
      </c>
      <c r="E895" s="93" t="s">
        <v>161</v>
      </c>
      <c r="F895" s="93" t="s">
        <v>2399</v>
      </c>
      <c r="G895" s="93" t="s">
        <v>2399</v>
      </c>
      <c r="H895" s="93" t="e">
        <v>#N/A</v>
      </c>
      <c r="I895" s="105" t="s">
        <v>2310</v>
      </c>
      <c r="J895" s="93" t="s">
        <v>189</v>
      </c>
      <c r="K895" s="93">
        <v>2319</v>
      </c>
      <c r="L895" s="93">
        <v>2319</v>
      </c>
      <c r="M895" s="93" t="s">
        <v>2311</v>
      </c>
      <c r="N895" s="93">
        <f>VLOOKUP(B895,'[16]01.수집 카테고리(List)'!$A$2:$H$64,8,FALSE)</f>
        <v>99991231</v>
      </c>
      <c r="O895" s="93" t="s">
        <v>646</v>
      </c>
    </row>
    <row r="896" spans="1:15" hidden="1">
      <c r="A896" s="75" t="str">
        <f t="shared" si="28"/>
        <v>DEAMAZONWashing Machinefront loaderFrontlader</v>
      </c>
      <c r="B896" s="94" t="str">
        <f t="shared" si="29"/>
        <v>DE_AMAZON</v>
      </c>
      <c r="C896" s="93" t="s">
        <v>261</v>
      </c>
      <c r="D896" s="93" t="s">
        <v>262</v>
      </c>
      <c r="E896" s="93" t="s">
        <v>2333</v>
      </c>
      <c r="F896" s="93" t="s">
        <v>2334</v>
      </c>
      <c r="G896" s="93" t="s">
        <v>2687</v>
      </c>
      <c r="H896" s="93" t="e">
        <v>#N/A</v>
      </c>
      <c r="I896" s="105" t="s">
        <v>2310</v>
      </c>
      <c r="J896" s="93" t="s">
        <v>189</v>
      </c>
      <c r="K896" s="93">
        <v>626</v>
      </c>
      <c r="L896" s="93" t="e">
        <v>#N/A</v>
      </c>
      <c r="M896" s="93" t="s">
        <v>2311</v>
      </c>
      <c r="N896" s="93">
        <f>VLOOKUP(B896,'[16]01.수집 카테고리(List)'!$A$2:$H$64,8,FALSE)</f>
        <v>99991231</v>
      </c>
      <c r="O896" s="93" t="s">
        <v>646</v>
      </c>
    </row>
    <row r="897" spans="1:15" hidden="1">
      <c r="A897" s="75" t="str">
        <f t="shared" si="28"/>
        <v>DEAMAZONWashing Machinewashing machineWaschmaschine</v>
      </c>
      <c r="B897" s="94" t="str">
        <f t="shared" si="29"/>
        <v>DE_AMAZON</v>
      </c>
      <c r="C897" s="93" t="s">
        <v>261</v>
      </c>
      <c r="D897" s="93" t="s">
        <v>262</v>
      </c>
      <c r="E897" s="93" t="s">
        <v>2333</v>
      </c>
      <c r="F897" s="93" t="s">
        <v>2340</v>
      </c>
      <c r="G897" s="93" t="s">
        <v>2688</v>
      </c>
      <c r="H897" s="93" t="e">
        <v>#N/A</v>
      </c>
      <c r="I897" s="105" t="s">
        <v>2310</v>
      </c>
      <c r="J897" s="93" t="s">
        <v>189</v>
      </c>
      <c r="K897" s="93">
        <v>618</v>
      </c>
      <c r="L897" s="93" t="e">
        <v>#N/A</v>
      </c>
      <c r="M897" s="93" t="s">
        <v>2311</v>
      </c>
      <c r="N897" s="93">
        <f>VLOOKUP(B897,'[16]01.수집 카테고리(List)'!$A$2:$H$64,8,FALSE)</f>
        <v>99991231</v>
      </c>
      <c r="O897" s="93" t="s">
        <v>646</v>
      </c>
    </row>
    <row r="898" spans="1:15" hidden="1">
      <c r="A898" s="75" t="str">
        <f t="shared" si="28"/>
        <v>DEAMAZONWashing Machinewasher dryer comboWaschtrockner</v>
      </c>
      <c r="B898" s="94" t="str">
        <f t="shared" si="29"/>
        <v>DE_AMAZON</v>
      </c>
      <c r="C898" s="93" t="s">
        <v>261</v>
      </c>
      <c r="D898" s="93" t="s">
        <v>262</v>
      </c>
      <c r="E898" s="93" t="s">
        <v>2333</v>
      </c>
      <c r="F898" s="93" t="s">
        <v>2338</v>
      </c>
      <c r="G898" s="93" t="s">
        <v>2406</v>
      </c>
      <c r="H898" s="93" t="e">
        <v>#N/A</v>
      </c>
      <c r="I898" s="105" t="s">
        <v>2310</v>
      </c>
      <c r="J898" s="93" t="s">
        <v>189</v>
      </c>
      <c r="K898" s="93">
        <v>367</v>
      </c>
      <c r="L898" s="93" t="e">
        <v>#N/A</v>
      </c>
      <c r="M898" s="93" t="s">
        <v>2311</v>
      </c>
      <c r="N898" s="93">
        <f>VLOOKUP(B898,'[16]01.수집 카테고리(List)'!$A$2:$H$64,8,FALSE)</f>
        <v>99991231</v>
      </c>
      <c r="O898" s="93" t="s">
        <v>646</v>
      </c>
    </row>
    <row r="899" spans="1:15" hidden="1">
      <c r="A899" s="75" t="str">
        <f t="shared" si="28"/>
        <v>DEAMAZONWireless HeadsetBluetooth HeadphonesBluetooth Kopfhörer</v>
      </c>
      <c r="B899" s="94" t="str">
        <f t="shared" si="29"/>
        <v>DE_AMAZON</v>
      </c>
      <c r="C899" s="93" t="s">
        <v>261</v>
      </c>
      <c r="D899" s="93" t="s">
        <v>262</v>
      </c>
      <c r="E899" s="93" t="s">
        <v>2373</v>
      </c>
      <c r="F899" s="93" t="s">
        <v>2533</v>
      </c>
      <c r="G899" s="93" t="s">
        <v>2689</v>
      </c>
      <c r="H899" s="93" t="e">
        <v>#N/A</v>
      </c>
      <c r="I899" s="105" t="s">
        <v>2310</v>
      </c>
      <c r="J899" s="93" t="s">
        <v>189</v>
      </c>
      <c r="K899" s="93">
        <v>2336</v>
      </c>
      <c r="L899" s="93" t="e">
        <v>#N/A</v>
      </c>
      <c r="M899" s="93" t="s">
        <v>2311</v>
      </c>
      <c r="N899" s="93">
        <f>VLOOKUP(B899,'[16]01.수집 카테고리(List)'!$A$2:$H$64,8,FALSE)</f>
        <v>99991231</v>
      </c>
      <c r="O899" s="93" t="s">
        <v>646</v>
      </c>
    </row>
    <row r="900" spans="1:15" hidden="1">
      <c r="A900" s="75" t="str">
        <f t="shared" si="28"/>
        <v>DEAMAZONWireless HeadsetIn ear headphonesIn ear Kopfhörer</v>
      </c>
      <c r="B900" s="94" t="str">
        <f t="shared" si="29"/>
        <v>DE_AMAZON</v>
      </c>
      <c r="C900" s="93" t="s">
        <v>261</v>
      </c>
      <c r="D900" s="93" t="s">
        <v>262</v>
      </c>
      <c r="E900" s="93" t="s">
        <v>2373</v>
      </c>
      <c r="F900" s="93" t="s">
        <v>2690</v>
      </c>
      <c r="G900" s="93" t="s">
        <v>2691</v>
      </c>
      <c r="H900" s="93" t="e">
        <v>#N/A</v>
      </c>
      <c r="I900" s="105" t="s">
        <v>2310</v>
      </c>
      <c r="J900" s="93" t="s">
        <v>189</v>
      </c>
      <c r="K900" s="93">
        <v>2357</v>
      </c>
      <c r="L900" s="93" t="e">
        <v>#N/A</v>
      </c>
      <c r="M900" s="93" t="s">
        <v>2311</v>
      </c>
      <c r="N900" s="93">
        <f>VLOOKUP(B900,'[16]01.수집 카테고리(List)'!$A$2:$H$64,8,FALSE)</f>
        <v>99991231</v>
      </c>
      <c r="O900" s="93" t="s">
        <v>646</v>
      </c>
    </row>
    <row r="901" spans="1:15" hidden="1">
      <c r="A901" s="75" t="str">
        <f t="shared" si="28"/>
        <v>DEAMAZONWireless Headsetsports headphonesSport Kopfhörer</v>
      </c>
      <c r="B901" s="94" t="str">
        <f t="shared" si="29"/>
        <v>DE_AMAZON</v>
      </c>
      <c r="C901" s="93" t="s">
        <v>261</v>
      </c>
      <c r="D901" s="93" t="s">
        <v>262</v>
      </c>
      <c r="E901" s="93" t="s">
        <v>2373</v>
      </c>
      <c r="F901" s="93" t="s">
        <v>2692</v>
      </c>
      <c r="G901" s="93" t="s">
        <v>2693</v>
      </c>
      <c r="H901" s="93" t="e">
        <v>#N/A</v>
      </c>
      <c r="I901" s="105" t="s">
        <v>2310</v>
      </c>
      <c r="J901" s="93" t="s">
        <v>189</v>
      </c>
      <c r="K901" s="93">
        <v>2550</v>
      </c>
      <c r="L901" s="93" t="e">
        <v>#N/A</v>
      </c>
      <c r="M901" s="93" t="s">
        <v>2311</v>
      </c>
      <c r="N901" s="93">
        <f>VLOOKUP(B901,'[16]01.수집 카테고리(List)'!$A$2:$H$64,8,FALSE)</f>
        <v>99991231</v>
      </c>
      <c r="O901" s="93" t="s">
        <v>646</v>
      </c>
    </row>
    <row r="902" spans="1:15" hidden="1">
      <c r="A902" s="75" t="str">
        <f t="shared" si="28"/>
        <v>DEAMAZONWIRELESS HEADSETEarbudsOhrhörer</v>
      </c>
      <c r="B902" s="94" t="str">
        <f t="shared" si="29"/>
        <v>DE_AMAZON</v>
      </c>
      <c r="C902" s="93" t="s">
        <v>261</v>
      </c>
      <c r="D902" s="93" t="s">
        <v>262</v>
      </c>
      <c r="E902" s="93" t="s">
        <v>2201</v>
      </c>
      <c r="F902" s="93" t="s">
        <v>2534</v>
      </c>
      <c r="G902" s="93" t="s">
        <v>2694</v>
      </c>
      <c r="H902" s="93" t="e">
        <v>#N/A</v>
      </c>
      <c r="I902" s="105" t="s">
        <v>2310</v>
      </c>
      <c r="J902" s="93" t="s">
        <v>189</v>
      </c>
      <c r="K902" s="93">
        <v>3108</v>
      </c>
      <c r="L902" s="93" t="e">
        <v>#N/A</v>
      </c>
      <c r="M902" s="93" t="s">
        <v>2311</v>
      </c>
      <c r="N902" s="93">
        <f>VLOOKUP(B902,'[16]01.수집 카테고리(List)'!$A$2:$H$64,8,FALSE)</f>
        <v>99991231</v>
      </c>
      <c r="O902" s="93" t="s">
        <v>646</v>
      </c>
    </row>
    <row r="903" spans="1:15" s="81" customFormat="1" hidden="1">
      <c r="A903" s="81" t="str">
        <f t="shared" si="28"/>
        <v>DEAMAZONAir Conditionerwindow inverter air conditionerklimaanlage</v>
      </c>
      <c r="B903" s="106" t="str">
        <f t="shared" si="29"/>
        <v>DE_AMAZON</v>
      </c>
      <c r="C903" s="107" t="s">
        <v>261</v>
      </c>
      <c r="D903" s="107" t="s">
        <v>262</v>
      </c>
      <c r="E903" s="107" t="s">
        <v>2524</v>
      </c>
      <c r="F903" s="107" t="s">
        <v>2424</v>
      </c>
      <c r="G903" s="107" t="s">
        <v>2695</v>
      </c>
      <c r="H903" s="93" t="e">
        <v>#N/A</v>
      </c>
      <c r="I903" s="99">
        <v>46076</v>
      </c>
      <c r="J903" s="83" t="s">
        <v>189</v>
      </c>
      <c r="K903" s="107"/>
      <c r="L903" s="107"/>
      <c r="M903" s="107"/>
      <c r="N903" s="107"/>
      <c r="O903" s="107"/>
    </row>
    <row r="904" spans="1:15" s="108" customFormat="1" hidden="1">
      <c r="A904" s="108" t="str">
        <f t="shared" si="28"/>
        <v>DEAMAZONDryerDryerTørretumbler</v>
      </c>
      <c r="B904" s="109" t="str">
        <f t="shared" si="29"/>
        <v>DE_AMAZON</v>
      </c>
      <c r="C904" s="110" t="s">
        <v>261</v>
      </c>
      <c r="D904" s="110" t="s">
        <v>262</v>
      </c>
      <c r="E904" s="110" t="s">
        <v>2535</v>
      </c>
      <c r="F904" s="110" t="s">
        <v>2535</v>
      </c>
      <c r="G904" s="110" t="s">
        <v>2696</v>
      </c>
      <c r="H904" s="93" t="e">
        <v>#N/A</v>
      </c>
      <c r="I904" s="99">
        <v>46076</v>
      </c>
      <c r="J904" s="83" t="s">
        <v>189</v>
      </c>
      <c r="K904" s="110"/>
      <c r="L904" s="110"/>
      <c r="M904" s="110"/>
      <c r="N904" s="110"/>
      <c r="O904" s="110"/>
    </row>
    <row r="905" spans="1:15" hidden="1">
      <c r="A905" s="75" t="str">
        <f t="shared" ref="A905:A967" si="30">C905&amp;D905&amp;E905&amp;F905&amp;G905</f>
        <v>DEMEDIAMARKTBluetooth Speakerbluetooth speakerBluetooth Lautsprecher</v>
      </c>
      <c r="B905" s="94" t="str">
        <f t="shared" ref="B905:B967" si="31">C905&amp;"_"&amp;D905</f>
        <v>DE_MEDIAMARKT</v>
      </c>
      <c r="C905" s="93" t="s">
        <v>261</v>
      </c>
      <c r="D905" s="93" t="s">
        <v>264</v>
      </c>
      <c r="E905" s="93" t="s">
        <v>2307</v>
      </c>
      <c r="F905" s="93" t="s">
        <v>2657</v>
      </c>
      <c r="G905" s="93" t="s">
        <v>2658</v>
      </c>
      <c r="H905" s="93" t="e">
        <v>#N/A</v>
      </c>
      <c r="I905" s="105" t="s">
        <v>2310</v>
      </c>
      <c r="J905" s="93" t="s">
        <v>189</v>
      </c>
      <c r="K905" s="93">
        <v>774</v>
      </c>
      <c r="L905" s="93" t="e">
        <v>#N/A</v>
      </c>
      <c r="M905" s="93" t="s">
        <v>2311</v>
      </c>
      <c r="N905" s="93">
        <f>VLOOKUP(B905,'[16]01.수집 카테고리(List)'!$A$2:$H$64,8,FALSE)</f>
        <v>99991231</v>
      </c>
      <c r="O905" s="93" t="s">
        <v>646</v>
      </c>
    </row>
    <row r="906" spans="1:15" hidden="1">
      <c r="A906" s="75" t="str">
        <f t="shared" si="30"/>
        <v>DEMEDIAMARKTBluetooth SpeakerspeakersLautsprecher</v>
      </c>
      <c r="B906" s="94" t="str">
        <f t="shared" si="31"/>
        <v>DE_MEDIAMARKT</v>
      </c>
      <c r="C906" s="93" t="s">
        <v>261</v>
      </c>
      <c r="D906" s="93" t="s">
        <v>264</v>
      </c>
      <c r="E906" s="93" t="s">
        <v>2307</v>
      </c>
      <c r="F906" s="93" t="s">
        <v>2471</v>
      </c>
      <c r="G906" s="93" t="s">
        <v>2659</v>
      </c>
      <c r="H906" s="93" t="e">
        <v>#N/A</v>
      </c>
      <c r="I906" s="105" t="s">
        <v>2310</v>
      </c>
      <c r="J906" s="93" t="s">
        <v>189</v>
      </c>
      <c r="K906" s="93">
        <v>793</v>
      </c>
      <c r="L906" s="93" t="e">
        <v>#N/A</v>
      </c>
      <c r="M906" s="93" t="s">
        <v>2311</v>
      </c>
      <c r="N906" s="93">
        <f>VLOOKUP(B906,'[16]01.수집 카테고리(List)'!$A$2:$H$64,8,FALSE)</f>
        <v>99991231</v>
      </c>
      <c r="O906" s="93" t="s">
        <v>646</v>
      </c>
    </row>
    <row r="907" spans="1:15" hidden="1">
      <c r="A907" s="75" t="str">
        <f t="shared" si="30"/>
        <v>DEMEDIAMARKTBluetooth Speakerportable speakerstragbare Lautsprecher</v>
      </c>
      <c r="B907" s="94" t="str">
        <f t="shared" si="31"/>
        <v>DE_MEDIAMARKT</v>
      </c>
      <c r="C907" s="93" t="s">
        <v>261</v>
      </c>
      <c r="D907" s="93" t="s">
        <v>264</v>
      </c>
      <c r="E907" s="93" t="s">
        <v>2307</v>
      </c>
      <c r="F907" s="93" t="s">
        <v>2473</v>
      </c>
      <c r="G907" s="93" t="s">
        <v>2660</v>
      </c>
      <c r="H907" s="93" t="e">
        <v>#N/A</v>
      </c>
      <c r="I907" s="105" t="s">
        <v>2310</v>
      </c>
      <c r="J907" s="93" t="s">
        <v>189</v>
      </c>
      <c r="K907" s="93">
        <v>764</v>
      </c>
      <c r="L907" s="93" t="e">
        <v>#N/A</v>
      </c>
      <c r="M907" s="93" t="s">
        <v>2311</v>
      </c>
      <c r="N907" s="93">
        <f>VLOOKUP(B907,'[16]01.수집 카테고리(List)'!$A$2:$H$64,8,FALSE)</f>
        <v>99991231</v>
      </c>
      <c r="O907" s="93" t="s">
        <v>646</v>
      </c>
    </row>
    <row r="908" spans="1:15" hidden="1">
      <c r="A908" s="75" t="str">
        <f t="shared" si="30"/>
        <v>DEMEDIAMARKTBluetooth SpeakerPortable bluetooth speakerTragbarer bluetooth lautsprecher</v>
      </c>
      <c r="B908" s="94" t="str">
        <f t="shared" si="31"/>
        <v>DE_MEDIAMARKT</v>
      </c>
      <c r="C908" s="93" t="s">
        <v>261</v>
      </c>
      <c r="D908" s="93" t="s">
        <v>264</v>
      </c>
      <c r="E908" s="93" t="s">
        <v>2307</v>
      </c>
      <c r="F908" s="93" t="s">
        <v>2312</v>
      </c>
      <c r="G908" s="93" t="s">
        <v>2661</v>
      </c>
      <c r="H908" s="93" t="e">
        <v>#N/A</v>
      </c>
      <c r="I908" s="105" t="s">
        <v>2310</v>
      </c>
      <c r="J908" s="93" t="s">
        <v>189</v>
      </c>
      <c r="K908" s="93">
        <v>17795</v>
      </c>
      <c r="L908" s="93" t="e">
        <v>#N/A</v>
      </c>
      <c r="M908" s="93" t="s">
        <v>2311</v>
      </c>
      <c r="N908" s="93">
        <f>VLOOKUP(B908,'[16]01.수집 카테고리(List)'!$A$2:$H$64,8,FALSE)</f>
        <v>99991231</v>
      </c>
      <c r="O908" s="93" t="s">
        <v>646</v>
      </c>
    </row>
    <row r="909" spans="1:15" hidden="1">
      <c r="A909" s="75" t="str">
        <f t="shared" si="30"/>
        <v>DEMEDIAMARKTLaptopLaptopLaptop</v>
      </c>
      <c r="B909" s="94" t="str">
        <f t="shared" si="31"/>
        <v>DE_MEDIAMARKT</v>
      </c>
      <c r="C909" s="93" t="s">
        <v>261</v>
      </c>
      <c r="D909" s="93" t="s">
        <v>264</v>
      </c>
      <c r="E909" s="93" t="s">
        <v>2407</v>
      </c>
      <c r="F909" s="93" t="s">
        <v>2407</v>
      </c>
      <c r="G909" s="93" t="s">
        <v>2407</v>
      </c>
      <c r="H909" s="93" t="e">
        <v>#N/A</v>
      </c>
      <c r="I909" s="105" t="s">
        <v>2310</v>
      </c>
      <c r="J909" s="93" t="s">
        <v>189</v>
      </c>
      <c r="K909" s="93">
        <v>7416</v>
      </c>
      <c r="L909" s="93">
        <v>7416</v>
      </c>
      <c r="M909" s="93" t="s">
        <v>2311</v>
      </c>
      <c r="N909" s="93">
        <f>VLOOKUP(B909,'[16]01.수집 카테고리(List)'!$A$2:$H$64,8,FALSE)</f>
        <v>99991231</v>
      </c>
      <c r="O909" s="93" t="s">
        <v>646</v>
      </c>
    </row>
    <row r="910" spans="1:15" hidden="1">
      <c r="A910" s="75" t="str">
        <f t="shared" si="30"/>
        <v>DEMEDIAMARKTLaptoplightweight Laptopleichtes Laptop</v>
      </c>
      <c r="B910" s="94" t="str">
        <f t="shared" si="31"/>
        <v>DE_MEDIAMARKT</v>
      </c>
      <c r="C910" s="93" t="s">
        <v>261</v>
      </c>
      <c r="D910" s="93" t="s">
        <v>264</v>
      </c>
      <c r="E910" s="93" t="s">
        <v>2407</v>
      </c>
      <c r="F910" s="93" t="s">
        <v>2662</v>
      </c>
      <c r="G910" s="93" t="s">
        <v>2663</v>
      </c>
      <c r="H910" s="93" t="e">
        <v>#N/A</v>
      </c>
      <c r="I910" s="105" t="s">
        <v>2310</v>
      </c>
      <c r="J910" s="93" t="s">
        <v>189</v>
      </c>
      <c r="K910" s="93">
        <v>25</v>
      </c>
      <c r="L910" s="93" t="e">
        <v>#N/A</v>
      </c>
      <c r="M910" s="93" t="s">
        <v>2311</v>
      </c>
      <c r="N910" s="93">
        <f>VLOOKUP(B910,'[16]01.수집 카테고리(List)'!$A$2:$H$64,8,FALSE)</f>
        <v>99991231</v>
      </c>
      <c r="O910" s="93" t="s">
        <v>646</v>
      </c>
    </row>
    <row r="911" spans="1:15" hidden="1">
      <c r="A911" s="75" t="str">
        <f t="shared" si="30"/>
        <v>DEMEDIAMARKTLaptopNotebookNotebook</v>
      </c>
      <c r="B911" s="94" t="str">
        <f t="shared" si="31"/>
        <v>DE_MEDIAMARKT</v>
      </c>
      <c r="C911" s="93" t="s">
        <v>261</v>
      </c>
      <c r="D911" s="93" t="s">
        <v>264</v>
      </c>
      <c r="E911" s="93" t="s">
        <v>2407</v>
      </c>
      <c r="F911" s="93" t="s">
        <v>2664</v>
      </c>
      <c r="G911" s="93" t="s">
        <v>2664</v>
      </c>
      <c r="H911" s="93" t="e">
        <v>#N/A</v>
      </c>
      <c r="I911" s="105" t="s">
        <v>2310</v>
      </c>
      <c r="J911" s="93" t="s">
        <v>189</v>
      </c>
      <c r="K911" s="93">
        <v>7421</v>
      </c>
      <c r="L911" s="93">
        <v>7421</v>
      </c>
      <c r="M911" s="93" t="s">
        <v>2311</v>
      </c>
      <c r="N911" s="93">
        <f>VLOOKUP(B911,'[16]01.수집 카테고리(List)'!$A$2:$H$64,8,FALSE)</f>
        <v>99991231</v>
      </c>
      <c r="O911" s="93" t="s">
        <v>646</v>
      </c>
    </row>
    <row r="912" spans="1:15" hidden="1">
      <c r="A912" s="75" t="str">
        <f t="shared" si="30"/>
        <v>DEMEDIAMARKTLaptopUltrabookUltrabook</v>
      </c>
      <c r="B912" s="94" t="str">
        <f t="shared" si="31"/>
        <v>DE_MEDIAMARKT</v>
      </c>
      <c r="C912" s="93" t="s">
        <v>261</v>
      </c>
      <c r="D912" s="93" t="s">
        <v>264</v>
      </c>
      <c r="E912" s="93" t="s">
        <v>2407</v>
      </c>
      <c r="F912" s="93" t="s">
        <v>2665</v>
      </c>
      <c r="G912" s="93" t="s">
        <v>2665</v>
      </c>
      <c r="H912" s="93" t="e">
        <v>#N/A</v>
      </c>
      <c r="I912" s="105" t="s">
        <v>2310</v>
      </c>
      <c r="J912" s="93" t="s">
        <v>189</v>
      </c>
      <c r="K912" s="93">
        <v>9229</v>
      </c>
      <c r="L912" s="93">
        <v>9229</v>
      </c>
      <c r="M912" s="93" t="s">
        <v>2311</v>
      </c>
      <c r="N912" s="93">
        <f>VLOOKUP(B912,'[16]01.수집 카테고리(List)'!$A$2:$H$64,8,FALSE)</f>
        <v>99991231</v>
      </c>
      <c r="O912" s="93" t="s">
        <v>646</v>
      </c>
    </row>
    <row r="913" spans="1:15" hidden="1">
      <c r="A913" s="75" t="str">
        <f t="shared" si="30"/>
        <v>DEMEDIAMARKTMonitorultrawide monitor21:9 monitore</v>
      </c>
      <c r="B913" s="94" t="str">
        <f t="shared" si="31"/>
        <v>DE_MEDIAMARKT</v>
      </c>
      <c r="C913" s="93" t="s">
        <v>261</v>
      </c>
      <c r="D913" s="93" t="s">
        <v>264</v>
      </c>
      <c r="E913" s="93" t="s">
        <v>2320</v>
      </c>
      <c r="F913" s="93" t="s">
        <v>2325</v>
      </c>
      <c r="G913" s="93" t="s">
        <v>2666</v>
      </c>
      <c r="H913" s="93" t="e">
        <v>#N/A</v>
      </c>
      <c r="I913" s="105" t="s">
        <v>2310</v>
      </c>
      <c r="J913" s="93" t="s">
        <v>189</v>
      </c>
      <c r="K913" s="93">
        <v>282</v>
      </c>
      <c r="L913" s="93" t="e">
        <v>#N/A</v>
      </c>
      <c r="M913" s="93" t="s">
        <v>2311</v>
      </c>
      <c r="N913" s="93">
        <f>VLOOKUP(B913,'[16]01.수집 카테고리(List)'!$A$2:$H$64,8,FALSE)</f>
        <v>99991231</v>
      </c>
      <c r="O913" s="93" t="s">
        <v>646</v>
      </c>
    </row>
    <row r="914" spans="1:15" hidden="1">
      <c r="A914" s="75" t="str">
        <f t="shared" si="30"/>
        <v>DEMEDIAMARKTMonitor4k monitor4K monitore</v>
      </c>
      <c r="B914" s="94" t="str">
        <f t="shared" si="31"/>
        <v>DE_MEDIAMARKT</v>
      </c>
      <c r="C914" s="93" t="s">
        <v>261</v>
      </c>
      <c r="D914" s="93" t="s">
        <v>264</v>
      </c>
      <c r="E914" s="93" t="s">
        <v>2320</v>
      </c>
      <c r="F914" s="93" t="s">
        <v>2321</v>
      </c>
      <c r="G914" s="93" t="s">
        <v>2667</v>
      </c>
      <c r="H914" s="93" t="e">
        <v>#N/A</v>
      </c>
      <c r="I914" s="105" t="s">
        <v>2310</v>
      </c>
      <c r="J914" s="93" t="s">
        <v>189</v>
      </c>
      <c r="K914" s="93">
        <v>792</v>
      </c>
      <c r="L914" s="93" t="e">
        <v>#N/A</v>
      </c>
      <c r="M914" s="93" t="s">
        <v>2311</v>
      </c>
      <c r="N914" s="93">
        <f>VLOOKUP(B914,'[16]01.수집 카테고리(List)'!$A$2:$H$64,8,FALSE)</f>
        <v>99991231</v>
      </c>
      <c r="O914" s="93" t="s">
        <v>646</v>
      </c>
    </row>
    <row r="915" spans="1:15" hidden="1">
      <c r="A915" s="75" t="str">
        <f t="shared" si="30"/>
        <v>DEMEDIAMARKTMonitorgaming monitorgaming monitore</v>
      </c>
      <c r="B915" s="94" t="str">
        <f t="shared" si="31"/>
        <v>DE_MEDIAMARKT</v>
      </c>
      <c r="C915" s="93" t="s">
        <v>261</v>
      </c>
      <c r="D915" s="93" t="s">
        <v>264</v>
      </c>
      <c r="E915" s="93" t="s">
        <v>2320</v>
      </c>
      <c r="F915" s="93" t="s">
        <v>2322</v>
      </c>
      <c r="G915" s="93" t="s">
        <v>2668</v>
      </c>
      <c r="H915" s="93" t="e">
        <v>#N/A</v>
      </c>
      <c r="I915" s="105" t="s">
        <v>2310</v>
      </c>
      <c r="J915" s="93" t="s">
        <v>189</v>
      </c>
      <c r="K915" s="93">
        <v>293</v>
      </c>
      <c r="L915" s="93" t="e">
        <v>#N/A</v>
      </c>
      <c r="M915" s="93" t="s">
        <v>2311</v>
      </c>
      <c r="N915" s="93">
        <f>VLOOKUP(B915,'[16]01.수집 카테고리(List)'!$A$2:$H$64,8,FALSE)</f>
        <v>99991231</v>
      </c>
      <c r="O915" s="93" t="s">
        <v>646</v>
      </c>
    </row>
    <row r="916" spans="1:15" hidden="1">
      <c r="A916" s="75" t="str">
        <f t="shared" si="30"/>
        <v>DEMEDIAMARKTMonitorMonitor Full HDMonitor Full HD</v>
      </c>
      <c r="B916" s="94" t="str">
        <f t="shared" si="31"/>
        <v>DE_MEDIAMARKT</v>
      </c>
      <c r="C916" s="93" t="s">
        <v>261</v>
      </c>
      <c r="D916" s="93" t="s">
        <v>264</v>
      </c>
      <c r="E916" s="93" t="s">
        <v>2320</v>
      </c>
      <c r="F916" s="93" t="s">
        <v>2669</v>
      </c>
      <c r="G916" s="93" t="s">
        <v>2669</v>
      </c>
      <c r="H916" s="93" t="e">
        <v>#N/A</v>
      </c>
      <c r="I916" s="105" t="s">
        <v>2310</v>
      </c>
      <c r="J916" s="93" t="s">
        <v>189</v>
      </c>
      <c r="K916" s="93">
        <v>720</v>
      </c>
      <c r="L916" s="93">
        <v>720</v>
      </c>
      <c r="M916" s="93" t="s">
        <v>2311</v>
      </c>
      <c r="N916" s="93">
        <f>VLOOKUP(B916,'[16]01.수집 카테고리(List)'!$A$2:$H$64,8,FALSE)</f>
        <v>99991231</v>
      </c>
      <c r="O916" s="93" t="s">
        <v>646</v>
      </c>
    </row>
    <row r="917" spans="1:15" hidden="1">
      <c r="A917" s="75" t="str">
        <f t="shared" si="30"/>
        <v>DEMEDIAMARKTMonitorMonitor GamingMonitor Gaming</v>
      </c>
      <c r="B917" s="94" t="str">
        <f t="shared" si="31"/>
        <v>DE_MEDIAMARKT</v>
      </c>
      <c r="C917" s="93" t="s">
        <v>261</v>
      </c>
      <c r="D917" s="93" t="s">
        <v>264</v>
      </c>
      <c r="E917" s="93" t="s">
        <v>2320</v>
      </c>
      <c r="F917" s="93" t="s">
        <v>2670</v>
      </c>
      <c r="G917" s="93" t="s">
        <v>2670</v>
      </c>
      <c r="H917" s="93" t="e">
        <v>#N/A</v>
      </c>
      <c r="I917" s="105" t="s">
        <v>2310</v>
      </c>
      <c r="J917" s="93" t="s">
        <v>189</v>
      </c>
      <c r="K917" s="93">
        <v>475</v>
      </c>
      <c r="L917" s="93">
        <v>475</v>
      </c>
      <c r="M917" s="93" t="s">
        <v>2311</v>
      </c>
      <c r="N917" s="93">
        <f>VLOOKUP(B917,'[16]01.수집 카테고리(List)'!$A$2:$H$64,8,FALSE)</f>
        <v>99991231</v>
      </c>
      <c r="O917" s="93" t="s">
        <v>646</v>
      </c>
    </row>
    <row r="918" spans="1:15" hidden="1">
      <c r="A918" s="75" t="str">
        <f t="shared" si="30"/>
        <v>DEMEDIAMARKTMonitorMonitor PCMonitor PC</v>
      </c>
      <c r="B918" s="94" t="str">
        <f t="shared" si="31"/>
        <v>DE_MEDIAMARKT</v>
      </c>
      <c r="C918" s="93" t="s">
        <v>261</v>
      </c>
      <c r="D918" s="93" t="s">
        <v>264</v>
      </c>
      <c r="E918" s="93" t="s">
        <v>2320</v>
      </c>
      <c r="F918" s="93" t="s">
        <v>2671</v>
      </c>
      <c r="G918" s="93" t="s">
        <v>2671</v>
      </c>
      <c r="H918" s="93" t="e">
        <v>#N/A</v>
      </c>
      <c r="I918" s="105" t="s">
        <v>2310</v>
      </c>
      <c r="J918" s="93" t="s">
        <v>189</v>
      </c>
      <c r="K918" s="93">
        <v>580</v>
      </c>
      <c r="L918" s="93">
        <v>580</v>
      </c>
      <c r="M918" s="93" t="s">
        <v>2311</v>
      </c>
      <c r="N918" s="93">
        <f>VLOOKUP(B918,'[16]01.수집 카테고리(List)'!$A$2:$H$64,8,FALSE)</f>
        <v>99991231</v>
      </c>
      <c r="O918" s="93" t="s">
        <v>646</v>
      </c>
    </row>
    <row r="919" spans="1:15" hidden="1">
      <c r="A919" s="75" t="str">
        <f t="shared" si="30"/>
        <v>DEMEDIAMARKTMonitorMonitor Ultra HDMonitor Ultra HD</v>
      </c>
      <c r="B919" s="94" t="str">
        <f t="shared" si="31"/>
        <v>DE_MEDIAMARKT</v>
      </c>
      <c r="C919" s="93" t="s">
        <v>261</v>
      </c>
      <c r="D919" s="93" t="s">
        <v>264</v>
      </c>
      <c r="E919" s="93" t="s">
        <v>2320</v>
      </c>
      <c r="F919" s="93" t="s">
        <v>2672</v>
      </c>
      <c r="G919" s="93" t="s">
        <v>2672</v>
      </c>
      <c r="H919" s="93" t="e">
        <v>#N/A</v>
      </c>
      <c r="I919" s="105" t="s">
        <v>2310</v>
      </c>
      <c r="J919" s="93" t="s">
        <v>189</v>
      </c>
      <c r="K919" s="93">
        <v>151</v>
      </c>
      <c r="L919" s="93">
        <v>151</v>
      </c>
      <c r="M919" s="93" t="s">
        <v>2311</v>
      </c>
      <c r="N919" s="93">
        <f>VLOOKUP(B919,'[16]01.수집 카테고리(List)'!$A$2:$H$64,8,FALSE)</f>
        <v>99991231</v>
      </c>
      <c r="O919" s="93" t="s">
        <v>646</v>
      </c>
    </row>
    <row r="920" spans="1:15" hidden="1">
      <c r="A920" s="75" t="str">
        <f t="shared" si="30"/>
        <v>DEMEDIAMARKTMonitorMonitor Ultra WideMonitor Ultra Wide</v>
      </c>
      <c r="B920" s="94" t="str">
        <f t="shared" si="31"/>
        <v>DE_MEDIAMARKT</v>
      </c>
      <c r="C920" s="93" t="s">
        <v>261</v>
      </c>
      <c r="D920" s="93" t="s">
        <v>264</v>
      </c>
      <c r="E920" s="93" t="s">
        <v>2320</v>
      </c>
      <c r="F920" s="93" t="s">
        <v>2673</v>
      </c>
      <c r="G920" s="93" t="s">
        <v>2673</v>
      </c>
      <c r="H920" s="93" t="e">
        <v>#N/A</v>
      </c>
      <c r="I920" s="105" t="s">
        <v>2310</v>
      </c>
      <c r="J920" s="93" t="s">
        <v>189</v>
      </c>
      <c r="K920" s="93">
        <v>105</v>
      </c>
      <c r="L920" s="93">
        <v>105</v>
      </c>
      <c r="M920" s="93" t="s">
        <v>2311</v>
      </c>
      <c r="N920" s="93">
        <f>VLOOKUP(B920,'[16]01.수집 카테고리(List)'!$A$2:$H$64,8,FALSE)</f>
        <v>99991231</v>
      </c>
      <c r="O920" s="93" t="s">
        <v>646</v>
      </c>
    </row>
    <row r="921" spans="1:15" hidden="1">
      <c r="A921" s="75" t="str">
        <f t="shared" si="30"/>
        <v>DEMEDIAMARKTMonitormonitormonitore</v>
      </c>
      <c r="B921" s="94" t="str">
        <f t="shared" si="31"/>
        <v>DE_MEDIAMARKT</v>
      </c>
      <c r="C921" s="93" t="s">
        <v>261</v>
      </c>
      <c r="D921" s="93" t="s">
        <v>264</v>
      </c>
      <c r="E921" s="93" t="s">
        <v>2320</v>
      </c>
      <c r="F921" s="93" t="s">
        <v>2323</v>
      </c>
      <c r="G921" s="93" t="s">
        <v>2674</v>
      </c>
      <c r="H921" s="93" t="e">
        <v>#N/A</v>
      </c>
      <c r="I921" s="105" t="s">
        <v>2310</v>
      </c>
      <c r="J921" s="93" t="s">
        <v>189</v>
      </c>
      <c r="K921" s="93">
        <v>600</v>
      </c>
      <c r="L921" s="93" t="e">
        <v>#N/A</v>
      </c>
      <c r="M921" s="93" t="s">
        <v>2311</v>
      </c>
      <c r="N921" s="93">
        <f>VLOOKUP(B921,'[16]01.수집 카테고리(List)'!$A$2:$H$64,8,FALSE)</f>
        <v>99991231</v>
      </c>
      <c r="O921" s="93" t="s">
        <v>646</v>
      </c>
    </row>
    <row r="922" spans="1:15" hidden="1">
      <c r="A922" s="75" t="str">
        <f t="shared" si="30"/>
        <v>DEMEDIAMARKTMonitoruhd monitorUHD monitore</v>
      </c>
      <c r="B922" s="94" t="str">
        <f t="shared" si="31"/>
        <v>DE_MEDIAMARKT</v>
      </c>
      <c r="C922" s="93" t="s">
        <v>261</v>
      </c>
      <c r="D922" s="93" t="s">
        <v>264</v>
      </c>
      <c r="E922" s="93" t="s">
        <v>2320</v>
      </c>
      <c r="F922" s="93" t="s">
        <v>2324</v>
      </c>
      <c r="G922" s="93" t="s">
        <v>2697</v>
      </c>
      <c r="H922" s="93" t="e">
        <v>#N/A</v>
      </c>
      <c r="I922" s="105" t="s">
        <v>2310</v>
      </c>
      <c r="J922" s="93" t="s">
        <v>189</v>
      </c>
      <c r="K922" s="93">
        <v>786</v>
      </c>
      <c r="L922" s="93" t="e">
        <v>#N/A</v>
      </c>
      <c r="M922" s="93" t="s">
        <v>2311</v>
      </c>
      <c r="N922" s="93">
        <f>VLOOKUP(B922,'[16]01.수집 카테고리(List)'!$A$2:$H$64,8,FALSE)</f>
        <v>99991231</v>
      </c>
      <c r="O922" s="93" t="s">
        <v>646</v>
      </c>
    </row>
    <row r="923" spans="1:15" hidden="1">
      <c r="A923" s="75" t="str">
        <f t="shared" si="30"/>
        <v>DEMEDIAMARKTOVENFreestanding OvenFreistehender Ofen</v>
      </c>
      <c r="B923" s="94" t="str">
        <f t="shared" si="31"/>
        <v>DE_MEDIAMARKT</v>
      </c>
      <c r="C923" s="93" t="s">
        <v>261</v>
      </c>
      <c r="D923" s="93" t="s">
        <v>264</v>
      </c>
      <c r="E923" s="93" t="s">
        <v>173</v>
      </c>
      <c r="F923" s="93" t="s">
        <v>2678</v>
      </c>
      <c r="G923" s="93" t="s">
        <v>2679</v>
      </c>
      <c r="H923" s="93" t="s">
        <v>2698</v>
      </c>
      <c r="I923" s="105" t="s">
        <v>2310</v>
      </c>
      <c r="J923" s="93" t="s">
        <v>189</v>
      </c>
      <c r="K923" s="93">
        <v>19</v>
      </c>
      <c r="L923" s="93" t="e">
        <v>#N/A</v>
      </c>
      <c r="M923" s="93" t="s">
        <v>2311</v>
      </c>
      <c r="N923" s="93">
        <f>VLOOKUP(B923,'[16]01.수집 카테고리(List)'!$A$2:$H$64,8,FALSE)</f>
        <v>99991231</v>
      </c>
      <c r="O923" s="93" t="s">
        <v>646</v>
      </c>
    </row>
    <row r="924" spans="1:15" hidden="1">
      <c r="A924" s="75" t="str">
        <f t="shared" si="30"/>
        <v>DEMEDIAMARKTOVENCooktopKochfeld</v>
      </c>
      <c r="B924" s="94" t="str">
        <f t="shared" si="31"/>
        <v>DE_MEDIAMARKT</v>
      </c>
      <c r="C924" s="93" t="s">
        <v>261</v>
      </c>
      <c r="D924" s="93" t="s">
        <v>264</v>
      </c>
      <c r="E924" s="93" t="s">
        <v>173</v>
      </c>
      <c r="F924" s="93" t="s">
        <v>2541</v>
      </c>
      <c r="G924" s="93" t="s">
        <v>2680</v>
      </c>
      <c r="H924" s="93" t="e">
        <v>#N/A</v>
      </c>
      <c r="I924" s="105" t="s">
        <v>2310</v>
      </c>
      <c r="J924" s="93" t="s">
        <v>189</v>
      </c>
      <c r="K924" s="93">
        <v>85</v>
      </c>
      <c r="L924" s="93" t="e">
        <v>#N/A</v>
      </c>
      <c r="M924" s="93" t="s">
        <v>2311</v>
      </c>
      <c r="N924" s="93">
        <f>VLOOKUP(B924,'[16]01.수집 카테고리(List)'!$A$2:$H$64,8,FALSE)</f>
        <v>99991231</v>
      </c>
      <c r="O924" s="93" t="s">
        <v>646</v>
      </c>
    </row>
    <row r="925" spans="1:15" hidden="1">
      <c r="A925" s="75" t="str">
        <f t="shared" si="30"/>
        <v>DEMEDIAMARKTOVENWall Ovenwand ofen</v>
      </c>
      <c r="B925" s="94" t="str">
        <f t="shared" si="31"/>
        <v>DE_MEDIAMARKT</v>
      </c>
      <c r="C925" s="93" t="s">
        <v>261</v>
      </c>
      <c r="D925" s="93" t="s">
        <v>264</v>
      </c>
      <c r="E925" s="93" t="s">
        <v>173</v>
      </c>
      <c r="F925" s="93" t="s">
        <v>2544</v>
      </c>
      <c r="G925" s="93" t="s">
        <v>2681</v>
      </c>
      <c r="H925" s="93" t="e">
        <v>#N/A</v>
      </c>
      <c r="I925" s="105" t="s">
        <v>2310</v>
      </c>
      <c r="J925" s="93" t="s">
        <v>189</v>
      </c>
      <c r="K925" s="93">
        <v>133</v>
      </c>
      <c r="L925" s="93" t="e">
        <v>#N/A</v>
      </c>
      <c r="M925" s="93" t="s">
        <v>2311</v>
      </c>
      <c r="N925" s="93">
        <f>VLOOKUP(B925,'[16]01.수집 카테고리(List)'!$A$2:$H$64,8,FALSE)</f>
        <v>99991231</v>
      </c>
      <c r="O925" s="93" t="s">
        <v>646</v>
      </c>
    </row>
    <row r="926" spans="1:15" hidden="1">
      <c r="A926" s="75" t="str">
        <f t="shared" si="30"/>
        <v>DEMEDIAMARKTRefrigeratorfrench door refrigeratorfrench door kühlschrank</v>
      </c>
      <c r="B926" s="94" t="str">
        <f t="shared" si="31"/>
        <v>DE_MEDIAMARKT</v>
      </c>
      <c r="C926" s="93" t="s">
        <v>261</v>
      </c>
      <c r="D926" s="93" t="s">
        <v>264</v>
      </c>
      <c r="E926" s="93" t="s">
        <v>2326</v>
      </c>
      <c r="F926" s="93" t="s">
        <v>2328</v>
      </c>
      <c r="G926" s="93" t="s">
        <v>2682</v>
      </c>
      <c r="H926" s="93" t="e">
        <v>#N/A</v>
      </c>
      <c r="I926" s="105" t="s">
        <v>2310</v>
      </c>
      <c r="J926" s="93" t="s">
        <v>189</v>
      </c>
      <c r="K926" s="93">
        <v>54</v>
      </c>
      <c r="L926" s="93" t="e">
        <v>#N/A</v>
      </c>
      <c r="M926" s="93" t="s">
        <v>2311</v>
      </c>
      <c r="N926" s="93">
        <f>VLOOKUP(B926,'[16]01.수집 카테고리(List)'!$A$2:$H$64,8,FALSE)</f>
        <v>99991231</v>
      </c>
      <c r="O926" s="93" t="s">
        <v>646</v>
      </c>
    </row>
    <row r="927" spans="1:15" hidden="1">
      <c r="A927" s="75" t="str">
        <f t="shared" si="30"/>
        <v>DEMEDIAMARKTRefrigeratorbottom freezer refrigeratorKühlgefrierkombination</v>
      </c>
      <c r="B927" s="94" t="str">
        <f t="shared" si="31"/>
        <v>DE_MEDIAMARKT</v>
      </c>
      <c r="C927" s="93" t="s">
        <v>261</v>
      </c>
      <c r="D927" s="93" t="s">
        <v>264</v>
      </c>
      <c r="E927" s="93" t="s">
        <v>2326</v>
      </c>
      <c r="F927" s="93" t="s">
        <v>2327</v>
      </c>
      <c r="G927" s="93" t="s">
        <v>2683</v>
      </c>
      <c r="H927" s="93" t="e">
        <v>#N/A</v>
      </c>
      <c r="I927" s="105" t="s">
        <v>2310</v>
      </c>
      <c r="J927" s="93" t="s">
        <v>189</v>
      </c>
      <c r="K927" s="93">
        <v>342</v>
      </c>
      <c r="L927" s="93" t="e">
        <v>#N/A</v>
      </c>
      <c r="M927" s="93" t="s">
        <v>2311</v>
      </c>
      <c r="N927" s="93">
        <f>VLOOKUP(B927,'[16]01.수집 카테고리(List)'!$A$2:$H$64,8,FALSE)</f>
        <v>99991231</v>
      </c>
      <c r="O927" s="93" t="s">
        <v>646</v>
      </c>
    </row>
    <row r="928" spans="1:15" hidden="1">
      <c r="A928" s="75" t="str">
        <f t="shared" si="30"/>
        <v>DEMEDIAMARKTRefrigeratorrefrigeratorKühlschrank</v>
      </c>
      <c r="B928" s="94" t="str">
        <f t="shared" si="31"/>
        <v>DE_MEDIAMARKT</v>
      </c>
      <c r="C928" s="93" t="s">
        <v>261</v>
      </c>
      <c r="D928" s="93" t="s">
        <v>264</v>
      </c>
      <c r="E928" s="93" t="s">
        <v>2326</v>
      </c>
      <c r="F928" s="93" t="s">
        <v>2329</v>
      </c>
      <c r="G928" s="93" t="s">
        <v>2389</v>
      </c>
      <c r="H928" s="93" t="e">
        <v>#N/A</v>
      </c>
      <c r="I928" s="105" t="s">
        <v>2310</v>
      </c>
      <c r="J928" s="93" t="s">
        <v>189</v>
      </c>
      <c r="K928" s="93">
        <v>493</v>
      </c>
      <c r="L928" s="93" t="e">
        <v>#N/A</v>
      </c>
      <c r="M928" s="93" t="s">
        <v>2311</v>
      </c>
      <c r="N928" s="93">
        <f>VLOOKUP(B928,'[16]01.수집 카테고리(List)'!$A$2:$H$64,8,FALSE)</f>
        <v>99991231</v>
      </c>
      <c r="O928" s="93" t="s">
        <v>646</v>
      </c>
    </row>
    <row r="929" spans="1:15" hidden="1">
      <c r="A929" s="75" t="str">
        <f t="shared" si="30"/>
        <v>DEMEDIAMARKTRefrigeratorside by side refrigeratorKühlschrank side-by-side</v>
      </c>
      <c r="B929" s="94" t="str">
        <f t="shared" si="31"/>
        <v>DE_MEDIAMARKT</v>
      </c>
      <c r="C929" s="93" t="s">
        <v>261</v>
      </c>
      <c r="D929" s="93" t="s">
        <v>264</v>
      </c>
      <c r="E929" s="93" t="s">
        <v>2326</v>
      </c>
      <c r="F929" s="93" t="s">
        <v>2330</v>
      </c>
      <c r="G929" s="93" t="s">
        <v>2684</v>
      </c>
      <c r="H929" s="93" t="e">
        <v>#N/A</v>
      </c>
      <c r="I929" s="105" t="s">
        <v>2310</v>
      </c>
      <c r="J929" s="93" t="s">
        <v>189</v>
      </c>
      <c r="K929" s="93">
        <v>558</v>
      </c>
      <c r="L929" s="93" t="e">
        <v>#N/A</v>
      </c>
      <c r="M929" s="93" t="s">
        <v>2311</v>
      </c>
      <c r="N929" s="93">
        <f>VLOOKUP(B929,'[16]01.수집 카테고리(List)'!$A$2:$H$64,8,FALSE)</f>
        <v>99991231</v>
      </c>
      <c r="O929" s="93" t="s">
        <v>646</v>
      </c>
    </row>
    <row r="930" spans="1:15" hidden="1">
      <c r="A930" s="75" t="str">
        <f t="shared" si="30"/>
        <v>DEMEDIAMARKTSoundbarSound barSound bar</v>
      </c>
      <c r="B930" s="94" t="str">
        <f t="shared" si="31"/>
        <v>DE_MEDIAMARKT</v>
      </c>
      <c r="C930" s="93" t="s">
        <v>261</v>
      </c>
      <c r="D930" s="93" t="s">
        <v>264</v>
      </c>
      <c r="E930" s="93" t="s">
        <v>2363</v>
      </c>
      <c r="F930" s="93" t="s">
        <v>2365</v>
      </c>
      <c r="G930" s="93" t="s">
        <v>2365</v>
      </c>
      <c r="H930" s="93" t="e">
        <v>#N/A</v>
      </c>
      <c r="I930" s="105" t="s">
        <v>2310</v>
      </c>
      <c r="J930" s="93" t="s">
        <v>189</v>
      </c>
      <c r="K930" s="93">
        <v>598</v>
      </c>
      <c r="L930" s="93">
        <v>598</v>
      </c>
      <c r="M930" s="93" t="s">
        <v>2311</v>
      </c>
      <c r="N930" s="93">
        <f>VLOOKUP(B930,'[16]01.수집 카테고리(List)'!$A$2:$H$64,8,FALSE)</f>
        <v>99991231</v>
      </c>
      <c r="O930" s="93" t="s">
        <v>646</v>
      </c>
    </row>
    <row r="931" spans="1:15" hidden="1">
      <c r="A931" s="75" t="str">
        <f t="shared" si="30"/>
        <v>DEMEDIAMARKTSOUNDBARSoundbarSoundbar</v>
      </c>
      <c r="B931" s="94" t="str">
        <f t="shared" si="31"/>
        <v>DE_MEDIAMARKT</v>
      </c>
      <c r="C931" s="93" t="s">
        <v>261</v>
      </c>
      <c r="D931" s="93" t="s">
        <v>264</v>
      </c>
      <c r="E931" s="93" t="s">
        <v>165</v>
      </c>
      <c r="F931" s="93" t="s">
        <v>2363</v>
      </c>
      <c r="G931" s="93" t="s">
        <v>2363</v>
      </c>
      <c r="H931" s="93" t="e">
        <v>#N/A</v>
      </c>
      <c r="I931" s="105" t="s">
        <v>2310</v>
      </c>
      <c r="J931" s="93" t="s">
        <v>189</v>
      </c>
      <c r="K931" s="93">
        <v>440</v>
      </c>
      <c r="L931" s="93">
        <v>440</v>
      </c>
      <c r="M931" s="93" t="s">
        <v>2311</v>
      </c>
      <c r="N931" s="93">
        <f>VLOOKUP(B931,'[16]01.수집 카테고리(List)'!$A$2:$H$64,8,FALSE)</f>
        <v>99991231</v>
      </c>
      <c r="O931" s="93" t="s">
        <v>646</v>
      </c>
    </row>
    <row r="932" spans="1:15" hidden="1">
      <c r="A932" s="75" t="str">
        <f t="shared" si="30"/>
        <v>DEMEDIAMARKTSOUNDBARsoundbar for tvSoundbar für den Fernseher</v>
      </c>
      <c r="B932" s="94" t="str">
        <f t="shared" si="31"/>
        <v>DE_MEDIAMARKT</v>
      </c>
      <c r="C932" s="93" t="s">
        <v>261</v>
      </c>
      <c r="D932" s="93" t="s">
        <v>264</v>
      </c>
      <c r="E932" s="93" t="s">
        <v>165</v>
      </c>
      <c r="F932" s="93" t="s">
        <v>2573</v>
      </c>
      <c r="G932" s="93" t="s">
        <v>2685</v>
      </c>
      <c r="H932" s="93" t="e">
        <v>#N/A</v>
      </c>
      <c r="I932" s="105" t="s">
        <v>2310</v>
      </c>
      <c r="J932" s="93" t="s">
        <v>189</v>
      </c>
      <c r="K932" s="93">
        <v>292</v>
      </c>
      <c r="L932" s="93" t="e">
        <v>#N/A</v>
      </c>
      <c r="M932" s="93" t="s">
        <v>2311</v>
      </c>
      <c r="N932" s="93">
        <f>VLOOKUP(B932,'[16]01.수집 카테고리(List)'!$A$2:$H$64,8,FALSE)</f>
        <v>99991231</v>
      </c>
      <c r="O932" s="93" t="s">
        <v>646</v>
      </c>
    </row>
    <row r="933" spans="1:15" hidden="1">
      <c r="A933" s="75" t="str">
        <f t="shared" si="30"/>
        <v>DEMEDIAMARKTSoundbartv soundbarTV Soundbar</v>
      </c>
      <c r="B933" s="94" t="str">
        <f t="shared" si="31"/>
        <v>DE_MEDIAMARKT</v>
      </c>
      <c r="C933" s="93" t="s">
        <v>261</v>
      </c>
      <c r="D933" s="93" t="s">
        <v>264</v>
      </c>
      <c r="E933" s="93" t="s">
        <v>2363</v>
      </c>
      <c r="F933" s="93" t="s">
        <v>2686</v>
      </c>
      <c r="G933" s="93" t="s">
        <v>2645</v>
      </c>
      <c r="H933" s="93" t="e">
        <v>#N/A</v>
      </c>
      <c r="I933" s="105" t="s">
        <v>2310</v>
      </c>
      <c r="J933" s="93" t="s">
        <v>189</v>
      </c>
      <c r="K933" s="93">
        <v>281</v>
      </c>
      <c r="L933" s="93">
        <v>281</v>
      </c>
      <c r="M933" s="93" t="s">
        <v>2311</v>
      </c>
      <c r="N933" s="93">
        <f>VLOOKUP(B933,'[16]01.수집 카테고리(List)'!$A$2:$H$64,8,FALSE)</f>
        <v>99991231</v>
      </c>
      <c r="O933" s="93" t="s">
        <v>646</v>
      </c>
    </row>
    <row r="934" spans="1:15" hidden="1">
      <c r="A934" s="75" t="str">
        <f t="shared" si="30"/>
        <v>DEMEDIAMARKTTV4k TV4k TV</v>
      </c>
      <c r="B934" s="94" t="str">
        <f t="shared" si="31"/>
        <v>DE_MEDIAMARKT</v>
      </c>
      <c r="C934" s="93" t="s">
        <v>261</v>
      </c>
      <c r="D934" s="93" t="s">
        <v>264</v>
      </c>
      <c r="E934" s="93" t="s">
        <v>161</v>
      </c>
      <c r="F934" s="93" t="s">
        <v>2368</v>
      </c>
      <c r="G934" s="93" t="s">
        <v>2368</v>
      </c>
      <c r="H934" s="93" t="e">
        <v>#N/A</v>
      </c>
      <c r="I934" s="105" t="s">
        <v>2310</v>
      </c>
      <c r="J934" s="93" t="s">
        <v>189</v>
      </c>
      <c r="K934" s="93">
        <v>8390</v>
      </c>
      <c r="L934" s="93">
        <v>8390</v>
      </c>
      <c r="M934" s="93" t="s">
        <v>2311</v>
      </c>
      <c r="N934" s="93">
        <f>VLOOKUP(B934,'[16]01.수집 카테고리(List)'!$A$2:$H$64,8,FALSE)</f>
        <v>99991231</v>
      </c>
      <c r="O934" s="93" t="s">
        <v>646</v>
      </c>
    </row>
    <row r="935" spans="1:15" hidden="1">
      <c r="A935" s="75" t="str">
        <f t="shared" si="30"/>
        <v>DEMEDIAMARKTTVoled TVoled TV</v>
      </c>
      <c r="B935" s="94" t="str">
        <f t="shared" si="31"/>
        <v>DE_MEDIAMARKT</v>
      </c>
      <c r="C935" s="93" t="s">
        <v>261</v>
      </c>
      <c r="D935" s="93" t="s">
        <v>264</v>
      </c>
      <c r="E935" s="93" t="s">
        <v>161</v>
      </c>
      <c r="F935" s="93" t="s">
        <v>2369</v>
      </c>
      <c r="G935" s="93" t="s">
        <v>2369</v>
      </c>
      <c r="H935" s="93" t="e">
        <v>#N/A</v>
      </c>
      <c r="I935" s="105" t="s">
        <v>2310</v>
      </c>
      <c r="J935" s="93" t="s">
        <v>189</v>
      </c>
      <c r="K935" s="93">
        <v>327</v>
      </c>
      <c r="L935" s="93">
        <v>327</v>
      </c>
      <c r="M935" s="93" t="s">
        <v>2311</v>
      </c>
      <c r="N935" s="93">
        <f>VLOOKUP(B935,'[16]01.수집 카테고리(List)'!$A$2:$H$64,8,FALSE)</f>
        <v>99991231</v>
      </c>
      <c r="O935" s="93" t="s">
        <v>646</v>
      </c>
    </row>
    <row r="936" spans="1:15" hidden="1">
      <c r="A936" s="75" t="str">
        <f t="shared" si="30"/>
        <v>DEMEDIAMARKTTVsmart TVsmart TV</v>
      </c>
      <c r="B936" s="94" t="str">
        <f t="shared" si="31"/>
        <v>DE_MEDIAMARKT</v>
      </c>
      <c r="C936" s="93" t="s">
        <v>261</v>
      </c>
      <c r="D936" s="93" t="s">
        <v>264</v>
      </c>
      <c r="E936" s="93" t="s">
        <v>161</v>
      </c>
      <c r="F936" s="93" t="s">
        <v>2371</v>
      </c>
      <c r="G936" s="93" t="s">
        <v>2371</v>
      </c>
      <c r="H936" s="93" t="e">
        <v>#N/A</v>
      </c>
      <c r="I936" s="105" t="s">
        <v>2310</v>
      </c>
      <c r="J936" s="93" t="s">
        <v>189</v>
      </c>
      <c r="K936" s="93">
        <v>6050</v>
      </c>
      <c r="L936" s="93">
        <v>6050</v>
      </c>
      <c r="M936" s="93" t="s">
        <v>2311</v>
      </c>
      <c r="N936" s="93">
        <f>VLOOKUP(B936,'[16]01.수집 카테고리(List)'!$A$2:$H$64,8,FALSE)</f>
        <v>99991231</v>
      </c>
      <c r="O936" s="93" t="s">
        <v>646</v>
      </c>
    </row>
    <row r="937" spans="1:15" hidden="1">
      <c r="A937" s="75" t="str">
        <f t="shared" si="30"/>
        <v>DEMEDIAMARKTTVTVTV</v>
      </c>
      <c r="B937" s="94" t="str">
        <f t="shared" si="31"/>
        <v>DE_MEDIAMARKT</v>
      </c>
      <c r="C937" s="93" t="s">
        <v>261</v>
      </c>
      <c r="D937" s="93" t="s">
        <v>264</v>
      </c>
      <c r="E937" s="93" t="s">
        <v>161</v>
      </c>
      <c r="F937" s="93" t="s">
        <v>161</v>
      </c>
      <c r="G937" s="93" t="s">
        <v>161</v>
      </c>
      <c r="H937" s="93" t="e">
        <v>#N/A</v>
      </c>
      <c r="I937" s="105" t="s">
        <v>2310</v>
      </c>
      <c r="J937" s="93" t="s">
        <v>189</v>
      </c>
      <c r="K937" s="93">
        <v>492</v>
      </c>
      <c r="L937" s="93">
        <v>492</v>
      </c>
      <c r="M937" s="93" t="s">
        <v>2311</v>
      </c>
      <c r="N937" s="93">
        <f>VLOOKUP(B937,'[16]01.수집 카테고리(List)'!$A$2:$H$64,8,FALSE)</f>
        <v>99991231</v>
      </c>
      <c r="O937" s="93" t="s">
        <v>646</v>
      </c>
    </row>
    <row r="938" spans="1:15" hidden="1">
      <c r="A938" s="75" t="str">
        <f t="shared" si="30"/>
        <v>DEMEDIAMARKTTVuhd TVuhd TV</v>
      </c>
      <c r="B938" s="94" t="str">
        <f t="shared" si="31"/>
        <v>DE_MEDIAMARKT</v>
      </c>
      <c r="C938" s="93" t="s">
        <v>261</v>
      </c>
      <c r="D938" s="93" t="s">
        <v>264</v>
      </c>
      <c r="E938" s="93" t="s">
        <v>161</v>
      </c>
      <c r="F938" s="93" t="s">
        <v>2399</v>
      </c>
      <c r="G938" s="93" t="s">
        <v>2399</v>
      </c>
      <c r="H938" s="93" t="e">
        <v>#N/A</v>
      </c>
      <c r="I938" s="105" t="s">
        <v>2310</v>
      </c>
      <c r="J938" s="93" t="s">
        <v>189</v>
      </c>
      <c r="K938" s="93">
        <v>7101</v>
      </c>
      <c r="L938" s="93">
        <v>7101</v>
      </c>
      <c r="M938" s="93" t="s">
        <v>2311</v>
      </c>
      <c r="N938" s="93">
        <f>VLOOKUP(B938,'[16]01.수집 카테고리(List)'!$A$2:$H$64,8,FALSE)</f>
        <v>99991231</v>
      </c>
      <c r="O938" s="93" t="s">
        <v>646</v>
      </c>
    </row>
    <row r="939" spans="1:15" hidden="1">
      <c r="A939" s="75" t="str">
        <f t="shared" si="30"/>
        <v>DEMEDIAMARKTWashing Machinefront loaderFrontlader</v>
      </c>
      <c r="B939" s="94" t="str">
        <f t="shared" si="31"/>
        <v>DE_MEDIAMARKT</v>
      </c>
      <c r="C939" s="93" t="s">
        <v>261</v>
      </c>
      <c r="D939" s="93" t="s">
        <v>264</v>
      </c>
      <c r="E939" s="93" t="s">
        <v>2333</v>
      </c>
      <c r="F939" s="93" t="s">
        <v>2334</v>
      </c>
      <c r="G939" s="93" t="s">
        <v>2687</v>
      </c>
      <c r="H939" s="93" t="e">
        <v>#N/A</v>
      </c>
      <c r="I939" s="105" t="s">
        <v>2310</v>
      </c>
      <c r="J939" s="93" t="s">
        <v>189</v>
      </c>
      <c r="K939" s="93">
        <v>548</v>
      </c>
      <c r="L939" s="93" t="e">
        <v>#N/A</v>
      </c>
      <c r="M939" s="93" t="s">
        <v>2311</v>
      </c>
      <c r="N939" s="93">
        <f>VLOOKUP(B939,'[16]01.수집 카테고리(List)'!$A$2:$H$64,8,FALSE)</f>
        <v>99991231</v>
      </c>
      <c r="O939" s="93" t="s">
        <v>646</v>
      </c>
    </row>
    <row r="940" spans="1:15" hidden="1">
      <c r="A940" s="75" t="str">
        <f t="shared" si="30"/>
        <v>DEMEDIAMARKTWashing Machinewashing machineWaschmaschine</v>
      </c>
      <c r="B940" s="94" t="str">
        <f t="shared" si="31"/>
        <v>DE_MEDIAMARKT</v>
      </c>
      <c r="C940" s="93" t="s">
        <v>261</v>
      </c>
      <c r="D940" s="93" t="s">
        <v>264</v>
      </c>
      <c r="E940" s="93" t="s">
        <v>2333</v>
      </c>
      <c r="F940" s="93" t="s">
        <v>2340</v>
      </c>
      <c r="G940" s="93" t="s">
        <v>2688</v>
      </c>
      <c r="H940" s="93" t="e">
        <v>#N/A</v>
      </c>
      <c r="I940" s="105" t="s">
        <v>2310</v>
      </c>
      <c r="J940" s="93" t="s">
        <v>189</v>
      </c>
      <c r="K940" s="93">
        <v>588</v>
      </c>
      <c r="L940" s="93" t="e">
        <v>#N/A</v>
      </c>
      <c r="M940" s="93" t="s">
        <v>2311</v>
      </c>
      <c r="N940" s="93">
        <f>VLOOKUP(B940,'[16]01.수집 카테고리(List)'!$A$2:$H$64,8,FALSE)</f>
        <v>99991231</v>
      </c>
      <c r="O940" s="93" t="s">
        <v>646</v>
      </c>
    </row>
    <row r="941" spans="1:15" hidden="1">
      <c r="A941" s="75" t="str">
        <f t="shared" si="30"/>
        <v>DEMEDIAMARKTWashing Machinewasher dryer comboWaschtrockner</v>
      </c>
      <c r="B941" s="94" t="str">
        <f t="shared" si="31"/>
        <v>DE_MEDIAMARKT</v>
      </c>
      <c r="C941" s="93" t="s">
        <v>261</v>
      </c>
      <c r="D941" s="93" t="s">
        <v>264</v>
      </c>
      <c r="E941" s="93" t="s">
        <v>2333</v>
      </c>
      <c r="F941" s="93" t="s">
        <v>2338</v>
      </c>
      <c r="G941" s="93" t="s">
        <v>2406</v>
      </c>
      <c r="H941" s="93" t="e">
        <v>#N/A</v>
      </c>
      <c r="I941" s="105" t="s">
        <v>2310</v>
      </c>
      <c r="J941" s="93" t="s">
        <v>189</v>
      </c>
      <c r="K941" s="93">
        <v>116</v>
      </c>
      <c r="L941" s="93" t="e">
        <v>#N/A</v>
      </c>
      <c r="M941" s="93" t="s">
        <v>2311</v>
      </c>
      <c r="N941" s="93">
        <f>VLOOKUP(B941,'[16]01.수집 카테고리(List)'!$A$2:$H$64,8,FALSE)</f>
        <v>99991231</v>
      </c>
      <c r="O941" s="93" t="s">
        <v>646</v>
      </c>
    </row>
    <row r="942" spans="1:15" hidden="1">
      <c r="A942" s="75" t="str">
        <f t="shared" si="30"/>
        <v>DEMEDIAMARKTWireless HeadsetBluetooth HeadphonesBluetooth Kopfhörer</v>
      </c>
      <c r="B942" s="94" t="str">
        <f t="shared" si="31"/>
        <v>DE_MEDIAMARKT</v>
      </c>
      <c r="C942" s="93" t="s">
        <v>261</v>
      </c>
      <c r="D942" s="93" t="s">
        <v>264</v>
      </c>
      <c r="E942" s="93" t="s">
        <v>2373</v>
      </c>
      <c r="F942" s="93" t="s">
        <v>2533</v>
      </c>
      <c r="G942" s="93" t="s">
        <v>2689</v>
      </c>
      <c r="H942" s="93" t="e">
        <v>#N/A</v>
      </c>
      <c r="I942" s="105" t="s">
        <v>2310</v>
      </c>
      <c r="J942" s="93" t="s">
        <v>189</v>
      </c>
      <c r="K942" s="93">
        <v>1419</v>
      </c>
      <c r="L942" s="93" t="e">
        <v>#N/A</v>
      </c>
      <c r="M942" s="93" t="s">
        <v>2311</v>
      </c>
      <c r="N942" s="93">
        <f>VLOOKUP(B942,'[16]01.수집 카테고리(List)'!$A$2:$H$64,8,FALSE)</f>
        <v>99991231</v>
      </c>
      <c r="O942" s="93" t="s">
        <v>646</v>
      </c>
    </row>
    <row r="943" spans="1:15" hidden="1">
      <c r="A943" s="75" t="str">
        <f t="shared" si="30"/>
        <v>DEMEDIAMARKTWireless HeadsetIn ear headphonesIn ear Kopfhörer</v>
      </c>
      <c r="B943" s="94" t="str">
        <f t="shared" si="31"/>
        <v>DE_MEDIAMARKT</v>
      </c>
      <c r="C943" s="93" t="s">
        <v>261</v>
      </c>
      <c r="D943" s="93" t="s">
        <v>264</v>
      </c>
      <c r="E943" s="93" t="s">
        <v>2373</v>
      </c>
      <c r="F943" s="93" t="s">
        <v>2690</v>
      </c>
      <c r="G943" s="93" t="s">
        <v>2691</v>
      </c>
      <c r="H943" s="93" t="e">
        <v>#N/A</v>
      </c>
      <c r="I943" s="105" t="s">
        <v>2310</v>
      </c>
      <c r="J943" s="93" t="s">
        <v>189</v>
      </c>
      <c r="K943" s="93">
        <v>630</v>
      </c>
      <c r="L943" s="93" t="e">
        <v>#N/A</v>
      </c>
      <c r="M943" s="93" t="s">
        <v>2311</v>
      </c>
      <c r="N943" s="93">
        <f>VLOOKUP(B943,'[16]01.수집 카테고리(List)'!$A$2:$H$64,8,FALSE)</f>
        <v>99991231</v>
      </c>
      <c r="O943" s="93" t="s">
        <v>646</v>
      </c>
    </row>
    <row r="944" spans="1:15" hidden="1">
      <c r="A944" s="75" t="str">
        <f t="shared" si="30"/>
        <v>DEMEDIAMARKTWireless Headsetsports headphonesSport Kopfhörer</v>
      </c>
      <c r="B944" s="94" t="str">
        <f t="shared" si="31"/>
        <v>DE_MEDIAMARKT</v>
      </c>
      <c r="C944" s="93" t="s">
        <v>261</v>
      </c>
      <c r="D944" s="93" t="s">
        <v>264</v>
      </c>
      <c r="E944" s="93" t="s">
        <v>2373</v>
      </c>
      <c r="F944" s="93" t="s">
        <v>2692</v>
      </c>
      <c r="G944" s="93" t="s">
        <v>2693</v>
      </c>
      <c r="H944" s="93" t="e">
        <v>#N/A</v>
      </c>
      <c r="I944" s="105" t="s">
        <v>2310</v>
      </c>
      <c r="J944" s="93" t="s">
        <v>189</v>
      </c>
      <c r="K944" s="93">
        <v>369</v>
      </c>
      <c r="L944" s="93" t="e">
        <v>#N/A</v>
      </c>
      <c r="M944" s="93" t="s">
        <v>2311</v>
      </c>
      <c r="N944" s="93">
        <f>VLOOKUP(B944,'[16]01.수집 카테고리(List)'!$A$2:$H$64,8,FALSE)</f>
        <v>99991231</v>
      </c>
      <c r="O944" s="93" t="s">
        <v>646</v>
      </c>
    </row>
    <row r="945" spans="1:15" hidden="1">
      <c r="A945" s="75" t="str">
        <f t="shared" si="30"/>
        <v>DEMEDIAMARKTWIRELESS HEADSETEarbudsOhrhörer</v>
      </c>
      <c r="B945" s="94" t="str">
        <f t="shared" si="31"/>
        <v>DE_MEDIAMARKT</v>
      </c>
      <c r="C945" s="93" t="s">
        <v>261</v>
      </c>
      <c r="D945" s="93" t="s">
        <v>264</v>
      </c>
      <c r="E945" s="93" t="s">
        <v>2201</v>
      </c>
      <c r="F945" s="93" t="s">
        <v>2534</v>
      </c>
      <c r="G945" s="93" t="s">
        <v>2694</v>
      </c>
      <c r="H945" s="93" t="e">
        <v>#N/A</v>
      </c>
      <c r="I945" s="105" t="s">
        <v>2310</v>
      </c>
      <c r="J945" s="93" t="s">
        <v>189</v>
      </c>
      <c r="K945" s="93">
        <v>459</v>
      </c>
      <c r="L945" s="93" t="e">
        <v>#N/A</v>
      </c>
      <c r="M945" s="93" t="s">
        <v>2311</v>
      </c>
      <c r="N945" s="93">
        <f>VLOOKUP(B945,'[16]01.수집 카테고리(List)'!$A$2:$H$64,8,FALSE)</f>
        <v>99991231</v>
      </c>
      <c r="O945" s="93" t="s">
        <v>646</v>
      </c>
    </row>
    <row r="946" spans="1:15" s="81" customFormat="1" hidden="1">
      <c r="A946" s="81" t="str">
        <f t="shared" si="30"/>
        <v>DEMEDIAMARKTAir Conditionerwindow inverter air conditionerklimaanlage</v>
      </c>
      <c r="B946" s="106" t="str">
        <f t="shared" si="31"/>
        <v>DE_MEDIAMARKT</v>
      </c>
      <c r="C946" s="107" t="s">
        <v>259</v>
      </c>
      <c r="D946" s="107" t="s">
        <v>264</v>
      </c>
      <c r="E946" s="107" t="s">
        <v>2524</v>
      </c>
      <c r="F946" s="107" t="s">
        <v>2424</v>
      </c>
      <c r="G946" s="107" t="s">
        <v>2695</v>
      </c>
      <c r="H946" s="93" t="e">
        <v>#N/A</v>
      </c>
      <c r="I946" s="99">
        <v>46076</v>
      </c>
      <c r="J946" s="83" t="s">
        <v>189</v>
      </c>
      <c r="K946" s="107"/>
      <c r="L946" s="107"/>
      <c r="M946" s="107"/>
      <c r="N946" s="107"/>
      <c r="O946" s="107"/>
    </row>
    <row r="947" spans="1:15" s="108" customFormat="1" hidden="1">
      <c r="A947" s="108" t="str">
        <f t="shared" si="30"/>
        <v>DEMEDIAMARKTDryerDryerTørretumbler</v>
      </c>
      <c r="B947" s="109" t="str">
        <f t="shared" si="31"/>
        <v>DE_MEDIAMARKT</v>
      </c>
      <c r="C947" s="110" t="s">
        <v>261</v>
      </c>
      <c r="D947" s="110" t="s">
        <v>264</v>
      </c>
      <c r="E947" s="110" t="s">
        <v>2535</v>
      </c>
      <c r="F947" s="110" t="s">
        <v>2431</v>
      </c>
      <c r="G947" s="110" t="s">
        <v>2696</v>
      </c>
      <c r="H947" s="93" t="e">
        <v>#N/A</v>
      </c>
      <c r="I947" s="99">
        <v>46076</v>
      </c>
      <c r="J947" s="83" t="s">
        <v>189</v>
      </c>
      <c r="K947" s="110"/>
      <c r="L947" s="110"/>
      <c r="M947" s="110"/>
      <c r="N947" s="110"/>
      <c r="O947" s="110"/>
    </row>
    <row r="948" spans="1:15" hidden="1">
      <c r="A948" s="75" t="str">
        <f t="shared" si="30"/>
        <v>DEOTTOBluetooth Speakerbluetooth speakerBluetooth Lautsprecher</v>
      </c>
      <c r="B948" s="94" t="str">
        <f t="shared" si="31"/>
        <v>DE_OTTO</v>
      </c>
      <c r="C948" s="93" t="s">
        <v>261</v>
      </c>
      <c r="D948" s="93" t="s">
        <v>266</v>
      </c>
      <c r="E948" s="93" t="s">
        <v>2307</v>
      </c>
      <c r="F948" s="93" t="s">
        <v>2657</v>
      </c>
      <c r="G948" s="93" t="s">
        <v>2658</v>
      </c>
      <c r="H948" s="93" t="e">
        <v>#N/A</v>
      </c>
      <c r="I948" s="105" t="s">
        <v>2310</v>
      </c>
      <c r="J948" s="93" t="s">
        <v>189</v>
      </c>
      <c r="K948" s="93">
        <v>5753</v>
      </c>
      <c r="L948" s="93" t="e">
        <v>#N/A</v>
      </c>
      <c r="M948" s="93" t="s">
        <v>2311</v>
      </c>
      <c r="N948" s="93">
        <f>VLOOKUP(B948,'[16]01.수집 카테고리(List)'!$A$2:$H$64,8,FALSE)</f>
        <v>99991231</v>
      </c>
      <c r="O948" s="93" t="s">
        <v>646</v>
      </c>
    </row>
    <row r="949" spans="1:15" hidden="1">
      <c r="A949" s="75" t="str">
        <f t="shared" si="30"/>
        <v>DEOTTOBluetooth SpeakerspeakersLautsprecher</v>
      </c>
      <c r="B949" s="94" t="str">
        <f t="shared" si="31"/>
        <v>DE_OTTO</v>
      </c>
      <c r="C949" s="93" t="s">
        <v>261</v>
      </c>
      <c r="D949" s="93" t="s">
        <v>266</v>
      </c>
      <c r="E949" s="93" t="s">
        <v>2307</v>
      </c>
      <c r="F949" s="93" t="s">
        <v>2471</v>
      </c>
      <c r="G949" s="93" t="s">
        <v>2659</v>
      </c>
      <c r="H949" s="93" t="e">
        <v>#N/A</v>
      </c>
      <c r="I949" s="105" t="s">
        <v>2310</v>
      </c>
      <c r="J949" s="93" t="s">
        <v>189</v>
      </c>
      <c r="K949" s="93">
        <v>11094</v>
      </c>
      <c r="L949" s="93" t="e">
        <v>#N/A</v>
      </c>
      <c r="M949" s="93" t="s">
        <v>2311</v>
      </c>
      <c r="N949" s="93">
        <f>VLOOKUP(B949,'[16]01.수집 카테고리(List)'!$A$2:$H$64,8,FALSE)</f>
        <v>99991231</v>
      </c>
      <c r="O949" s="93" t="s">
        <v>646</v>
      </c>
    </row>
    <row r="950" spans="1:15" hidden="1">
      <c r="A950" s="75" t="str">
        <f t="shared" si="30"/>
        <v>DEOTTOBluetooth Speakerportable speakerstragbare Lautsprecher</v>
      </c>
      <c r="B950" s="94" t="str">
        <f t="shared" si="31"/>
        <v>DE_OTTO</v>
      </c>
      <c r="C950" s="93" t="s">
        <v>261</v>
      </c>
      <c r="D950" s="93" t="s">
        <v>266</v>
      </c>
      <c r="E950" s="93" t="s">
        <v>2307</v>
      </c>
      <c r="F950" s="93" t="s">
        <v>2473</v>
      </c>
      <c r="G950" s="93" t="s">
        <v>2660</v>
      </c>
      <c r="H950" s="93" t="e">
        <v>#N/A</v>
      </c>
      <c r="I950" s="105" t="s">
        <v>2310</v>
      </c>
      <c r="J950" s="93" t="s">
        <v>189</v>
      </c>
      <c r="K950" s="93">
        <v>748</v>
      </c>
      <c r="L950" s="93" t="e">
        <v>#N/A</v>
      </c>
      <c r="M950" s="93" t="s">
        <v>2311</v>
      </c>
      <c r="N950" s="93">
        <f>VLOOKUP(B950,'[16]01.수집 카테고리(List)'!$A$2:$H$64,8,FALSE)</f>
        <v>99991231</v>
      </c>
      <c r="O950" s="93" t="s">
        <v>646</v>
      </c>
    </row>
    <row r="951" spans="1:15" hidden="1">
      <c r="A951" s="75" t="str">
        <f t="shared" si="30"/>
        <v>DEOTTOBluetooth SpeakerPortable bluetooth speakerTragbarer bluetooth lautsprecher</v>
      </c>
      <c r="B951" s="94" t="str">
        <f t="shared" si="31"/>
        <v>DE_OTTO</v>
      </c>
      <c r="C951" s="93" t="s">
        <v>261</v>
      </c>
      <c r="D951" s="93" t="s">
        <v>266</v>
      </c>
      <c r="E951" s="93" t="s">
        <v>2307</v>
      </c>
      <c r="F951" s="93" t="s">
        <v>2312</v>
      </c>
      <c r="G951" s="93" t="s">
        <v>2661</v>
      </c>
      <c r="H951" s="93" t="e">
        <v>#N/A</v>
      </c>
      <c r="I951" s="105" t="s">
        <v>2310</v>
      </c>
      <c r="J951" s="93" t="s">
        <v>189</v>
      </c>
      <c r="K951" s="93">
        <v>1180</v>
      </c>
      <c r="L951" s="93" t="e">
        <v>#N/A</v>
      </c>
      <c r="M951" s="93" t="s">
        <v>2311</v>
      </c>
      <c r="N951" s="93">
        <f>VLOOKUP(B951,'[16]01.수집 카테고리(List)'!$A$2:$H$64,8,FALSE)</f>
        <v>99991231</v>
      </c>
      <c r="O951" s="93" t="s">
        <v>646</v>
      </c>
    </row>
    <row r="952" spans="1:15" hidden="1">
      <c r="A952" s="75" t="str">
        <f t="shared" si="30"/>
        <v>DEOTTOLaptopLaptopLaptop</v>
      </c>
      <c r="B952" s="94" t="str">
        <f t="shared" si="31"/>
        <v>DE_OTTO</v>
      </c>
      <c r="C952" s="93" t="s">
        <v>261</v>
      </c>
      <c r="D952" s="93" t="s">
        <v>266</v>
      </c>
      <c r="E952" s="93" t="s">
        <v>2407</v>
      </c>
      <c r="F952" s="93" t="s">
        <v>2407</v>
      </c>
      <c r="G952" s="93" t="s">
        <v>2407</v>
      </c>
      <c r="H952" s="93" t="e">
        <v>#N/A</v>
      </c>
      <c r="I952" s="105" t="s">
        <v>2310</v>
      </c>
      <c r="J952" s="93" t="s">
        <v>189</v>
      </c>
      <c r="K952" s="93">
        <v>14952</v>
      </c>
      <c r="L952" s="93">
        <v>14952</v>
      </c>
      <c r="M952" s="93" t="s">
        <v>2311</v>
      </c>
      <c r="N952" s="93">
        <f>VLOOKUP(B952,'[16]01.수집 카테고리(List)'!$A$2:$H$64,8,FALSE)</f>
        <v>99991231</v>
      </c>
      <c r="O952" s="93" t="s">
        <v>646</v>
      </c>
    </row>
    <row r="953" spans="1:15" hidden="1">
      <c r="A953" s="75" t="str">
        <f t="shared" si="30"/>
        <v>DEOTTOLaptoplightweight Laptopleichtes Laptop</v>
      </c>
      <c r="B953" s="94" t="str">
        <f t="shared" si="31"/>
        <v>DE_OTTO</v>
      </c>
      <c r="C953" s="93" t="s">
        <v>261</v>
      </c>
      <c r="D953" s="93" t="s">
        <v>266</v>
      </c>
      <c r="E953" s="93" t="s">
        <v>2407</v>
      </c>
      <c r="F953" s="93" t="s">
        <v>2662</v>
      </c>
      <c r="G953" s="93" t="s">
        <v>2663</v>
      </c>
      <c r="H953" s="93" t="e">
        <v>#N/A</v>
      </c>
      <c r="I953" s="105" t="s">
        <v>2310</v>
      </c>
      <c r="J953" s="93" t="s">
        <v>189</v>
      </c>
      <c r="K953" s="93">
        <v>732</v>
      </c>
      <c r="L953" s="93" t="e">
        <v>#N/A</v>
      </c>
      <c r="M953" s="93" t="s">
        <v>2311</v>
      </c>
      <c r="N953" s="93">
        <f>VLOOKUP(B953,'[16]01.수집 카테고리(List)'!$A$2:$H$64,8,FALSE)</f>
        <v>99991231</v>
      </c>
      <c r="O953" s="93" t="s">
        <v>646</v>
      </c>
    </row>
    <row r="954" spans="1:15" hidden="1">
      <c r="A954" s="75" t="str">
        <f t="shared" si="30"/>
        <v>DEOTTOLaptopNotebookNotebook</v>
      </c>
      <c r="B954" s="94" t="str">
        <f t="shared" si="31"/>
        <v>DE_OTTO</v>
      </c>
      <c r="C954" s="93" t="s">
        <v>261</v>
      </c>
      <c r="D954" s="93" t="s">
        <v>266</v>
      </c>
      <c r="E954" s="93" t="s">
        <v>2407</v>
      </c>
      <c r="F954" s="93" t="s">
        <v>2664</v>
      </c>
      <c r="G954" s="93" t="s">
        <v>2664</v>
      </c>
      <c r="H954" s="93" t="e">
        <v>#N/A</v>
      </c>
      <c r="I954" s="105" t="s">
        <v>2310</v>
      </c>
      <c r="J954" s="93" t="s">
        <v>189</v>
      </c>
      <c r="K954" s="93">
        <v>14562</v>
      </c>
      <c r="L954" s="93">
        <v>14562</v>
      </c>
      <c r="M954" s="93" t="s">
        <v>2311</v>
      </c>
      <c r="N954" s="93">
        <f>VLOOKUP(B954,'[16]01.수집 카테고리(List)'!$A$2:$H$64,8,FALSE)</f>
        <v>99991231</v>
      </c>
      <c r="O954" s="93" t="s">
        <v>646</v>
      </c>
    </row>
    <row r="955" spans="1:15" hidden="1">
      <c r="A955" s="75" t="str">
        <f t="shared" si="30"/>
        <v>DEOTTOLaptopUltrabookUltrabook</v>
      </c>
      <c r="B955" s="94" t="str">
        <f t="shared" si="31"/>
        <v>DE_OTTO</v>
      </c>
      <c r="C955" s="93" t="s">
        <v>261</v>
      </c>
      <c r="D955" s="93" t="s">
        <v>266</v>
      </c>
      <c r="E955" s="93" t="s">
        <v>2407</v>
      </c>
      <c r="F955" s="93" t="s">
        <v>2665</v>
      </c>
      <c r="G955" s="93" t="s">
        <v>2665</v>
      </c>
      <c r="H955" s="93" t="e">
        <v>#N/A</v>
      </c>
      <c r="I955" s="105" t="s">
        <v>2310</v>
      </c>
      <c r="J955" s="93" t="s">
        <v>189</v>
      </c>
      <c r="K955" s="93">
        <v>1168</v>
      </c>
      <c r="L955" s="93">
        <v>1168</v>
      </c>
      <c r="M955" s="93" t="s">
        <v>2311</v>
      </c>
      <c r="N955" s="93">
        <f>VLOOKUP(B955,'[16]01.수집 카테고리(List)'!$A$2:$H$64,8,FALSE)</f>
        <v>99991231</v>
      </c>
      <c r="O955" s="93" t="s">
        <v>646</v>
      </c>
    </row>
    <row r="956" spans="1:15" hidden="1">
      <c r="A956" s="75" t="str">
        <f t="shared" si="30"/>
        <v>DEOTTOMonitorultrawide monitor21:9 monitore</v>
      </c>
      <c r="B956" s="94" t="str">
        <f t="shared" si="31"/>
        <v>DE_OTTO</v>
      </c>
      <c r="C956" s="93" t="s">
        <v>261</v>
      </c>
      <c r="D956" s="93" t="s">
        <v>266</v>
      </c>
      <c r="E956" s="93" t="s">
        <v>2320</v>
      </c>
      <c r="F956" s="93" t="s">
        <v>2325</v>
      </c>
      <c r="G956" s="93" t="s">
        <v>2666</v>
      </c>
      <c r="H956" s="93" t="e">
        <v>#N/A</v>
      </c>
      <c r="I956" s="105" t="s">
        <v>2310</v>
      </c>
      <c r="J956" s="93" t="s">
        <v>189</v>
      </c>
      <c r="K956" s="93">
        <v>176</v>
      </c>
      <c r="L956" s="93" t="e">
        <v>#N/A</v>
      </c>
      <c r="M956" s="93" t="s">
        <v>2311</v>
      </c>
      <c r="N956" s="93">
        <f>VLOOKUP(B956,'[16]01.수집 카테고리(List)'!$A$2:$H$64,8,FALSE)</f>
        <v>99991231</v>
      </c>
      <c r="O956" s="93" t="s">
        <v>646</v>
      </c>
    </row>
    <row r="957" spans="1:15" hidden="1">
      <c r="A957" s="75" t="str">
        <f t="shared" si="30"/>
        <v>DEOTTOMonitor4k monitor4K monitore</v>
      </c>
      <c r="B957" s="94" t="str">
        <f t="shared" si="31"/>
        <v>DE_OTTO</v>
      </c>
      <c r="C957" s="93" t="s">
        <v>261</v>
      </c>
      <c r="D957" s="93" t="s">
        <v>266</v>
      </c>
      <c r="E957" s="93" t="s">
        <v>2320</v>
      </c>
      <c r="F957" s="93" t="s">
        <v>2321</v>
      </c>
      <c r="G957" s="93" t="s">
        <v>2667</v>
      </c>
      <c r="H957" s="93" t="e">
        <v>#N/A</v>
      </c>
      <c r="I957" s="105" t="s">
        <v>2310</v>
      </c>
      <c r="J957" s="93" t="s">
        <v>189</v>
      </c>
      <c r="K957" s="93">
        <v>189</v>
      </c>
      <c r="L957" s="93" t="e">
        <v>#N/A</v>
      </c>
      <c r="M957" s="93" t="s">
        <v>2311</v>
      </c>
      <c r="N957" s="93">
        <f>VLOOKUP(B957,'[16]01.수집 카테고리(List)'!$A$2:$H$64,8,FALSE)</f>
        <v>99991231</v>
      </c>
      <c r="O957" s="93" t="s">
        <v>646</v>
      </c>
    </row>
    <row r="958" spans="1:15" hidden="1">
      <c r="A958" s="75" t="str">
        <f t="shared" si="30"/>
        <v>DEOTTOMonitorgaming monitorgaming monitore</v>
      </c>
      <c r="B958" s="94" t="str">
        <f t="shared" si="31"/>
        <v>DE_OTTO</v>
      </c>
      <c r="C958" s="93" t="s">
        <v>261</v>
      </c>
      <c r="D958" s="93" t="s">
        <v>266</v>
      </c>
      <c r="E958" s="93" t="s">
        <v>2320</v>
      </c>
      <c r="F958" s="93" t="s">
        <v>2322</v>
      </c>
      <c r="G958" s="93" t="s">
        <v>2668</v>
      </c>
      <c r="H958" s="93" t="e">
        <v>#N/A</v>
      </c>
      <c r="I958" s="105" t="s">
        <v>2310</v>
      </c>
      <c r="J958" s="93" t="s">
        <v>189</v>
      </c>
      <c r="K958" s="93">
        <v>897</v>
      </c>
      <c r="L958" s="93" t="e">
        <v>#N/A</v>
      </c>
      <c r="M958" s="93" t="s">
        <v>2311</v>
      </c>
      <c r="N958" s="93">
        <f>VLOOKUP(B958,'[16]01.수집 카테고리(List)'!$A$2:$H$64,8,FALSE)</f>
        <v>99991231</v>
      </c>
      <c r="O958" s="93" t="s">
        <v>646</v>
      </c>
    </row>
    <row r="959" spans="1:15" hidden="1">
      <c r="A959" s="75" t="str">
        <f t="shared" si="30"/>
        <v>DEOTTOMonitorMonitor Full HDMonitor Full HD</v>
      </c>
      <c r="B959" s="94" t="str">
        <f t="shared" si="31"/>
        <v>DE_OTTO</v>
      </c>
      <c r="C959" s="93" t="s">
        <v>261</v>
      </c>
      <c r="D959" s="93" t="s">
        <v>266</v>
      </c>
      <c r="E959" s="93" t="s">
        <v>2320</v>
      </c>
      <c r="F959" s="93" t="s">
        <v>2669</v>
      </c>
      <c r="G959" s="93" t="s">
        <v>2669</v>
      </c>
      <c r="H959" s="93" t="e">
        <v>#N/A</v>
      </c>
      <c r="I959" s="105" t="s">
        <v>2310</v>
      </c>
      <c r="J959" s="93" t="s">
        <v>189</v>
      </c>
      <c r="K959" s="93">
        <v>1807</v>
      </c>
      <c r="L959" s="93">
        <v>1807</v>
      </c>
      <c r="M959" s="93" t="s">
        <v>2311</v>
      </c>
      <c r="N959" s="93">
        <f>VLOOKUP(B959,'[16]01.수집 카테고리(List)'!$A$2:$H$64,8,FALSE)</f>
        <v>99991231</v>
      </c>
      <c r="O959" s="93" t="s">
        <v>646</v>
      </c>
    </row>
    <row r="960" spans="1:15" hidden="1">
      <c r="A960" s="75" t="str">
        <f t="shared" si="30"/>
        <v>DEOTTOMonitorMonitor GamingMonitor Gaming</v>
      </c>
      <c r="B960" s="94" t="str">
        <f t="shared" si="31"/>
        <v>DE_OTTO</v>
      </c>
      <c r="C960" s="93" t="s">
        <v>261</v>
      </c>
      <c r="D960" s="93" t="s">
        <v>266</v>
      </c>
      <c r="E960" s="93" t="s">
        <v>2320</v>
      </c>
      <c r="F960" s="93" t="s">
        <v>2670</v>
      </c>
      <c r="G960" s="93" t="s">
        <v>2670</v>
      </c>
      <c r="H960" s="93" t="e">
        <v>#N/A</v>
      </c>
      <c r="I960" s="105" t="s">
        <v>2310</v>
      </c>
      <c r="J960" s="93" t="s">
        <v>189</v>
      </c>
      <c r="K960" s="93">
        <v>891</v>
      </c>
      <c r="L960" s="93">
        <v>891</v>
      </c>
      <c r="M960" s="93" t="s">
        <v>2311</v>
      </c>
      <c r="N960" s="93">
        <f>VLOOKUP(B960,'[16]01.수집 카테고리(List)'!$A$2:$H$64,8,FALSE)</f>
        <v>99991231</v>
      </c>
      <c r="O960" s="93" t="s">
        <v>646</v>
      </c>
    </row>
    <row r="961" spans="1:15" hidden="1">
      <c r="A961" s="75" t="str">
        <f t="shared" si="30"/>
        <v>DEOTTOMonitorMonitor PCMonitor PC</v>
      </c>
      <c r="B961" s="94" t="str">
        <f t="shared" si="31"/>
        <v>DE_OTTO</v>
      </c>
      <c r="C961" s="93" t="s">
        <v>261</v>
      </c>
      <c r="D961" s="93" t="s">
        <v>266</v>
      </c>
      <c r="E961" s="93" t="s">
        <v>2320</v>
      </c>
      <c r="F961" s="93" t="s">
        <v>2671</v>
      </c>
      <c r="G961" s="93" t="s">
        <v>2671</v>
      </c>
      <c r="H961" s="93" t="e">
        <v>#N/A</v>
      </c>
      <c r="I961" s="105" t="s">
        <v>2310</v>
      </c>
      <c r="J961" s="93" t="s">
        <v>189</v>
      </c>
      <c r="K961" s="93">
        <v>2800</v>
      </c>
      <c r="L961" s="93">
        <v>2800</v>
      </c>
      <c r="M961" s="93" t="s">
        <v>2311</v>
      </c>
      <c r="N961" s="93">
        <f>VLOOKUP(B961,'[16]01.수집 카테고리(List)'!$A$2:$H$64,8,FALSE)</f>
        <v>99991231</v>
      </c>
      <c r="O961" s="93" t="s">
        <v>646</v>
      </c>
    </row>
    <row r="962" spans="1:15" hidden="1">
      <c r="A962" s="75" t="str">
        <f t="shared" si="30"/>
        <v>DEOTTOMonitorMonitor Ultra HDMonitor Ultra HD</v>
      </c>
      <c r="B962" s="94" t="str">
        <f t="shared" si="31"/>
        <v>DE_OTTO</v>
      </c>
      <c r="C962" s="93" t="s">
        <v>261</v>
      </c>
      <c r="D962" s="93" t="s">
        <v>266</v>
      </c>
      <c r="E962" s="93" t="s">
        <v>2320</v>
      </c>
      <c r="F962" s="93" t="s">
        <v>2672</v>
      </c>
      <c r="G962" s="93" t="s">
        <v>2672</v>
      </c>
      <c r="H962" s="93" t="e">
        <v>#N/A</v>
      </c>
      <c r="I962" s="105" t="s">
        <v>2310</v>
      </c>
      <c r="J962" s="93" t="s">
        <v>189</v>
      </c>
      <c r="K962" s="93">
        <v>1068</v>
      </c>
      <c r="L962" s="93">
        <v>1068</v>
      </c>
      <c r="M962" s="93" t="s">
        <v>2311</v>
      </c>
      <c r="N962" s="93">
        <f>VLOOKUP(B962,'[16]01.수집 카테고리(List)'!$A$2:$H$64,8,FALSE)</f>
        <v>99991231</v>
      </c>
      <c r="O962" s="93" t="s">
        <v>646</v>
      </c>
    </row>
    <row r="963" spans="1:15" hidden="1">
      <c r="A963" s="75" t="str">
        <f t="shared" si="30"/>
        <v>DEOTTOMonitorMonitor Ultra WideMonitor Ultra Wide</v>
      </c>
      <c r="B963" s="94" t="str">
        <f t="shared" si="31"/>
        <v>DE_OTTO</v>
      </c>
      <c r="C963" s="93" t="s">
        <v>261</v>
      </c>
      <c r="D963" s="93" t="s">
        <v>266</v>
      </c>
      <c r="E963" s="93" t="s">
        <v>2320</v>
      </c>
      <c r="F963" s="93" t="s">
        <v>2673</v>
      </c>
      <c r="G963" s="93" t="s">
        <v>2673</v>
      </c>
      <c r="H963" s="93" t="e">
        <v>#N/A</v>
      </c>
      <c r="I963" s="105" t="s">
        <v>2310</v>
      </c>
      <c r="J963" s="93" t="s">
        <v>189</v>
      </c>
      <c r="K963" s="93">
        <v>271</v>
      </c>
      <c r="L963" s="93">
        <v>271</v>
      </c>
      <c r="M963" s="93" t="s">
        <v>2311</v>
      </c>
      <c r="N963" s="93">
        <f>VLOOKUP(B963,'[16]01.수집 카테고리(List)'!$A$2:$H$64,8,FALSE)</f>
        <v>99991231</v>
      </c>
      <c r="O963" s="93" t="s">
        <v>646</v>
      </c>
    </row>
    <row r="964" spans="1:15" hidden="1">
      <c r="A964" s="75" t="str">
        <f t="shared" si="30"/>
        <v>DEOTTOMonitormonitormonitore</v>
      </c>
      <c r="B964" s="94" t="str">
        <f t="shared" si="31"/>
        <v>DE_OTTO</v>
      </c>
      <c r="C964" s="93" t="s">
        <v>261</v>
      </c>
      <c r="D964" s="93" t="s">
        <v>266</v>
      </c>
      <c r="E964" s="93" t="s">
        <v>2320</v>
      </c>
      <c r="F964" s="93" t="s">
        <v>2323</v>
      </c>
      <c r="G964" s="93" t="s">
        <v>2674</v>
      </c>
      <c r="H964" s="93" t="e">
        <v>#N/A</v>
      </c>
      <c r="I964" s="105" t="s">
        <v>2310</v>
      </c>
      <c r="J964" s="93" t="s">
        <v>189</v>
      </c>
      <c r="K964" s="93">
        <v>2753</v>
      </c>
      <c r="L964" s="93" t="e">
        <v>#N/A</v>
      </c>
      <c r="M964" s="93" t="s">
        <v>2311</v>
      </c>
      <c r="N964" s="93">
        <f>VLOOKUP(B964,'[16]01.수집 카테고리(List)'!$A$2:$H$64,8,FALSE)</f>
        <v>99991231</v>
      </c>
      <c r="O964" s="93" t="s">
        <v>646</v>
      </c>
    </row>
    <row r="965" spans="1:15" hidden="1">
      <c r="A965" s="75" t="str">
        <f t="shared" si="30"/>
        <v>DEOTTOMonitoruhd monitorUHD monitore</v>
      </c>
      <c r="B965" s="94" t="str">
        <f t="shared" si="31"/>
        <v>DE_OTTO</v>
      </c>
      <c r="C965" s="93" t="s">
        <v>261</v>
      </c>
      <c r="D965" s="93" t="s">
        <v>266</v>
      </c>
      <c r="E965" s="93" t="s">
        <v>2320</v>
      </c>
      <c r="F965" s="93" t="s">
        <v>2324</v>
      </c>
      <c r="G965" s="93" t="s">
        <v>2675</v>
      </c>
      <c r="H965" s="93" t="e">
        <v>#N/A</v>
      </c>
      <c r="I965" s="105" t="s">
        <v>2310</v>
      </c>
      <c r="J965" s="93" t="s">
        <v>189</v>
      </c>
      <c r="K965" s="93">
        <v>287</v>
      </c>
      <c r="L965" s="93" t="e">
        <v>#N/A</v>
      </c>
      <c r="M965" s="93" t="s">
        <v>2311</v>
      </c>
      <c r="N965" s="93">
        <f>VLOOKUP(B965,'[16]01.수집 카테고리(List)'!$A$2:$H$64,8,FALSE)</f>
        <v>99991231</v>
      </c>
      <c r="O965" s="93" t="s">
        <v>646</v>
      </c>
    </row>
    <row r="966" spans="1:15" hidden="1">
      <c r="A966" s="75" t="str">
        <f t="shared" si="30"/>
        <v>DEOTTOOVENSlide-in RangeEinschiebbarer Gasherd</v>
      </c>
      <c r="B966" s="94" t="str">
        <f t="shared" si="31"/>
        <v>DE_OTTO</v>
      </c>
      <c r="C966" s="93" t="s">
        <v>261</v>
      </c>
      <c r="D966" s="93" t="s">
        <v>266</v>
      </c>
      <c r="E966" s="93" t="s">
        <v>173</v>
      </c>
      <c r="F966" s="93" t="s">
        <v>2676</v>
      </c>
      <c r="G966" s="93" t="s">
        <v>2677</v>
      </c>
      <c r="H966" s="93" t="e">
        <v>#N/A</v>
      </c>
      <c r="I966" s="105" t="s">
        <v>2310</v>
      </c>
      <c r="J966" s="93" t="s">
        <v>189</v>
      </c>
      <c r="K966" s="93">
        <v>123</v>
      </c>
      <c r="L966" s="93" t="e">
        <v>#N/A</v>
      </c>
      <c r="M966" s="93" t="s">
        <v>2311</v>
      </c>
      <c r="N966" s="93">
        <f>VLOOKUP(B966,'[16]01.수집 카테고리(List)'!$A$2:$H$64,8,FALSE)</f>
        <v>99991231</v>
      </c>
      <c r="O966" s="93" t="s">
        <v>646</v>
      </c>
    </row>
    <row r="967" spans="1:15" hidden="1">
      <c r="A967" s="75" t="str">
        <f t="shared" si="30"/>
        <v>DEOTTOOVENFreestanding OvenFreistehender Ofen</v>
      </c>
      <c r="B967" s="94" t="str">
        <f t="shared" si="31"/>
        <v>DE_OTTO</v>
      </c>
      <c r="C967" s="93" t="s">
        <v>261</v>
      </c>
      <c r="D967" s="93" t="s">
        <v>266</v>
      </c>
      <c r="E967" s="93" t="s">
        <v>173</v>
      </c>
      <c r="F967" s="93" t="s">
        <v>2678</v>
      </c>
      <c r="G967" s="93" t="s">
        <v>2679</v>
      </c>
      <c r="H967" s="93" t="e">
        <v>#N/A</v>
      </c>
      <c r="I967" s="105" t="s">
        <v>2310</v>
      </c>
      <c r="J967" s="93" t="s">
        <v>189</v>
      </c>
      <c r="K967" s="93">
        <v>240</v>
      </c>
      <c r="L967" s="93" t="e">
        <v>#N/A</v>
      </c>
      <c r="M967" s="93" t="s">
        <v>2311</v>
      </c>
      <c r="N967" s="93">
        <f>VLOOKUP(B967,'[16]01.수집 카테고리(List)'!$A$2:$H$64,8,FALSE)</f>
        <v>99991231</v>
      </c>
      <c r="O967" s="93" t="s">
        <v>646</v>
      </c>
    </row>
    <row r="968" spans="1:15" hidden="1">
      <c r="A968" s="75" t="str">
        <f t="shared" ref="A968:A1023" si="32">C968&amp;D968&amp;E968&amp;F968&amp;G968</f>
        <v>DEOTTOOVENCooktopKochfeld</v>
      </c>
      <c r="B968" s="94" t="str">
        <f t="shared" ref="B968:B1023" si="33">C968&amp;"_"&amp;D968</f>
        <v>DE_OTTO</v>
      </c>
      <c r="C968" s="93" t="s">
        <v>261</v>
      </c>
      <c r="D968" s="93" t="s">
        <v>266</v>
      </c>
      <c r="E968" s="93" t="s">
        <v>173</v>
      </c>
      <c r="F968" s="93" t="s">
        <v>2541</v>
      </c>
      <c r="G968" s="93" t="s">
        <v>2680</v>
      </c>
      <c r="H968" s="93" t="e">
        <v>#N/A</v>
      </c>
      <c r="I968" s="105" t="s">
        <v>2310</v>
      </c>
      <c r="J968" s="93" t="s">
        <v>189</v>
      </c>
      <c r="K968" s="93">
        <v>1178</v>
      </c>
      <c r="L968" s="93" t="e">
        <v>#N/A</v>
      </c>
      <c r="M968" s="93" t="s">
        <v>2311</v>
      </c>
      <c r="N968" s="93">
        <f>VLOOKUP(B968,'[16]01.수집 카테고리(List)'!$A$2:$H$64,8,FALSE)</f>
        <v>99991231</v>
      </c>
      <c r="O968" s="93" t="s">
        <v>646</v>
      </c>
    </row>
    <row r="969" spans="1:15" hidden="1">
      <c r="A969" s="75" t="str">
        <f t="shared" si="32"/>
        <v>DEOTTOOVENWall Ovenwand ofen</v>
      </c>
      <c r="B969" s="94" t="str">
        <f t="shared" si="33"/>
        <v>DE_OTTO</v>
      </c>
      <c r="C969" s="93" t="s">
        <v>261</v>
      </c>
      <c r="D969" s="93" t="s">
        <v>266</v>
      </c>
      <c r="E969" s="93" t="s">
        <v>173</v>
      </c>
      <c r="F969" s="93" t="s">
        <v>2544</v>
      </c>
      <c r="G969" s="93" t="s">
        <v>2681</v>
      </c>
      <c r="H969" s="93" t="e">
        <v>#N/A</v>
      </c>
      <c r="I969" s="105" t="s">
        <v>2310</v>
      </c>
      <c r="J969" s="93" t="s">
        <v>189</v>
      </c>
      <c r="K969" s="93">
        <v>245</v>
      </c>
      <c r="L969" s="93" t="e">
        <v>#N/A</v>
      </c>
      <c r="M969" s="93" t="s">
        <v>2311</v>
      </c>
      <c r="N969" s="93">
        <f>VLOOKUP(B969,'[16]01.수집 카테고리(List)'!$A$2:$H$64,8,FALSE)</f>
        <v>99991231</v>
      </c>
      <c r="O969" s="93" t="s">
        <v>646</v>
      </c>
    </row>
    <row r="970" spans="1:15" hidden="1">
      <c r="A970" s="75" t="str">
        <f t="shared" si="32"/>
        <v>DEOTTORefrigeratorfrench door refrigeratorfrench door kühlschrank</v>
      </c>
      <c r="B970" s="94" t="str">
        <f t="shared" si="33"/>
        <v>DE_OTTO</v>
      </c>
      <c r="C970" s="93" t="s">
        <v>261</v>
      </c>
      <c r="D970" s="93" t="s">
        <v>266</v>
      </c>
      <c r="E970" s="93" t="s">
        <v>2326</v>
      </c>
      <c r="F970" s="93" t="s">
        <v>2328</v>
      </c>
      <c r="G970" s="93" t="s">
        <v>2682</v>
      </c>
      <c r="H970" s="93" t="e">
        <v>#N/A</v>
      </c>
      <c r="I970" s="105" t="s">
        <v>2310</v>
      </c>
      <c r="J970" s="93" t="s">
        <v>189</v>
      </c>
      <c r="K970" s="93">
        <v>959</v>
      </c>
      <c r="L970" s="93" t="e">
        <v>#N/A</v>
      </c>
      <c r="M970" s="93" t="s">
        <v>2311</v>
      </c>
      <c r="N970" s="93">
        <f>VLOOKUP(B970,'[16]01.수집 카테고리(List)'!$A$2:$H$64,8,FALSE)</f>
        <v>99991231</v>
      </c>
      <c r="O970" s="93" t="s">
        <v>646</v>
      </c>
    </row>
    <row r="971" spans="1:15" hidden="1">
      <c r="A971" s="75" t="str">
        <f t="shared" si="32"/>
        <v>DEOTTORefrigeratorbottom freezer refrigeratorKühlgefrierkombination</v>
      </c>
      <c r="B971" s="94" t="str">
        <f t="shared" si="33"/>
        <v>DE_OTTO</v>
      </c>
      <c r="C971" s="93" t="s">
        <v>261</v>
      </c>
      <c r="D971" s="93" t="s">
        <v>266</v>
      </c>
      <c r="E971" s="93" t="s">
        <v>2326</v>
      </c>
      <c r="F971" s="93" t="s">
        <v>2327</v>
      </c>
      <c r="G971" s="93" t="s">
        <v>2683</v>
      </c>
      <c r="H971" s="93" t="e">
        <v>#N/A</v>
      </c>
      <c r="I971" s="105" t="s">
        <v>2310</v>
      </c>
      <c r="J971" s="93" t="s">
        <v>189</v>
      </c>
      <c r="K971" s="93">
        <v>2433</v>
      </c>
      <c r="L971" s="93" t="e">
        <v>#N/A</v>
      </c>
      <c r="M971" s="93" t="s">
        <v>2311</v>
      </c>
      <c r="N971" s="93">
        <f>VLOOKUP(B971,'[16]01.수집 카테고리(List)'!$A$2:$H$64,8,FALSE)</f>
        <v>99991231</v>
      </c>
      <c r="O971" s="93" t="s">
        <v>646</v>
      </c>
    </row>
    <row r="972" spans="1:15" hidden="1">
      <c r="A972" s="75" t="str">
        <f t="shared" si="32"/>
        <v>DEOTTORefrigeratorrefrigeratorKühlschrank</v>
      </c>
      <c r="B972" s="94" t="str">
        <f t="shared" si="33"/>
        <v>DE_OTTO</v>
      </c>
      <c r="C972" s="93" t="s">
        <v>261</v>
      </c>
      <c r="D972" s="93" t="s">
        <v>266</v>
      </c>
      <c r="E972" s="93" t="s">
        <v>2326</v>
      </c>
      <c r="F972" s="93" t="s">
        <v>2329</v>
      </c>
      <c r="G972" s="93" t="s">
        <v>2389</v>
      </c>
      <c r="H972" s="93" t="e">
        <v>#N/A</v>
      </c>
      <c r="I972" s="105" t="s">
        <v>2310</v>
      </c>
      <c r="J972" s="93" t="s">
        <v>189</v>
      </c>
      <c r="K972" s="93">
        <v>7675</v>
      </c>
      <c r="L972" s="93" t="e">
        <v>#N/A</v>
      </c>
      <c r="M972" s="93" t="s">
        <v>2311</v>
      </c>
      <c r="N972" s="93">
        <f>VLOOKUP(B972,'[16]01.수집 카테고리(List)'!$A$2:$H$64,8,FALSE)</f>
        <v>99991231</v>
      </c>
      <c r="O972" s="93" t="s">
        <v>646</v>
      </c>
    </row>
    <row r="973" spans="1:15" hidden="1">
      <c r="A973" s="75" t="str">
        <f t="shared" si="32"/>
        <v>DEOTTORefrigeratorside by side refrigeratorKühlschrank side-by-side</v>
      </c>
      <c r="B973" s="94" t="str">
        <f t="shared" si="33"/>
        <v>DE_OTTO</v>
      </c>
      <c r="C973" s="93" t="s">
        <v>261</v>
      </c>
      <c r="D973" s="93" t="s">
        <v>266</v>
      </c>
      <c r="E973" s="93" t="s">
        <v>2326</v>
      </c>
      <c r="F973" s="93" t="s">
        <v>2330</v>
      </c>
      <c r="G973" s="93" t="s">
        <v>2684</v>
      </c>
      <c r="H973" s="93" t="e">
        <v>#N/A</v>
      </c>
      <c r="I973" s="105" t="s">
        <v>2310</v>
      </c>
      <c r="J973" s="93" t="s">
        <v>189</v>
      </c>
      <c r="K973" s="93">
        <v>894</v>
      </c>
      <c r="L973" s="93" t="e">
        <v>#N/A</v>
      </c>
      <c r="M973" s="93" t="s">
        <v>2311</v>
      </c>
      <c r="N973" s="93">
        <f>VLOOKUP(B973,'[16]01.수집 카테고리(List)'!$A$2:$H$64,8,FALSE)</f>
        <v>99991231</v>
      </c>
      <c r="O973" s="93" t="s">
        <v>646</v>
      </c>
    </row>
    <row r="974" spans="1:15" hidden="1">
      <c r="A974" s="75" t="str">
        <f t="shared" si="32"/>
        <v>DEOTTOSoundbarSound barSound bar</v>
      </c>
      <c r="B974" s="94" t="str">
        <f t="shared" si="33"/>
        <v>DE_OTTO</v>
      </c>
      <c r="C974" s="93" t="s">
        <v>261</v>
      </c>
      <c r="D974" s="93" t="s">
        <v>266</v>
      </c>
      <c r="E974" s="93" t="s">
        <v>2363</v>
      </c>
      <c r="F974" s="93" t="s">
        <v>2365</v>
      </c>
      <c r="G974" s="93" t="s">
        <v>2365</v>
      </c>
      <c r="H974" s="93" t="e">
        <v>#N/A</v>
      </c>
      <c r="I974" s="105" t="s">
        <v>2310</v>
      </c>
      <c r="J974" s="93" t="s">
        <v>189</v>
      </c>
      <c r="K974" s="93">
        <v>1036</v>
      </c>
      <c r="L974" s="93">
        <v>1036</v>
      </c>
      <c r="M974" s="93" t="s">
        <v>2311</v>
      </c>
      <c r="N974" s="93">
        <f>VLOOKUP(B974,'[16]01.수집 카테고리(List)'!$A$2:$H$64,8,FALSE)</f>
        <v>99991231</v>
      </c>
      <c r="O974" s="93" t="s">
        <v>646</v>
      </c>
    </row>
    <row r="975" spans="1:15" hidden="1">
      <c r="A975" s="75" t="str">
        <f t="shared" si="32"/>
        <v>DEOTTOSOUNDBARSoundbarSoundbar</v>
      </c>
      <c r="B975" s="94" t="str">
        <f t="shared" si="33"/>
        <v>DE_OTTO</v>
      </c>
      <c r="C975" s="93" t="s">
        <v>261</v>
      </c>
      <c r="D975" s="93" t="s">
        <v>266</v>
      </c>
      <c r="E975" s="93" t="s">
        <v>165</v>
      </c>
      <c r="F975" s="93" t="s">
        <v>2363</v>
      </c>
      <c r="G975" s="93" t="s">
        <v>2363</v>
      </c>
      <c r="H975" s="93" t="e">
        <v>#N/A</v>
      </c>
      <c r="I975" s="105" t="s">
        <v>2310</v>
      </c>
      <c r="J975" s="93" t="s">
        <v>189</v>
      </c>
      <c r="K975" s="93">
        <v>73</v>
      </c>
      <c r="L975" s="93">
        <v>73</v>
      </c>
      <c r="M975" s="93" t="s">
        <v>2311</v>
      </c>
      <c r="N975" s="93">
        <f>VLOOKUP(B975,'[16]01.수집 카테고리(List)'!$A$2:$H$64,8,FALSE)</f>
        <v>99991231</v>
      </c>
      <c r="O975" s="93" t="s">
        <v>646</v>
      </c>
    </row>
    <row r="976" spans="1:15" hidden="1">
      <c r="A976" s="75" t="str">
        <f t="shared" si="32"/>
        <v>DEOTTOSOUNDBARsoundbar for tvSoundbar für den Fernseher</v>
      </c>
      <c r="B976" s="94" t="str">
        <f t="shared" si="33"/>
        <v>DE_OTTO</v>
      </c>
      <c r="C976" s="93" t="s">
        <v>261</v>
      </c>
      <c r="D976" s="93" t="s">
        <v>266</v>
      </c>
      <c r="E976" s="93" t="s">
        <v>165</v>
      </c>
      <c r="F976" s="93" t="s">
        <v>2573</v>
      </c>
      <c r="G976" s="93" t="s">
        <v>2685</v>
      </c>
      <c r="H976" s="93" t="e">
        <v>#N/A</v>
      </c>
      <c r="I976" s="105" t="s">
        <v>2310</v>
      </c>
      <c r="J976" s="93" t="s">
        <v>189</v>
      </c>
      <c r="K976" s="93">
        <v>86</v>
      </c>
      <c r="L976" s="93" t="e">
        <v>#N/A</v>
      </c>
      <c r="M976" s="93" t="s">
        <v>2311</v>
      </c>
      <c r="N976" s="93">
        <f>VLOOKUP(B976,'[16]01.수집 카테고리(List)'!$A$2:$H$64,8,FALSE)</f>
        <v>99991231</v>
      </c>
      <c r="O976" s="93" t="s">
        <v>646</v>
      </c>
    </row>
    <row r="977" spans="1:15" hidden="1">
      <c r="A977" s="75" t="str">
        <f t="shared" si="32"/>
        <v>DEOTTOSoundbartv soundbarTV Soundbar</v>
      </c>
      <c r="B977" s="94" t="str">
        <f t="shared" si="33"/>
        <v>DE_OTTO</v>
      </c>
      <c r="C977" s="93" t="s">
        <v>261</v>
      </c>
      <c r="D977" s="93" t="s">
        <v>266</v>
      </c>
      <c r="E977" s="93" t="s">
        <v>2363</v>
      </c>
      <c r="F977" s="93" t="s">
        <v>2686</v>
      </c>
      <c r="G977" s="93" t="s">
        <v>2645</v>
      </c>
      <c r="H977" s="93" t="e">
        <v>#N/A</v>
      </c>
      <c r="I977" s="105" t="s">
        <v>2310</v>
      </c>
      <c r="J977" s="93" t="s">
        <v>189</v>
      </c>
      <c r="K977" s="93">
        <v>879</v>
      </c>
      <c r="L977" s="93">
        <v>879</v>
      </c>
      <c r="M977" s="93" t="s">
        <v>2311</v>
      </c>
      <c r="N977" s="93">
        <f>VLOOKUP(B977,'[16]01.수집 카테고리(List)'!$A$2:$H$64,8,FALSE)</f>
        <v>99991231</v>
      </c>
      <c r="O977" s="93" t="s">
        <v>646</v>
      </c>
    </row>
    <row r="978" spans="1:15" hidden="1">
      <c r="A978" s="75" t="str">
        <f t="shared" si="32"/>
        <v>DEOTTOTV4k TV4k TV</v>
      </c>
      <c r="B978" s="94" t="str">
        <f t="shared" si="33"/>
        <v>DE_OTTO</v>
      </c>
      <c r="C978" s="93" t="s">
        <v>261</v>
      </c>
      <c r="D978" s="93" t="s">
        <v>266</v>
      </c>
      <c r="E978" s="93" t="s">
        <v>161</v>
      </c>
      <c r="F978" s="93" t="s">
        <v>2368</v>
      </c>
      <c r="G978" s="93" t="s">
        <v>2368</v>
      </c>
      <c r="H978" s="93" t="e">
        <v>#N/A</v>
      </c>
      <c r="I978" s="105" t="s">
        <v>2310</v>
      </c>
      <c r="J978" s="93" t="s">
        <v>189</v>
      </c>
      <c r="K978" s="93">
        <v>3203</v>
      </c>
      <c r="L978" s="93">
        <v>3203</v>
      </c>
      <c r="M978" s="93" t="s">
        <v>2311</v>
      </c>
      <c r="N978" s="93">
        <f>VLOOKUP(B978,'[16]01.수집 카테고리(List)'!$A$2:$H$64,8,FALSE)</f>
        <v>99991231</v>
      </c>
      <c r="O978" s="93" t="s">
        <v>646</v>
      </c>
    </row>
    <row r="979" spans="1:15" hidden="1">
      <c r="A979" s="75" t="str">
        <f t="shared" si="32"/>
        <v>DEOTTOTVoled TVoled TV</v>
      </c>
      <c r="B979" s="94" t="str">
        <f t="shared" si="33"/>
        <v>DE_OTTO</v>
      </c>
      <c r="C979" s="93" t="s">
        <v>261</v>
      </c>
      <c r="D979" s="93" t="s">
        <v>266</v>
      </c>
      <c r="E979" s="93" t="s">
        <v>161</v>
      </c>
      <c r="F979" s="93" t="s">
        <v>2369</v>
      </c>
      <c r="G979" s="93" t="s">
        <v>2369</v>
      </c>
      <c r="H979" s="93" t="e">
        <v>#N/A</v>
      </c>
      <c r="I979" s="105" t="s">
        <v>2310</v>
      </c>
      <c r="J979" s="93" t="s">
        <v>189</v>
      </c>
      <c r="K979" s="93">
        <v>223</v>
      </c>
      <c r="L979" s="93">
        <v>223</v>
      </c>
      <c r="M979" s="93" t="s">
        <v>2311</v>
      </c>
      <c r="N979" s="93">
        <f>VLOOKUP(B979,'[16]01.수집 카테고리(List)'!$A$2:$H$64,8,FALSE)</f>
        <v>99991231</v>
      </c>
      <c r="O979" s="93" t="s">
        <v>646</v>
      </c>
    </row>
    <row r="980" spans="1:15" hidden="1">
      <c r="A980" s="75" t="str">
        <f t="shared" si="32"/>
        <v>DEOTTOTVsmart TVsmart TV</v>
      </c>
      <c r="B980" s="94" t="str">
        <f t="shared" si="33"/>
        <v>DE_OTTO</v>
      </c>
      <c r="C980" s="93" t="s">
        <v>261</v>
      </c>
      <c r="D980" s="93" t="s">
        <v>266</v>
      </c>
      <c r="E980" s="93" t="s">
        <v>161</v>
      </c>
      <c r="F980" s="93" t="s">
        <v>2371</v>
      </c>
      <c r="G980" s="93" t="s">
        <v>2371</v>
      </c>
      <c r="H980" s="93" t="e">
        <v>#N/A</v>
      </c>
      <c r="I980" s="105" t="s">
        <v>2310</v>
      </c>
      <c r="J980" s="93" t="s">
        <v>189</v>
      </c>
      <c r="K980" s="93">
        <v>3024</v>
      </c>
      <c r="L980" s="93">
        <v>3024</v>
      </c>
      <c r="M980" s="93" t="s">
        <v>2311</v>
      </c>
      <c r="N980" s="93">
        <f>VLOOKUP(B980,'[16]01.수집 카테고리(List)'!$A$2:$H$64,8,FALSE)</f>
        <v>99991231</v>
      </c>
      <c r="O980" s="93" t="s">
        <v>646</v>
      </c>
    </row>
    <row r="981" spans="1:15" hidden="1">
      <c r="A981" s="75" t="str">
        <f t="shared" si="32"/>
        <v>DEOTTOTVTVTV</v>
      </c>
      <c r="B981" s="94" t="str">
        <f t="shared" si="33"/>
        <v>DE_OTTO</v>
      </c>
      <c r="C981" s="93" t="s">
        <v>261</v>
      </c>
      <c r="D981" s="93" t="s">
        <v>266</v>
      </c>
      <c r="E981" s="93" t="s">
        <v>161</v>
      </c>
      <c r="F981" s="93" t="s">
        <v>161</v>
      </c>
      <c r="G981" s="93" t="s">
        <v>161</v>
      </c>
      <c r="H981" s="93" t="e">
        <v>#N/A</v>
      </c>
      <c r="I981" s="105" t="s">
        <v>2310</v>
      </c>
      <c r="J981" s="93" t="s">
        <v>189</v>
      </c>
      <c r="K981" s="93">
        <v>11311</v>
      </c>
      <c r="L981" s="93">
        <v>11311</v>
      </c>
      <c r="M981" s="93" t="s">
        <v>2311</v>
      </c>
      <c r="N981" s="93">
        <f>VLOOKUP(B981,'[16]01.수집 카테고리(List)'!$A$2:$H$64,8,FALSE)</f>
        <v>99991231</v>
      </c>
      <c r="O981" s="93" t="s">
        <v>646</v>
      </c>
    </row>
    <row r="982" spans="1:15" hidden="1">
      <c r="A982" s="75" t="str">
        <f t="shared" si="32"/>
        <v>DEOTTOTVuhd TVuhd TV</v>
      </c>
      <c r="B982" s="94" t="str">
        <f t="shared" si="33"/>
        <v>DE_OTTO</v>
      </c>
      <c r="C982" s="93" t="s">
        <v>261</v>
      </c>
      <c r="D982" s="93" t="s">
        <v>266</v>
      </c>
      <c r="E982" s="93" t="s">
        <v>161</v>
      </c>
      <c r="F982" s="93" t="s">
        <v>2399</v>
      </c>
      <c r="G982" s="93" t="s">
        <v>2399</v>
      </c>
      <c r="H982" s="93" t="e">
        <v>#N/A</v>
      </c>
      <c r="I982" s="105" t="s">
        <v>2310</v>
      </c>
      <c r="J982" s="93" t="s">
        <v>189</v>
      </c>
      <c r="K982" s="93">
        <v>4727</v>
      </c>
      <c r="L982" s="93">
        <v>4727</v>
      </c>
      <c r="M982" s="93" t="s">
        <v>2311</v>
      </c>
      <c r="N982" s="93">
        <f>VLOOKUP(B982,'[16]01.수집 카테고리(List)'!$A$2:$H$64,8,FALSE)</f>
        <v>99991231</v>
      </c>
      <c r="O982" s="93" t="s">
        <v>646</v>
      </c>
    </row>
    <row r="983" spans="1:15" hidden="1">
      <c r="A983" s="75" t="str">
        <f t="shared" si="32"/>
        <v>DEOTTOWashing Machinefront loaderFrontlader</v>
      </c>
      <c r="B983" s="94" t="str">
        <f t="shared" si="33"/>
        <v>DE_OTTO</v>
      </c>
      <c r="C983" s="93" t="s">
        <v>261</v>
      </c>
      <c r="D983" s="93" t="s">
        <v>266</v>
      </c>
      <c r="E983" s="93" t="s">
        <v>2333</v>
      </c>
      <c r="F983" s="93" t="s">
        <v>2334</v>
      </c>
      <c r="G983" s="93" t="s">
        <v>2687</v>
      </c>
      <c r="H983" s="93" t="e">
        <v>#N/A</v>
      </c>
      <c r="I983" s="105" t="s">
        <v>2310</v>
      </c>
      <c r="J983" s="93" t="s">
        <v>189</v>
      </c>
      <c r="K983" s="93">
        <v>996</v>
      </c>
      <c r="L983" s="93" t="e">
        <v>#N/A</v>
      </c>
      <c r="M983" s="93" t="s">
        <v>2311</v>
      </c>
      <c r="N983" s="93">
        <f>VLOOKUP(B983,'[16]01.수집 카테고리(List)'!$A$2:$H$64,8,FALSE)</f>
        <v>99991231</v>
      </c>
      <c r="O983" s="93" t="s">
        <v>646</v>
      </c>
    </row>
    <row r="984" spans="1:15" hidden="1">
      <c r="A984" s="75" t="str">
        <f t="shared" si="32"/>
        <v>DEOTTOWashing Machinewashing machineWaschmaschine</v>
      </c>
      <c r="B984" s="94" t="str">
        <f t="shared" si="33"/>
        <v>DE_OTTO</v>
      </c>
      <c r="C984" s="93" t="s">
        <v>261</v>
      </c>
      <c r="D984" s="93" t="s">
        <v>266</v>
      </c>
      <c r="E984" s="93" t="s">
        <v>2333</v>
      </c>
      <c r="F984" s="93" t="s">
        <v>2340</v>
      </c>
      <c r="G984" s="93" t="s">
        <v>2688</v>
      </c>
      <c r="H984" s="93" t="e">
        <v>#N/A</v>
      </c>
      <c r="I984" s="105" t="s">
        <v>2310</v>
      </c>
      <c r="J984" s="93" t="s">
        <v>189</v>
      </c>
      <c r="K984" s="93">
        <v>3590</v>
      </c>
      <c r="L984" s="93" t="e">
        <v>#N/A</v>
      </c>
      <c r="M984" s="93" t="s">
        <v>2311</v>
      </c>
      <c r="N984" s="93">
        <f>VLOOKUP(B984,'[16]01.수집 카테고리(List)'!$A$2:$H$64,8,FALSE)</f>
        <v>99991231</v>
      </c>
      <c r="O984" s="93" t="s">
        <v>646</v>
      </c>
    </row>
    <row r="985" spans="1:15" hidden="1">
      <c r="A985" s="75" t="str">
        <f t="shared" si="32"/>
        <v>DEOTTOWashing Machinewasher dryer comboWaschtrockner</v>
      </c>
      <c r="B985" s="94" t="str">
        <f t="shared" si="33"/>
        <v>DE_OTTO</v>
      </c>
      <c r="C985" s="93" t="s">
        <v>261</v>
      </c>
      <c r="D985" s="93" t="s">
        <v>266</v>
      </c>
      <c r="E985" s="93" t="s">
        <v>2333</v>
      </c>
      <c r="F985" s="93" t="s">
        <v>2338</v>
      </c>
      <c r="G985" s="93" t="s">
        <v>2406</v>
      </c>
      <c r="H985" s="93" t="e">
        <v>#N/A</v>
      </c>
      <c r="I985" s="105" t="s">
        <v>2310</v>
      </c>
      <c r="J985" s="93" t="s">
        <v>189</v>
      </c>
      <c r="K985" s="93">
        <v>127</v>
      </c>
      <c r="L985" s="93" t="e">
        <v>#N/A</v>
      </c>
      <c r="M985" s="93" t="s">
        <v>2311</v>
      </c>
      <c r="N985" s="93">
        <f>VLOOKUP(B985,'[16]01.수집 카테고리(List)'!$A$2:$H$64,8,FALSE)</f>
        <v>99991231</v>
      </c>
      <c r="O985" s="93" t="s">
        <v>646</v>
      </c>
    </row>
    <row r="986" spans="1:15" hidden="1">
      <c r="A986" s="75" t="str">
        <f t="shared" si="32"/>
        <v>DEOTTOWireless HeadsetBluetooth HeadphonesBluetooth Kopfhörer</v>
      </c>
      <c r="B986" s="94" t="str">
        <f t="shared" si="33"/>
        <v>DE_OTTO</v>
      </c>
      <c r="C986" s="93" t="s">
        <v>261</v>
      </c>
      <c r="D986" s="93" t="s">
        <v>266</v>
      </c>
      <c r="E986" s="93" t="s">
        <v>2373</v>
      </c>
      <c r="F986" s="93" t="s">
        <v>2533</v>
      </c>
      <c r="G986" s="93" t="s">
        <v>2689</v>
      </c>
      <c r="H986" s="93" t="e">
        <v>#N/A</v>
      </c>
      <c r="I986" s="105" t="s">
        <v>2310</v>
      </c>
      <c r="J986" s="93" t="s">
        <v>189</v>
      </c>
      <c r="K986" s="93">
        <v>7958</v>
      </c>
      <c r="L986" s="93" t="e">
        <v>#N/A</v>
      </c>
      <c r="M986" s="93" t="s">
        <v>2311</v>
      </c>
      <c r="N986" s="93">
        <f>VLOOKUP(B986,'[16]01.수집 카테고리(List)'!$A$2:$H$64,8,FALSE)</f>
        <v>99991231</v>
      </c>
      <c r="O986" s="93" t="s">
        <v>646</v>
      </c>
    </row>
    <row r="987" spans="1:15" hidden="1">
      <c r="A987" s="75" t="str">
        <f t="shared" si="32"/>
        <v>DEOTTOWireless HeadsetIn ear headphonesIn ear Kopfhörer</v>
      </c>
      <c r="B987" s="94" t="str">
        <f t="shared" si="33"/>
        <v>DE_OTTO</v>
      </c>
      <c r="C987" s="93" t="s">
        <v>261</v>
      </c>
      <c r="D987" s="93" t="s">
        <v>266</v>
      </c>
      <c r="E987" s="93" t="s">
        <v>2373</v>
      </c>
      <c r="F987" s="93" t="s">
        <v>2690</v>
      </c>
      <c r="G987" s="93" t="s">
        <v>2691</v>
      </c>
      <c r="H987" s="93" t="e">
        <v>#N/A</v>
      </c>
      <c r="I987" s="105" t="s">
        <v>2310</v>
      </c>
      <c r="J987" s="93" t="s">
        <v>189</v>
      </c>
      <c r="K987" s="93">
        <v>6788</v>
      </c>
      <c r="L987" s="93" t="e">
        <v>#N/A</v>
      </c>
      <c r="M987" s="93" t="s">
        <v>2311</v>
      </c>
      <c r="N987" s="93">
        <f>VLOOKUP(B987,'[16]01.수집 카테고리(List)'!$A$2:$H$64,8,FALSE)</f>
        <v>99991231</v>
      </c>
      <c r="O987" s="93" t="s">
        <v>646</v>
      </c>
    </row>
    <row r="988" spans="1:15" hidden="1">
      <c r="A988" s="75" t="str">
        <f t="shared" si="32"/>
        <v>DEOTTOWireless Headsetsports headphonesSport Kopfhörer</v>
      </c>
      <c r="B988" s="94" t="str">
        <f t="shared" si="33"/>
        <v>DE_OTTO</v>
      </c>
      <c r="C988" s="93" t="s">
        <v>261</v>
      </c>
      <c r="D988" s="93" t="s">
        <v>266</v>
      </c>
      <c r="E988" s="93" t="s">
        <v>2373</v>
      </c>
      <c r="F988" s="93" t="s">
        <v>2692</v>
      </c>
      <c r="G988" s="93" t="s">
        <v>2693</v>
      </c>
      <c r="H988" s="93" t="e">
        <v>#N/A</v>
      </c>
      <c r="I988" s="105" t="s">
        <v>2310</v>
      </c>
      <c r="J988" s="93" t="s">
        <v>189</v>
      </c>
      <c r="K988" s="93">
        <v>2057</v>
      </c>
      <c r="L988" s="93" t="e">
        <v>#N/A</v>
      </c>
      <c r="M988" s="93" t="s">
        <v>2311</v>
      </c>
      <c r="N988" s="93">
        <f>VLOOKUP(B988,'[16]01.수집 카테고리(List)'!$A$2:$H$64,8,FALSE)</f>
        <v>99991231</v>
      </c>
      <c r="O988" s="93" t="s">
        <v>646</v>
      </c>
    </row>
    <row r="989" spans="1:15" hidden="1">
      <c r="A989" s="75" t="str">
        <f t="shared" si="32"/>
        <v>DEOTTOWIRELESS HEADSETEarbudsOhrhörer</v>
      </c>
      <c r="B989" s="94" t="str">
        <f t="shared" si="33"/>
        <v>DE_OTTO</v>
      </c>
      <c r="C989" s="93" t="s">
        <v>261</v>
      </c>
      <c r="D989" s="93" t="s">
        <v>266</v>
      </c>
      <c r="E989" s="93" t="s">
        <v>2201</v>
      </c>
      <c r="F989" s="93" t="s">
        <v>2534</v>
      </c>
      <c r="G989" s="93" t="s">
        <v>2694</v>
      </c>
      <c r="H989" s="93" t="e">
        <v>#N/A</v>
      </c>
      <c r="I989" s="105" t="s">
        <v>2310</v>
      </c>
      <c r="J989" s="93" t="s">
        <v>189</v>
      </c>
      <c r="K989" s="93">
        <v>3202</v>
      </c>
      <c r="L989" s="93" t="e">
        <v>#N/A</v>
      </c>
      <c r="M989" s="93" t="s">
        <v>2311</v>
      </c>
      <c r="N989" s="93">
        <f>VLOOKUP(B989,'[16]01.수집 카테고리(List)'!$A$2:$H$64,8,FALSE)</f>
        <v>99991231</v>
      </c>
      <c r="O989" s="93" t="s">
        <v>646</v>
      </c>
    </row>
    <row r="990" spans="1:15" s="81" customFormat="1" hidden="1">
      <c r="A990" s="81" t="str">
        <f t="shared" si="32"/>
        <v>DEOTTOAir Conditionerwindow inverter air conditionerklimaanlage</v>
      </c>
      <c r="B990" s="106" t="str">
        <f t="shared" si="33"/>
        <v>DE_OTTO</v>
      </c>
      <c r="C990" s="107" t="s">
        <v>261</v>
      </c>
      <c r="D990" s="107" t="s">
        <v>266</v>
      </c>
      <c r="E990" s="107" t="s">
        <v>2524</v>
      </c>
      <c r="F990" s="107" t="s">
        <v>2424</v>
      </c>
      <c r="G990" s="107" t="s">
        <v>2695</v>
      </c>
      <c r="H990" s="93" t="e">
        <v>#N/A</v>
      </c>
      <c r="I990" s="99">
        <v>46076</v>
      </c>
      <c r="J990" s="83" t="s">
        <v>189</v>
      </c>
      <c r="K990" s="107"/>
      <c r="L990" s="107"/>
      <c r="M990" s="107"/>
      <c r="N990" s="107"/>
      <c r="O990" s="107"/>
    </row>
    <row r="991" spans="1:15" s="108" customFormat="1" hidden="1">
      <c r="A991" s="108" t="str">
        <f t="shared" si="32"/>
        <v>DEOTTODryerDryerTørretumbler</v>
      </c>
      <c r="B991" s="109" t="str">
        <f t="shared" si="33"/>
        <v>DE_OTTO</v>
      </c>
      <c r="C991" s="110" t="s">
        <v>261</v>
      </c>
      <c r="D991" s="110" t="s">
        <v>266</v>
      </c>
      <c r="E991" s="110" t="s">
        <v>2535</v>
      </c>
      <c r="F991" s="110" t="s">
        <v>2431</v>
      </c>
      <c r="G991" s="110" t="s">
        <v>2696</v>
      </c>
      <c r="H991" s="93" t="e">
        <v>#N/A</v>
      </c>
      <c r="I991" s="99">
        <v>46076</v>
      </c>
      <c r="J991" s="83" t="s">
        <v>189</v>
      </c>
      <c r="K991" s="110"/>
      <c r="L991" s="110"/>
      <c r="M991" s="110"/>
      <c r="N991" s="110"/>
      <c r="O991" s="110"/>
    </row>
    <row r="992" spans="1:15" s="81" customFormat="1" hidden="1">
      <c r="A992" s="81" t="str">
        <f t="shared" si="32"/>
        <v>DESS.comAir Conditionerwindow inverter air conditionerklimaanlage</v>
      </c>
      <c r="B992" s="106" t="str">
        <f t="shared" si="33"/>
        <v>DE_SS.com</v>
      </c>
      <c r="C992" s="107" t="s">
        <v>261</v>
      </c>
      <c r="D992" s="107" t="s">
        <v>184</v>
      </c>
      <c r="E992" s="107" t="s">
        <v>2346</v>
      </c>
      <c r="F992" s="107" t="s">
        <v>2424</v>
      </c>
      <c r="G992" s="107" t="s">
        <v>2695</v>
      </c>
      <c r="H992" s="93" t="e">
        <v>#N/A</v>
      </c>
      <c r="I992" s="99">
        <v>46076</v>
      </c>
      <c r="J992" s="83" t="s">
        <v>189</v>
      </c>
      <c r="K992" s="107"/>
      <c r="L992" s="107"/>
      <c r="M992" s="107"/>
      <c r="N992" s="107"/>
      <c r="O992" s="107"/>
    </row>
    <row r="993" spans="1:15" hidden="1">
      <c r="A993" s="75" t="str">
        <f t="shared" si="32"/>
        <v>DESS.comMonitorgaming monitorgaming-monitor</v>
      </c>
      <c r="B993" s="94" t="str">
        <f t="shared" si="33"/>
        <v>DE_SS.com</v>
      </c>
      <c r="C993" s="93" t="s">
        <v>261</v>
      </c>
      <c r="D993" s="93" t="s">
        <v>184</v>
      </c>
      <c r="E993" s="93" t="s">
        <v>2320</v>
      </c>
      <c r="F993" s="93" t="s">
        <v>2322</v>
      </c>
      <c r="G993" s="93" t="s">
        <v>2699</v>
      </c>
      <c r="H993" s="93" t="e">
        <v>#N/A</v>
      </c>
      <c r="I993" s="105" t="s">
        <v>2310</v>
      </c>
      <c r="J993" s="93" t="s">
        <v>189</v>
      </c>
      <c r="K993" s="93">
        <v>108</v>
      </c>
      <c r="L993" s="93" t="e">
        <v>#N/A</v>
      </c>
      <c r="M993" s="93" t="s">
        <v>2311</v>
      </c>
      <c r="N993" s="93">
        <f>VLOOKUP(B993,'[16]01.수집 카테고리(List)'!$A$2:$H$64,8,FALSE)</f>
        <v>99991231</v>
      </c>
      <c r="O993" s="93" t="s">
        <v>646</v>
      </c>
    </row>
    <row r="994" spans="1:15" hidden="1">
      <c r="A994" s="75" t="str">
        <f t="shared" si="32"/>
        <v>DESS.comMonitormonitormonitor</v>
      </c>
      <c r="B994" s="94" t="str">
        <f t="shared" si="33"/>
        <v>DE_SS.com</v>
      </c>
      <c r="C994" s="93" t="s">
        <v>261</v>
      </c>
      <c r="D994" s="93" t="s">
        <v>184</v>
      </c>
      <c r="E994" s="93" t="s">
        <v>2320</v>
      </c>
      <c r="F994" s="93" t="s">
        <v>2323</v>
      </c>
      <c r="G994" s="93" t="s">
        <v>2323</v>
      </c>
      <c r="H994" s="93" t="e">
        <v>#N/A</v>
      </c>
      <c r="I994" s="105" t="s">
        <v>2310</v>
      </c>
      <c r="J994" s="93" t="s">
        <v>189</v>
      </c>
      <c r="K994" s="93">
        <v>210</v>
      </c>
      <c r="L994" s="93">
        <v>210</v>
      </c>
      <c r="M994" s="93" t="s">
        <v>2311</v>
      </c>
      <c r="N994" s="93">
        <f>VLOOKUP(B994,'[16]01.수집 카테고리(List)'!$A$2:$H$64,8,FALSE)</f>
        <v>99991231</v>
      </c>
      <c r="O994" s="93" t="s">
        <v>646</v>
      </c>
    </row>
    <row r="995" spans="1:15" hidden="1">
      <c r="A995" s="75" t="str">
        <f t="shared" si="32"/>
        <v>DESS.comRefrigeratorrefrigeratorkühlschrank</v>
      </c>
      <c r="B995" s="94" t="str">
        <f t="shared" si="33"/>
        <v>DE_SS.com</v>
      </c>
      <c r="C995" s="93" t="s">
        <v>261</v>
      </c>
      <c r="D995" s="93" t="s">
        <v>184</v>
      </c>
      <c r="E995" s="93" t="s">
        <v>2326</v>
      </c>
      <c r="F995" s="93" t="s">
        <v>2329</v>
      </c>
      <c r="G995" s="93" t="s">
        <v>2700</v>
      </c>
      <c r="H995" s="93" t="e">
        <v>#N/A</v>
      </c>
      <c r="I995" s="105" t="s">
        <v>2310</v>
      </c>
      <c r="J995" s="93" t="s">
        <v>189</v>
      </c>
      <c r="K995" s="93">
        <v>3</v>
      </c>
      <c r="L995" s="93" t="e">
        <v>#N/A</v>
      </c>
      <c r="M995" s="93" t="s">
        <v>2311</v>
      </c>
      <c r="N995" s="93">
        <f>VLOOKUP(B995,'[16]01.수집 카테고리(List)'!$A$2:$H$64,8,FALSE)</f>
        <v>99991231</v>
      </c>
      <c r="O995" s="93" t="s">
        <v>646</v>
      </c>
    </row>
    <row r="996" spans="1:15" hidden="1">
      <c r="A996" s="75" t="str">
        <f t="shared" si="32"/>
        <v>DESS.comTVtvfernseher</v>
      </c>
      <c r="B996" s="94" t="str">
        <f t="shared" si="33"/>
        <v>DE_SS.com</v>
      </c>
      <c r="C996" s="93" t="s">
        <v>261</v>
      </c>
      <c r="D996" s="93" t="s">
        <v>184</v>
      </c>
      <c r="E996" s="93" t="s">
        <v>161</v>
      </c>
      <c r="F996" s="93" t="s">
        <v>2444</v>
      </c>
      <c r="G996" s="93" t="s">
        <v>2701</v>
      </c>
      <c r="H996" s="93" t="e">
        <v>#N/A</v>
      </c>
      <c r="I996" s="105" t="s">
        <v>2310</v>
      </c>
      <c r="J996" s="93" t="s">
        <v>189</v>
      </c>
      <c r="K996" s="93">
        <v>397</v>
      </c>
      <c r="L996" s="93">
        <v>18</v>
      </c>
      <c r="M996" s="93" t="s">
        <v>2311</v>
      </c>
      <c r="N996" s="93">
        <f>VLOOKUP(B996,'[16]01.수집 카테고리(List)'!$A$2:$H$64,8,FALSE)</f>
        <v>99991231</v>
      </c>
      <c r="O996" s="93" t="s">
        <v>646</v>
      </c>
    </row>
    <row r="997" spans="1:15" hidden="1">
      <c r="A997" s="75" t="str">
        <f t="shared" si="32"/>
        <v>DESS.comWashing Machinewashing machinewaschmaschine</v>
      </c>
      <c r="B997" s="94" t="str">
        <f t="shared" si="33"/>
        <v>DE_SS.com</v>
      </c>
      <c r="C997" s="93" t="s">
        <v>261</v>
      </c>
      <c r="D997" s="93" t="s">
        <v>184</v>
      </c>
      <c r="E997" s="93" t="s">
        <v>2333</v>
      </c>
      <c r="F997" s="93" t="s">
        <v>2340</v>
      </c>
      <c r="G997" s="93" t="s">
        <v>2702</v>
      </c>
      <c r="H997" s="93" t="e">
        <v>#N/A</v>
      </c>
      <c r="I997" s="105" t="s">
        <v>2310</v>
      </c>
      <c r="J997" s="93" t="s">
        <v>189</v>
      </c>
      <c r="K997" s="93">
        <v>2</v>
      </c>
      <c r="L997" s="93" t="e">
        <v>#N/A</v>
      </c>
      <c r="M997" s="93" t="s">
        <v>2311</v>
      </c>
      <c r="N997" s="93">
        <f>VLOOKUP(B997,'[16]01.수집 카테고리(List)'!$A$2:$H$64,8,FALSE)</f>
        <v>99991231</v>
      </c>
      <c r="O997" s="93" t="s">
        <v>646</v>
      </c>
    </row>
    <row r="998" spans="1:15" hidden="1">
      <c r="A998" s="75" t="str">
        <f t="shared" si="32"/>
        <v>DESS.comWashing Machinewasher dryerwaschtrockner</v>
      </c>
      <c r="B998" s="94" t="str">
        <f t="shared" si="33"/>
        <v>DE_SS.com</v>
      </c>
      <c r="C998" s="93" t="s">
        <v>261</v>
      </c>
      <c r="D998" s="93" t="s">
        <v>184</v>
      </c>
      <c r="E998" s="93" t="s">
        <v>2333</v>
      </c>
      <c r="F998" s="93" t="s">
        <v>2339</v>
      </c>
      <c r="G998" s="93" t="s">
        <v>2703</v>
      </c>
      <c r="H998" s="93" t="e">
        <v>#N/A</v>
      </c>
      <c r="I998" s="105" t="s">
        <v>2310</v>
      </c>
      <c r="J998" s="93" t="s">
        <v>189</v>
      </c>
      <c r="K998" s="93">
        <v>36</v>
      </c>
      <c r="L998" s="93" t="e">
        <v>#N/A</v>
      </c>
      <c r="M998" s="93" t="s">
        <v>2311</v>
      </c>
      <c r="N998" s="93">
        <f>VLOOKUP(B998,'[16]01.수집 카테고리(List)'!$A$2:$H$64,8,FALSE)</f>
        <v>99991231</v>
      </c>
      <c r="O998" s="93" t="s">
        <v>646</v>
      </c>
    </row>
    <row r="999" spans="1:15" s="81" customFormat="1" hidden="1">
      <c r="A999" s="81" t="str">
        <f t="shared" si="32"/>
        <v>DESS.comBluetooth Speakerbluetooth speakerBluetooth Lautsprecher</v>
      </c>
      <c r="B999" s="106" t="str">
        <f t="shared" si="33"/>
        <v>DE_SS.com</v>
      </c>
      <c r="C999" s="107" t="s">
        <v>259</v>
      </c>
      <c r="D999" s="107" t="s">
        <v>184</v>
      </c>
      <c r="E999" s="107" t="s">
        <v>2307</v>
      </c>
      <c r="F999" s="107" t="s">
        <v>2657</v>
      </c>
      <c r="G999" s="107" t="s">
        <v>2658</v>
      </c>
      <c r="H999" s="93" t="e">
        <v>#N/A</v>
      </c>
      <c r="I999" s="99">
        <v>46076</v>
      </c>
      <c r="J999" s="83" t="s">
        <v>189</v>
      </c>
      <c r="K999" s="107"/>
      <c r="L999" s="107"/>
      <c r="M999" s="107"/>
      <c r="N999" s="107"/>
      <c r="O999" s="107"/>
    </row>
    <row r="1000" spans="1:15" s="81" customFormat="1" hidden="1">
      <c r="A1000" s="81" t="str">
        <f t="shared" si="32"/>
        <v>DESS.comBluetooth SpeakerspeakersLautsprecher</v>
      </c>
      <c r="B1000" s="106" t="str">
        <f t="shared" si="33"/>
        <v>DE_SS.com</v>
      </c>
      <c r="C1000" s="107" t="s">
        <v>259</v>
      </c>
      <c r="D1000" s="107" t="s">
        <v>184</v>
      </c>
      <c r="E1000" s="107" t="s">
        <v>2307</v>
      </c>
      <c r="F1000" s="107" t="s">
        <v>2471</v>
      </c>
      <c r="G1000" s="107" t="s">
        <v>2659</v>
      </c>
      <c r="H1000" s="93" t="e">
        <v>#N/A</v>
      </c>
      <c r="I1000" s="99">
        <v>46076</v>
      </c>
      <c r="J1000" s="83" t="s">
        <v>189</v>
      </c>
      <c r="K1000" s="107"/>
      <c r="L1000" s="107"/>
      <c r="M1000" s="107"/>
      <c r="N1000" s="107"/>
      <c r="O1000" s="107"/>
    </row>
    <row r="1001" spans="1:15" s="81" customFormat="1" hidden="1">
      <c r="A1001" s="81" t="str">
        <f t="shared" si="32"/>
        <v>DESS.comBluetooth Speakerportable speakerstragbare Lautsprecher</v>
      </c>
      <c r="B1001" s="106" t="str">
        <f t="shared" si="33"/>
        <v>DE_SS.com</v>
      </c>
      <c r="C1001" s="107" t="s">
        <v>259</v>
      </c>
      <c r="D1001" s="107" t="s">
        <v>184</v>
      </c>
      <c r="E1001" s="107" t="s">
        <v>2307</v>
      </c>
      <c r="F1001" s="107" t="s">
        <v>2473</v>
      </c>
      <c r="G1001" s="107" t="s">
        <v>2660</v>
      </c>
      <c r="H1001" s="93" t="e">
        <v>#N/A</v>
      </c>
      <c r="I1001" s="99">
        <v>46076</v>
      </c>
      <c r="J1001" s="83" t="s">
        <v>189</v>
      </c>
      <c r="K1001" s="107"/>
      <c r="L1001" s="107"/>
      <c r="M1001" s="107"/>
      <c r="N1001" s="107"/>
      <c r="O1001" s="107"/>
    </row>
    <row r="1002" spans="1:15" s="81" customFormat="1" hidden="1">
      <c r="A1002" s="81" t="str">
        <f t="shared" si="32"/>
        <v>DESS.comBluetooth SpeakerPortable bluetooth speakerTragbarer bluetooth lautsprecher</v>
      </c>
      <c r="B1002" s="106" t="str">
        <f t="shared" si="33"/>
        <v>DE_SS.com</v>
      </c>
      <c r="C1002" s="107" t="s">
        <v>259</v>
      </c>
      <c r="D1002" s="107" t="s">
        <v>184</v>
      </c>
      <c r="E1002" s="107" t="s">
        <v>2307</v>
      </c>
      <c r="F1002" s="107" t="s">
        <v>2312</v>
      </c>
      <c r="G1002" s="107" t="s">
        <v>2661</v>
      </c>
      <c r="H1002" s="93" t="e">
        <v>#N/A</v>
      </c>
      <c r="I1002" s="99">
        <v>46076</v>
      </c>
      <c r="J1002" s="83" t="s">
        <v>189</v>
      </c>
      <c r="K1002" s="107"/>
      <c r="L1002" s="107"/>
      <c r="M1002" s="107"/>
      <c r="N1002" s="107"/>
      <c r="O1002" s="107"/>
    </row>
    <row r="1003" spans="1:15" s="81" customFormat="1" hidden="1">
      <c r="A1003" s="81" t="str">
        <f t="shared" si="32"/>
        <v>DESS.comSOUNDBARSound barSound bar</v>
      </c>
      <c r="B1003" s="106" t="str">
        <f t="shared" si="33"/>
        <v>DE_SS.com</v>
      </c>
      <c r="C1003" s="107" t="s">
        <v>259</v>
      </c>
      <c r="D1003" s="107" t="s">
        <v>184</v>
      </c>
      <c r="E1003" s="107" t="s">
        <v>2527</v>
      </c>
      <c r="F1003" s="107" t="s">
        <v>2365</v>
      </c>
      <c r="G1003" s="107" t="s">
        <v>2365</v>
      </c>
      <c r="H1003" s="93" t="e">
        <v>#N/A</v>
      </c>
      <c r="I1003" s="99">
        <v>46076</v>
      </c>
      <c r="J1003" s="83" t="s">
        <v>189</v>
      </c>
      <c r="K1003" s="107"/>
      <c r="L1003" s="107"/>
      <c r="M1003" s="107"/>
      <c r="N1003" s="107"/>
      <c r="O1003" s="107"/>
    </row>
    <row r="1004" spans="1:15" s="81" customFormat="1" hidden="1">
      <c r="A1004" s="81" t="str">
        <f t="shared" si="32"/>
        <v>DESS.comSOUNDBARSoundbarSoundbar</v>
      </c>
      <c r="B1004" s="106" t="str">
        <f t="shared" si="33"/>
        <v>DE_SS.com</v>
      </c>
      <c r="C1004" s="107" t="s">
        <v>259</v>
      </c>
      <c r="D1004" s="107" t="s">
        <v>184</v>
      </c>
      <c r="E1004" s="107" t="s">
        <v>2527</v>
      </c>
      <c r="F1004" s="107" t="s">
        <v>2363</v>
      </c>
      <c r="G1004" s="107" t="s">
        <v>2363</v>
      </c>
      <c r="H1004" s="93" t="e">
        <v>#N/A</v>
      </c>
      <c r="I1004" s="99">
        <v>46076</v>
      </c>
      <c r="J1004" s="83" t="s">
        <v>189</v>
      </c>
      <c r="K1004" s="107"/>
      <c r="L1004" s="107"/>
      <c r="M1004" s="107"/>
      <c r="N1004" s="107"/>
      <c r="O1004" s="107"/>
    </row>
    <row r="1005" spans="1:15" s="197" customFormat="1" hidden="1">
      <c r="A1005" s="197" t="str">
        <f t="shared" ref="A1005" si="34">C1005&amp;D1005&amp;E1005&amp;F1005&amp;G1005</f>
        <v>DESS.comSOUNDBARsoundbar for tvSoundbar TV</v>
      </c>
      <c r="B1005" s="198" t="str">
        <f t="shared" ref="B1005" si="35">C1005&amp;"_"&amp;D1005</f>
        <v>DE_SS.com</v>
      </c>
      <c r="C1005" s="199" t="s">
        <v>259</v>
      </c>
      <c r="D1005" s="199" t="s">
        <v>184</v>
      </c>
      <c r="E1005" s="199" t="s">
        <v>2527</v>
      </c>
      <c r="F1005" s="199" t="s">
        <v>2573</v>
      </c>
      <c r="G1005" s="199" t="s">
        <v>2704</v>
      </c>
      <c r="H1005" s="199" t="e">
        <v>#N/A</v>
      </c>
      <c r="I1005" s="201">
        <v>46076</v>
      </c>
      <c r="J1005" s="202" t="s">
        <v>189</v>
      </c>
      <c r="K1005" s="199"/>
      <c r="L1005" s="199"/>
      <c r="M1005" s="199"/>
      <c r="N1005" s="199"/>
      <c r="O1005" s="199"/>
    </row>
    <row r="1006" spans="1:15" s="81" customFormat="1" hidden="1">
      <c r="A1006" s="81" t="str">
        <f t="shared" si="32"/>
        <v>DESS.comSOUNDBARtv soundbarTV Soundbar</v>
      </c>
      <c r="B1006" s="106" t="str">
        <f t="shared" si="33"/>
        <v>DE_SS.com</v>
      </c>
      <c r="C1006" s="107" t="s">
        <v>259</v>
      </c>
      <c r="D1006" s="107" t="s">
        <v>184</v>
      </c>
      <c r="E1006" s="107" t="s">
        <v>2527</v>
      </c>
      <c r="F1006" s="107" t="s">
        <v>2686</v>
      </c>
      <c r="G1006" s="107" t="s">
        <v>2645</v>
      </c>
      <c r="H1006" s="93" t="e">
        <v>#N/A</v>
      </c>
      <c r="I1006" s="99">
        <v>46076</v>
      </c>
      <c r="J1006" s="83" t="s">
        <v>189</v>
      </c>
      <c r="K1006" s="107"/>
      <c r="L1006" s="107"/>
      <c r="M1006" s="107"/>
      <c r="N1006" s="107"/>
      <c r="O1006" s="107"/>
    </row>
    <row r="1007" spans="1:15" s="81" customFormat="1" hidden="1">
      <c r="A1007" s="81" t="str">
        <f t="shared" si="32"/>
        <v>DESS.comWireless HeadsetBluetooth HeadphonesBluetooth Kopfhörer</v>
      </c>
      <c r="B1007" s="106" t="str">
        <f t="shared" si="33"/>
        <v>DE_SS.com</v>
      </c>
      <c r="C1007" s="107" t="s">
        <v>259</v>
      </c>
      <c r="D1007" s="107" t="s">
        <v>184</v>
      </c>
      <c r="E1007" s="107" t="s">
        <v>2705</v>
      </c>
      <c r="F1007" s="116" t="s">
        <v>2706</v>
      </c>
      <c r="G1007" s="116" t="s">
        <v>2689</v>
      </c>
      <c r="H1007" s="93" t="e">
        <v>#N/A</v>
      </c>
      <c r="I1007" s="99">
        <v>46076</v>
      </c>
      <c r="J1007" s="83" t="s">
        <v>189</v>
      </c>
      <c r="K1007" s="107"/>
      <c r="L1007" s="107"/>
      <c r="M1007" s="107"/>
      <c r="N1007" s="107"/>
      <c r="O1007" s="107"/>
    </row>
    <row r="1008" spans="1:15" s="81" customFormat="1" hidden="1">
      <c r="A1008" s="81" t="str">
        <f t="shared" si="32"/>
        <v>DESS.comWireless HeadsetIn ear headphonesIn ear Kopfhörer</v>
      </c>
      <c r="B1008" s="106" t="str">
        <f t="shared" si="33"/>
        <v>DE_SS.com</v>
      </c>
      <c r="C1008" s="107" t="s">
        <v>259</v>
      </c>
      <c r="D1008" s="107" t="s">
        <v>184</v>
      </c>
      <c r="E1008" s="107" t="s">
        <v>2705</v>
      </c>
      <c r="F1008" s="116" t="s">
        <v>2690</v>
      </c>
      <c r="G1008" s="116" t="s">
        <v>2691</v>
      </c>
      <c r="H1008" s="93" t="e">
        <v>#N/A</v>
      </c>
      <c r="I1008" s="99">
        <v>46076</v>
      </c>
      <c r="J1008" s="83" t="s">
        <v>189</v>
      </c>
      <c r="K1008" s="107"/>
      <c r="L1008" s="107"/>
      <c r="M1008" s="107"/>
      <c r="N1008" s="107"/>
      <c r="O1008" s="107"/>
    </row>
    <row r="1009" spans="1:15" s="81" customFormat="1" hidden="1">
      <c r="A1009" s="81" t="str">
        <f t="shared" si="32"/>
        <v>DESS.comWireless Headsetsports headphonesSport Kopfhörer</v>
      </c>
      <c r="B1009" s="106" t="str">
        <f t="shared" si="33"/>
        <v>DE_SS.com</v>
      </c>
      <c r="C1009" s="107" t="s">
        <v>259</v>
      </c>
      <c r="D1009" s="107" t="s">
        <v>184</v>
      </c>
      <c r="E1009" s="107" t="s">
        <v>2705</v>
      </c>
      <c r="F1009" s="116" t="s">
        <v>2692</v>
      </c>
      <c r="G1009" s="116" t="s">
        <v>2693</v>
      </c>
      <c r="H1009" s="93" t="e">
        <v>#N/A</v>
      </c>
      <c r="I1009" s="99">
        <v>46076</v>
      </c>
      <c r="J1009" s="83" t="s">
        <v>189</v>
      </c>
      <c r="K1009" s="107"/>
      <c r="L1009" s="107"/>
      <c r="M1009" s="107"/>
      <c r="N1009" s="107"/>
      <c r="O1009" s="107"/>
    </row>
    <row r="1010" spans="1:15" s="81" customFormat="1" hidden="1">
      <c r="A1010" s="81" t="str">
        <f t="shared" si="32"/>
        <v>DESS.comWireless HeadsetEarbudsOhrhörer</v>
      </c>
      <c r="B1010" s="106" t="str">
        <f t="shared" si="33"/>
        <v>DE_SS.com</v>
      </c>
      <c r="C1010" s="107" t="s">
        <v>259</v>
      </c>
      <c r="D1010" s="107" t="s">
        <v>184</v>
      </c>
      <c r="E1010" s="107" t="s">
        <v>2705</v>
      </c>
      <c r="F1010" s="116" t="s">
        <v>2534</v>
      </c>
      <c r="G1010" s="116" t="s">
        <v>2694</v>
      </c>
      <c r="H1010" s="93" t="e">
        <v>#N/A</v>
      </c>
      <c r="I1010" s="99">
        <v>46076</v>
      </c>
      <c r="J1010" s="83" t="s">
        <v>189</v>
      </c>
      <c r="K1010" s="107"/>
      <c r="L1010" s="107"/>
      <c r="M1010" s="107"/>
      <c r="N1010" s="107"/>
      <c r="O1010" s="107"/>
    </row>
    <row r="1011" spans="1:15" s="81" customFormat="1" hidden="1">
      <c r="A1011" s="81" t="str">
        <f t="shared" si="32"/>
        <v>DELG.comAir Conditionerwindow inverter air conditionerklimaanlage</v>
      </c>
      <c r="B1011" s="106" t="str">
        <f t="shared" si="33"/>
        <v>DE_LG.com</v>
      </c>
      <c r="C1011" s="107" t="s">
        <v>259</v>
      </c>
      <c r="D1011" s="107" t="s">
        <v>321</v>
      </c>
      <c r="E1011" s="107" t="s">
        <v>2346</v>
      </c>
      <c r="F1011" s="107" t="s">
        <v>2424</v>
      </c>
      <c r="G1011" s="107" t="s">
        <v>2695</v>
      </c>
      <c r="H1011" s="93" t="e">
        <v>#N/A</v>
      </c>
      <c r="I1011" s="99">
        <v>46076</v>
      </c>
      <c r="J1011" s="83" t="s">
        <v>189</v>
      </c>
      <c r="K1011" s="107"/>
      <c r="L1011" s="107"/>
      <c r="M1011" s="107"/>
      <c r="N1011" s="107"/>
      <c r="O1011" s="107"/>
    </row>
    <row r="1012" spans="1:15" s="81" customFormat="1" hidden="1">
      <c r="A1012" s="81" t="str">
        <f t="shared" si="32"/>
        <v>DELG.comMonitorgaming monitorgaming-monitor</v>
      </c>
      <c r="B1012" s="106" t="str">
        <f t="shared" si="33"/>
        <v>DE_LG.com</v>
      </c>
      <c r="C1012" s="107" t="s">
        <v>259</v>
      </c>
      <c r="D1012" s="107" t="s">
        <v>321</v>
      </c>
      <c r="E1012" s="107" t="s">
        <v>2320</v>
      </c>
      <c r="F1012" s="107" t="s">
        <v>2322</v>
      </c>
      <c r="G1012" s="107" t="s">
        <v>2699</v>
      </c>
      <c r="H1012" s="93" t="e">
        <v>#N/A</v>
      </c>
      <c r="I1012" s="99">
        <v>46076</v>
      </c>
      <c r="J1012" s="83" t="s">
        <v>189</v>
      </c>
      <c r="K1012" s="107"/>
      <c r="L1012" s="107"/>
      <c r="M1012" s="107"/>
      <c r="N1012" s="107"/>
      <c r="O1012" s="107"/>
    </row>
    <row r="1013" spans="1:15" s="81" customFormat="1" hidden="1">
      <c r="A1013" s="81" t="str">
        <f t="shared" si="32"/>
        <v>DELG.comMonitormonitormonitor</v>
      </c>
      <c r="B1013" s="106" t="str">
        <f t="shared" si="33"/>
        <v>DE_LG.com</v>
      </c>
      <c r="C1013" s="107" t="s">
        <v>259</v>
      </c>
      <c r="D1013" s="107" t="s">
        <v>321</v>
      </c>
      <c r="E1013" s="107" t="s">
        <v>2320</v>
      </c>
      <c r="F1013" s="107" t="s">
        <v>2323</v>
      </c>
      <c r="G1013" s="107" t="s">
        <v>2323</v>
      </c>
      <c r="H1013" s="93" t="e">
        <v>#N/A</v>
      </c>
      <c r="I1013" s="99">
        <v>46076</v>
      </c>
      <c r="J1013" s="83" t="s">
        <v>189</v>
      </c>
      <c r="K1013" s="107"/>
      <c r="L1013" s="107"/>
      <c r="M1013" s="107"/>
      <c r="N1013" s="107"/>
      <c r="O1013" s="107"/>
    </row>
    <row r="1014" spans="1:15" s="81" customFormat="1" hidden="1">
      <c r="A1014" s="81" t="str">
        <f t="shared" si="32"/>
        <v>DELG.comRefrigeratorrefrigeratorkühlschrank</v>
      </c>
      <c r="B1014" s="106" t="str">
        <f t="shared" si="33"/>
        <v>DE_LG.com</v>
      </c>
      <c r="C1014" s="107" t="s">
        <v>259</v>
      </c>
      <c r="D1014" s="107" t="s">
        <v>321</v>
      </c>
      <c r="E1014" s="107" t="s">
        <v>2326</v>
      </c>
      <c r="F1014" s="107" t="s">
        <v>2329</v>
      </c>
      <c r="G1014" s="107" t="s">
        <v>2700</v>
      </c>
      <c r="H1014" s="93" t="e">
        <v>#N/A</v>
      </c>
      <c r="I1014" s="99">
        <v>46076</v>
      </c>
      <c r="J1014" s="83" t="s">
        <v>189</v>
      </c>
      <c r="K1014" s="107"/>
      <c r="L1014" s="107"/>
      <c r="M1014" s="107"/>
      <c r="N1014" s="107"/>
      <c r="O1014" s="107"/>
    </row>
    <row r="1015" spans="1:15" s="81" customFormat="1" hidden="1">
      <c r="A1015" s="81" t="str">
        <f t="shared" si="32"/>
        <v>DELG.comTVtvfernseher</v>
      </c>
      <c r="B1015" s="106" t="str">
        <f t="shared" si="33"/>
        <v>DE_LG.com</v>
      </c>
      <c r="C1015" s="107" t="s">
        <v>259</v>
      </c>
      <c r="D1015" s="107" t="s">
        <v>321</v>
      </c>
      <c r="E1015" s="107" t="s">
        <v>161</v>
      </c>
      <c r="F1015" s="107" t="s">
        <v>2444</v>
      </c>
      <c r="G1015" s="107" t="s">
        <v>2701</v>
      </c>
      <c r="H1015" s="93" t="e">
        <v>#N/A</v>
      </c>
      <c r="I1015" s="99">
        <v>46076</v>
      </c>
      <c r="J1015" s="83" t="s">
        <v>189</v>
      </c>
      <c r="K1015" s="107"/>
      <c r="L1015" s="107"/>
      <c r="M1015" s="107"/>
      <c r="N1015" s="107"/>
      <c r="O1015" s="107"/>
    </row>
    <row r="1016" spans="1:15" s="81" customFormat="1" hidden="1">
      <c r="A1016" s="81" t="str">
        <f t="shared" si="32"/>
        <v>DELG.comWashing Machinewashing machinewaschmaschine</v>
      </c>
      <c r="B1016" s="106" t="str">
        <f t="shared" si="33"/>
        <v>DE_LG.com</v>
      </c>
      <c r="C1016" s="107" t="s">
        <v>259</v>
      </c>
      <c r="D1016" s="107" t="s">
        <v>321</v>
      </c>
      <c r="E1016" s="107" t="s">
        <v>2333</v>
      </c>
      <c r="F1016" s="107" t="s">
        <v>2340</v>
      </c>
      <c r="G1016" s="107" t="s">
        <v>2702</v>
      </c>
      <c r="H1016" s="93" t="e">
        <v>#N/A</v>
      </c>
      <c r="I1016" s="99">
        <v>46076</v>
      </c>
      <c r="J1016" s="83" t="s">
        <v>189</v>
      </c>
      <c r="K1016" s="107"/>
      <c r="L1016" s="107"/>
      <c r="M1016" s="107"/>
      <c r="N1016" s="107"/>
      <c r="O1016" s="107"/>
    </row>
    <row r="1017" spans="1:15" s="81" customFormat="1" hidden="1">
      <c r="A1017" s="81" t="str">
        <f t="shared" si="32"/>
        <v>DELG.comWashing Machinewasher dryerwaschtrockner</v>
      </c>
      <c r="B1017" s="106" t="str">
        <f t="shared" si="33"/>
        <v>DE_LG.com</v>
      </c>
      <c r="C1017" s="107" t="s">
        <v>259</v>
      </c>
      <c r="D1017" s="107" t="s">
        <v>321</v>
      </c>
      <c r="E1017" s="107" t="s">
        <v>2333</v>
      </c>
      <c r="F1017" s="107" t="s">
        <v>2339</v>
      </c>
      <c r="G1017" s="107" t="s">
        <v>2703</v>
      </c>
      <c r="H1017" s="93" t="e">
        <v>#N/A</v>
      </c>
      <c r="I1017" s="99">
        <v>46076</v>
      </c>
      <c r="J1017" s="83" t="s">
        <v>189</v>
      </c>
      <c r="K1017" s="107"/>
      <c r="L1017" s="107"/>
      <c r="M1017" s="107"/>
      <c r="N1017" s="107"/>
      <c r="O1017" s="107"/>
    </row>
    <row r="1018" spans="1:15" s="78" customFormat="1" hidden="1">
      <c r="A1018" s="78" t="str">
        <f t="shared" si="32"/>
        <v>DELG.comBluetooth SpeakerPortable bluetooth speakerTragbarer bluetooth lautsprecher</v>
      </c>
      <c r="B1018" s="117" t="str">
        <f t="shared" si="33"/>
        <v>DE_LG.com</v>
      </c>
      <c r="C1018" s="116" t="s">
        <v>261</v>
      </c>
      <c r="D1018" s="116" t="s">
        <v>321</v>
      </c>
      <c r="E1018" s="116" t="s">
        <v>2307</v>
      </c>
      <c r="F1018" s="116" t="s">
        <v>2312</v>
      </c>
      <c r="G1018" s="116" t="s">
        <v>2661</v>
      </c>
      <c r="H1018" s="93" t="e">
        <v>#N/A</v>
      </c>
      <c r="I1018" s="99">
        <v>46076</v>
      </c>
      <c r="J1018" s="83" t="s">
        <v>189</v>
      </c>
      <c r="K1018" s="116"/>
      <c r="L1018" s="116"/>
      <c r="M1018" s="116"/>
      <c r="N1018" s="116"/>
      <c r="O1018" s="116"/>
    </row>
    <row r="1019" spans="1:15" s="78" customFormat="1" hidden="1">
      <c r="A1019" s="78" t="str">
        <f t="shared" si="32"/>
        <v>DELG.comBluetooth SpeakerParty SpeakerParty-Lautsprecher</v>
      </c>
      <c r="B1019" s="117" t="str">
        <f t="shared" si="33"/>
        <v>DE_LG.com</v>
      </c>
      <c r="C1019" s="116" t="s">
        <v>261</v>
      </c>
      <c r="D1019" s="116" t="s">
        <v>321</v>
      </c>
      <c r="E1019" s="116" t="s">
        <v>2307</v>
      </c>
      <c r="F1019" s="116" t="s">
        <v>2707</v>
      </c>
      <c r="G1019" s="116" t="s">
        <v>2708</v>
      </c>
      <c r="H1019" s="93" t="e">
        <v>#N/A</v>
      </c>
      <c r="I1019" s="99">
        <v>46076</v>
      </c>
      <c r="J1019" s="83" t="s">
        <v>189</v>
      </c>
      <c r="K1019" s="116"/>
      <c r="L1019" s="116"/>
      <c r="M1019" s="116"/>
      <c r="N1019" s="116"/>
      <c r="O1019" s="116"/>
    </row>
    <row r="1020" spans="1:15" s="78" customFormat="1" hidden="1">
      <c r="A1020" s="78" t="str">
        <f t="shared" si="32"/>
        <v>DELG.comBluetooth SpeakerWireless speakerKabelloser Lautsprecher</v>
      </c>
      <c r="B1020" s="117" t="str">
        <f t="shared" si="33"/>
        <v>DE_LG.com</v>
      </c>
      <c r="C1020" s="116" t="s">
        <v>261</v>
      </c>
      <c r="D1020" s="116" t="s">
        <v>321</v>
      </c>
      <c r="E1020" s="116" t="s">
        <v>2307</v>
      </c>
      <c r="F1020" s="116" t="s">
        <v>2709</v>
      </c>
      <c r="G1020" s="116" t="s">
        <v>2710</v>
      </c>
      <c r="H1020" s="93" t="e">
        <v>#N/A</v>
      </c>
      <c r="I1020" s="99">
        <v>46076</v>
      </c>
      <c r="J1020" s="83" t="s">
        <v>189</v>
      </c>
      <c r="K1020" s="116"/>
      <c r="L1020" s="116"/>
      <c r="M1020" s="116"/>
      <c r="N1020" s="116"/>
      <c r="O1020" s="116"/>
    </row>
    <row r="1021" spans="1:15" s="81" customFormat="1" hidden="1">
      <c r="A1021" s="81" t="str">
        <f t="shared" si="32"/>
        <v>DELG.comBluetooth Speakerbluetooth speakerBluetooth Lautsprecher</v>
      </c>
      <c r="B1021" s="106" t="str">
        <f t="shared" si="33"/>
        <v>DE_LG.com</v>
      </c>
      <c r="C1021" s="107" t="s">
        <v>259</v>
      </c>
      <c r="D1021" s="107" t="s">
        <v>321</v>
      </c>
      <c r="E1021" s="107" t="s">
        <v>2307</v>
      </c>
      <c r="F1021" s="107" t="s">
        <v>2657</v>
      </c>
      <c r="G1021" s="107" t="s">
        <v>2658</v>
      </c>
      <c r="H1021" s="93" t="e">
        <v>#N/A</v>
      </c>
      <c r="I1021" s="99">
        <v>46076</v>
      </c>
      <c r="J1021" s="83" t="s">
        <v>189</v>
      </c>
      <c r="K1021" s="107"/>
      <c r="L1021" s="107"/>
      <c r="M1021" s="107"/>
      <c r="N1021" s="107"/>
      <c r="O1021" s="107"/>
    </row>
    <row r="1022" spans="1:15" s="81" customFormat="1" hidden="1">
      <c r="A1022" s="81" t="str">
        <f t="shared" si="32"/>
        <v>DELG.comBluetooth SpeakerspeakersLautsprecher</v>
      </c>
      <c r="B1022" s="106" t="str">
        <f t="shared" si="33"/>
        <v>DE_LG.com</v>
      </c>
      <c r="C1022" s="107" t="s">
        <v>259</v>
      </c>
      <c r="D1022" s="107" t="s">
        <v>321</v>
      </c>
      <c r="E1022" s="107" t="s">
        <v>2307</v>
      </c>
      <c r="F1022" s="107" t="s">
        <v>2471</v>
      </c>
      <c r="G1022" s="107" t="s">
        <v>2659</v>
      </c>
      <c r="H1022" s="93" t="e">
        <v>#N/A</v>
      </c>
      <c r="I1022" s="99">
        <v>46076</v>
      </c>
      <c r="J1022" s="83" t="s">
        <v>189</v>
      </c>
      <c r="K1022" s="107"/>
      <c r="L1022" s="107"/>
      <c r="M1022" s="107"/>
      <c r="N1022" s="107"/>
      <c r="O1022" s="107"/>
    </row>
    <row r="1023" spans="1:15" s="81" customFormat="1" hidden="1">
      <c r="A1023" s="81" t="str">
        <f t="shared" si="32"/>
        <v>DELG.comBluetooth Speakerportable speakerstragbare Lautsprecher</v>
      </c>
      <c r="B1023" s="106" t="str">
        <f t="shared" si="33"/>
        <v>DE_LG.com</v>
      </c>
      <c r="C1023" s="107" t="s">
        <v>259</v>
      </c>
      <c r="D1023" s="107" t="s">
        <v>321</v>
      </c>
      <c r="E1023" s="107" t="s">
        <v>2307</v>
      </c>
      <c r="F1023" s="107" t="s">
        <v>2473</v>
      </c>
      <c r="G1023" s="107" t="s">
        <v>2711</v>
      </c>
      <c r="H1023" s="93" t="e">
        <v>#N/A</v>
      </c>
      <c r="I1023" s="99">
        <v>46076</v>
      </c>
      <c r="J1023" s="83" t="s">
        <v>189</v>
      </c>
      <c r="K1023" s="107"/>
      <c r="L1023" s="107"/>
      <c r="M1023" s="107"/>
      <c r="N1023" s="107"/>
      <c r="O1023" s="107"/>
    </row>
    <row r="1024" spans="1:15" s="197" customFormat="1" hidden="1">
      <c r="A1024" s="197" t="str">
        <f t="shared" ref="A1024:A1027" si="36">C1024&amp;D1024&amp;E1024&amp;F1024&amp;G1024</f>
        <v>DELG.comWireless HeadsetWireless HeadsetBluetooth Kopfhörer</v>
      </c>
      <c r="B1024" s="198" t="str">
        <f t="shared" ref="B1024:B1027" si="37">C1024&amp;"_"&amp;D1024</f>
        <v>DE_LG.com</v>
      </c>
      <c r="C1024" s="199" t="s">
        <v>259</v>
      </c>
      <c r="D1024" s="199" t="s">
        <v>321</v>
      </c>
      <c r="E1024" s="199" t="s">
        <v>2705</v>
      </c>
      <c r="F1024" s="199" t="s">
        <v>2373</v>
      </c>
      <c r="G1024" s="203" t="s">
        <v>2712</v>
      </c>
      <c r="H1024" s="199" t="e">
        <v>#N/A</v>
      </c>
      <c r="I1024" s="201">
        <v>46076</v>
      </c>
      <c r="J1024" s="202" t="s">
        <v>189</v>
      </c>
      <c r="K1024" s="199"/>
      <c r="L1024" s="199"/>
      <c r="M1024" s="199"/>
      <c r="N1024" s="199"/>
      <c r="O1024" s="199"/>
    </row>
    <row r="1025" spans="1:15" s="197" customFormat="1" ht="14.4" hidden="1">
      <c r="A1025" s="197" t="str">
        <f t="shared" si="36"/>
        <v>DELG.comWireless HeadsetWireless HeadsetIn ear Kopfhörer</v>
      </c>
      <c r="B1025" s="198" t="str">
        <f t="shared" si="37"/>
        <v>DE_LG.com</v>
      </c>
      <c r="C1025" s="199" t="s">
        <v>259</v>
      </c>
      <c r="D1025" s="199" t="s">
        <v>321</v>
      </c>
      <c r="E1025" s="199" t="s">
        <v>2705</v>
      </c>
      <c r="F1025" s="199" t="s">
        <v>2373</v>
      </c>
      <c r="G1025" s="203" t="s">
        <v>2713</v>
      </c>
      <c r="H1025" s="199" t="e">
        <v>#N/A</v>
      </c>
      <c r="I1025" s="201">
        <v>46076</v>
      </c>
      <c r="J1025" s="202" t="s">
        <v>189</v>
      </c>
      <c r="K1025" s="199"/>
      <c r="L1025" s="199"/>
      <c r="M1025" s="199"/>
      <c r="N1025" s="199"/>
      <c r="O1025" s="199"/>
    </row>
    <row r="1026" spans="1:15" s="197" customFormat="1" hidden="1">
      <c r="A1026" s="197" t="str">
        <f t="shared" si="36"/>
        <v>DELG.comWireless HeadsetWireless Headsetsports Kopfhörer</v>
      </c>
      <c r="B1026" s="198" t="str">
        <f t="shared" si="37"/>
        <v>DE_LG.com</v>
      </c>
      <c r="C1026" s="199" t="s">
        <v>259</v>
      </c>
      <c r="D1026" s="199" t="s">
        <v>321</v>
      </c>
      <c r="E1026" s="199" t="s">
        <v>2705</v>
      </c>
      <c r="F1026" s="199" t="s">
        <v>2373</v>
      </c>
      <c r="G1026" s="203" t="s">
        <v>2714</v>
      </c>
      <c r="H1026" s="199" t="e">
        <v>#N/A</v>
      </c>
      <c r="I1026" s="201">
        <v>46076</v>
      </c>
      <c r="J1026" s="202" t="s">
        <v>189</v>
      </c>
      <c r="K1026" s="199"/>
      <c r="L1026" s="199"/>
      <c r="M1026" s="199"/>
      <c r="N1026" s="199"/>
      <c r="O1026" s="199"/>
    </row>
    <row r="1027" spans="1:15" s="197" customFormat="1" hidden="1">
      <c r="A1027" s="197" t="str">
        <f t="shared" si="36"/>
        <v>DELG.comWireless HeadsetWireless HeadsetOhrhörer</v>
      </c>
      <c r="B1027" s="198" t="str">
        <f t="shared" si="37"/>
        <v>DE_LG.com</v>
      </c>
      <c r="C1027" s="199" t="s">
        <v>259</v>
      </c>
      <c r="D1027" s="199" t="s">
        <v>321</v>
      </c>
      <c r="E1027" s="199" t="s">
        <v>2705</v>
      </c>
      <c r="F1027" s="199" t="s">
        <v>2373</v>
      </c>
      <c r="G1027" s="203" t="s">
        <v>2715</v>
      </c>
      <c r="H1027" s="199" t="e">
        <v>#N/A</v>
      </c>
      <c r="I1027" s="201">
        <v>46076</v>
      </c>
      <c r="J1027" s="202" t="s">
        <v>189</v>
      </c>
      <c r="K1027" s="199"/>
      <c r="L1027" s="199"/>
      <c r="M1027" s="199"/>
      <c r="N1027" s="199"/>
      <c r="O1027" s="199"/>
    </row>
    <row r="1028" spans="1:15" s="111" customFormat="1" hidden="1">
      <c r="A1028" s="111" t="s">
        <v>2716</v>
      </c>
      <c r="B1028" s="111" t="s">
        <v>2717</v>
      </c>
      <c r="C1028" s="111" t="s">
        <v>261</v>
      </c>
      <c r="D1028" s="111" t="s">
        <v>567</v>
      </c>
      <c r="E1028" s="113" t="s">
        <v>2527</v>
      </c>
      <c r="F1028" s="113" t="s">
        <v>2365</v>
      </c>
      <c r="G1028" s="113" t="s">
        <v>2365</v>
      </c>
      <c r="H1028" s="93" t="e">
        <v>#N/A</v>
      </c>
      <c r="I1028" s="99">
        <v>46076</v>
      </c>
      <c r="J1028" s="83" t="s">
        <v>189</v>
      </c>
      <c r="K1028" s="118"/>
      <c r="L1028" s="118"/>
      <c r="M1028" s="118"/>
      <c r="N1028" s="118"/>
      <c r="O1028" s="118"/>
    </row>
    <row r="1029" spans="1:15" s="111" customFormat="1" hidden="1">
      <c r="A1029" s="111" t="s">
        <v>2716</v>
      </c>
      <c r="B1029" s="111" t="s">
        <v>2717</v>
      </c>
      <c r="C1029" s="111" t="s">
        <v>261</v>
      </c>
      <c r="D1029" s="111" t="s">
        <v>567</v>
      </c>
      <c r="E1029" s="113" t="s">
        <v>2527</v>
      </c>
      <c r="F1029" s="113" t="s">
        <v>2363</v>
      </c>
      <c r="G1029" s="113" t="s">
        <v>2363</v>
      </c>
      <c r="H1029" s="93" t="e">
        <v>#N/A</v>
      </c>
      <c r="I1029" s="99">
        <v>46076</v>
      </c>
      <c r="J1029" s="83" t="s">
        <v>189</v>
      </c>
      <c r="K1029" s="118"/>
      <c r="L1029" s="118"/>
      <c r="M1029" s="118"/>
      <c r="N1029" s="118"/>
      <c r="O1029" s="118"/>
    </row>
    <row r="1030" spans="1:15" s="111" customFormat="1" hidden="1">
      <c r="A1030" s="111" t="s">
        <v>2716</v>
      </c>
      <c r="B1030" s="111" t="s">
        <v>2717</v>
      </c>
      <c r="C1030" s="111" t="s">
        <v>261</v>
      </c>
      <c r="D1030" s="111" t="s">
        <v>567</v>
      </c>
      <c r="E1030" s="113" t="s">
        <v>2527</v>
      </c>
      <c r="F1030" s="113" t="s">
        <v>2573</v>
      </c>
      <c r="G1030" s="113" t="s">
        <v>2685</v>
      </c>
      <c r="H1030" s="93" t="e">
        <v>#N/A</v>
      </c>
      <c r="I1030" s="99">
        <v>46076</v>
      </c>
      <c r="J1030" s="83" t="s">
        <v>189</v>
      </c>
      <c r="K1030" s="118"/>
      <c r="L1030" s="118"/>
      <c r="M1030" s="118"/>
      <c r="N1030" s="118"/>
      <c r="O1030" s="118"/>
    </row>
    <row r="1031" spans="1:15" s="111" customFormat="1" hidden="1">
      <c r="A1031" s="111" t="s">
        <v>2716</v>
      </c>
      <c r="B1031" s="111" t="s">
        <v>2717</v>
      </c>
      <c r="C1031" s="111" t="s">
        <v>261</v>
      </c>
      <c r="D1031" s="111" t="s">
        <v>567</v>
      </c>
      <c r="E1031" s="113" t="s">
        <v>2527</v>
      </c>
      <c r="F1031" s="113" t="s">
        <v>2686</v>
      </c>
      <c r="G1031" s="113" t="s">
        <v>2645</v>
      </c>
      <c r="H1031" s="93" t="e">
        <v>#N/A</v>
      </c>
      <c r="I1031" s="99">
        <v>46076</v>
      </c>
      <c r="J1031" s="83" t="s">
        <v>189</v>
      </c>
      <c r="K1031" s="118"/>
      <c r="L1031" s="118"/>
      <c r="M1031" s="118"/>
      <c r="N1031" s="118"/>
      <c r="O1031" s="118"/>
    </row>
    <row r="1032" spans="1:15" s="197" customFormat="1" hidden="1">
      <c r="A1032" s="197" t="s">
        <v>2716</v>
      </c>
      <c r="B1032" s="197" t="s">
        <v>2717</v>
      </c>
      <c r="C1032" s="197" t="s">
        <v>261</v>
      </c>
      <c r="D1032" s="197" t="s">
        <v>567</v>
      </c>
      <c r="E1032" s="199" t="s">
        <v>2431</v>
      </c>
      <c r="F1032" s="199" t="s">
        <v>2431</v>
      </c>
      <c r="G1032" s="199" t="s">
        <v>2718</v>
      </c>
      <c r="H1032" s="199" t="s">
        <v>2719</v>
      </c>
      <c r="I1032" s="201">
        <v>46076</v>
      </c>
      <c r="J1032" s="202" t="s">
        <v>189</v>
      </c>
      <c r="K1032" s="204"/>
      <c r="L1032" s="204"/>
      <c r="M1032" s="204"/>
      <c r="N1032" s="204"/>
      <c r="O1032" s="204"/>
    </row>
    <row r="1033" spans="1:15" hidden="1">
      <c r="A1033" s="75" t="str">
        <f t="shared" ref="A1033:A1096" si="38">C1033&amp;D1033&amp;E1033&amp;F1033&amp;G1033</f>
        <v>DKELGIGANTENRefrigeratorrefrigeratorKøleskab</v>
      </c>
      <c r="B1033" s="94" t="str">
        <f t="shared" ref="B1033:B1096" si="39">C1033&amp;"_"&amp;D1033</f>
        <v>DK_ELGIGANTEN</v>
      </c>
      <c r="C1033" s="93" t="s">
        <v>515</v>
      </c>
      <c r="D1033" s="93" t="s">
        <v>293</v>
      </c>
      <c r="E1033" s="93" t="s">
        <v>2326</v>
      </c>
      <c r="F1033" s="93" t="s">
        <v>2329</v>
      </c>
      <c r="G1033" s="93" t="s">
        <v>2720</v>
      </c>
      <c r="H1033" s="93" t="e">
        <v>#N/A</v>
      </c>
      <c r="I1033" s="105" t="s">
        <v>2310</v>
      </c>
      <c r="J1033" s="93" t="s">
        <v>189</v>
      </c>
      <c r="K1033" s="93">
        <v>1126</v>
      </c>
      <c r="L1033" s="93" t="e">
        <v>#N/A</v>
      </c>
      <c r="M1033" s="93" t="s">
        <v>2311</v>
      </c>
      <c r="N1033" s="93" t="e">
        <f>VLOOKUP(B1033,'[16]01.수집 카테고리(List)'!$A$2:$H$64,8,FALSE)</f>
        <v>#N/A</v>
      </c>
      <c r="O1033" s="93"/>
    </row>
    <row r="1034" spans="1:15" hidden="1">
      <c r="A1034" s="75" t="str">
        <f t="shared" si="38"/>
        <v>DKELGIGANTENRefrigeratorAmerican refrigeratorAmerikanerkøleskab</v>
      </c>
      <c r="B1034" s="94" t="str">
        <f t="shared" si="39"/>
        <v>DK_ELGIGANTEN</v>
      </c>
      <c r="C1034" s="93" t="s">
        <v>515</v>
      </c>
      <c r="D1034" s="93" t="s">
        <v>293</v>
      </c>
      <c r="E1034" s="93" t="s">
        <v>2326</v>
      </c>
      <c r="F1034" s="93" t="s">
        <v>2721</v>
      </c>
      <c r="G1034" s="93" t="s">
        <v>2722</v>
      </c>
      <c r="H1034" s="93" t="e">
        <v>#N/A</v>
      </c>
      <c r="I1034" s="105" t="s">
        <v>2310</v>
      </c>
      <c r="J1034" s="93" t="s">
        <v>189</v>
      </c>
      <c r="K1034" s="93">
        <v>1</v>
      </c>
      <c r="L1034" s="93" t="e">
        <v>#N/A</v>
      </c>
      <c r="M1034" s="93" t="s">
        <v>2311</v>
      </c>
      <c r="N1034" s="93" t="e">
        <f>VLOOKUP(B1034,'[16]01.수집 카테고리(List)'!$A$2:$H$64,8,FALSE)</f>
        <v>#N/A</v>
      </c>
      <c r="O1034" s="93"/>
    </row>
    <row r="1035" spans="1:15" hidden="1">
      <c r="A1035" s="75" t="str">
        <f t="shared" si="38"/>
        <v>DKELGIGANTENRefrigeratorAmerican refrigeratorAmerikanerskab</v>
      </c>
      <c r="B1035" s="94" t="str">
        <f t="shared" si="39"/>
        <v>DK_ELGIGANTEN</v>
      </c>
      <c r="C1035" s="93" t="s">
        <v>515</v>
      </c>
      <c r="D1035" s="93" t="s">
        <v>293</v>
      </c>
      <c r="E1035" s="93" t="s">
        <v>2326</v>
      </c>
      <c r="F1035" s="93" t="s">
        <v>2721</v>
      </c>
      <c r="G1035" s="93" t="s">
        <v>2723</v>
      </c>
      <c r="H1035" s="93" t="e">
        <v>#N/A</v>
      </c>
      <c r="I1035" s="105" t="s">
        <v>2310</v>
      </c>
      <c r="J1035" s="93" t="s">
        <v>189</v>
      </c>
      <c r="K1035" s="93">
        <v>1</v>
      </c>
      <c r="L1035" s="93" t="e">
        <v>#N/A</v>
      </c>
      <c r="M1035" s="93" t="s">
        <v>2311</v>
      </c>
      <c r="N1035" s="93" t="e">
        <f>VLOOKUP(B1035,'[16]01.수집 카테고리(List)'!$A$2:$H$64,8,FALSE)</f>
        <v>#N/A</v>
      </c>
      <c r="O1035" s="93"/>
    </row>
    <row r="1036" spans="1:15" hidden="1">
      <c r="A1036" s="75" t="str">
        <f t="shared" si="38"/>
        <v>DKELGIGANTENRefrigeratorfrench door refrigeratorFrench door-Køleskab　</v>
      </c>
      <c r="B1036" s="94" t="str">
        <f t="shared" si="39"/>
        <v>DK_ELGIGANTEN</v>
      </c>
      <c r="C1036" s="93" t="s">
        <v>515</v>
      </c>
      <c r="D1036" s="93" t="s">
        <v>293</v>
      </c>
      <c r="E1036" s="93" t="s">
        <v>2326</v>
      </c>
      <c r="F1036" s="93" t="s">
        <v>2328</v>
      </c>
      <c r="G1036" s="93" t="s">
        <v>2724</v>
      </c>
      <c r="H1036" s="93" t="e">
        <v>#N/A</v>
      </c>
      <c r="I1036" s="105" t="s">
        <v>2310</v>
      </c>
      <c r="J1036" s="93" t="s">
        <v>189</v>
      </c>
      <c r="K1036" s="93">
        <v>29</v>
      </c>
      <c r="L1036" s="93" t="e">
        <v>#N/A</v>
      </c>
      <c r="M1036" s="93" t="s">
        <v>2311</v>
      </c>
      <c r="N1036" s="93" t="e">
        <f>VLOOKUP(B1036,'[16]01.수집 카테고리(List)'!$A$2:$H$64,8,FALSE)</f>
        <v>#N/A</v>
      </c>
      <c r="O1036" s="93"/>
    </row>
    <row r="1037" spans="1:15" hidden="1">
      <c r="A1037" s="75" t="str">
        <f t="shared" si="38"/>
        <v>DKELGIGANTENTV4k TV4k TV</v>
      </c>
      <c r="B1037" s="94" t="str">
        <f t="shared" si="39"/>
        <v>DK_ELGIGANTEN</v>
      </c>
      <c r="C1037" s="93" t="s">
        <v>515</v>
      </c>
      <c r="D1037" s="93" t="s">
        <v>293</v>
      </c>
      <c r="E1037" s="93" t="s">
        <v>161</v>
      </c>
      <c r="F1037" s="93" t="s">
        <v>2368</v>
      </c>
      <c r="G1037" s="93" t="s">
        <v>2368</v>
      </c>
      <c r="H1037" s="93" t="e">
        <v>#N/A</v>
      </c>
      <c r="I1037" s="105" t="s">
        <v>2310</v>
      </c>
      <c r="J1037" s="93" t="s">
        <v>189</v>
      </c>
      <c r="K1037" s="93">
        <v>151</v>
      </c>
      <c r="L1037" s="93">
        <v>151</v>
      </c>
      <c r="M1037" s="93" t="s">
        <v>2311</v>
      </c>
      <c r="N1037" s="93" t="e">
        <f>VLOOKUP(B1037,'[16]01.수집 카테고리(List)'!$A$2:$H$64,8,FALSE)</f>
        <v>#N/A</v>
      </c>
      <c r="O1037" s="93"/>
    </row>
    <row r="1038" spans="1:15" hidden="1">
      <c r="A1038" s="75" t="str">
        <f t="shared" si="38"/>
        <v>DKELGIGANTENTVoled TVoled TV</v>
      </c>
      <c r="B1038" s="94" t="str">
        <f t="shared" si="39"/>
        <v>DK_ELGIGANTEN</v>
      </c>
      <c r="C1038" s="93" t="s">
        <v>515</v>
      </c>
      <c r="D1038" s="93" t="s">
        <v>293</v>
      </c>
      <c r="E1038" s="93" t="s">
        <v>161</v>
      </c>
      <c r="F1038" s="93" t="s">
        <v>2369</v>
      </c>
      <c r="G1038" s="93" t="s">
        <v>2369</v>
      </c>
      <c r="H1038" s="93" t="e">
        <v>#N/A</v>
      </c>
      <c r="I1038" s="105" t="s">
        <v>2310</v>
      </c>
      <c r="J1038" s="93" t="s">
        <v>189</v>
      </c>
      <c r="K1038" s="93">
        <v>9</v>
      </c>
      <c r="L1038" s="93">
        <v>9</v>
      </c>
      <c r="M1038" s="93" t="s">
        <v>2311</v>
      </c>
      <c r="N1038" s="93" t="e">
        <f>VLOOKUP(B1038,'[16]01.수집 카테고리(List)'!$A$2:$H$64,8,FALSE)</f>
        <v>#N/A</v>
      </c>
      <c r="O1038" s="93"/>
    </row>
    <row r="1039" spans="1:15" hidden="1">
      <c r="A1039" s="75" t="str">
        <f t="shared" si="38"/>
        <v>DKELGIGANTENTVsmart TVsmart TV</v>
      </c>
      <c r="B1039" s="94" t="str">
        <f t="shared" si="39"/>
        <v>DK_ELGIGANTEN</v>
      </c>
      <c r="C1039" s="93" t="s">
        <v>515</v>
      </c>
      <c r="D1039" s="93" t="s">
        <v>293</v>
      </c>
      <c r="E1039" s="93" t="s">
        <v>161</v>
      </c>
      <c r="F1039" s="93" t="s">
        <v>2371</v>
      </c>
      <c r="G1039" s="93" t="s">
        <v>2371</v>
      </c>
      <c r="H1039" s="93" t="e">
        <v>#N/A</v>
      </c>
      <c r="I1039" s="105" t="s">
        <v>2310</v>
      </c>
      <c r="J1039" s="93" t="s">
        <v>189</v>
      </c>
      <c r="K1039" s="93">
        <v>176</v>
      </c>
      <c r="L1039" s="93">
        <v>176</v>
      </c>
      <c r="M1039" s="93" t="s">
        <v>2311</v>
      </c>
      <c r="N1039" s="93" t="e">
        <f>VLOOKUP(B1039,'[16]01.수집 카테고리(List)'!$A$2:$H$64,8,FALSE)</f>
        <v>#N/A</v>
      </c>
      <c r="O1039" s="93"/>
    </row>
    <row r="1040" spans="1:15" hidden="1">
      <c r="A1040" s="75" t="str">
        <f t="shared" si="38"/>
        <v>DKELGIGANTENTVTVTV</v>
      </c>
      <c r="B1040" s="94" t="str">
        <f t="shared" si="39"/>
        <v>DK_ELGIGANTEN</v>
      </c>
      <c r="C1040" s="93" t="s">
        <v>515</v>
      </c>
      <c r="D1040" s="93" t="s">
        <v>293</v>
      </c>
      <c r="E1040" s="93" t="s">
        <v>161</v>
      </c>
      <c r="F1040" s="93" t="s">
        <v>161</v>
      </c>
      <c r="G1040" s="93" t="s">
        <v>161</v>
      </c>
      <c r="H1040" s="93" t="e">
        <v>#N/A</v>
      </c>
      <c r="I1040" s="105" t="s">
        <v>2310</v>
      </c>
      <c r="J1040" s="93" t="s">
        <v>189</v>
      </c>
      <c r="K1040" s="93">
        <v>4086</v>
      </c>
      <c r="L1040" s="93">
        <v>4086</v>
      </c>
      <c r="M1040" s="93" t="s">
        <v>2311</v>
      </c>
      <c r="N1040" s="93" t="e">
        <f>VLOOKUP(B1040,'[16]01.수집 카테고리(List)'!$A$2:$H$64,8,FALSE)</f>
        <v>#N/A</v>
      </c>
      <c r="O1040" s="93"/>
    </row>
    <row r="1041" spans="1:15" hidden="1">
      <c r="A1041" s="75" t="str">
        <f t="shared" si="38"/>
        <v>DKELGIGANTENTVuhd TVuhd TV</v>
      </c>
      <c r="B1041" s="94" t="str">
        <f t="shared" si="39"/>
        <v>DK_ELGIGANTEN</v>
      </c>
      <c r="C1041" s="93" t="s">
        <v>515</v>
      </c>
      <c r="D1041" s="93" t="s">
        <v>293</v>
      </c>
      <c r="E1041" s="93" t="s">
        <v>161</v>
      </c>
      <c r="F1041" s="93" t="s">
        <v>2399</v>
      </c>
      <c r="G1041" s="93" t="s">
        <v>2399</v>
      </c>
      <c r="H1041" s="93" t="e">
        <v>#N/A</v>
      </c>
      <c r="I1041" s="105" t="s">
        <v>2310</v>
      </c>
      <c r="J1041" s="93" t="s">
        <v>189</v>
      </c>
      <c r="K1041" s="93">
        <v>9</v>
      </c>
      <c r="L1041" s="93">
        <v>9</v>
      </c>
      <c r="M1041" s="93" t="s">
        <v>2311</v>
      </c>
      <c r="N1041" s="93" t="e">
        <f>VLOOKUP(B1041,'[16]01.수집 카테고리(List)'!$A$2:$H$64,8,FALSE)</f>
        <v>#N/A</v>
      </c>
      <c r="O1041" s="93"/>
    </row>
    <row r="1042" spans="1:15" hidden="1">
      <c r="A1042" s="75" t="str">
        <f t="shared" si="38"/>
        <v>DKELGIGANTENWashing Machinefront loaderFrontbetjent　</v>
      </c>
      <c r="B1042" s="94" t="str">
        <f t="shared" si="39"/>
        <v>DK_ELGIGANTEN</v>
      </c>
      <c r="C1042" s="93" t="s">
        <v>515</v>
      </c>
      <c r="D1042" s="93" t="s">
        <v>293</v>
      </c>
      <c r="E1042" s="93" t="s">
        <v>2333</v>
      </c>
      <c r="F1042" s="93" t="s">
        <v>2334</v>
      </c>
      <c r="G1042" s="93" t="s">
        <v>2725</v>
      </c>
      <c r="H1042" s="93" t="e">
        <v>#N/A</v>
      </c>
      <c r="I1042" s="105" t="s">
        <v>2310</v>
      </c>
      <c r="J1042" s="93" t="s">
        <v>189</v>
      </c>
      <c r="K1042" s="93">
        <v>3</v>
      </c>
      <c r="L1042" s="93" t="e">
        <v>#N/A</v>
      </c>
      <c r="M1042" s="93" t="s">
        <v>2311</v>
      </c>
      <c r="N1042" s="93" t="e">
        <f>VLOOKUP(B1042,'[16]01.수집 카테고리(List)'!$A$2:$H$64,8,FALSE)</f>
        <v>#N/A</v>
      </c>
      <c r="O1042" s="93"/>
    </row>
    <row r="1043" spans="1:15" hidden="1">
      <c r="A1043" s="75" t="str">
        <f t="shared" si="38"/>
        <v>DKELGIGANTENWashing Machinewasher dryer comboKombineret vaskemaskin/tørretumbler　</v>
      </c>
      <c r="B1043" s="94" t="str">
        <f t="shared" si="39"/>
        <v>DK_ELGIGANTEN</v>
      </c>
      <c r="C1043" s="93" t="s">
        <v>515</v>
      </c>
      <c r="D1043" s="93" t="s">
        <v>293</v>
      </c>
      <c r="E1043" s="93" t="s">
        <v>2333</v>
      </c>
      <c r="F1043" s="93" t="s">
        <v>2338</v>
      </c>
      <c r="G1043" s="93" t="s">
        <v>2726</v>
      </c>
      <c r="H1043" s="93" t="e">
        <v>#N/A</v>
      </c>
      <c r="I1043" s="105" t="s">
        <v>2310</v>
      </c>
      <c r="J1043" s="93" t="s">
        <v>189</v>
      </c>
      <c r="K1043" s="93">
        <v>6</v>
      </c>
      <c r="L1043" s="93" t="e">
        <v>#N/A</v>
      </c>
      <c r="M1043" s="93" t="s">
        <v>2311</v>
      </c>
      <c r="N1043" s="93" t="e">
        <f>VLOOKUP(B1043,'[16]01.수집 카테고리(List)'!$A$2:$H$64,8,FALSE)</f>
        <v>#N/A</v>
      </c>
      <c r="O1043" s="93"/>
    </row>
    <row r="1044" spans="1:15" hidden="1">
      <c r="A1044" s="75" t="str">
        <f t="shared" si="38"/>
        <v>DKELGIGANTENWashing Machinewashing machineVaskemaskin</v>
      </c>
      <c r="B1044" s="94" t="str">
        <f t="shared" si="39"/>
        <v>DK_ELGIGANTEN</v>
      </c>
      <c r="C1044" s="93" t="s">
        <v>515</v>
      </c>
      <c r="D1044" s="93" t="s">
        <v>293</v>
      </c>
      <c r="E1044" s="93" t="s">
        <v>2333</v>
      </c>
      <c r="F1044" s="93" t="s">
        <v>2340</v>
      </c>
      <c r="G1044" s="93" t="s">
        <v>2727</v>
      </c>
      <c r="H1044" s="93" t="e">
        <v>#N/A</v>
      </c>
      <c r="I1044" s="105" t="s">
        <v>2310</v>
      </c>
      <c r="J1044" s="93" t="s">
        <v>189</v>
      </c>
      <c r="K1044" s="93">
        <v>381</v>
      </c>
      <c r="L1044" s="93" t="e">
        <v>#N/A</v>
      </c>
      <c r="M1044" s="93" t="s">
        <v>2311</v>
      </c>
      <c r="N1044" s="93" t="e">
        <f>VLOOKUP(B1044,'[16]01.수집 카테고리(List)'!$A$2:$H$64,8,FALSE)</f>
        <v>#N/A</v>
      </c>
      <c r="O1044" s="93"/>
    </row>
    <row r="1045" spans="1:15" hidden="1">
      <c r="A1045" s="75" t="str">
        <f t="shared" si="38"/>
        <v>ESAMAZONLaptopLaptopPortátil</v>
      </c>
      <c r="B1045" s="94" t="str">
        <f t="shared" si="39"/>
        <v>ES_AMAZON</v>
      </c>
      <c r="C1045" s="93" t="s">
        <v>285</v>
      </c>
      <c r="D1045" s="93" t="s">
        <v>262</v>
      </c>
      <c r="E1045" s="93" t="s">
        <v>2407</v>
      </c>
      <c r="F1045" s="93" t="s">
        <v>2407</v>
      </c>
      <c r="G1045" s="93" t="s">
        <v>2728</v>
      </c>
      <c r="H1045" s="93" t="e">
        <v>#N/A</v>
      </c>
      <c r="I1045" s="105" t="s">
        <v>2310</v>
      </c>
      <c r="J1045" s="93" t="s">
        <v>189</v>
      </c>
      <c r="K1045" s="93">
        <v>5218</v>
      </c>
      <c r="L1045" s="93">
        <v>206</v>
      </c>
      <c r="M1045" s="93" t="s">
        <v>2311</v>
      </c>
      <c r="N1045" s="93">
        <f>VLOOKUP(B1045,'[16]01.수집 카테고리(List)'!$A$2:$H$64,8,FALSE)</f>
        <v>99991231</v>
      </c>
      <c r="O1045" s="93" t="s">
        <v>646</v>
      </c>
    </row>
    <row r="1046" spans="1:15" hidden="1">
      <c r="A1046" s="75" t="str">
        <f t="shared" si="38"/>
        <v>ESAMAZONLaptop15inch LaptopPortátil de 15 pulgadas</v>
      </c>
      <c r="B1046" s="94" t="str">
        <f t="shared" si="39"/>
        <v>ES_AMAZON</v>
      </c>
      <c r="C1046" s="93" t="s">
        <v>285</v>
      </c>
      <c r="D1046" s="93" t="s">
        <v>262</v>
      </c>
      <c r="E1046" s="93" t="s">
        <v>2407</v>
      </c>
      <c r="F1046" s="93" t="s">
        <v>2408</v>
      </c>
      <c r="G1046" s="93" t="s">
        <v>2729</v>
      </c>
      <c r="H1046" s="93" t="e">
        <v>#N/A</v>
      </c>
      <c r="I1046" s="105" t="s">
        <v>2310</v>
      </c>
      <c r="J1046" s="93" t="s">
        <v>189</v>
      </c>
      <c r="K1046" s="93">
        <v>5882</v>
      </c>
      <c r="L1046" s="93">
        <v>100</v>
      </c>
      <c r="M1046" s="93" t="s">
        <v>2311</v>
      </c>
      <c r="N1046" s="93">
        <f>VLOOKUP(B1046,'[16]01.수집 카테고리(List)'!$A$2:$H$64,8,FALSE)</f>
        <v>99991231</v>
      </c>
      <c r="O1046" s="93" t="s">
        <v>646</v>
      </c>
    </row>
    <row r="1047" spans="1:15" hidden="1">
      <c r="A1047" s="75" t="str">
        <f t="shared" si="38"/>
        <v>ESAMAZONLaptop17inch LaptopPortátil de 17 pulgadas</v>
      </c>
      <c r="B1047" s="94" t="str">
        <f t="shared" si="39"/>
        <v>ES_AMAZON</v>
      </c>
      <c r="C1047" s="93" t="s">
        <v>285</v>
      </c>
      <c r="D1047" s="93" t="s">
        <v>262</v>
      </c>
      <c r="E1047" s="93" t="s">
        <v>2407</v>
      </c>
      <c r="F1047" s="93" t="s">
        <v>2409</v>
      </c>
      <c r="G1047" s="93" t="s">
        <v>2730</v>
      </c>
      <c r="H1047" s="93" t="e">
        <v>#N/A</v>
      </c>
      <c r="I1047" s="105" t="s">
        <v>2310</v>
      </c>
      <c r="J1047" s="93" t="s">
        <v>189</v>
      </c>
      <c r="K1047" s="93">
        <v>4103</v>
      </c>
      <c r="L1047" s="93">
        <v>59</v>
      </c>
      <c r="M1047" s="93" t="s">
        <v>2311</v>
      </c>
      <c r="N1047" s="93">
        <f>VLOOKUP(B1047,'[16]01.수집 카테고리(List)'!$A$2:$H$64,8,FALSE)</f>
        <v>99991231</v>
      </c>
      <c r="O1047" s="93" t="s">
        <v>646</v>
      </c>
    </row>
    <row r="1048" spans="1:15" hidden="1">
      <c r="A1048" s="75" t="str">
        <f t="shared" si="38"/>
        <v>ESAMAZONLaptopi7 laptopPortátil i7</v>
      </c>
      <c r="B1048" s="94" t="str">
        <f t="shared" si="39"/>
        <v>ES_AMAZON</v>
      </c>
      <c r="C1048" s="93" t="s">
        <v>285</v>
      </c>
      <c r="D1048" s="93" t="s">
        <v>262</v>
      </c>
      <c r="E1048" s="93" t="s">
        <v>2407</v>
      </c>
      <c r="F1048" s="93" t="s">
        <v>2410</v>
      </c>
      <c r="G1048" s="93" t="s">
        <v>2731</v>
      </c>
      <c r="H1048" s="93" t="e">
        <v>#N/A</v>
      </c>
      <c r="I1048" s="105" t="s">
        <v>2310</v>
      </c>
      <c r="J1048" s="93" t="s">
        <v>189</v>
      </c>
      <c r="K1048" s="93">
        <v>4855</v>
      </c>
      <c r="L1048" s="93">
        <v>204</v>
      </c>
      <c r="M1048" s="93" t="s">
        <v>2311</v>
      </c>
      <c r="N1048" s="93">
        <f>VLOOKUP(B1048,'[16]01.수집 카테고리(List)'!$A$2:$H$64,8,FALSE)</f>
        <v>99991231</v>
      </c>
      <c r="O1048" s="93" t="s">
        <v>646</v>
      </c>
    </row>
    <row r="1049" spans="1:15" hidden="1">
      <c r="A1049" s="75" t="str">
        <f t="shared" si="38"/>
        <v>ESAMAZONLaptopLightweight LaptopPortátil ligero</v>
      </c>
      <c r="B1049" s="94" t="str">
        <f t="shared" si="39"/>
        <v>ES_AMAZON</v>
      </c>
      <c r="C1049" s="93" t="s">
        <v>285</v>
      </c>
      <c r="D1049" s="93" t="s">
        <v>262</v>
      </c>
      <c r="E1049" s="93" t="s">
        <v>2407</v>
      </c>
      <c r="F1049" s="93" t="s">
        <v>2411</v>
      </c>
      <c r="G1049" s="93" t="s">
        <v>2732</v>
      </c>
      <c r="H1049" s="93" t="e">
        <v>#N/A</v>
      </c>
      <c r="I1049" s="105" t="s">
        <v>2310</v>
      </c>
      <c r="J1049" s="93" t="s">
        <v>189</v>
      </c>
      <c r="K1049" s="93">
        <v>5179</v>
      </c>
      <c r="L1049" s="93">
        <v>121</v>
      </c>
      <c r="M1049" s="93" t="s">
        <v>2311</v>
      </c>
      <c r="N1049" s="93">
        <f>VLOOKUP(B1049,'[16]01.수집 카테고리(List)'!$A$2:$H$64,8,FALSE)</f>
        <v>99991231</v>
      </c>
      <c r="O1049" s="93" t="s">
        <v>646</v>
      </c>
    </row>
    <row r="1050" spans="1:15" hidden="1">
      <c r="A1050" s="75" t="str">
        <f t="shared" si="38"/>
        <v>ESAMAZONMonitormonitormonitor</v>
      </c>
      <c r="B1050" s="94" t="str">
        <f t="shared" si="39"/>
        <v>ES_AMAZON</v>
      </c>
      <c r="C1050" s="93" t="s">
        <v>285</v>
      </c>
      <c r="D1050" s="93" t="s">
        <v>262</v>
      </c>
      <c r="E1050" s="93" t="s">
        <v>2320</v>
      </c>
      <c r="F1050" s="93" t="s">
        <v>2323</v>
      </c>
      <c r="G1050" s="93" t="s">
        <v>2323</v>
      </c>
      <c r="H1050" s="93" t="e">
        <v>#N/A</v>
      </c>
      <c r="I1050" s="105" t="s">
        <v>2310</v>
      </c>
      <c r="J1050" s="93" t="s">
        <v>189</v>
      </c>
      <c r="K1050" s="93">
        <v>4784</v>
      </c>
      <c r="L1050" s="93">
        <v>4784</v>
      </c>
      <c r="M1050" s="93" t="s">
        <v>2311</v>
      </c>
      <c r="N1050" s="93">
        <f>VLOOKUP(B1050,'[16]01.수집 카테고리(List)'!$A$2:$H$64,8,FALSE)</f>
        <v>99991231</v>
      </c>
      <c r="O1050" s="93" t="s">
        <v>646</v>
      </c>
    </row>
    <row r="1051" spans="1:15" hidden="1">
      <c r="A1051" s="75" t="str">
        <f t="shared" si="38"/>
        <v>ESAMAZONMonitorultrawide monitormonitor ultrawide</v>
      </c>
      <c r="B1051" s="94" t="str">
        <f t="shared" si="39"/>
        <v>ES_AMAZON</v>
      </c>
      <c r="C1051" s="93" t="s">
        <v>285</v>
      </c>
      <c r="D1051" s="93" t="s">
        <v>262</v>
      </c>
      <c r="E1051" s="93" t="s">
        <v>2320</v>
      </c>
      <c r="F1051" s="93" t="s">
        <v>2325</v>
      </c>
      <c r="G1051" s="93" t="s">
        <v>2499</v>
      </c>
      <c r="H1051" s="93" t="e">
        <v>#N/A</v>
      </c>
      <c r="I1051" s="105" t="s">
        <v>2310</v>
      </c>
      <c r="J1051" s="93" t="s">
        <v>189</v>
      </c>
      <c r="K1051" s="93">
        <v>6380</v>
      </c>
      <c r="L1051" s="93">
        <v>48</v>
      </c>
      <c r="M1051" s="93" t="s">
        <v>2311</v>
      </c>
      <c r="N1051" s="93">
        <f>VLOOKUP(B1051,'[16]01.수집 카테고리(List)'!$A$2:$H$64,8,FALSE)</f>
        <v>99991231</v>
      </c>
      <c r="O1051" s="93" t="s">
        <v>646</v>
      </c>
    </row>
    <row r="1052" spans="1:15" hidden="1">
      <c r="A1052" s="75" t="str">
        <f t="shared" si="38"/>
        <v>ESAMAZONMonitor4k monitormonitores 4K</v>
      </c>
      <c r="B1052" s="94" t="str">
        <f t="shared" si="39"/>
        <v>ES_AMAZON</v>
      </c>
      <c r="C1052" s="93" t="s">
        <v>285</v>
      </c>
      <c r="D1052" s="93" t="s">
        <v>262</v>
      </c>
      <c r="E1052" s="93" t="s">
        <v>2320</v>
      </c>
      <c r="F1052" s="93" t="s">
        <v>2321</v>
      </c>
      <c r="G1052" s="93" t="s">
        <v>2733</v>
      </c>
      <c r="H1052" s="93" t="e">
        <v>#N/A</v>
      </c>
      <c r="I1052" s="105" t="s">
        <v>2310</v>
      </c>
      <c r="J1052" s="93" t="s">
        <v>189</v>
      </c>
      <c r="K1052" s="93">
        <v>5768</v>
      </c>
      <c r="L1052" s="93">
        <v>63</v>
      </c>
      <c r="M1052" s="93" t="s">
        <v>2311</v>
      </c>
      <c r="N1052" s="93">
        <f>VLOOKUP(B1052,'[16]01.수집 카테고리(List)'!$A$2:$H$64,8,FALSE)</f>
        <v>99991231</v>
      </c>
      <c r="O1052" s="93" t="s">
        <v>646</v>
      </c>
    </row>
    <row r="1053" spans="1:15" hidden="1">
      <c r="A1053" s="75" t="str">
        <f t="shared" si="38"/>
        <v>ESAMAZONMonitorgaming monitormonitores gaming</v>
      </c>
      <c r="B1053" s="94" t="str">
        <f t="shared" si="39"/>
        <v>ES_AMAZON</v>
      </c>
      <c r="C1053" s="93" t="s">
        <v>285</v>
      </c>
      <c r="D1053" s="93" t="s">
        <v>262</v>
      </c>
      <c r="E1053" s="93" t="s">
        <v>2320</v>
      </c>
      <c r="F1053" s="93" t="s">
        <v>2322</v>
      </c>
      <c r="G1053" s="93" t="s">
        <v>2734</v>
      </c>
      <c r="H1053" s="93" t="e">
        <v>#N/A</v>
      </c>
      <c r="I1053" s="105" t="s">
        <v>2310</v>
      </c>
      <c r="J1053" s="93" t="s">
        <v>189</v>
      </c>
      <c r="K1053" s="93">
        <v>5659</v>
      </c>
      <c r="L1053" s="93">
        <v>55</v>
      </c>
      <c r="M1053" s="93" t="s">
        <v>2311</v>
      </c>
      <c r="N1053" s="93">
        <f>VLOOKUP(B1053,'[16]01.수집 카테고리(List)'!$A$2:$H$64,8,FALSE)</f>
        <v>99991231</v>
      </c>
      <c r="O1053" s="93" t="s">
        <v>646</v>
      </c>
    </row>
    <row r="1054" spans="1:15" hidden="1">
      <c r="A1054" s="75" t="str">
        <f t="shared" si="38"/>
        <v>ESAMAZONMonitoruhd monitormonitores UHD</v>
      </c>
      <c r="B1054" s="94" t="str">
        <f t="shared" si="39"/>
        <v>ES_AMAZON</v>
      </c>
      <c r="C1054" s="93" t="s">
        <v>285</v>
      </c>
      <c r="D1054" s="93" t="s">
        <v>262</v>
      </c>
      <c r="E1054" s="93" t="s">
        <v>2320</v>
      </c>
      <c r="F1054" s="93" t="s">
        <v>2324</v>
      </c>
      <c r="G1054" s="93" t="s">
        <v>2735</v>
      </c>
      <c r="H1054" s="93" t="e">
        <v>#N/A</v>
      </c>
      <c r="I1054" s="105" t="s">
        <v>2310</v>
      </c>
      <c r="J1054" s="93" t="s">
        <v>189</v>
      </c>
      <c r="K1054" s="93">
        <v>4817</v>
      </c>
      <c r="L1054" s="93">
        <v>49</v>
      </c>
      <c r="M1054" s="93" t="s">
        <v>2311</v>
      </c>
      <c r="N1054" s="93">
        <f>VLOOKUP(B1054,'[16]01.수집 카테고리(List)'!$A$2:$H$64,8,FALSE)</f>
        <v>99991231</v>
      </c>
      <c r="O1054" s="93" t="s">
        <v>646</v>
      </c>
    </row>
    <row r="1055" spans="1:15" hidden="1">
      <c r="A1055" s="75" t="str">
        <f t="shared" si="38"/>
        <v>ESAMAZONOVENSlide-in RangeDeslizable Rango Eléctrico</v>
      </c>
      <c r="B1055" s="94" t="str">
        <f t="shared" si="39"/>
        <v>ES_AMAZON</v>
      </c>
      <c r="C1055" s="93" t="s">
        <v>285</v>
      </c>
      <c r="D1055" s="93" t="s">
        <v>262</v>
      </c>
      <c r="E1055" s="93" t="s">
        <v>173</v>
      </c>
      <c r="F1055" s="93" t="s">
        <v>2676</v>
      </c>
      <c r="G1055" s="93" t="s">
        <v>2736</v>
      </c>
      <c r="H1055" s="93" t="e">
        <v>#N/A</v>
      </c>
      <c r="I1055" s="105" t="s">
        <v>2310</v>
      </c>
      <c r="J1055" s="93" t="s">
        <v>189</v>
      </c>
      <c r="K1055" s="93">
        <v>598</v>
      </c>
      <c r="L1055" s="93" t="e">
        <v>#N/A</v>
      </c>
      <c r="M1055" s="93" t="s">
        <v>2311</v>
      </c>
      <c r="N1055" s="93">
        <f>VLOOKUP(B1055,'[16]01.수집 카테고리(List)'!$A$2:$H$64,8,FALSE)</f>
        <v>99991231</v>
      </c>
      <c r="O1055" s="93" t="s">
        <v>646</v>
      </c>
    </row>
    <row r="1056" spans="1:15" hidden="1">
      <c r="A1056" s="75" t="str">
        <f t="shared" si="38"/>
        <v>ESAMAZONOVENWall OvenEmpava Horno eléctrico</v>
      </c>
      <c r="B1056" s="94" t="str">
        <f t="shared" si="39"/>
        <v>ES_AMAZON</v>
      </c>
      <c r="C1056" s="93" t="s">
        <v>285</v>
      </c>
      <c r="D1056" s="93" t="s">
        <v>262</v>
      </c>
      <c r="E1056" s="93" t="s">
        <v>173</v>
      </c>
      <c r="F1056" s="93" t="s">
        <v>2544</v>
      </c>
      <c r="G1056" s="93" t="s">
        <v>2737</v>
      </c>
      <c r="H1056" s="93" t="e">
        <v>#N/A</v>
      </c>
      <c r="I1056" s="105" t="s">
        <v>2310</v>
      </c>
      <c r="J1056" s="93" t="s">
        <v>189</v>
      </c>
      <c r="K1056" s="93">
        <v>168</v>
      </c>
      <c r="L1056" s="93" t="e">
        <v>#N/A</v>
      </c>
      <c r="M1056" s="93" t="s">
        <v>2311</v>
      </c>
      <c r="N1056" s="93">
        <f>VLOOKUP(B1056,'[16]01.수집 카테고리(List)'!$A$2:$H$64,8,FALSE)</f>
        <v>99991231</v>
      </c>
      <c r="O1056" s="93" t="s">
        <v>646</v>
      </c>
    </row>
    <row r="1057" spans="1:15" hidden="1">
      <c r="A1057" s="75" t="str">
        <f t="shared" si="38"/>
        <v>ESAMAZONOVENCooktopEstufa</v>
      </c>
      <c r="B1057" s="94" t="str">
        <f t="shared" si="39"/>
        <v>ES_AMAZON</v>
      </c>
      <c r="C1057" s="93" t="s">
        <v>285</v>
      </c>
      <c r="D1057" s="93" t="s">
        <v>262</v>
      </c>
      <c r="E1057" s="93" t="s">
        <v>173</v>
      </c>
      <c r="F1057" s="93" t="s">
        <v>2541</v>
      </c>
      <c r="G1057" s="93" t="s">
        <v>2738</v>
      </c>
      <c r="H1057" s="93" t="e">
        <v>#N/A</v>
      </c>
      <c r="I1057" s="105" t="s">
        <v>2310</v>
      </c>
      <c r="J1057" s="93" t="s">
        <v>189</v>
      </c>
      <c r="K1057" s="93">
        <v>340</v>
      </c>
      <c r="L1057" s="93" t="e">
        <v>#N/A</v>
      </c>
      <c r="M1057" s="93" t="s">
        <v>2311</v>
      </c>
      <c r="N1057" s="93">
        <f>VLOOKUP(B1057,'[16]01.수집 카테고리(List)'!$A$2:$H$64,8,FALSE)</f>
        <v>99991231</v>
      </c>
      <c r="O1057" s="93" t="s">
        <v>646</v>
      </c>
    </row>
    <row r="1058" spans="1:15" hidden="1">
      <c r="A1058" s="75" t="str">
        <f t="shared" si="38"/>
        <v>ESAMAZONOVENFreestanding OvenHorno independiente</v>
      </c>
      <c r="B1058" s="94" t="str">
        <f t="shared" si="39"/>
        <v>ES_AMAZON</v>
      </c>
      <c r="C1058" s="93" t="s">
        <v>285</v>
      </c>
      <c r="D1058" s="93" t="s">
        <v>262</v>
      </c>
      <c r="E1058" s="93" t="s">
        <v>173</v>
      </c>
      <c r="F1058" s="93" t="s">
        <v>2678</v>
      </c>
      <c r="G1058" s="93" t="s">
        <v>2739</v>
      </c>
      <c r="H1058" s="93" t="e">
        <v>#N/A</v>
      </c>
      <c r="I1058" s="105" t="s">
        <v>2310</v>
      </c>
      <c r="J1058" s="93" t="s">
        <v>189</v>
      </c>
      <c r="K1058" s="93">
        <v>160</v>
      </c>
      <c r="L1058" s="93" t="e">
        <v>#N/A</v>
      </c>
      <c r="M1058" s="93" t="s">
        <v>2311</v>
      </c>
      <c r="N1058" s="93">
        <f>VLOOKUP(B1058,'[16]01.수집 카테고리(List)'!$A$2:$H$64,8,FALSE)</f>
        <v>99991231</v>
      </c>
      <c r="O1058" s="93" t="s">
        <v>646</v>
      </c>
    </row>
    <row r="1059" spans="1:15" hidden="1">
      <c r="A1059" s="75" t="str">
        <f t="shared" si="38"/>
        <v>ESAMAZONRefrigeratormulti door refrigeratorfrigorifico doble puerta</v>
      </c>
      <c r="B1059" s="94" t="str">
        <f t="shared" si="39"/>
        <v>ES_AMAZON</v>
      </c>
      <c r="C1059" s="93" t="s">
        <v>285</v>
      </c>
      <c r="D1059" s="93" t="s">
        <v>262</v>
      </c>
      <c r="E1059" s="93" t="s">
        <v>2326</v>
      </c>
      <c r="F1059" s="93" t="s">
        <v>2740</v>
      </c>
      <c r="G1059" s="93" t="s">
        <v>2741</v>
      </c>
      <c r="H1059" s="93" t="e">
        <v>#N/A</v>
      </c>
      <c r="I1059" s="105" t="s">
        <v>2310</v>
      </c>
      <c r="J1059" s="93" t="s">
        <v>189</v>
      </c>
      <c r="K1059" s="93">
        <v>22</v>
      </c>
      <c r="L1059" s="93" t="e">
        <v>#N/A</v>
      </c>
      <c r="M1059" s="93" t="s">
        <v>2311</v>
      </c>
      <c r="N1059" s="93">
        <f>VLOOKUP(B1059,'[16]01.수집 카테고리(List)'!$A$2:$H$64,8,FALSE)</f>
        <v>99991231</v>
      </c>
      <c r="O1059" s="93" t="s">
        <v>646</v>
      </c>
    </row>
    <row r="1060" spans="1:15" hidden="1">
      <c r="A1060" s="75" t="str">
        <f t="shared" si="38"/>
        <v>ESAMAZONRefrigeratorbottom freezer refrigeratorfrigorífico dos puertas</v>
      </c>
      <c r="B1060" s="94" t="str">
        <f t="shared" si="39"/>
        <v>ES_AMAZON</v>
      </c>
      <c r="C1060" s="93" t="s">
        <v>285</v>
      </c>
      <c r="D1060" s="93" t="s">
        <v>262</v>
      </c>
      <c r="E1060" s="93" t="s">
        <v>2326</v>
      </c>
      <c r="F1060" s="93" t="s">
        <v>2327</v>
      </c>
      <c r="G1060" s="93" t="s">
        <v>2742</v>
      </c>
      <c r="H1060" s="93" t="e">
        <v>#N/A</v>
      </c>
      <c r="I1060" s="105" t="s">
        <v>2310</v>
      </c>
      <c r="J1060" s="93" t="s">
        <v>189</v>
      </c>
      <c r="K1060" s="93">
        <v>21</v>
      </c>
      <c r="L1060" s="93" t="e">
        <v>#N/A</v>
      </c>
      <c r="M1060" s="93" t="s">
        <v>2311</v>
      </c>
      <c r="N1060" s="93">
        <f>VLOOKUP(B1060,'[16]01.수집 카테고리(List)'!$A$2:$H$64,8,FALSE)</f>
        <v>99991231</v>
      </c>
      <c r="O1060" s="93" t="s">
        <v>646</v>
      </c>
    </row>
    <row r="1061" spans="1:15" hidden="1">
      <c r="A1061" s="75" t="str">
        <f t="shared" si="38"/>
        <v>ESAMAZONRefrigeratortop freezer refrigeratorneveras con congelador arriba</v>
      </c>
      <c r="B1061" s="94" t="str">
        <f t="shared" si="39"/>
        <v>ES_AMAZON</v>
      </c>
      <c r="C1061" s="93" t="s">
        <v>285</v>
      </c>
      <c r="D1061" s="93" t="s">
        <v>262</v>
      </c>
      <c r="E1061" s="93" t="s">
        <v>2326</v>
      </c>
      <c r="F1061" s="93" t="s">
        <v>2332</v>
      </c>
      <c r="G1061" s="93" t="s">
        <v>2743</v>
      </c>
      <c r="H1061" s="93" t="e">
        <v>#N/A</v>
      </c>
      <c r="I1061" s="105" t="s">
        <v>2310</v>
      </c>
      <c r="J1061" s="93" t="s">
        <v>189</v>
      </c>
      <c r="K1061" s="93">
        <v>51</v>
      </c>
      <c r="L1061" s="93" t="e">
        <v>#N/A</v>
      </c>
      <c r="M1061" s="93" t="s">
        <v>2311</v>
      </c>
      <c r="N1061" s="93">
        <f>VLOOKUP(B1061,'[16]01.수집 카테고리(List)'!$A$2:$H$64,8,FALSE)</f>
        <v>99991231</v>
      </c>
      <c r="O1061" s="93" t="s">
        <v>646</v>
      </c>
    </row>
    <row r="1062" spans="1:15" hidden="1">
      <c r="A1062" s="75" t="str">
        <f t="shared" si="38"/>
        <v>ESAMAZONRefrigeratorrefrigeratorrefrigerador</v>
      </c>
      <c r="B1062" s="94" t="str">
        <f t="shared" si="39"/>
        <v>ES_AMAZON</v>
      </c>
      <c r="C1062" s="93" t="s">
        <v>285</v>
      </c>
      <c r="D1062" s="93" t="s">
        <v>262</v>
      </c>
      <c r="E1062" s="93" t="s">
        <v>2326</v>
      </c>
      <c r="F1062" s="93" t="s">
        <v>2329</v>
      </c>
      <c r="G1062" s="93" t="s">
        <v>2561</v>
      </c>
      <c r="H1062" s="93" t="e">
        <v>#N/A</v>
      </c>
      <c r="I1062" s="105" t="s">
        <v>2310</v>
      </c>
      <c r="J1062" s="93" t="s">
        <v>189</v>
      </c>
      <c r="K1062" s="93">
        <v>78</v>
      </c>
      <c r="L1062" s="93" t="e">
        <v>#N/A</v>
      </c>
      <c r="M1062" s="93" t="s">
        <v>2311</v>
      </c>
      <c r="N1062" s="93">
        <f>VLOOKUP(B1062,'[16]01.수집 카테고리(List)'!$A$2:$H$64,8,FALSE)</f>
        <v>99991231</v>
      </c>
      <c r="O1062" s="93" t="s">
        <v>646</v>
      </c>
    </row>
    <row r="1063" spans="1:15" hidden="1">
      <c r="A1063" s="75" t="str">
        <f t="shared" si="38"/>
        <v>ESAMAZONRefrigeratorside by side refrigeratorside by side</v>
      </c>
      <c r="B1063" s="94" t="str">
        <f t="shared" si="39"/>
        <v>ES_AMAZON</v>
      </c>
      <c r="C1063" s="93" t="s">
        <v>285</v>
      </c>
      <c r="D1063" s="93" t="s">
        <v>262</v>
      </c>
      <c r="E1063" s="93" t="s">
        <v>2326</v>
      </c>
      <c r="F1063" s="93" t="s">
        <v>2744</v>
      </c>
      <c r="G1063" s="93" t="s">
        <v>2570</v>
      </c>
      <c r="H1063" s="93" t="e">
        <v>#N/A</v>
      </c>
      <c r="I1063" s="105" t="s">
        <v>2310</v>
      </c>
      <c r="J1063" s="93" t="s">
        <v>189</v>
      </c>
      <c r="K1063" s="93">
        <v>24</v>
      </c>
      <c r="L1063" s="93" t="e">
        <v>#N/A</v>
      </c>
      <c r="M1063" s="93" t="s">
        <v>2311</v>
      </c>
      <c r="N1063" s="93">
        <f>VLOOKUP(B1063,'[16]01.수집 카테고리(List)'!$A$2:$H$64,8,FALSE)</f>
        <v>99991231</v>
      </c>
      <c r="O1063" s="93" t="s">
        <v>646</v>
      </c>
    </row>
    <row r="1064" spans="1:15" hidden="1">
      <c r="A1064" s="75" t="str">
        <f t="shared" si="38"/>
        <v>ESAMAZONTVTVTelevisores</v>
      </c>
      <c r="B1064" s="94" t="str">
        <f t="shared" si="39"/>
        <v>ES_AMAZON</v>
      </c>
      <c r="C1064" s="93" t="s">
        <v>285</v>
      </c>
      <c r="D1064" s="93" t="s">
        <v>262</v>
      </c>
      <c r="E1064" s="93" t="s">
        <v>161</v>
      </c>
      <c r="F1064" s="93" t="s">
        <v>161</v>
      </c>
      <c r="G1064" s="93" t="s">
        <v>2745</v>
      </c>
      <c r="H1064" s="93" t="e">
        <v>#N/A</v>
      </c>
      <c r="I1064" s="105" t="s">
        <v>2310</v>
      </c>
      <c r="J1064" s="93" t="s">
        <v>189</v>
      </c>
      <c r="K1064" s="93" t="e">
        <v>#N/A</v>
      </c>
      <c r="L1064" s="93">
        <v>122</v>
      </c>
      <c r="M1064" s="93" t="s">
        <v>2351</v>
      </c>
      <c r="N1064" s="93">
        <f>VLOOKUP(B1064,'[16]01.수집 카테고리(List)'!$A$2:$H$64,8,FALSE)</f>
        <v>99991231</v>
      </c>
      <c r="O1064" s="93" t="s">
        <v>646</v>
      </c>
    </row>
    <row r="1065" spans="1:15" hidden="1">
      <c r="A1065" s="75" t="str">
        <f t="shared" si="38"/>
        <v>ESAMAZONTVNanoCelltelevisores nanocell</v>
      </c>
      <c r="B1065" s="94" t="str">
        <f t="shared" si="39"/>
        <v>ES_AMAZON</v>
      </c>
      <c r="C1065" s="93" t="s">
        <v>285</v>
      </c>
      <c r="D1065" s="93" t="s">
        <v>262</v>
      </c>
      <c r="E1065" s="93" t="s">
        <v>161</v>
      </c>
      <c r="F1065" s="93" t="s">
        <v>2746</v>
      </c>
      <c r="G1065" s="93" t="s">
        <v>2747</v>
      </c>
      <c r="H1065" s="93" t="e">
        <v>#N/A</v>
      </c>
      <c r="I1065" s="105" t="s">
        <v>2310</v>
      </c>
      <c r="J1065" s="93" t="s">
        <v>189</v>
      </c>
      <c r="K1065" s="93">
        <v>82</v>
      </c>
      <c r="L1065" s="93" t="e">
        <v>#N/A</v>
      </c>
      <c r="M1065" s="93" t="s">
        <v>2311</v>
      </c>
      <c r="N1065" s="93">
        <f>VLOOKUP(B1065,'[16]01.수집 카테고리(List)'!$A$2:$H$64,8,FALSE)</f>
        <v>99991231</v>
      </c>
      <c r="O1065" s="93" t="s">
        <v>646</v>
      </c>
    </row>
    <row r="1066" spans="1:15" hidden="1">
      <c r="A1066" s="75" t="str">
        <f t="shared" si="38"/>
        <v>ESAMAZONTVoled TVTelevisores OLED</v>
      </c>
      <c r="B1066" s="94" t="str">
        <f t="shared" si="39"/>
        <v>ES_AMAZON</v>
      </c>
      <c r="C1066" s="93" t="s">
        <v>285</v>
      </c>
      <c r="D1066" s="93" t="s">
        <v>262</v>
      </c>
      <c r="E1066" s="93" t="s">
        <v>161</v>
      </c>
      <c r="F1066" s="93" t="s">
        <v>2369</v>
      </c>
      <c r="G1066" s="93" t="s">
        <v>2748</v>
      </c>
      <c r="H1066" s="93" t="e">
        <v>#N/A</v>
      </c>
      <c r="I1066" s="105" t="s">
        <v>2310</v>
      </c>
      <c r="J1066" s="93" t="s">
        <v>189</v>
      </c>
      <c r="K1066" s="93">
        <v>54</v>
      </c>
      <c r="L1066" s="93">
        <v>41</v>
      </c>
      <c r="M1066" s="93" t="s">
        <v>2311</v>
      </c>
      <c r="N1066" s="93">
        <f>VLOOKUP(B1066,'[16]01.수집 카테고리(List)'!$A$2:$H$64,8,FALSE)</f>
        <v>99991231</v>
      </c>
      <c r="O1066" s="93" t="s">
        <v>646</v>
      </c>
    </row>
    <row r="1067" spans="1:15" hidden="1">
      <c r="A1067" s="75" t="str">
        <f t="shared" si="38"/>
        <v>ESAMAZONTVFHDTelevisores pequeños</v>
      </c>
      <c r="B1067" s="94" t="str">
        <f t="shared" si="39"/>
        <v>ES_AMAZON</v>
      </c>
      <c r="C1067" s="93" t="s">
        <v>285</v>
      </c>
      <c r="D1067" s="93" t="s">
        <v>262</v>
      </c>
      <c r="E1067" s="93" t="s">
        <v>161</v>
      </c>
      <c r="F1067" s="93" t="s">
        <v>2749</v>
      </c>
      <c r="G1067" s="93" t="s">
        <v>2750</v>
      </c>
      <c r="H1067" s="93" t="e">
        <v>#N/A</v>
      </c>
      <c r="I1067" s="105" t="s">
        <v>2310</v>
      </c>
      <c r="J1067" s="93" t="s">
        <v>189</v>
      </c>
      <c r="K1067" s="93">
        <v>490</v>
      </c>
      <c r="L1067" s="93" t="e">
        <v>#N/A</v>
      </c>
      <c r="M1067" s="93" t="s">
        <v>2311</v>
      </c>
      <c r="N1067" s="93">
        <f>VLOOKUP(B1067,'[16]01.수집 카테고리(List)'!$A$2:$H$64,8,FALSE)</f>
        <v>99991231</v>
      </c>
      <c r="O1067" s="93" t="s">
        <v>646</v>
      </c>
    </row>
    <row r="1068" spans="1:15" hidden="1">
      <c r="A1068" s="75" t="str">
        <f t="shared" si="38"/>
        <v>ESAMAZONTVuhd TVTelevisores UHD</v>
      </c>
      <c r="B1068" s="94" t="str">
        <f t="shared" si="39"/>
        <v>ES_AMAZON</v>
      </c>
      <c r="C1068" s="93" t="s">
        <v>285</v>
      </c>
      <c r="D1068" s="93" t="s">
        <v>262</v>
      </c>
      <c r="E1068" s="93" t="s">
        <v>161</v>
      </c>
      <c r="F1068" s="93" t="s">
        <v>2399</v>
      </c>
      <c r="G1068" s="93" t="s">
        <v>2751</v>
      </c>
      <c r="H1068" s="93" t="e">
        <v>#N/A</v>
      </c>
      <c r="I1068" s="105" t="s">
        <v>2310</v>
      </c>
      <c r="J1068" s="93" t="s">
        <v>189</v>
      </c>
      <c r="K1068" s="93">
        <v>34</v>
      </c>
      <c r="L1068" s="93" t="e">
        <v>#N/A</v>
      </c>
      <c r="M1068" s="93" t="s">
        <v>2311</v>
      </c>
      <c r="N1068" s="93">
        <f>VLOOKUP(B1068,'[16]01.수집 카테고리(List)'!$A$2:$H$64,8,FALSE)</f>
        <v>99991231</v>
      </c>
      <c r="O1068" s="93" t="s">
        <v>646</v>
      </c>
    </row>
    <row r="1069" spans="1:15" hidden="1">
      <c r="A1069" s="75" t="str">
        <f t="shared" si="38"/>
        <v>ESAMAZONWashing Machinefront loadercargador frontal</v>
      </c>
      <c r="B1069" s="94" t="str">
        <f t="shared" si="39"/>
        <v>ES_AMAZON</v>
      </c>
      <c r="C1069" s="93" t="s">
        <v>285</v>
      </c>
      <c r="D1069" s="93" t="s">
        <v>262</v>
      </c>
      <c r="E1069" s="93" t="s">
        <v>2333</v>
      </c>
      <c r="F1069" s="93" t="s">
        <v>2334</v>
      </c>
      <c r="G1069" s="93" t="s">
        <v>2752</v>
      </c>
      <c r="H1069" s="93" t="e">
        <v>#N/A</v>
      </c>
      <c r="I1069" s="105" t="s">
        <v>2310</v>
      </c>
      <c r="J1069" s="93" t="s">
        <v>189</v>
      </c>
      <c r="K1069" s="93">
        <v>165</v>
      </c>
      <c r="L1069" s="93" t="e">
        <v>#N/A</v>
      </c>
      <c r="M1069" s="93" t="s">
        <v>2311</v>
      </c>
      <c r="N1069" s="93">
        <f>VLOOKUP(B1069,'[16]01.수집 카테고리(List)'!$A$2:$H$64,8,FALSE)</f>
        <v>99991231</v>
      </c>
      <c r="O1069" s="93" t="s">
        <v>646</v>
      </c>
    </row>
    <row r="1070" spans="1:15" hidden="1">
      <c r="A1070" s="75" t="str">
        <f t="shared" si="38"/>
        <v>ESAMAZONWashing Machinewashing machinelavadora</v>
      </c>
      <c r="B1070" s="94" t="str">
        <f t="shared" si="39"/>
        <v>ES_AMAZON</v>
      </c>
      <c r="C1070" s="93" t="s">
        <v>285</v>
      </c>
      <c r="D1070" s="93" t="s">
        <v>262</v>
      </c>
      <c r="E1070" s="93" t="s">
        <v>2333</v>
      </c>
      <c r="F1070" s="93" t="s">
        <v>2340</v>
      </c>
      <c r="G1070" s="93" t="s">
        <v>2753</v>
      </c>
      <c r="H1070" s="93" t="e">
        <v>#N/A</v>
      </c>
      <c r="I1070" s="105" t="s">
        <v>2310</v>
      </c>
      <c r="J1070" s="93" t="s">
        <v>189</v>
      </c>
      <c r="K1070" s="93">
        <v>21</v>
      </c>
      <c r="L1070" s="93" t="e">
        <v>#N/A</v>
      </c>
      <c r="M1070" s="93" t="s">
        <v>2311</v>
      </c>
      <c r="N1070" s="93">
        <f>VLOOKUP(B1070,'[16]01.수집 카테고리(List)'!$A$2:$H$64,8,FALSE)</f>
        <v>99991231</v>
      </c>
      <c r="O1070" s="93" t="s">
        <v>646</v>
      </c>
    </row>
    <row r="1071" spans="1:15" hidden="1">
      <c r="A1071" s="75" t="str">
        <f t="shared" si="38"/>
        <v>ESAMAZONWashing Machinewasher dryer combolavadora y secadora</v>
      </c>
      <c r="B1071" s="94" t="str">
        <f t="shared" si="39"/>
        <v>ES_AMAZON</v>
      </c>
      <c r="C1071" s="93" t="s">
        <v>285</v>
      </c>
      <c r="D1071" s="93" t="s">
        <v>262</v>
      </c>
      <c r="E1071" s="93" t="s">
        <v>2333</v>
      </c>
      <c r="F1071" s="93" t="s">
        <v>2338</v>
      </c>
      <c r="G1071" s="93" t="s">
        <v>2589</v>
      </c>
      <c r="H1071" s="93" t="e">
        <v>#N/A</v>
      </c>
      <c r="I1071" s="105" t="s">
        <v>2310</v>
      </c>
      <c r="J1071" s="93" t="s">
        <v>189</v>
      </c>
      <c r="K1071" s="93">
        <v>48</v>
      </c>
      <c r="L1071" s="93" t="e">
        <v>#N/A</v>
      </c>
      <c r="M1071" s="93" t="s">
        <v>2311</v>
      </c>
      <c r="N1071" s="93">
        <f>VLOOKUP(B1071,'[16]01.수집 카테고리(List)'!$A$2:$H$64,8,FALSE)</f>
        <v>99991231</v>
      </c>
      <c r="O1071" s="93" t="s">
        <v>646</v>
      </c>
    </row>
    <row r="1072" spans="1:15" hidden="1">
      <c r="A1072" s="75" t="str">
        <f t="shared" si="38"/>
        <v>ESAMAZONWireless HeadsetHeadphonesAuriculares</v>
      </c>
      <c r="B1072" s="94" t="str">
        <f t="shared" si="39"/>
        <v>ES_AMAZON</v>
      </c>
      <c r="C1072" s="93" t="s">
        <v>285</v>
      </c>
      <c r="D1072" s="93" t="s">
        <v>262</v>
      </c>
      <c r="E1072" s="93" t="s">
        <v>2373</v>
      </c>
      <c r="F1072" s="93" t="s">
        <v>2754</v>
      </c>
      <c r="G1072" s="93" t="s">
        <v>2755</v>
      </c>
      <c r="H1072" s="93" t="e">
        <v>#N/A</v>
      </c>
      <c r="I1072" s="105" t="s">
        <v>2310</v>
      </c>
      <c r="J1072" s="93" t="s">
        <v>189</v>
      </c>
      <c r="K1072" s="93">
        <v>2091</v>
      </c>
      <c r="L1072" s="93">
        <v>201</v>
      </c>
      <c r="M1072" s="93" t="s">
        <v>2311</v>
      </c>
      <c r="N1072" s="93">
        <f>VLOOKUP(B1072,'[16]01.수집 카테고리(List)'!$A$2:$H$64,8,FALSE)</f>
        <v>99991231</v>
      </c>
      <c r="O1072" s="93" t="s">
        <v>646</v>
      </c>
    </row>
    <row r="1073" spans="1:15" hidden="1">
      <c r="A1073" s="75" t="str">
        <f t="shared" si="38"/>
        <v>ESAMAZONWireless Headsetbluetooth headsetAuriculares bluetooth</v>
      </c>
      <c r="B1073" s="94" t="str">
        <f t="shared" si="39"/>
        <v>ES_AMAZON</v>
      </c>
      <c r="C1073" s="93" t="s">
        <v>285</v>
      </c>
      <c r="D1073" s="93" t="s">
        <v>262</v>
      </c>
      <c r="E1073" s="93" t="s">
        <v>2373</v>
      </c>
      <c r="F1073" s="93" t="s">
        <v>2756</v>
      </c>
      <c r="G1073" s="93" t="s">
        <v>2757</v>
      </c>
      <c r="H1073" s="93" t="e">
        <v>#N/A</v>
      </c>
      <c r="I1073" s="105" t="s">
        <v>2310</v>
      </c>
      <c r="J1073" s="93" t="s">
        <v>189</v>
      </c>
      <c r="K1073" s="93">
        <v>1942</v>
      </c>
      <c r="L1073" s="93">
        <v>326</v>
      </c>
      <c r="M1073" s="93" t="s">
        <v>2311</v>
      </c>
      <c r="N1073" s="93">
        <f>VLOOKUP(B1073,'[16]01.수집 카테고리(List)'!$A$2:$H$64,8,FALSE)</f>
        <v>99991231</v>
      </c>
      <c r="O1073" s="93" t="s">
        <v>646</v>
      </c>
    </row>
    <row r="1074" spans="1:15" hidden="1">
      <c r="A1074" s="75" t="str">
        <f t="shared" si="38"/>
        <v>ESAMAZONWireless HeadsetEarbudsAuriculares de botón</v>
      </c>
      <c r="B1074" s="94" t="str">
        <f t="shared" si="39"/>
        <v>ES_AMAZON</v>
      </c>
      <c r="C1074" s="93" t="s">
        <v>285</v>
      </c>
      <c r="D1074" s="93" t="s">
        <v>262</v>
      </c>
      <c r="E1074" s="93" t="s">
        <v>2373</v>
      </c>
      <c r="F1074" s="93" t="s">
        <v>2534</v>
      </c>
      <c r="G1074" s="93" t="s">
        <v>2758</v>
      </c>
      <c r="H1074" s="93" t="e">
        <v>#N/A</v>
      </c>
      <c r="I1074" s="105" t="s">
        <v>2310</v>
      </c>
      <c r="J1074" s="93" t="s">
        <v>189</v>
      </c>
      <c r="K1074" s="93">
        <v>1590</v>
      </c>
      <c r="L1074" s="93">
        <v>302</v>
      </c>
      <c r="M1074" s="93" t="s">
        <v>2311</v>
      </c>
      <c r="N1074" s="93">
        <f>VLOOKUP(B1074,'[16]01.수집 카테고리(List)'!$A$2:$H$64,8,FALSE)</f>
        <v>99991231</v>
      </c>
      <c r="O1074" s="93" t="s">
        <v>646</v>
      </c>
    </row>
    <row r="1075" spans="1:15" hidden="1">
      <c r="A1075" s="75" t="str">
        <f t="shared" si="38"/>
        <v>ESAMAZONWireless HeadsetWireless HeadsetAuriculares inalámbricos</v>
      </c>
      <c r="B1075" s="94" t="str">
        <f t="shared" si="39"/>
        <v>ES_AMAZON</v>
      </c>
      <c r="C1075" s="93" t="s">
        <v>285</v>
      </c>
      <c r="D1075" s="93" t="s">
        <v>262</v>
      </c>
      <c r="E1075" s="93" t="s">
        <v>2373</v>
      </c>
      <c r="F1075" s="93" t="s">
        <v>2373</v>
      </c>
      <c r="G1075" s="93" t="s">
        <v>2759</v>
      </c>
      <c r="H1075" s="93" t="e">
        <v>#N/A</v>
      </c>
      <c r="I1075" s="105" t="s">
        <v>2310</v>
      </c>
      <c r="J1075" s="93" t="s">
        <v>189</v>
      </c>
      <c r="K1075" s="93">
        <v>2026</v>
      </c>
      <c r="L1075" s="93">
        <v>374</v>
      </c>
      <c r="M1075" s="93" t="s">
        <v>2311</v>
      </c>
      <c r="N1075" s="93">
        <f>VLOOKUP(B1075,'[16]01.수집 카테고리(List)'!$A$2:$H$64,8,FALSE)</f>
        <v>99991231</v>
      </c>
      <c r="O1075" s="93" t="s">
        <v>646</v>
      </c>
    </row>
    <row r="1076" spans="1:15" hidden="1">
      <c r="A1076" s="75" t="str">
        <f t="shared" si="38"/>
        <v>ESAMAZONWireless HeadsetWireless EarbudsAuriculares inalámbricos</v>
      </c>
      <c r="B1076" s="94" t="str">
        <f t="shared" si="39"/>
        <v>ES_AMAZON</v>
      </c>
      <c r="C1076" s="93" t="s">
        <v>285</v>
      </c>
      <c r="D1076" s="93" t="s">
        <v>262</v>
      </c>
      <c r="E1076" s="93" t="s">
        <v>2373</v>
      </c>
      <c r="F1076" s="93" t="s">
        <v>2760</v>
      </c>
      <c r="G1076" s="93" t="s">
        <v>2759</v>
      </c>
      <c r="H1076" s="93" t="e">
        <v>#N/A</v>
      </c>
      <c r="I1076" s="105" t="s">
        <v>2310</v>
      </c>
      <c r="J1076" s="93" t="s">
        <v>189</v>
      </c>
      <c r="K1076" s="93">
        <v>2026</v>
      </c>
      <c r="L1076" s="93" t="e">
        <v>#N/A</v>
      </c>
      <c r="M1076" s="93" t="s">
        <v>2311</v>
      </c>
      <c r="N1076" s="93">
        <f>VLOOKUP(B1076,'[16]01.수집 카테고리(List)'!$A$2:$H$64,8,FALSE)</f>
        <v>99991231</v>
      </c>
      <c r="O1076" s="93" t="s">
        <v>646</v>
      </c>
    </row>
    <row r="1077" spans="1:15" s="81" customFormat="1" hidden="1">
      <c r="A1077" s="81" t="str">
        <f t="shared" si="38"/>
        <v>ESAMAZONAir ConditionerACAC</v>
      </c>
      <c r="B1077" s="106" t="str">
        <f t="shared" si="39"/>
        <v>ES_AMAZON</v>
      </c>
      <c r="C1077" s="107" t="s">
        <v>285</v>
      </c>
      <c r="D1077" s="107" t="s">
        <v>262</v>
      </c>
      <c r="E1077" s="107" t="s">
        <v>2524</v>
      </c>
      <c r="F1077" s="107" t="s">
        <v>2492</v>
      </c>
      <c r="G1077" s="107" t="s">
        <v>2492</v>
      </c>
      <c r="H1077" s="93" t="e">
        <v>#N/A</v>
      </c>
      <c r="I1077" s="99">
        <v>46076</v>
      </c>
      <c r="J1077" s="83" t="s">
        <v>189</v>
      </c>
      <c r="K1077" s="107"/>
      <c r="L1077" s="107"/>
      <c r="M1077" s="107"/>
      <c r="N1077" s="107"/>
      <c r="O1077" s="107"/>
    </row>
    <row r="1078" spans="1:15" s="81" customFormat="1" hidden="1">
      <c r="A1078" s="81" t="str">
        <f t="shared" si="38"/>
        <v>ESAMAZONAir Conditionerair conditioneraire acondicionado</v>
      </c>
      <c r="B1078" s="106" t="str">
        <f t="shared" si="39"/>
        <v>ES_AMAZON</v>
      </c>
      <c r="C1078" s="107" t="s">
        <v>285</v>
      </c>
      <c r="D1078" s="107" t="s">
        <v>262</v>
      </c>
      <c r="E1078" s="107" t="s">
        <v>2524</v>
      </c>
      <c r="F1078" s="107" t="s">
        <v>2347</v>
      </c>
      <c r="G1078" s="107" t="s">
        <v>2761</v>
      </c>
      <c r="H1078" s="93" t="e">
        <v>#N/A</v>
      </c>
      <c r="I1078" s="99">
        <v>46076</v>
      </c>
      <c r="J1078" s="83" t="s">
        <v>189</v>
      </c>
      <c r="K1078" s="107"/>
      <c r="L1078" s="107"/>
      <c r="M1078" s="107"/>
      <c r="N1078" s="107"/>
      <c r="O1078" s="107"/>
    </row>
    <row r="1079" spans="1:15" s="81" customFormat="1" hidden="1">
      <c r="A1079" s="81" t="str">
        <f t="shared" si="38"/>
        <v>ESAMAZONAir Conditionerinverter air conditioneraire acondicionado inverter</v>
      </c>
      <c r="B1079" s="106" t="str">
        <f t="shared" si="39"/>
        <v>ES_AMAZON</v>
      </c>
      <c r="C1079" s="107" t="s">
        <v>285</v>
      </c>
      <c r="D1079" s="107" t="s">
        <v>262</v>
      </c>
      <c r="E1079" s="107" t="s">
        <v>2524</v>
      </c>
      <c r="F1079" s="107" t="s">
        <v>2348</v>
      </c>
      <c r="G1079" s="107" t="s">
        <v>2762</v>
      </c>
      <c r="H1079" s="93" t="e">
        <v>#N/A</v>
      </c>
      <c r="I1079" s="99">
        <v>46076</v>
      </c>
      <c r="J1079" s="83" t="s">
        <v>189</v>
      </c>
      <c r="K1079" s="107"/>
      <c r="L1079" s="107"/>
      <c r="M1079" s="107"/>
      <c r="N1079" s="107"/>
      <c r="O1079" s="107"/>
    </row>
    <row r="1080" spans="1:15" s="81" customFormat="1" hidden="1">
      <c r="A1080" s="81" t="str">
        <f t="shared" si="38"/>
        <v>ESAMAZONAir Conditionersplit air conditioneraire acondicionado split</v>
      </c>
      <c r="B1080" s="106" t="str">
        <f t="shared" si="39"/>
        <v>ES_AMAZON</v>
      </c>
      <c r="C1080" s="107" t="s">
        <v>285</v>
      </c>
      <c r="D1080" s="107" t="s">
        <v>262</v>
      </c>
      <c r="E1080" s="107" t="s">
        <v>2524</v>
      </c>
      <c r="F1080" s="107" t="s">
        <v>2422</v>
      </c>
      <c r="G1080" s="107" t="s">
        <v>2763</v>
      </c>
      <c r="H1080" s="93" t="e">
        <v>#N/A</v>
      </c>
      <c r="I1080" s="99">
        <v>46076</v>
      </c>
      <c r="J1080" s="83" t="s">
        <v>189</v>
      </c>
      <c r="K1080" s="107"/>
      <c r="L1080" s="107"/>
      <c r="M1080" s="107"/>
      <c r="N1080" s="107"/>
      <c r="O1080" s="107"/>
    </row>
    <row r="1081" spans="1:15" s="81" customFormat="1" hidden="1">
      <c r="A1081" s="81" t="str">
        <f t="shared" si="38"/>
        <v>ESAMAZONBluetooth Speakerspeakersaltavoces</v>
      </c>
      <c r="B1081" s="106" t="str">
        <f t="shared" si="39"/>
        <v>ES_AMAZON</v>
      </c>
      <c r="C1081" s="107" t="s">
        <v>285</v>
      </c>
      <c r="D1081" s="107" t="s">
        <v>262</v>
      </c>
      <c r="E1081" s="107" t="s">
        <v>2307</v>
      </c>
      <c r="F1081" s="107" t="s">
        <v>2471</v>
      </c>
      <c r="G1081" s="107" t="s">
        <v>2764</v>
      </c>
      <c r="H1081" s="93" t="e">
        <v>#N/A</v>
      </c>
      <c r="I1081" s="99">
        <v>46076</v>
      </c>
      <c r="J1081" s="83" t="s">
        <v>189</v>
      </c>
      <c r="K1081" s="107"/>
      <c r="L1081" s="107"/>
      <c r="M1081" s="107"/>
      <c r="N1081" s="107"/>
      <c r="O1081" s="107"/>
    </row>
    <row r="1082" spans="1:15" s="81" customFormat="1" hidden="1">
      <c r="A1082" s="81" t="str">
        <f t="shared" si="38"/>
        <v>ESAMAZONBluetooth Speakerportable speakersaltavoces portátiles</v>
      </c>
      <c r="B1082" s="106" t="str">
        <f t="shared" si="39"/>
        <v>ES_AMAZON</v>
      </c>
      <c r="C1082" s="107" t="s">
        <v>285</v>
      </c>
      <c r="D1082" s="107" t="s">
        <v>262</v>
      </c>
      <c r="E1082" s="107" t="s">
        <v>2307</v>
      </c>
      <c r="F1082" s="107" t="s">
        <v>2473</v>
      </c>
      <c r="G1082" s="107" t="s">
        <v>2765</v>
      </c>
      <c r="H1082" s="93" t="e">
        <v>#N/A</v>
      </c>
      <c r="I1082" s="99">
        <v>46076</v>
      </c>
      <c r="J1082" s="83" t="s">
        <v>189</v>
      </c>
      <c r="K1082" s="107"/>
      <c r="L1082" s="107"/>
      <c r="M1082" s="107"/>
      <c r="N1082" s="107"/>
      <c r="O1082" s="107"/>
    </row>
    <row r="1083" spans="1:15" s="81" customFormat="1" hidden="1">
      <c r="A1083" s="81" t="str">
        <f t="shared" si="38"/>
        <v>ESAMAZONBluetooth Speakerwireless portable speakersaltavoces portátiles inalámbricos</v>
      </c>
      <c r="B1083" s="106" t="str">
        <f t="shared" si="39"/>
        <v>ES_AMAZON</v>
      </c>
      <c r="C1083" s="107" t="s">
        <v>285</v>
      </c>
      <c r="D1083" s="107" t="s">
        <v>262</v>
      </c>
      <c r="E1083" s="107" t="s">
        <v>2307</v>
      </c>
      <c r="F1083" s="107" t="s">
        <v>2475</v>
      </c>
      <c r="G1083" s="107" t="s">
        <v>2766</v>
      </c>
      <c r="H1083" s="93" t="e">
        <v>#N/A</v>
      </c>
      <c r="I1083" s="99">
        <v>46076</v>
      </c>
      <c r="J1083" s="83" t="s">
        <v>189</v>
      </c>
      <c r="K1083" s="107"/>
      <c r="L1083" s="107"/>
      <c r="M1083" s="107"/>
      <c r="N1083" s="107"/>
      <c r="O1083" s="107"/>
    </row>
    <row r="1084" spans="1:15" s="81" customFormat="1" hidden="1">
      <c r="A1084" s="81" t="str">
        <f t="shared" si="38"/>
        <v>ESAMAZONBluetooth Speakerbluetooth speakerAltavoz bluetooth</v>
      </c>
      <c r="B1084" s="106" t="str">
        <f t="shared" si="39"/>
        <v>ES_AMAZON</v>
      </c>
      <c r="C1084" s="107" t="s">
        <v>285</v>
      </c>
      <c r="D1084" s="107" t="s">
        <v>262</v>
      </c>
      <c r="E1084" s="107" t="s">
        <v>2307</v>
      </c>
      <c r="F1084" s="107" t="s">
        <v>2657</v>
      </c>
      <c r="G1084" s="107" t="s">
        <v>2767</v>
      </c>
      <c r="H1084" s="93" t="e">
        <v>#N/A</v>
      </c>
      <c r="I1084" s="99">
        <v>46076</v>
      </c>
      <c r="J1084" s="83" t="s">
        <v>189</v>
      </c>
      <c r="K1084" s="107"/>
      <c r="L1084" s="107"/>
      <c r="M1084" s="107"/>
      <c r="N1084" s="107"/>
      <c r="O1084" s="107"/>
    </row>
    <row r="1085" spans="1:15" s="81" customFormat="1" hidden="1">
      <c r="A1085" s="81" t="str">
        <f t="shared" si="38"/>
        <v>ESAMAZONBluetooth Speakerbluetooth speaker portableAltavoz portátil bluetooth</v>
      </c>
      <c r="B1085" s="106" t="str">
        <f t="shared" si="39"/>
        <v>ES_AMAZON</v>
      </c>
      <c r="C1085" s="107" t="s">
        <v>285</v>
      </c>
      <c r="D1085" s="107" t="s">
        <v>262</v>
      </c>
      <c r="E1085" s="107" t="s">
        <v>2307</v>
      </c>
      <c r="F1085" s="107" t="s">
        <v>2479</v>
      </c>
      <c r="G1085" s="107" t="s">
        <v>2768</v>
      </c>
      <c r="H1085" s="93" t="e">
        <v>#N/A</v>
      </c>
      <c r="I1085" s="99">
        <v>46076</v>
      </c>
      <c r="J1085" s="83" t="s">
        <v>189</v>
      </c>
      <c r="K1085" s="107"/>
      <c r="L1085" s="107"/>
      <c r="M1085" s="107"/>
      <c r="N1085" s="107"/>
      <c r="O1085" s="107"/>
    </row>
    <row r="1086" spans="1:15" s="197" customFormat="1" hidden="1">
      <c r="A1086" s="197" t="str">
        <f t="shared" ref="A1086:A1090" si="40">C1086&amp;D1086&amp;E1086&amp;F1086&amp;G1086</f>
        <v>ESAMAZONSoundbarSoundbarbarra de sonido</v>
      </c>
      <c r="B1086" s="198" t="str">
        <f t="shared" ref="B1086:B1090" si="41">C1086&amp;"_"&amp;D1086</f>
        <v>ES_AMAZON</v>
      </c>
      <c r="C1086" s="199" t="s">
        <v>285</v>
      </c>
      <c r="D1086" s="199" t="s">
        <v>262</v>
      </c>
      <c r="E1086" s="199" t="s">
        <v>2546</v>
      </c>
      <c r="F1086" s="199" t="s">
        <v>2363</v>
      </c>
      <c r="G1086" s="199" t="s">
        <v>2769</v>
      </c>
      <c r="H1086" s="199" t="e">
        <v>#N/A</v>
      </c>
      <c r="I1086" s="201">
        <v>46076</v>
      </c>
      <c r="J1086" s="202" t="s">
        <v>189</v>
      </c>
      <c r="K1086" s="199"/>
      <c r="L1086" s="199"/>
      <c r="M1086" s="199"/>
      <c r="N1086" s="199"/>
      <c r="O1086" s="199"/>
    </row>
    <row r="1087" spans="1:15" s="197" customFormat="1" ht="14.4" hidden="1">
      <c r="A1087" s="197" t="str">
        <f t="shared" si="40"/>
        <v>ESAMAZONSoundbarsoundbar for tvbarra de sonido para televisión</v>
      </c>
      <c r="B1087" s="198" t="str">
        <f t="shared" si="41"/>
        <v>ES_AMAZON</v>
      </c>
      <c r="C1087" s="199" t="s">
        <v>285</v>
      </c>
      <c r="D1087" s="199" t="s">
        <v>262</v>
      </c>
      <c r="E1087" s="199" t="s">
        <v>2546</v>
      </c>
      <c r="F1087" s="199" t="s">
        <v>2573</v>
      </c>
      <c r="G1087" s="199" t="s">
        <v>2770</v>
      </c>
      <c r="H1087" s="199" t="e">
        <v>#N/A</v>
      </c>
      <c r="I1087" s="201">
        <v>46076</v>
      </c>
      <c r="J1087" s="202" t="s">
        <v>189</v>
      </c>
      <c r="K1087" s="199"/>
      <c r="L1087" s="199"/>
      <c r="M1087" s="199"/>
      <c r="N1087" s="199"/>
      <c r="O1087" s="199"/>
    </row>
    <row r="1088" spans="1:15" s="197" customFormat="1" hidden="1">
      <c r="A1088" s="197" t="str">
        <f t="shared" si="40"/>
        <v>ESAMAZONSoundbartv soundbarbarra de sonido de televisión</v>
      </c>
      <c r="B1088" s="198" t="str">
        <f t="shared" si="41"/>
        <v>ES_AMAZON</v>
      </c>
      <c r="C1088" s="199" t="s">
        <v>285</v>
      </c>
      <c r="D1088" s="199" t="s">
        <v>262</v>
      </c>
      <c r="E1088" s="199" t="s">
        <v>2546</v>
      </c>
      <c r="F1088" s="199" t="s">
        <v>2686</v>
      </c>
      <c r="G1088" s="199" t="s">
        <v>2771</v>
      </c>
      <c r="H1088" s="199" t="e">
        <v>#N/A</v>
      </c>
      <c r="I1088" s="201">
        <v>46076</v>
      </c>
      <c r="J1088" s="202" t="s">
        <v>189</v>
      </c>
      <c r="K1088" s="199"/>
      <c r="L1088" s="199"/>
      <c r="M1088" s="199"/>
      <c r="N1088" s="199"/>
      <c r="O1088" s="199"/>
    </row>
    <row r="1089" spans="1:15" s="197" customFormat="1" hidden="1">
      <c r="A1089" s="197" t="str">
        <f t="shared" si="40"/>
        <v>ESAMAZONSoundbarSurround sound systemSistema de sonido envolvente</v>
      </c>
      <c r="B1089" s="198" t="str">
        <f t="shared" si="41"/>
        <v>ES_AMAZON</v>
      </c>
      <c r="C1089" s="199" t="s">
        <v>285</v>
      </c>
      <c r="D1089" s="199" t="s">
        <v>262</v>
      </c>
      <c r="E1089" s="199" t="s">
        <v>2546</v>
      </c>
      <c r="F1089" s="199" t="s">
        <v>2772</v>
      </c>
      <c r="G1089" s="199" t="s">
        <v>2773</v>
      </c>
      <c r="H1089" s="199" t="e">
        <v>#N/A</v>
      </c>
      <c r="I1089" s="201">
        <v>46076</v>
      </c>
      <c r="J1089" s="202" t="s">
        <v>189</v>
      </c>
      <c r="K1089" s="199"/>
      <c r="L1089" s="199"/>
      <c r="M1089" s="199"/>
      <c r="N1089" s="199"/>
      <c r="O1089" s="199"/>
    </row>
    <row r="1090" spans="1:15" s="197" customFormat="1" hidden="1">
      <c r="A1090" s="197" t="str">
        <f t="shared" si="40"/>
        <v>ESAMAZONSoundbartv soundsonido de tv</v>
      </c>
      <c r="B1090" s="198" t="str">
        <f t="shared" si="41"/>
        <v>ES_AMAZON</v>
      </c>
      <c r="C1090" s="199" t="s">
        <v>285</v>
      </c>
      <c r="D1090" s="199" t="s">
        <v>262</v>
      </c>
      <c r="E1090" s="199" t="s">
        <v>2546</v>
      </c>
      <c r="F1090" s="199" t="s">
        <v>2774</v>
      </c>
      <c r="G1090" s="199" t="s">
        <v>2775</v>
      </c>
      <c r="H1090" s="199" t="e">
        <v>#N/A</v>
      </c>
      <c r="I1090" s="201">
        <v>46076</v>
      </c>
      <c r="J1090" s="202" t="s">
        <v>189</v>
      </c>
      <c r="K1090" s="199"/>
      <c r="L1090" s="199"/>
      <c r="M1090" s="199"/>
      <c r="N1090" s="199"/>
      <c r="O1090" s="199"/>
    </row>
    <row r="1091" spans="1:15" s="81" customFormat="1" hidden="1">
      <c r="A1091" s="81" t="str">
        <f t="shared" si="38"/>
        <v>ESAMAZONDryerDryerSecadora</v>
      </c>
      <c r="B1091" s="106" t="str">
        <f t="shared" si="39"/>
        <v>ES_AMAZON</v>
      </c>
      <c r="C1091" s="107" t="s">
        <v>285</v>
      </c>
      <c r="D1091" s="107" t="s">
        <v>262</v>
      </c>
      <c r="E1091" s="107" t="s">
        <v>2535</v>
      </c>
      <c r="F1091" s="107" t="s">
        <v>2431</v>
      </c>
      <c r="G1091" s="119" t="s">
        <v>2776</v>
      </c>
      <c r="H1091" s="93" t="e">
        <v>#N/A</v>
      </c>
      <c r="I1091" s="99">
        <v>46076</v>
      </c>
      <c r="J1091" s="83" t="s">
        <v>189</v>
      </c>
      <c r="K1091" s="107"/>
      <c r="L1091" s="107"/>
      <c r="M1091" s="107"/>
      <c r="N1091" s="107"/>
      <c r="O1091" s="107"/>
    </row>
    <row r="1092" spans="1:15" hidden="1">
      <c r="A1092" s="75" t="str">
        <f t="shared" si="38"/>
        <v>ESELCORTEINGLES_ELECTRONICABluetooth Speakerspeakersaltavoces</v>
      </c>
      <c r="B1092" s="94" t="str">
        <f t="shared" si="39"/>
        <v>ES_ELCORTEINGLES_ELECTRONICA</v>
      </c>
      <c r="C1092" s="93" t="s">
        <v>285</v>
      </c>
      <c r="D1092" s="93" t="s">
        <v>287</v>
      </c>
      <c r="E1092" s="93" t="s">
        <v>2307</v>
      </c>
      <c r="F1092" s="93" t="s">
        <v>2471</v>
      </c>
      <c r="G1092" s="93" t="s">
        <v>2764</v>
      </c>
      <c r="H1092" s="93" t="e">
        <v>#N/A</v>
      </c>
      <c r="I1092" s="105" t="s">
        <v>2310</v>
      </c>
      <c r="J1092" s="93" t="s">
        <v>189</v>
      </c>
      <c r="K1092" s="93">
        <v>87935</v>
      </c>
      <c r="L1092" s="93" t="e">
        <v>#N/A</v>
      </c>
      <c r="M1092" s="93" t="s">
        <v>2311</v>
      </c>
      <c r="N1092" s="93">
        <f>VLOOKUP(B1092,'[16]01.수집 카테고리(List)'!$A$2:$H$64,8,FALSE)</f>
        <v>99991231</v>
      </c>
      <c r="O1092" s="93" t="s">
        <v>646</v>
      </c>
    </row>
    <row r="1093" spans="1:15" hidden="1">
      <c r="A1093" s="75" t="str">
        <f t="shared" si="38"/>
        <v>ESELCORTEINGLES_ELECTRONICABluetooth Speakerportable speakersaltavoces portátiles</v>
      </c>
      <c r="B1093" s="94" t="str">
        <f t="shared" si="39"/>
        <v>ES_ELCORTEINGLES_ELECTRONICA</v>
      </c>
      <c r="C1093" s="93" t="s">
        <v>285</v>
      </c>
      <c r="D1093" s="93" t="s">
        <v>287</v>
      </c>
      <c r="E1093" s="93" t="s">
        <v>2307</v>
      </c>
      <c r="F1093" s="93" t="s">
        <v>2473</v>
      </c>
      <c r="G1093" s="93" t="s">
        <v>2765</v>
      </c>
      <c r="H1093" s="93" t="e">
        <v>#N/A</v>
      </c>
      <c r="I1093" s="105" t="s">
        <v>2310</v>
      </c>
      <c r="J1093" s="93" t="s">
        <v>189</v>
      </c>
      <c r="K1093" s="93">
        <v>2626</v>
      </c>
      <c r="L1093" s="93" t="e">
        <v>#N/A</v>
      </c>
      <c r="M1093" s="93" t="s">
        <v>2311</v>
      </c>
      <c r="N1093" s="93">
        <f>VLOOKUP(B1093,'[16]01.수집 카테고리(List)'!$A$2:$H$64,8,FALSE)</f>
        <v>99991231</v>
      </c>
      <c r="O1093" s="93" t="s">
        <v>646</v>
      </c>
    </row>
    <row r="1094" spans="1:15" hidden="1">
      <c r="A1094" s="75" t="str">
        <f t="shared" si="38"/>
        <v>ESELCORTEINGLES_ELECTRONICABluetooth Speakerwireless portable speakersaltavoces portátiles inalámbricos</v>
      </c>
      <c r="B1094" s="94" t="str">
        <f t="shared" si="39"/>
        <v>ES_ELCORTEINGLES_ELECTRONICA</v>
      </c>
      <c r="C1094" s="93" t="s">
        <v>285</v>
      </c>
      <c r="D1094" s="93" t="s">
        <v>287</v>
      </c>
      <c r="E1094" s="93" t="s">
        <v>2307</v>
      </c>
      <c r="F1094" s="93" t="s">
        <v>2475</v>
      </c>
      <c r="G1094" s="93" t="s">
        <v>2766</v>
      </c>
      <c r="H1094" s="93" t="e">
        <v>#N/A</v>
      </c>
      <c r="I1094" s="105" t="s">
        <v>2310</v>
      </c>
      <c r="J1094" s="93" t="s">
        <v>189</v>
      </c>
      <c r="K1094" s="93">
        <v>773</v>
      </c>
      <c r="L1094" s="93" t="e">
        <v>#N/A</v>
      </c>
      <c r="M1094" s="93" t="s">
        <v>2311</v>
      </c>
      <c r="N1094" s="93">
        <f>VLOOKUP(B1094,'[16]01.수집 카테고리(List)'!$A$2:$H$64,8,FALSE)</f>
        <v>99991231</v>
      </c>
      <c r="O1094" s="93" t="s">
        <v>646</v>
      </c>
    </row>
    <row r="1095" spans="1:15" hidden="1">
      <c r="A1095" s="75" t="str">
        <f t="shared" si="38"/>
        <v>ESELCORTEINGLES_ELECTRONICABluetooth Speakerbluetooth speakerAltavoz bluetooth</v>
      </c>
      <c r="B1095" s="94" t="str">
        <f t="shared" si="39"/>
        <v>ES_ELCORTEINGLES_ELECTRONICA</v>
      </c>
      <c r="C1095" s="93" t="s">
        <v>285</v>
      </c>
      <c r="D1095" s="93" t="s">
        <v>287</v>
      </c>
      <c r="E1095" s="93" t="s">
        <v>2307</v>
      </c>
      <c r="F1095" s="93" t="s">
        <v>2657</v>
      </c>
      <c r="G1095" s="93" t="s">
        <v>2767</v>
      </c>
      <c r="H1095" s="93" t="e">
        <v>#N/A</v>
      </c>
      <c r="I1095" s="105" t="s">
        <v>2310</v>
      </c>
      <c r="J1095" s="93" t="s">
        <v>189</v>
      </c>
      <c r="K1095" s="93">
        <v>964</v>
      </c>
      <c r="L1095" s="93" t="e">
        <v>#N/A</v>
      </c>
      <c r="M1095" s="93" t="s">
        <v>2311</v>
      </c>
      <c r="N1095" s="93">
        <f>VLOOKUP(B1095,'[16]01.수집 카테고리(List)'!$A$2:$H$64,8,FALSE)</f>
        <v>99991231</v>
      </c>
      <c r="O1095" s="93" t="s">
        <v>646</v>
      </c>
    </row>
    <row r="1096" spans="1:15" hidden="1">
      <c r="A1096" s="75" t="str">
        <f t="shared" si="38"/>
        <v>ESELCORTEINGLES_ELECTRONICABluetooth Speakerbluetooth speaker portableAltavoz portátil bluetooth</v>
      </c>
      <c r="B1096" s="94" t="str">
        <f t="shared" si="39"/>
        <v>ES_ELCORTEINGLES_ELECTRONICA</v>
      </c>
      <c r="C1096" s="93" t="s">
        <v>285</v>
      </c>
      <c r="D1096" s="93" t="s">
        <v>287</v>
      </c>
      <c r="E1096" s="93" t="s">
        <v>2307</v>
      </c>
      <c r="F1096" s="93" t="s">
        <v>2479</v>
      </c>
      <c r="G1096" s="93" t="s">
        <v>2768</v>
      </c>
      <c r="H1096" s="93" t="e">
        <v>#N/A</v>
      </c>
      <c r="I1096" s="105" t="s">
        <v>2310</v>
      </c>
      <c r="J1096" s="93" t="s">
        <v>189</v>
      </c>
      <c r="K1096" s="93">
        <v>714</v>
      </c>
      <c r="L1096" s="93" t="e">
        <v>#N/A</v>
      </c>
      <c r="M1096" s="93" t="s">
        <v>2311</v>
      </c>
      <c r="N1096" s="93">
        <f>VLOOKUP(B1096,'[16]01.수집 카테고리(List)'!$A$2:$H$64,8,FALSE)</f>
        <v>99991231</v>
      </c>
      <c r="O1096" s="93" t="s">
        <v>646</v>
      </c>
    </row>
    <row r="1097" spans="1:15" hidden="1">
      <c r="A1097" s="75" t="str">
        <f t="shared" ref="A1097:A1158" si="42">C1097&amp;D1097&amp;E1097&amp;F1097&amp;G1097</f>
        <v>ESELCORTEINGLES_ELECTRONICADishwasherdishwasherLavavajillas</v>
      </c>
      <c r="B1097" s="94" t="str">
        <f t="shared" ref="B1097:B1158" si="43">C1097&amp;"_"&amp;D1097</f>
        <v>ES_ELCORTEINGLES_ELECTRONICA</v>
      </c>
      <c r="C1097" s="93" t="s">
        <v>285</v>
      </c>
      <c r="D1097" s="93" t="s">
        <v>287</v>
      </c>
      <c r="E1097" s="93" t="s">
        <v>2440</v>
      </c>
      <c r="F1097" s="93" t="s">
        <v>2354</v>
      </c>
      <c r="G1097" s="93" t="s">
        <v>2777</v>
      </c>
      <c r="H1097" s="93" t="e">
        <v>#N/A</v>
      </c>
      <c r="I1097" s="105" t="s">
        <v>2310</v>
      </c>
      <c r="J1097" s="93" t="s">
        <v>189</v>
      </c>
      <c r="K1097" s="93">
        <v>77</v>
      </c>
      <c r="L1097" s="93" t="e">
        <v>#N/A</v>
      </c>
      <c r="M1097" s="93" t="s">
        <v>2311</v>
      </c>
      <c r="N1097" s="93">
        <f>VLOOKUP(B1097,'[16]01.수집 카테고리(List)'!$A$2:$H$64,8,FALSE)</f>
        <v>99991231</v>
      </c>
      <c r="O1097" s="93" t="s">
        <v>646</v>
      </c>
    </row>
    <row r="1098" spans="1:15" hidden="1">
      <c r="A1098" s="75" t="str">
        <f t="shared" si="42"/>
        <v>ESELCORTEINGLES_ELECTRONICADishwashersteam dishwasherlavavajillas de vapor</v>
      </c>
      <c r="B1098" s="94" t="str">
        <f t="shared" si="43"/>
        <v>ES_ELCORTEINGLES_ELECTRONICA</v>
      </c>
      <c r="C1098" s="93" t="s">
        <v>285</v>
      </c>
      <c r="D1098" s="93" t="s">
        <v>287</v>
      </c>
      <c r="E1098" s="93" t="s">
        <v>2440</v>
      </c>
      <c r="F1098" s="93" t="s">
        <v>2778</v>
      </c>
      <c r="G1098" s="93" t="s">
        <v>2779</v>
      </c>
      <c r="H1098" s="93" t="e">
        <v>#N/A</v>
      </c>
      <c r="I1098" s="105" t="s">
        <v>2310</v>
      </c>
      <c r="J1098" s="93" t="s">
        <v>189</v>
      </c>
      <c r="K1098" s="93">
        <v>30</v>
      </c>
      <c r="L1098" s="93" t="e">
        <v>#N/A</v>
      </c>
      <c r="M1098" s="93" t="s">
        <v>2311</v>
      </c>
      <c r="N1098" s="93">
        <f>VLOOKUP(B1098,'[16]01.수집 카테고리(List)'!$A$2:$H$64,8,FALSE)</f>
        <v>99991231</v>
      </c>
      <c r="O1098" s="93" t="s">
        <v>646</v>
      </c>
    </row>
    <row r="1099" spans="1:15" hidden="1">
      <c r="A1099" s="75" t="str">
        <f t="shared" si="42"/>
        <v>ESELCORTEINGLES_ELECTRONICADishwasherQuadWash dishwasherLavavajillas QuadWash</v>
      </c>
      <c r="B1099" s="94" t="str">
        <f t="shared" si="43"/>
        <v>ES_ELCORTEINGLES_ELECTRONICA</v>
      </c>
      <c r="C1099" s="93" t="s">
        <v>285</v>
      </c>
      <c r="D1099" s="93" t="s">
        <v>287</v>
      </c>
      <c r="E1099" s="93" t="s">
        <v>2440</v>
      </c>
      <c r="F1099" s="93" t="s">
        <v>2780</v>
      </c>
      <c r="G1099" s="93" t="s">
        <v>2781</v>
      </c>
      <c r="H1099" s="93" t="e">
        <v>#N/A</v>
      </c>
      <c r="I1099" s="105" t="s">
        <v>2310</v>
      </c>
      <c r="J1099" s="93" t="s">
        <v>189</v>
      </c>
      <c r="K1099" s="93">
        <v>70</v>
      </c>
      <c r="L1099" s="93" t="e">
        <v>#N/A</v>
      </c>
      <c r="M1099" s="93" t="s">
        <v>2311</v>
      </c>
      <c r="N1099" s="93">
        <f>VLOOKUP(B1099,'[16]01.수집 카테고리(List)'!$A$2:$H$64,8,FALSE)</f>
        <v>99991231</v>
      </c>
      <c r="O1099" s="93" t="s">
        <v>646</v>
      </c>
    </row>
    <row r="1100" spans="1:15" hidden="1">
      <c r="A1100" s="75" t="str">
        <f t="shared" si="42"/>
        <v>ESELCORTEINGLES_ELECTRONICAMonitormonitormonitor</v>
      </c>
      <c r="B1100" s="94" t="str">
        <f t="shared" si="43"/>
        <v>ES_ELCORTEINGLES_ELECTRONICA</v>
      </c>
      <c r="C1100" s="93" t="s">
        <v>285</v>
      </c>
      <c r="D1100" s="93" t="s">
        <v>287</v>
      </c>
      <c r="E1100" s="93" t="s">
        <v>2320</v>
      </c>
      <c r="F1100" s="93" t="s">
        <v>2323</v>
      </c>
      <c r="G1100" s="93" t="s">
        <v>2323</v>
      </c>
      <c r="H1100" s="93" t="e">
        <v>#N/A</v>
      </c>
      <c r="I1100" s="105" t="s">
        <v>2310</v>
      </c>
      <c r="J1100" s="93" t="s">
        <v>189</v>
      </c>
      <c r="K1100" s="93">
        <v>51959</v>
      </c>
      <c r="L1100" s="93">
        <v>51959</v>
      </c>
      <c r="M1100" s="93" t="s">
        <v>2311</v>
      </c>
      <c r="N1100" s="93">
        <f>VLOOKUP(B1100,'[16]01.수집 카테고리(List)'!$A$2:$H$64,8,FALSE)</f>
        <v>99991231</v>
      </c>
      <c r="O1100" s="93" t="s">
        <v>646</v>
      </c>
    </row>
    <row r="1101" spans="1:15" hidden="1">
      <c r="A1101" s="75" t="str">
        <f t="shared" si="42"/>
        <v>ESELCORTEINGLES_ELECTRONICAMonitorultrawide monitormonitor ultrawide</v>
      </c>
      <c r="B1101" s="94" t="str">
        <f t="shared" si="43"/>
        <v>ES_ELCORTEINGLES_ELECTRONICA</v>
      </c>
      <c r="C1101" s="93" t="s">
        <v>285</v>
      </c>
      <c r="D1101" s="93" t="s">
        <v>287</v>
      </c>
      <c r="E1101" s="93" t="s">
        <v>2320</v>
      </c>
      <c r="F1101" s="93" t="s">
        <v>2325</v>
      </c>
      <c r="G1101" s="93" t="s">
        <v>2499</v>
      </c>
      <c r="H1101" s="93" t="e">
        <v>#N/A</v>
      </c>
      <c r="I1101" s="105" t="s">
        <v>2310</v>
      </c>
      <c r="J1101" s="93" t="s">
        <v>189</v>
      </c>
      <c r="K1101" s="93">
        <v>989</v>
      </c>
      <c r="L1101" s="93" t="e">
        <v>#N/A</v>
      </c>
      <c r="M1101" s="93" t="s">
        <v>2311</v>
      </c>
      <c r="N1101" s="93">
        <f>VLOOKUP(B1101,'[16]01.수집 카테고리(List)'!$A$2:$H$64,8,FALSE)</f>
        <v>99991231</v>
      </c>
      <c r="O1101" s="93" t="s">
        <v>646</v>
      </c>
    </row>
    <row r="1102" spans="1:15" hidden="1">
      <c r="A1102" s="75" t="str">
        <f t="shared" si="42"/>
        <v>ESELCORTEINGLES_ELECTRONICAMonitor4k monitormonitores 4K</v>
      </c>
      <c r="B1102" s="94" t="str">
        <f t="shared" si="43"/>
        <v>ES_ELCORTEINGLES_ELECTRONICA</v>
      </c>
      <c r="C1102" s="93" t="s">
        <v>285</v>
      </c>
      <c r="D1102" s="93" t="s">
        <v>287</v>
      </c>
      <c r="E1102" s="93" t="s">
        <v>2320</v>
      </c>
      <c r="F1102" s="93" t="s">
        <v>2321</v>
      </c>
      <c r="G1102" s="93" t="s">
        <v>2733</v>
      </c>
      <c r="H1102" s="93" t="e">
        <v>#N/A</v>
      </c>
      <c r="I1102" s="105" t="s">
        <v>2310</v>
      </c>
      <c r="J1102" s="93" t="s">
        <v>189</v>
      </c>
      <c r="K1102" s="93">
        <v>594</v>
      </c>
      <c r="L1102" s="93" t="e">
        <v>#N/A</v>
      </c>
      <c r="M1102" s="93" t="s">
        <v>2311</v>
      </c>
      <c r="N1102" s="93">
        <f>VLOOKUP(B1102,'[16]01.수집 카테고리(List)'!$A$2:$H$64,8,FALSE)</f>
        <v>99991231</v>
      </c>
      <c r="O1102" s="93" t="s">
        <v>646</v>
      </c>
    </row>
    <row r="1103" spans="1:15" hidden="1">
      <c r="A1103" s="75" t="str">
        <f t="shared" si="42"/>
        <v>ESELCORTEINGLES_ELECTRONICAMonitorgaming monitormonitores gaming</v>
      </c>
      <c r="B1103" s="94" t="str">
        <f t="shared" si="43"/>
        <v>ES_ELCORTEINGLES_ELECTRONICA</v>
      </c>
      <c r="C1103" s="93" t="s">
        <v>285</v>
      </c>
      <c r="D1103" s="93" t="s">
        <v>287</v>
      </c>
      <c r="E1103" s="93" t="s">
        <v>2320</v>
      </c>
      <c r="F1103" s="93" t="s">
        <v>2322</v>
      </c>
      <c r="G1103" s="93" t="s">
        <v>2734</v>
      </c>
      <c r="H1103" s="93" t="e">
        <v>#N/A</v>
      </c>
      <c r="I1103" s="105" t="s">
        <v>2310</v>
      </c>
      <c r="J1103" s="93" t="s">
        <v>189</v>
      </c>
      <c r="K1103" s="93">
        <v>308</v>
      </c>
      <c r="L1103" s="93" t="e">
        <v>#N/A</v>
      </c>
      <c r="M1103" s="93" t="s">
        <v>2311</v>
      </c>
      <c r="N1103" s="93">
        <f>VLOOKUP(B1103,'[16]01.수집 카테고리(List)'!$A$2:$H$64,8,FALSE)</f>
        <v>99991231</v>
      </c>
      <c r="O1103" s="93" t="s">
        <v>646</v>
      </c>
    </row>
    <row r="1104" spans="1:15" hidden="1">
      <c r="A1104" s="75" t="str">
        <f t="shared" si="42"/>
        <v>ESELCORTEINGLES_ELECTRONICAMonitoruhd monitormonitores UHD</v>
      </c>
      <c r="B1104" s="94" t="str">
        <f t="shared" si="43"/>
        <v>ES_ELCORTEINGLES_ELECTRONICA</v>
      </c>
      <c r="C1104" s="93" t="s">
        <v>285</v>
      </c>
      <c r="D1104" s="93" t="s">
        <v>287</v>
      </c>
      <c r="E1104" s="93" t="s">
        <v>2320</v>
      </c>
      <c r="F1104" s="93" t="s">
        <v>2324</v>
      </c>
      <c r="G1104" s="93" t="s">
        <v>2735</v>
      </c>
      <c r="H1104" s="93" t="e">
        <v>#N/A</v>
      </c>
      <c r="I1104" s="105" t="s">
        <v>2310</v>
      </c>
      <c r="J1104" s="93" t="s">
        <v>189</v>
      </c>
      <c r="K1104" s="93">
        <v>585</v>
      </c>
      <c r="L1104" s="93" t="e">
        <v>#N/A</v>
      </c>
      <c r="M1104" s="93" t="s">
        <v>2311</v>
      </c>
      <c r="N1104" s="93">
        <f>VLOOKUP(B1104,'[16]01.수집 카테고리(List)'!$A$2:$H$64,8,FALSE)</f>
        <v>99991231</v>
      </c>
      <c r="O1104" s="93" t="s">
        <v>646</v>
      </c>
    </row>
    <row r="1105" spans="1:15" hidden="1">
      <c r="A1105" s="75" t="str">
        <f t="shared" si="42"/>
        <v>ESELCORTEINGLES_ELECTRONICAOVENSlide-in RangeDeslizable Rango Eléctrico</v>
      </c>
      <c r="B1105" s="94" t="str">
        <f t="shared" si="43"/>
        <v>ES_ELCORTEINGLES_ELECTRONICA</v>
      </c>
      <c r="C1105" s="93" t="s">
        <v>285</v>
      </c>
      <c r="D1105" s="93" t="s">
        <v>287</v>
      </c>
      <c r="E1105" s="93" t="s">
        <v>173</v>
      </c>
      <c r="F1105" s="93" t="s">
        <v>2676</v>
      </c>
      <c r="G1105" s="93" t="s">
        <v>2736</v>
      </c>
      <c r="H1105" s="93" t="e">
        <v>#N/A</v>
      </c>
      <c r="I1105" s="105" t="s">
        <v>2310</v>
      </c>
      <c r="J1105" s="93" t="s">
        <v>189</v>
      </c>
      <c r="K1105" s="93">
        <v>11295</v>
      </c>
      <c r="L1105" s="93" t="e">
        <v>#N/A</v>
      </c>
      <c r="M1105" s="93" t="s">
        <v>2311</v>
      </c>
      <c r="N1105" s="93">
        <f>VLOOKUP(B1105,'[16]01.수집 카테고리(List)'!$A$2:$H$64,8,FALSE)</f>
        <v>99991231</v>
      </c>
      <c r="O1105" s="93" t="s">
        <v>646</v>
      </c>
    </row>
    <row r="1106" spans="1:15" hidden="1">
      <c r="A1106" s="75" t="str">
        <f t="shared" si="42"/>
        <v>ESELCORTEINGLES_ELECTRONICAOVENWall OvenEmpava Horno eléctrico</v>
      </c>
      <c r="B1106" s="94" t="str">
        <f t="shared" si="43"/>
        <v>ES_ELCORTEINGLES_ELECTRONICA</v>
      </c>
      <c r="C1106" s="93" t="s">
        <v>285</v>
      </c>
      <c r="D1106" s="93" t="s">
        <v>287</v>
      </c>
      <c r="E1106" s="93" t="s">
        <v>173</v>
      </c>
      <c r="F1106" s="93" t="s">
        <v>2544</v>
      </c>
      <c r="G1106" s="93" t="s">
        <v>2737</v>
      </c>
      <c r="H1106" s="93" t="e">
        <v>#N/A</v>
      </c>
      <c r="I1106" s="105" t="s">
        <v>2310</v>
      </c>
      <c r="J1106" s="93" t="s">
        <v>189</v>
      </c>
      <c r="K1106" s="93">
        <v>3310</v>
      </c>
      <c r="L1106" s="93" t="e">
        <v>#N/A</v>
      </c>
      <c r="M1106" s="93" t="s">
        <v>2311</v>
      </c>
      <c r="N1106" s="93">
        <f>VLOOKUP(B1106,'[16]01.수집 카테고리(List)'!$A$2:$H$64,8,FALSE)</f>
        <v>99991231</v>
      </c>
      <c r="O1106" s="93" t="s">
        <v>646</v>
      </c>
    </row>
    <row r="1107" spans="1:15" hidden="1">
      <c r="A1107" s="75" t="str">
        <f t="shared" si="42"/>
        <v>ESELCORTEINGLES_ELECTRONICAOVENCooktopEstufa</v>
      </c>
      <c r="B1107" s="94" t="str">
        <f t="shared" si="43"/>
        <v>ES_ELCORTEINGLES_ELECTRONICA</v>
      </c>
      <c r="C1107" s="93" t="s">
        <v>285</v>
      </c>
      <c r="D1107" s="93" t="s">
        <v>287</v>
      </c>
      <c r="E1107" s="93" t="s">
        <v>173</v>
      </c>
      <c r="F1107" s="93" t="s">
        <v>2541</v>
      </c>
      <c r="G1107" s="93" t="s">
        <v>2738</v>
      </c>
      <c r="H1107" s="93" t="e">
        <v>#N/A</v>
      </c>
      <c r="I1107" s="105" t="s">
        <v>2310</v>
      </c>
      <c r="J1107" s="93" t="s">
        <v>189</v>
      </c>
      <c r="K1107" s="93">
        <v>8978</v>
      </c>
      <c r="L1107" s="93" t="e">
        <v>#N/A</v>
      </c>
      <c r="M1107" s="93" t="s">
        <v>2311</v>
      </c>
      <c r="N1107" s="93">
        <f>VLOOKUP(B1107,'[16]01.수집 카테고리(List)'!$A$2:$H$64,8,FALSE)</f>
        <v>99991231</v>
      </c>
      <c r="O1107" s="93" t="s">
        <v>646</v>
      </c>
    </row>
    <row r="1108" spans="1:15" hidden="1">
      <c r="A1108" s="75" t="str">
        <f t="shared" si="42"/>
        <v>ESELCORTEINGLES_ELECTRONICAOVENFreestanding OvenHorno independiente</v>
      </c>
      <c r="B1108" s="94" t="str">
        <f t="shared" si="43"/>
        <v>ES_ELCORTEINGLES_ELECTRONICA</v>
      </c>
      <c r="C1108" s="93" t="s">
        <v>285</v>
      </c>
      <c r="D1108" s="93" t="s">
        <v>287</v>
      </c>
      <c r="E1108" s="93" t="s">
        <v>173</v>
      </c>
      <c r="F1108" s="93" t="s">
        <v>2678</v>
      </c>
      <c r="G1108" s="93" t="s">
        <v>2739</v>
      </c>
      <c r="H1108" s="93" t="e">
        <v>#N/A</v>
      </c>
      <c r="I1108" s="105" t="s">
        <v>2310</v>
      </c>
      <c r="J1108" s="93" t="s">
        <v>189</v>
      </c>
      <c r="K1108" s="93">
        <v>49135</v>
      </c>
      <c r="L1108" s="93" t="e">
        <v>#N/A</v>
      </c>
      <c r="M1108" s="93" t="s">
        <v>2311</v>
      </c>
      <c r="N1108" s="93">
        <f>VLOOKUP(B1108,'[16]01.수집 카테고리(List)'!$A$2:$H$64,8,FALSE)</f>
        <v>99991231</v>
      </c>
      <c r="O1108" s="93" t="s">
        <v>646</v>
      </c>
    </row>
    <row r="1109" spans="1:15" hidden="1">
      <c r="A1109" s="75" t="str">
        <f t="shared" si="42"/>
        <v>ESELCORTEINGLES_ELECTRONICARefrigeratormulti door refrigeratorfrigorifico doble puerta</v>
      </c>
      <c r="B1109" s="94" t="str">
        <f t="shared" si="43"/>
        <v>ES_ELCORTEINGLES_ELECTRONICA</v>
      </c>
      <c r="C1109" s="93" t="s">
        <v>285</v>
      </c>
      <c r="D1109" s="93" t="s">
        <v>287</v>
      </c>
      <c r="E1109" s="93" t="s">
        <v>2326</v>
      </c>
      <c r="F1109" s="93" t="s">
        <v>2740</v>
      </c>
      <c r="G1109" s="93" t="s">
        <v>2741</v>
      </c>
      <c r="H1109" s="93" t="e">
        <v>#N/A</v>
      </c>
      <c r="I1109" s="105" t="s">
        <v>2310</v>
      </c>
      <c r="J1109" s="93" t="s">
        <v>189</v>
      </c>
      <c r="K1109" s="93">
        <v>91884</v>
      </c>
      <c r="L1109" s="93" t="e">
        <v>#N/A</v>
      </c>
      <c r="M1109" s="93" t="s">
        <v>2311</v>
      </c>
      <c r="N1109" s="93">
        <f>VLOOKUP(B1109,'[16]01.수집 카테고리(List)'!$A$2:$H$64,8,FALSE)</f>
        <v>99991231</v>
      </c>
      <c r="O1109" s="93" t="s">
        <v>646</v>
      </c>
    </row>
    <row r="1110" spans="1:15" hidden="1">
      <c r="A1110" s="75" t="str">
        <f t="shared" si="42"/>
        <v>ESELCORTEINGLES_ELECTRONICARefrigeratorbottom freezer refrigeratorfrigorífico dos puertas</v>
      </c>
      <c r="B1110" s="94" t="str">
        <f t="shared" si="43"/>
        <v>ES_ELCORTEINGLES_ELECTRONICA</v>
      </c>
      <c r="C1110" s="93" t="s">
        <v>285</v>
      </c>
      <c r="D1110" s="93" t="s">
        <v>287</v>
      </c>
      <c r="E1110" s="93" t="s">
        <v>2326</v>
      </c>
      <c r="F1110" s="93" t="s">
        <v>2327</v>
      </c>
      <c r="G1110" s="93" t="s">
        <v>2742</v>
      </c>
      <c r="H1110" s="93" t="e">
        <v>#N/A</v>
      </c>
      <c r="I1110" s="105" t="s">
        <v>2310</v>
      </c>
      <c r="J1110" s="93" t="s">
        <v>189</v>
      </c>
      <c r="K1110" s="93">
        <v>63</v>
      </c>
      <c r="L1110" s="93" t="e">
        <v>#N/A</v>
      </c>
      <c r="M1110" s="93" t="s">
        <v>2311</v>
      </c>
      <c r="N1110" s="93">
        <f>VLOOKUP(B1110,'[16]01.수집 카테고리(List)'!$A$2:$H$64,8,FALSE)</f>
        <v>99991231</v>
      </c>
      <c r="O1110" s="93" t="s">
        <v>646</v>
      </c>
    </row>
    <row r="1111" spans="1:15" hidden="1">
      <c r="A1111" s="75" t="str">
        <f t="shared" si="42"/>
        <v>ESELCORTEINGLES_ELECTRONICARefrigeratortop freezer refrigeratorneveras con congelador arriba</v>
      </c>
      <c r="B1111" s="94" t="str">
        <f t="shared" si="43"/>
        <v>ES_ELCORTEINGLES_ELECTRONICA</v>
      </c>
      <c r="C1111" s="93" t="s">
        <v>285</v>
      </c>
      <c r="D1111" s="93" t="s">
        <v>287</v>
      </c>
      <c r="E1111" s="93" t="s">
        <v>2326</v>
      </c>
      <c r="F1111" s="93" t="s">
        <v>2332</v>
      </c>
      <c r="G1111" s="93" t="s">
        <v>2743</v>
      </c>
      <c r="H1111" s="93" t="e">
        <v>#N/A</v>
      </c>
      <c r="I1111" s="105" t="s">
        <v>2310</v>
      </c>
      <c r="J1111" s="93" t="s">
        <v>189</v>
      </c>
      <c r="K1111" s="93">
        <v>62630</v>
      </c>
      <c r="L1111" s="93" t="e">
        <v>#N/A</v>
      </c>
      <c r="M1111" s="93" t="s">
        <v>2311</v>
      </c>
      <c r="N1111" s="93">
        <f>VLOOKUP(B1111,'[16]01.수집 카테고리(List)'!$A$2:$H$64,8,FALSE)</f>
        <v>99991231</v>
      </c>
      <c r="O1111" s="93" t="s">
        <v>646</v>
      </c>
    </row>
    <row r="1112" spans="1:15" hidden="1">
      <c r="A1112" s="75" t="str">
        <f t="shared" si="42"/>
        <v>ESELCORTEINGLES_ELECTRONICARefrigeratorrefrigeratorrefrigerador</v>
      </c>
      <c r="B1112" s="94" t="str">
        <f t="shared" si="43"/>
        <v>ES_ELCORTEINGLES_ELECTRONICA</v>
      </c>
      <c r="C1112" s="93" t="s">
        <v>285</v>
      </c>
      <c r="D1112" s="93" t="s">
        <v>287</v>
      </c>
      <c r="E1112" s="93" t="s">
        <v>2326</v>
      </c>
      <c r="F1112" s="93" t="s">
        <v>2329</v>
      </c>
      <c r="G1112" s="93" t="s">
        <v>2561</v>
      </c>
      <c r="H1112" s="93" t="e">
        <v>#N/A</v>
      </c>
      <c r="I1112" s="105" t="s">
        <v>2310</v>
      </c>
      <c r="J1112" s="93" t="s">
        <v>189</v>
      </c>
      <c r="K1112" s="93">
        <v>15238</v>
      </c>
      <c r="L1112" s="93" t="e">
        <v>#N/A</v>
      </c>
      <c r="M1112" s="93" t="s">
        <v>2311</v>
      </c>
      <c r="N1112" s="93">
        <f>VLOOKUP(B1112,'[16]01.수집 카테고리(List)'!$A$2:$H$64,8,FALSE)</f>
        <v>99991231</v>
      </c>
      <c r="O1112" s="93" t="s">
        <v>646</v>
      </c>
    </row>
    <row r="1113" spans="1:15" hidden="1">
      <c r="A1113" s="75" t="str">
        <f t="shared" si="42"/>
        <v>ESELCORTEINGLES_ELECTRONICARefrigeratorside by side refrigeratorside by side</v>
      </c>
      <c r="B1113" s="94" t="str">
        <f t="shared" si="43"/>
        <v>ES_ELCORTEINGLES_ELECTRONICA</v>
      </c>
      <c r="C1113" s="93" t="s">
        <v>285</v>
      </c>
      <c r="D1113" s="93" t="s">
        <v>287</v>
      </c>
      <c r="E1113" s="93" t="s">
        <v>2326</v>
      </c>
      <c r="F1113" s="93" t="s">
        <v>2744</v>
      </c>
      <c r="G1113" s="93" t="s">
        <v>2570</v>
      </c>
      <c r="H1113" s="93" t="e">
        <v>#N/A</v>
      </c>
      <c r="I1113" s="105" t="s">
        <v>2310</v>
      </c>
      <c r="J1113" s="93" t="s">
        <v>189</v>
      </c>
      <c r="K1113" s="93">
        <v>7345</v>
      </c>
      <c r="L1113" s="93" t="e">
        <v>#N/A</v>
      </c>
      <c r="M1113" s="93" t="s">
        <v>2311</v>
      </c>
      <c r="N1113" s="93">
        <f>VLOOKUP(B1113,'[16]01.수집 카테고리(List)'!$A$2:$H$64,8,FALSE)</f>
        <v>99991231</v>
      </c>
      <c r="O1113" s="93" t="s">
        <v>646</v>
      </c>
    </row>
    <row r="1114" spans="1:15" hidden="1">
      <c r="A1114" s="75" t="str">
        <f t="shared" si="42"/>
        <v>ESELCORTEINGLES_ELECTRONICASOUNDBARSoundbarBarra de sonido</v>
      </c>
      <c r="B1114" s="94" t="str">
        <f t="shared" si="43"/>
        <v>ES_ELCORTEINGLES_ELECTRONICA</v>
      </c>
      <c r="C1114" s="93" t="s">
        <v>285</v>
      </c>
      <c r="D1114" s="93" t="s">
        <v>287</v>
      </c>
      <c r="E1114" s="93" t="s">
        <v>165</v>
      </c>
      <c r="F1114" s="93" t="s">
        <v>2363</v>
      </c>
      <c r="G1114" s="93" t="s">
        <v>2782</v>
      </c>
      <c r="H1114" s="93" t="e">
        <v>#N/A</v>
      </c>
      <c r="I1114" s="105" t="s">
        <v>2310</v>
      </c>
      <c r="J1114" s="93" t="s">
        <v>189</v>
      </c>
      <c r="K1114" s="93">
        <v>2494</v>
      </c>
      <c r="L1114" s="93" t="e">
        <v>#N/A</v>
      </c>
      <c r="M1114" s="93" t="s">
        <v>2311</v>
      </c>
      <c r="N1114" s="93">
        <f>VLOOKUP(B1114,'[16]01.수집 카테고리(List)'!$A$2:$H$64,8,FALSE)</f>
        <v>99991231</v>
      </c>
      <c r="O1114" s="93" t="s">
        <v>646</v>
      </c>
    </row>
    <row r="1115" spans="1:15" hidden="1">
      <c r="A1115" s="75" t="str">
        <f t="shared" si="42"/>
        <v>ESELCORTEINGLES_ELECTRONICASOUNDBARtv soundbarbarra de sonido de tv</v>
      </c>
      <c r="B1115" s="94" t="str">
        <f t="shared" si="43"/>
        <v>ES_ELCORTEINGLES_ELECTRONICA</v>
      </c>
      <c r="C1115" s="93" t="s">
        <v>285</v>
      </c>
      <c r="D1115" s="93" t="s">
        <v>287</v>
      </c>
      <c r="E1115" s="93" t="s">
        <v>165</v>
      </c>
      <c r="F1115" s="93" t="s">
        <v>2686</v>
      </c>
      <c r="G1115" s="93" t="s">
        <v>2783</v>
      </c>
      <c r="H1115" s="93" t="e">
        <v>#N/A</v>
      </c>
      <c r="I1115" s="105" t="s">
        <v>2310</v>
      </c>
      <c r="J1115" s="93" t="s">
        <v>189</v>
      </c>
      <c r="K1115" s="93">
        <v>267</v>
      </c>
      <c r="L1115" s="93" t="e">
        <v>#N/A</v>
      </c>
      <c r="M1115" s="93" t="s">
        <v>2311</v>
      </c>
      <c r="N1115" s="93">
        <f>VLOOKUP(B1115,'[16]01.수집 카테고리(List)'!$A$2:$H$64,8,FALSE)</f>
        <v>99991231</v>
      </c>
      <c r="O1115" s="93" t="s">
        <v>646</v>
      </c>
    </row>
    <row r="1116" spans="1:15" hidden="1">
      <c r="A1116" s="75" t="str">
        <f t="shared" si="42"/>
        <v>ESELCORTEINGLES_ELECTRONICASOUNDBARsoundbar for tvbarra de sonido para tv</v>
      </c>
      <c r="B1116" s="94" t="str">
        <f t="shared" si="43"/>
        <v>ES_ELCORTEINGLES_ELECTRONICA</v>
      </c>
      <c r="C1116" s="93" t="s">
        <v>285</v>
      </c>
      <c r="D1116" s="93" t="s">
        <v>287</v>
      </c>
      <c r="E1116" s="93" t="s">
        <v>165</v>
      </c>
      <c r="F1116" s="93" t="s">
        <v>2573</v>
      </c>
      <c r="G1116" s="93" t="s">
        <v>2784</v>
      </c>
      <c r="H1116" s="93" t="e">
        <v>#N/A</v>
      </c>
      <c r="I1116" s="105" t="s">
        <v>2310</v>
      </c>
      <c r="J1116" s="93" t="s">
        <v>189</v>
      </c>
      <c r="K1116" s="93">
        <v>263</v>
      </c>
      <c r="L1116" s="93" t="e">
        <v>#N/A</v>
      </c>
      <c r="M1116" s="93" t="s">
        <v>2311</v>
      </c>
      <c r="N1116" s="93">
        <f>VLOOKUP(B1116,'[16]01.수집 카테고리(List)'!$A$2:$H$64,8,FALSE)</f>
        <v>99991231</v>
      </c>
      <c r="O1116" s="93" t="s">
        <v>646</v>
      </c>
    </row>
    <row r="1117" spans="1:15" hidden="1">
      <c r="A1117" s="75" t="str">
        <f t="shared" si="42"/>
        <v>ESELCORTEINGLES_ELECTRONICASOUNDBARSurround sound systemSistema de sonido envolvente</v>
      </c>
      <c r="B1117" s="94" t="str">
        <f t="shared" si="43"/>
        <v>ES_ELCORTEINGLES_ELECTRONICA</v>
      </c>
      <c r="C1117" s="93" t="s">
        <v>285</v>
      </c>
      <c r="D1117" s="93" t="s">
        <v>287</v>
      </c>
      <c r="E1117" s="93" t="s">
        <v>165</v>
      </c>
      <c r="F1117" s="93" t="s">
        <v>2772</v>
      </c>
      <c r="G1117" s="93" t="s">
        <v>2773</v>
      </c>
      <c r="H1117" s="93" t="e">
        <v>#N/A</v>
      </c>
      <c r="I1117" s="105" t="s">
        <v>2310</v>
      </c>
      <c r="J1117" s="93" t="s">
        <v>189</v>
      </c>
      <c r="K1117" s="93">
        <v>224969</v>
      </c>
      <c r="L1117" s="93" t="e">
        <v>#N/A</v>
      </c>
      <c r="M1117" s="93" t="s">
        <v>2311</v>
      </c>
      <c r="N1117" s="93">
        <f>VLOOKUP(B1117,'[16]01.수집 카테고리(List)'!$A$2:$H$64,8,FALSE)</f>
        <v>99991231</v>
      </c>
      <c r="O1117" s="93" t="s">
        <v>646</v>
      </c>
    </row>
    <row r="1118" spans="1:15" hidden="1">
      <c r="A1118" s="75" t="str">
        <f t="shared" si="42"/>
        <v>ESELCORTEINGLES_ELECTRONICASOUNDBARtv soundsonido de tv</v>
      </c>
      <c r="B1118" s="94" t="str">
        <f t="shared" si="43"/>
        <v>ES_ELCORTEINGLES_ELECTRONICA</v>
      </c>
      <c r="C1118" s="93" t="s">
        <v>285</v>
      </c>
      <c r="D1118" s="93" t="s">
        <v>287</v>
      </c>
      <c r="E1118" s="93" t="s">
        <v>165</v>
      </c>
      <c r="F1118" s="93" t="s">
        <v>2774</v>
      </c>
      <c r="G1118" s="93" t="s">
        <v>2785</v>
      </c>
      <c r="H1118" s="93" t="e">
        <v>#N/A</v>
      </c>
      <c r="I1118" s="105" t="s">
        <v>2310</v>
      </c>
      <c r="J1118" s="93" t="s">
        <v>189</v>
      </c>
      <c r="K1118" s="93">
        <v>7703</v>
      </c>
      <c r="L1118" s="93" t="e">
        <v>#N/A</v>
      </c>
      <c r="M1118" s="93" t="s">
        <v>2311</v>
      </c>
      <c r="N1118" s="93">
        <f>VLOOKUP(B1118,'[16]01.수집 카테고리(List)'!$A$2:$H$64,8,FALSE)</f>
        <v>99991231</v>
      </c>
      <c r="O1118" s="93" t="s">
        <v>646</v>
      </c>
    </row>
    <row r="1119" spans="1:15" hidden="1">
      <c r="A1119" s="75" t="str">
        <f t="shared" si="42"/>
        <v>ESELCORTEINGLES_ELECTRONICATVTVTelevisores</v>
      </c>
      <c r="B1119" s="94" t="str">
        <f t="shared" si="43"/>
        <v>ES_ELCORTEINGLES_ELECTRONICA</v>
      </c>
      <c r="C1119" s="93" t="s">
        <v>285</v>
      </c>
      <c r="D1119" s="93" t="s">
        <v>287</v>
      </c>
      <c r="E1119" s="93" t="s">
        <v>161</v>
      </c>
      <c r="F1119" s="93" t="s">
        <v>161</v>
      </c>
      <c r="G1119" s="93" t="s">
        <v>2745</v>
      </c>
      <c r="H1119" s="93" t="e">
        <v>#N/A</v>
      </c>
      <c r="I1119" s="105" t="s">
        <v>2310</v>
      </c>
      <c r="J1119" s="93" t="s">
        <v>189</v>
      </c>
      <c r="K1119" s="93" t="e">
        <v>#N/A</v>
      </c>
      <c r="L1119" s="93">
        <v>1</v>
      </c>
      <c r="M1119" s="93" t="s">
        <v>2351</v>
      </c>
      <c r="N1119" s="93">
        <f>VLOOKUP(B1119,'[16]01.수집 카테고리(List)'!$A$2:$H$64,8,FALSE)</f>
        <v>99991231</v>
      </c>
      <c r="O1119" s="93" t="s">
        <v>646</v>
      </c>
    </row>
    <row r="1120" spans="1:15" hidden="1">
      <c r="A1120" s="75" t="str">
        <f t="shared" si="42"/>
        <v>ESELCORTEINGLES_ELECTRONICATVNanoCelltelevisores nanocell</v>
      </c>
      <c r="B1120" s="94" t="str">
        <f t="shared" si="43"/>
        <v>ES_ELCORTEINGLES_ELECTRONICA</v>
      </c>
      <c r="C1120" s="93" t="s">
        <v>285</v>
      </c>
      <c r="D1120" s="93" t="s">
        <v>287</v>
      </c>
      <c r="E1120" s="93" t="s">
        <v>161</v>
      </c>
      <c r="F1120" s="93" t="s">
        <v>2746</v>
      </c>
      <c r="G1120" s="93" t="s">
        <v>2747</v>
      </c>
      <c r="H1120" s="93" t="e">
        <v>#N/A</v>
      </c>
      <c r="I1120" s="105" t="s">
        <v>2310</v>
      </c>
      <c r="J1120" s="93" t="s">
        <v>189</v>
      </c>
      <c r="K1120" s="93">
        <v>2492</v>
      </c>
      <c r="L1120" s="93" t="e">
        <v>#N/A</v>
      </c>
      <c r="M1120" s="93" t="s">
        <v>2311</v>
      </c>
      <c r="N1120" s="93">
        <f>VLOOKUP(B1120,'[16]01.수집 카테고리(List)'!$A$2:$H$64,8,FALSE)</f>
        <v>99991231</v>
      </c>
      <c r="O1120" s="93" t="s">
        <v>646</v>
      </c>
    </row>
    <row r="1121" spans="1:15" hidden="1">
      <c r="A1121" s="75" t="str">
        <f t="shared" si="42"/>
        <v>ESELCORTEINGLES_ELECTRONICATVoled TVTelevisores OLED</v>
      </c>
      <c r="B1121" s="94" t="str">
        <f t="shared" si="43"/>
        <v>ES_ELCORTEINGLES_ELECTRONICA</v>
      </c>
      <c r="C1121" s="93" t="s">
        <v>285</v>
      </c>
      <c r="D1121" s="93" t="s">
        <v>287</v>
      </c>
      <c r="E1121" s="93" t="s">
        <v>161</v>
      </c>
      <c r="F1121" s="93" t="s">
        <v>2369</v>
      </c>
      <c r="G1121" s="93" t="s">
        <v>2748</v>
      </c>
      <c r="H1121" s="93" t="e">
        <v>#N/A</v>
      </c>
      <c r="I1121" s="105" t="s">
        <v>2310</v>
      </c>
      <c r="J1121" s="93" t="s">
        <v>189</v>
      </c>
      <c r="K1121" s="93">
        <v>84</v>
      </c>
      <c r="L1121" s="93">
        <v>36</v>
      </c>
      <c r="M1121" s="93" t="s">
        <v>2311</v>
      </c>
      <c r="N1121" s="93">
        <f>VLOOKUP(B1121,'[16]01.수집 카테고리(List)'!$A$2:$H$64,8,FALSE)</f>
        <v>99991231</v>
      </c>
      <c r="O1121" s="93" t="s">
        <v>646</v>
      </c>
    </row>
    <row r="1122" spans="1:15" hidden="1">
      <c r="A1122" s="75" t="str">
        <f t="shared" si="42"/>
        <v>ESELCORTEINGLES_ELECTRONICATVFHDTelevisores pequeños</v>
      </c>
      <c r="B1122" s="94" t="str">
        <f t="shared" si="43"/>
        <v>ES_ELCORTEINGLES_ELECTRONICA</v>
      </c>
      <c r="C1122" s="93" t="s">
        <v>285</v>
      </c>
      <c r="D1122" s="93" t="s">
        <v>287</v>
      </c>
      <c r="E1122" s="93" t="s">
        <v>161</v>
      </c>
      <c r="F1122" s="93" t="s">
        <v>2749</v>
      </c>
      <c r="G1122" s="93" t="s">
        <v>2750</v>
      </c>
      <c r="H1122" s="93" t="e">
        <v>#N/A</v>
      </c>
      <c r="I1122" s="105" t="s">
        <v>2310</v>
      </c>
      <c r="J1122" s="93" t="s">
        <v>189</v>
      </c>
      <c r="K1122" s="93">
        <v>95391</v>
      </c>
      <c r="L1122" s="93" t="e">
        <v>#N/A</v>
      </c>
      <c r="M1122" s="93" t="s">
        <v>2311</v>
      </c>
      <c r="N1122" s="93">
        <f>VLOOKUP(B1122,'[16]01.수집 카테고리(List)'!$A$2:$H$64,8,FALSE)</f>
        <v>99991231</v>
      </c>
      <c r="O1122" s="93" t="s">
        <v>646</v>
      </c>
    </row>
    <row r="1123" spans="1:15" hidden="1">
      <c r="A1123" s="75" t="str">
        <f t="shared" si="42"/>
        <v>ESELCORTEINGLES_ELECTRONICATVuhd TVTelevisores UHD</v>
      </c>
      <c r="B1123" s="94" t="str">
        <f t="shared" si="43"/>
        <v>ES_ELCORTEINGLES_ELECTRONICA</v>
      </c>
      <c r="C1123" s="93" t="s">
        <v>285</v>
      </c>
      <c r="D1123" s="93" t="s">
        <v>287</v>
      </c>
      <c r="E1123" s="93" t="s">
        <v>161</v>
      </c>
      <c r="F1123" s="93" t="s">
        <v>2399</v>
      </c>
      <c r="G1123" s="93" t="s">
        <v>2751</v>
      </c>
      <c r="H1123" s="93" t="e">
        <v>#N/A</v>
      </c>
      <c r="I1123" s="105" t="s">
        <v>2310</v>
      </c>
      <c r="J1123" s="93" t="s">
        <v>189</v>
      </c>
      <c r="K1123" s="93">
        <v>53919</v>
      </c>
      <c r="L1123" s="93" t="e">
        <v>#N/A</v>
      </c>
      <c r="M1123" s="93" t="s">
        <v>2311</v>
      </c>
      <c r="N1123" s="93">
        <f>VLOOKUP(B1123,'[16]01.수집 카테고리(List)'!$A$2:$H$64,8,FALSE)</f>
        <v>99991231</v>
      </c>
      <c r="O1123" s="93" t="s">
        <v>646</v>
      </c>
    </row>
    <row r="1124" spans="1:15" hidden="1">
      <c r="A1124" s="75" t="str">
        <f t="shared" si="42"/>
        <v>ESELCORTEINGLES_ELECTRONICAWashing Machinefront loadercargador frontal</v>
      </c>
      <c r="B1124" s="94" t="str">
        <f t="shared" si="43"/>
        <v>ES_ELCORTEINGLES_ELECTRONICA</v>
      </c>
      <c r="C1124" s="93" t="s">
        <v>285</v>
      </c>
      <c r="D1124" s="93" t="s">
        <v>287</v>
      </c>
      <c r="E1124" s="93" t="s">
        <v>2333</v>
      </c>
      <c r="F1124" s="93" t="s">
        <v>2334</v>
      </c>
      <c r="G1124" s="93" t="s">
        <v>2752</v>
      </c>
      <c r="H1124" s="93" t="e">
        <v>#N/A</v>
      </c>
      <c r="I1124" s="105" t="s">
        <v>2310</v>
      </c>
      <c r="J1124" s="93" t="s">
        <v>189</v>
      </c>
      <c r="K1124" s="93">
        <v>190221</v>
      </c>
      <c r="L1124" s="93" t="e">
        <v>#N/A</v>
      </c>
      <c r="M1124" s="93" t="s">
        <v>2311</v>
      </c>
      <c r="N1124" s="93">
        <f>VLOOKUP(B1124,'[16]01.수집 카테고리(List)'!$A$2:$H$64,8,FALSE)</f>
        <v>99991231</v>
      </c>
      <c r="O1124" s="93" t="s">
        <v>646</v>
      </c>
    </row>
    <row r="1125" spans="1:15" hidden="1">
      <c r="A1125" s="75" t="str">
        <f t="shared" si="42"/>
        <v>ESELCORTEINGLES_ELECTRONICAWashing Machinewashing machinelavadora</v>
      </c>
      <c r="B1125" s="94" t="str">
        <f t="shared" si="43"/>
        <v>ES_ELCORTEINGLES_ELECTRONICA</v>
      </c>
      <c r="C1125" s="93" t="s">
        <v>285</v>
      </c>
      <c r="D1125" s="93" t="s">
        <v>287</v>
      </c>
      <c r="E1125" s="93" t="s">
        <v>2333</v>
      </c>
      <c r="F1125" s="93" t="s">
        <v>2340</v>
      </c>
      <c r="G1125" s="93" t="s">
        <v>2753</v>
      </c>
      <c r="H1125" s="93" t="e">
        <v>#N/A</v>
      </c>
      <c r="I1125" s="105" t="s">
        <v>2310</v>
      </c>
      <c r="J1125" s="93" t="s">
        <v>189</v>
      </c>
      <c r="K1125" s="93">
        <v>1498</v>
      </c>
      <c r="L1125" s="93" t="e">
        <v>#N/A</v>
      </c>
      <c r="M1125" s="93" t="s">
        <v>2311</v>
      </c>
      <c r="N1125" s="93">
        <f>VLOOKUP(B1125,'[16]01.수집 카테고리(List)'!$A$2:$H$64,8,FALSE)</f>
        <v>99991231</v>
      </c>
      <c r="O1125" s="93" t="s">
        <v>646</v>
      </c>
    </row>
    <row r="1126" spans="1:15" hidden="1">
      <c r="A1126" s="75" t="str">
        <f t="shared" si="42"/>
        <v>ESELCORTEINGLES_ELECTRONICAWashing Machinewasher dryer combolavadora y secadora</v>
      </c>
      <c r="B1126" s="94" t="str">
        <f t="shared" si="43"/>
        <v>ES_ELCORTEINGLES_ELECTRONICA</v>
      </c>
      <c r="C1126" s="93" t="s">
        <v>285</v>
      </c>
      <c r="D1126" s="93" t="s">
        <v>287</v>
      </c>
      <c r="E1126" s="93" t="s">
        <v>2333</v>
      </c>
      <c r="F1126" s="93" t="s">
        <v>2338</v>
      </c>
      <c r="G1126" s="93" t="s">
        <v>2589</v>
      </c>
      <c r="H1126" s="93" t="e">
        <v>#N/A</v>
      </c>
      <c r="I1126" s="105" t="s">
        <v>2310</v>
      </c>
      <c r="J1126" s="93" t="s">
        <v>189</v>
      </c>
      <c r="K1126" s="93">
        <v>1201</v>
      </c>
      <c r="L1126" s="93" t="e">
        <v>#N/A</v>
      </c>
      <c r="M1126" s="93" t="s">
        <v>2311</v>
      </c>
      <c r="N1126" s="93">
        <f>VLOOKUP(B1126,'[16]01.수집 카테고리(List)'!$A$2:$H$64,8,FALSE)</f>
        <v>99991231</v>
      </c>
      <c r="O1126" s="93" t="s">
        <v>646</v>
      </c>
    </row>
    <row r="1127" spans="1:15" hidden="1">
      <c r="A1127" s="75" t="str">
        <f t="shared" si="42"/>
        <v>ESELCORTEINGLES_ELECTRONICAWireless HeadsetHeadphonesAuriculares</v>
      </c>
      <c r="B1127" s="94" t="str">
        <f t="shared" si="43"/>
        <v>ES_ELCORTEINGLES_ELECTRONICA</v>
      </c>
      <c r="C1127" s="93" t="s">
        <v>285</v>
      </c>
      <c r="D1127" s="93" t="s">
        <v>287</v>
      </c>
      <c r="E1127" s="93" t="s">
        <v>2373</v>
      </c>
      <c r="F1127" s="93" t="s">
        <v>2754</v>
      </c>
      <c r="G1127" s="93" t="s">
        <v>2755</v>
      </c>
      <c r="H1127" s="93" t="e">
        <v>#N/A</v>
      </c>
      <c r="I1127" s="105" t="s">
        <v>2310</v>
      </c>
      <c r="J1127" s="93" t="s">
        <v>189</v>
      </c>
      <c r="K1127" s="93">
        <v>13448</v>
      </c>
      <c r="L1127" s="93" t="e">
        <v>#N/A</v>
      </c>
      <c r="M1127" s="93" t="s">
        <v>2311</v>
      </c>
      <c r="N1127" s="93">
        <f>VLOOKUP(B1127,'[16]01.수집 카테고리(List)'!$A$2:$H$64,8,FALSE)</f>
        <v>99991231</v>
      </c>
      <c r="O1127" s="93" t="s">
        <v>646</v>
      </c>
    </row>
    <row r="1128" spans="1:15" hidden="1">
      <c r="A1128" s="75" t="str">
        <f t="shared" si="42"/>
        <v>ESELCORTEINGLES_ELECTRONICAWireless Headsetbluetooth headsetAuriculares bluetooth</v>
      </c>
      <c r="B1128" s="94" t="str">
        <f t="shared" si="43"/>
        <v>ES_ELCORTEINGLES_ELECTRONICA</v>
      </c>
      <c r="C1128" s="93" t="s">
        <v>285</v>
      </c>
      <c r="D1128" s="93" t="s">
        <v>287</v>
      </c>
      <c r="E1128" s="93" t="s">
        <v>2373</v>
      </c>
      <c r="F1128" s="93" t="s">
        <v>2756</v>
      </c>
      <c r="G1128" s="93" t="s">
        <v>2757</v>
      </c>
      <c r="H1128" s="93" t="e">
        <v>#N/A</v>
      </c>
      <c r="I1128" s="105" t="s">
        <v>2310</v>
      </c>
      <c r="J1128" s="93" t="s">
        <v>189</v>
      </c>
      <c r="K1128" s="93">
        <v>1775</v>
      </c>
      <c r="L1128" s="93" t="e">
        <v>#N/A</v>
      </c>
      <c r="M1128" s="93" t="s">
        <v>2311</v>
      </c>
      <c r="N1128" s="93">
        <f>VLOOKUP(B1128,'[16]01.수집 카테고리(List)'!$A$2:$H$64,8,FALSE)</f>
        <v>99991231</v>
      </c>
      <c r="O1128" s="93" t="s">
        <v>646</v>
      </c>
    </row>
    <row r="1129" spans="1:15" hidden="1">
      <c r="A1129" s="75" t="str">
        <f t="shared" si="42"/>
        <v>ESELCORTEINGLES_ELECTRONICAWireless HeadsetEarbudsAuriculares de botón</v>
      </c>
      <c r="B1129" s="94" t="str">
        <f t="shared" si="43"/>
        <v>ES_ELCORTEINGLES_ELECTRONICA</v>
      </c>
      <c r="C1129" s="93" t="s">
        <v>285</v>
      </c>
      <c r="D1129" s="93" t="s">
        <v>287</v>
      </c>
      <c r="E1129" s="93" t="s">
        <v>2373</v>
      </c>
      <c r="F1129" s="93" t="s">
        <v>2534</v>
      </c>
      <c r="G1129" s="93" t="s">
        <v>2758</v>
      </c>
      <c r="H1129" s="93" t="e">
        <v>#N/A</v>
      </c>
      <c r="I1129" s="105" t="s">
        <v>2310</v>
      </c>
      <c r="J1129" s="93" t="s">
        <v>189</v>
      </c>
      <c r="K1129" s="93">
        <v>769</v>
      </c>
      <c r="L1129" s="93" t="e">
        <v>#N/A</v>
      </c>
      <c r="M1129" s="93" t="s">
        <v>2311</v>
      </c>
      <c r="N1129" s="93">
        <f>VLOOKUP(B1129,'[16]01.수집 카테고리(List)'!$A$2:$H$64,8,FALSE)</f>
        <v>99991231</v>
      </c>
      <c r="O1129" s="93" t="s">
        <v>646</v>
      </c>
    </row>
    <row r="1130" spans="1:15" hidden="1">
      <c r="A1130" s="75" t="str">
        <f t="shared" si="42"/>
        <v>ESELCORTEINGLES_ELECTRONICAWireless HeadsetWireless HeadsetAuriculares inalámbricos</v>
      </c>
      <c r="B1130" s="94" t="str">
        <f t="shared" si="43"/>
        <v>ES_ELCORTEINGLES_ELECTRONICA</v>
      </c>
      <c r="C1130" s="93" t="s">
        <v>285</v>
      </c>
      <c r="D1130" s="93" t="s">
        <v>287</v>
      </c>
      <c r="E1130" s="93" t="s">
        <v>2373</v>
      </c>
      <c r="F1130" s="93" t="s">
        <v>2373</v>
      </c>
      <c r="G1130" s="93" t="s">
        <v>2759</v>
      </c>
      <c r="H1130" s="93" t="e">
        <v>#N/A</v>
      </c>
      <c r="I1130" s="105" t="s">
        <v>2310</v>
      </c>
      <c r="J1130" s="93" t="s">
        <v>189</v>
      </c>
      <c r="K1130" s="93">
        <v>2402</v>
      </c>
      <c r="L1130" s="93" t="e">
        <v>#N/A</v>
      </c>
      <c r="M1130" s="93" t="s">
        <v>2311</v>
      </c>
      <c r="N1130" s="93">
        <f>VLOOKUP(B1130,'[16]01.수집 카테고리(List)'!$A$2:$H$64,8,FALSE)</f>
        <v>99991231</v>
      </c>
      <c r="O1130" s="93" t="s">
        <v>646</v>
      </c>
    </row>
    <row r="1131" spans="1:15" hidden="1">
      <c r="A1131" s="75" t="str">
        <f t="shared" si="42"/>
        <v>ESELCORTEINGLES_ELECTRONICAWireless HeadsetWireless EarbudsAuriculares inalámbricos</v>
      </c>
      <c r="B1131" s="94" t="str">
        <f t="shared" si="43"/>
        <v>ES_ELCORTEINGLES_ELECTRONICA</v>
      </c>
      <c r="C1131" s="93" t="s">
        <v>285</v>
      </c>
      <c r="D1131" s="93" t="s">
        <v>287</v>
      </c>
      <c r="E1131" s="93" t="s">
        <v>2373</v>
      </c>
      <c r="F1131" s="93" t="s">
        <v>2760</v>
      </c>
      <c r="G1131" s="93" t="s">
        <v>2759</v>
      </c>
      <c r="H1131" s="93" t="e">
        <v>#N/A</v>
      </c>
      <c r="I1131" s="105" t="s">
        <v>2310</v>
      </c>
      <c r="J1131" s="93" t="s">
        <v>189</v>
      </c>
      <c r="K1131" s="93">
        <v>2402</v>
      </c>
      <c r="L1131" s="93" t="e">
        <v>#N/A</v>
      </c>
      <c r="M1131" s="93" t="s">
        <v>2311</v>
      </c>
      <c r="N1131" s="93">
        <f>VLOOKUP(B1131,'[16]01.수집 카테고리(List)'!$A$2:$H$64,8,FALSE)</f>
        <v>99991231</v>
      </c>
      <c r="O1131" s="93" t="s">
        <v>646</v>
      </c>
    </row>
    <row r="1132" spans="1:15" s="81" customFormat="1" hidden="1">
      <c r="A1132" s="81" t="str">
        <f t="shared" si="42"/>
        <v>ESELCORTEINGLES_ELECTRONICAAir ConditionerACAC</v>
      </c>
      <c r="B1132" s="106" t="str">
        <f t="shared" si="43"/>
        <v>ES_ELCORTEINGLES_ELECTRONICA</v>
      </c>
      <c r="C1132" s="107" t="s">
        <v>285</v>
      </c>
      <c r="D1132" s="107" t="s">
        <v>287</v>
      </c>
      <c r="E1132" s="107" t="s">
        <v>2524</v>
      </c>
      <c r="F1132" s="107" t="s">
        <v>2492</v>
      </c>
      <c r="G1132" s="107" t="s">
        <v>2492</v>
      </c>
      <c r="H1132" s="93" t="e">
        <v>#N/A</v>
      </c>
      <c r="I1132" s="99">
        <v>46076</v>
      </c>
      <c r="J1132" s="83" t="s">
        <v>189</v>
      </c>
      <c r="K1132" s="107"/>
      <c r="L1132" s="107"/>
      <c r="M1132" s="107"/>
      <c r="N1132" s="107"/>
      <c r="O1132" s="107"/>
    </row>
    <row r="1133" spans="1:15" s="81" customFormat="1" hidden="1">
      <c r="A1133" s="81" t="str">
        <f t="shared" si="42"/>
        <v>ESELCORTEINGLES_ELECTRONICAAir Conditionerair conditioneraire acondicionado</v>
      </c>
      <c r="B1133" s="106" t="str">
        <f t="shared" si="43"/>
        <v>ES_ELCORTEINGLES_ELECTRONICA</v>
      </c>
      <c r="C1133" s="107" t="s">
        <v>285</v>
      </c>
      <c r="D1133" s="107" t="s">
        <v>287</v>
      </c>
      <c r="E1133" s="107" t="s">
        <v>2524</v>
      </c>
      <c r="F1133" s="107" t="s">
        <v>2347</v>
      </c>
      <c r="G1133" s="107" t="s">
        <v>2761</v>
      </c>
      <c r="H1133" s="93" t="e">
        <v>#N/A</v>
      </c>
      <c r="I1133" s="99">
        <v>46076</v>
      </c>
      <c r="J1133" s="83" t="s">
        <v>189</v>
      </c>
      <c r="K1133" s="107"/>
      <c r="L1133" s="107"/>
      <c r="M1133" s="107"/>
      <c r="N1133" s="107"/>
      <c r="O1133" s="107"/>
    </row>
    <row r="1134" spans="1:15" s="81" customFormat="1" hidden="1">
      <c r="A1134" s="81" t="str">
        <f t="shared" si="42"/>
        <v>ESELCORTEINGLES_ELECTRONICAAir Conditionerinverter air conditioneraire acondicionado inverter</v>
      </c>
      <c r="B1134" s="106" t="str">
        <f t="shared" si="43"/>
        <v>ES_ELCORTEINGLES_ELECTRONICA</v>
      </c>
      <c r="C1134" s="107" t="s">
        <v>285</v>
      </c>
      <c r="D1134" s="107" t="s">
        <v>287</v>
      </c>
      <c r="E1134" s="107" t="s">
        <v>2524</v>
      </c>
      <c r="F1134" s="107" t="s">
        <v>2348</v>
      </c>
      <c r="G1134" s="107" t="s">
        <v>2762</v>
      </c>
      <c r="H1134" s="93" t="e">
        <v>#N/A</v>
      </c>
      <c r="I1134" s="99">
        <v>46076</v>
      </c>
      <c r="J1134" s="83" t="s">
        <v>189</v>
      </c>
      <c r="K1134" s="107"/>
      <c r="L1134" s="107"/>
      <c r="M1134" s="107"/>
      <c r="N1134" s="107"/>
      <c r="O1134" s="107"/>
    </row>
    <row r="1135" spans="1:15" s="81" customFormat="1" hidden="1">
      <c r="A1135" s="81" t="str">
        <f t="shared" si="42"/>
        <v>ESELCORTEINGLES_ELECTRONICAAir Conditionersplit air conditioneraire acondicionado split</v>
      </c>
      <c r="B1135" s="106" t="str">
        <f t="shared" si="43"/>
        <v>ES_ELCORTEINGLES_ELECTRONICA</v>
      </c>
      <c r="C1135" s="107" t="s">
        <v>285</v>
      </c>
      <c r="D1135" s="107" t="s">
        <v>287</v>
      </c>
      <c r="E1135" s="107" t="s">
        <v>2524</v>
      </c>
      <c r="F1135" s="107" t="s">
        <v>2422</v>
      </c>
      <c r="G1135" s="107" t="s">
        <v>2763</v>
      </c>
      <c r="H1135" s="93" t="e">
        <v>#N/A</v>
      </c>
      <c r="I1135" s="99">
        <v>46076</v>
      </c>
      <c r="J1135" s="83" t="s">
        <v>189</v>
      </c>
      <c r="K1135" s="107"/>
      <c r="L1135" s="107"/>
      <c r="M1135" s="107"/>
      <c r="N1135" s="107"/>
      <c r="O1135" s="107"/>
    </row>
    <row r="1136" spans="1:15" s="81" customFormat="1" hidden="1">
      <c r="A1136" s="81" t="str">
        <f t="shared" si="42"/>
        <v>ESELCORTEINGLES_ELECTRONICADryerDryerSecadora</v>
      </c>
      <c r="B1136" s="106" t="str">
        <f t="shared" si="43"/>
        <v>ES_ELCORTEINGLES_ELECTRONICA</v>
      </c>
      <c r="C1136" s="107" t="s">
        <v>285</v>
      </c>
      <c r="D1136" s="107" t="s">
        <v>287</v>
      </c>
      <c r="E1136" s="107" t="s">
        <v>2535</v>
      </c>
      <c r="F1136" s="107" t="s">
        <v>2431</v>
      </c>
      <c r="G1136" s="119" t="s">
        <v>2776</v>
      </c>
      <c r="H1136" s="93" t="e">
        <v>#N/A</v>
      </c>
      <c r="I1136" s="99">
        <v>46076</v>
      </c>
      <c r="J1136" s="83" t="s">
        <v>189</v>
      </c>
      <c r="K1136" s="107"/>
      <c r="L1136" s="107"/>
      <c r="M1136" s="107"/>
      <c r="N1136" s="107"/>
      <c r="O1136" s="107"/>
    </row>
    <row r="1137" spans="1:15" hidden="1">
      <c r="A1137" s="75" t="str">
        <f t="shared" si="42"/>
        <v>ESMEDIAMARKTAir ConditionerACAC</v>
      </c>
      <c r="B1137" s="94" t="str">
        <f t="shared" si="43"/>
        <v>ES_MEDIAMARKT</v>
      </c>
      <c r="C1137" s="93" t="s">
        <v>285</v>
      </c>
      <c r="D1137" s="93" t="s">
        <v>264</v>
      </c>
      <c r="E1137" s="93" t="s">
        <v>2346</v>
      </c>
      <c r="F1137" s="93" t="s">
        <v>2492</v>
      </c>
      <c r="G1137" s="93" t="s">
        <v>2492</v>
      </c>
      <c r="H1137" s="93" t="e">
        <v>#N/A</v>
      </c>
      <c r="I1137" s="105" t="s">
        <v>2310</v>
      </c>
      <c r="J1137" s="93" t="s">
        <v>189</v>
      </c>
      <c r="K1137" s="93">
        <v>1935</v>
      </c>
      <c r="L1137" s="93">
        <v>1935</v>
      </c>
      <c r="M1137" s="93" t="s">
        <v>2311</v>
      </c>
      <c r="N1137" s="93">
        <f>VLOOKUP(B1137,'[16]01.수집 카테고리(List)'!$A$2:$H$64,8,FALSE)</f>
        <v>99991231</v>
      </c>
      <c r="O1137" s="93" t="s">
        <v>646</v>
      </c>
    </row>
    <row r="1138" spans="1:15" hidden="1">
      <c r="A1138" s="75" t="str">
        <f t="shared" si="42"/>
        <v>ESMEDIAMARKTAir Conditionerair conditioneraire acondicionado</v>
      </c>
      <c r="B1138" s="94" t="str">
        <f t="shared" si="43"/>
        <v>ES_MEDIAMARKT</v>
      </c>
      <c r="C1138" s="93" t="s">
        <v>285</v>
      </c>
      <c r="D1138" s="93" t="s">
        <v>264</v>
      </c>
      <c r="E1138" s="93" t="s">
        <v>2346</v>
      </c>
      <c r="F1138" s="93" t="s">
        <v>2347</v>
      </c>
      <c r="G1138" s="93" t="s">
        <v>2761</v>
      </c>
      <c r="H1138" s="93" t="e">
        <v>#N/A</v>
      </c>
      <c r="I1138" s="105" t="s">
        <v>2310</v>
      </c>
      <c r="J1138" s="93" t="s">
        <v>189</v>
      </c>
      <c r="K1138" s="93">
        <v>590</v>
      </c>
      <c r="L1138" s="93" t="e">
        <v>#N/A</v>
      </c>
      <c r="M1138" s="93" t="s">
        <v>2311</v>
      </c>
      <c r="N1138" s="93">
        <f>VLOOKUP(B1138,'[16]01.수집 카테고리(List)'!$A$2:$H$64,8,FALSE)</f>
        <v>99991231</v>
      </c>
      <c r="O1138" s="93" t="s">
        <v>646</v>
      </c>
    </row>
    <row r="1139" spans="1:15" hidden="1">
      <c r="A1139" s="75" t="str">
        <f t="shared" si="42"/>
        <v>ESMEDIAMARKTAir Conditionerinverter air conditioneraire acondicionado inverter</v>
      </c>
      <c r="B1139" s="94" t="str">
        <f t="shared" si="43"/>
        <v>ES_MEDIAMARKT</v>
      </c>
      <c r="C1139" s="93" t="s">
        <v>285</v>
      </c>
      <c r="D1139" s="93" t="s">
        <v>264</v>
      </c>
      <c r="E1139" s="93" t="s">
        <v>2346</v>
      </c>
      <c r="F1139" s="93" t="s">
        <v>2348</v>
      </c>
      <c r="G1139" s="93" t="s">
        <v>2762</v>
      </c>
      <c r="H1139" s="93" t="e">
        <v>#N/A</v>
      </c>
      <c r="I1139" s="105" t="s">
        <v>2310</v>
      </c>
      <c r="J1139" s="93" t="s">
        <v>189</v>
      </c>
      <c r="K1139" s="93">
        <v>107</v>
      </c>
      <c r="L1139" s="93" t="e">
        <v>#N/A</v>
      </c>
      <c r="M1139" s="93" t="s">
        <v>2311</v>
      </c>
      <c r="N1139" s="93">
        <f>VLOOKUP(B1139,'[16]01.수집 카테고리(List)'!$A$2:$H$64,8,FALSE)</f>
        <v>99991231</v>
      </c>
      <c r="O1139" s="93" t="s">
        <v>646</v>
      </c>
    </row>
    <row r="1140" spans="1:15" hidden="1">
      <c r="A1140" s="75" t="str">
        <f t="shared" si="42"/>
        <v>ESMEDIAMARKTAir Conditionersplit air conditioneraire acondicionado split</v>
      </c>
      <c r="B1140" s="94" t="str">
        <f t="shared" si="43"/>
        <v>ES_MEDIAMARKT</v>
      </c>
      <c r="C1140" s="93" t="s">
        <v>285</v>
      </c>
      <c r="D1140" s="93" t="s">
        <v>264</v>
      </c>
      <c r="E1140" s="93" t="s">
        <v>2346</v>
      </c>
      <c r="F1140" s="93" t="s">
        <v>2422</v>
      </c>
      <c r="G1140" s="93" t="s">
        <v>2763</v>
      </c>
      <c r="H1140" s="93" t="e">
        <v>#N/A</v>
      </c>
      <c r="I1140" s="105" t="s">
        <v>2310</v>
      </c>
      <c r="J1140" s="93" t="s">
        <v>189</v>
      </c>
      <c r="K1140" s="93">
        <v>287</v>
      </c>
      <c r="L1140" s="93" t="e">
        <v>#N/A</v>
      </c>
      <c r="M1140" s="93" t="s">
        <v>2311</v>
      </c>
      <c r="N1140" s="93">
        <f>VLOOKUP(B1140,'[16]01.수집 카테고리(List)'!$A$2:$H$64,8,FALSE)</f>
        <v>99991231</v>
      </c>
      <c r="O1140" s="93" t="s">
        <v>646</v>
      </c>
    </row>
    <row r="1141" spans="1:15" hidden="1">
      <c r="A1141" s="75" t="str">
        <f t="shared" si="42"/>
        <v>ESMEDIAMARKTBluetooth Speakerspeakersaltavoces</v>
      </c>
      <c r="B1141" s="94" t="str">
        <f t="shared" si="43"/>
        <v>ES_MEDIAMARKT</v>
      </c>
      <c r="C1141" s="93" t="s">
        <v>285</v>
      </c>
      <c r="D1141" s="93" t="s">
        <v>264</v>
      </c>
      <c r="E1141" s="93" t="s">
        <v>2307</v>
      </c>
      <c r="F1141" s="93" t="s">
        <v>2471</v>
      </c>
      <c r="G1141" s="93" t="s">
        <v>2764</v>
      </c>
      <c r="H1141" s="93" t="e">
        <v>#N/A</v>
      </c>
      <c r="I1141" s="105" t="s">
        <v>2310</v>
      </c>
      <c r="J1141" s="93" t="s">
        <v>189</v>
      </c>
      <c r="K1141" s="93">
        <v>1104</v>
      </c>
      <c r="L1141" s="93" t="e">
        <v>#N/A</v>
      </c>
      <c r="M1141" s="93" t="s">
        <v>2311</v>
      </c>
      <c r="N1141" s="93">
        <f>VLOOKUP(B1141,'[16]01.수집 카테고리(List)'!$A$2:$H$64,8,FALSE)</f>
        <v>99991231</v>
      </c>
      <c r="O1141" s="93" t="s">
        <v>646</v>
      </c>
    </row>
    <row r="1142" spans="1:15" hidden="1">
      <c r="A1142" s="75" t="str">
        <f t="shared" si="42"/>
        <v>ESMEDIAMARKTBluetooth Speakerportable speakersaltavoces portátiles</v>
      </c>
      <c r="B1142" s="94" t="str">
        <f t="shared" si="43"/>
        <v>ES_MEDIAMARKT</v>
      </c>
      <c r="C1142" s="93" t="s">
        <v>285</v>
      </c>
      <c r="D1142" s="93" t="s">
        <v>264</v>
      </c>
      <c r="E1142" s="93" t="s">
        <v>2307</v>
      </c>
      <c r="F1142" s="93" t="s">
        <v>2473</v>
      </c>
      <c r="G1142" s="93" t="s">
        <v>2765</v>
      </c>
      <c r="H1142" s="93" t="e">
        <v>#N/A</v>
      </c>
      <c r="I1142" s="105" t="s">
        <v>2310</v>
      </c>
      <c r="J1142" s="93" t="s">
        <v>189</v>
      </c>
      <c r="K1142" s="93">
        <v>939</v>
      </c>
      <c r="L1142" s="93" t="e">
        <v>#N/A</v>
      </c>
      <c r="M1142" s="93" t="s">
        <v>2311</v>
      </c>
      <c r="N1142" s="93">
        <f>VLOOKUP(B1142,'[16]01.수집 카테고리(List)'!$A$2:$H$64,8,FALSE)</f>
        <v>99991231</v>
      </c>
      <c r="O1142" s="93" t="s">
        <v>646</v>
      </c>
    </row>
    <row r="1143" spans="1:15" hidden="1">
      <c r="A1143" s="75" t="str">
        <f t="shared" si="42"/>
        <v>ESMEDIAMARKTBluetooth Speakerwireless portable speakersaltavoces portátiles inalámbricos</v>
      </c>
      <c r="B1143" s="94" t="str">
        <f t="shared" si="43"/>
        <v>ES_MEDIAMARKT</v>
      </c>
      <c r="C1143" s="93" t="s">
        <v>285</v>
      </c>
      <c r="D1143" s="93" t="s">
        <v>264</v>
      </c>
      <c r="E1143" s="93" t="s">
        <v>2307</v>
      </c>
      <c r="F1143" s="93" t="s">
        <v>2475</v>
      </c>
      <c r="G1143" s="93" t="s">
        <v>2766</v>
      </c>
      <c r="H1143" s="93" t="e">
        <v>#N/A</v>
      </c>
      <c r="I1143" s="105" t="s">
        <v>2310</v>
      </c>
      <c r="J1143" s="93" t="s">
        <v>189</v>
      </c>
      <c r="K1143" s="93">
        <v>1088</v>
      </c>
      <c r="L1143" s="93" t="e">
        <v>#N/A</v>
      </c>
      <c r="M1143" s="93" t="s">
        <v>2311</v>
      </c>
      <c r="N1143" s="93">
        <f>VLOOKUP(B1143,'[16]01.수집 카테고리(List)'!$A$2:$H$64,8,FALSE)</f>
        <v>99991231</v>
      </c>
      <c r="O1143" s="93" t="s">
        <v>646</v>
      </c>
    </row>
    <row r="1144" spans="1:15" hidden="1">
      <c r="A1144" s="75" t="str">
        <f t="shared" si="42"/>
        <v>ESMEDIAMARKTBluetooth Speakerbluetooth speakerAltavoz bluetooth</v>
      </c>
      <c r="B1144" s="94" t="str">
        <f t="shared" si="43"/>
        <v>ES_MEDIAMARKT</v>
      </c>
      <c r="C1144" s="93" t="s">
        <v>285</v>
      </c>
      <c r="D1144" s="93" t="s">
        <v>264</v>
      </c>
      <c r="E1144" s="93" t="s">
        <v>2307</v>
      </c>
      <c r="F1144" s="93" t="s">
        <v>2657</v>
      </c>
      <c r="G1144" s="93" t="s">
        <v>2767</v>
      </c>
      <c r="H1144" s="93" t="e">
        <v>#N/A</v>
      </c>
      <c r="I1144" s="105" t="s">
        <v>2310</v>
      </c>
      <c r="J1144" s="93" t="s">
        <v>189</v>
      </c>
      <c r="K1144" s="93">
        <v>1155</v>
      </c>
      <c r="L1144" s="93" t="e">
        <v>#N/A</v>
      </c>
      <c r="M1144" s="93" t="s">
        <v>2311</v>
      </c>
      <c r="N1144" s="93">
        <f>VLOOKUP(B1144,'[16]01.수집 카테고리(List)'!$A$2:$H$64,8,FALSE)</f>
        <v>99991231</v>
      </c>
      <c r="O1144" s="93" t="s">
        <v>646</v>
      </c>
    </row>
    <row r="1145" spans="1:15" hidden="1">
      <c r="A1145" s="75" t="str">
        <f t="shared" si="42"/>
        <v>ESMEDIAMARKTBluetooth Speakerbluetooth speaker portableAltavoz portátil bluetooth</v>
      </c>
      <c r="B1145" s="94" t="str">
        <f t="shared" si="43"/>
        <v>ES_MEDIAMARKT</v>
      </c>
      <c r="C1145" s="93" t="s">
        <v>285</v>
      </c>
      <c r="D1145" s="93" t="s">
        <v>264</v>
      </c>
      <c r="E1145" s="93" t="s">
        <v>2307</v>
      </c>
      <c r="F1145" s="93" t="s">
        <v>2479</v>
      </c>
      <c r="G1145" s="93" t="s">
        <v>2768</v>
      </c>
      <c r="H1145" s="93" t="e">
        <v>#N/A</v>
      </c>
      <c r="I1145" s="105" t="s">
        <v>2310</v>
      </c>
      <c r="J1145" s="93" t="s">
        <v>189</v>
      </c>
      <c r="K1145" s="93">
        <v>1485</v>
      </c>
      <c r="L1145" s="93" t="e">
        <v>#N/A</v>
      </c>
      <c r="M1145" s="93" t="s">
        <v>2311</v>
      </c>
      <c r="N1145" s="93">
        <f>VLOOKUP(B1145,'[16]01.수집 카테고리(List)'!$A$2:$H$64,8,FALSE)</f>
        <v>99991231</v>
      </c>
      <c r="O1145" s="93" t="s">
        <v>646</v>
      </c>
    </row>
    <row r="1146" spans="1:15" hidden="1">
      <c r="A1146" s="75" t="str">
        <f t="shared" si="42"/>
        <v>ESMEDIAMARKTDishwasherdishwasherLavavajillas</v>
      </c>
      <c r="B1146" s="94" t="str">
        <f t="shared" si="43"/>
        <v>ES_MEDIAMARKT</v>
      </c>
      <c r="C1146" s="93" t="s">
        <v>285</v>
      </c>
      <c r="D1146" s="93" t="s">
        <v>264</v>
      </c>
      <c r="E1146" s="93" t="s">
        <v>2440</v>
      </c>
      <c r="F1146" s="93" t="s">
        <v>2354</v>
      </c>
      <c r="G1146" s="93" t="s">
        <v>2777</v>
      </c>
      <c r="H1146" s="93" t="e">
        <v>#N/A</v>
      </c>
      <c r="I1146" s="105" t="s">
        <v>2310</v>
      </c>
      <c r="J1146" s="93" t="s">
        <v>189</v>
      </c>
      <c r="K1146" s="93">
        <v>1145</v>
      </c>
      <c r="L1146" s="93" t="e">
        <v>#N/A</v>
      </c>
      <c r="M1146" s="93" t="s">
        <v>2311</v>
      </c>
      <c r="N1146" s="93">
        <f>VLOOKUP(B1146,'[16]01.수집 카테고리(List)'!$A$2:$H$64,8,FALSE)</f>
        <v>99991231</v>
      </c>
      <c r="O1146" s="93" t="s">
        <v>646</v>
      </c>
    </row>
    <row r="1147" spans="1:15" hidden="1">
      <c r="A1147" s="75" t="str">
        <f t="shared" si="42"/>
        <v>ESMEDIAMARKTDishwashersteam dishwasherlavavajillas de vapor</v>
      </c>
      <c r="B1147" s="94" t="str">
        <f t="shared" si="43"/>
        <v>ES_MEDIAMARKT</v>
      </c>
      <c r="C1147" s="93" t="s">
        <v>285</v>
      </c>
      <c r="D1147" s="93" t="s">
        <v>264</v>
      </c>
      <c r="E1147" s="93" t="s">
        <v>2440</v>
      </c>
      <c r="F1147" s="93" t="s">
        <v>2778</v>
      </c>
      <c r="G1147" s="93" t="s">
        <v>2779</v>
      </c>
      <c r="H1147" s="93" t="e">
        <v>#N/A</v>
      </c>
      <c r="I1147" s="105" t="s">
        <v>2310</v>
      </c>
      <c r="J1147" s="93" t="s">
        <v>189</v>
      </c>
      <c r="K1147" s="93">
        <v>27</v>
      </c>
      <c r="L1147" s="93" t="e">
        <v>#N/A</v>
      </c>
      <c r="M1147" s="93" t="s">
        <v>2311</v>
      </c>
      <c r="N1147" s="93">
        <f>VLOOKUP(B1147,'[16]01.수집 카테고리(List)'!$A$2:$H$64,8,FALSE)</f>
        <v>99991231</v>
      </c>
      <c r="O1147" s="93" t="s">
        <v>646</v>
      </c>
    </row>
    <row r="1148" spans="1:15" hidden="1">
      <c r="A1148" s="75" t="str">
        <f t="shared" si="42"/>
        <v>ESMEDIAMARKTDishwasherQuadWash dishwasherLavavajillas QuadWash</v>
      </c>
      <c r="B1148" s="94" t="str">
        <f t="shared" si="43"/>
        <v>ES_MEDIAMARKT</v>
      </c>
      <c r="C1148" s="93" t="s">
        <v>285</v>
      </c>
      <c r="D1148" s="93" t="s">
        <v>264</v>
      </c>
      <c r="E1148" s="93" t="s">
        <v>2440</v>
      </c>
      <c r="F1148" s="93" t="s">
        <v>2780</v>
      </c>
      <c r="G1148" s="93" t="s">
        <v>2781</v>
      </c>
      <c r="H1148" s="93" t="e">
        <v>#N/A</v>
      </c>
      <c r="I1148" s="105" t="s">
        <v>2310</v>
      </c>
      <c r="J1148" s="93" t="s">
        <v>189</v>
      </c>
      <c r="K1148" s="93">
        <v>13</v>
      </c>
      <c r="L1148" s="93" t="e">
        <v>#N/A</v>
      </c>
      <c r="M1148" s="93" t="s">
        <v>2311</v>
      </c>
      <c r="N1148" s="93">
        <f>VLOOKUP(B1148,'[16]01.수집 카테고리(List)'!$A$2:$H$64,8,FALSE)</f>
        <v>99991231</v>
      </c>
      <c r="O1148" s="93" t="s">
        <v>646</v>
      </c>
    </row>
    <row r="1149" spans="1:15" hidden="1">
      <c r="A1149" s="75" t="str">
        <f t="shared" si="42"/>
        <v>ESMEDIAMARKTMonitormonitormonitor</v>
      </c>
      <c r="B1149" s="94" t="str">
        <f t="shared" si="43"/>
        <v>ES_MEDIAMARKT</v>
      </c>
      <c r="C1149" s="93" t="s">
        <v>285</v>
      </c>
      <c r="D1149" s="93" t="s">
        <v>264</v>
      </c>
      <c r="E1149" s="93" t="s">
        <v>2320</v>
      </c>
      <c r="F1149" s="93" t="s">
        <v>2323</v>
      </c>
      <c r="G1149" s="93" t="s">
        <v>2323</v>
      </c>
      <c r="H1149" s="93" t="e">
        <v>#N/A</v>
      </c>
      <c r="I1149" s="105" t="s">
        <v>2310</v>
      </c>
      <c r="J1149" s="93" t="s">
        <v>189</v>
      </c>
      <c r="K1149" s="93">
        <v>1467</v>
      </c>
      <c r="L1149" s="93">
        <v>1467</v>
      </c>
      <c r="M1149" s="93" t="s">
        <v>2311</v>
      </c>
      <c r="N1149" s="93">
        <f>VLOOKUP(B1149,'[16]01.수집 카테고리(List)'!$A$2:$H$64,8,FALSE)</f>
        <v>99991231</v>
      </c>
      <c r="O1149" s="93" t="s">
        <v>646</v>
      </c>
    </row>
    <row r="1150" spans="1:15" hidden="1">
      <c r="A1150" s="75" t="str">
        <f t="shared" si="42"/>
        <v>ESMEDIAMARKTMonitorultrawide monitormonitor ultrawide</v>
      </c>
      <c r="B1150" s="94" t="str">
        <f t="shared" si="43"/>
        <v>ES_MEDIAMARKT</v>
      </c>
      <c r="C1150" s="93" t="s">
        <v>285</v>
      </c>
      <c r="D1150" s="93" t="s">
        <v>264</v>
      </c>
      <c r="E1150" s="93" t="s">
        <v>2320</v>
      </c>
      <c r="F1150" s="93" t="s">
        <v>2325</v>
      </c>
      <c r="G1150" s="93" t="s">
        <v>2499</v>
      </c>
      <c r="H1150" s="93" t="e">
        <v>#N/A</v>
      </c>
      <c r="I1150" s="105" t="s">
        <v>2310</v>
      </c>
      <c r="J1150" s="93" t="s">
        <v>189</v>
      </c>
      <c r="K1150" s="93">
        <v>85</v>
      </c>
      <c r="L1150" s="93" t="e">
        <v>#N/A</v>
      </c>
      <c r="M1150" s="93" t="s">
        <v>2311</v>
      </c>
      <c r="N1150" s="93">
        <f>VLOOKUP(B1150,'[16]01.수집 카테고리(List)'!$A$2:$H$64,8,FALSE)</f>
        <v>99991231</v>
      </c>
      <c r="O1150" s="93" t="s">
        <v>646</v>
      </c>
    </row>
    <row r="1151" spans="1:15" hidden="1">
      <c r="A1151" s="75" t="str">
        <f t="shared" si="42"/>
        <v>ESMEDIAMARKTMonitor4k monitormonitores 4K</v>
      </c>
      <c r="B1151" s="94" t="str">
        <f t="shared" si="43"/>
        <v>ES_MEDIAMARKT</v>
      </c>
      <c r="C1151" s="93" t="s">
        <v>285</v>
      </c>
      <c r="D1151" s="93" t="s">
        <v>264</v>
      </c>
      <c r="E1151" s="93" t="s">
        <v>2320</v>
      </c>
      <c r="F1151" s="93" t="s">
        <v>2321</v>
      </c>
      <c r="G1151" s="93" t="s">
        <v>2733</v>
      </c>
      <c r="H1151" s="93" t="e">
        <v>#N/A</v>
      </c>
      <c r="I1151" s="105" t="s">
        <v>2310</v>
      </c>
      <c r="J1151" s="93" t="s">
        <v>189</v>
      </c>
      <c r="K1151" s="93">
        <v>704</v>
      </c>
      <c r="L1151" s="93" t="e">
        <v>#N/A</v>
      </c>
      <c r="M1151" s="93" t="s">
        <v>2311</v>
      </c>
      <c r="N1151" s="93">
        <f>VLOOKUP(B1151,'[16]01.수집 카테고리(List)'!$A$2:$H$64,8,FALSE)</f>
        <v>99991231</v>
      </c>
      <c r="O1151" s="93" t="s">
        <v>646</v>
      </c>
    </row>
    <row r="1152" spans="1:15" hidden="1">
      <c r="A1152" s="75" t="str">
        <f t="shared" si="42"/>
        <v>ESMEDIAMARKTMonitorgaming monitormonitores gaming</v>
      </c>
      <c r="B1152" s="94" t="str">
        <f t="shared" si="43"/>
        <v>ES_MEDIAMARKT</v>
      </c>
      <c r="C1152" s="93" t="s">
        <v>285</v>
      </c>
      <c r="D1152" s="93" t="s">
        <v>264</v>
      </c>
      <c r="E1152" s="93" t="s">
        <v>2320</v>
      </c>
      <c r="F1152" s="93" t="s">
        <v>2322</v>
      </c>
      <c r="G1152" s="93" t="s">
        <v>2734</v>
      </c>
      <c r="H1152" s="93" t="e">
        <v>#N/A</v>
      </c>
      <c r="I1152" s="105" t="s">
        <v>2310</v>
      </c>
      <c r="J1152" s="93" t="s">
        <v>189</v>
      </c>
      <c r="K1152" s="93">
        <v>1069</v>
      </c>
      <c r="L1152" s="93" t="e">
        <v>#N/A</v>
      </c>
      <c r="M1152" s="93" t="s">
        <v>2311</v>
      </c>
      <c r="N1152" s="93">
        <f>VLOOKUP(B1152,'[16]01.수집 카테고리(List)'!$A$2:$H$64,8,FALSE)</f>
        <v>99991231</v>
      </c>
      <c r="O1152" s="93" t="s">
        <v>646</v>
      </c>
    </row>
    <row r="1153" spans="1:15" hidden="1">
      <c r="A1153" s="75" t="str">
        <f t="shared" si="42"/>
        <v>ESMEDIAMARKTMonitoruhd monitormonitores UHD</v>
      </c>
      <c r="B1153" s="94" t="str">
        <f t="shared" si="43"/>
        <v>ES_MEDIAMARKT</v>
      </c>
      <c r="C1153" s="93" t="s">
        <v>285</v>
      </c>
      <c r="D1153" s="93" t="s">
        <v>264</v>
      </c>
      <c r="E1153" s="93" t="s">
        <v>2320</v>
      </c>
      <c r="F1153" s="93" t="s">
        <v>2324</v>
      </c>
      <c r="G1153" s="93" t="s">
        <v>2735</v>
      </c>
      <c r="H1153" s="93" t="e">
        <v>#N/A</v>
      </c>
      <c r="I1153" s="105" t="s">
        <v>2310</v>
      </c>
      <c r="J1153" s="93" t="s">
        <v>189</v>
      </c>
      <c r="K1153" s="93">
        <v>797</v>
      </c>
      <c r="L1153" s="93" t="e">
        <v>#N/A</v>
      </c>
      <c r="M1153" s="93" t="s">
        <v>2311</v>
      </c>
      <c r="N1153" s="93">
        <f>VLOOKUP(B1153,'[16]01.수집 카테고리(List)'!$A$2:$H$64,8,FALSE)</f>
        <v>99991231</v>
      </c>
      <c r="O1153" s="93" t="s">
        <v>646</v>
      </c>
    </row>
    <row r="1154" spans="1:15" hidden="1">
      <c r="A1154" s="75" t="str">
        <f t="shared" si="42"/>
        <v>ESMEDIAMARKTOVENCooktopEstufa</v>
      </c>
      <c r="B1154" s="94" t="str">
        <f t="shared" si="43"/>
        <v>ES_MEDIAMARKT</v>
      </c>
      <c r="C1154" s="93" t="s">
        <v>285</v>
      </c>
      <c r="D1154" s="93" t="s">
        <v>264</v>
      </c>
      <c r="E1154" s="93" t="s">
        <v>173</v>
      </c>
      <c r="F1154" s="93" t="s">
        <v>2541</v>
      </c>
      <c r="G1154" s="93" t="s">
        <v>2738</v>
      </c>
      <c r="H1154" s="93" t="s">
        <v>2786</v>
      </c>
      <c r="I1154" s="105" t="s">
        <v>2310</v>
      </c>
      <c r="J1154" s="93" t="s">
        <v>189</v>
      </c>
      <c r="K1154" s="93">
        <v>159</v>
      </c>
      <c r="L1154" s="93" t="e">
        <v>#N/A</v>
      </c>
      <c r="M1154" s="93" t="s">
        <v>2311</v>
      </c>
      <c r="N1154" s="93">
        <f>VLOOKUP(B1154,'[16]01.수집 카테고리(List)'!$A$2:$H$64,8,FALSE)</f>
        <v>99991231</v>
      </c>
      <c r="O1154" s="93" t="s">
        <v>646</v>
      </c>
    </row>
    <row r="1155" spans="1:15" hidden="1">
      <c r="A1155" s="75" t="str">
        <f t="shared" si="42"/>
        <v>ESMEDIAMARKTOVENFreestanding OvenHorno independiente</v>
      </c>
      <c r="B1155" s="94" t="str">
        <f t="shared" si="43"/>
        <v>ES_MEDIAMARKT</v>
      </c>
      <c r="C1155" s="93" t="s">
        <v>285</v>
      </c>
      <c r="D1155" s="93" t="s">
        <v>264</v>
      </c>
      <c r="E1155" s="93" t="s">
        <v>173</v>
      </c>
      <c r="F1155" s="93" t="s">
        <v>2678</v>
      </c>
      <c r="G1155" s="93" t="s">
        <v>2739</v>
      </c>
      <c r="H1155" s="93" t="s">
        <v>2787</v>
      </c>
      <c r="I1155" s="105" t="s">
        <v>2310</v>
      </c>
      <c r="J1155" s="93" t="s">
        <v>189</v>
      </c>
      <c r="K1155" s="93">
        <v>7</v>
      </c>
      <c r="L1155" s="93" t="e">
        <v>#N/A</v>
      </c>
      <c r="M1155" s="93" t="s">
        <v>2311</v>
      </c>
      <c r="N1155" s="93">
        <f>VLOOKUP(B1155,'[16]01.수집 카테고리(List)'!$A$2:$H$64,8,FALSE)</f>
        <v>99991231</v>
      </c>
      <c r="O1155" s="93" t="s">
        <v>646</v>
      </c>
    </row>
    <row r="1156" spans="1:15" hidden="1">
      <c r="A1156" s="75" t="str">
        <f t="shared" si="42"/>
        <v>ESMEDIAMARKTRefrigeratormulti door refrigeratorfrigorifico doble puerta</v>
      </c>
      <c r="B1156" s="94" t="str">
        <f t="shared" si="43"/>
        <v>ES_MEDIAMARKT</v>
      </c>
      <c r="C1156" s="93" t="s">
        <v>285</v>
      </c>
      <c r="D1156" s="93" t="s">
        <v>264</v>
      </c>
      <c r="E1156" s="93" t="s">
        <v>2326</v>
      </c>
      <c r="F1156" s="93" t="s">
        <v>2740</v>
      </c>
      <c r="G1156" s="93" t="s">
        <v>2741</v>
      </c>
      <c r="H1156" s="93" t="e">
        <v>#N/A</v>
      </c>
      <c r="I1156" s="105" t="s">
        <v>2310</v>
      </c>
      <c r="J1156" s="93" t="s">
        <v>189</v>
      </c>
      <c r="K1156" s="93">
        <v>5</v>
      </c>
      <c r="L1156" s="93" t="e">
        <v>#N/A</v>
      </c>
      <c r="M1156" s="93" t="s">
        <v>2311</v>
      </c>
      <c r="N1156" s="93">
        <f>VLOOKUP(B1156,'[16]01.수집 카테고리(List)'!$A$2:$H$64,8,FALSE)</f>
        <v>99991231</v>
      </c>
      <c r="O1156" s="93" t="s">
        <v>646</v>
      </c>
    </row>
    <row r="1157" spans="1:15" hidden="1">
      <c r="A1157" s="75" t="str">
        <f t="shared" si="42"/>
        <v>ESMEDIAMARKTRefrigeratorbottom freezer refrigeratorfrigorífico dos puertas</v>
      </c>
      <c r="B1157" s="94" t="str">
        <f t="shared" si="43"/>
        <v>ES_MEDIAMARKT</v>
      </c>
      <c r="C1157" s="93" t="s">
        <v>285</v>
      </c>
      <c r="D1157" s="93" t="s">
        <v>264</v>
      </c>
      <c r="E1157" s="93" t="s">
        <v>2326</v>
      </c>
      <c r="F1157" s="93" t="s">
        <v>2327</v>
      </c>
      <c r="G1157" s="93" t="s">
        <v>2742</v>
      </c>
      <c r="H1157" s="93" t="e">
        <v>#N/A</v>
      </c>
      <c r="I1157" s="105" t="s">
        <v>2310</v>
      </c>
      <c r="J1157" s="93" t="s">
        <v>189</v>
      </c>
      <c r="K1157" s="93">
        <v>698</v>
      </c>
      <c r="L1157" s="93" t="e">
        <v>#N/A</v>
      </c>
      <c r="M1157" s="93" t="s">
        <v>2311</v>
      </c>
      <c r="N1157" s="93">
        <f>VLOOKUP(B1157,'[16]01.수집 카테고리(List)'!$A$2:$H$64,8,FALSE)</f>
        <v>99991231</v>
      </c>
      <c r="O1157" s="93" t="s">
        <v>646</v>
      </c>
    </row>
    <row r="1158" spans="1:15" hidden="1">
      <c r="A1158" s="75" t="str">
        <f t="shared" si="42"/>
        <v>ESMEDIAMARKTRefrigeratortop freezer refrigeratorneveras con congelador arriba</v>
      </c>
      <c r="B1158" s="94" t="str">
        <f t="shared" si="43"/>
        <v>ES_MEDIAMARKT</v>
      </c>
      <c r="C1158" s="93" t="s">
        <v>285</v>
      </c>
      <c r="D1158" s="93" t="s">
        <v>264</v>
      </c>
      <c r="E1158" s="93" t="s">
        <v>2326</v>
      </c>
      <c r="F1158" s="93" t="s">
        <v>2332</v>
      </c>
      <c r="G1158" s="93" t="s">
        <v>2743</v>
      </c>
      <c r="H1158" s="93" t="e">
        <v>#N/A</v>
      </c>
      <c r="I1158" s="105" t="s">
        <v>2310</v>
      </c>
      <c r="J1158" s="93" t="s">
        <v>189</v>
      </c>
      <c r="K1158" s="93">
        <v>1164</v>
      </c>
      <c r="L1158" s="93" t="e">
        <v>#N/A</v>
      </c>
      <c r="M1158" s="93" t="s">
        <v>2311</v>
      </c>
      <c r="N1158" s="93">
        <f>VLOOKUP(B1158,'[16]01.수집 카테고리(List)'!$A$2:$H$64,8,FALSE)</f>
        <v>99991231</v>
      </c>
      <c r="O1158" s="93" t="s">
        <v>646</v>
      </c>
    </row>
    <row r="1159" spans="1:15" hidden="1">
      <c r="A1159" s="75" t="str">
        <f t="shared" ref="A1159:A1222" si="44">C1159&amp;D1159&amp;E1159&amp;F1159&amp;G1159</f>
        <v>ESMEDIAMARKTRefrigeratorrefrigeratorrefrigerador</v>
      </c>
      <c r="B1159" s="94" t="str">
        <f t="shared" ref="B1159:B1222" si="45">C1159&amp;"_"&amp;D1159</f>
        <v>ES_MEDIAMARKT</v>
      </c>
      <c r="C1159" s="93" t="s">
        <v>285</v>
      </c>
      <c r="D1159" s="93" t="s">
        <v>264</v>
      </c>
      <c r="E1159" s="93" t="s">
        <v>2326</v>
      </c>
      <c r="F1159" s="93" t="s">
        <v>2329</v>
      </c>
      <c r="G1159" s="93" t="s">
        <v>2561</v>
      </c>
      <c r="H1159" s="93" t="e">
        <v>#N/A</v>
      </c>
      <c r="I1159" s="105" t="s">
        <v>2310</v>
      </c>
      <c r="J1159" s="93" t="s">
        <v>189</v>
      </c>
      <c r="K1159" s="93">
        <v>49</v>
      </c>
      <c r="L1159" s="93" t="e">
        <v>#N/A</v>
      </c>
      <c r="M1159" s="93" t="s">
        <v>2311</v>
      </c>
      <c r="N1159" s="93">
        <f>VLOOKUP(B1159,'[16]01.수집 카테고리(List)'!$A$2:$H$64,8,FALSE)</f>
        <v>99991231</v>
      </c>
      <c r="O1159" s="93" t="s">
        <v>646</v>
      </c>
    </row>
    <row r="1160" spans="1:15" hidden="1">
      <c r="A1160" s="75" t="str">
        <f t="shared" si="44"/>
        <v>ESMEDIAMARKTRefrigeratorside by side refrigeratorside by side</v>
      </c>
      <c r="B1160" s="94" t="str">
        <f t="shared" si="45"/>
        <v>ES_MEDIAMARKT</v>
      </c>
      <c r="C1160" s="93" t="s">
        <v>285</v>
      </c>
      <c r="D1160" s="93" t="s">
        <v>264</v>
      </c>
      <c r="E1160" s="93" t="s">
        <v>2326</v>
      </c>
      <c r="F1160" s="93" t="s">
        <v>2744</v>
      </c>
      <c r="G1160" s="93" t="s">
        <v>2570</v>
      </c>
      <c r="H1160" s="93" t="e">
        <v>#N/A</v>
      </c>
      <c r="I1160" s="105" t="s">
        <v>2310</v>
      </c>
      <c r="J1160" s="93" t="s">
        <v>189</v>
      </c>
      <c r="K1160" s="93">
        <v>538</v>
      </c>
      <c r="L1160" s="93" t="e">
        <v>#N/A</v>
      </c>
      <c r="M1160" s="93" t="s">
        <v>2311</v>
      </c>
      <c r="N1160" s="93">
        <f>VLOOKUP(B1160,'[16]01.수집 카테고리(List)'!$A$2:$H$64,8,FALSE)</f>
        <v>99991231</v>
      </c>
      <c r="O1160" s="93" t="s">
        <v>646</v>
      </c>
    </row>
    <row r="1161" spans="1:15" hidden="1">
      <c r="A1161" s="75" t="str">
        <f t="shared" si="44"/>
        <v>ESMEDIAMARKTSOUNDBARSoundbarBarra de sonido</v>
      </c>
      <c r="B1161" s="94" t="str">
        <f t="shared" si="45"/>
        <v>ES_MEDIAMARKT</v>
      </c>
      <c r="C1161" s="93" t="s">
        <v>285</v>
      </c>
      <c r="D1161" s="93" t="s">
        <v>264</v>
      </c>
      <c r="E1161" s="93" t="s">
        <v>165</v>
      </c>
      <c r="F1161" s="93" t="s">
        <v>2363</v>
      </c>
      <c r="G1161" s="93" t="s">
        <v>2782</v>
      </c>
      <c r="H1161" s="93" t="e">
        <v>#N/A</v>
      </c>
      <c r="I1161" s="105" t="s">
        <v>2310</v>
      </c>
      <c r="J1161" s="93" t="s">
        <v>189</v>
      </c>
      <c r="K1161" s="93">
        <v>513</v>
      </c>
      <c r="L1161" s="93" t="e">
        <v>#N/A</v>
      </c>
      <c r="M1161" s="93" t="s">
        <v>2311</v>
      </c>
      <c r="N1161" s="93">
        <f>VLOOKUP(B1161,'[16]01.수집 카테고리(List)'!$A$2:$H$64,8,FALSE)</f>
        <v>99991231</v>
      </c>
      <c r="O1161" s="93" t="s">
        <v>646</v>
      </c>
    </row>
    <row r="1162" spans="1:15" hidden="1">
      <c r="A1162" s="75" t="str">
        <f t="shared" si="44"/>
        <v>ESMEDIAMARKTSOUNDBARtv soundbarbarra de sonido de tv</v>
      </c>
      <c r="B1162" s="94" t="str">
        <f t="shared" si="45"/>
        <v>ES_MEDIAMARKT</v>
      </c>
      <c r="C1162" s="93" t="s">
        <v>285</v>
      </c>
      <c r="D1162" s="93" t="s">
        <v>264</v>
      </c>
      <c r="E1162" s="93" t="s">
        <v>165</v>
      </c>
      <c r="F1162" s="93" t="s">
        <v>2686</v>
      </c>
      <c r="G1162" s="93" t="s">
        <v>2783</v>
      </c>
      <c r="H1162" s="93" t="e">
        <v>#N/A</v>
      </c>
      <c r="I1162" s="105" t="s">
        <v>2310</v>
      </c>
      <c r="J1162" s="93" t="s">
        <v>189</v>
      </c>
      <c r="K1162" s="93">
        <v>113</v>
      </c>
      <c r="L1162" s="93" t="e">
        <v>#N/A</v>
      </c>
      <c r="M1162" s="93" t="s">
        <v>2311</v>
      </c>
      <c r="N1162" s="93">
        <f>VLOOKUP(B1162,'[16]01.수집 카테고리(List)'!$A$2:$H$64,8,FALSE)</f>
        <v>99991231</v>
      </c>
      <c r="O1162" s="93" t="s">
        <v>646</v>
      </c>
    </row>
    <row r="1163" spans="1:15" hidden="1">
      <c r="A1163" s="75" t="str">
        <f t="shared" si="44"/>
        <v>ESMEDIAMARKTSOUNDBARsoundbar for tvbarra de sonido para tv</v>
      </c>
      <c r="B1163" s="94" t="str">
        <f t="shared" si="45"/>
        <v>ES_MEDIAMARKT</v>
      </c>
      <c r="C1163" s="93" t="s">
        <v>285</v>
      </c>
      <c r="D1163" s="93" t="s">
        <v>264</v>
      </c>
      <c r="E1163" s="93" t="s">
        <v>165</v>
      </c>
      <c r="F1163" s="93" t="s">
        <v>2573</v>
      </c>
      <c r="G1163" s="93" t="s">
        <v>2784</v>
      </c>
      <c r="H1163" s="93" t="e">
        <v>#N/A</v>
      </c>
      <c r="I1163" s="105" t="s">
        <v>2310</v>
      </c>
      <c r="J1163" s="93" t="s">
        <v>189</v>
      </c>
      <c r="K1163" s="93">
        <v>96</v>
      </c>
      <c r="L1163" s="93" t="e">
        <v>#N/A</v>
      </c>
      <c r="M1163" s="93" t="s">
        <v>2311</v>
      </c>
      <c r="N1163" s="93">
        <f>VLOOKUP(B1163,'[16]01.수집 카테고리(List)'!$A$2:$H$64,8,FALSE)</f>
        <v>99991231</v>
      </c>
      <c r="O1163" s="93" t="s">
        <v>646</v>
      </c>
    </row>
    <row r="1164" spans="1:15" hidden="1">
      <c r="A1164" s="75" t="str">
        <f t="shared" si="44"/>
        <v>ESMEDIAMARKTSOUNDBARSurround sound systemSistema de sonido envolvente</v>
      </c>
      <c r="B1164" s="94" t="str">
        <f t="shared" si="45"/>
        <v>ES_MEDIAMARKT</v>
      </c>
      <c r="C1164" s="93" t="s">
        <v>285</v>
      </c>
      <c r="D1164" s="93" t="s">
        <v>264</v>
      </c>
      <c r="E1164" s="93" t="s">
        <v>165</v>
      </c>
      <c r="F1164" s="93" t="s">
        <v>2772</v>
      </c>
      <c r="G1164" s="93" t="s">
        <v>2773</v>
      </c>
      <c r="H1164" s="93" t="e">
        <v>#N/A</v>
      </c>
      <c r="I1164" s="105" t="s">
        <v>2310</v>
      </c>
      <c r="J1164" s="93" t="s">
        <v>189</v>
      </c>
      <c r="K1164" s="93">
        <v>19</v>
      </c>
      <c r="L1164" s="93" t="e">
        <v>#N/A</v>
      </c>
      <c r="M1164" s="93" t="s">
        <v>2311</v>
      </c>
      <c r="N1164" s="93">
        <f>VLOOKUP(B1164,'[16]01.수집 카테고리(List)'!$A$2:$H$64,8,FALSE)</f>
        <v>99991231</v>
      </c>
      <c r="O1164" s="93" t="s">
        <v>646</v>
      </c>
    </row>
    <row r="1165" spans="1:15" hidden="1">
      <c r="A1165" s="75" t="str">
        <f t="shared" si="44"/>
        <v>ESMEDIAMARKTSOUNDBARtv soundsonido de tv</v>
      </c>
      <c r="B1165" s="94" t="str">
        <f t="shared" si="45"/>
        <v>ES_MEDIAMARKT</v>
      </c>
      <c r="C1165" s="93" t="s">
        <v>285</v>
      </c>
      <c r="D1165" s="93" t="s">
        <v>264</v>
      </c>
      <c r="E1165" s="93" t="s">
        <v>165</v>
      </c>
      <c r="F1165" s="93" t="s">
        <v>2774</v>
      </c>
      <c r="G1165" s="93" t="s">
        <v>2785</v>
      </c>
      <c r="H1165" s="93" t="e">
        <v>#N/A</v>
      </c>
      <c r="I1165" s="105" t="s">
        <v>2310</v>
      </c>
      <c r="J1165" s="93" t="s">
        <v>189</v>
      </c>
      <c r="K1165" s="93">
        <v>252</v>
      </c>
      <c r="L1165" s="93" t="e">
        <v>#N/A</v>
      </c>
      <c r="M1165" s="93" t="s">
        <v>2311</v>
      </c>
      <c r="N1165" s="93">
        <f>VLOOKUP(B1165,'[16]01.수집 카테고리(List)'!$A$2:$H$64,8,FALSE)</f>
        <v>99991231</v>
      </c>
      <c r="O1165" s="93" t="s">
        <v>646</v>
      </c>
    </row>
    <row r="1166" spans="1:15" hidden="1">
      <c r="A1166" s="75" t="str">
        <f t="shared" si="44"/>
        <v>ESMEDIAMARKTTVTVTelevisores</v>
      </c>
      <c r="B1166" s="94" t="str">
        <f t="shared" si="45"/>
        <v>ES_MEDIAMARKT</v>
      </c>
      <c r="C1166" s="93" t="s">
        <v>285</v>
      </c>
      <c r="D1166" s="93" t="s">
        <v>264</v>
      </c>
      <c r="E1166" s="93" t="s">
        <v>161</v>
      </c>
      <c r="F1166" s="93" t="s">
        <v>161</v>
      </c>
      <c r="G1166" s="93" t="s">
        <v>2745</v>
      </c>
      <c r="H1166" s="93" t="e">
        <v>#N/A</v>
      </c>
      <c r="I1166" s="105" t="s">
        <v>2310</v>
      </c>
      <c r="J1166" s="93" t="s">
        <v>189</v>
      </c>
      <c r="K1166" s="93" t="e">
        <v>#N/A</v>
      </c>
      <c r="L1166" s="93">
        <v>13</v>
      </c>
      <c r="M1166" s="93" t="s">
        <v>2351</v>
      </c>
      <c r="N1166" s="93">
        <f>VLOOKUP(B1166,'[16]01.수집 카테고리(List)'!$A$2:$H$64,8,FALSE)</f>
        <v>99991231</v>
      </c>
      <c r="O1166" s="93" t="s">
        <v>646</v>
      </c>
    </row>
    <row r="1167" spans="1:15" hidden="1">
      <c r="A1167" s="75" t="str">
        <f t="shared" si="44"/>
        <v>ESMEDIAMARKTTVNanoCelltelevisores nanocell</v>
      </c>
      <c r="B1167" s="94" t="str">
        <f t="shared" si="45"/>
        <v>ES_MEDIAMARKT</v>
      </c>
      <c r="C1167" s="93" t="s">
        <v>285</v>
      </c>
      <c r="D1167" s="93" t="s">
        <v>264</v>
      </c>
      <c r="E1167" s="93" t="s">
        <v>161</v>
      </c>
      <c r="F1167" s="93" t="s">
        <v>2746</v>
      </c>
      <c r="G1167" s="93" t="s">
        <v>2747</v>
      </c>
      <c r="H1167" s="93" t="e">
        <v>#N/A</v>
      </c>
      <c r="I1167" s="105" t="s">
        <v>2310</v>
      </c>
      <c r="J1167" s="93" t="s">
        <v>189</v>
      </c>
      <c r="K1167" s="93">
        <v>22</v>
      </c>
      <c r="L1167" s="93" t="e">
        <v>#N/A</v>
      </c>
      <c r="M1167" s="93" t="s">
        <v>2311</v>
      </c>
      <c r="N1167" s="93">
        <f>VLOOKUP(B1167,'[16]01.수집 카테고리(List)'!$A$2:$H$64,8,FALSE)</f>
        <v>99991231</v>
      </c>
      <c r="O1167" s="93" t="s">
        <v>646</v>
      </c>
    </row>
    <row r="1168" spans="1:15" hidden="1">
      <c r="A1168" s="75" t="str">
        <f t="shared" si="44"/>
        <v>ESMEDIAMARKTTVoled TVTelevisores OLED</v>
      </c>
      <c r="B1168" s="94" t="str">
        <f t="shared" si="45"/>
        <v>ES_MEDIAMARKT</v>
      </c>
      <c r="C1168" s="93" t="s">
        <v>285</v>
      </c>
      <c r="D1168" s="93" t="s">
        <v>264</v>
      </c>
      <c r="E1168" s="93" t="s">
        <v>161</v>
      </c>
      <c r="F1168" s="93" t="s">
        <v>2369</v>
      </c>
      <c r="G1168" s="93" t="s">
        <v>2748</v>
      </c>
      <c r="H1168" s="93" t="e">
        <v>#N/A</v>
      </c>
      <c r="I1168" s="105" t="s">
        <v>2310</v>
      </c>
      <c r="J1168" s="93" t="s">
        <v>189</v>
      </c>
      <c r="K1168" s="93">
        <v>763</v>
      </c>
      <c r="L1168" s="93">
        <v>8</v>
      </c>
      <c r="M1168" s="93" t="s">
        <v>2311</v>
      </c>
      <c r="N1168" s="93">
        <f>VLOOKUP(B1168,'[16]01.수집 카테고리(List)'!$A$2:$H$64,8,FALSE)</f>
        <v>99991231</v>
      </c>
      <c r="O1168" s="93" t="s">
        <v>646</v>
      </c>
    </row>
    <row r="1169" spans="1:15" hidden="1">
      <c r="A1169" s="75" t="str">
        <f t="shared" si="44"/>
        <v>ESMEDIAMARKTTVFHDTelevisores pequeños</v>
      </c>
      <c r="B1169" s="94" t="str">
        <f t="shared" si="45"/>
        <v>ES_MEDIAMARKT</v>
      </c>
      <c r="C1169" s="93" t="s">
        <v>285</v>
      </c>
      <c r="D1169" s="93" t="s">
        <v>264</v>
      </c>
      <c r="E1169" s="93" t="s">
        <v>161</v>
      </c>
      <c r="F1169" s="93" t="s">
        <v>2749</v>
      </c>
      <c r="G1169" s="93" t="s">
        <v>2750</v>
      </c>
      <c r="H1169" s="93" t="e">
        <v>#N/A</v>
      </c>
      <c r="I1169" s="105" t="s">
        <v>2310</v>
      </c>
      <c r="J1169" s="93" t="s">
        <v>189</v>
      </c>
      <c r="K1169" s="93">
        <v>46</v>
      </c>
      <c r="L1169" s="93" t="e">
        <v>#N/A</v>
      </c>
      <c r="M1169" s="93" t="s">
        <v>2311</v>
      </c>
      <c r="N1169" s="93">
        <f>VLOOKUP(B1169,'[16]01.수집 카테고리(List)'!$A$2:$H$64,8,FALSE)</f>
        <v>99991231</v>
      </c>
      <c r="O1169" s="93" t="s">
        <v>646</v>
      </c>
    </row>
    <row r="1170" spans="1:15" hidden="1">
      <c r="A1170" s="75" t="str">
        <f t="shared" si="44"/>
        <v>ESMEDIAMARKTTVuhd TVTelevisores UHD</v>
      </c>
      <c r="B1170" s="94" t="str">
        <f t="shared" si="45"/>
        <v>ES_MEDIAMARKT</v>
      </c>
      <c r="C1170" s="93" t="s">
        <v>285</v>
      </c>
      <c r="D1170" s="93" t="s">
        <v>264</v>
      </c>
      <c r="E1170" s="93" t="s">
        <v>161</v>
      </c>
      <c r="F1170" s="93" t="s">
        <v>2399</v>
      </c>
      <c r="G1170" s="93" t="s">
        <v>2751</v>
      </c>
      <c r="H1170" s="93" t="e">
        <v>#N/A</v>
      </c>
      <c r="I1170" s="105" t="s">
        <v>2310</v>
      </c>
      <c r="J1170" s="93" t="s">
        <v>189</v>
      </c>
      <c r="K1170" s="93">
        <v>1396</v>
      </c>
      <c r="L1170" s="93" t="e">
        <v>#N/A</v>
      </c>
      <c r="M1170" s="93" t="s">
        <v>2311</v>
      </c>
      <c r="N1170" s="93">
        <f>VLOOKUP(B1170,'[16]01.수집 카테고리(List)'!$A$2:$H$64,8,FALSE)</f>
        <v>99991231</v>
      </c>
      <c r="O1170" s="93" t="s">
        <v>646</v>
      </c>
    </row>
    <row r="1171" spans="1:15" hidden="1">
      <c r="A1171" s="75" t="str">
        <f t="shared" si="44"/>
        <v>ESMEDIAMARKTWashing Machinefront loadercargador frontal</v>
      </c>
      <c r="B1171" s="94" t="str">
        <f t="shared" si="45"/>
        <v>ES_MEDIAMARKT</v>
      </c>
      <c r="C1171" s="93" t="s">
        <v>285</v>
      </c>
      <c r="D1171" s="93" t="s">
        <v>264</v>
      </c>
      <c r="E1171" s="93" t="s">
        <v>2333</v>
      </c>
      <c r="F1171" s="93" t="s">
        <v>2334</v>
      </c>
      <c r="G1171" s="93" t="s">
        <v>2752</v>
      </c>
      <c r="H1171" s="93" t="e">
        <v>#N/A</v>
      </c>
      <c r="I1171" s="105" t="s">
        <v>2310</v>
      </c>
      <c r="J1171" s="93" t="s">
        <v>189</v>
      </c>
      <c r="K1171" s="93">
        <v>4</v>
      </c>
      <c r="L1171" s="93" t="e">
        <v>#N/A</v>
      </c>
      <c r="M1171" s="93" t="s">
        <v>2311</v>
      </c>
      <c r="N1171" s="93">
        <f>VLOOKUP(B1171,'[16]01.수집 카테고리(List)'!$A$2:$H$64,8,FALSE)</f>
        <v>99991231</v>
      </c>
      <c r="O1171" s="93" t="s">
        <v>646</v>
      </c>
    </row>
    <row r="1172" spans="1:15" hidden="1">
      <c r="A1172" s="75" t="str">
        <f t="shared" si="44"/>
        <v>ESMEDIAMARKTWashing Machinewashing machinelavadora</v>
      </c>
      <c r="B1172" s="94" t="str">
        <f t="shared" si="45"/>
        <v>ES_MEDIAMARKT</v>
      </c>
      <c r="C1172" s="93" t="s">
        <v>285</v>
      </c>
      <c r="D1172" s="93" t="s">
        <v>264</v>
      </c>
      <c r="E1172" s="93" t="s">
        <v>2333</v>
      </c>
      <c r="F1172" s="93" t="s">
        <v>2340</v>
      </c>
      <c r="G1172" s="93" t="s">
        <v>2753</v>
      </c>
      <c r="H1172" s="93" t="e">
        <v>#N/A</v>
      </c>
      <c r="I1172" s="105" t="s">
        <v>2310</v>
      </c>
      <c r="J1172" s="93" t="s">
        <v>189</v>
      </c>
      <c r="K1172" s="93">
        <v>2063</v>
      </c>
      <c r="L1172" s="93" t="e">
        <v>#N/A</v>
      </c>
      <c r="M1172" s="93" t="s">
        <v>2311</v>
      </c>
      <c r="N1172" s="93">
        <f>VLOOKUP(B1172,'[16]01.수집 카테고리(List)'!$A$2:$H$64,8,FALSE)</f>
        <v>99991231</v>
      </c>
      <c r="O1172" s="93" t="s">
        <v>646</v>
      </c>
    </row>
    <row r="1173" spans="1:15" hidden="1">
      <c r="A1173" s="75" t="str">
        <f t="shared" si="44"/>
        <v>ESMEDIAMARKTWashing Machinewasher dryer combolavadora y secadora</v>
      </c>
      <c r="B1173" s="94" t="str">
        <f t="shared" si="45"/>
        <v>ES_MEDIAMARKT</v>
      </c>
      <c r="C1173" s="93" t="s">
        <v>285</v>
      </c>
      <c r="D1173" s="93" t="s">
        <v>264</v>
      </c>
      <c r="E1173" s="93" t="s">
        <v>2333</v>
      </c>
      <c r="F1173" s="93" t="s">
        <v>2338</v>
      </c>
      <c r="G1173" s="93" t="s">
        <v>2589</v>
      </c>
      <c r="H1173" s="93" t="e">
        <v>#N/A</v>
      </c>
      <c r="I1173" s="105" t="s">
        <v>2310</v>
      </c>
      <c r="J1173" s="93" t="s">
        <v>189</v>
      </c>
      <c r="K1173" s="93">
        <v>716</v>
      </c>
      <c r="L1173" s="93" t="e">
        <v>#N/A</v>
      </c>
      <c r="M1173" s="93" t="s">
        <v>2311</v>
      </c>
      <c r="N1173" s="93">
        <f>VLOOKUP(B1173,'[16]01.수집 카테고리(List)'!$A$2:$H$64,8,FALSE)</f>
        <v>99991231</v>
      </c>
      <c r="O1173" s="93" t="s">
        <v>646</v>
      </c>
    </row>
    <row r="1174" spans="1:15" hidden="1">
      <c r="A1174" s="75" t="str">
        <f t="shared" si="44"/>
        <v>ESMEDIAMARKTWireless HeadsetHeadphonesAuriculares</v>
      </c>
      <c r="B1174" s="94" t="str">
        <f t="shared" si="45"/>
        <v>ES_MEDIAMARKT</v>
      </c>
      <c r="C1174" s="93" t="s">
        <v>285</v>
      </c>
      <c r="D1174" s="93" t="s">
        <v>264</v>
      </c>
      <c r="E1174" s="93" t="s">
        <v>2373</v>
      </c>
      <c r="F1174" s="93" t="s">
        <v>2754</v>
      </c>
      <c r="G1174" s="93" t="s">
        <v>2755</v>
      </c>
      <c r="H1174" s="93" t="e">
        <v>#N/A</v>
      </c>
      <c r="I1174" s="105" t="s">
        <v>2310</v>
      </c>
      <c r="J1174" s="93" t="s">
        <v>189</v>
      </c>
      <c r="K1174" s="93">
        <v>1418</v>
      </c>
      <c r="L1174" s="93" t="e">
        <v>#N/A</v>
      </c>
      <c r="M1174" s="93" t="s">
        <v>2311</v>
      </c>
      <c r="N1174" s="93">
        <f>VLOOKUP(B1174,'[16]01.수집 카테고리(List)'!$A$2:$H$64,8,FALSE)</f>
        <v>99991231</v>
      </c>
      <c r="O1174" s="93" t="s">
        <v>646</v>
      </c>
    </row>
    <row r="1175" spans="1:15" hidden="1">
      <c r="A1175" s="75" t="str">
        <f t="shared" si="44"/>
        <v>ESMEDIAMARKTWireless Headsetbluetooth headsetAuriculares bluetooth</v>
      </c>
      <c r="B1175" s="94" t="str">
        <f t="shared" si="45"/>
        <v>ES_MEDIAMARKT</v>
      </c>
      <c r="C1175" s="93" t="s">
        <v>285</v>
      </c>
      <c r="D1175" s="93" t="s">
        <v>264</v>
      </c>
      <c r="E1175" s="93" t="s">
        <v>2373</v>
      </c>
      <c r="F1175" s="93" t="s">
        <v>2756</v>
      </c>
      <c r="G1175" s="93" t="s">
        <v>2757</v>
      </c>
      <c r="H1175" s="93" t="e">
        <v>#N/A</v>
      </c>
      <c r="I1175" s="105" t="s">
        <v>2310</v>
      </c>
      <c r="J1175" s="93" t="s">
        <v>189</v>
      </c>
      <c r="K1175" s="93">
        <v>1062</v>
      </c>
      <c r="L1175" s="93" t="e">
        <v>#N/A</v>
      </c>
      <c r="M1175" s="93" t="s">
        <v>2311</v>
      </c>
      <c r="N1175" s="93">
        <f>VLOOKUP(B1175,'[16]01.수집 카테고리(List)'!$A$2:$H$64,8,FALSE)</f>
        <v>99991231</v>
      </c>
      <c r="O1175" s="93" t="s">
        <v>646</v>
      </c>
    </row>
    <row r="1176" spans="1:15" hidden="1">
      <c r="A1176" s="75" t="str">
        <f t="shared" si="44"/>
        <v>ESMEDIAMARKTWireless HeadsetEarbudsAuriculares de botón</v>
      </c>
      <c r="B1176" s="94" t="str">
        <f t="shared" si="45"/>
        <v>ES_MEDIAMARKT</v>
      </c>
      <c r="C1176" s="93" t="s">
        <v>285</v>
      </c>
      <c r="D1176" s="93" t="s">
        <v>264</v>
      </c>
      <c r="E1176" s="93" t="s">
        <v>2373</v>
      </c>
      <c r="F1176" s="93" t="s">
        <v>2534</v>
      </c>
      <c r="G1176" s="93" t="s">
        <v>2758</v>
      </c>
      <c r="H1176" s="93" t="e">
        <v>#N/A</v>
      </c>
      <c r="I1176" s="105" t="s">
        <v>2310</v>
      </c>
      <c r="J1176" s="93" t="s">
        <v>189</v>
      </c>
      <c r="K1176" s="93">
        <v>304</v>
      </c>
      <c r="L1176" s="93" t="e">
        <v>#N/A</v>
      </c>
      <c r="M1176" s="93" t="s">
        <v>2311</v>
      </c>
      <c r="N1176" s="93">
        <f>VLOOKUP(B1176,'[16]01.수집 카테고리(List)'!$A$2:$H$64,8,FALSE)</f>
        <v>99991231</v>
      </c>
      <c r="O1176" s="93" t="s">
        <v>646</v>
      </c>
    </row>
    <row r="1177" spans="1:15" hidden="1">
      <c r="A1177" s="75" t="str">
        <f t="shared" si="44"/>
        <v>ESMEDIAMARKTWireless HeadsetWireless HeadsetAuriculares inalámbricos</v>
      </c>
      <c r="B1177" s="94" t="str">
        <f t="shared" si="45"/>
        <v>ES_MEDIAMARKT</v>
      </c>
      <c r="C1177" s="93" t="s">
        <v>285</v>
      </c>
      <c r="D1177" s="93" t="s">
        <v>264</v>
      </c>
      <c r="E1177" s="93" t="s">
        <v>2373</v>
      </c>
      <c r="F1177" s="93" t="s">
        <v>2373</v>
      </c>
      <c r="G1177" s="93" t="s">
        <v>2759</v>
      </c>
      <c r="H1177" s="93" t="e">
        <v>#N/A</v>
      </c>
      <c r="I1177" s="105" t="s">
        <v>2310</v>
      </c>
      <c r="J1177" s="93" t="s">
        <v>189</v>
      </c>
      <c r="K1177" s="93">
        <v>1503</v>
      </c>
      <c r="L1177" s="93" t="e">
        <v>#N/A</v>
      </c>
      <c r="M1177" s="93" t="s">
        <v>2311</v>
      </c>
      <c r="N1177" s="93">
        <f>VLOOKUP(B1177,'[16]01.수집 카테고리(List)'!$A$2:$H$64,8,FALSE)</f>
        <v>99991231</v>
      </c>
      <c r="O1177" s="93" t="s">
        <v>646</v>
      </c>
    </row>
    <row r="1178" spans="1:15" hidden="1">
      <c r="A1178" s="75" t="str">
        <f t="shared" si="44"/>
        <v>ESMEDIAMARKTWireless HeadsetWireless EarbudsAuriculares inalámbricos</v>
      </c>
      <c r="B1178" s="94" t="str">
        <f t="shared" si="45"/>
        <v>ES_MEDIAMARKT</v>
      </c>
      <c r="C1178" s="93" t="s">
        <v>285</v>
      </c>
      <c r="D1178" s="93" t="s">
        <v>264</v>
      </c>
      <c r="E1178" s="93" t="s">
        <v>2373</v>
      </c>
      <c r="F1178" s="93" t="s">
        <v>2760</v>
      </c>
      <c r="G1178" s="93" t="s">
        <v>2759</v>
      </c>
      <c r="H1178" s="93" t="e">
        <v>#N/A</v>
      </c>
      <c r="I1178" s="105" t="s">
        <v>2310</v>
      </c>
      <c r="J1178" s="93" t="s">
        <v>189</v>
      </c>
      <c r="K1178" s="93">
        <v>1503</v>
      </c>
      <c r="L1178" s="93" t="e">
        <v>#N/A</v>
      </c>
      <c r="M1178" s="93" t="s">
        <v>2311</v>
      </c>
      <c r="N1178" s="93">
        <f>VLOOKUP(B1178,'[16]01.수집 카테고리(List)'!$A$2:$H$64,8,FALSE)</f>
        <v>99991231</v>
      </c>
      <c r="O1178" s="93" t="s">
        <v>646</v>
      </c>
    </row>
    <row r="1179" spans="1:15" s="81" customFormat="1" hidden="1">
      <c r="A1179" s="81" t="str">
        <f t="shared" si="44"/>
        <v>ESMEDIAMARKTDryerDryerSecadora</v>
      </c>
      <c r="B1179" s="106" t="str">
        <f t="shared" si="45"/>
        <v>ES_MEDIAMARKT</v>
      </c>
      <c r="C1179" s="107" t="s">
        <v>285</v>
      </c>
      <c r="D1179" s="107" t="s">
        <v>264</v>
      </c>
      <c r="E1179" s="107" t="s">
        <v>2535</v>
      </c>
      <c r="F1179" s="107" t="s">
        <v>2431</v>
      </c>
      <c r="G1179" s="119" t="s">
        <v>2776</v>
      </c>
      <c r="H1179" s="93" t="e">
        <v>#N/A</v>
      </c>
      <c r="I1179" s="99">
        <v>46076</v>
      </c>
      <c r="J1179" s="83" t="s">
        <v>189</v>
      </c>
      <c r="K1179" s="107"/>
      <c r="L1179" s="107"/>
      <c r="M1179" s="107"/>
      <c r="N1179" s="107"/>
      <c r="O1179" s="107"/>
    </row>
    <row r="1180" spans="1:15" hidden="1">
      <c r="A1180" s="75" t="str">
        <f t="shared" si="44"/>
        <v>ESSS.comAir Conditionerair conditioneraire acondicionado</v>
      </c>
      <c r="B1180" s="94" t="str">
        <f t="shared" si="45"/>
        <v>ES_SS.com</v>
      </c>
      <c r="C1180" s="93" t="s">
        <v>285</v>
      </c>
      <c r="D1180" s="93" t="s">
        <v>2443</v>
      </c>
      <c r="E1180" s="93" t="s">
        <v>2346</v>
      </c>
      <c r="F1180" s="93" t="s">
        <v>2347</v>
      </c>
      <c r="G1180" s="93" t="s">
        <v>2788</v>
      </c>
      <c r="H1180" s="93" t="e">
        <v>#N/A</v>
      </c>
      <c r="I1180" s="105" t="s">
        <v>2310</v>
      </c>
      <c r="J1180" s="93" t="s">
        <v>189</v>
      </c>
      <c r="K1180" s="93">
        <v>29</v>
      </c>
      <c r="L1180" s="93" t="e">
        <v>#N/A</v>
      </c>
      <c r="M1180" s="93" t="s">
        <v>2311</v>
      </c>
      <c r="N1180" s="93">
        <f>VLOOKUP(B1180,'[16]01.수집 카테고리(List)'!$A$2:$H$64,8,FALSE)</f>
        <v>99991231</v>
      </c>
      <c r="O1180" s="93" t="s">
        <v>646</v>
      </c>
    </row>
    <row r="1181" spans="1:15" hidden="1">
      <c r="A1181" s="75" t="str">
        <f t="shared" si="44"/>
        <v>ESSS.comMonitormonitormonitor</v>
      </c>
      <c r="B1181" s="94" t="str">
        <f t="shared" si="45"/>
        <v>ES_SS.com</v>
      </c>
      <c r="C1181" s="93" t="s">
        <v>285</v>
      </c>
      <c r="D1181" s="93" t="s">
        <v>2443</v>
      </c>
      <c r="E1181" s="93" t="s">
        <v>2320</v>
      </c>
      <c r="F1181" s="93" t="s">
        <v>2323</v>
      </c>
      <c r="G1181" s="93" t="s">
        <v>2323</v>
      </c>
      <c r="H1181" s="93" t="e">
        <v>#N/A</v>
      </c>
      <c r="I1181" s="105" t="s">
        <v>2310</v>
      </c>
      <c r="J1181" s="93" t="s">
        <v>189</v>
      </c>
      <c r="K1181" s="93">
        <v>233</v>
      </c>
      <c r="L1181" s="93">
        <v>233</v>
      </c>
      <c r="M1181" s="93" t="s">
        <v>2311</v>
      </c>
      <c r="N1181" s="93">
        <f>VLOOKUP(B1181,'[16]01.수집 카테고리(List)'!$A$2:$H$64,8,FALSE)</f>
        <v>99991231</v>
      </c>
      <c r="O1181" s="93" t="s">
        <v>646</v>
      </c>
    </row>
    <row r="1182" spans="1:15" hidden="1">
      <c r="A1182" s="75" t="str">
        <f t="shared" si="44"/>
        <v>ESSS.comMonitorgaming monitormonitor para juegos</v>
      </c>
      <c r="B1182" s="94" t="str">
        <f t="shared" si="45"/>
        <v>ES_SS.com</v>
      </c>
      <c r="C1182" s="93" t="s">
        <v>285</v>
      </c>
      <c r="D1182" s="93" t="s">
        <v>2443</v>
      </c>
      <c r="E1182" s="93" t="s">
        <v>2320</v>
      </c>
      <c r="F1182" s="93" t="s">
        <v>2322</v>
      </c>
      <c r="G1182" s="93" t="s">
        <v>2789</v>
      </c>
      <c r="H1182" s="93" t="e">
        <v>#N/A</v>
      </c>
      <c r="I1182" s="105" t="s">
        <v>2310</v>
      </c>
      <c r="J1182" s="93" t="s">
        <v>189</v>
      </c>
      <c r="K1182" s="93">
        <v>4</v>
      </c>
      <c r="L1182" s="93" t="e">
        <v>#N/A</v>
      </c>
      <c r="M1182" s="93" t="s">
        <v>2311</v>
      </c>
      <c r="N1182" s="93">
        <f>VLOOKUP(B1182,'[16]01.수집 카테고리(List)'!$A$2:$H$64,8,FALSE)</f>
        <v>99991231</v>
      </c>
      <c r="O1182" s="93" t="s">
        <v>646</v>
      </c>
    </row>
    <row r="1183" spans="1:15" hidden="1">
      <c r="A1183" s="75" t="str">
        <f t="shared" si="44"/>
        <v>ESSS.comRefrigeratorfridgefrigorífico</v>
      </c>
      <c r="B1183" s="94" t="str">
        <f t="shared" si="45"/>
        <v>ES_SS.com</v>
      </c>
      <c r="C1183" s="93" t="s">
        <v>285</v>
      </c>
      <c r="D1183" s="93" t="s">
        <v>2443</v>
      </c>
      <c r="E1183" s="93" t="s">
        <v>2326</v>
      </c>
      <c r="F1183" s="93" t="s">
        <v>2414</v>
      </c>
      <c r="G1183" s="93" t="s">
        <v>2790</v>
      </c>
      <c r="H1183" s="93" t="e">
        <v>#N/A</v>
      </c>
      <c r="I1183" s="105" t="s">
        <v>2310</v>
      </c>
      <c r="J1183" s="93" t="s">
        <v>189</v>
      </c>
      <c r="K1183" s="93">
        <v>290</v>
      </c>
      <c r="L1183" s="93" t="e">
        <v>#N/A</v>
      </c>
      <c r="M1183" s="93" t="s">
        <v>2311</v>
      </c>
      <c r="N1183" s="93">
        <f>VLOOKUP(B1183,'[16]01.수집 카테고리(List)'!$A$2:$H$64,8,FALSE)</f>
        <v>99991231</v>
      </c>
      <c r="O1183" s="93" t="s">
        <v>646</v>
      </c>
    </row>
    <row r="1184" spans="1:15" hidden="1">
      <c r="A1184" s="75" t="str">
        <f t="shared" si="44"/>
        <v>ESSS.comRefrigeratorrefrigeratorrefrigerador</v>
      </c>
      <c r="B1184" s="94" t="str">
        <f t="shared" si="45"/>
        <v>ES_SS.com</v>
      </c>
      <c r="C1184" s="93" t="s">
        <v>285</v>
      </c>
      <c r="D1184" s="93" t="s">
        <v>2443</v>
      </c>
      <c r="E1184" s="93" t="s">
        <v>2326</v>
      </c>
      <c r="F1184" s="93" t="s">
        <v>2329</v>
      </c>
      <c r="G1184" s="93" t="s">
        <v>2561</v>
      </c>
      <c r="H1184" s="93" t="e">
        <v>#N/A</v>
      </c>
      <c r="I1184" s="105" t="s">
        <v>2310</v>
      </c>
      <c r="J1184" s="93" t="s">
        <v>189</v>
      </c>
      <c r="K1184" s="93">
        <v>290</v>
      </c>
      <c r="L1184" s="93" t="e">
        <v>#N/A</v>
      </c>
      <c r="M1184" s="93" t="s">
        <v>2311</v>
      </c>
      <c r="N1184" s="93">
        <f>VLOOKUP(B1184,'[16]01.수집 카테고리(List)'!$A$2:$H$64,8,FALSE)</f>
        <v>99991231</v>
      </c>
      <c r="O1184" s="93" t="s">
        <v>646</v>
      </c>
    </row>
    <row r="1185" spans="1:15" hidden="1">
      <c r="A1185" s="75" t="str">
        <f t="shared" si="44"/>
        <v>ESSS.comTVtvtelevisor</v>
      </c>
      <c r="B1185" s="94" t="str">
        <f t="shared" si="45"/>
        <v>ES_SS.com</v>
      </c>
      <c r="C1185" s="93" t="s">
        <v>285</v>
      </c>
      <c r="D1185" s="93" t="s">
        <v>2443</v>
      </c>
      <c r="E1185" s="93" t="s">
        <v>161</v>
      </c>
      <c r="F1185" s="93" t="s">
        <v>2444</v>
      </c>
      <c r="G1185" s="93" t="s">
        <v>2583</v>
      </c>
      <c r="H1185" s="93" t="e">
        <v>#N/A</v>
      </c>
      <c r="I1185" s="105" t="s">
        <v>2310</v>
      </c>
      <c r="J1185" s="93" t="s">
        <v>189</v>
      </c>
      <c r="K1185" s="93">
        <v>332</v>
      </c>
      <c r="L1185" s="93" t="e">
        <v>#N/A</v>
      </c>
      <c r="M1185" s="93" t="s">
        <v>2311</v>
      </c>
      <c r="N1185" s="93">
        <f>VLOOKUP(B1185,'[16]01.수집 카테고리(List)'!$A$2:$H$64,8,FALSE)</f>
        <v>99991231</v>
      </c>
      <c r="O1185" s="93" t="s">
        <v>646</v>
      </c>
    </row>
    <row r="1186" spans="1:15" hidden="1">
      <c r="A1186" s="75" t="str">
        <f t="shared" si="44"/>
        <v>ESSS.comWashing Machinewashing machinelavadora</v>
      </c>
      <c r="B1186" s="94" t="str">
        <f t="shared" si="45"/>
        <v>ES_SS.com</v>
      </c>
      <c r="C1186" s="93" t="s">
        <v>285</v>
      </c>
      <c r="D1186" s="93" t="s">
        <v>2443</v>
      </c>
      <c r="E1186" s="93" t="s">
        <v>2333</v>
      </c>
      <c r="F1186" s="93" t="s">
        <v>2340</v>
      </c>
      <c r="G1186" s="93" t="s">
        <v>2753</v>
      </c>
      <c r="H1186" s="93" t="e">
        <v>#N/A</v>
      </c>
      <c r="I1186" s="105" t="s">
        <v>2310</v>
      </c>
      <c r="J1186" s="93" t="s">
        <v>189</v>
      </c>
      <c r="K1186" s="93">
        <v>121</v>
      </c>
      <c r="L1186" s="93" t="e">
        <v>#N/A</v>
      </c>
      <c r="M1186" s="93" t="s">
        <v>2311</v>
      </c>
      <c r="N1186" s="93">
        <f>VLOOKUP(B1186,'[16]01.수집 카테고리(List)'!$A$2:$H$64,8,FALSE)</f>
        <v>99991231</v>
      </c>
      <c r="O1186" s="93" t="s">
        <v>646</v>
      </c>
    </row>
    <row r="1187" spans="1:15" hidden="1">
      <c r="A1187" s="75" t="str">
        <f t="shared" si="44"/>
        <v>ESSS.comWashing Machinewasher dryerlavasecadora</v>
      </c>
      <c r="B1187" s="94" t="str">
        <f t="shared" si="45"/>
        <v>ES_SS.com</v>
      </c>
      <c r="C1187" s="93" t="s">
        <v>285</v>
      </c>
      <c r="D1187" s="93" t="s">
        <v>2443</v>
      </c>
      <c r="E1187" s="93" t="s">
        <v>2333</v>
      </c>
      <c r="F1187" s="93" t="s">
        <v>2339</v>
      </c>
      <c r="G1187" s="93" t="s">
        <v>2791</v>
      </c>
      <c r="H1187" s="93" t="e">
        <v>#N/A</v>
      </c>
      <c r="I1187" s="99">
        <v>46076</v>
      </c>
      <c r="J1187" s="83" t="s">
        <v>189</v>
      </c>
      <c r="K1187" s="93"/>
      <c r="L1187" s="93"/>
      <c r="M1187" s="93"/>
      <c r="N1187" s="93"/>
      <c r="O1187" s="93"/>
    </row>
    <row r="1188" spans="1:15" s="111" customFormat="1" hidden="1">
      <c r="A1188" s="111" t="str">
        <f t="shared" si="44"/>
        <v>ESSS.comBluetooth Speakerspeakersaltavoces</v>
      </c>
      <c r="B1188" s="112" t="str">
        <f t="shared" si="45"/>
        <v>ES_SS.com</v>
      </c>
      <c r="C1188" s="113" t="s">
        <v>285</v>
      </c>
      <c r="D1188" s="113" t="s">
        <v>184</v>
      </c>
      <c r="E1188" s="113" t="s">
        <v>2470</v>
      </c>
      <c r="F1188" s="113" t="s">
        <v>2471</v>
      </c>
      <c r="G1188" s="113" t="s">
        <v>2764</v>
      </c>
      <c r="H1188" s="93" t="e">
        <v>#N/A</v>
      </c>
      <c r="I1188" s="99">
        <v>46076</v>
      </c>
      <c r="J1188" s="83" t="s">
        <v>189</v>
      </c>
      <c r="K1188" s="113"/>
      <c r="L1188" s="113"/>
      <c r="M1188" s="113"/>
      <c r="N1188" s="113"/>
      <c r="O1188" s="113"/>
    </row>
    <row r="1189" spans="1:15" s="111" customFormat="1" hidden="1">
      <c r="A1189" s="111" t="str">
        <f t="shared" si="44"/>
        <v>ESSS.comBluetooth Speakerportable speakersaltavoces portátiles</v>
      </c>
      <c r="B1189" s="112" t="str">
        <f t="shared" si="45"/>
        <v>ES_SS.com</v>
      </c>
      <c r="C1189" s="113" t="s">
        <v>285</v>
      </c>
      <c r="D1189" s="113" t="s">
        <v>184</v>
      </c>
      <c r="E1189" s="113" t="s">
        <v>2470</v>
      </c>
      <c r="F1189" s="113" t="s">
        <v>2473</v>
      </c>
      <c r="G1189" s="113" t="s">
        <v>2765</v>
      </c>
      <c r="H1189" s="93" t="e">
        <v>#N/A</v>
      </c>
      <c r="I1189" s="99">
        <v>46076</v>
      </c>
      <c r="J1189" s="83" t="s">
        <v>189</v>
      </c>
      <c r="K1189" s="113"/>
      <c r="L1189" s="113"/>
      <c r="M1189" s="113"/>
      <c r="N1189" s="113"/>
      <c r="O1189" s="113"/>
    </row>
    <row r="1190" spans="1:15" s="111" customFormat="1" hidden="1">
      <c r="A1190" s="111" t="str">
        <f t="shared" si="44"/>
        <v>ESSS.comBluetooth Speakerwireless portable speakersaltavoces portátiles inalámbricos</v>
      </c>
      <c r="B1190" s="112" t="str">
        <f t="shared" si="45"/>
        <v>ES_SS.com</v>
      </c>
      <c r="C1190" s="113" t="s">
        <v>285</v>
      </c>
      <c r="D1190" s="113" t="s">
        <v>184</v>
      </c>
      <c r="E1190" s="113" t="s">
        <v>2470</v>
      </c>
      <c r="F1190" s="113" t="s">
        <v>2475</v>
      </c>
      <c r="G1190" s="113" t="s">
        <v>2766</v>
      </c>
      <c r="H1190" s="93" t="e">
        <v>#N/A</v>
      </c>
      <c r="I1190" s="99">
        <v>46076</v>
      </c>
      <c r="J1190" s="83" t="s">
        <v>189</v>
      </c>
      <c r="K1190" s="113"/>
      <c r="L1190" s="113"/>
      <c r="M1190" s="113"/>
      <c r="N1190" s="113"/>
      <c r="O1190" s="113"/>
    </row>
    <row r="1191" spans="1:15" s="111" customFormat="1" hidden="1">
      <c r="A1191" s="111" t="str">
        <f t="shared" si="44"/>
        <v>ESSS.comBluetooth Speakerbluetooth speakerAltavoz bluetooth</v>
      </c>
      <c r="B1191" s="112" t="str">
        <f t="shared" si="45"/>
        <v>ES_SS.com</v>
      </c>
      <c r="C1191" s="113" t="s">
        <v>285</v>
      </c>
      <c r="D1191" s="113" t="s">
        <v>184</v>
      </c>
      <c r="E1191" s="113" t="s">
        <v>2470</v>
      </c>
      <c r="F1191" s="113" t="s">
        <v>2657</v>
      </c>
      <c r="G1191" s="113" t="s">
        <v>2767</v>
      </c>
      <c r="H1191" s="93" t="e">
        <v>#N/A</v>
      </c>
      <c r="I1191" s="99">
        <v>46076</v>
      </c>
      <c r="J1191" s="83" t="s">
        <v>189</v>
      </c>
      <c r="K1191" s="113"/>
      <c r="L1191" s="113"/>
      <c r="M1191" s="113"/>
      <c r="N1191" s="113"/>
      <c r="O1191" s="113"/>
    </row>
    <row r="1192" spans="1:15" s="111" customFormat="1" hidden="1">
      <c r="A1192" s="111" t="str">
        <f t="shared" si="44"/>
        <v>ESSS.comBluetooth Speakerbluetooth speaker portableAltavoz portátil bluetooth</v>
      </c>
      <c r="B1192" s="112" t="str">
        <f t="shared" si="45"/>
        <v>ES_SS.com</v>
      </c>
      <c r="C1192" s="113" t="s">
        <v>285</v>
      </c>
      <c r="D1192" s="113" t="s">
        <v>184</v>
      </c>
      <c r="E1192" s="113" t="s">
        <v>2470</v>
      </c>
      <c r="F1192" s="113" t="s">
        <v>2479</v>
      </c>
      <c r="G1192" s="113" t="s">
        <v>2768</v>
      </c>
      <c r="H1192" s="93" t="e">
        <v>#N/A</v>
      </c>
      <c r="I1192" s="99">
        <v>46076</v>
      </c>
      <c r="J1192" s="83" t="s">
        <v>189</v>
      </c>
      <c r="K1192" s="113"/>
      <c r="L1192" s="113"/>
      <c r="M1192" s="113"/>
      <c r="N1192" s="113"/>
      <c r="O1192" s="113"/>
    </row>
    <row r="1193" spans="1:15" s="111" customFormat="1" hidden="1">
      <c r="A1193" s="111" t="str">
        <f t="shared" si="44"/>
        <v>ESSS.comSOUNDBARSoundbarBarra de sonido</v>
      </c>
      <c r="B1193" s="112" t="str">
        <f t="shared" si="45"/>
        <v>ES_SS.com</v>
      </c>
      <c r="C1193" s="113" t="s">
        <v>285</v>
      </c>
      <c r="D1193" s="113" t="s">
        <v>184</v>
      </c>
      <c r="E1193" s="113" t="s">
        <v>165</v>
      </c>
      <c r="F1193" s="113" t="s">
        <v>2363</v>
      </c>
      <c r="G1193" s="113" t="s">
        <v>2782</v>
      </c>
      <c r="H1193" s="93" t="e">
        <v>#N/A</v>
      </c>
      <c r="I1193" s="99">
        <v>46076</v>
      </c>
      <c r="J1193" s="83" t="s">
        <v>189</v>
      </c>
      <c r="K1193" s="113"/>
      <c r="L1193" s="113"/>
      <c r="M1193" s="113"/>
      <c r="N1193" s="113"/>
      <c r="O1193" s="113"/>
    </row>
    <row r="1194" spans="1:15" s="111" customFormat="1" hidden="1">
      <c r="A1194" s="111" t="str">
        <f t="shared" si="44"/>
        <v>ESSS.comSOUNDBARtv soundbarbarra de sonido de tv</v>
      </c>
      <c r="B1194" s="112" t="str">
        <f t="shared" si="45"/>
        <v>ES_SS.com</v>
      </c>
      <c r="C1194" s="113" t="s">
        <v>285</v>
      </c>
      <c r="D1194" s="113" t="s">
        <v>184</v>
      </c>
      <c r="E1194" s="113" t="s">
        <v>165</v>
      </c>
      <c r="F1194" s="113" t="s">
        <v>2686</v>
      </c>
      <c r="G1194" s="113" t="s">
        <v>2783</v>
      </c>
      <c r="H1194" s="93" t="e">
        <v>#N/A</v>
      </c>
      <c r="I1194" s="99">
        <v>46076</v>
      </c>
      <c r="J1194" s="83" t="s">
        <v>189</v>
      </c>
      <c r="K1194" s="113"/>
      <c r="L1194" s="113"/>
      <c r="M1194" s="113"/>
      <c r="N1194" s="113"/>
      <c r="O1194" s="113"/>
    </row>
    <row r="1195" spans="1:15" s="111" customFormat="1" hidden="1">
      <c r="A1195" s="111" t="str">
        <f t="shared" si="44"/>
        <v>ESSS.comSOUNDBARsoundbar for tvbarra de sonido para tv</v>
      </c>
      <c r="B1195" s="112" t="str">
        <f t="shared" si="45"/>
        <v>ES_SS.com</v>
      </c>
      <c r="C1195" s="113" t="s">
        <v>285</v>
      </c>
      <c r="D1195" s="113" t="s">
        <v>184</v>
      </c>
      <c r="E1195" s="113" t="s">
        <v>165</v>
      </c>
      <c r="F1195" s="113" t="s">
        <v>2573</v>
      </c>
      <c r="G1195" s="113" t="s">
        <v>2784</v>
      </c>
      <c r="H1195" s="93" t="e">
        <v>#N/A</v>
      </c>
      <c r="I1195" s="99">
        <v>46076</v>
      </c>
      <c r="J1195" s="83" t="s">
        <v>189</v>
      </c>
      <c r="K1195" s="113"/>
      <c r="L1195" s="113"/>
      <c r="M1195" s="113"/>
      <c r="N1195" s="113"/>
      <c r="O1195" s="113"/>
    </row>
    <row r="1196" spans="1:15" s="197" customFormat="1" hidden="1">
      <c r="A1196" s="197" t="str">
        <f t="shared" ref="A1196" si="46">C1196&amp;D1196&amp;E1196&amp;F1196&amp;G1196</f>
        <v>ESSS.comSOUNDBARSurround sound systemSurround sound system</v>
      </c>
      <c r="B1196" s="198" t="str">
        <f t="shared" ref="B1196" si="47">C1196&amp;"_"&amp;D1196</f>
        <v>ES_SS.com</v>
      </c>
      <c r="C1196" s="199" t="s">
        <v>285</v>
      </c>
      <c r="D1196" s="199" t="s">
        <v>184</v>
      </c>
      <c r="E1196" s="199" t="s">
        <v>165</v>
      </c>
      <c r="F1196" s="199" t="s">
        <v>2772</v>
      </c>
      <c r="G1196" s="199" t="s">
        <v>2792</v>
      </c>
      <c r="H1196" s="199" t="s">
        <v>2793</v>
      </c>
      <c r="I1196" s="201">
        <v>46076</v>
      </c>
      <c r="J1196" s="202" t="s">
        <v>189</v>
      </c>
      <c r="K1196" s="199"/>
      <c r="L1196" s="199"/>
      <c r="M1196" s="199"/>
      <c r="N1196" s="199"/>
      <c r="O1196" s="199"/>
    </row>
    <row r="1197" spans="1:15" s="111" customFormat="1" hidden="1">
      <c r="A1197" s="111" t="str">
        <f t="shared" si="44"/>
        <v>ESSS.comSOUNDBARtv soundsonido de tv</v>
      </c>
      <c r="B1197" s="112" t="str">
        <f t="shared" si="45"/>
        <v>ES_SS.com</v>
      </c>
      <c r="C1197" s="113" t="s">
        <v>285</v>
      </c>
      <c r="D1197" s="113" t="s">
        <v>184</v>
      </c>
      <c r="E1197" s="113" t="s">
        <v>165</v>
      </c>
      <c r="F1197" s="113" t="s">
        <v>2774</v>
      </c>
      <c r="G1197" s="113" t="s">
        <v>2785</v>
      </c>
      <c r="H1197" s="93" t="e">
        <v>#N/A</v>
      </c>
      <c r="I1197" s="99">
        <v>46076</v>
      </c>
      <c r="J1197" s="83" t="s">
        <v>189</v>
      </c>
      <c r="K1197" s="113"/>
      <c r="L1197" s="113"/>
      <c r="M1197" s="113"/>
      <c r="N1197" s="113"/>
      <c r="O1197" s="113"/>
    </row>
    <row r="1198" spans="1:15" s="111" customFormat="1" hidden="1">
      <c r="A1198" s="111" t="str">
        <f t="shared" si="44"/>
        <v>ESSS.comWireless HeadsetHeadphonesAuriculares</v>
      </c>
      <c r="B1198" s="112" t="str">
        <f t="shared" si="45"/>
        <v>ES_SS.com</v>
      </c>
      <c r="C1198" s="113" t="s">
        <v>285</v>
      </c>
      <c r="D1198" s="113" t="s">
        <v>184</v>
      </c>
      <c r="E1198" s="113" t="s">
        <v>2373</v>
      </c>
      <c r="F1198" s="113" t="s">
        <v>2754</v>
      </c>
      <c r="G1198" s="113" t="s">
        <v>2755</v>
      </c>
      <c r="H1198" s="93" t="e">
        <v>#N/A</v>
      </c>
      <c r="I1198" s="99">
        <v>46076</v>
      </c>
      <c r="J1198" s="83" t="s">
        <v>189</v>
      </c>
      <c r="K1198" s="113"/>
      <c r="L1198" s="113"/>
      <c r="M1198" s="113"/>
      <c r="N1198" s="113"/>
      <c r="O1198" s="113"/>
    </row>
    <row r="1199" spans="1:15" s="111" customFormat="1" hidden="1">
      <c r="A1199" s="111" t="str">
        <f t="shared" si="44"/>
        <v>ESSS.comWireless Headsetbluetooth headsetAuriculares bluetooth</v>
      </c>
      <c r="B1199" s="112" t="str">
        <f t="shared" si="45"/>
        <v>ES_SS.com</v>
      </c>
      <c r="C1199" s="113" t="s">
        <v>285</v>
      </c>
      <c r="D1199" s="113" t="s">
        <v>184</v>
      </c>
      <c r="E1199" s="113" t="s">
        <v>2373</v>
      </c>
      <c r="F1199" s="113" t="s">
        <v>2756</v>
      </c>
      <c r="G1199" s="113" t="s">
        <v>2757</v>
      </c>
      <c r="H1199" s="93" t="e">
        <v>#N/A</v>
      </c>
      <c r="I1199" s="99">
        <v>46076</v>
      </c>
      <c r="J1199" s="83" t="s">
        <v>189</v>
      </c>
      <c r="K1199" s="113"/>
      <c r="L1199" s="113"/>
      <c r="M1199" s="113"/>
      <c r="N1199" s="113"/>
      <c r="O1199" s="113"/>
    </row>
    <row r="1200" spans="1:15" s="111" customFormat="1" hidden="1">
      <c r="A1200" s="111" t="str">
        <f t="shared" si="44"/>
        <v>ESSS.comWireless HeadsetEarbudsAuriculares de botón</v>
      </c>
      <c r="B1200" s="112" t="str">
        <f t="shared" si="45"/>
        <v>ES_SS.com</v>
      </c>
      <c r="C1200" s="113" t="s">
        <v>285</v>
      </c>
      <c r="D1200" s="113" t="s">
        <v>184</v>
      </c>
      <c r="E1200" s="113" t="s">
        <v>2373</v>
      </c>
      <c r="F1200" s="113" t="s">
        <v>2534</v>
      </c>
      <c r="G1200" s="113" t="s">
        <v>2758</v>
      </c>
      <c r="H1200" s="93" t="e">
        <v>#N/A</v>
      </c>
      <c r="I1200" s="99">
        <v>46076</v>
      </c>
      <c r="J1200" s="83" t="s">
        <v>189</v>
      </c>
      <c r="K1200" s="113"/>
      <c r="L1200" s="113"/>
      <c r="M1200" s="113"/>
      <c r="N1200" s="113"/>
      <c r="O1200" s="113"/>
    </row>
    <row r="1201" spans="1:15" s="111" customFormat="1" hidden="1">
      <c r="A1201" s="111" t="str">
        <f t="shared" si="44"/>
        <v>ESSS.comWireless HeadsetWireless HeadsetAuriculares inalámbricos</v>
      </c>
      <c r="B1201" s="112" t="str">
        <f t="shared" si="45"/>
        <v>ES_SS.com</v>
      </c>
      <c r="C1201" s="113" t="s">
        <v>285</v>
      </c>
      <c r="D1201" s="113" t="s">
        <v>184</v>
      </c>
      <c r="E1201" s="113" t="s">
        <v>2373</v>
      </c>
      <c r="F1201" s="113" t="s">
        <v>2373</v>
      </c>
      <c r="G1201" s="113" t="s">
        <v>2759</v>
      </c>
      <c r="H1201" s="93" t="e">
        <v>#N/A</v>
      </c>
      <c r="I1201" s="99">
        <v>46076</v>
      </c>
      <c r="J1201" s="83" t="s">
        <v>189</v>
      </c>
      <c r="K1201" s="113"/>
      <c r="L1201" s="113"/>
      <c r="M1201" s="113"/>
      <c r="N1201" s="113"/>
      <c r="O1201" s="113"/>
    </row>
    <row r="1202" spans="1:15" s="111" customFormat="1" hidden="1">
      <c r="A1202" s="111" t="str">
        <f t="shared" si="44"/>
        <v>ESSS.comWireless HeadsetWireless EarbudsAuriculares inalámbricos</v>
      </c>
      <c r="B1202" s="112" t="str">
        <f t="shared" si="45"/>
        <v>ES_SS.com</v>
      </c>
      <c r="C1202" s="113" t="s">
        <v>285</v>
      </c>
      <c r="D1202" s="113" t="s">
        <v>184</v>
      </c>
      <c r="E1202" s="113" t="s">
        <v>2373</v>
      </c>
      <c r="F1202" s="113" t="s">
        <v>2760</v>
      </c>
      <c r="G1202" s="113" t="s">
        <v>2759</v>
      </c>
      <c r="H1202" s="93" t="e">
        <v>#N/A</v>
      </c>
      <c r="I1202" s="99">
        <v>46076</v>
      </c>
      <c r="J1202" s="83" t="s">
        <v>189</v>
      </c>
      <c r="K1202" s="113"/>
      <c r="L1202" s="113"/>
      <c r="M1202" s="113"/>
      <c r="N1202" s="113"/>
      <c r="O1202" s="113"/>
    </row>
    <row r="1203" spans="1:15" hidden="1">
      <c r="A1203" s="75" t="str">
        <f t="shared" si="44"/>
        <v>FRBOULANGERBluetooth Speakerspeakersenceinte</v>
      </c>
      <c r="B1203" s="94" t="str">
        <f t="shared" si="45"/>
        <v>FR_BOULANGER</v>
      </c>
      <c r="C1203" s="93" t="s">
        <v>251</v>
      </c>
      <c r="D1203" s="93" t="s">
        <v>252</v>
      </c>
      <c r="E1203" s="93" t="s">
        <v>2307</v>
      </c>
      <c r="F1203" s="93" t="s">
        <v>2471</v>
      </c>
      <c r="G1203" s="93" t="s">
        <v>2794</v>
      </c>
      <c r="H1203" s="93" t="e">
        <v>#N/A</v>
      </c>
      <c r="I1203" s="105" t="s">
        <v>2310</v>
      </c>
      <c r="J1203" s="93" t="s">
        <v>189</v>
      </c>
      <c r="K1203" s="93">
        <v>1327</v>
      </c>
      <c r="L1203" s="93" t="e">
        <v>#N/A</v>
      </c>
      <c r="M1203" s="93" t="s">
        <v>2311</v>
      </c>
      <c r="N1203" s="93">
        <f>VLOOKUP(B1203,'[16]01.수집 카테고리(List)'!$A$2:$H$64,8,FALSE)</f>
        <v>99991231</v>
      </c>
      <c r="O1203" s="93" t="s">
        <v>646</v>
      </c>
    </row>
    <row r="1204" spans="1:15" hidden="1">
      <c r="A1204" s="75" t="str">
        <f t="shared" si="44"/>
        <v>FRBOULANGERBluetooth Speakerbluetooth speakerenceinte Bluetooth</v>
      </c>
      <c r="B1204" s="94" t="str">
        <f t="shared" si="45"/>
        <v>FR_BOULANGER</v>
      </c>
      <c r="C1204" s="93" t="s">
        <v>251</v>
      </c>
      <c r="D1204" s="93" t="s">
        <v>252</v>
      </c>
      <c r="E1204" s="93" t="s">
        <v>2307</v>
      </c>
      <c r="F1204" s="93" t="s">
        <v>2657</v>
      </c>
      <c r="G1204" s="93" t="s">
        <v>2795</v>
      </c>
      <c r="H1204" s="93" t="e">
        <v>#N/A</v>
      </c>
      <c r="I1204" s="105" t="s">
        <v>2310</v>
      </c>
      <c r="J1204" s="93" t="s">
        <v>189</v>
      </c>
      <c r="K1204" s="93">
        <v>132</v>
      </c>
      <c r="L1204" s="93" t="e">
        <v>#N/A</v>
      </c>
      <c r="M1204" s="93" t="s">
        <v>2311</v>
      </c>
      <c r="N1204" s="93">
        <f>VLOOKUP(B1204,'[16]01.수집 카테고리(List)'!$A$2:$H$64,8,FALSE)</f>
        <v>99991231</v>
      </c>
      <c r="O1204" s="93" t="s">
        <v>646</v>
      </c>
    </row>
    <row r="1205" spans="1:15" hidden="1">
      <c r="A1205" s="75" t="str">
        <f t="shared" si="44"/>
        <v>FRBOULANGERBluetooth Speakerbluetooth speaker portableenceinte Bluetooth portable</v>
      </c>
      <c r="B1205" s="94" t="str">
        <f t="shared" si="45"/>
        <v>FR_BOULANGER</v>
      </c>
      <c r="C1205" s="93" t="s">
        <v>251</v>
      </c>
      <c r="D1205" s="93" t="s">
        <v>252</v>
      </c>
      <c r="E1205" s="93" t="s">
        <v>2307</v>
      </c>
      <c r="F1205" s="93" t="s">
        <v>2479</v>
      </c>
      <c r="G1205" s="93" t="s">
        <v>2796</v>
      </c>
      <c r="H1205" s="93" t="e">
        <v>#N/A</v>
      </c>
      <c r="I1205" s="105" t="s">
        <v>2310</v>
      </c>
      <c r="J1205" s="93" t="s">
        <v>189</v>
      </c>
      <c r="K1205" s="93">
        <v>127</v>
      </c>
      <c r="L1205" s="93" t="e">
        <v>#N/A</v>
      </c>
      <c r="M1205" s="93" t="s">
        <v>2311</v>
      </c>
      <c r="N1205" s="93">
        <f>VLOOKUP(B1205,'[16]01.수집 카테고리(List)'!$A$2:$H$64,8,FALSE)</f>
        <v>99991231</v>
      </c>
      <c r="O1205" s="93" t="s">
        <v>646</v>
      </c>
    </row>
    <row r="1206" spans="1:15" hidden="1">
      <c r="A1206" s="75" t="str">
        <f t="shared" si="44"/>
        <v>FRBOULANGERBluetooth Speakerportable speakersenceinte portable</v>
      </c>
      <c r="B1206" s="94" t="str">
        <f t="shared" si="45"/>
        <v>FR_BOULANGER</v>
      </c>
      <c r="C1206" s="93" t="s">
        <v>251</v>
      </c>
      <c r="D1206" s="93" t="s">
        <v>252</v>
      </c>
      <c r="E1206" s="93" t="s">
        <v>2307</v>
      </c>
      <c r="F1206" s="93" t="s">
        <v>2473</v>
      </c>
      <c r="G1206" s="93" t="s">
        <v>2797</v>
      </c>
      <c r="H1206" s="93" t="e">
        <v>#N/A</v>
      </c>
      <c r="I1206" s="105" t="s">
        <v>2310</v>
      </c>
      <c r="J1206" s="93" t="s">
        <v>189</v>
      </c>
      <c r="K1206" s="93">
        <v>495</v>
      </c>
      <c r="L1206" s="93" t="e">
        <v>#N/A</v>
      </c>
      <c r="M1206" s="93" t="s">
        <v>2311</v>
      </c>
      <c r="N1206" s="93">
        <f>VLOOKUP(B1206,'[16]01.수집 카테고리(List)'!$A$2:$H$64,8,FALSE)</f>
        <v>99991231</v>
      </c>
      <c r="O1206" s="93" t="s">
        <v>646</v>
      </c>
    </row>
    <row r="1207" spans="1:15" hidden="1">
      <c r="A1207" s="75" t="str">
        <f t="shared" si="44"/>
        <v>FRBOULANGERBluetooth SpeakerWireless speakerEnceinte sans fil</v>
      </c>
      <c r="B1207" s="94" t="str">
        <f t="shared" si="45"/>
        <v>FR_BOULANGER</v>
      </c>
      <c r="C1207" s="93" t="s">
        <v>251</v>
      </c>
      <c r="D1207" s="93" t="s">
        <v>252</v>
      </c>
      <c r="E1207" s="93" t="s">
        <v>2307</v>
      </c>
      <c r="F1207" s="93" t="s">
        <v>2316</v>
      </c>
      <c r="G1207" s="93" t="s">
        <v>2798</v>
      </c>
      <c r="H1207" s="93" t="e">
        <v>#N/A</v>
      </c>
      <c r="I1207" s="105" t="s">
        <v>2310</v>
      </c>
      <c r="J1207" s="93" t="s">
        <v>189</v>
      </c>
      <c r="K1207" s="93">
        <v>485</v>
      </c>
      <c r="L1207" s="93" t="e">
        <v>#N/A</v>
      </c>
      <c r="M1207" s="93" t="s">
        <v>2311</v>
      </c>
      <c r="N1207" s="93">
        <f>VLOOKUP(B1207,'[16]01.수집 카테고리(List)'!$A$2:$H$64,8,FALSE)</f>
        <v>99991231</v>
      </c>
      <c r="O1207" s="93" t="s">
        <v>646</v>
      </c>
    </row>
    <row r="1208" spans="1:15" hidden="1">
      <c r="A1208" s="75" t="str">
        <f t="shared" si="44"/>
        <v>FRBOULANGERDishwasherDish WasherLave vaisselle</v>
      </c>
      <c r="B1208" s="94" t="str">
        <f t="shared" si="45"/>
        <v>FR_BOULANGER</v>
      </c>
      <c r="C1208" s="93" t="s">
        <v>251</v>
      </c>
      <c r="D1208" s="93" t="s">
        <v>252</v>
      </c>
      <c r="E1208" s="93" t="s">
        <v>2440</v>
      </c>
      <c r="F1208" s="93" t="s">
        <v>2799</v>
      </c>
      <c r="G1208" s="93" t="s">
        <v>2800</v>
      </c>
      <c r="H1208" s="93" t="e">
        <v>#N/A</v>
      </c>
      <c r="I1208" s="105" t="s">
        <v>2310</v>
      </c>
      <c r="J1208" s="93" t="s">
        <v>189</v>
      </c>
      <c r="K1208" s="93">
        <v>41</v>
      </c>
      <c r="L1208" s="93" t="e">
        <v>#N/A</v>
      </c>
      <c r="M1208" s="93" t="s">
        <v>2311</v>
      </c>
      <c r="N1208" s="93">
        <f>VLOOKUP(B1208,'[16]01.수집 카테고리(List)'!$A$2:$H$64,8,FALSE)</f>
        <v>99991231</v>
      </c>
      <c r="O1208" s="93" t="s">
        <v>646</v>
      </c>
    </row>
    <row r="1209" spans="1:15" hidden="1">
      <c r="A1209" s="75" t="str">
        <f t="shared" si="44"/>
        <v>FRBOULANGERDishwasher60 cm dish washerLave vaisselle 60 cm</v>
      </c>
      <c r="B1209" s="94" t="str">
        <f t="shared" si="45"/>
        <v>FR_BOULANGER</v>
      </c>
      <c r="C1209" s="93" t="s">
        <v>251</v>
      </c>
      <c r="D1209" s="93" t="s">
        <v>252</v>
      </c>
      <c r="E1209" s="93" t="s">
        <v>2440</v>
      </c>
      <c r="F1209" s="93" t="s">
        <v>2801</v>
      </c>
      <c r="G1209" s="93" t="s">
        <v>2802</v>
      </c>
      <c r="H1209" s="93" t="e">
        <v>#N/A</v>
      </c>
      <c r="I1209" s="105" t="s">
        <v>2310</v>
      </c>
      <c r="J1209" s="93" t="s">
        <v>189</v>
      </c>
      <c r="K1209" s="93">
        <v>43</v>
      </c>
      <c r="L1209" s="93" t="e">
        <v>#N/A</v>
      </c>
      <c r="M1209" s="93" t="s">
        <v>2311</v>
      </c>
      <c r="N1209" s="93">
        <f>VLOOKUP(B1209,'[16]01.수집 카테고리(List)'!$A$2:$H$64,8,FALSE)</f>
        <v>99991231</v>
      </c>
      <c r="O1209" s="93" t="s">
        <v>646</v>
      </c>
    </row>
    <row r="1210" spans="1:15" hidden="1">
      <c r="A1210" s="75" t="str">
        <f t="shared" si="44"/>
        <v>FRBOULANGERDishwasherFree Standing dish washerLave vaisselle Pose Libre</v>
      </c>
      <c r="B1210" s="94" t="str">
        <f t="shared" si="45"/>
        <v>FR_BOULANGER</v>
      </c>
      <c r="C1210" s="93" t="s">
        <v>251</v>
      </c>
      <c r="D1210" s="93" t="s">
        <v>252</v>
      </c>
      <c r="E1210" s="93" t="s">
        <v>2440</v>
      </c>
      <c r="F1210" s="93" t="s">
        <v>2803</v>
      </c>
      <c r="G1210" s="93" t="s">
        <v>2804</v>
      </c>
      <c r="H1210" s="93" t="e">
        <v>#N/A</v>
      </c>
      <c r="I1210" s="105" t="s">
        <v>2310</v>
      </c>
      <c r="J1210" s="93" t="s">
        <v>189</v>
      </c>
      <c r="K1210" s="93">
        <v>6</v>
      </c>
      <c r="L1210" s="93" t="e">
        <v>#N/A</v>
      </c>
      <c r="M1210" s="93" t="s">
        <v>2311</v>
      </c>
      <c r="N1210" s="93">
        <f>VLOOKUP(B1210,'[16]01.수집 카테고리(List)'!$A$2:$H$64,8,FALSE)</f>
        <v>99991231</v>
      </c>
      <c r="O1210" s="93" t="s">
        <v>646</v>
      </c>
    </row>
    <row r="1211" spans="1:15" hidden="1">
      <c r="A1211" s="75" t="str">
        <f t="shared" si="44"/>
        <v>FRBOULANGERLAPTOPLaptopOrdinateur portable</v>
      </c>
      <c r="B1211" s="94" t="str">
        <f t="shared" si="45"/>
        <v>FR_BOULANGER</v>
      </c>
      <c r="C1211" s="93" t="s">
        <v>251</v>
      </c>
      <c r="D1211" s="93" t="s">
        <v>252</v>
      </c>
      <c r="E1211" s="93" t="s">
        <v>171</v>
      </c>
      <c r="F1211" s="93" t="s">
        <v>2407</v>
      </c>
      <c r="G1211" s="93" t="s">
        <v>2805</v>
      </c>
      <c r="H1211" s="93" t="e">
        <v>#N/A</v>
      </c>
      <c r="I1211" s="105" t="s">
        <v>2310</v>
      </c>
      <c r="J1211" s="93" t="s">
        <v>189</v>
      </c>
      <c r="K1211" s="93">
        <v>5495</v>
      </c>
      <c r="L1211" s="93" t="e">
        <v>#N/A</v>
      </c>
      <c r="M1211" s="93" t="s">
        <v>2311</v>
      </c>
      <c r="N1211" s="93">
        <f>VLOOKUP(B1211,'[16]01.수집 카테고리(List)'!$A$2:$H$64,8,FALSE)</f>
        <v>99991231</v>
      </c>
      <c r="O1211" s="93" t="s">
        <v>646</v>
      </c>
    </row>
    <row r="1212" spans="1:15" hidden="1">
      <c r="A1212" s="75" t="str">
        <f t="shared" si="44"/>
        <v>FRBOULANGERLAPTOP15 inch LaptopOrdinateur portable 15 pouces</v>
      </c>
      <c r="B1212" s="94" t="str">
        <f t="shared" si="45"/>
        <v>FR_BOULANGER</v>
      </c>
      <c r="C1212" s="93" t="s">
        <v>251</v>
      </c>
      <c r="D1212" s="93" t="s">
        <v>252</v>
      </c>
      <c r="E1212" s="93" t="s">
        <v>171</v>
      </c>
      <c r="F1212" s="93" t="s">
        <v>2806</v>
      </c>
      <c r="G1212" s="93" t="s">
        <v>2807</v>
      </c>
      <c r="H1212" s="93" t="e">
        <v>#N/A</v>
      </c>
      <c r="I1212" s="105" t="s">
        <v>2310</v>
      </c>
      <c r="J1212" s="93" t="s">
        <v>189</v>
      </c>
      <c r="K1212" s="93">
        <v>1172</v>
      </c>
      <c r="L1212" s="93" t="e">
        <v>#N/A</v>
      </c>
      <c r="M1212" s="93" t="s">
        <v>2311</v>
      </c>
      <c r="N1212" s="93">
        <f>VLOOKUP(B1212,'[16]01.수집 카테고리(List)'!$A$2:$H$64,8,FALSE)</f>
        <v>99991231</v>
      </c>
      <c r="O1212" s="93" t="s">
        <v>646</v>
      </c>
    </row>
    <row r="1213" spans="1:15" hidden="1">
      <c r="A1213" s="75" t="str">
        <f t="shared" si="44"/>
        <v>FRBOULANGERLAPTOP17 inch LaptopOrdinateur portable 17 pouces</v>
      </c>
      <c r="B1213" s="94" t="str">
        <f t="shared" si="45"/>
        <v>FR_BOULANGER</v>
      </c>
      <c r="C1213" s="93" t="s">
        <v>251</v>
      </c>
      <c r="D1213" s="93" t="s">
        <v>252</v>
      </c>
      <c r="E1213" s="93" t="s">
        <v>171</v>
      </c>
      <c r="F1213" s="93" t="s">
        <v>2808</v>
      </c>
      <c r="G1213" s="93" t="s">
        <v>2809</v>
      </c>
      <c r="H1213" s="93" t="e">
        <v>#N/A</v>
      </c>
      <c r="I1213" s="105" t="s">
        <v>2310</v>
      </c>
      <c r="J1213" s="93" t="s">
        <v>189</v>
      </c>
      <c r="K1213" s="93">
        <v>158</v>
      </c>
      <c r="L1213" s="93" t="e">
        <v>#N/A</v>
      </c>
      <c r="M1213" s="93" t="s">
        <v>2311</v>
      </c>
      <c r="N1213" s="93">
        <f>VLOOKUP(B1213,'[16]01.수집 카테고리(List)'!$A$2:$H$64,8,FALSE)</f>
        <v>99991231</v>
      </c>
      <c r="O1213" s="93" t="s">
        <v>646</v>
      </c>
    </row>
    <row r="1214" spans="1:15" hidden="1">
      <c r="A1214" s="75" t="str">
        <f t="shared" si="44"/>
        <v>FRBOULANGERLAPTOPi7 laptopOrdinateur portable i7</v>
      </c>
      <c r="B1214" s="94" t="str">
        <f t="shared" si="45"/>
        <v>FR_BOULANGER</v>
      </c>
      <c r="C1214" s="93" t="s">
        <v>251</v>
      </c>
      <c r="D1214" s="93" t="s">
        <v>252</v>
      </c>
      <c r="E1214" s="93" t="s">
        <v>171</v>
      </c>
      <c r="F1214" s="93" t="s">
        <v>2410</v>
      </c>
      <c r="G1214" s="93" t="s">
        <v>2810</v>
      </c>
      <c r="H1214" s="93" t="e">
        <v>#N/A</v>
      </c>
      <c r="I1214" s="105" t="s">
        <v>2310</v>
      </c>
      <c r="J1214" s="93" t="s">
        <v>189</v>
      </c>
      <c r="K1214" s="93">
        <v>753</v>
      </c>
      <c r="L1214" s="93" t="e">
        <v>#N/A</v>
      </c>
      <c r="M1214" s="93" t="s">
        <v>2311</v>
      </c>
      <c r="N1214" s="93">
        <f>VLOOKUP(B1214,'[16]01.수집 카테고리(List)'!$A$2:$H$64,8,FALSE)</f>
        <v>99991231</v>
      </c>
      <c r="O1214" s="93" t="s">
        <v>646</v>
      </c>
    </row>
    <row r="1215" spans="1:15" hidden="1">
      <c r="A1215" s="75" t="str">
        <f t="shared" si="44"/>
        <v>FRBOULANGERLAPTOPLightweight LaptopOrdinateur portable léger</v>
      </c>
      <c r="B1215" s="94" t="str">
        <f t="shared" si="45"/>
        <v>FR_BOULANGER</v>
      </c>
      <c r="C1215" s="93" t="s">
        <v>251</v>
      </c>
      <c r="D1215" s="93" t="s">
        <v>252</v>
      </c>
      <c r="E1215" s="93" t="s">
        <v>171</v>
      </c>
      <c r="F1215" s="93" t="s">
        <v>2411</v>
      </c>
      <c r="G1215" s="93" t="s">
        <v>2811</v>
      </c>
      <c r="H1215" s="93" t="e">
        <v>#N/A</v>
      </c>
      <c r="I1215" s="105" t="s">
        <v>2310</v>
      </c>
      <c r="J1215" s="93" t="s">
        <v>189</v>
      </c>
      <c r="K1215" s="93">
        <v>691</v>
      </c>
      <c r="L1215" s="93" t="e">
        <v>#N/A</v>
      </c>
      <c r="M1215" s="93" t="s">
        <v>2311</v>
      </c>
      <c r="N1215" s="93">
        <f>VLOOKUP(B1215,'[16]01.수집 카테고리(List)'!$A$2:$H$64,8,FALSE)</f>
        <v>99991231</v>
      </c>
      <c r="O1215" s="93" t="s">
        <v>646</v>
      </c>
    </row>
    <row r="1216" spans="1:15" hidden="1">
      <c r="A1216" s="75" t="str">
        <f t="shared" si="44"/>
        <v>FRBOULANGERMonitorPC MonitorEcran PC</v>
      </c>
      <c r="B1216" s="94" t="str">
        <f t="shared" si="45"/>
        <v>FR_BOULANGER</v>
      </c>
      <c r="C1216" s="93" t="s">
        <v>251</v>
      </c>
      <c r="D1216" s="93" t="s">
        <v>252</v>
      </c>
      <c r="E1216" s="93" t="s">
        <v>2320</v>
      </c>
      <c r="F1216" s="93" t="s">
        <v>2812</v>
      </c>
      <c r="G1216" s="93" t="s">
        <v>2813</v>
      </c>
      <c r="H1216" s="93" t="e">
        <v>#N/A</v>
      </c>
      <c r="I1216" s="105" t="s">
        <v>2310</v>
      </c>
      <c r="J1216" s="93" t="s">
        <v>189</v>
      </c>
      <c r="K1216" s="93">
        <v>1639</v>
      </c>
      <c r="L1216" s="93" t="e">
        <v>#N/A</v>
      </c>
      <c r="M1216" s="93" t="s">
        <v>2311</v>
      </c>
      <c r="N1216" s="93">
        <f>VLOOKUP(B1216,'[16]01.수집 카테고리(List)'!$A$2:$H$64,8,FALSE)</f>
        <v>99991231</v>
      </c>
      <c r="O1216" s="93" t="s">
        <v>646</v>
      </c>
    </row>
    <row r="1217" spans="1:15" hidden="1">
      <c r="A1217" s="75" t="str">
        <f t="shared" si="44"/>
        <v>FRBOULANGERMonitoruhd monitorEcran PC 4K</v>
      </c>
      <c r="B1217" s="94" t="str">
        <f t="shared" si="45"/>
        <v>FR_BOULANGER</v>
      </c>
      <c r="C1217" s="93" t="s">
        <v>251</v>
      </c>
      <c r="D1217" s="93" t="s">
        <v>252</v>
      </c>
      <c r="E1217" s="93" t="s">
        <v>2320</v>
      </c>
      <c r="F1217" s="93" t="s">
        <v>2324</v>
      </c>
      <c r="G1217" s="93" t="s">
        <v>2814</v>
      </c>
      <c r="H1217" s="93" t="e">
        <v>#N/A</v>
      </c>
      <c r="I1217" s="105" t="s">
        <v>2310</v>
      </c>
      <c r="J1217" s="93" t="s">
        <v>189</v>
      </c>
      <c r="K1217" s="93">
        <v>58</v>
      </c>
      <c r="L1217" s="93" t="e">
        <v>#N/A</v>
      </c>
      <c r="M1217" s="93" t="s">
        <v>2311</v>
      </c>
      <c r="N1217" s="93">
        <f>VLOOKUP(B1217,'[16]01.수집 카테고리(List)'!$A$2:$H$64,8,FALSE)</f>
        <v>99991231</v>
      </c>
      <c r="O1217" s="93" t="s">
        <v>646</v>
      </c>
    </row>
    <row r="1218" spans="1:15" hidden="1">
      <c r="A1218" s="75" t="str">
        <f t="shared" si="44"/>
        <v>FRBOULANGERMonitorultrawide monitorEcran PC Ultrawide</v>
      </c>
      <c r="B1218" s="94" t="str">
        <f t="shared" si="45"/>
        <v>FR_BOULANGER</v>
      </c>
      <c r="C1218" s="93" t="s">
        <v>251</v>
      </c>
      <c r="D1218" s="93" t="s">
        <v>252</v>
      </c>
      <c r="E1218" s="93" t="s">
        <v>2320</v>
      </c>
      <c r="F1218" s="93" t="s">
        <v>2325</v>
      </c>
      <c r="G1218" s="93" t="s">
        <v>2815</v>
      </c>
      <c r="H1218" s="93" t="e">
        <v>#N/A</v>
      </c>
      <c r="I1218" s="105" t="s">
        <v>2310</v>
      </c>
      <c r="J1218" s="93" t="s">
        <v>189</v>
      </c>
      <c r="K1218" s="93">
        <v>10</v>
      </c>
      <c r="L1218" s="93" t="e">
        <v>#N/A</v>
      </c>
      <c r="M1218" s="93" t="s">
        <v>2311</v>
      </c>
      <c r="N1218" s="93">
        <f>VLOOKUP(B1218,'[16]01.수집 카테고리(List)'!$A$2:$H$64,8,FALSE)</f>
        <v>99991231</v>
      </c>
      <c r="O1218" s="93" t="s">
        <v>646</v>
      </c>
    </row>
    <row r="1219" spans="1:15" hidden="1">
      <c r="A1219" s="75" t="str">
        <f t="shared" si="44"/>
        <v>FRBOULANGERMonitormonitorMoniteur</v>
      </c>
      <c r="B1219" s="94" t="str">
        <f t="shared" si="45"/>
        <v>FR_BOULANGER</v>
      </c>
      <c r="C1219" s="93" t="s">
        <v>251</v>
      </c>
      <c r="D1219" s="93" t="s">
        <v>252</v>
      </c>
      <c r="E1219" s="93" t="s">
        <v>2320</v>
      </c>
      <c r="F1219" s="93" t="s">
        <v>2323</v>
      </c>
      <c r="G1219" s="93" t="s">
        <v>2816</v>
      </c>
      <c r="H1219" s="93" t="e">
        <v>#N/A</v>
      </c>
      <c r="I1219" s="105" t="s">
        <v>2310</v>
      </c>
      <c r="J1219" s="93" t="s">
        <v>189</v>
      </c>
      <c r="K1219" s="93">
        <v>1639</v>
      </c>
      <c r="L1219" s="93" t="e">
        <v>#N/A</v>
      </c>
      <c r="M1219" s="93" t="s">
        <v>2311</v>
      </c>
      <c r="N1219" s="93">
        <f>VLOOKUP(B1219,'[16]01.수집 카테고리(List)'!$A$2:$H$64,8,FALSE)</f>
        <v>99991231</v>
      </c>
      <c r="O1219" s="93" t="s">
        <v>646</v>
      </c>
    </row>
    <row r="1220" spans="1:15" hidden="1">
      <c r="A1220" s="75" t="str">
        <f t="shared" si="44"/>
        <v>FRBOULANGERMonitor4k monitorMoniteur 4K</v>
      </c>
      <c r="B1220" s="94" t="str">
        <f t="shared" si="45"/>
        <v>FR_BOULANGER</v>
      </c>
      <c r="C1220" s="93" t="s">
        <v>251</v>
      </c>
      <c r="D1220" s="93" t="s">
        <v>252</v>
      </c>
      <c r="E1220" s="93" t="s">
        <v>2320</v>
      </c>
      <c r="F1220" s="93" t="s">
        <v>2321</v>
      </c>
      <c r="G1220" s="93" t="s">
        <v>2817</v>
      </c>
      <c r="H1220" s="93" t="e">
        <v>#N/A</v>
      </c>
      <c r="I1220" s="105" t="s">
        <v>2310</v>
      </c>
      <c r="J1220" s="93" t="s">
        <v>189</v>
      </c>
      <c r="K1220" s="93">
        <v>52</v>
      </c>
      <c r="L1220" s="93" t="e">
        <v>#N/A</v>
      </c>
      <c r="M1220" s="93" t="s">
        <v>2311</v>
      </c>
      <c r="N1220" s="93">
        <f>VLOOKUP(B1220,'[16]01.수집 카테고리(List)'!$A$2:$H$64,8,FALSE)</f>
        <v>99991231</v>
      </c>
      <c r="O1220" s="93" t="s">
        <v>646</v>
      </c>
    </row>
    <row r="1221" spans="1:15" hidden="1">
      <c r="A1221" s="75" t="str">
        <f t="shared" si="44"/>
        <v>FRBOULANGERMonitorgaming monitorMoniteur Gaming</v>
      </c>
      <c r="B1221" s="94" t="str">
        <f t="shared" si="45"/>
        <v>FR_BOULANGER</v>
      </c>
      <c r="C1221" s="93" t="s">
        <v>251</v>
      </c>
      <c r="D1221" s="93" t="s">
        <v>252</v>
      </c>
      <c r="E1221" s="93" t="s">
        <v>2320</v>
      </c>
      <c r="F1221" s="93" t="s">
        <v>2322</v>
      </c>
      <c r="G1221" s="93" t="s">
        <v>2818</v>
      </c>
      <c r="H1221" s="93" t="e">
        <v>#N/A</v>
      </c>
      <c r="I1221" s="105" t="s">
        <v>2310</v>
      </c>
      <c r="J1221" s="93" t="s">
        <v>189</v>
      </c>
      <c r="K1221" s="93">
        <v>186</v>
      </c>
      <c r="L1221" s="93" t="e">
        <v>#N/A</v>
      </c>
      <c r="M1221" s="93" t="s">
        <v>2311</v>
      </c>
      <c r="N1221" s="93">
        <f>VLOOKUP(B1221,'[16]01.수집 카테고리(List)'!$A$2:$H$64,8,FALSE)</f>
        <v>99991231</v>
      </c>
      <c r="O1221" s="93" t="s">
        <v>646</v>
      </c>
    </row>
    <row r="1222" spans="1:15" hidden="1">
      <c r="A1222" s="75" t="str">
        <f t="shared" si="44"/>
        <v>FRBOULANGEROVENSlide-in RangeCuisinière encastrable</v>
      </c>
      <c r="B1222" s="94" t="str">
        <f t="shared" si="45"/>
        <v>FR_BOULANGER</v>
      </c>
      <c r="C1222" s="93" t="s">
        <v>251</v>
      </c>
      <c r="D1222" s="93" t="s">
        <v>252</v>
      </c>
      <c r="E1222" s="93" t="s">
        <v>173</v>
      </c>
      <c r="F1222" s="93" t="s">
        <v>2676</v>
      </c>
      <c r="G1222" s="93" t="s">
        <v>2819</v>
      </c>
      <c r="H1222" s="93" t="e">
        <v>#N/A</v>
      </c>
      <c r="I1222" s="105" t="s">
        <v>2310</v>
      </c>
      <c r="J1222" s="93" t="s">
        <v>189</v>
      </c>
      <c r="K1222" s="93">
        <v>21</v>
      </c>
      <c r="L1222" s="93" t="e">
        <v>#N/A</v>
      </c>
      <c r="M1222" s="93" t="s">
        <v>2311</v>
      </c>
      <c r="N1222" s="93">
        <f>VLOOKUP(B1222,'[16]01.수집 카테고리(List)'!$A$2:$H$64,8,FALSE)</f>
        <v>99991231</v>
      </c>
      <c r="O1222" s="93" t="s">
        <v>646</v>
      </c>
    </row>
    <row r="1223" spans="1:15" hidden="1">
      <c r="A1223" s="75" t="str">
        <f t="shared" ref="A1223:A1284" si="48">C1223&amp;D1223&amp;E1223&amp;F1223&amp;G1223</f>
        <v>FRBOULANGEROVENWall OvenFour mural</v>
      </c>
      <c r="B1223" s="94" t="str">
        <f t="shared" ref="B1223:B1284" si="49">C1223&amp;"_"&amp;D1223</f>
        <v>FR_BOULANGER</v>
      </c>
      <c r="C1223" s="93" t="s">
        <v>251</v>
      </c>
      <c r="D1223" s="93" t="s">
        <v>252</v>
      </c>
      <c r="E1223" s="93" t="s">
        <v>173</v>
      </c>
      <c r="F1223" s="93" t="s">
        <v>2544</v>
      </c>
      <c r="G1223" s="93" t="s">
        <v>2820</v>
      </c>
      <c r="H1223" s="93" t="e">
        <v>#N/A</v>
      </c>
      <c r="I1223" s="105" t="s">
        <v>2310</v>
      </c>
      <c r="J1223" s="93" t="s">
        <v>189</v>
      </c>
      <c r="K1223" s="93">
        <v>1792</v>
      </c>
      <c r="L1223" s="93" t="e">
        <v>#N/A</v>
      </c>
      <c r="M1223" s="93" t="s">
        <v>2311</v>
      </c>
      <c r="N1223" s="93">
        <f>VLOOKUP(B1223,'[16]01.수집 카테고리(List)'!$A$2:$H$64,8,FALSE)</f>
        <v>99991231</v>
      </c>
      <c r="O1223" s="93" t="s">
        <v>646</v>
      </c>
    </row>
    <row r="1224" spans="1:15" hidden="1">
      <c r="A1224" s="75" t="str">
        <f t="shared" si="48"/>
        <v>FRBOULANGEROVENFreestanding OvenFour pose libre</v>
      </c>
      <c r="B1224" s="94" t="str">
        <f t="shared" si="49"/>
        <v>FR_BOULANGER</v>
      </c>
      <c r="C1224" s="93" t="s">
        <v>251</v>
      </c>
      <c r="D1224" s="93" t="s">
        <v>252</v>
      </c>
      <c r="E1224" s="93" t="s">
        <v>173</v>
      </c>
      <c r="F1224" s="93" t="s">
        <v>2678</v>
      </c>
      <c r="G1224" s="93" t="s">
        <v>2821</v>
      </c>
      <c r="H1224" s="93" t="e">
        <v>#N/A</v>
      </c>
      <c r="I1224" s="105" t="s">
        <v>2310</v>
      </c>
      <c r="J1224" s="93" t="s">
        <v>189</v>
      </c>
      <c r="K1224" s="93">
        <v>7</v>
      </c>
      <c r="L1224" s="93" t="e">
        <v>#N/A</v>
      </c>
      <c r="M1224" s="93" t="s">
        <v>2311</v>
      </c>
      <c r="N1224" s="93">
        <f>VLOOKUP(B1224,'[16]01.수집 카테고리(List)'!$A$2:$H$64,8,FALSE)</f>
        <v>99991231</v>
      </c>
      <c r="O1224" s="93" t="s">
        <v>646</v>
      </c>
    </row>
    <row r="1225" spans="1:15" hidden="1">
      <c r="A1225" s="75" t="str">
        <f t="shared" si="48"/>
        <v>FRBOULANGEROVENCooktopTable de cuisson</v>
      </c>
      <c r="B1225" s="94" t="str">
        <f t="shared" si="49"/>
        <v>FR_BOULANGER</v>
      </c>
      <c r="C1225" s="93" t="s">
        <v>251</v>
      </c>
      <c r="D1225" s="93" t="s">
        <v>252</v>
      </c>
      <c r="E1225" s="93" t="s">
        <v>173</v>
      </c>
      <c r="F1225" s="93" t="s">
        <v>2541</v>
      </c>
      <c r="G1225" s="93" t="s">
        <v>2822</v>
      </c>
      <c r="H1225" s="93" t="e">
        <v>#N/A</v>
      </c>
      <c r="I1225" s="105" t="s">
        <v>2310</v>
      </c>
      <c r="J1225" s="93" t="s">
        <v>189</v>
      </c>
      <c r="K1225" s="93">
        <v>62</v>
      </c>
      <c r="L1225" s="93" t="e">
        <v>#N/A</v>
      </c>
      <c r="M1225" s="93" t="s">
        <v>2311</v>
      </c>
      <c r="N1225" s="93">
        <f>VLOOKUP(B1225,'[16]01.수집 카테고리(List)'!$A$2:$H$64,8,FALSE)</f>
        <v>99991231</v>
      </c>
      <c r="O1225" s="93" t="s">
        <v>646</v>
      </c>
    </row>
    <row r="1226" spans="1:15" hidden="1">
      <c r="A1226" s="75" t="str">
        <f t="shared" si="48"/>
        <v>FRBOULANGERRefrigeratorfrench door refrigeratorRéfrigéraeur multi-portes</v>
      </c>
      <c r="B1226" s="94" t="str">
        <f t="shared" si="49"/>
        <v>FR_BOULANGER</v>
      </c>
      <c r="C1226" s="93" t="s">
        <v>251</v>
      </c>
      <c r="D1226" s="93" t="s">
        <v>252</v>
      </c>
      <c r="E1226" s="93" t="s">
        <v>2326</v>
      </c>
      <c r="F1226" s="93" t="s">
        <v>2328</v>
      </c>
      <c r="G1226" s="93" t="s">
        <v>2823</v>
      </c>
      <c r="H1226" s="93" t="e">
        <v>#N/A</v>
      </c>
      <c r="I1226" s="105" t="s">
        <v>2310</v>
      </c>
      <c r="J1226" s="93" t="s">
        <v>189</v>
      </c>
      <c r="K1226" s="93">
        <v>164</v>
      </c>
      <c r="L1226" s="93" t="e">
        <v>#N/A</v>
      </c>
      <c r="M1226" s="93" t="s">
        <v>2311</v>
      </c>
      <c r="N1226" s="93">
        <f>VLOOKUP(B1226,'[16]01.수집 카테고리(List)'!$A$2:$H$64,8,FALSE)</f>
        <v>99991231</v>
      </c>
      <c r="O1226" s="93" t="s">
        <v>646</v>
      </c>
    </row>
    <row r="1227" spans="1:15" hidden="1">
      <c r="A1227" s="75" t="str">
        <f t="shared" si="48"/>
        <v>FRBOULANGERRefrigeratorrefrigeratorRéfrigérateur</v>
      </c>
      <c r="B1227" s="94" t="str">
        <f t="shared" si="49"/>
        <v>FR_BOULANGER</v>
      </c>
      <c r="C1227" s="93" t="s">
        <v>251</v>
      </c>
      <c r="D1227" s="93" t="s">
        <v>252</v>
      </c>
      <c r="E1227" s="93" t="s">
        <v>2326</v>
      </c>
      <c r="F1227" s="93" t="s">
        <v>2329</v>
      </c>
      <c r="G1227" s="93" t="s">
        <v>2824</v>
      </c>
      <c r="H1227" s="93" t="e">
        <v>#N/A</v>
      </c>
      <c r="I1227" s="105" t="s">
        <v>2310</v>
      </c>
      <c r="J1227" s="93" t="s">
        <v>189</v>
      </c>
      <c r="K1227" s="93">
        <v>717</v>
      </c>
      <c r="L1227" s="93" t="e">
        <v>#N/A</v>
      </c>
      <c r="M1227" s="93" t="s">
        <v>2311</v>
      </c>
      <c r="N1227" s="93">
        <f>VLOOKUP(B1227,'[16]01.수집 카테고리(List)'!$A$2:$H$64,8,FALSE)</f>
        <v>99991231</v>
      </c>
      <c r="O1227" s="93" t="s">
        <v>646</v>
      </c>
    </row>
    <row r="1228" spans="1:15" hidden="1">
      <c r="A1228" s="75" t="str">
        <f t="shared" si="48"/>
        <v>FRBOULANGERRefrigeratorside by side refrigeratorRéfrigérateur américain</v>
      </c>
      <c r="B1228" s="94" t="str">
        <f t="shared" si="49"/>
        <v>FR_BOULANGER</v>
      </c>
      <c r="C1228" s="93" t="s">
        <v>251</v>
      </c>
      <c r="D1228" s="93" t="s">
        <v>252</v>
      </c>
      <c r="E1228" s="93" t="s">
        <v>2326</v>
      </c>
      <c r="F1228" s="93" t="s">
        <v>2330</v>
      </c>
      <c r="G1228" s="93" t="s">
        <v>2825</v>
      </c>
      <c r="H1228" s="93" t="e">
        <v>#N/A</v>
      </c>
      <c r="I1228" s="105" t="s">
        <v>2310</v>
      </c>
      <c r="J1228" s="93" t="s">
        <v>189</v>
      </c>
      <c r="K1228" s="93">
        <v>86</v>
      </c>
      <c r="L1228" s="93" t="e">
        <v>#N/A</v>
      </c>
      <c r="M1228" s="93" t="s">
        <v>2311</v>
      </c>
      <c r="N1228" s="93">
        <f>VLOOKUP(B1228,'[16]01.수집 카테고리(List)'!$A$2:$H$64,8,FALSE)</f>
        <v>99991231</v>
      </c>
      <c r="O1228" s="93" t="s">
        <v>646</v>
      </c>
    </row>
    <row r="1229" spans="1:15" hidden="1">
      <c r="A1229" s="75" t="str">
        <f t="shared" si="48"/>
        <v>FRBOULANGERRefrigeratorbottom freezer refrigeratorRéfrigérateur combiné</v>
      </c>
      <c r="B1229" s="94" t="str">
        <f t="shared" si="49"/>
        <v>FR_BOULANGER</v>
      </c>
      <c r="C1229" s="93" t="s">
        <v>251</v>
      </c>
      <c r="D1229" s="93" t="s">
        <v>252</v>
      </c>
      <c r="E1229" s="93" t="s">
        <v>2326</v>
      </c>
      <c r="F1229" s="93" t="s">
        <v>2327</v>
      </c>
      <c r="G1229" s="93" t="s">
        <v>2826</v>
      </c>
      <c r="H1229" s="93" t="e">
        <v>#N/A</v>
      </c>
      <c r="I1229" s="105" t="s">
        <v>2310</v>
      </c>
      <c r="J1229" s="93" t="s">
        <v>189</v>
      </c>
      <c r="K1229" s="93">
        <v>39</v>
      </c>
      <c r="L1229" s="93" t="e">
        <v>#N/A</v>
      </c>
      <c r="M1229" s="93" t="s">
        <v>2311</v>
      </c>
      <c r="N1229" s="93">
        <f>VLOOKUP(B1229,'[16]01.수집 카테고리(List)'!$A$2:$H$64,8,FALSE)</f>
        <v>99991231</v>
      </c>
      <c r="O1229" s="93" t="s">
        <v>646</v>
      </c>
    </row>
    <row r="1230" spans="1:15" hidden="1">
      <c r="A1230" s="75" t="str">
        <f t="shared" si="48"/>
        <v>FRBOULANGERRefrigeratorfreezer refrigeratorRéfrigérateur congélateur</v>
      </c>
      <c r="B1230" s="94" t="str">
        <f t="shared" si="49"/>
        <v>FR_BOULANGER</v>
      </c>
      <c r="C1230" s="93" t="s">
        <v>251</v>
      </c>
      <c r="D1230" s="93" t="s">
        <v>252</v>
      </c>
      <c r="E1230" s="93" t="s">
        <v>2326</v>
      </c>
      <c r="F1230" s="93" t="s">
        <v>2827</v>
      </c>
      <c r="G1230" s="93" t="s">
        <v>2828</v>
      </c>
      <c r="H1230" s="93" t="e">
        <v>#N/A</v>
      </c>
      <c r="I1230" s="105" t="s">
        <v>2310</v>
      </c>
      <c r="J1230" s="93" t="s">
        <v>189</v>
      </c>
      <c r="K1230" s="93">
        <v>264</v>
      </c>
      <c r="L1230" s="93" t="e">
        <v>#N/A</v>
      </c>
      <c r="M1230" s="93" t="s">
        <v>2311</v>
      </c>
      <c r="N1230" s="93">
        <f>VLOOKUP(B1230,'[16]01.수집 카테고리(List)'!$A$2:$H$64,8,FALSE)</f>
        <v>99991231</v>
      </c>
      <c r="O1230" s="93" t="s">
        <v>646</v>
      </c>
    </row>
    <row r="1231" spans="1:15" hidden="1">
      <c r="A1231" s="75" t="str">
        <f t="shared" si="48"/>
        <v>FRBOULANGERSOUNDBARSoundbarBarre de son</v>
      </c>
      <c r="B1231" s="94" t="str">
        <f t="shared" si="49"/>
        <v>FR_BOULANGER</v>
      </c>
      <c r="C1231" s="93" t="s">
        <v>251</v>
      </c>
      <c r="D1231" s="93" t="s">
        <v>252</v>
      </c>
      <c r="E1231" s="93" t="s">
        <v>165</v>
      </c>
      <c r="F1231" s="93" t="s">
        <v>2363</v>
      </c>
      <c r="G1231" s="93" t="s">
        <v>2829</v>
      </c>
      <c r="H1231" s="93" t="e">
        <v>#N/A</v>
      </c>
      <c r="I1231" s="105" t="s">
        <v>2310</v>
      </c>
      <c r="J1231" s="93" t="s">
        <v>189</v>
      </c>
      <c r="K1231" s="93">
        <v>332</v>
      </c>
      <c r="L1231" s="93" t="e">
        <v>#N/A</v>
      </c>
      <c r="M1231" s="93" t="s">
        <v>2311</v>
      </c>
      <c r="N1231" s="93">
        <f>VLOOKUP(B1231,'[16]01.수집 카테고리(List)'!$A$2:$H$64,8,FALSE)</f>
        <v>99991231</v>
      </c>
      <c r="O1231" s="93" t="s">
        <v>646</v>
      </c>
    </row>
    <row r="1232" spans="1:15" hidden="1">
      <c r="A1232" s="75" t="str">
        <f t="shared" si="48"/>
        <v>FRBOULANGERSoundbarbluetooth soundbarbarre de son bluetooth</v>
      </c>
      <c r="B1232" s="94" t="str">
        <f t="shared" si="49"/>
        <v>FR_BOULANGER</v>
      </c>
      <c r="C1232" s="93" t="s">
        <v>251</v>
      </c>
      <c r="D1232" s="93" t="s">
        <v>252</v>
      </c>
      <c r="E1232" s="93" t="s">
        <v>2363</v>
      </c>
      <c r="F1232" s="93" t="s">
        <v>2830</v>
      </c>
      <c r="G1232" s="93" t="s">
        <v>2831</v>
      </c>
      <c r="H1232" s="93" t="e">
        <v>#N/A</v>
      </c>
      <c r="I1232" s="105" t="s">
        <v>2310</v>
      </c>
      <c r="J1232" s="93" t="s">
        <v>189</v>
      </c>
      <c r="K1232" s="93">
        <v>49</v>
      </c>
      <c r="L1232" s="93" t="e">
        <v>#N/A</v>
      </c>
      <c r="M1232" s="93" t="s">
        <v>2311</v>
      </c>
      <c r="N1232" s="93">
        <f>VLOOKUP(B1232,'[16]01.수집 카테고리(List)'!$A$2:$H$64,8,FALSE)</f>
        <v>99991231</v>
      </c>
      <c r="O1232" s="93" t="s">
        <v>646</v>
      </c>
    </row>
    <row r="1233" spans="1:15" hidden="1">
      <c r="A1233" s="75" t="str">
        <f t="shared" si="48"/>
        <v>FRBOULANGERSOUNDBARsoundbar for tvbarre de son pour tv</v>
      </c>
      <c r="B1233" s="94" t="str">
        <f t="shared" si="49"/>
        <v>FR_BOULANGER</v>
      </c>
      <c r="C1233" s="93" t="s">
        <v>251</v>
      </c>
      <c r="D1233" s="93" t="s">
        <v>252</v>
      </c>
      <c r="E1233" s="93" t="s">
        <v>165</v>
      </c>
      <c r="F1233" s="93" t="s">
        <v>2573</v>
      </c>
      <c r="G1233" s="93" t="s">
        <v>2832</v>
      </c>
      <c r="H1233" s="93" t="e">
        <v>#N/A</v>
      </c>
      <c r="I1233" s="105" t="s">
        <v>2310</v>
      </c>
      <c r="J1233" s="93" t="s">
        <v>189</v>
      </c>
      <c r="K1233" s="93">
        <v>336</v>
      </c>
      <c r="L1233" s="93" t="e">
        <v>#N/A</v>
      </c>
      <c r="M1233" s="93" t="s">
        <v>2311</v>
      </c>
      <c r="N1233" s="93">
        <f>VLOOKUP(B1233,'[16]01.수집 카테고리(List)'!$A$2:$H$64,8,FALSE)</f>
        <v>99991231</v>
      </c>
      <c r="O1233" s="93" t="s">
        <v>646</v>
      </c>
    </row>
    <row r="1234" spans="1:15" hidden="1">
      <c r="A1234" s="75" t="str">
        <f t="shared" si="48"/>
        <v>FRBOULANGERSoundbartv sound barbarre de son tv</v>
      </c>
      <c r="B1234" s="94" t="str">
        <f t="shared" si="49"/>
        <v>FR_BOULANGER</v>
      </c>
      <c r="C1234" s="93" t="s">
        <v>251</v>
      </c>
      <c r="D1234" s="93" t="s">
        <v>252</v>
      </c>
      <c r="E1234" s="93" t="s">
        <v>2363</v>
      </c>
      <c r="F1234" s="93" t="s">
        <v>2833</v>
      </c>
      <c r="G1234" s="93" t="s">
        <v>2834</v>
      </c>
      <c r="H1234" s="93" t="e">
        <v>#N/A</v>
      </c>
      <c r="I1234" s="105" t="s">
        <v>2310</v>
      </c>
      <c r="J1234" s="93" t="s">
        <v>189</v>
      </c>
      <c r="K1234" s="93">
        <v>65</v>
      </c>
      <c r="L1234" s="93" t="e">
        <v>#N/A</v>
      </c>
      <c r="M1234" s="93" t="s">
        <v>2311</v>
      </c>
      <c r="N1234" s="93">
        <f>VLOOKUP(B1234,'[16]01.수집 카테고리(List)'!$A$2:$H$64,8,FALSE)</f>
        <v>99991231</v>
      </c>
      <c r="O1234" s="93" t="s">
        <v>646</v>
      </c>
    </row>
    <row r="1235" spans="1:15" hidden="1">
      <c r="A1235" s="75" t="str">
        <f t="shared" si="48"/>
        <v>FRBOULANGERTVSmart TVsmart TV</v>
      </c>
      <c r="B1235" s="94" t="str">
        <f t="shared" si="49"/>
        <v>FR_BOULANGER</v>
      </c>
      <c r="C1235" s="93" t="s">
        <v>251</v>
      </c>
      <c r="D1235" s="93" t="s">
        <v>252</v>
      </c>
      <c r="E1235" s="93" t="s">
        <v>161</v>
      </c>
      <c r="F1235" s="93" t="s">
        <v>2835</v>
      </c>
      <c r="G1235" s="93" t="s">
        <v>2371</v>
      </c>
      <c r="H1235" s="93" t="e">
        <v>#N/A</v>
      </c>
      <c r="I1235" s="105" t="s">
        <v>2310</v>
      </c>
      <c r="J1235" s="93" t="s">
        <v>189</v>
      </c>
      <c r="K1235" s="93">
        <v>474</v>
      </c>
      <c r="L1235" s="93">
        <v>474</v>
      </c>
      <c r="M1235" s="93" t="s">
        <v>2311</v>
      </c>
      <c r="N1235" s="93">
        <f>VLOOKUP(B1235,'[16]01.수집 카테고리(List)'!$A$2:$H$64,8,FALSE)</f>
        <v>99991231</v>
      </c>
      <c r="O1235" s="93" t="s">
        <v>646</v>
      </c>
    </row>
    <row r="1236" spans="1:15" hidden="1">
      <c r="A1236" s="75" t="str">
        <f t="shared" si="48"/>
        <v>FRBOULANGERTVTVTV</v>
      </c>
      <c r="B1236" s="94" t="str">
        <f t="shared" si="49"/>
        <v>FR_BOULANGER</v>
      </c>
      <c r="C1236" s="93" t="s">
        <v>251</v>
      </c>
      <c r="D1236" s="93" t="s">
        <v>252</v>
      </c>
      <c r="E1236" s="93" t="s">
        <v>161</v>
      </c>
      <c r="F1236" s="93" t="s">
        <v>161</v>
      </c>
      <c r="G1236" s="93" t="s">
        <v>161</v>
      </c>
      <c r="H1236" s="93" t="e">
        <v>#N/A</v>
      </c>
      <c r="I1236" s="105" t="s">
        <v>2310</v>
      </c>
      <c r="J1236" s="93" t="s">
        <v>189</v>
      </c>
      <c r="K1236" s="93">
        <v>837</v>
      </c>
      <c r="L1236" s="93">
        <v>837</v>
      </c>
      <c r="M1236" s="93" t="s">
        <v>2311</v>
      </c>
      <c r="N1236" s="93">
        <f>VLOOKUP(B1236,'[16]01.수집 카테고리(List)'!$A$2:$H$64,8,FALSE)</f>
        <v>99991231</v>
      </c>
      <c r="O1236" s="93" t="s">
        <v>646</v>
      </c>
    </row>
    <row r="1237" spans="1:15" hidden="1">
      <c r="A1237" s="75" t="str">
        <f t="shared" si="48"/>
        <v>FRBOULANGERTV4k TVTV 4K</v>
      </c>
      <c r="B1237" s="94" t="str">
        <f t="shared" si="49"/>
        <v>FR_BOULANGER</v>
      </c>
      <c r="C1237" s="93" t="s">
        <v>251</v>
      </c>
      <c r="D1237" s="93" t="s">
        <v>252</v>
      </c>
      <c r="E1237" s="93" t="s">
        <v>161</v>
      </c>
      <c r="F1237" s="93" t="s">
        <v>2368</v>
      </c>
      <c r="G1237" s="93" t="s">
        <v>2508</v>
      </c>
      <c r="H1237" s="93" t="e">
        <v>#N/A</v>
      </c>
      <c r="I1237" s="105" t="s">
        <v>2310</v>
      </c>
      <c r="J1237" s="93" t="s">
        <v>189</v>
      </c>
      <c r="K1237" s="93">
        <v>668</v>
      </c>
      <c r="L1237" s="93" t="e">
        <v>#N/A</v>
      </c>
      <c r="M1237" s="93" t="s">
        <v>2311</v>
      </c>
      <c r="N1237" s="93">
        <f>VLOOKUP(B1237,'[16]01.수집 카테고리(List)'!$A$2:$H$64,8,FALSE)</f>
        <v>99991231</v>
      </c>
      <c r="O1237" s="93" t="s">
        <v>646</v>
      </c>
    </row>
    <row r="1238" spans="1:15" hidden="1">
      <c r="A1238" s="75" t="str">
        <f t="shared" si="48"/>
        <v>FRBOULANGERTV8K TVTV 8K</v>
      </c>
      <c r="B1238" s="94" t="str">
        <f t="shared" si="49"/>
        <v>FR_BOULANGER</v>
      </c>
      <c r="C1238" s="93" t="s">
        <v>251</v>
      </c>
      <c r="D1238" s="93" t="s">
        <v>252</v>
      </c>
      <c r="E1238" s="93" t="s">
        <v>161</v>
      </c>
      <c r="F1238" s="93" t="s">
        <v>2836</v>
      </c>
      <c r="G1238" s="93" t="s">
        <v>2837</v>
      </c>
      <c r="H1238" s="93" t="e">
        <v>#N/A</v>
      </c>
      <c r="I1238" s="105" t="s">
        <v>2310</v>
      </c>
      <c r="J1238" s="93" t="s">
        <v>189</v>
      </c>
      <c r="K1238" s="93">
        <v>10</v>
      </c>
      <c r="L1238" s="93" t="e">
        <v>#N/A</v>
      </c>
      <c r="M1238" s="93" t="s">
        <v>2311</v>
      </c>
      <c r="N1238" s="93">
        <f>VLOOKUP(B1238,'[16]01.수집 카테고리(List)'!$A$2:$H$64,8,FALSE)</f>
        <v>99991231</v>
      </c>
      <c r="O1238" s="93" t="s">
        <v>646</v>
      </c>
    </row>
    <row r="1239" spans="1:15" hidden="1">
      <c r="A1239" s="75" t="str">
        <f t="shared" si="48"/>
        <v>FRBOULANGERTVLED TVTV LED</v>
      </c>
      <c r="B1239" s="94" t="str">
        <f t="shared" si="49"/>
        <v>FR_BOULANGER</v>
      </c>
      <c r="C1239" s="93" t="s">
        <v>251</v>
      </c>
      <c r="D1239" s="93" t="s">
        <v>252</v>
      </c>
      <c r="E1239" s="93" t="s">
        <v>161</v>
      </c>
      <c r="F1239" s="93" t="s">
        <v>2838</v>
      </c>
      <c r="G1239" s="93" t="s">
        <v>2839</v>
      </c>
      <c r="H1239" s="93" t="e">
        <v>#N/A</v>
      </c>
      <c r="I1239" s="105" t="s">
        <v>2310</v>
      </c>
      <c r="J1239" s="93" t="s">
        <v>189</v>
      </c>
      <c r="K1239" s="93">
        <v>399</v>
      </c>
      <c r="L1239" s="93" t="e">
        <v>#N/A</v>
      </c>
      <c r="M1239" s="93" t="s">
        <v>2311</v>
      </c>
      <c r="N1239" s="93">
        <f>VLOOKUP(B1239,'[16]01.수집 카테고리(List)'!$A$2:$H$64,8,FALSE)</f>
        <v>99991231</v>
      </c>
      <c r="O1239" s="93" t="s">
        <v>646</v>
      </c>
    </row>
    <row r="1240" spans="1:15" hidden="1">
      <c r="A1240" s="75" t="str">
        <f t="shared" si="48"/>
        <v>FRBOULANGERTVoled TVTV OLED</v>
      </c>
      <c r="B1240" s="94" t="str">
        <f t="shared" si="49"/>
        <v>FR_BOULANGER</v>
      </c>
      <c r="C1240" s="93" t="s">
        <v>251</v>
      </c>
      <c r="D1240" s="93" t="s">
        <v>252</v>
      </c>
      <c r="E1240" s="93" t="s">
        <v>161</v>
      </c>
      <c r="F1240" s="93" t="s">
        <v>2369</v>
      </c>
      <c r="G1240" s="93" t="s">
        <v>2840</v>
      </c>
      <c r="H1240" s="93" t="e">
        <v>#N/A</v>
      </c>
      <c r="I1240" s="105" t="s">
        <v>2310</v>
      </c>
      <c r="J1240" s="93" t="s">
        <v>189</v>
      </c>
      <c r="K1240" s="93">
        <v>61</v>
      </c>
      <c r="L1240" s="93" t="e">
        <v>#N/A</v>
      </c>
      <c r="M1240" s="93" t="s">
        <v>2311</v>
      </c>
      <c r="N1240" s="93">
        <f>VLOOKUP(B1240,'[16]01.수집 카테고리(List)'!$A$2:$H$64,8,FALSE)</f>
        <v>99991231</v>
      </c>
      <c r="O1240" s="93" t="s">
        <v>646</v>
      </c>
    </row>
    <row r="1241" spans="1:15" hidden="1">
      <c r="A1241" s="75" t="str">
        <f t="shared" si="48"/>
        <v>FRBOULANGERTVuhd TVTV UHD</v>
      </c>
      <c r="B1241" s="94" t="str">
        <f t="shared" si="49"/>
        <v>FR_BOULANGER</v>
      </c>
      <c r="C1241" s="93" t="s">
        <v>251</v>
      </c>
      <c r="D1241" s="93" t="s">
        <v>252</v>
      </c>
      <c r="E1241" s="93" t="s">
        <v>161</v>
      </c>
      <c r="F1241" s="93" t="s">
        <v>2399</v>
      </c>
      <c r="G1241" s="93" t="s">
        <v>2841</v>
      </c>
      <c r="H1241" s="93" t="e">
        <v>#N/A</v>
      </c>
      <c r="I1241" s="105" t="s">
        <v>2310</v>
      </c>
      <c r="J1241" s="93" t="s">
        <v>189</v>
      </c>
      <c r="K1241" s="93">
        <v>1041</v>
      </c>
      <c r="L1241" s="93" t="e">
        <v>#N/A</v>
      </c>
      <c r="M1241" s="93" t="s">
        <v>2311</v>
      </c>
      <c r="N1241" s="93">
        <f>VLOOKUP(B1241,'[16]01.수집 카테고리(List)'!$A$2:$H$64,8,FALSE)</f>
        <v>99991231</v>
      </c>
      <c r="O1241" s="93" t="s">
        <v>646</v>
      </c>
    </row>
    <row r="1242" spans="1:15" hidden="1">
      <c r="A1242" s="75" t="str">
        <f t="shared" si="48"/>
        <v>FRBOULANGERWashing Machinewashing machinelave-linge</v>
      </c>
      <c r="B1242" s="94" t="str">
        <f t="shared" si="49"/>
        <v>FR_BOULANGER</v>
      </c>
      <c r="C1242" s="93" t="s">
        <v>251</v>
      </c>
      <c r="D1242" s="93" t="s">
        <v>252</v>
      </c>
      <c r="E1242" s="93" t="s">
        <v>2333</v>
      </c>
      <c r="F1242" s="93" t="s">
        <v>2340</v>
      </c>
      <c r="G1242" s="93" t="s">
        <v>2842</v>
      </c>
      <c r="H1242" s="93" t="e">
        <v>#N/A</v>
      </c>
      <c r="I1242" s="105" t="s">
        <v>2310</v>
      </c>
      <c r="J1242" s="93" t="s">
        <v>189</v>
      </c>
      <c r="K1242" s="93">
        <v>432</v>
      </c>
      <c r="L1242" s="93" t="e">
        <v>#N/A</v>
      </c>
      <c r="M1242" s="93" t="s">
        <v>2311</v>
      </c>
      <c r="N1242" s="93">
        <f>VLOOKUP(B1242,'[16]01.수집 카테고리(List)'!$A$2:$H$64,8,FALSE)</f>
        <v>99991231</v>
      </c>
      <c r="O1242" s="93" t="s">
        <v>646</v>
      </c>
    </row>
    <row r="1243" spans="1:15" hidden="1">
      <c r="A1243" s="75" t="str">
        <f t="shared" si="48"/>
        <v>FRBOULANGERWashing Machinefront loaderLave-linge hublot</v>
      </c>
      <c r="B1243" s="94" t="str">
        <f t="shared" si="49"/>
        <v>FR_BOULANGER</v>
      </c>
      <c r="C1243" s="93" t="s">
        <v>251</v>
      </c>
      <c r="D1243" s="93" t="s">
        <v>252</v>
      </c>
      <c r="E1243" s="93" t="s">
        <v>2333</v>
      </c>
      <c r="F1243" s="93" t="s">
        <v>2334</v>
      </c>
      <c r="G1243" s="93" t="s">
        <v>2843</v>
      </c>
      <c r="H1243" s="93" t="e">
        <v>#N/A</v>
      </c>
      <c r="I1243" s="105" t="s">
        <v>2310</v>
      </c>
      <c r="J1243" s="93" t="s">
        <v>189</v>
      </c>
      <c r="K1243" s="93">
        <v>199</v>
      </c>
      <c r="L1243" s="93" t="e">
        <v>#N/A</v>
      </c>
      <c r="M1243" s="93" t="s">
        <v>2311</v>
      </c>
      <c r="N1243" s="93">
        <f>VLOOKUP(B1243,'[16]01.수집 카테고리(List)'!$A$2:$H$64,8,FALSE)</f>
        <v>99991231</v>
      </c>
      <c r="O1243" s="93" t="s">
        <v>646</v>
      </c>
    </row>
    <row r="1244" spans="1:15" hidden="1">
      <c r="A1244" s="75" t="str">
        <f t="shared" si="48"/>
        <v>FRBOULANGERWashing Machinewasher dryer comboLave-linge séchant</v>
      </c>
      <c r="B1244" s="94" t="str">
        <f t="shared" si="49"/>
        <v>FR_BOULANGER</v>
      </c>
      <c r="C1244" s="93" t="s">
        <v>251</v>
      </c>
      <c r="D1244" s="93" t="s">
        <v>252</v>
      </c>
      <c r="E1244" s="93" t="s">
        <v>2333</v>
      </c>
      <c r="F1244" s="93" t="s">
        <v>2338</v>
      </c>
      <c r="G1244" s="93" t="s">
        <v>2844</v>
      </c>
      <c r="H1244" s="93" t="e">
        <v>#N/A</v>
      </c>
      <c r="I1244" s="105" t="s">
        <v>2310</v>
      </c>
      <c r="J1244" s="93" t="s">
        <v>189</v>
      </c>
      <c r="K1244" s="93">
        <v>59</v>
      </c>
      <c r="L1244" s="93" t="e">
        <v>#N/A</v>
      </c>
      <c r="M1244" s="93" t="s">
        <v>2311</v>
      </c>
      <c r="N1244" s="93">
        <f>VLOOKUP(B1244,'[16]01.수집 카테고리(List)'!$A$2:$H$64,8,FALSE)</f>
        <v>99991231</v>
      </c>
      <c r="O1244" s="93" t="s">
        <v>646</v>
      </c>
    </row>
    <row r="1245" spans="1:15" hidden="1">
      <c r="A1245" s="75" t="str">
        <f t="shared" si="48"/>
        <v>FRBOULANGERWireless HeadsetEarbudsécouteurs</v>
      </c>
      <c r="B1245" s="94" t="str">
        <f t="shared" si="49"/>
        <v>FR_BOULANGER</v>
      </c>
      <c r="C1245" s="93" t="s">
        <v>251</v>
      </c>
      <c r="D1245" s="93" t="s">
        <v>252</v>
      </c>
      <c r="E1245" s="93" t="s">
        <v>2373</v>
      </c>
      <c r="F1245" s="93" t="s">
        <v>2534</v>
      </c>
      <c r="G1245" s="93" t="s">
        <v>2845</v>
      </c>
      <c r="H1245" s="93" t="e">
        <v>#N/A</v>
      </c>
      <c r="I1245" s="105" t="s">
        <v>2310</v>
      </c>
      <c r="J1245" s="93" t="s">
        <v>189</v>
      </c>
      <c r="K1245" s="93">
        <v>449</v>
      </c>
      <c r="L1245" s="93" t="e">
        <v>#N/A</v>
      </c>
      <c r="M1245" s="93" t="s">
        <v>2311</v>
      </c>
      <c r="N1245" s="93">
        <f>VLOOKUP(B1245,'[16]01.수집 카테고리(List)'!$A$2:$H$64,8,FALSE)</f>
        <v>99991231</v>
      </c>
      <c r="O1245" s="93" t="s">
        <v>646</v>
      </c>
    </row>
    <row r="1246" spans="1:15" hidden="1">
      <c r="A1246" s="75" t="str">
        <f t="shared" si="48"/>
        <v>FRBOULANGERWireless Headsetbluetooth headphonesécouteurs bluetooth</v>
      </c>
      <c r="B1246" s="94" t="str">
        <f t="shared" si="49"/>
        <v>FR_BOULANGER</v>
      </c>
      <c r="C1246" s="93" t="s">
        <v>251</v>
      </c>
      <c r="D1246" s="93" t="s">
        <v>252</v>
      </c>
      <c r="E1246" s="93" t="s">
        <v>2373</v>
      </c>
      <c r="F1246" s="93" t="s">
        <v>2846</v>
      </c>
      <c r="G1246" s="93" t="s">
        <v>2847</v>
      </c>
      <c r="H1246" s="93" t="e">
        <v>#N/A</v>
      </c>
      <c r="I1246" s="105" t="s">
        <v>2310</v>
      </c>
      <c r="J1246" s="93" t="s">
        <v>189</v>
      </c>
      <c r="K1246" s="93">
        <v>148</v>
      </c>
      <c r="L1246" s="93" t="e">
        <v>#N/A</v>
      </c>
      <c r="M1246" s="93" t="s">
        <v>2311</v>
      </c>
      <c r="N1246" s="93">
        <f>VLOOKUP(B1246,'[16]01.수집 카테고리(List)'!$A$2:$H$64,8,FALSE)</f>
        <v>99991231</v>
      </c>
      <c r="O1246" s="93" t="s">
        <v>646</v>
      </c>
    </row>
    <row r="1247" spans="1:15" hidden="1">
      <c r="A1247" s="75" t="str">
        <f t="shared" si="48"/>
        <v>FRBOULANGERWireless Headsetsports bluetooth earphonesécouteurs bluetooth sport</v>
      </c>
      <c r="B1247" s="94" t="str">
        <f t="shared" si="49"/>
        <v>FR_BOULANGER</v>
      </c>
      <c r="C1247" s="93" t="s">
        <v>251</v>
      </c>
      <c r="D1247" s="93" t="s">
        <v>252</v>
      </c>
      <c r="E1247" s="93" t="s">
        <v>2373</v>
      </c>
      <c r="F1247" s="93" t="s">
        <v>2848</v>
      </c>
      <c r="G1247" s="93" t="s">
        <v>2849</v>
      </c>
      <c r="H1247" s="93" t="e">
        <v>#N/A</v>
      </c>
      <c r="I1247" s="105" t="s">
        <v>2310</v>
      </c>
      <c r="J1247" s="93" t="s">
        <v>189</v>
      </c>
      <c r="K1247" s="93">
        <v>39</v>
      </c>
      <c r="L1247" s="93" t="e">
        <v>#N/A</v>
      </c>
      <c r="M1247" s="93" t="s">
        <v>2311</v>
      </c>
      <c r="N1247" s="93">
        <f>VLOOKUP(B1247,'[16]01.수집 카테고리(List)'!$A$2:$H$64,8,FALSE)</f>
        <v>99991231</v>
      </c>
      <c r="O1247" s="93" t="s">
        <v>646</v>
      </c>
    </row>
    <row r="1248" spans="1:15" hidden="1">
      <c r="A1248" s="75" t="str">
        <f t="shared" si="48"/>
        <v>FRBOULANGERWireless HeadsetWireless Earbudsécouteurs sans fil</v>
      </c>
      <c r="B1248" s="94" t="str">
        <f t="shared" si="49"/>
        <v>FR_BOULANGER</v>
      </c>
      <c r="C1248" s="93" t="s">
        <v>251</v>
      </c>
      <c r="D1248" s="93" t="s">
        <v>252</v>
      </c>
      <c r="E1248" s="93" t="s">
        <v>2373</v>
      </c>
      <c r="F1248" s="93" t="s">
        <v>2760</v>
      </c>
      <c r="G1248" s="93" t="s">
        <v>2850</v>
      </c>
      <c r="H1248" s="93" t="e">
        <v>#N/A</v>
      </c>
      <c r="I1248" s="105" t="s">
        <v>2310</v>
      </c>
      <c r="J1248" s="93" t="s">
        <v>189</v>
      </c>
      <c r="K1248" s="93">
        <v>199</v>
      </c>
      <c r="L1248" s="93" t="e">
        <v>#N/A</v>
      </c>
      <c r="M1248" s="93" t="s">
        <v>2311</v>
      </c>
      <c r="N1248" s="93">
        <f>VLOOKUP(B1248,'[16]01.수집 카테고리(List)'!$A$2:$H$64,8,FALSE)</f>
        <v>99991231</v>
      </c>
      <c r="O1248" s="93" t="s">
        <v>646</v>
      </c>
    </row>
    <row r="1249" spans="1:15" s="108" customFormat="1" hidden="1">
      <c r="A1249" s="108" t="str">
        <f t="shared" si="48"/>
        <v>FRBOULANGERAir Conditionerair conditionerclimatiseur</v>
      </c>
      <c r="B1249" s="109" t="str">
        <f t="shared" si="49"/>
        <v>FR_BOULANGER</v>
      </c>
      <c r="C1249" s="110" t="s">
        <v>251</v>
      </c>
      <c r="D1249" s="110" t="s">
        <v>252</v>
      </c>
      <c r="E1249" s="110" t="s">
        <v>2524</v>
      </c>
      <c r="F1249" s="110" t="s">
        <v>2607</v>
      </c>
      <c r="G1249" s="110" t="s">
        <v>2851</v>
      </c>
      <c r="H1249" s="93" t="e">
        <v>#N/A</v>
      </c>
      <c r="I1249" s="99">
        <v>46076</v>
      </c>
      <c r="J1249" s="83" t="s">
        <v>189</v>
      </c>
      <c r="K1249" s="110"/>
      <c r="L1249" s="110"/>
      <c r="M1249" s="110"/>
      <c r="N1249" s="110"/>
      <c r="O1249" s="110"/>
    </row>
    <row r="1250" spans="1:15" s="108" customFormat="1" hidden="1">
      <c r="A1250" s="108" t="str">
        <f t="shared" si="48"/>
        <v>FRBOULANGERAir Conditionersplit inverter air conditionerclimatiseur split inverter</v>
      </c>
      <c r="B1250" s="109" t="str">
        <f t="shared" si="49"/>
        <v>FR_BOULANGER</v>
      </c>
      <c r="C1250" s="110" t="s">
        <v>251</v>
      </c>
      <c r="D1250" s="110" t="s">
        <v>252</v>
      </c>
      <c r="E1250" s="110" t="s">
        <v>2524</v>
      </c>
      <c r="F1250" s="110" t="s">
        <v>2614</v>
      </c>
      <c r="G1250" s="110" t="s">
        <v>2852</v>
      </c>
      <c r="H1250" s="93" t="e">
        <v>#N/A</v>
      </c>
      <c r="I1250" s="99">
        <v>46076</v>
      </c>
      <c r="J1250" s="83" t="s">
        <v>189</v>
      </c>
      <c r="K1250" s="110"/>
      <c r="L1250" s="110"/>
      <c r="M1250" s="110"/>
      <c r="N1250" s="110"/>
      <c r="O1250" s="110"/>
    </row>
    <row r="1251" spans="1:15" s="108" customFormat="1" hidden="1">
      <c r="A1251" s="108" t="str">
        <f t="shared" si="48"/>
        <v>FRBOULANGERAir Conditionerwindow air conditionerclimatiseur de fenêtre</v>
      </c>
      <c r="B1251" s="109" t="str">
        <f t="shared" si="49"/>
        <v>FR_BOULANGER</v>
      </c>
      <c r="C1251" s="110" t="s">
        <v>251</v>
      </c>
      <c r="D1251" s="110" t="s">
        <v>252</v>
      </c>
      <c r="E1251" s="110" t="s">
        <v>2524</v>
      </c>
      <c r="F1251" s="110" t="s">
        <v>2616</v>
      </c>
      <c r="G1251" s="110" t="s">
        <v>2853</v>
      </c>
      <c r="H1251" s="93" t="e">
        <v>#N/A</v>
      </c>
      <c r="I1251" s="99">
        <v>46076</v>
      </c>
      <c r="J1251" s="83" t="s">
        <v>189</v>
      </c>
      <c r="K1251" s="110"/>
      <c r="L1251" s="110"/>
      <c r="M1251" s="110"/>
      <c r="N1251" s="110"/>
      <c r="O1251" s="110"/>
    </row>
    <row r="1252" spans="1:15" s="108" customFormat="1" hidden="1">
      <c r="A1252" s="108" t="str">
        <f t="shared" si="48"/>
        <v>FRBOULANGERAir Conditionerwindow inverter air conditionerclimatiseur inverter de fenêtre</v>
      </c>
      <c r="B1252" s="109" t="str">
        <f t="shared" si="49"/>
        <v>FR_BOULANGER</v>
      </c>
      <c r="C1252" s="110" t="s">
        <v>251</v>
      </c>
      <c r="D1252" s="110" t="s">
        <v>252</v>
      </c>
      <c r="E1252" s="110" t="s">
        <v>2524</v>
      </c>
      <c r="F1252" s="110" t="s">
        <v>2618</v>
      </c>
      <c r="G1252" s="110" t="s">
        <v>2854</v>
      </c>
      <c r="H1252" s="93" t="e">
        <v>#N/A</v>
      </c>
      <c r="I1252" s="99">
        <v>46076</v>
      </c>
      <c r="J1252" s="83" t="s">
        <v>189</v>
      </c>
      <c r="K1252" s="110"/>
      <c r="L1252" s="110"/>
      <c r="M1252" s="110"/>
      <c r="N1252" s="110"/>
      <c r="O1252" s="110"/>
    </row>
    <row r="1253" spans="1:15" s="81" customFormat="1" hidden="1">
      <c r="A1253" s="81" t="str">
        <f t="shared" si="48"/>
        <v>FRBOULANGERDryerDryerséchoir</v>
      </c>
      <c r="B1253" s="106" t="str">
        <f t="shared" si="49"/>
        <v>FR_BOULANGER</v>
      </c>
      <c r="C1253" s="107" t="s">
        <v>251</v>
      </c>
      <c r="D1253" s="107" t="s">
        <v>252</v>
      </c>
      <c r="E1253" s="107" t="s">
        <v>2535</v>
      </c>
      <c r="F1253" s="119" t="s">
        <v>2431</v>
      </c>
      <c r="G1253" s="119" t="s">
        <v>2855</v>
      </c>
      <c r="H1253" s="93" t="e">
        <v>#N/A</v>
      </c>
      <c r="I1253" s="99">
        <v>46076</v>
      </c>
      <c r="J1253" s="83" t="s">
        <v>189</v>
      </c>
      <c r="K1253" s="107"/>
      <c r="L1253" s="107"/>
      <c r="M1253" s="107"/>
      <c r="N1253" s="107"/>
      <c r="O1253" s="107"/>
    </row>
    <row r="1254" spans="1:15" hidden="1">
      <c r="A1254" s="75" t="str">
        <f t="shared" si="48"/>
        <v>FRDARTYBluetooth Speakerspeakersenceinte</v>
      </c>
      <c r="B1254" s="94" t="str">
        <f t="shared" si="49"/>
        <v>FR_DARTY</v>
      </c>
      <c r="C1254" s="93" t="s">
        <v>251</v>
      </c>
      <c r="D1254" s="93" t="s">
        <v>254</v>
      </c>
      <c r="E1254" s="93" t="s">
        <v>2307</v>
      </c>
      <c r="F1254" s="93" t="s">
        <v>2471</v>
      </c>
      <c r="G1254" s="93" t="s">
        <v>2794</v>
      </c>
      <c r="H1254" s="93" t="e">
        <v>#N/A</v>
      </c>
      <c r="I1254" s="105" t="s">
        <v>2310</v>
      </c>
      <c r="J1254" s="93" t="s">
        <v>189</v>
      </c>
      <c r="K1254" s="93">
        <v>10420</v>
      </c>
      <c r="L1254" s="93" t="e">
        <v>#N/A</v>
      </c>
      <c r="M1254" s="93" t="s">
        <v>2311</v>
      </c>
      <c r="N1254" s="93">
        <f>VLOOKUP(B1254,'[16]01.수집 카테고리(List)'!$A$2:$H$64,8,FALSE)</f>
        <v>99991231</v>
      </c>
      <c r="O1254" s="93" t="s">
        <v>646</v>
      </c>
    </row>
    <row r="1255" spans="1:15" hidden="1">
      <c r="A1255" s="75" t="str">
        <f t="shared" si="48"/>
        <v>FRDARTYBluetooth Speakerbluetooth speakerenceinte Bluetooth</v>
      </c>
      <c r="B1255" s="94" t="str">
        <f t="shared" si="49"/>
        <v>FR_DARTY</v>
      </c>
      <c r="C1255" s="93" t="s">
        <v>251</v>
      </c>
      <c r="D1255" s="93" t="s">
        <v>254</v>
      </c>
      <c r="E1255" s="93" t="s">
        <v>2307</v>
      </c>
      <c r="F1255" s="93" t="s">
        <v>2657</v>
      </c>
      <c r="G1255" s="93" t="s">
        <v>2795</v>
      </c>
      <c r="H1255" s="93" t="e">
        <v>#N/A</v>
      </c>
      <c r="I1255" s="105" t="s">
        <v>2310</v>
      </c>
      <c r="J1255" s="93" t="s">
        <v>189</v>
      </c>
      <c r="K1255" s="93">
        <v>11336</v>
      </c>
      <c r="L1255" s="93" t="e">
        <v>#N/A</v>
      </c>
      <c r="M1255" s="93" t="s">
        <v>2311</v>
      </c>
      <c r="N1255" s="93">
        <f>VLOOKUP(B1255,'[16]01.수집 카테고리(List)'!$A$2:$H$64,8,FALSE)</f>
        <v>99991231</v>
      </c>
      <c r="O1255" s="93" t="s">
        <v>646</v>
      </c>
    </row>
    <row r="1256" spans="1:15" hidden="1">
      <c r="A1256" s="75" t="str">
        <f t="shared" si="48"/>
        <v>FRDARTYBluetooth Speakerbluetooth speaker portableenceinte Bluetooth portable</v>
      </c>
      <c r="B1256" s="94" t="str">
        <f t="shared" si="49"/>
        <v>FR_DARTY</v>
      </c>
      <c r="C1256" s="93" t="s">
        <v>251</v>
      </c>
      <c r="D1256" s="93" t="s">
        <v>254</v>
      </c>
      <c r="E1256" s="93" t="s">
        <v>2307</v>
      </c>
      <c r="F1256" s="93" t="s">
        <v>2479</v>
      </c>
      <c r="G1256" s="93" t="s">
        <v>2796</v>
      </c>
      <c r="H1256" s="93" t="e">
        <v>#N/A</v>
      </c>
      <c r="I1256" s="105" t="s">
        <v>2310</v>
      </c>
      <c r="J1256" s="93" t="s">
        <v>189</v>
      </c>
      <c r="K1256" s="93">
        <v>6014</v>
      </c>
      <c r="L1256" s="93" t="e">
        <v>#N/A</v>
      </c>
      <c r="M1256" s="93" t="s">
        <v>2311</v>
      </c>
      <c r="N1256" s="93">
        <f>VLOOKUP(B1256,'[16]01.수집 카테고리(List)'!$A$2:$H$64,8,FALSE)</f>
        <v>99991231</v>
      </c>
      <c r="O1256" s="93" t="s">
        <v>646</v>
      </c>
    </row>
    <row r="1257" spans="1:15" hidden="1">
      <c r="A1257" s="75" t="str">
        <f t="shared" si="48"/>
        <v>FRDARTYBluetooth Speakerportable speakersenceinte portable</v>
      </c>
      <c r="B1257" s="94" t="str">
        <f t="shared" si="49"/>
        <v>FR_DARTY</v>
      </c>
      <c r="C1257" s="93" t="s">
        <v>251</v>
      </c>
      <c r="D1257" s="93" t="s">
        <v>254</v>
      </c>
      <c r="E1257" s="93" t="s">
        <v>2307</v>
      </c>
      <c r="F1257" s="93" t="s">
        <v>2473</v>
      </c>
      <c r="G1257" s="93" t="s">
        <v>2797</v>
      </c>
      <c r="H1257" s="93" t="e">
        <v>#N/A</v>
      </c>
      <c r="I1257" s="105" t="s">
        <v>2310</v>
      </c>
      <c r="J1257" s="93" t="s">
        <v>189</v>
      </c>
      <c r="K1257" s="93">
        <v>7087</v>
      </c>
      <c r="L1257" s="93" t="e">
        <v>#N/A</v>
      </c>
      <c r="M1257" s="93" t="s">
        <v>2311</v>
      </c>
      <c r="N1257" s="93">
        <f>VLOOKUP(B1257,'[16]01.수집 카테고리(List)'!$A$2:$H$64,8,FALSE)</f>
        <v>99991231</v>
      </c>
      <c r="O1257" s="93" t="s">
        <v>646</v>
      </c>
    </row>
    <row r="1258" spans="1:15" hidden="1">
      <c r="A1258" s="75" t="str">
        <f t="shared" si="48"/>
        <v>FRDARTYBluetooth SpeakerWireless speakerEnceinte sans fil</v>
      </c>
      <c r="B1258" s="94" t="str">
        <f t="shared" si="49"/>
        <v>FR_DARTY</v>
      </c>
      <c r="C1258" s="93" t="s">
        <v>251</v>
      </c>
      <c r="D1258" s="93" t="s">
        <v>254</v>
      </c>
      <c r="E1258" s="93" t="s">
        <v>2307</v>
      </c>
      <c r="F1258" s="93" t="s">
        <v>2316</v>
      </c>
      <c r="G1258" s="93" t="s">
        <v>2798</v>
      </c>
      <c r="H1258" s="93" t="e">
        <v>#N/A</v>
      </c>
      <c r="I1258" s="105" t="s">
        <v>2310</v>
      </c>
      <c r="J1258" s="93" t="s">
        <v>189</v>
      </c>
      <c r="K1258" s="93">
        <v>10390</v>
      </c>
      <c r="L1258" s="93" t="e">
        <v>#N/A</v>
      </c>
      <c r="M1258" s="93" t="s">
        <v>2311</v>
      </c>
      <c r="N1258" s="93">
        <f>VLOOKUP(B1258,'[16]01.수집 카테고리(List)'!$A$2:$H$64,8,FALSE)</f>
        <v>99991231</v>
      </c>
      <c r="O1258" s="93" t="s">
        <v>646</v>
      </c>
    </row>
    <row r="1259" spans="1:15" hidden="1">
      <c r="A1259" s="75" t="str">
        <f t="shared" si="48"/>
        <v>FRDARTYDishwasherDish WasherLave vaisselle</v>
      </c>
      <c r="B1259" s="94" t="str">
        <f t="shared" si="49"/>
        <v>FR_DARTY</v>
      </c>
      <c r="C1259" s="93" t="s">
        <v>251</v>
      </c>
      <c r="D1259" s="93" t="s">
        <v>254</v>
      </c>
      <c r="E1259" s="93" t="s">
        <v>2440</v>
      </c>
      <c r="F1259" s="93" t="s">
        <v>2799</v>
      </c>
      <c r="G1259" s="93" t="s">
        <v>2800</v>
      </c>
      <c r="H1259" s="93" t="e">
        <v>#N/A</v>
      </c>
      <c r="I1259" s="105" t="s">
        <v>2310</v>
      </c>
      <c r="J1259" s="93" t="s">
        <v>189</v>
      </c>
      <c r="K1259" s="93">
        <v>132</v>
      </c>
      <c r="L1259" s="93" t="e">
        <v>#N/A</v>
      </c>
      <c r="M1259" s="93" t="s">
        <v>2311</v>
      </c>
      <c r="N1259" s="93">
        <f>VLOOKUP(B1259,'[16]01.수집 카테고리(List)'!$A$2:$H$64,8,FALSE)</f>
        <v>99991231</v>
      </c>
      <c r="O1259" s="93" t="s">
        <v>646</v>
      </c>
    </row>
    <row r="1260" spans="1:15" hidden="1">
      <c r="A1260" s="75" t="str">
        <f t="shared" si="48"/>
        <v>FRDARTYDishwasher60 cm dish washerLave vaisselle 60 cm</v>
      </c>
      <c r="B1260" s="94" t="str">
        <f t="shared" si="49"/>
        <v>FR_DARTY</v>
      </c>
      <c r="C1260" s="93" t="s">
        <v>251</v>
      </c>
      <c r="D1260" s="93" t="s">
        <v>254</v>
      </c>
      <c r="E1260" s="93" t="s">
        <v>2440</v>
      </c>
      <c r="F1260" s="93" t="s">
        <v>2801</v>
      </c>
      <c r="G1260" s="93" t="s">
        <v>2802</v>
      </c>
      <c r="H1260" s="93" t="e">
        <v>#N/A</v>
      </c>
      <c r="I1260" s="105" t="s">
        <v>2310</v>
      </c>
      <c r="J1260" s="93" t="s">
        <v>189</v>
      </c>
      <c r="K1260" s="93">
        <v>193</v>
      </c>
      <c r="L1260" s="93" t="e">
        <v>#N/A</v>
      </c>
      <c r="M1260" s="93" t="s">
        <v>2311</v>
      </c>
      <c r="N1260" s="93">
        <f>VLOOKUP(B1260,'[16]01.수집 카테고리(List)'!$A$2:$H$64,8,FALSE)</f>
        <v>99991231</v>
      </c>
      <c r="O1260" s="93" t="s">
        <v>646</v>
      </c>
    </row>
    <row r="1261" spans="1:15" hidden="1">
      <c r="A1261" s="75" t="str">
        <f t="shared" si="48"/>
        <v>FRDARTYDishwasherFree Standing dish washerLave vaisselle Pose Libre</v>
      </c>
      <c r="B1261" s="94" t="str">
        <f t="shared" si="49"/>
        <v>FR_DARTY</v>
      </c>
      <c r="C1261" s="93" t="s">
        <v>251</v>
      </c>
      <c r="D1261" s="93" t="s">
        <v>254</v>
      </c>
      <c r="E1261" s="93" t="s">
        <v>2440</v>
      </c>
      <c r="F1261" s="93" t="s">
        <v>2803</v>
      </c>
      <c r="G1261" s="93" t="s">
        <v>2804</v>
      </c>
      <c r="H1261" s="93" t="e">
        <v>#N/A</v>
      </c>
      <c r="I1261" s="105" t="s">
        <v>2310</v>
      </c>
      <c r="J1261" s="93" t="s">
        <v>189</v>
      </c>
      <c r="K1261" s="93">
        <v>98</v>
      </c>
      <c r="L1261" s="93" t="e">
        <v>#N/A</v>
      </c>
      <c r="M1261" s="93" t="s">
        <v>2311</v>
      </c>
      <c r="N1261" s="93">
        <f>VLOOKUP(B1261,'[16]01.수집 카테고리(List)'!$A$2:$H$64,8,FALSE)</f>
        <v>99991231</v>
      </c>
      <c r="O1261" s="93" t="s">
        <v>646</v>
      </c>
    </row>
    <row r="1262" spans="1:15" hidden="1">
      <c r="A1262" s="75" t="str">
        <f t="shared" si="48"/>
        <v>FRDARTYLAPTOPLaptopOrdinateur portable</v>
      </c>
      <c r="B1262" s="94" t="str">
        <f t="shared" si="49"/>
        <v>FR_DARTY</v>
      </c>
      <c r="C1262" s="93" t="s">
        <v>251</v>
      </c>
      <c r="D1262" s="93" t="s">
        <v>254</v>
      </c>
      <c r="E1262" s="93" t="s">
        <v>171</v>
      </c>
      <c r="F1262" s="93" t="s">
        <v>2407</v>
      </c>
      <c r="G1262" s="93" t="s">
        <v>2805</v>
      </c>
      <c r="H1262" s="93" t="e">
        <v>#N/A</v>
      </c>
      <c r="I1262" s="105" t="s">
        <v>2310</v>
      </c>
      <c r="J1262" s="93" t="s">
        <v>189</v>
      </c>
      <c r="K1262" s="93">
        <v>25</v>
      </c>
      <c r="L1262" s="93" t="e">
        <v>#N/A</v>
      </c>
      <c r="M1262" s="93" t="s">
        <v>2311</v>
      </c>
      <c r="N1262" s="93">
        <f>VLOOKUP(B1262,'[16]01.수집 카테고리(List)'!$A$2:$H$64,8,FALSE)</f>
        <v>99991231</v>
      </c>
      <c r="O1262" s="93" t="s">
        <v>646</v>
      </c>
    </row>
    <row r="1263" spans="1:15" hidden="1">
      <c r="A1263" s="75" t="str">
        <f t="shared" si="48"/>
        <v>FRDARTYLAPTOP15 inch LaptopOrdinateur portable 15 pouces</v>
      </c>
      <c r="B1263" s="94" t="str">
        <f t="shared" si="49"/>
        <v>FR_DARTY</v>
      </c>
      <c r="C1263" s="93" t="s">
        <v>251</v>
      </c>
      <c r="D1263" s="93" t="s">
        <v>254</v>
      </c>
      <c r="E1263" s="93" t="s">
        <v>171</v>
      </c>
      <c r="F1263" s="93" t="s">
        <v>2806</v>
      </c>
      <c r="G1263" s="93" t="s">
        <v>2807</v>
      </c>
      <c r="H1263" s="93" t="e">
        <v>#N/A</v>
      </c>
      <c r="I1263" s="105" t="s">
        <v>2310</v>
      </c>
      <c r="J1263" s="93" t="s">
        <v>189</v>
      </c>
      <c r="K1263" s="93">
        <v>85</v>
      </c>
      <c r="L1263" s="93" t="e">
        <v>#N/A</v>
      </c>
      <c r="M1263" s="93" t="s">
        <v>2311</v>
      </c>
      <c r="N1263" s="93">
        <f>VLOOKUP(B1263,'[16]01.수집 카테고리(List)'!$A$2:$H$64,8,FALSE)</f>
        <v>99991231</v>
      </c>
      <c r="O1263" s="93" t="s">
        <v>646</v>
      </c>
    </row>
    <row r="1264" spans="1:15" hidden="1">
      <c r="A1264" s="75" t="str">
        <f t="shared" si="48"/>
        <v>FRDARTYLAPTOP17 inch LaptopOrdinateur portable 17 pouces</v>
      </c>
      <c r="B1264" s="94" t="str">
        <f t="shared" si="49"/>
        <v>FR_DARTY</v>
      </c>
      <c r="C1264" s="93" t="s">
        <v>251</v>
      </c>
      <c r="D1264" s="93" t="s">
        <v>254</v>
      </c>
      <c r="E1264" s="93" t="s">
        <v>171</v>
      </c>
      <c r="F1264" s="93" t="s">
        <v>2808</v>
      </c>
      <c r="G1264" s="93" t="s">
        <v>2809</v>
      </c>
      <c r="H1264" s="93" t="e">
        <v>#N/A</v>
      </c>
      <c r="I1264" s="105" t="s">
        <v>2310</v>
      </c>
      <c r="J1264" s="93" t="s">
        <v>189</v>
      </c>
      <c r="K1264" s="93">
        <v>51</v>
      </c>
      <c r="L1264" s="93" t="e">
        <v>#N/A</v>
      </c>
      <c r="M1264" s="93" t="s">
        <v>2311</v>
      </c>
      <c r="N1264" s="93">
        <f>VLOOKUP(B1264,'[16]01.수집 카테고리(List)'!$A$2:$H$64,8,FALSE)</f>
        <v>99991231</v>
      </c>
      <c r="O1264" s="93" t="s">
        <v>646</v>
      </c>
    </row>
    <row r="1265" spans="1:15" hidden="1">
      <c r="A1265" s="75" t="str">
        <f t="shared" si="48"/>
        <v>FRDARTYLAPTOPi7 laptopOrdinateur portable i7</v>
      </c>
      <c r="B1265" s="94" t="str">
        <f t="shared" si="49"/>
        <v>FR_DARTY</v>
      </c>
      <c r="C1265" s="93" t="s">
        <v>251</v>
      </c>
      <c r="D1265" s="93" t="s">
        <v>254</v>
      </c>
      <c r="E1265" s="93" t="s">
        <v>171</v>
      </c>
      <c r="F1265" s="93" t="s">
        <v>2410</v>
      </c>
      <c r="G1265" s="93" t="s">
        <v>2810</v>
      </c>
      <c r="H1265" s="93" t="e">
        <v>#N/A</v>
      </c>
      <c r="I1265" s="105" t="s">
        <v>2310</v>
      </c>
      <c r="J1265" s="93" t="s">
        <v>189</v>
      </c>
      <c r="K1265" s="93">
        <v>103</v>
      </c>
      <c r="L1265" s="93" t="e">
        <v>#N/A</v>
      </c>
      <c r="M1265" s="93" t="s">
        <v>2311</v>
      </c>
      <c r="N1265" s="93">
        <f>VLOOKUP(B1265,'[16]01.수집 카테고리(List)'!$A$2:$H$64,8,FALSE)</f>
        <v>99991231</v>
      </c>
      <c r="O1265" s="93" t="s">
        <v>646</v>
      </c>
    </row>
    <row r="1266" spans="1:15" hidden="1">
      <c r="A1266" s="75" t="str">
        <f t="shared" si="48"/>
        <v>FRDARTYLAPTOPLightweight LaptopOrdinateur portable léger</v>
      </c>
      <c r="B1266" s="94" t="str">
        <f t="shared" si="49"/>
        <v>FR_DARTY</v>
      </c>
      <c r="C1266" s="93" t="s">
        <v>251</v>
      </c>
      <c r="D1266" s="93" t="s">
        <v>254</v>
      </c>
      <c r="E1266" s="93" t="s">
        <v>171</v>
      </c>
      <c r="F1266" s="93" t="s">
        <v>2411</v>
      </c>
      <c r="G1266" s="93" t="s">
        <v>2811</v>
      </c>
      <c r="H1266" s="93" t="e">
        <v>#N/A</v>
      </c>
      <c r="I1266" s="105" t="s">
        <v>2310</v>
      </c>
      <c r="J1266" s="93" t="s">
        <v>189</v>
      </c>
      <c r="K1266" s="93">
        <v>30</v>
      </c>
      <c r="L1266" s="93" t="e">
        <v>#N/A</v>
      </c>
      <c r="M1266" s="93" t="s">
        <v>2311</v>
      </c>
      <c r="N1266" s="93">
        <f>VLOOKUP(B1266,'[16]01.수집 카테고리(List)'!$A$2:$H$64,8,FALSE)</f>
        <v>99991231</v>
      </c>
      <c r="O1266" s="93" t="s">
        <v>646</v>
      </c>
    </row>
    <row r="1267" spans="1:15" hidden="1">
      <c r="A1267" s="75" t="str">
        <f t="shared" si="48"/>
        <v>FRDARTYMonitorPC MonitorEcran PC</v>
      </c>
      <c r="B1267" s="94" t="str">
        <f t="shared" si="49"/>
        <v>FR_DARTY</v>
      </c>
      <c r="C1267" s="93" t="s">
        <v>251</v>
      </c>
      <c r="D1267" s="93" t="s">
        <v>254</v>
      </c>
      <c r="E1267" s="93" t="s">
        <v>2320</v>
      </c>
      <c r="F1267" s="93" t="s">
        <v>2812</v>
      </c>
      <c r="G1267" s="93" t="s">
        <v>2813</v>
      </c>
      <c r="H1267" s="93" t="e">
        <v>#N/A</v>
      </c>
      <c r="I1267" s="105" t="s">
        <v>2310</v>
      </c>
      <c r="J1267" s="93" t="s">
        <v>189</v>
      </c>
      <c r="K1267" s="93">
        <v>12923</v>
      </c>
      <c r="L1267" s="93" t="e">
        <v>#N/A</v>
      </c>
      <c r="M1267" s="93" t="s">
        <v>2311</v>
      </c>
      <c r="N1267" s="93">
        <f>VLOOKUP(B1267,'[16]01.수집 카테고리(List)'!$A$2:$H$64,8,FALSE)</f>
        <v>99991231</v>
      </c>
      <c r="O1267" s="93" t="s">
        <v>646</v>
      </c>
    </row>
    <row r="1268" spans="1:15" hidden="1">
      <c r="A1268" s="75" t="str">
        <f t="shared" si="48"/>
        <v>FRDARTYMonitoruhd monitorEcran PC 4K</v>
      </c>
      <c r="B1268" s="94" t="str">
        <f t="shared" si="49"/>
        <v>FR_DARTY</v>
      </c>
      <c r="C1268" s="93" t="s">
        <v>251</v>
      </c>
      <c r="D1268" s="93" t="s">
        <v>254</v>
      </c>
      <c r="E1268" s="93" t="s">
        <v>2320</v>
      </c>
      <c r="F1268" s="93" t="s">
        <v>2324</v>
      </c>
      <c r="G1268" s="93" t="s">
        <v>2814</v>
      </c>
      <c r="H1268" s="93" t="e">
        <v>#N/A</v>
      </c>
      <c r="I1268" s="105" t="s">
        <v>2310</v>
      </c>
      <c r="J1268" s="93" t="s">
        <v>189</v>
      </c>
      <c r="K1268" s="93">
        <v>7112</v>
      </c>
      <c r="L1268" s="93" t="e">
        <v>#N/A</v>
      </c>
      <c r="M1268" s="93" t="s">
        <v>2311</v>
      </c>
      <c r="N1268" s="93">
        <f>VLOOKUP(B1268,'[16]01.수집 카테고리(List)'!$A$2:$H$64,8,FALSE)</f>
        <v>99991231</v>
      </c>
      <c r="O1268" s="93" t="s">
        <v>646</v>
      </c>
    </row>
    <row r="1269" spans="1:15" hidden="1">
      <c r="A1269" s="75" t="str">
        <f t="shared" si="48"/>
        <v>FRDARTYMonitorultrawide monitorEcran PC Ultrawide</v>
      </c>
      <c r="B1269" s="94" t="str">
        <f t="shared" si="49"/>
        <v>FR_DARTY</v>
      </c>
      <c r="C1269" s="93" t="s">
        <v>251</v>
      </c>
      <c r="D1269" s="93" t="s">
        <v>254</v>
      </c>
      <c r="E1269" s="93" t="s">
        <v>2320</v>
      </c>
      <c r="F1269" s="93" t="s">
        <v>2325</v>
      </c>
      <c r="G1269" s="93" t="s">
        <v>2815</v>
      </c>
      <c r="H1269" s="93" t="e">
        <v>#N/A</v>
      </c>
      <c r="I1269" s="105" t="s">
        <v>2310</v>
      </c>
      <c r="J1269" s="93" t="s">
        <v>189</v>
      </c>
      <c r="K1269" s="93">
        <v>146</v>
      </c>
      <c r="L1269" s="93" t="e">
        <v>#N/A</v>
      </c>
      <c r="M1269" s="93" t="s">
        <v>2311</v>
      </c>
      <c r="N1269" s="93">
        <f>VLOOKUP(B1269,'[16]01.수집 카테고리(List)'!$A$2:$H$64,8,FALSE)</f>
        <v>99991231</v>
      </c>
      <c r="O1269" s="93" t="s">
        <v>646</v>
      </c>
    </row>
    <row r="1270" spans="1:15" hidden="1">
      <c r="A1270" s="75" t="str">
        <f t="shared" si="48"/>
        <v>FRDARTYMonitormonitorMoniteur</v>
      </c>
      <c r="B1270" s="94" t="str">
        <f t="shared" si="49"/>
        <v>FR_DARTY</v>
      </c>
      <c r="C1270" s="93" t="s">
        <v>251</v>
      </c>
      <c r="D1270" s="93" t="s">
        <v>254</v>
      </c>
      <c r="E1270" s="93" t="s">
        <v>2320</v>
      </c>
      <c r="F1270" s="93" t="s">
        <v>2323</v>
      </c>
      <c r="G1270" s="93" t="s">
        <v>2816</v>
      </c>
      <c r="H1270" s="93" t="e">
        <v>#N/A</v>
      </c>
      <c r="I1270" s="105" t="s">
        <v>2310</v>
      </c>
      <c r="J1270" s="93" t="s">
        <v>189</v>
      </c>
      <c r="K1270" s="93">
        <v>12881</v>
      </c>
      <c r="L1270" s="93" t="e">
        <v>#N/A</v>
      </c>
      <c r="M1270" s="93" t="s">
        <v>2311</v>
      </c>
      <c r="N1270" s="93">
        <f>VLOOKUP(B1270,'[16]01.수집 카테고리(List)'!$A$2:$H$64,8,FALSE)</f>
        <v>99991231</v>
      </c>
      <c r="O1270" s="93" t="s">
        <v>646</v>
      </c>
    </row>
    <row r="1271" spans="1:15" hidden="1">
      <c r="A1271" s="75" t="str">
        <f t="shared" si="48"/>
        <v>FRDARTYMonitor4k monitorMoniteur 4K</v>
      </c>
      <c r="B1271" s="94" t="str">
        <f t="shared" si="49"/>
        <v>FR_DARTY</v>
      </c>
      <c r="C1271" s="93" t="s">
        <v>251</v>
      </c>
      <c r="D1271" s="93" t="s">
        <v>254</v>
      </c>
      <c r="E1271" s="93" t="s">
        <v>2320</v>
      </c>
      <c r="F1271" s="93" t="s">
        <v>2321</v>
      </c>
      <c r="G1271" s="93" t="s">
        <v>2817</v>
      </c>
      <c r="H1271" s="93" t="e">
        <v>#N/A</v>
      </c>
      <c r="I1271" s="105" t="s">
        <v>2310</v>
      </c>
      <c r="J1271" s="93" t="s">
        <v>189</v>
      </c>
      <c r="K1271" s="93">
        <v>10997</v>
      </c>
      <c r="L1271" s="93" t="e">
        <v>#N/A</v>
      </c>
      <c r="M1271" s="93" t="s">
        <v>2311</v>
      </c>
      <c r="N1271" s="93">
        <f>VLOOKUP(B1271,'[16]01.수집 카테고리(List)'!$A$2:$H$64,8,FALSE)</f>
        <v>99991231</v>
      </c>
      <c r="O1271" s="93" t="s">
        <v>646</v>
      </c>
    </row>
    <row r="1272" spans="1:15" hidden="1">
      <c r="A1272" s="75" t="str">
        <f t="shared" si="48"/>
        <v>FRDARTYMonitorgaming monitorMoniteur Gaming</v>
      </c>
      <c r="B1272" s="94" t="str">
        <f t="shared" si="49"/>
        <v>FR_DARTY</v>
      </c>
      <c r="C1272" s="93" t="s">
        <v>251</v>
      </c>
      <c r="D1272" s="93" t="s">
        <v>254</v>
      </c>
      <c r="E1272" s="93" t="s">
        <v>2320</v>
      </c>
      <c r="F1272" s="93" t="s">
        <v>2322</v>
      </c>
      <c r="G1272" s="93" t="s">
        <v>2818</v>
      </c>
      <c r="H1272" s="93" t="e">
        <v>#N/A</v>
      </c>
      <c r="I1272" s="105" t="s">
        <v>2310</v>
      </c>
      <c r="J1272" s="93" t="s">
        <v>189</v>
      </c>
      <c r="K1272" s="93">
        <v>13802</v>
      </c>
      <c r="L1272" s="93" t="e">
        <v>#N/A</v>
      </c>
      <c r="M1272" s="93" t="s">
        <v>2311</v>
      </c>
      <c r="N1272" s="93">
        <f>VLOOKUP(B1272,'[16]01.수집 카테고리(List)'!$A$2:$H$64,8,FALSE)</f>
        <v>99991231</v>
      </c>
      <c r="O1272" s="93" t="s">
        <v>646</v>
      </c>
    </row>
    <row r="1273" spans="1:15" hidden="1">
      <c r="A1273" s="75" t="str">
        <f t="shared" si="48"/>
        <v>FRDARTYOVENSlide-in RangeCuisinière encastrable</v>
      </c>
      <c r="B1273" s="94" t="str">
        <f t="shared" si="49"/>
        <v>FR_DARTY</v>
      </c>
      <c r="C1273" s="93" t="s">
        <v>251</v>
      </c>
      <c r="D1273" s="93" t="s">
        <v>254</v>
      </c>
      <c r="E1273" s="93" t="s">
        <v>173</v>
      </c>
      <c r="F1273" s="93" t="s">
        <v>2676</v>
      </c>
      <c r="G1273" s="93" t="s">
        <v>2819</v>
      </c>
      <c r="H1273" s="93" t="e">
        <v>#N/A</v>
      </c>
      <c r="I1273" s="105" t="s">
        <v>2310</v>
      </c>
      <c r="J1273" s="93" t="s">
        <v>189</v>
      </c>
      <c r="K1273" s="93">
        <v>64</v>
      </c>
      <c r="L1273" s="93" t="e">
        <v>#N/A</v>
      </c>
      <c r="M1273" s="93" t="s">
        <v>2311</v>
      </c>
      <c r="N1273" s="93">
        <f>VLOOKUP(B1273,'[16]01.수집 카테고리(List)'!$A$2:$H$64,8,FALSE)</f>
        <v>99991231</v>
      </c>
      <c r="O1273" s="93" t="s">
        <v>646</v>
      </c>
    </row>
    <row r="1274" spans="1:15" hidden="1">
      <c r="A1274" s="75" t="str">
        <f t="shared" si="48"/>
        <v>FRDARTYOVENWall OvenFour mural</v>
      </c>
      <c r="B1274" s="94" t="str">
        <f t="shared" si="49"/>
        <v>FR_DARTY</v>
      </c>
      <c r="C1274" s="93" t="s">
        <v>251</v>
      </c>
      <c r="D1274" s="93" t="s">
        <v>254</v>
      </c>
      <c r="E1274" s="93" t="s">
        <v>173</v>
      </c>
      <c r="F1274" s="93" t="s">
        <v>2544</v>
      </c>
      <c r="G1274" s="93" t="s">
        <v>2820</v>
      </c>
      <c r="H1274" s="93" t="e">
        <v>#N/A</v>
      </c>
      <c r="I1274" s="105" t="s">
        <v>2310</v>
      </c>
      <c r="J1274" s="93" t="s">
        <v>189</v>
      </c>
      <c r="K1274" s="93">
        <v>64</v>
      </c>
      <c r="L1274" s="93" t="e">
        <v>#N/A</v>
      </c>
      <c r="M1274" s="93" t="s">
        <v>2311</v>
      </c>
      <c r="N1274" s="93">
        <f>VLOOKUP(B1274,'[16]01.수집 카테고리(List)'!$A$2:$H$64,8,FALSE)</f>
        <v>99991231</v>
      </c>
      <c r="O1274" s="93" t="s">
        <v>646</v>
      </c>
    </row>
    <row r="1275" spans="1:15" hidden="1">
      <c r="A1275" s="75" t="str">
        <f t="shared" si="48"/>
        <v>FRDARTYOVENFreestanding OvenFour pose libre</v>
      </c>
      <c r="B1275" s="94" t="str">
        <f t="shared" si="49"/>
        <v>FR_DARTY</v>
      </c>
      <c r="C1275" s="93" t="s">
        <v>251</v>
      </c>
      <c r="D1275" s="93" t="s">
        <v>254</v>
      </c>
      <c r="E1275" s="93" t="s">
        <v>173</v>
      </c>
      <c r="F1275" s="93" t="s">
        <v>2678</v>
      </c>
      <c r="G1275" s="93" t="s">
        <v>2821</v>
      </c>
      <c r="H1275" s="93" t="e">
        <v>#N/A</v>
      </c>
      <c r="I1275" s="105" t="s">
        <v>2310</v>
      </c>
      <c r="J1275" s="93" t="s">
        <v>189</v>
      </c>
      <c r="K1275" s="93">
        <v>64</v>
      </c>
      <c r="L1275" s="93" t="e">
        <v>#N/A</v>
      </c>
      <c r="M1275" s="93" t="s">
        <v>2311</v>
      </c>
      <c r="N1275" s="93">
        <f>VLOOKUP(B1275,'[16]01.수집 카테고리(List)'!$A$2:$H$64,8,FALSE)</f>
        <v>99991231</v>
      </c>
      <c r="O1275" s="93" t="s">
        <v>646</v>
      </c>
    </row>
    <row r="1276" spans="1:15" hidden="1">
      <c r="A1276" s="75" t="str">
        <f t="shared" si="48"/>
        <v>FRDARTYOVENCooktopTable de cuisson</v>
      </c>
      <c r="B1276" s="94" t="str">
        <f t="shared" si="49"/>
        <v>FR_DARTY</v>
      </c>
      <c r="C1276" s="93" t="s">
        <v>251</v>
      </c>
      <c r="D1276" s="93" t="s">
        <v>254</v>
      </c>
      <c r="E1276" s="93" t="s">
        <v>173</v>
      </c>
      <c r="F1276" s="93" t="s">
        <v>2541</v>
      </c>
      <c r="G1276" s="93" t="s">
        <v>2822</v>
      </c>
      <c r="H1276" s="93" t="e">
        <v>#N/A</v>
      </c>
      <c r="I1276" s="105" t="s">
        <v>2310</v>
      </c>
      <c r="J1276" s="93" t="s">
        <v>189</v>
      </c>
      <c r="K1276" s="93">
        <v>116</v>
      </c>
      <c r="L1276" s="93" t="e">
        <v>#N/A</v>
      </c>
      <c r="M1276" s="93" t="s">
        <v>2311</v>
      </c>
      <c r="N1276" s="93">
        <f>VLOOKUP(B1276,'[16]01.수집 카테고리(List)'!$A$2:$H$64,8,FALSE)</f>
        <v>99991231</v>
      </c>
      <c r="O1276" s="93" t="s">
        <v>646</v>
      </c>
    </row>
    <row r="1277" spans="1:15" hidden="1">
      <c r="A1277" s="75" t="str">
        <f t="shared" si="48"/>
        <v>FRDARTYRefrigeratorfrench door refrigeratorRéfrigéraeur multi-portes</v>
      </c>
      <c r="B1277" s="94" t="str">
        <f t="shared" si="49"/>
        <v>FR_DARTY</v>
      </c>
      <c r="C1277" s="93" t="s">
        <v>251</v>
      </c>
      <c r="D1277" s="93" t="s">
        <v>254</v>
      </c>
      <c r="E1277" s="93" t="s">
        <v>2326</v>
      </c>
      <c r="F1277" s="93" t="s">
        <v>2328</v>
      </c>
      <c r="G1277" s="93" t="s">
        <v>2823</v>
      </c>
      <c r="H1277" s="93" t="e">
        <v>#N/A</v>
      </c>
      <c r="I1277" s="105" t="s">
        <v>2310</v>
      </c>
      <c r="J1277" s="93" t="s">
        <v>189</v>
      </c>
      <c r="K1277" s="93">
        <v>6234</v>
      </c>
      <c r="L1277" s="93" t="e">
        <v>#N/A</v>
      </c>
      <c r="M1277" s="93" t="s">
        <v>2311</v>
      </c>
      <c r="N1277" s="93">
        <f>VLOOKUP(B1277,'[16]01.수집 카테고리(List)'!$A$2:$H$64,8,FALSE)</f>
        <v>99991231</v>
      </c>
      <c r="O1277" s="93" t="s">
        <v>646</v>
      </c>
    </row>
    <row r="1278" spans="1:15" hidden="1">
      <c r="A1278" s="75" t="str">
        <f t="shared" si="48"/>
        <v>FRDARTYRefrigeratorrefrigeratorRéfrigérateur</v>
      </c>
      <c r="B1278" s="94" t="str">
        <f t="shared" si="49"/>
        <v>FR_DARTY</v>
      </c>
      <c r="C1278" s="93" t="s">
        <v>251</v>
      </c>
      <c r="D1278" s="93" t="s">
        <v>254</v>
      </c>
      <c r="E1278" s="93" t="s">
        <v>2326</v>
      </c>
      <c r="F1278" s="93" t="s">
        <v>2329</v>
      </c>
      <c r="G1278" s="93" t="s">
        <v>2824</v>
      </c>
      <c r="H1278" s="93" t="e">
        <v>#N/A</v>
      </c>
      <c r="I1278" s="105" t="s">
        <v>2310</v>
      </c>
      <c r="J1278" s="93" t="s">
        <v>189</v>
      </c>
      <c r="K1278" s="93">
        <v>11097</v>
      </c>
      <c r="L1278" s="93" t="e">
        <v>#N/A</v>
      </c>
      <c r="M1278" s="93" t="s">
        <v>2311</v>
      </c>
      <c r="N1278" s="93">
        <f>VLOOKUP(B1278,'[16]01.수집 카테고리(List)'!$A$2:$H$64,8,FALSE)</f>
        <v>99991231</v>
      </c>
      <c r="O1278" s="93" t="s">
        <v>646</v>
      </c>
    </row>
    <row r="1279" spans="1:15" hidden="1">
      <c r="A1279" s="75" t="str">
        <f t="shared" si="48"/>
        <v>FRDARTYRefrigeratorside by side refrigeratorRéfrigérateur américain</v>
      </c>
      <c r="B1279" s="94" t="str">
        <f t="shared" si="49"/>
        <v>FR_DARTY</v>
      </c>
      <c r="C1279" s="93" t="s">
        <v>251</v>
      </c>
      <c r="D1279" s="93" t="s">
        <v>254</v>
      </c>
      <c r="E1279" s="93" t="s">
        <v>2326</v>
      </c>
      <c r="F1279" s="93" t="s">
        <v>2330</v>
      </c>
      <c r="G1279" s="93" t="s">
        <v>2825</v>
      </c>
      <c r="H1279" s="93" t="e">
        <v>#N/A</v>
      </c>
      <c r="I1279" s="105" t="s">
        <v>2310</v>
      </c>
      <c r="J1279" s="93" t="s">
        <v>189</v>
      </c>
      <c r="K1279" s="93">
        <v>1806</v>
      </c>
      <c r="L1279" s="93" t="e">
        <v>#N/A</v>
      </c>
      <c r="M1279" s="93" t="s">
        <v>2311</v>
      </c>
      <c r="N1279" s="93">
        <f>VLOOKUP(B1279,'[16]01.수집 카테고리(List)'!$A$2:$H$64,8,FALSE)</f>
        <v>99991231</v>
      </c>
      <c r="O1279" s="93" t="s">
        <v>646</v>
      </c>
    </row>
    <row r="1280" spans="1:15" hidden="1">
      <c r="A1280" s="75" t="str">
        <f t="shared" si="48"/>
        <v>FRDARTYRefrigeratorbottom freezer refrigeratorRéfrigérateur combiné</v>
      </c>
      <c r="B1280" s="94" t="str">
        <f t="shared" si="49"/>
        <v>FR_DARTY</v>
      </c>
      <c r="C1280" s="93" t="s">
        <v>251</v>
      </c>
      <c r="D1280" s="93" t="s">
        <v>254</v>
      </c>
      <c r="E1280" s="93" t="s">
        <v>2326</v>
      </c>
      <c r="F1280" s="93" t="s">
        <v>2327</v>
      </c>
      <c r="G1280" s="93" t="s">
        <v>2826</v>
      </c>
      <c r="H1280" s="93" t="e">
        <v>#N/A</v>
      </c>
      <c r="I1280" s="105" t="s">
        <v>2310</v>
      </c>
      <c r="J1280" s="93" t="s">
        <v>189</v>
      </c>
      <c r="K1280" s="93">
        <v>10334</v>
      </c>
      <c r="L1280" s="93" t="e">
        <v>#N/A</v>
      </c>
      <c r="M1280" s="93" t="s">
        <v>2311</v>
      </c>
      <c r="N1280" s="93">
        <f>VLOOKUP(B1280,'[16]01.수집 카테고리(List)'!$A$2:$H$64,8,FALSE)</f>
        <v>99991231</v>
      </c>
      <c r="O1280" s="93" t="s">
        <v>646</v>
      </c>
    </row>
    <row r="1281" spans="1:15" hidden="1">
      <c r="A1281" s="75" t="str">
        <f t="shared" si="48"/>
        <v>FRDARTYRefrigeratorfreezer refrigeratorRéfrigérateur congélateur</v>
      </c>
      <c r="B1281" s="94" t="str">
        <f t="shared" si="49"/>
        <v>FR_DARTY</v>
      </c>
      <c r="C1281" s="93" t="s">
        <v>251</v>
      </c>
      <c r="D1281" s="93" t="s">
        <v>254</v>
      </c>
      <c r="E1281" s="93" t="s">
        <v>2326</v>
      </c>
      <c r="F1281" s="93" t="s">
        <v>2827</v>
      </c>
      <c r="G1281" s="93" t="s">
        <v>2828</v>
      </c>
      <c r="H1281" s="93" t="e">
        <v>#N/A</v>
      </c>
      <c r="I1281" s="105" t="s">
        <v>2310</v>
      </c>
      <c r="J1281" s="93" t="s">
        <v>189</v>
      </c>
      <c r="K1281" s="93">
        <v>12410</v>
      </c>
      <c r="L1281" s="93" t="e">
        <v>#N/A</v>
      </c>
      <c r="M1281" s="93" t="s">
        <v>2311</v>
      </c>
      <c r="N1281" s="93">
        <f>VLOOKUP(B1281,'[16]01.수집 카테고리(List)'!$A$2:$H$64,8,FALSE)</f>
        <v>99991231</v>
      </c>
      <c r="O1281" s="93" t="s">
        <v>646</v>
      </c>
    </row>
    <row r="1282" spans="1:15" hidden="1">
      <c r="A1282" s="75" t="str">
        <f t="shared" si="48"/>
        <v>FRDARTYSOUNDBARSoundbarBarre de son</v>
      </c>
      <c r="B1282" s="94" t="str">
        <f t="shared" si="49"/>
        <v>FR_DARTY</v>
      </c>
      <c r="C1282" s="93" t="s">
        <v>251</v>
      </c>
      <c r="D1282" s="93" t="s">
        <v>254</v>
      </c>
      <c r="E1282" s="93" t="s">
        <v>165</v>
      </c>
      <c r="F1282" s="93" t="s">
        <v>2363</v>
      </c>
      <c r="G1282" s="93" t="s">
        <v>2829</v>
      </c>
      <c r="H1282" s="93" t="e">
        <v>#N/A</v>
      </c>
      <c r="I1282" s="105" t="s">
        <v>2310</v>
      </c>
      <c r="J1282" s="93" t="s">
        <v>189</v>
      </c>
      <c r="K1282" s="93">
        <v>4548</v>
      </c>
      <c r="L1282" s="93" t="e">
        <v>#N/A</v>
      </c>
      <c r="M1282" s="93" t="s">
        <v>2311</v>
      </c>
      <c r="N1282" s="93">
        <f>VLOOKUP(B1282,'[16]01.수집 카테고리(List)'!$A$2:$H$64,8,FALSE)</f>
        <v>99991231</v>
      </c>
      <c r="O1282" s="93" t="s">
        <v>646</v>
      </c>
    </row>
    <row r="1283" spans="1:15" hidden="1">
      <c r="A1283" s="75" t="str">
        <f t="shared" si="48"/>
        <v>FRDARTYSoundbarbluetooth soundbarbarre de son bluetooth</v>
      </c>
      <c r="B1283" s="94" t="str">
        <f t="shared" si="49"/>
        <v>FR_DARTY</v>
      </c>
      <c r="C1283" s="93" t="s">
        <v>251</v>
      </c>
      <c r="D1283" s="93" t="s">
        <v>254</v>
      </c>
      <c r="E1283" s="93" t="s">
        <v>2363</v>
      </c>
      <c r="F1283" s="93" t="s">
        <v>2830</v>
      </c>
      <c r="G1283" s="93" t="s">
        <v>2831</v>
      </c>
      <c r="H1283" s="93" t="e">
        <v>#N/A</v>
      </c>
      <c r="I1283" s="105" t="s">
        <v>2310</v>
      </c>
      <c r="J1283" s="93" t="s">
        <v>189</v>
      </c>
      <c r="K1283" s="93">
        <v>1376</v>
      </c>
      <c r="L1283" s="93" t="e">
        <v>#N/A</v>
      </c>
      <c r="M1283" s="93" t="s">
        <v>2311</v>
      </c>
      <c r="N1283" s="93">
        <f>VLOOKUP(B1283,'[16]01.수집 카테고리(List)'!$A$2:$H$64,8,FALSE)</f>
        <v>99991231</v>
      </c>
      <c r="O1283" s="93" t="s">
        <v>646</v>
      </c>
    </row>
    <row r="1284" spans="1:15" hidden="1">
      <c r="A1284" s="75" t="str">
        <f t="shared" si="48"/>
        <v>FRDARTYSOUNDBARsoundbar for tvbarre de son pour tv</v>
      </c>
      <c r="B1284" s="94" t="str">
        <f t="shared" si="49"/>
        <v>FR_DARTY</v>
      </c>
      <c r="C1284" s="93" t="s">
        <v>251</v>
      </c>
      <c r="D1284" s="93" t="s">
        <v>254</v>
      </c>
      <c r="E1284" s="93" t="s">
        <v>165</v>
      </c>
      <c r="F1284" s="93" t="s">
        <v>2573</v>
      </c>
      <c r="G1284" s="93" t="s">
        <v>2832</v>
      </c>
      <c r="H1284" s="93" t="e">
        <v>#N/A</v>
      </c>
      <c r="I1284" s="105" t="s">
        <v>2310</v>
      </c>
      <c r="J1284" s="93" t="s">
        <v>189</v>
      </c>
      <c r="K1284" s="93">
        <v>740</v>
      </c>
      <c r="L1284" s="93" t="e">
        <v>#N/A</v>
      </c>
      <c r="M1284" s="93" t="s">
        <v>2311</v>
      </c>
      <c r="N1284" s="93">
        <f>VLOOKUP(B1284,'[16]01.수집 카테고리(List)'!$A$2:$H$64,8,FALSE)</f>
        <v>99991231</v>
      </c>
      <c r="O1284" s="93" t="s">
        <v>646</v>
      </c>
    </row>
    <row r="1285" spans="1:15" hidden="1">
      <c r="A1285" s="75" t="str">
        <f t="shared" ref="A1285:A1348" si="50">C1285&amp;D1285&amp;E1285&amp;F1285&amp;G1285</f>
        <v>FRDARTYSoundbartv sound barbarre de son tv</v>
      </c>
      <c r="B1285" s="94" t="str">
        <f t="shared" ref="B1285:B1348" si="51">C1285&amp;"_"&amp;D1285</f>
        <v>FR_DARTY</v>
      </c>
      <c r="C1285" s="93" t="s">
        <v>251</v>
      </c>
      <c r="D1285" s="93" t="s">
        <v>254</v>
      </c>
      <c r="E1285" s="93" t="s">
        <v>2363</v>
      </c>
      <c r="F1285" s="93" t="s">
        <v>2833</v>
      </c>
      <c r="G1285" s="93" t="s">
        <v>2834</v>
      </c>
      <c r="H1285" s="93" t="e">
        <v>#N/A</v>
      </c>
      <c r="I1285" s="105" t="s">
        <v>2310</v>
      </c>
      <c r="J1285" s="93" t="s">
        <v>189</v>
      </c>
      <c r="K1285" s="93">
        <v>452</v>
      </c>
      <c r="L1285" s="93" t="e">
        <v>#N/A</v>
      </c>
      <c r="M1285" s="93" t="s">
        <v>2311</v>
      </c>
      <c r="N1285" s="93">
        <f>VLOOKUP(B1285,'[16]01.수집 카테고리(List)'!$A$2:$H$64,8,FALSE)</f>
        <v>99991231</v>
      </c>
      <c r="O1285" s="93" t="s">
        <v>646</v>
      </c>
    </row>
    <row r="1286" spans="1:15" hidden="1">
      <c r="A1286" s="75" t="str">
        <f t="shared" si="50"/>
        <v>FRDARTYTVSmart TVsmart TV</v>
      </c>
      <c r="B1286" s="94" t="str">
        <f t="shared" si="51"/>
        <v>FR_DARTY</v>
      </c>
      <c r="C1286" s="93" t="s">
        <v>251</v>
      </c>
      <c r="D1286" s="93" t="s">
        <v>254</v>
      </c>
      <c r="E1286" s="93" t="s">
        <v>161</v>
      </c>
      <c r="F1286" s="93" t="s">
        <v>2835</v>
      </c>
      <c r="G1286" s="93" t="s">
        <v>2371</v>
      </c>
      <c r="H1286" s="93" t="e">
        <v>#N/A</v>
      </c>
      <c r="I1286" s="105" t="s">
        <v>2310</v>
      </c>
      <c r="J1286" s="93" t="s">
        <v>189</v>
      </c>
      <c r="K1286" s="93">
        <v>9519</v>
      </c>
      <c r="L1286" s="93">
        <v>9519</v>
      </c>
      <c r="M1286" s="93" t="s">
        <v>2311</v>
      </c>
      <c r="N1286" s="93">
        <f>VLOOKUP(B1286,'[16]01.수집 카테고리(List)'!$A$2:$H$64,8,FALSE)</f>
        <v>99991231</v>
      </c>
      <c r="O1286" s="93" t="s">
        <v>646</v>
      </c>
    </row>
    <row r="1287" spans="1:15" hidden="1">
      <c r="A1287" s="75" t="str">
        <f t="shared" si="50"/>
        <v>FRDARTYTVTVTV</v>
      </c>
      <c r="B1287" s="94" t="str">
        <f t="shared" si="51"/>
        <v>FR_DARTY</v>
      </c>
      <c r="C1287" s="93" t="s">
        <v>251</v>
      </c>
      <c r="D1287" s="93" t="s">
        <v>254</v>
      </c>
      <c r="E1287" s="93" t="s">
        <v>161</v>
      </c>
      <c r="F1287" s="93" t="s">
        <v>161</v>
      </c>
      <c r="G1287" s="93" t="s">
        <v>161</v>
      </c>
      <c r="H1287" s="93" t="e">
        <v>#N/A</v>
      </c>
      <c r="I1287" s="105" t="s">
        <v>2310</v>
      </c>
      <c r="J1287" s="93" t="s">
        <v>189</v>
      </c>
      <c r="K1287" s="93">
        <v>11414</v>
      </c>
      <c r="L1287" s="93">
        <v>11414</v>
      </c>
      <c r="M1287" s="93" t="s">
        <v>2311</v>
      </c>
      <c r="N1287" s="93">
        <f>VLOOKUP(B1287,'[16]01.수집 카테고리(List)'!$A$2:$H$64,8,FALSE)</f>
        <v>99991231</v>
      </c>
      <c r="O1287" s="93" t="s">
        <v>646</v>
      </c>
    </row>
    <row r="1288" spans="1:15" hidden="1">
      <c r="A1288" s="75" t="str">
        <f t="shared" si="50"/>
        <v>FRDARTYTV4k TVTV 4K</v>
      </c>
      <c r="B1288" s="94" t="str">
        <f t="shared" si="51"/>
        <v>FR_DARTY</v>
      </c>
      <c r="C1288" s="93" t="s">
        <v>251</v>
      </c>
      <c r="D1288" s="93" t="s">
        <v>254</v>
      </c>
      <c r="E1288" s="93" t="s">
        <v>161</v>
      </c>
      <c r="F1288" s="93" t="s">
        <v>2368</v>
      </c>
      <c r="G1288" s="93" t="s">
        <v>2508</v>
      </c>
      <c r="H1288" s="93" t="e">
        <v>#N/A</v>
      </c>
      <c r="I1288" s="105" t="s">
        <v>2310</v>
      </c>
      <c r="J1288" s="93" t="s">
        <v>189</v>
      </c>
      <c r="K1288" s="93">
        <v>9984</v>
      </c>
      <c r="L1288" s="93" t="e">
        <v>#N/A</v>
      </c>
      <c r="M1288" s="93" t="s">
        <v>2311</v>
      </c>
      <c r="N1288" s="93">
        <f>VLOOKUP(B1288,'[16]01.수집 카테고리(List)'!$A$2:$H$64,8,FALSE)</f>
        <v>99991231</v>
      </c>
      <c r="O1288" s="93" t="s">
        <v>646</v>
      </c>
    </row>
    <row r="1289" spans="1:15" hidden="1">
      <c r="A1289" s="75" t="str">
        <f t="shared" si="50"/>
        <v>FRDARTYTV8K TVTV 8K</v>
      </c>
      <c r="B1289" s="94" t="str">
        <f t="shared" si="51"/>
        <v>FR_DARTY</v>
      </c>
      <c r="C1289" s="93" t="s">
        <v>251</v>
      </c>
      <c r="D1289" s="93" t="s">
        <v>254</v>
      </c>
      <c r="E1289" s="93" t="s">
        <v>161</v>
      </c>
      <c r="F1289" s="93" t="s">
        <v>2836</v>
      </c>
      <c r="G1289" s="93" t="s">
        <v>2837</v>
      </c>
      <c r="H1289" s="93" t="e">
        <v>#N/A</v>
      </c>
      <c r="I1289" s="105" t="s">
        <v>2310</v>
      </c>
      <c r="J1289" s="93" t="s">
        <v>189</v>
      </c>
      <c r="K1289" s="93">
        <v>372</v>
      </c>
      <c r="L1289" s="93" t="e">
        <v>#N/A</v>
      </c>
      <c r="M1289" s="93" t="s">
        <v>2311</v>
      </c>
      <c r="N1289" s="93">
        <f>VLOOKUP(B1289,'[16]01.수집 카테고리(List)'!$A$2:$H$64,8,FALSE)</f>
        <v>99991231</v>
      </c>
      <c r="O1289" s="93" t="s">
        <v>646</v>
      </c>
    </row>
    <row r="1290" spans="1:15" hidden="1">
      <c r="A1290" s="75" t="str">
        <f t="shared" si="50"/>
        <v>FRDARTYTVLED TVTV LED</v>
      </c>
      <c r="B1290" s="94" t="str">
        <f t="shared" si="51"/>
        <v>FR_DARTY</v>
      </c>
      <c r="C1290" s="93" t="s">
        <v>251</v>
      </c>
      <c r="D1290" s="93" t="s">
        <v>254</v>
      </c>
      <c r="E1290" s="93" t="s">
        <v>161</v>
      </c>
      <c r="F1290" s="93" t="s">
        <v>2838</v>
      </c>
      <c r="G1290" s="93" t="s">
        <v>2839</v>
      </c>
      <c r="H1290" s="93" t="e">
        <v>#N/A</v>
      </c>
      <c r="I1290" s="105" t="s">
        <v>2310</v>
      </c>
      <c r="J1290" s="93" t="s">
        <v>189</v>
      </c>
      <c r="K1290" s="93">
        <v>11115</v>
      </c>
      <c r="L1290" s="93" t="e">
        <v>#N/A</v>
      </c>
      <c r="M1290" s="93" t="s">
        <v>2311</v>
      </c>
      <c r="N1290" s="93">
        <f>VLOOKUP(B1290,'[16]01.수집 카테고리(List)'!$A$2:$H$64,8,FALSE)</f>
        <v>99991231</v>
      </c>
      <c r="O1290" s="93" t="s">
        <v>646</v>
      </c>
    </row>
    <row r="1291" spans="1:15" hidden="1">
      <c r="A1291" s="75" t="str">
        <f t="shared" si="50"/>
        <v>FRDARTYTVoled TVTV OLED</v>
      </c>
      <c r="B1291" s="94" t="str">
        <f t="shared" si="51"/>
        <v>FR_DARTY</v>
      </c>
      <c r="C1291" s="93" t="s">
        <v>251</v>
      </c>
      <c r="D1291" s="93" t="s">
        <v>254</v>
      </c>
      <c r="E1291" s="93" t="s">
        <v>161</v>
      </c>
      <c r="F1291" s="93" t="s">
        <v>2369</v>
      </c>
      <c r="G1291" s="93" t="s">
        <v>2840</v>
      </c>
      <c r="H1291" s="93" t="e">
        <v>#N/A</v>
      </c>
      <c r="I1291" s="105" t="s">
        <v>2310</v>
      </c>
      <c r="J1291" s="93" t="s">
        <v>189</v>
      </c>
      <c r="K1291" s="93">
        <v>10064</v>
      </c>
      <c r="L1291" s="93" t="e">
        <v>#N/A</v>
      </c>
      <c r="M1291" s="93" t="s">
        <v>2311</v>
      </c>
      <c r="N1291" s="93">
        <f>VLOOKUP(B1291,'[16]01.수집 카테고리(List)'!$A$2:$H$64,8,FALSE)</f>
        <v>99991231</v>
      </c>
      <c r="O1291" s="93" t="s">
        <v>646</v>
      </c>
    </row>
    <row r="1292" spans="1:15" hidden="1">
      <c r="A1292" s="75" t="str">
        <f t="shared" si="50"/>
        <v>FRDARTYTVuhd TVTV UHD</v>
      </c>
      <c r="B1292" s="94" t="str">
        <f t="shared" si="51"/>
        <v>FR_DARTY</v>
      </c>
      <c r="C1292" s="93" t="s">
        <v>251</v>
      </c>
      <c r="D1292" s="93" t="s">
        <v>254</v>
      </c>
      <c r="E1292" s="93" t="s">
        <v>161</v>
      </c>
      <c r="F1292" s="93" t="s">
        <v>2399</v>
      </c>
      <c r="G1292" s="93" t="s">
        <v>2841</v>
      </c>
      <c r="H1292" s="93" t="e">
        <v>#N/A</v>
      </c>
      <c r="I1292" s="105" t="s">
        <v>2310</v>
      </c>
      <c r="J1292" s="93" t="s">
        <v>189</v>
      </c>
      <c r="K1292" s="93">
        <v>9979</v>
      </c>
      <c r="L1292" s="93" t="e">
        <v>#N/A</v>
      </c>
      <c r="M1292" s="93" t="s">
        <v>2311</v>
      </c>
      <c r="N1292" s="93">
        <f>VLOOKUP(B1292,'[16]01.수집 카테고리(List)'!$A$2:$H$64,8,FALSE)</f>
        <v>99991231</v>
      </c>
      <c r="O1292" s="93" t="s">
        <v>646</v>
      </c>
    </row>
    <row r="1293" spans="1:15" hidden="1">
      <c r="A1293" s="75" t="str">
        <f t="shared" si="50"/>
        <v>FRDARTYWashing Machinewashing machinelave-linge</v>
      </c>
      <c r="B1293" s="94" t="str">
        <f t="shared" si="51"/>
        <v>FR_DARTY</v>
      </c>
      <c r="C1293" s="93" t="s">
        <v>251</v>
      </c>
      <c r="D1293" s="93" t="s">
        <v>254</v>
      </c>
      <c r="E1293" s="93" t="s">
        <v>2333</v>
      </c>
      <c r="F1293" s="93" t="s">
        <v>2340</v>
      </c>
      <c r="G1293" s="93" t="s">
        <v>2842</v>
      </c>
      <c r="H1293" s="93" t="e">
        <v>#N/A</v>
      </c>
      <c r="I1293" s="105" t="s">
        <v>2310</v>
      </c>
      <c r="J1293" s="93" t="s">
        <v>189</v>
      </c>
      <c r="K1293" s="93">
        <v>15317</v>
      </c>
      <c r="L1293" s="93" t="e">
        <v>#N/A</v>
      </c>
      <c r="M1293" s="93" t="s">
        <v>2311</v>
      </c>
      <c r="N1293" s="93">
        <f>VLOOKUP(B1293,'[16]01.수집 카테고리(List)'!$A$2:$H$64,8,FALSE)</f>
        <v>99991231</v>
      </c>
      <c r="O1293" s="93" t="s">
        <v>646</v>
      </c>
    </row>
    <row r="1294" spans="1:15" hidden="1">
      <c r="A1294" s="75" t="str">
        <f t="shared" si="50"/>
        <v>FRDARTYWashing Machinefront loaderLave-linge hublot</v>
      </c>
      <c r="B1294" s="94" t="str">
        <f t="shared" si="51"/>
        <v>FR_DARTY</v>
      </c>
      <c r="C1294" s="93" t="s">
        <v>251</v>
      </c>
      <c r="D1294" s="93" t="s">
        <v>254</v>
      </c>
      <c r="E1294" s="93" t="s">
        <v>2333</v>
      </c>
      <c r="F1294" s="93" t="s">
        <v>2334</v>
      </c>
      <c r="G1294" s="93" t="s">
        <v>2843</v>
      </c>
      <c r="H1294" s="93" t="e">
        <v>#N/A</v>
      </c>
      <c r="I1294" s="105" t="s">
        <v>2310</v>
      </c>
      <c r="J1294" s="93" t="s">
        <v>189</v>
      </c>
      <c r="K1294" s="93">
        <v>13694</v>
      </c>
      <c r="L1294" s="93" t="e">
        <v>#N/A</v>
      </c>
      <c r="M1294" s="93" t="s">
        <v>2311</v>
      </c>
      <c r="N1294" s="93">
        <f>VLOOKUP(B1294,'[16]01.수집 카테고리(List)'!$A$2:$H$64,8,FALSE)</f>
        <v>99991231</v>
      </c>
      <c r="O1294" s="93" t="s">
        <v>646</v>
      </c>
    </row>
    <row r="1295" spans="1:15" hidden="1">
      <c r="A1295" s="75" t="str">
        <f t="shared" si="50"/>
        <v>FRDARTYWashing Machinewasher dryer comboLave-linge séchant</v>
      </c>
      <c r="B1295" s="94" t="str">
        <f t="shared" si="51"/>
        <v>FR_DARTY</v>
      </c>
      <c r="C1295" s="93" t="s">
        <v>251</v>
      </c>
      <c r="D1295" s="93" t="s">
        <v>254</v>
      </c>
      <c r="E1295" s="93" t="s">
        <v>2333</v>
      </c>
      <c r="F1295" s="93" t="s">
        <v>2338</v>
      </c>
      <c r="G1295" s="93" t="s">
        <v>2844</v>
      </c>
      <c r="H1295" s="93" t="e">
        <v>#N/A</v>
      </c>
      <c r="I1295" s="105" t="s">
        <v>2310</v>
      </c>
      <c r="J1295" s="93" t="s">
        <v>189</v>
      </c>
      <c r="K1295" s="93">
        <v>2503</v>
      </c>
      <c r="L1295" s="93" t="e">
        <v>#N/A</v>
      </c>
      <c r="M1295" s="93" t="s">
        <v>2311</v>
      </c>
      <c r="N1295" s="93">
        <f>VLOOKUP(B1295,'[16]01.수집 카테고리(List)'!$A$2:$H$64,8,FALSE)</f>
        <v>99991231</v>
      </c>
      <c r="O1295" s="93" t="s">
        <v>646</v>
      </c>
    </row>
    <row r="1296" spans="1:15" hidden="1">
      <c r="A1296" s="75" t="str">
        <f t="shared" si="50"/>
        <v>FRDARTYWireless HeadsetEarbudsécouteurs</v>
      </c>
      <c r="B1296" s="94" t="str">
        <f t="shared" si="51"/>
        <v>FR_DARTY</v>
      </c>
      <c r="C1296" s="93" t="s">
        <v>251</v>
      </c>
      <c r="D1296" s="93" t="s">
        <v>254</v>
      </c>
      <c r="E1296" s="93" t="s">
        <v>2373</v>
      </c>
      <c r="F1296" s="93" t="s">
        <v>2534</v>
      </c>
      <c r="G1296" s="93" t="s">
        <v>2845</v>
      </c>
      <c r="H1296" s="93" t="e">
        <v>#N/A</v>
      </c>
      <c r="I1296" s="105" t="s">
        <v>2310</v>
      </c>
      <c r="J1296" s="93" t="s">
        <v>189</v>
      </c>
      <c r="K1296" s="93">
        <v>13422</v>
      </c>
      <c r="L1296" s="93" t="e">
        <v>#N/A</v>
      </c>
      <c r="M1296" s="93" t="s">
        <v>2311</v>
      </c>
      <c r="N1296" s="93">
        <f>VLOOKUP(B1296,'[16]01.수집 카테고리(List)'!$A$2:$H$64,8,FALSE)</f>
        <v>99991231</v>
      </c>
      <c r="O1296" s="93" t="s">
        <v>646</v>
      </c>
    </row>
    <row r="1297" spans="1:15" hidden="1">
      <c r="A1297" s="75" t="str">
        <f t="shared" si="50"/>
        <v>FRDARTYWireless Headsetbluetooth headphonesécouteurs bluetooth</v>
      </c>
      <c r="B1297" s="94" t="str">
        <f t="shared" si="51"/>
        <v>FR_DARTY</v>
      </c>
      <c r="C1297" s="93" t="s">
        <v>251</v>
      </c>
      <c r="D1297" s="93" t="s">
        <v>254</v>
      </c>
      <c r="E1297" s="93" t="s">
        <v>2373</v>
      </c>
      <c r="F1297" s="93" t="s">
        <v>2846</v>
      </c>
      <c r="G1297" s="93" t="s">
        <v>2847</v>
      </c>
      <c r="H1297" s="93" t="e">
        <v>#N/A</v>
      </c>
      <c r="I1297" s="105" t="s">
        <v>2310</v>
      </c>
      <c r="J1297" s="93" t="s">
        <v>189</v>
      </c>
      <c r="K1297" s="93">
        <v>6250</v>
      </c>
      <c r="L1297" s="93" t="e">
        <v>#N/A</v>
      </c>
      <c r="M1297" s="93" t="s">
        <v>2311</v>
      </c>
      <c r="N1297" s="93">
        <f>VLOOKUP(B1297,'[16]01.수집 카테고리(List)'!$A$2:$H$64,8,FALSE)</f>
        <v>99991231</v>
      </c>
      <c r="O1297" s="93" t="s">
        <v>646</v>
      </c>
    </row>
    <row r="1298" spans="1:15" hidden="1">
      <c r="A1298" s="75" t="str">
        <f t="shared" si="50"/>
        <v>FRDARTYWireless Headsetsports bluetooth earphonesécouteurs bluetooth sport</v>
      </c>
      <c r="B1298" s="94" t="str">
        <f t="shared" si="51"/>
        <v>FR_DARTY</v>
      </c>
      <c r="C1298" s="93" t="s">
        <v>251</v>
      </c>
      <c r="D1298" s="93" t="s">
        <v>254</v>
      </c>
      <c r="E1298" s="93" t="s">
        <v>2373</v>
      </c>
      <c r="F1298" s="93" t="s">
        <v>2848</v>
      </c>
      <c r="G1298" s="93" t="s">
        <v>2849</v>
      </c>
      <c r="H1298" s="93" t="e">
        <v>#N/A</v>
      </c>
      <c r="I1298" s="105" t="s">
        <v>2310</v>
      </c>
      <c r="J1298" s="93" t="s">
        <v>189</v>
      </c>
      <c r="K1298" s="93">
        <v>6943</v>
      </c>
      <c r="L1298" s="93" t="e">
        <v>#N/A</v>
      </c>
      <c r="M1298" s="93" t="s">
        <v>2311</v>
      </c>
      <c r="N1298" s="93">
        <f>VLOOKUP(B1298,'[16]01.수집 카테고리(List)'!$A$2:$H$64,8,FALSE)</f>
        <v>99991231</v>
      </c>
      <c r="O1298" s="93" t="s">
        <v>646</v>
      </c>
    </row>
    <row r="1299" spans="1:15" hidden="1">
      <c r="A1299" s="75" t="str">
        <f t="shared" si="50"/>
        <v>FRDARTYWireless HeadsetWireless Earbudsécouteurs sans fil</v>
      </c>
      <c r="B1299" s="94" t="str">
        <f t="shared" si="51"/>
        <v>FR_DARTY</v>
      </c>
      <c r="C1299" s="93" t="s">
        <v>251</v>
      </c>
      <c r="D1299" s="93" t="s">
        <v>254</v>
      </c>
      <c r="E1299" s="93" t="s">
        <v>2373</v>
      </c>
      <c r="F1299" s="93" t="s">
        <v>2760</v>
      </c>
      <c r="G1299" s="93" t="s">
        <v>2850</v>
      </c>
      <c r="H1299" s="93" t="e">
        <v>#N/A</v>
      </c>
      <c r="I1299" s="105" t="s">
        <v>2310</v>
      </c>
      <c r="J1299" s="93" t="s">
        <v>189</v>
      </c>
      <c r="K1299" s="93">
        <v>11613</v>
      </c>
      <c r="L1299" s="93" t="e">
        <v>#N/A</v>
      </c>
      <c r="M1299" s="93" t="s">
        <v>2311</v>
      </c>
      <c r="N1299" s="93">
        <f>VLOOKUP(B1299,'[16]01.수집 카테고리(List)'!$A$2:$H$64,8,FALSE)</f>
        <v>99991231</v>
      </c>
      <c r="O1299" s="93" t="s">
        <v>646</v>
      </c>
    </row>
    <row r="1300" spans="1:15" s="108" customFormat="1" hidden="1">
      <c r="A1300" s="108" t="str">
        <f t="shared" si="50"/>
        <v>FRDARTYAir Conditionerair conditionerclimatiseur</v>
      </c>
      <c r="B1300" s="109" t="str">
        <f t="shared" si="51"/>
        <v>FR_DARTY</v>
      </c>
      <c r="C1300" s="110" t="s">
        <v>251</v>
      </c>
      <c r="D1300" s="110" t="s">
        <v>254</v>
      </c>
      <c r="E1300" s="110" t="s">
        <v>2524</v>
      </c>
      <c r="F1300" s="110" t="s">
        <v>2347</v>
      </c>
      <c r="G1300" s="110" t="s">
        <v>2851</v>
      </c>
      <c r="H1300" s="93" t="e">
        <v>#N/A</v>
      </c>
      <c r="I1300" s="99">
        <v>46076</v>
      </c>
      <c r="J1300" s="83" t="s">
        <v>189</v>
      </c>
      <c r="K1300" s="110"/>
      <c r="L1300" s="110"/>
      <c r="M1300" s="110"/>
      <c r="N1300" s="110"/>
      <c r="O1300" s="110"/>
    </row>
    <row r="1301" spans="1:15" s="108" customFormat="1" hidden="1">
      <c r="A1301" s="108" t="str">
        <f t="shared" si="50"/>
        <v>FRDARTYAir Conditionerinverter air conditionerclimatiseur inverseur</v>
      </c>
      <c r="B1301" s="109" t="str">
        <f t="shared" si="51"/>
        <v>FR_DARTY</v>
      </c>
      <c r="C1301" s="110" t="s">
        <v>251</v>
      </c>
      <c r="D1301" s="110" t="s">
        <v>254</v>
      </c>
      <c r="E1301" s="110" t="s">
        <v>2524</v>
      </c>
      <c r="F1301" s="110" t="s">
        <v>2348</v>
      </c>
      <c r="G1301" s="110" t="s">
        <v>2856</v>
      </c>
      <c r="H1301" s="93" t="e">
        <v>#N/A</v>
      </c>
      <c r="I1301" s="99">
        <v>46076</v>
      </c>
      <c r="J1301" s="83" t="s">
        <v>189</v>
      </c>
      <c r="K1301" s="110"/>
      <c r="L1301" s="110"/>
      <c r="M1301" s="110"/>
      <c r="N1301" s="110"/>
      <c r="O1301" s="110"/>
    </row>
    <row r="1302" spans="1:15" s="108" customFormat="1" hidden="1">
      <c r="A1302" s="108" t="str">
        <f t="shared" si="50"/>
        <v>FRDARTYAir Conditionersplit air conditionerclimatiseur split</v>
      </c>
      <c r="B1302" s="109" t="str">
        <f t="shared" si="51"/>
        <v>FR_DARTY</v>
      </c>
      <c r="C1302" s="110" t="s">
        <v>251</v>
      </c>
      <c r="D1302" s="110" t="s">
        <v>254</v>
      </c>
      <c r="E1302" s="110" t="s">
        <v>2524</v>
      </c>
      <c r="F1302" s="110" t="s">
        <v>2422</v>
      </c>
      <c r="G1302" s="110" t="s">
        <v>2857</v>
      </c>
      <c r="H1302" s="93" t="e">
        <v>#N/A</v>
      </c>
      <c r="I1302" s="99">
        <v>46076</v>
      </c>
      <c r="J1302" s="83" t="s">
        <v>189</v>
      </c>
      <c r="K1302" s="110"/>
      <c r="L1302" s="110"/>
      <c r="M1302" s="110"/>
      <c r="N1302" s="110"/>
      <c r="O1302" s="110"/>
    </row>
    <row r="1303" spans="1:15" s="108" customFormat="1" hidden="1">
      <c r="A1303" s="108" t="str">
        <f t="shared" si="50"/>
        <v>FRDARTYAir Conditionersplit inverter air conditionerclimatiseur split inverter</v>
      </c>
      <c r="B1303" s="109" t="str">
        <f t="shared" si="51"/>
        <v>FR_DARTY</v>
      </c>
      <c r="C1303" s="110" t="s">
        <v>251</v>
      </c>
      <c r="D1303" s="110" t="s">
        <v>254</v>
      </c>
      <c r="E1303" s="110" t="s">
        <v>2524</v>
      </c>
      <c r="F1303" s="110" t="s">
        <v>2423</v>
      </c>
      <c r="G1303" s="110" t="s">
        <v>2852</v>
      </c>
      <c r="H1303" s="93" t="e">
        <v>#N/A</v>
      </c>
      <c r="I1303" s="99">
        <v>46076</v>
      </c>
      <c r="J1303" s="83" t="s">
        <v>189</v>
      </c>
      <c r="K1303" s="110"/>
      <c r="L1303" s="110"/>
      <c r="M1303" s="110"/>
      <c r="N1303" s="110"/>
      <c r="O1303" s="110"/>
    </row>
    <row r="1304" spans="1:15" s="108" customFormat="1" hidden="1">
      <c r="A1304" s="108" t="str">
        <f t="shared" si="50"/>
        <v>FRDARTYAir Conditionerwindow air conditionerclimatiseur de fenêtre</v>
      </c>
      <c r="B1304" s="109" t="str">
        <f t="shared" si="51"/>
        <v>FR_DARTY</v>
      </c>
      <c r="C1304" s="110" t="s">
        <v>251</v>
      </c>
      <c r="D1304" s="110" t="s">
        <v>254</v>
      </c>
      <c r="E1304" s="110" t="s">
        <v>2524</v>
      </c>
      <c r="F1304" s="110" t="s">
        <v>2350</v>
      </c>
      <c r="G1304" s="110" t="s">
        <v>2853</v>
      </c>
      <c r="H1304" s="93" t="e">
        <v>#N/A</v>
      </c>
      <c r="I1304" s="99">
        <v>46076</v>
      </c>
      <c r="J1304" s="83" t="s">
        <v>189</v>
      </c>
      <c r="K1304" s="110"/>
      <c r="L1304" s="110"/>
      <c r="M1304" s="110"/>
      <c r="N1304" s="110"/>
      <c r="O1304" s="110"/>
    </row>
    <row r="1305" spans="1:15" s="108" customFormat="1" hidden="1">
      <c r="A1305" s="108" t="str">
        <f t="shared" si="50"/>
        <v>FRDARTYAir Conditionerwindow inverter air conditionerclimatiseur inverter de fenêtre</v>
      </c>
      <c r="B1305" s="109" t="str">
        <f t="shared" si="51"/>
        <v>FR_DARTY</v>
      </c>
      <c r="C1305" s="110" t="s">
        <v>251</v>
      </c>
      <c r="D1305" s="110" t="s">
        <v>254</v>
      </c>
      <c r="E1305" s="110" t="s">
        <v>2524</v>
      </c>
      <c r="F1305" s="110" t="s">
        <v>2424</v>
      </c>
      <c r="G1305" s="110" t="s">
        <v>2854</v>
      </c>
      <c r="H1305" s="93" t="e">
        <v>#N/A</v>
      </c>
      <c r="I1305" s="99">
        <v>46076</v>
      </c>
      <c r="J1305" s="83" t="s">
        <v>189</v>
      </c>
      <c r="K1305" s="110"/>
      <c r="L1305" s="110"/>
      <c r="M1305" s="110"/>
      <c r="N1305" s="110"/>
      <c r="O1305" s="110"/>
    </row>
    <row r="1306" spans="1:15" s="81" customFormat="1" hidden="1">
      <c r="A1306" s="81" t="str">
        <f t="shared" si="50"/>
        <v>FRDARTYDryerDryerséchoir</v>
      </c>
      <c r="B1306" s="106" t="str">
        <f t="shared" si="51"/>
        <v>FR_DARTY</v>
      </c>
      <c r="C1306" s="107" t="s">
        <v>251</v>
      </c>
      <c r="D1306" s="107" t="s">
        <v>254</v>
      </c>
      <c r="E1306" s="107" t="s">
        <v>2535</v>
      </c>
      <c r="F1306" s="119" t="s">
        <v>2431</v>
      </c>
      <c r="G1306" s="119" t="s">
        <v>2855</v>
      </c>
      <c r="H1306" s="93" t="e">
        <v>#N/A</v>
      </c>
      <c r="I1306" s="99">
        <v>46076</v>
      </c>
      <c r="J1306" s="83" t="s">
        <v>189</v>
      </c>
      <c r="K1306" s="107"/>
      <c r="L1306" s="107"/>
      <c r="M1306" s="107"/>
      <c r="N1306" s="107"/>
      <c r="O1306" s="107"/>
    </row>
    <row r="1307" spans="1:15" hidden="1">
      <c r="A1307" s="75" t="str">
        <f t="shared" si="50"/>
        <v>FRFNACBluetooth Speakerspeakersenceinte</v>
      </c>
      <c r="B1307" s="94" t="str">
        <f t="shared" si="51"/>
        <v>FR_FNAC</v>
      </c>
      <c r="C1307" s="93" t="s">
        <v>251</v>
      </c>
      <c r="D1307" s="93" t="s">
        <v>256</v>
      </c>
      <c r="E1307" s="93" t="s">
        <v>2307</v>
      </c>
      <c r="F1307" s="93" t="s">
        <v>2471</v>
      </c>
      <c r="G1307" s="93" t="s">
        <v>2794</v>
      </c>
      <c r="H1307" s="93" t="e">
        <v>#N/A</v>
      </c>
      <c r="I1307" s="105" t="s">
        <v>2310</v>
      </c>
      <c r="J1307" s="93" t="s">
        <v>189</v>
      </c>
      <c r="K1307" s="93">
        <v>12361</v>
      </c>
      <c r="L1307" s="93" t="e">
        <v>#N/A</v>
      </c>
      <c r="M1307" s="93" t="s">
        <v>2311</v>
      </c>
      <c r="N1307" s="93">
        <f>VLOOKUP(B1307,'[16]01.수집 카테고리(List)'!$A$2:$H$64,8,FALSE)</f>
        <v>99991231</v>
      </c>
      <c r="O1307" s="93" t="s">
        <v>646</v>
      </c>
    </row>
    <row r="1308" spans="1:15" hidden="1">
      <c r="A1308" s="75" t="str">
        <f t="shared" si="50"/>
        <v>FRFNACBluetooth Speakerbluetooth speakerenceinte Bluetooth</v>
      </c>
      <c r="B1308" s="94" t="str">
        <f t="shared" si="51"/>
        <v>FR_FNAC</v>
      </c>
      <c r="C1308" s="93" t="s">
        <v>251</v>
      </c>
      <c r="D1308" s="93" t="s">
        <v>256</v>
      </c>
      <c r="E1308" s="93" t="s">
        <v>2307</v>
      </c>
      <c r="F1308" s="93" t="s">
        <v>2657</v>
      </c>
      <c r="G1308" s="93" t="s">
        <v>2795</v>
      </c>
      <c r="H1308" s="93" t="e">
        <v>#N/A</v>
      </c>
      <c r="I1308" s="105" t="s">
        <v>2310</v>
      </c>
      <c r="J1308" s="93" t="s">
        <v>189</v>
      </c>
      <c r="K1308" s="93">
        <v>12162</v>
      </c>
      <c r="L1308" s="93" t="e">
        <v>#N/A</v>
      </c>
      <c r="M1308" s="93" t="s">
        <v>2311</v>
      </c>
      <c r="N1308" s="93">
        <f>VLOOKUP(B1308,'[16]01.수집 카테고리(List)'!$A$2:$H$64,8,FALSE)</f>
        <v>99991231</v>
      </c>
      <c r="O1308" s="93" t="s">
        <v>646</v>
      </c>
    </row>
    <row r="1309" spans="1:15" hidden="1">
      <c r="A1309" s="75" t="str">
        <f t="shared" si="50"/>
        <v>FRFNACBluetooth Speakerbluetooth speaker portableenceinte Bluetooth portable</v>
      </c>
      <c r="B1309" s="94" t="str">
        <f t="shared" si="51"/>
        <v>FR_FNAC</v>
      </c>
      <c r="C1309" s="93" t="s">
        <v>251</v>
      </c>
      <c r="D1309" s="93" t="s">
        <v>256</v>
      </c>
      <c r="E1309" s="93" t="s">
        <v>2307</v>
      </c>
      <c r="F1309" s="93" t="s">
        <v>2479</v>
      </c>
      <c r="G1309" s="93" t="s">
        <v>2796</v>
      </c>
      <c r="H1309" s="93" t="e">
        <v>#N/A</v>
      </c>
      <c r="I1309" s="105" t="s">
        <v>2310</v>
      </c>
      <c r="J1309" s="93" t="s">
        <v>189</v>
      </c>
      <c r="K1309" s="93">
        <v>10954</v>
      </c>
      <c r="L1309" s="93" t="e">
        <v>#N/A</v>
      </c>
      <c r="M1309" s="93" t="s">
        <v>2311</v>
      </c>
      <c r="N1309" s="93">
        <f>VLOOKUP(B1309,'[16]01.수집 카테고리(List)'!$A$2:$H$64,8,FALSE)</f>
        <v>99991231</v>
      </c>
      <c r="O1309" s="93" t="s">
        <v>646</v>
      </c>
    </row>
    <row r="1310" spans="1:15" hidden="1">
      <c r="A1310" s="75" t="str">
        <f t="shared" si="50"/>
        <v>FRFNACBluetooth Speakerportable speakersenceinte portable</v>
      </c>
      <c r="B1310" s="94" t="str">
        <f t="shared" si="51"/>
        <v>FR_FNAC</v>
      </c>
      <c r="C1310" s="93" t="s">
        <v>251</v>
      </c>
      <c r="D1310" s="93" t="s">
        <v>256</v>
      </c>
      <c r="E1310" s="93" t="s">
        <v>2307</v>
      </c>
      <c r="F1310" s="93" t="s">
        <v>2473</v>
      </c>
      <c r="G1310" s="93" t="s">
        <v>2797</v>
      </c>
      <c r="H1310" s="93" t="e">
        <v>#N/A</v>
      </c>
      <c r="I1310" s="105" t="s">
        <v>2310</v>
      </c>
      <c r="J1310" s="93" t="s">
        <v>189</v>
      </c>
      <c r="K1310" s="93">
        <v>7266</v>
      </c>
      <c r="L1310" s="93" t="e">
        <v>#N/A</v>
      </c>
      <c r="M1310" s="93" t="s">
        <v>2311</v>
      </c>
      <c r="N1310" s="93">
        <f>VLOOKUP(B1310,'[16]01.수집 카테고리(List)'!$A$2:$H$64,8,FALSE)</f>
        <v>99991231</v>
      </c>
      <c r="O1310" s="93" t="s">
        <v>646</v>
      </c>
    </row>
    <row r="1311" spans="1:15" hidden="1">
      <c r="A1311" s="75" t="str">
        <f t="shared" si="50"/>
        <v>FRFNACBluetooth SpeakerWireless speakerEnceinte sans fil</v>
      </c>
      <c r="B1311" s="94" t="str">
        <f t="shared" si="51"/>
        <v>FR_FNAC</v>
      </c>
      <c r="C1311" s="93" t="s">
        <v>251</v>
      </c>
      <c r="D1311" s="93" t="s">
        <v>256</v>
      </c>
      <c r="E1311" s="93" t="s">
        <v>2307</v>
      </c>
      <c r="F1311" s="93" t="s">
        <v>2316</v>
      </c>
      <c r="G1311" s="93" t="s">
        <v>2798</v>
      </c>
      <c r="H1311" s="93" t="e">
        <v>#N/A</v>
      </c>
      <c r="I1311" s="105" t="s">
        <v>2310</v>
      </c>
      <c r="J1311" s="93" t="s">
        <v>189</v>
      </c>
      <c r="K1311" s="93">
        <v>7200</v>
      </c>
      <c r="L1311" s="93" t="e">
        <v>#N/A</v>
      </c>
      <c r="M1311" s="93" t="s">
        <v>2311</v>
      </c>
      <c r="N1311" s="93">
        <f>VLOOKUP(B1311,'[16]01.수집 카테고리(List)'!$A$2:$H$64,8,FALSE)</f>
        <v>99991231</v>
      </c>
      <c r="O1311" s="93" t="s">
        <v>646</v>
      </c>
    </row>
    <row r="1312" spans="1:15" hidden="1">
      <c r="A1312" s="75" t="str">
        <f t="shared" si="50"/>
        <v>FRFNACDishwasherDish WasherLave vaisselle</v>
      </c>
      <c r="B1312" s="94" t="str">
        <f t="shared" si="51"/>
        <v>FR_FNAC</v>
      </c>
      <c r="C1312" s="93" t="s">
        <v>251</v>
      </c>
      <c r="D1312" s="93" t="s">
        <v>256</v>
      </c>
      <c r="E1312" s="93" t="s">
        <v>2440</v>
      </c>
      <c r="F1312" s="93" t="s">
        <v>2799</v>
      </c>
      <c r="G1312" s="93" t="s">
        <v>2800</v>
      </c>
      <c r="H1312" s="93" t="e">
        <v>#N/A</v>
      </c>
      <c r="I1312" s="105" t="s">
        <v>2310</v>
      </c>
      <c r="J1312" s="93" t="s">
        <v>189</v>
      </c>
      <c r="K1312" s="93">
        <v>2188</v>
      </c>
      <c r="L1312" s="93" t="e">
        <v>#N/A</v>
      </c>
      <c r="M1312" s="93" t="s">
        <v>2311</v>
      </c>
      <c r="N1312" s="93">
        <f>VLOOKUP(B1312,'[16]01.수집 카테고리(List)'!$A$2:$H$64,8,FALSE)</f>
        <v>99991231</v>
      </c>
      <c r="O1312" s="93" t="s">
        <v>646</v>
      </c>
    </row>
    <row r="1313" spans="1:15" hidden="1">
      <c r="A1313" s="75" t="str">
        <f t="shared" si="50"/>
        <v>FRFNACDishwasher60 cm dish washerLave vaisselle 60 cm</v>
      </c>
      <c r="B1313" s="94" t="str">
        <f t="shared" si="51"/>
        <v>FR_FNAC</v>
      </c>
      <c r="C1313" s="93" t="s">
        <v>251</v>
      </c>
      <c r="D1313" s="93" t="s">
        <v>256</v>
      </c>
      <c r="E1313" s="93" t="s">
        <v>2440</v>
      </c>
      <c r="F1313" s="93" t="s">
        <v>2801</v>
      </c>
      <c r="G1313" s="93" t="s">
        <v>2802</v>
      </c>
      <c r="H1313" s="93" t="e">
        <v>#N/A</v>
      </c>
      <c r="I1313" s="105" t="s">
        <v>2310</v>
      </c>
      <c r="J1313" s="93" t="s">
        <v>189</v>
      </c>
      <c r="K1313" s="93">
        <v>5995</v>
      </c>
      <c r="L1313" s="93" t="e">
        <v>#N/A</v>
      </c>
      <c r="M1313" s="93" t="s">
        <v>2311</v>
      </c>
      <c r="N1313" s="93">
        <f>VLOOKUP(B1313,'[16]01.수집 카테고리(List)'!$A$2:$H$64,8,FALSE)</f>
        <v>99991231</v>
      </c>
      <c r="O1313" s="93" t="s">
        <v>646</v>
      </c>
    </row>
    <row r="1314" spans="1:15" hidden="1">
      <c r="A1314" s="75" t="str">
        <f t="shared" si="50"/>
        <v>FRFNACDishwasherFree Standing dish washerLave vaisselle Pose Libre</v>
      </c>
      <c r="B1314" s="94" t="str">
        <f t="shared" si="51"/>
        <v>FR_FNAC</v>
      </c>
      <c r="C1314" s="93" t="s">
        <v>251</v>
      </c>
      <c r="D1314" s="93" t="s">
        <v>256</v>
      </c>
      <c r="E1314" s="93" t="s">
        <v>2440</v>
      </c>
      <c r="F1314" s="93" t="s">
        <v>2803</v>
      </c>
      <c r="G1314" s="93" t="s">
        <v>2804</v>
      </c>
      <c r="H1314" s="93" t="e">
        <v>#N/A</v>
      </c>
      <c r="I1314" s="105" t="s">
        <v>2310</v>
      </c>
      <c r="J1314" s="93" t="s">
        <v>189</v>
      </c>
      <c r="K1314" s="93">
        <v>1997</v>
      </c>
      <c r="L1314" s="93" t="e">
        <v>#N/A</v>
      </c>
      <c r="M1314" s="93" t="s">
        <v>2311</v>
      </c>
      <c r="N1314" s="93">
        <f>VLOOKUP(B1314,'[16]01.수집 카테고리(List)'!$A$2:$H$64,8,FALSE)</f>
        <v>99991231</v>
      </c>
      <c r="O1314" s="93" t="s">
        <v>646</v>
      </c>
    </row>
    <row r="1315" spans="1:15" hidden="1">
      <c r="A1315" s="75" t="str">
        <f t="shared" si="50"/>
        <v>FRFNACMonitorPC MonitorEcran PC</v>
      </c>
      <c r="B1315" s="94" t="str">
        <f t="shared" si="51"/>
        <v>FR_FNAC</v>
      </c>
      <c r="C1315" s="93" t="s">
        <v>251</v>
      </c>
      <c r="D1315" s="93" t="s">
        <v>256</v>
      </c>
      <c r="E1315" s="93" t="s">
        <v>2320</v>
      </c>
      <c r="F1315" s="93" t="s">
        <v>2812</v>
      </c>
      <c r="G1315" s="93" t="s">
        <v>2813</v>
      </c>
      <c r="H1315" s="93" t="e">
        <v>#N/A</v>
      </c>
      <c r="I1315" s="105" t="s">
        <v>2310</v>
      </c>
      <c r="J1315" s="93" t="s">
        <v>189</v>
      </c>
      <c r="K1315" s="93">
        <v>2143</v>
      </c>
      <c r="L1315" s="93" t="e">
        <v>#N/A</v>
      </c>
      <c r="M1315" s="93" t="s">
        <v>2311</v>
      </c>
      <c r="N1315" s="93">
        <f>VLOOKUP(B1315,'[16]01.수집 카테고리(List)'!$A$2:$H$64,8,FALSE)</f>
        <v>99991231</v>
      </c>
      <c r="O1315" s="93" t="s">
        <v>646</v>
      </c>
    </row>
    <row r="1316" spans="1:15" hidden="1">
      <c r="A1316" s="75" t="str">
        <f t="shared" si="50"/>
        <v>FRFNACMonitoruhd monitorEcran PC 4K</v>
      </c>
      <c r="B1316" s="94" t="str">
        <f t="shared" si="51"/>
        <v>FR_FNAC</v>
      </c>
      <c r="C1316" s="93" t="s">
        <v>251</v>
      </c>
      <c r="D1316" s="93" t="s">
        <v>256</v>
      </c>
      <c r="E1316" s="93" t="s">
        <v>2320</v>
      </c>
      <c r="F1316" s="93" t="s">
        <v>2324</v>
      </c>
      <c r="G1316" s="93" t="s">
        <v>2814</v>
      </c>
      <c r="H1316" s="93" t="e">
        <v>#N/A</v>
      </c>
      <c r="I1316" s="105" t="s">
        <v>2310</v>
      </c>
      <c r="J1316" s="93" t="s">
        <v>189</v>
      </c>
      <c r="K1316" s="93">
        <v>1457</v>
      </c>
      <c r="L1316" s="93" t="e">
        <v>#N/A</v>
      </c>
      <c r="M1316" s="93" t="s">
        <v>2311</v>
      </c>
      <c r="N1316" s="93">
        <f>VLOOKUP(B1316,'[16]01.수집 카테고리(List)'!$A$2:$H$64,8,FALSE)</f>
        <v>99991231</v>
      </c>
      <c r="O1316" s="93" t="s">
        <v>646</v>
      </c>
    </row>
    <row r="1317" spans="1:15" hidden="1">
      <c r="A1317" s="75" t="str">
        <f t="shared" si="50"/>
        <v>FRFNACMonitorultrawide monitorEcran PC Ultrawide</v>
      </c>
      <c r="B1317" s="94" t="str">
        <f t="shared" si="51"/>
        <v>FR_FNAC</v>
      </c>
      <c r="C1317" s="93" t="s">
        <v>251</v>
      </c>
      <c r="D1317" s="93" t="s">
        <v>256</v>
      </c>
      <c r="E1317" s="93" t="s">
        <v>2320</v>
      </c>
      <c r="F1317" s="93" t="s">
        <v>2325</v>
      </c>
      <c r="G1317" s="93" t="s">
        <v>2815</v>
      </c>
      <c r="H1317" s="93" t="e">
        <v>#N/A</v>
      </c>
      <c r="I1317" s="105" t="s">
        <v>2310</v>
      </c>
      <c r="J1317" s="93" t="s">
        <v>189</v>
      </c>
      <c r="K1317" s="93">
        <v>273</v>
      </c>
      <c r="L1317" s="93" t="e">
        <v>#N/A</v>
      </c>
      <c r="M1317" s="93" t="s">
        <v>2311</v>
      </c>
      <c r="N1317" s="93">
        <f>VLOOKUP(B1317,'[16]01.수집 카테고리(List)'!$A$2:$H$64,8,FALSE)</f>
        <v>99991231</v>
      </c>
      <c r="O1317" s="93" t="s">
        <v>646</v>
      </c>
    </row>
    <row r="1318" spans="1:15" hidden="1">
      <c r="A1318" s="75" t="str">
        <f t="shared" si="50"/>
        <v>FRFNACMonitormonitorMoniteur</v>
      </c>
      <c r="B1318" s="94" t="str">
        <f t="shared" si="51"/>
        <v>FR_FNAC</v>
      </c>
      <c r="C1318" s="93" t="s">
        <v>251</v>
      </c>
      <c r="D1318" s="93" t="s">
        <v>256</v>
      </c>
      <c r="E1318" s="93" t="s">
        <v>2320</v>
      </c>
      <c r="F1318" s="93" t="s">
        <v>2323</v>
      </c>
      <c r="G1318" s="93" t="s">
        <v>2816</v>
      </c>
      <c r="H1318" s="93" t="e">
        <v>#N/A</v>
      </c>
      <c r="I1318" s="105" t="s">
        <v>2310</v>
      </c>
      <c r="J1318" s="93" t="s">
        <v>189</v>
      </c>
      <c r="K1318" s="93">
        <v>842</v>
      </c>
      <c r="L1318" s="93" t="e">
        <v>#N/A</v>
      </c>
      <c r="M1318" s="93" t="s">
        <v>2311</v>
      </c>
      <c r="N1318" s="93">
        <f>VLOOKUP(B1318,'[16]01.수집 카테고리(List)'!$A$2:$H$64,8,FALSE)</f>
        <v>99991231</v>
      </c>
      <c r="O1318" s="93" t="s">
        <v>646</v>
      </c>
    </row>
    <row r="1319" spans="1:15" hidden="1">
      <c r="A1319" s="75" t="str">
        <f t="shared" si="50"/>
        <v>FRFNACMonitor4k monitorMoniteur 4K</v>
      </c>
      <c r="B1319" s="94" t="str">
        <f t="shared" si="51"/>
        <v>FR_FNAC</v>
      </c>
      <c r="C1319" s="93" t="s">
        <v>251</v>
      </c>
      <c r="D1319" s="93" t="s">
        <v>256</v>
      </c>
      <c r="E1319" s="93" t="s">
        <v>2320</v>
      </c>
      <c r="F1319" s="93" t="s">
        <v>2321</v>
      </c>
      <c r="G1319" s="93" t="s">
        <v>2817</v>
      </c>
      <c r="H1319" s="93" t="e">
        <v>#N/A</v>
      </c>
      <c r="I1319" s="105" t="s">
        <v>2310</v>
      </c>
      <c r="J1319" s="93" t="s">
        <v>189</v>
      </c>
      <c r="K1319" s="93">
        <v>1219</v>
      </c>
      <c r="L1319" s="93" t="e">
        <v>#N/A</v>
      </c>
      <c r="M1319" s="93" t="s">
        <v>2311</v>
      </c>
      <c r="N1319" s="93">
        <f>VLOOKUP(B1319,'[16]01.수집 카테고리(List)'!$A$2:$H$64,8,FALSE)</f>
        <v>99991231</v>
      </c>
      <c r="O1319" s="93" t="s">
        <v>646</v>
      </c>
    </row>
    <row r="1320" spans="1:15" hidden="1">
      <c r="A1320" s="75" t="str">
        <f t="shared" si="50"/>
        <v>FRFNACMonitorgaming monitorMoniteur Gaming</v>
      </c>
      <c r="B1320" s="94" t="str">
        <f t="shared" si="51"/>
        <v>FR_FNAC</v>
      </c>
      <c r="C1320" s="93" t="s">
        <v>251</v>
      </c>
      <c r="D1320" s="93" t="s">
        <v>256</v>
      </c>
      <c r="E1320" s="93" t="s">
        <v>2320</v>
      </c>
      <c r="F1320" s="93" t="s">
        <v>2322</v>
      </c>
      <c r="G1320" s="93" t="s">
        <v>2818</v>
      </c>
      <c r="H1320" s="93" t="e">
        <v>#N/A</v>
      </c>
      <c r="I1320" s="105" t="s">
        <v>2310</v>
      </c>
      <c r="J1320" s="93" t="s">
        <v>189</v>
      </c>
      <c r="K1320" s="93">
        <v>882</v>
      </c>
      <c r="L1320" s="93" t="e">
        <v>#N/A</v>
      </c>
      <c r="M1320" s="93" t="s">
        <v>2311</v>
      </c>
      <c r="N1320" s="93">
        <f>VLOOKUP(B1320,'[16]01.수집 카테고리(List)'!$A$2:$H$64,8,FALSE)</f>
        <v>99991231</v>
      </c>
      <c r="O1320" s="93" t="s">
        <v>646</v>
      </c>
    </row>
    <row r="1321" spans="1:15" hidden="1">
      <c r="A1321" s="75" t="str">
        <f t="shared" si="50"/>
        <v>FRFNACOVENSlide-in RangeCuisinière encastrable</v>
      </c>
      <c r="B1321" s="94" t="str">
        <f t="shared" si="51"/>
        <v>FR_FNAC</v>
      </c>
      <c r="C1321" s="93" t="s">
        <v>251</v>
      </c>
      <c r="D1321" s="93" t="s">
        <v>256</v>
      </c>
      <c r="E1321" s="93" t="s">
        <v>173</v>
      </c>
      <c r="F1321" s="93" t="s">
        <v>2676</v>
      </c>
      <c r="G1321" s="93" t="s">
        <v>2819</v>
      </c>
      <c r="H1321" s="93" t="e">
        <v>#N/A</v>
      </c>
      <c r="I1321" s="105" t="s">
        <v>2310</v>
      </c>
      <c r="J1321" s="93" t="s">
        <v>189</v>
      </c>
      <c r="K1321" s="93">
        <v>524</v>
      </c>
      <c r="L1321" s="93" t="e">
        <v>#N/A</v>
      </c>
      <c r="M1321" s="93" t="s">
        <v>2311</v>
      </c>
      <c r="N1321" s="93">
        <f>VLOOKUP(B1321,'[16]01.수집 카테고리(List)'!$A$2:$H$64,8,FALSE)</f>
        <v>99991231</v>
      </c>
      <c r="O1321" s="93" t="s">
        <v>646</v>
      </c>
    </row>
    <row r="1322" spans="1:15" hidden="1">
      <c r="A1322" s="75" t="str">
        <f t="shared" si="50"/>
        <v>FRFNACOVENWall OvenFour mural</v>
      </c>
      <c r="B1322" s="94" t="str">
        <f t="shared" si="51"/>
        <v>FR_FNAC</v>
      </c>
      <c r="C1322" s="93" t="s">
        <v>251</v>
      </c>
      <c r="D1322" s="93" t="s">
        <v>256</v>
      </c>
      <c r="E1322" s="93" t="s">
        <v>173</v>
      </c>
      <c r="F1322" s="93" t="s">
        <v>2544</v>
      </c>
      <c r="G1322" s="93" t="s">
        <v>2820</v>
      </c>
      <c r="H1322" s="93" t="e">
        <v>#N/A</v>
      </c>
      <c r="I1322" s="105" t="s">
        <v>2310</v>
      </c>
      <c r="J1322" s="93" t="s">
        <v>189</v>
      </c>
      <c r="K1322" s="93">
        <v>180</v>
      </c>
      <c r="L1322" s="93" t="e">
        <v>#N/A</v>
      </c>
      <c r="M1322" s="93" t="s">
        <v>2311</v>
      </c>
      <c r="N1322" s="93">
        <f>VLOOKUP(B1322,'[16]01.수집 카테고리(List)'!$A$2:$H$64,8,FALSE)</f>
        <v>99991231</v>
      </c>
      <c r="O1322" s="93" t="s">
        <v>646</v>
      </c>
    </row>
    <row r="1323" spans="1:15" hidden="1">
      <c r="A1323" s="75" t="str">
        <f t="shared" si="50"/>
        <v>FRFNACOVENFreestanding OvenFour pose libre</v>
      </c>
      <c r="B1323" s="94" t="str">
        <f t="shared" si="51"/>
        <v>FR_FNAC</v>
      </c>
      <c r="C1323" s="93" t="s">
        <v>251</v>
      </c>
      <c r="D1323" s="93" t="s">
        <v>256</v>
      </c>
      <c r="E1323" s="93" t="s">
        <v>173</v>
      </c>
      <c r="F1323" s="93" t="s">
        <v>2678</v>
      </c>
      <c r="G1323" s="93" t="s">
        <v>2821</v>
      </c>
      <c r="H1323" s="93" t="e">
        <v>#N/A</v>
      </c>
      <c r="I1323" s="105" t="s">
        <v>2310</v>
      </c>
      <c r="J1323" s="93" t="s">
        <v>189</v>
      </c>
      <c r="K1323" s="93">
        <v>748</v>
      </c>
      <c r="L1323" s="93" t="e">
        <v>#N/A</v>
      </c>
      <c r="M1323" s="93" t="s">
        <v>2311</v>
      </c>
      <c r="N1323" s="93">
        <f>VLOOKUP(B1323,'[16]01.수집 카테고리(List)'!$A$2:$H$64,8,FALSE)</f>
        <v>99991231</v>
      </c>
      <c r="O1323" s="93" t="s">
        <v>646</v>
      </c>
    </row>
    <row r="1324" spans="1:15" hidden="1">
      <c r="A1324" s="75" t="str">
        <f t="shared" si="50"/>
        <v>FRFNACOVENCooktopTable de cuisson</v>
      </c>
      <c r="B1324" s="94" t="str">
        <f t="shared" si="51"/>
        <v>FR_FNAC</v>
      </c>
      <c r="C1324" s="93" t="s">
        <v>251</v>
      </c>
      <c r="D1324" s="93" t="s">
        <v>256</v>
      </c>
      <c r="E1324" s="93" t="s">
        <v>173</v>
      </c>
      <c r="F1324" s="93" t="s">
        <v>2541</v>
      </c>
      <c r="G1324" s="93" t="s">
        <v>2822</v>
      </c>
      <c r="H1324" s="93" t="e">
        <v>#N/A</v>
      </c>
      <c r="I1324" s="105" t="s">
        <v>2310</v>
      </c>
      <c r="J1324" s="93" t="s">
        <v>189</v>
      </c>
      <c r="K1324" s="93">
        <v>2278</v>
      </c>
      <c r="L1324" s="93" t="e">
        <v>#N/A</v>
      </c>
      <c r="M1324" s="93" t="s">
        <v>2311</v>
      </c>
      <c r="N1324" s="93">
        <f>VLOOKUP(B1324,'[16]01.수집 카테고리(List)'!$A$2:$H$64,8,FALSE)</f>
        <v>99991231</v>
      </c>
      <c r="O1324" s="93" t="s">
        <v>646</v>
      </c>
    </row>
    <row r="1325" spans="1:15" hidden="1">
      <c r="A1325" s="75" t="str">
        <f t="shared" si="50"/>
        <v>FRFNACRefrigeratorfrench door refrigeratorRéfrigéraeur multi-portes</v>
      </c>
      <c r="B1325" s="94" t="str">
        <f t="shared" si="51"/>
        <v>FR_FNAC</v>
      </c>
      <c r="C1325" s="93" t="s">
        <v>251</v>
      </c>
      <c r="D1325" s="93" t="s">
        <v>256</v>
      </c>
      <c r="E1325" s="93" t="s">
        <v>2326</v>
      </c>
      <c r="F1325" s="93" t="s">
        <v>2328</v>
      </c>
      <c r="G1325" s="93" t="s">
        <v>2823</v>
      </c>
      <c r="H1325" s="93" t="e">
        <v>#N/A</v>
      </c>
      <c r="I1325" s="105" t="s">
        <v>2310</v>
      </c>
      <c r="J1325" s="93" t="s">
        <v>189</v>
      </c>
      <c r="K1325" s="93">
        <v>344</v>
      </c>
      <c r="L1325" s="93" t="e">
        <v>#N/A</v>
      </c>
      <c r="M1325" s="93" t="s">
        <v>2311</v>
      </c>
      <c r="N1325" s="93">
        <f>VLOOKUP(B1325,'[16]01.수집 카테고리(List)'!$A$2:$H$64,8,FALSE)</f>
        <v>99991231</v>
      </c>
      <c r="O1325" s="93" t="s">
        <v>646</v>
      </c>
    </row>
    <row r="1326" spans="1:15" hidden="1">
      <c r="A1326" s="75" t="str">
        <f t="shared" si="50"/>
        <v>FRFNACRefrigeratorrefrigeratorRéfrigérateur</v>
      </c>
      <c r="B1326" s="94" t="str">
        <f t="shared" si="51"/>
        <v>FR_FNAC</v>
      </c>
      <c r="C1326" s="93" t="s">
        <v>251</v>
      </c>
      <c r="D1326" s="93" t="s">
        <v>256</v>
      </c>
      <c r="E1326" s="93" t="s">
        <v>2326</v>
      </c>
      <c r="F1326" s="93" t="s">
        <v>2329</v>
      </c>
      <c r="G1326" s="93" t="s">
        <v>2824</v>
      </c>
      <c r="H1326" s="93" t="e">
        <v>#N/A</v>
      </c>
      <c r="I1326" s="105" t="s">
        <v>2310</v>
      </c>
      <c r="J1326" s="93" t="s">
        <v>189</v>
      </c>
      <c r="K1326" s="93">
        <v>273</v>
      </c>
      <c r="L1326" s="93" t="e">
        <v>#N/A</v>
      </c>
      <c r="M1326" s="93" t="s">
        <v>2311</v>
      </c>
      <c r="N1326" s="93">
        <f>VLOOKUP(B1326,'[16]01.수집 카테고리(List)'!$A$2:$H$64,8,FALSE)</f>
        <v>99991231</v>
      </c>
      <c r="O1326" s="93" t="s">
        <v>646</v>
      </c>
    </row>
    <row r="1327" spans="1:15" hidden="1">
      <c r="A1327" s="75" t="str">
        <f t="shared" si="50"/>
        <v>FRFNACRefrigeratorside by side refrigeratorRéfrigérateur américain</v>
      </c>
      <c r="B1327" s="94" t="str">
        <f t="shared" si="51"/>
        <v>FR_FNAC</v>
      </c>
      <c r="C1327" s="93" t="s">
        <v>251</v>
      </c>
      <c r="D1327" s="93" t="s">
        <v>256</v>
      </c>
      <c r="E1327" s="93" t="s">
        <v>2326</v>
      </c>
      <c r="F1327" s="93" t="s">
        <v>2330</v>
      </c>
      <c r="G1327" s="93" t="s">
        <v>2825</v>
      </c>
      <c r="H1327" s="93" t="e">
        <v>#N/A</v>
      </c>
      <c r="I1327" s="105" t="s">
        <v>2310</v>
      </c>
      <c r="J1327" s="93" t="s">
        <v>189</v>
      </c>
      <c r="K1327" s="93">
        <v>264</v>
      </c>
      <c r="L1327" s="93" t="e">
        <v>#N/A</v>
      </c>
      <c r="M1327" s="93" t="s">
        <v>2311</v>
      </c>
      <c r="N1327" s="93">
        <f>VLOOKUP(B1327,'[16]01.수집 카테고리(List)'!$A$2:$H$64,8,FALSE)</f>
        <v>99991231</v>
      </c>
      <c r="O1327" s="93" t="s">
        <v>646</v>
      </c>
    </row>
    <row r="1328" spans="1:15" hidden="1">
      <c r="A1328" s="75" t="str">
        <f t="shared" si="50"/>
        <v>FRFNACRefrigeratorbottom freezer refrigeratorRéfrigérateur combiné</v>
      </c>
      <c r="B1328" s="94" t="str">
        <f t="shared" si="51"/>
        <v>FR_FNAC</v>
      </c>
      <c r="C1328" s="93" t="s">
        <v>251</v>
      </c>
      <c r="D1328" s="93" t="s">
        <v>256</v>
      </c>
      <c r="E1328" s="93" t="s">
        <v>2326</v>
      </c>
      <c r="F1328" s="93" t="s">
        <v>2327</v>
      </c>
      <c r="G1328" s="93" t="s">
        <v>2826</v>
      </c>
      <c r="H1328" s="93" t="e">
        <v>#N/A</v>
      </c>
      <c r="I1328" s="105" t="s">
        <v>2310</v>
      </c>
      <c r="J1328" s="93" t="s">
        <v>189</v>
      </c>
      <c r="K1328" s="93">
        <v>379</v>
      </c>
      <c r="L1328" s="93" t="e">
        <v>#N/A</v>
      </c>
      <c r="M1328" s="93" t="s">
        <v>2311</v>
      </c>
      <c r="N1328" s="93">
        <f>VLOOKUP(B1328,'[16]01.수집 카테고리(List)'!$A$2:$H$64,8,FALSE)</f>
        <v>99991231</v>
      </c>
      <c r="O1328" s="93" t="s">
        <v>646</v>
      </c>
    </row>
    <row r="1329" spans="1:15" hidden="1">
      <c r="A1329" s="75" t="str">
        <f t="shared" si="50"/>
        <v>FRFNACRefrigeratorfreezer refrigeratorRéfrigérateur congélateur</v>
      </c>
      <c r="B1329" s="94" t="str">
        <f t="shared" si="51"/>
        <v>FR_FNAC</v>
      </c>
      <c r="C1329" s="93" t="s">
        <v>251</v>
      </c>
      <c r="D1329" s="93" t="s">
        <v>256</v>
      </c>
      <c r="E1329" s="93" t="s">
        <v>2326</v>
      </c>
      <c r="F1329" s="93" t="s">
        <v>2827</v>
      </c>
      <c r="G1329" s="93" t="s">
        <v>2828</v>
      </c>
      <c r="H1329" s="93" t="e">
        <v>#N/A</v>
      </c>
      <c r="I1329" s="105" t="s">
        <v>2310</v>
      </c>
      <c r="J1329" s="93" t="s">
        <v>189</v>
      </c>
      <c r="K1329" s="93">
        <v>333</v>
      </c>
      <c r="L1329" s="93" t="e">
        <v>#N/A</v>
      </c>
      <c r="M1329" s="93" t="s">
        <v>2311</v>
      </c>
      <c r="N1329" s="93">
        <f>VLOOKUP(B1329,'[16]01.수집 카테고리(List)'!$A$2:$H$64,8,FALSE)</f>
        <v>99991231</v>
      </c>
      <c r="O1329" s="93" t="s">
        <v>646</v>
      </c>
    </row>
    <row r="1330" spans="1:15" hidden="1">
      <c r="A1330" s="75" t="str">
        <f t="shared" si="50"/>
        <v>FRFNACSOUNDBARSoundbarBarre de son</v>
      </c>
      <c r="B1330" s="94" t="str">
        <f t="shared" si="51"/>
        <v>FR_FNAC</v>
      </c>
      <c r="C1330" s="93" t="s">
        <v>251</v>
      </c>
      <c r="D1330" s="93" t="s">
        <v>256</v>
      </c>
      <c r="E1330" s="93" t="s">
        <v>165</v>
      </c>
      <c r="F1330" s="93" t="s">
        <v>2363</v>
      </c>
      <c r="G1330" s="93" t="s">
        <v>2829</v>
      </c>
      <c r="H1330" s="93" t="e">
        <v>#N/A</v>
      </c>
      <c r="I1330" s="105" t="s">
        <v>2310</v>
      </c>
      <c r="J1330" s="93" t="s">
        <v>189</v>
      </c>
      <c r="K1330" s="93">
        <v>2114</v>
      </c>
      <c r="L1330" s="93" t="e">
        <v>#N/A</v>
      </c>
      <c r="M1330" s="93" t="s">
        <v>2311</v>
      </c>
      <c r="N1330" s="93">
        <f>VLOOKUP(B1330,'[16]01.수집 카테고리(List)'!$A$2:$H$64,8,FALSE)</f>
        <v>99991231</v>
      </c>
      <c r="O1330" s="93" t="s">
        <v>646</v>
      </c>
    </row>
    <row r="1331" spans="1:15" hidden="1">
      <c r="A1331" s="75" t="str">
        <f t="shared" si="50"/>
        <v>FRFNACSoundbarbluetooth soundbarbarre de son bluetooth</v>
      </c>
      <c r="B1331" s="94" t="str">
        <f t="shared" si="51"/>
        <v>FR_FNAC</v>
      </c>
      <c r="C1331" s="93" t="s">
        <v>251</v>
      </c>
      <c r="D1331" s="93" t="s">
        <v>256</v>
      </c>
      <c r="E1331" s="93" t="s">
        <v>2363</v>
      </c>
      <c r="F1331" s="93" t="s">
        <v>2830</v>
      </c>
      <c r="G1331" s="93" t="s">
        <v>2831</v>
      </c>
      <c r="H1331" s="93" t="e">
        <v>#N/A</v>
      </c>
      <c r="I1331" s="105" t="s">
        <v>2310</v>
      </c>
      <c r="J1331" s="93" t="s">
        <v>189</v>
      </c>
      <c r="K1331" s="93">
        <v>332</v>
      </c>
      <c r="L1331" s="93" t="e">
        <v>#N/A</v>
      </c>
      <c r="M1331" s="93" t="s">
        <v>2311</v>
      </c>
      <c r="N1331" s="93">
        <f>VLOOKUP(B1331,'[16]01.수집 카테고리(List)'!$A$2:$H$64,8,FALSE)</f>
        <v>99991231</v>
      </c>
      <c r="O1331" s="93" t="s">
        <v>646</v>
      </c>
    </row>
    <row r="1332" spans="1:15" hidden="1">
      <c r="A1332" s="75" t="str">
        <f t="shared" si="50"/>
        <v>FRFNACSOUNDBARsoundbar for tvbarre de son pour tv</v>
      </c>
      <c r="B1332" s="94" t="str">
        <f t="shared" si="51"/>
        <v>FR_FNAC</v>
      </c>
      <c r="C1332" s="93" t="s">
        <v>251</v>
      </c>
      <c r="D1332" s="93" t="s">
        <v>256</v>
      </c>
      <c r="E1332" s="93" t="s">
        <v>165</v>
      </c>
      <c r="F1332" s="93" t="s">
        <v>2573</v>
      </c>
      <c r="G1332" s="93" t="s">
        <v>2832</v>
      </c>
      <c r="H1332" s="93" t="e">
        <v>#N/A</v>
      </c>
      <c r="I1332" s="105" t="s">
        <v>2310</v>
      </c>
      <c r="J1332" s="93" t="s">
        <v>189</v>
      </c>
      <c r="K1332" s="93">
        <v>387</v>
      </c>
      <c r="L1332" s="93" t="e">
        <v>#N/A</v>
      </c>
      <c r="M1332" s="93" t="s">
        <v>2311</v>
      </c>
      <c r="N1332" s="93">
        <f>VLOOKUP(B1332,'[16]01.수집 카테고리(List)'!$A$2:$H$64,8,FALSE)</f>
        <v>99991231</v>
      </c>
      <c r="O1332" s="93" t="s">
        <v>646</v>
      </c>
    </row>
    <row r="1333" spans="1:15" hidden="1">
      <c r="A1333" s="75" t="str">
        <f t="shared" si="50"/>
        <v>FRFNACSoundbartv sound barbarre de son tv</v>
      </c>
      <c r="B1333" s="94" t="str">
        <f t="shared" si="51"/>
        <v>FR_FNAC</v>
      </c>
      <c r="C1333" s="93" t="s">
        <v>251</v>
      </c>
      <c r="D1333" s="93" t="s">
        <v>256</v>
      </c>
      <c r="E1333" s="93" t="s">
        <v>2363</v>
      </c>
      <c r="F1333" s="93" t="s">
        <v>2833</v>
      </c>
      <c r="G1333" s="93" t="s">
        <v>2834</v>
      </c>
      <c r="H1333" s="93" t="e">
        <v>#N/A</v>
      </c>
      <c r="I1333" s="105" t="s">
        <v>2310</v>
      </c>
      <c r="J1333" s="93" t="s">
        <v>189</v>
      </c>
      <c r="K1333" s="93">
        <v>151</v>
      </c>
      <c r="L1333" s="93" t="e">
        <v>#N/A</v>
      </c>
      <c r="M1333" s="93" t="s">
        <v>2311</v>
      </c>
      <c r="N1333" s="93">
        <f>VLOOKUP(B1333,'[16]01.수집 카테고리(List)'!$A$2:$H$64,8,FALSE)</f>
        <v>99991231</v>
      </c>
      <c r="O1333" s="93" t="s">
        <v>646</v>
      </c>
    </row>
    <row r="1334" spans="1:15" hidden="1">
      <c r="A1334" s="75" t="str">
        <f t="shared" si="50"/>
        <v>FRFNACTVSmart TVsmart TV</v>
      </c>
      <c r="B1334" s="94" t="str">
        <f t="shared" si="51"/>
        <v>FR_FNAC</v>
      </c>
      <c r="C1334" s="93" t="s">
        <v>251</v>
      </c>
      <c r="D1334" s="93" t="s">
        <v>256</v>
      </c>
      <c r="E1334" s="93" t="s">
        <v>161</v>
      </c>
      <c r="F1334" s="93" t="s">
        <v>2835</v>
      </c>
      <c r="G1334" s="93" t="s">
        <v>2371</v>
      </c>
      <c r="H1334" s="93" t="e">
        <v>#N/A</v>
      </c>
      <c r="I1334" s="105" t="s">
        <v>2310</v>
      </c>
      <c r="J1334" s="93" t="s">
        <v>189</v>
      </c>
      <c r="K1334" s="93">
        <v>12361</v>
      </c>
      <c r="L1334" s="93">
        <v>12361</v>
      </c>
      <c r="M1334" s="93" t="s">
        <v>2311</v>
      </c>
      <c r="N1334" s="93">
        <f>VLOOKUP(B1334,'[16]01.수집 카테고리(List)'!$A$2:$H$64,8,FALSE)</f>
        <v>99991231</v>
      </c>
      <c r="O1334" s="93" t="s">
        <v>646</v>
      </c>
    </row>
    <row r="1335" spans="1:15" hidden="1">
      <c r="A1335" s="75" t="str">
        <f t="shared" si="50"/>
        <v>FRFNACTVTVTV</v>
      </c>
      <c r="B1335" s="94" t="str">
        <f t="shared" si="51"/>
        <v>FR_FNAC</v>
      </c>
      <c r="C1335" s="93" t="s">
        <v>251</v>
      </c>
      <c r="D1335" s="93" t="s">
        <v>256</v>
      </c>
      <c r="E1335" s="93" t="s">
        <v>161</v>
      </c>
      <c r="F1335" s="93" t="s">
        <v>161</v>
      </c>
      <c r="G1335" s="93" t="s">
        <v>161</v>
      </c>
      <c r="H1335" s="93" t="e">
        <v>#N/A</v>
      </c>
      <c r="I1335" s="105" t="s">
        <v>2310</v>
      </c>
      <c r="J1335" s="93" t="s">
        <v>189</v>
      </c>
      <c r="K1335" s="93">
        <v>25947</v>
      </c>
      <c r="L1335" s="93">
        <v>25947</v>
      </c>
      <c r="M1335" s="93" t="s">
        <v>2311</v>
      </c>
      <c r="N1335" s="93">
        <f>VLOOKUP(B1335,'[16]01.수집 카테고리(List)'!$A$2:$H$64,8,FALSE)</f>
        <v>99991231</v>
      </c>
      <c r="O1335" s="93" t="s">
        <v>646</v>
      </c>
    </row>
    <row r="1336" spans="1:15" hidden="1">
      <c r="A1336" s="75" t="str">
        <f t="shared" si="50"/>
        <v>FRFNACTV4k TVTV 4K</v>
      </c>
      <c r="B1336" s="94" t="str">
        <f t="shared" si="51"/>
        <v>FR_FNAC</v>
      </c>
      <c r="C1336" s="93" t="s">
        <v>251</v>
      </c>
      <c r="D1336" s="93" t="s">
        <v>256</v>
      </c>
      <c r="E1336" s="93" t="s">
        <v>161</v>
      </c>
      <c r="F1336" s="93" t="s">
        <v>2368</v>
      </c>
      <c r="G1336" s="93" t="s">
        <v>2508</v>
      </c>
      <c r="H1336" s="93" t="e">
        <v>#N/A</v>
      </c>
      <c r="I1336" s="105" t="s">
        <v>2310</v>
      </c>
      <c r="J1336" s="93" t="s">
        <v>189</v>
      </c>
      <c r="K1336" s="93">
        <v>11223</v>
      </c>
      <c r="L1336" s="93" t="e">
        <v>#N/A</v>
      </c>
      <c r="M1336" s="93" t="s">
        <v>2311</v>
      </c>
      <c r="N1336" s="93">
        <f>VLOOKUP(B1336,'[16]01.수집 카테고리(List)'!$A$2:$H$64,8,FALSE)</f>
        <v>99991231</v>
      </c>
      <c r="O1336" s="93" t="s">
        <v>646</v>
      </c>
    </row>
    <row r="1337" spans="1:15" hidden="1">
      <c r="A1337" s="75" t="str">
        <f t="shared" si="50"/>
        <v>FRFNACTV8K TVTV 8K</v>
      </c>
      <c r="B1337" s="94" t="str">
        <f t="shared" si="51"/>
        <v>FR_FNAC</v>
      </c>
      <c r="C1337" s="93" t="s">
        <v>251</v>
      </c>
      <c r="D1337" s="93" t="s">
        <v>256</v>
      </c>
      <c r="E1337" s="93" t="s">
        <v>161</v>
      </c>
      <c r="F1337" s="93" t="s">
        <v>2836</v>
      </c>
      <c r="G1337" s="93" t="s">
        <v>2837</v>
      </c>
      <c r="H1337" s="93" t="e">
        <v>#N/A</v>
      </c>
      <c r="I1337" s="105" t="s">
        <v>2310</v>
      </c>
      <c r="J1337" s="93" t="s">
        <v>189</v>
      </c>
      <c r="K1337" s="93">
        <v>592</v>
      </c>
      <c r="L1337" s="93" t="e">
        <v>#N/A</v>
      </c>
      <c r="M1337" s="93" t="s">
        <v>2311</v>
      </c>
      <c r="N1337" s="93">
        <f>VLOOKUP(B1337,'[16]01.수집 카테고리(List)'!$A$2:$H$64,8,FALSE)</f>
        <v>99991231</v>
      </c>
      <c r="O1337" s="93" t="s">
        <v>646</v>
      </c>
    </row>
    <row r="1338" spans="1:15" hidden="1">
      <c r="A1338" s="75" t="str">
        <f t="shared" si="50"/>
        <v>FRFNACTVLED TVTV LED</v>
      </c>
      <c r="B1338" s="94" t="str">
        <f t="shared" si="51"/>
        <v>FR_FNAC</v>
      </c>
      <c r="C1338" s="93" t="s">
        <v>251</v>
      </c>
      <c r="D1338" s="93" t="s">
        <v>256</v>
      </c>
      <c r="E1338" s="93" t="s">
        <v>161</v>
      </c>
      <c r="F1338" s="93" t="s">
        <v>2838</v>
      </c>
      <c r="G1338" s="93" t="s">
        <v>2839</v>
      </c>
      <c r="H1338" s="93" t="e">
        <v>#N/A</v>
      </c>
      <c r="I1338" s="105" t="s">
        <v>2310</v>
      </c>
      <c r="J1338" s="93" t="s">
        <v>189</v>
      </c>
      <c r="K1338" s="93">
        <v>9790</v>
      </c>
      <c r="L1338" s="93" t="e">
        <v>#N/A</v>
      </c>
      <c r="M1338" s="93" t="s">
        <v>2311</v>
      </c>
      <c r="N1338" s="93">
        <f>VLOOKUP(B1338,'[16]01.수집 카테고리(List)'!$A$2:$H$64,8,FALSE)</f>
        <v>99991231</v>
      </c>
      <c r="O1338" s="93" t="s">
        <v>646</v>
      </c>
    </row>
    <row r="1339" spans="1:15" hidden="1">
      <c r="A1339" s="75" t="str">
        <f t="shared" si="50"/>
        <v>FRFNACTVoled TVTV OLED</v>
      </c>
      <c r="B1339" s="94" t="str">
        <f t="shared" si="51"/>
        <v>FR_FNAC</v>
      </c>
      <c r="C1339" s="93" t="s">
        <v>251</v>
      </c>
      <c r="D1339" s="93" t="s">
        <v>256</v>
      </c>
      <c r="E1339" s="93" t="s">
        <v>161</v>
      </c>
      <c r="F1339" s="93" t="s">
        <v>2369</v>
      </c>
      <c r="G1339" s="93" t="s">
        <v>2840</v>
      </c>
      <c r="H1339" s="93" t="e">
        <v>#N/A</v>
      </c>
      <c r="I1339" s="105" t="s">
        <v>2310</v>
      </c>
      <c r="J1339" s="93" t="s">
        <v>189</v>
      </c>
      <c r="K1339" s="93">
        <v>2605</v>
      </c>
      <c r="L1339" s="93" t="e">
        <v>#N/A</v>
      </c>
      <c r="M1339" s="93" t="s">
        <v>2311</v>
      </c>
      <c r="N1339" s="93">
        <f>VLOOKUP(B1339,'[16]01.수집 카테고리(List)'!$A$2:$H$64,8,FALSE)</f>
        <v>99991231</v>
      </c>
      <c r="O1339" s="93" t="s">
        <v>646</v>
      </c>
    </row>
    <row r="1340" spans="1:15" hidden="1">
      <c r="A1340" s="75" t="str">
        <f t="shared" si="50"/>
        <v>FRFNACTVuhd TVTV UHD</v>
      </c>
      <c r="B1340" s="94" t="str">
        <f t="shared" si="51"/>
        <v>FR_FNAC</v>
      </c>
      <c r="C1340" s="93" t="s">
        <v>251</v>
      </c>
      <c r="D1340" s="93" t="s">
        <v>256</v>
      </c>
      <c r="E1340" s="93" t="s">
        <v>161</v>
      </c>
      <c r="F1340" s="93" t="s">
        <v>2399</v>
      </c>
      <c r="G1340" s="93" t="s">
        <v>2841</v>
      </c>
      <c r="H1340" s="93" t="e">
        <v>#N/A</v>
      </c>
      <c r="I1340" s="105" t="s">
        <v>2310</v>
      </c>
      <c r="J1340" s="93" t="s">
        <v>189</v>
      </c>
      <c r="K1340" s="93">
        <v>8817</v>
      </c>
      <c r="L1340" s="93" t="e">
        <v>#N/A</v>
      </c>
      <c r="M1340" s="93" t="s">
        <v>2311</v>
      </c>
      <c r="N1340" s="93">
        <f>VLOOKUP(B1340,'[16]01.수집 카테고리(List)'!$A$2:$H$64,8,FALSE)</f>
        <v>99991231</v>
      </c>
      <c r="O1340" s="93" t="s">
        <v>646</v>
      </c>
    </row>
    <row r="1341" spans="1:15" hidden="1">
      <c r="A1341" s="75" t="str">
        <f t="shared" si="50"/>
        <v>FRFNACWashing Machinewashing machinelave-linge</v>
      </c>
      <c r="B1341" s="94" t="str">
        <f t="shared" si="51"/>
        <v>FR_FNAC</v>
      </c>
      <c r="C1341" s="93" t="s">
        <v>251</v>
      </c>
      <c r="D1341" s="93" t="s">
        <v>256</v>
      </c>
      <c r="E1341" s="93" t="s">
        <v>2333</v>
      </c>
      <c r="F1341" s="93" t="s">
        <v>2340</v>
      </c>
      <c r="G1341" s="93" t="s">
        <v>2842</v>
      </c>
      <c r="H1341" s="93" t="e">
        <v>#N/A</v>
      </c>
      <c r="I1341" s="105" t="s">
        <v>2310</v>
      </c>
      <c r="J1341" s="93" t="s">
        <v>189</v>
      </c>
      <c r="K1341" s="93">
        <v>778</v>
      </c>
      <c r="L1341" s="93" t="e">
        <v>#N/A</v>
      </c>
      <c r="M1341" s="93" t="s">
        <v>2311</v>
      </c>
      <c r="N1341" s="93">
        <f>VLOOKUP(B1341,'[16]01.수집 카테고리(List)'!$A$2:$H$64,8,FALSE)</f>
        <v>99991231</v>
      </c>
      <c r="O1341" s="93" t="s">
        <v>646</v>
      </c>
    </row>
    <row r="1342" spans="1:15" hidden="1">
      <c r="A1342" s="75" t="str">
        <f t="shared" si="50"/>
        <v>FRFNACWashing Machinefront loaderLave-linge hublot</v>
      </c>
      <c r="B1342" s="94" t="str">
        <f t="shared" si="51"/>
        <v>FR_FNAC</v>
      </c>
      <c r="C1342" s="93" t="s">
        <v>251</v>
      </c>
      <c r="D1342" s="93" t="s">
        <v>256</v>
      </c>
      <c r="E1342" s="93" t="s">
        <v>2333</v>
      </c>
      <c r="F1342" s="93" t="s">
        <v>2334</v>
      </c>
      <c r="G1342" s="93" t="s">
        <v>2843</v>
      </c>
      <c r="H1342" s="93" t="e">
        <v>#N/A</v>
      </c>
      <c r="I1342" s="105" t="s">
        <v>2310</v>
      </c>
      <c r="J1342" s="93" t="s">
        <v>189</v>
      </c>
      <c r="K1342" s="93">
        <v>1840</v>
      </c>
      <c r="L1342" s="93" t="e">
        <v>#N/A</v>
      </c>
      <c r="M1342" s="93" t="s">
        <v>2311</v>
      </c>
      <c r="N1342" s="93">
        <f>VLOOKUP(B1342,'[16]01.수집 카테고리(List)'!$A$2:$H$64,8,FALSE)</f>
        <v>99991231</v>
      </c>
      <c r="O1342" s="93" t="s">
        <v>646</v>
      </c>
    </row>
    <row r="1343" spans="1:15" hidden="1">
      <c r="A1343" s="75" t="str">
        <f t="shared" si="50"/>
        <v>FRFNACWashing Machinewasher dryer comboLave-linge séchant</v>
      </c>
      <c r="B1343" s="94" t="str">
        <f t="shared" si="51"/>
        <v>FR_FNAC</v>
      </c>
      <c r="C1343" s="93" t="s">
        <v>251</v>
      </c>
      <c r="D1343" s="93" t="s">
        <v>256</v>
      </c>
      <c r="E1343" s="93" t="s">
        <v>2333</v>
      </c>
      <c r="F1343" s="93" t="s">
        <v>2338</v>
      </c>
      <c r="G1343" s="93" t="s">
        <v>2844</v>
      </c>
      <c r="H1343" s="93" t="e">
        <v>#N/A</v>
      </c>
      <c r="I1343" s="105" t="s">
        <v>2310</v>
      </c>
      <c r="J1343" s="93" t="s">
        <v>189</v>
      </c>
      <c r="K1343" s="93">
        <v>43</v>
      </c>
      <c r="L1343" s="93" t="e">
        <v>#N/A</v>
      </c>
      <c r="M1343" s="93" t="s">
        <v>2311</v>
      </c>
      <c r="N1343" s="93">
        <f>VLOOKUP(B1343,'[16]01.수집 카테고리(List)'!$A$2:$H$64,8,FALSE)</f>
        <v>99991231</v>
      </c>
      <c r="O1343" s="93" t="s">
        <v>646</v>
      </c>
    </row>
    <row r="1344" spans="1:15" hidden="1">
      <c r="A1344" s="75" t="str">
        <f t="shared" si="50"/>
        <v>FRFNACWireless HeadsetEarbudsécouteurs</v>
      </c>
      <c r="B1344" s="94" t="str">
        <f t="shared" si="51"/>
        <v>FR_FNAC</v>
      </c>
      <c r="C1344" s="93" t="s">
        <v>251</v>
      </c>
      <c r="D1344" s="93" t="s">
        <v>256</v>
      </c>
      <c r="E1344" s="93" t="s">
        <v>2373</v>
      </c>
      <c r="F1344" s="93" t="s">
        <v>2534</v>
      </c>
      <c r="G1344" s="93" t="s">
        <v>2845</v>
      </c>
      <c r="H1344" s="93" t="e">
        <v>#N/A</v>
      </c>
      <c r="I1344" s="105" t="s">
        <v>2310</v>
      </c>
      <c r="J1344" s="93" t="s">
        <v>189</v>
      </c>
      <c r="K1344" s="93">
        <v>7284</v>
      </c>
      <c r="L1344" s="93" t="e">
        <v>#N/A</v>
      </c>
      <c r="M1344" s="93" t="s">
        <v>2311</v>
      </c>
      <c r="N1344" s="93">
        <f>VLOOKUP(B1344,'[16]01.수집 카테고리(List)'!$A$2:$H$64,8,FALSE)</f>
        <v>99991231</v>
      </c>
      <c r="O1344" s="93" t="s">
        <v>646</v>
      </c>
    </row>
    <row r="1345" spans="1:15" hidden="1">
      <c r="A1345" s="75" t="str">
        <f t="shared" si="50"/>
        <v>FRFNACWireless Headsetbluetooth headphonesécouteurs bluetooth</v>
      </c>
      <c r="B1345" s="94" t="str">
        <f t="shared" si="51"/>
        <v>FR_FNAC</v>
      </c>
      <c r="C1345" s="93" t="s">
        <v>251</v>
      </c>
      <c r="D1345" s="93" t="s">
        <v>256</v>
      </c>
      <c r="E1345" s="93" t="s">
        <v>2373</v>
      </c>
      <c r="F1345" s="93" t="s">
        <v>2846</v>
      </c>
      <c r="G1345" s="93" t="s">
        <v>2847</v>
      </c>
      <c r="H1345" s="93" t="e">
        <v>#N/A</v>
      </c>
      <c r="I1345" s="105" t="s">
        <v>2310</v>
      </c>
      <c r="J1345" s="93" t="s">
        <v>189</v>
      </c>
      <c r="K1345" s="93">
        <v>1451</v>
      </c>
      <c r="L1345" s="93" t="e">
        <v>#N/A</v>
      </c>
      <c r="M1345" s="93" t="s">
        <v>2311</v>
      </c>
      <c r="N1345" s="93">
        <f>VLOOKUP(B1345,'[16]01.수집 카테고리(List)'!$A$2:$H$64,8,FALSE)</f>
        <v>99991231</v>
      </c>
      <c r="O1345" s="93" t="s">
        <v>646</v>
      </c>
    </row>
    <row r="1346" spans="1:15" hidden="1">
      <c r="A1346" s="75" t="str">
        <f t="shared" si="50"/>
        <v>FRFNACWireless Headsetsports bluetooth earphonesécouteurs bluetooth sport</v>
      </c>
      <c r="B1346" s="94" t="str">
        <f t="shared" si="51"/>
        <v>FR_FNAC</v>
      </c>
      <c r="C1346" s="93" t="s">
        <v>251</v>
      </c>
      <c r="D1346" s="93" t="s">
        <v>256</v>
      </c>
      <c r="E1346" s="93" t="s">
        <v>2373</v>
      </c>
      <c r="F1346" s="93" t="s">
        <v>2848</v>
      </c>
      <c r="G1346" s="93" t="s">
        <v>2849</v>
      </c>
      <c r="H1346" s="93" t="e">
        <v>#N/A</v>
      </c>
      <c r="I1346" s="105" t="s">
        <v>2310</v>
      </c>
      <c r="J1346" s="93" t="s">
        <v>189</v>
      </c>
      <c r="K1346" s="93">
        <v>3102</v>
      </c>
      <c r="L1346" s="93" t="e">
        <v>#N/A</v>
      </c>
      <c r="M1346" s="93" t="s">
        <v>2311</v>
      </c>
      <c r="N1346" s="93">
        <f>VLOOKUP(B1346,'[16]01.수집 카테고리(List)'!$A$2:$H$64,8,FALSE)</f>
        <v>99991231</v>
      </c>
      <c r="O1346" s="93" t="s">
        <v>646</v>
      </c>
    </row>
    <row r="1347" spans="1:15" hidden="1">
      <c r="A1347" s="75" t="str">
        <f t="shared" si="50"/>
        <v>FRFNACWireless HeadsetWireless Earbudsécouteurs sans fil</v>
      </c>
      <c r="B1347" s="94" t="str">
        <f t="shared" si="51"/>
        <v>FR_FNAC</v>
      </c>
      <c r="C1347" s="93" t="s">
        <v>251</v>
      </c>
      <c r="D1347" s="93" t="s">
        <v>256</v>
      </c>
      <c r="E1347" s="93" t="s">
        <v>2373</v>
      </c>
      <c r="F1347" s="93" t="s">
        <v>2760</v>
      </c>
      <c r="G1347" s="93" t="s">
        <v>2850</v>
      </c>
      <c r="H1347" s="93" t="e">
        <v>#N/A</v>
      </c>
      <c r="I1347" s="105" t="s">
        <v>2310</v>
      </c>
      <c r="J1347" s="93" t="s">
        <v>189</v>
      </c>
      <c r="K1347" s="93">
        <v>6040</v>
      </c>
      <c r="L1347" s="93" t="e">
        <v>#N/A</v>
      </c>
      <c r="M1347" s="93" t="s">
        <v>2311</v>
      </c>
      <c r="N1347" s="93">
        <f>VLOOKUP(B1347,'[16]01.수집 카테고리(List)'!$A$2:$H$64,8,FALSE)</f>
        <v>99991231</v>
      </c>
      <c r="O1347" s="93" t="s">
        <v>646</v>
      </c>
    </row>
    <row r="1348" spans="1:15" s="108" customFormat="1" hidden="1">
      <c r="A1348" s="108" t="str">
        <f t="shared" si="50"/>
        <v>FRFNACAir Conditionerair conditionerclimatiseur</v>
      </c>
      <c r="B1348" s="109" t="str">
        <f t="shared" si="51"/>
        <v>FR_FNAC</v>
      </c>
      <c r="C1348" s="110" t="s">
        <v>251</v>
      </c>
      <c r="D1348" s="110" t="s">
        <v>256</v>
      </c>
      <c r="E1348" s="110" t="s">
        <v>2346</v>
      </c>
      <c r="F1348" s="110" t="s">
        <v>2347</v>
      </c>
      <c r="G1348" s="110" t="s">
        <v>2851</v>
      </c>
      <c r="H1348" s="93" t="e">
        <v>#N/A</v>
      </c>
      <c r="I1348" s="99">
        <v>46076</v>
      </c>
      <c r="J1348" s="83" t="s">
        <v>189</v>
      </c>
      <c r="K1348" s="110"/>
      <c r="L1348" s="110"/>
      <c r="M1348" s="110"/>
      <c r="N1348" s="110"/>
      <c r="O1348" s="110"/>
    </row>
    <row r="1349" spans="1:15" s="108" customFormat="1" hidden="1">
      <c r="A1349" s="108" t="str">
        <f t="shared" ref="A1349:A1412" si="52">C1349&amp;D1349&amp;E1349&amp;F1349&amp;G1349</f>
        <v>FRFNACAir Conditionerinverter air conditionerclimatiseur inverseur</v>
      </c>
      <c r="B1349" s="109" t="str">
        <f t="shared" ref="B1349:B1412" si="53">C1349&amp;"_"&amp;D1349</f>
        <v>FR_FNAC</v>
      </c>
      <c r="C1349" s="110" t="s">
        <v>251</v>
      </c>
      <c r="D1349" s="110" t="s">
        <v>256</v>
      </c>
      <c r="E1349" s="110" t="s">
        <v>2346</v>
      </c>
      <c r="F1349" s="110" t="s">
        <v>2348</v>
      </c>
      <c r="G1349" s="110" t="s">
        <v>2856</v>
      </c>
      <c r="H1349" s="93" t="e">
        <v>#N/A</v>
      </c>
      <c r="I1349" s="99">
        <v>46076</v>
      </c>
      <c r="J1349" s="83" t="s">
        <v>189</v>
      </c>
      <c r="K1349" s="110"/>
      <c r="L1349" s="110"/>
      <c r="M1349" s="110"/>
      <c r="N1349" s="110"/>
      <c r="O1349" s="110"/>
    </row>
    <row r="1350" spans="1:15" s="108" customFormat="1" hidden="1">
      <c r="A1350" s="108" t="str">
        <f t="shared" si="52"/>
        <v>FRFNACAir Conditionersplit air conditionerclimatiseur split</v>
      </c>
      <c r="B1350" s="109" t="str">
        <f t="shared" si="53"/>
        <v>FR_FNAC</v>
      </c>
      <c r="C1350" s="110" t="s">
        <v>251</v>
      </c>
      <c r="D1350" s="110" t="s">
        <v>256</v>
      </c>
      <c r="E1350" s="110" t="s">
        <v>2346</v>
      </c>
      <c r="F1350" s="110" t="s">
        <v>2422</v>
      </c>
      <c r="G1350" s="110" t="s">
        <v>2857</v>
      </c>
      <c r="H1350" s="93" t="e">
        <v>#N/A</v>
      </c>
      <c r="I1350" s="99">
        <v>46076</v>
      </c>
      <c r="J1350" s="83" t="s">
        <v>189</v>
      </c>
      <c r="K1350" s="110"/>
      <c r="L1350" s="110"/>
      <c r="M1350" s="110"/>
      <c r="N1350" s="110"/>
      <c r="O1350" s="110"/>
    </row>
    <row r="1351" spans="1:15" s="108" customFormat="1" hidden="1">
      <c r="A1351" s="108" t="str">
        <f t="shared" si="52"/>
        <v>FRFNACAir Conditionersplit inverter air conditionerclimatiseur split inverter</v>
      </c>
      <c r="B1351" s="109" t="str">
        <f t="shared" si="53"/>
        <v>FR_FNAC</v>
      </c>
      <c r="C1351" s="110" t="s">
        <v>251</v>
      </c>
      <c r="D1351" s="110" t="s">
        <v>256</v>
      </c>
      <c r="E1351" s="110" t="s">
        <v>2346</v>
      </c>
      <c r="F1351" s="110" t="s">
        <v>2423</v>
      </c>
      <c r="G1351" s="110" t="s">
        <v>2852</v>
      </c>
      <c r="H1351" s="93" t="e">
        <v>#N/A</v>
      </c>
      <c r="I1351" s="99">
        <v>46076</v>
      </c>
      <c r="J1351" s="83" t="s">
        <v>189</v>
      </c>
      <c r="K1351" s="110"/>
      <c r="L1351" s="110"/>
      <c r="M1351" s="110"/>
      <c r="N1351" s="110"/>
      <c r="O1351" s="110"/>
    </row>
    <row r="1352" spans="1:15" s="108" customFormat="1" hidden="1">
      <c r="A1352" s="108" t="str">
        <f t="shared" si="52"/>
        <v>FRFNACAir Conditionerwindow air conditionerclimatiseur de fenêtre</v>
      </c>
      <c r="B1352" s="109" t="str">
        <f t="shared" si="53"/>
        <v>FR_FNAC</v>
      </c>
      <c r="C1352" s="110" t="s">
        <v>251</v>
      </c>
      <c r="D1352" s="110" t="s">
        <v>256</v>
      </c>
      <c r="E1352" s="110" t="s">
        <v>2346</v>
      </c>
      <c r="F1352" s="110" t="s">
        <v>2350</v>
      </c>
      <c r="G1352" s="110" t="s">
        <v>2853</v>
      </c>
      <c r="H1352" s="93" t="e">
        <v>#N/A</v>
      </c>
      <c r="I1352" s="99">
        <v>46076</v>
      </c>
      <c r="J1352" s="83" t="s">
        <v>189</v>
      </c>
      <c r="K1352" s="110"/>
      <c r="L1352" s="110"/>
      <c r="M1352" s="110"/>
      <c r="N1352" s="110"/>
      <c r="O1352" s="110"/>
    </row>
    <row r="1353" spans="1:15" s="108" customFormat="1" hidden="1">
      <c r="A1353" s="108" t="str">
        <f t="shared" si="52"/>
        <v>FRFNACAir Conditionerwindow inverter air conditionerclimatiseur inverter de fenêtre</v>
      </c>
      <c r="B1353" s="109" t="str">
        <f t="shared" si="53"/>
        <v>FR_FNAC</v>
      </c>
      <c r="C1353" s="110" t="s">
        <v>251</v>
      </c>
      <c r="D1353" s="110" t="s">
        <v>256</v>
      </c>
      <c r="E1353" s="110" t="s">
        <v>2346</v>
      </c>
      <c r="F1353" s="110" t="s">
        <v>2424</v>
      </c>
      <c r="G1353" s="110" t="s">
        <v>2854</v>
      </c>
      <c r="H1353" s="93" t="e">
        <v>#N/A</v>
      </c>
      <c r="I1353" s="99">
        <v>46076</v>
      </c>
      <c r="J1353" s="83" t="s">
        <v>189</v>
      </c>
      <c r="K1353" s="110"/>
      <c r="L1353" s="110"/>
      <c r="M1353" s="110"/>
      <c r="N1353" s="110"/>
      <c r="O1353" s="110"/>
    </row>
    <row r="1354" spans="1:15" s="81" customFormat="1" hidden="1">
      <c r="A1354" s="81" t="str">
        <f t="shared" si="52"/>
        <v>FRFNACDryerDryerséchoir</v>
      </c>
      <c r="B1354" s="106" t="str">
        <f t="shared" si="53"/>
        <v>FR_FNAC</v>
      </c>
      <c r="C1354" s="107" t="s">
        <v>251</v>
      </c>
      <c r="D1354" s="107" t="s">
        <v>256</v>
      </c>
      <c r="E1354" s="107" t="s">
        <v>2535</v>
      </c>
      <c r="F1354" s="119" t="s">
        <v>2431</v>
      </c>
      <c r="G1354" s="119" t="s">
        <v>2855</v>
      </c>
      <c r="H1354" s="93" t="e">
        <v>#N/A</v>
      </c>
      <c r="I1354" s="99">
        <v>46076</v>
      </c>
      <c r="J1354" s="83" t="s">
        <v>189</v>
      </c>
      <c r="K1354" s="107"/>
      <c r="L1354" s="107"/>
      <c r="M1354" s="107"/>
      <c r="N1354" s="107"/>
      <c r="O1354" s="107"/>
    </row>
    <row r="1355" spans="1:15" s="108" customFormat="1" hidden="1">
      <c r="A1355" s="108" t="str">
        <f t="shared" si="52"/>
        <v>FRSS.comAir Conditionerinverter air conditionerclimatiseur inverseur</v>
      </c>
      <c r="B1355" s="109" t="str">
        <f t="shared" si="53"/>
        <v>FR_SS.com</v>
      </c>
      <c r="C1355" s="110" t="s">
        <v>251</v>
      </c>
      <c r="D1355" s="110" t="s">
        <v>2443</v>
      </c>
      <c r="E1355" s="110" t="s">
        <v>2346</v>
      </c>
      <c r="F1355" s="110" t="s">
        <v>2348</v>
      </c>
      <c r="G1355" s="110" t="s">
        <v>2858</v>
      </c>
      <c r="H1355" s="93" t="e">
        <v>#N/A</v>
      </c>
      <c r="I1355" s="99">
        <v>46076</v>
      </c>
      <c r="J1355" s="83" t="s">
        <v>189</v>
      </c>
      <c r="K1355" s="110"/>
      <c r="L1355" s="110"/>
      <c r="M1355" s="110"/>
      <c r="N1355" s="110"/>
      <c r="O1355" s="110"/>
    </row>
    <row r="1356" spans="1:15" s="108" customFormat="1" hidden="1">
      <c r="A1356" s="108" t="str">
        <f t="shared" si="52"/>
        <v>FRSS.comAir Conditionersplit air conditionerclimatiseur split</v>
      </c>
      <c r="B1356" s="109" t="str">
        <f t="shared" si="53"/>
        <v>FR_SS.com</v>
      </c>
      <c r="C1356" s="110" t="s">
        <v>251</v>
      </c>
      <c r="D1356" s="110" t="s">
        <v>184</v>
      </c>
      <c r="E1356" s="110" t="s">
        <v>2346</v>
      </c>
      <c r="F1356" s="110" t="s">
        <v>2422</v>
      </c>
      <c r="G1356" s="110" t="s">
        <v>2859</v>
      </c>
      <c r="H1356" s="93" t="e">
        <v>#N/A</v>
      </c>
      <c r="I1356" s="99">
        <v>46076</v>
      </c>
      <c r="J1356" s="83" t="s">
        <v>189</v>
      </c>
      <c r="K1356" s="110"/>
      <c r="L1356" s="110"/>
      <c r="M1356" s="110"/>
      <c r="N1356" s="110"/>
      <c r="O1356" s="110"/>
    </row>
    <row r="1357" spans="1:15" s="108" customFormat="1" hidden="1">
      <c r="A1357" s="108" t="str">
        <f t="shared" si="52"/>
        <v>FRSS.comAir Conditionersplit inverter air conditionerclimatiseur split inverter</v>
      </c>
      <c r="B1357" s="109" t="str">
        <f t="shared" si="53"/>
        <v>FR_SS.com</v>
      </c>
      <c r="C1357" s="110" t="s">
        <v>251</v>
      </c>
      <c r="D1357" s="110" t="s">
        <v>184</v>
      </c>
      <c r="E1357" s="110" t="s">
        <v>2346</v>
      </c>
      <c r="F1357" s="110" t="s">
        <v>2423</v>
      </c>
      <c r="G1357" s="110" t="s">
        <v>2860</v>
      </c>
      <c r="H1357" s="93" t="e">
        <v>#N/A</v>
      </c>
      <c r="I1357" s="99">
        <v>46076</v>
      </c>
      <c r="J1357" s="83" t="s">
        <v>189</v>
      </c>
      <c r="K1357" s="110"/>
      <c r="L1357" s="110"/>
      <c r="M1357" s="110"/>
      <c r="N1357" s="110"/>
      <c r="O1357" s="110"/>
    </row>
    <row r="1358" spans="1:15" s="108" customFormat="1" hidden="1">
      <c r="A1358" s="108" t="str">
        <f t="shared" si="52"/>
        <v>FRSS.comAir Conditionerwindow air conditionerclimatiseur de fenêtre</v>
      </c>
      <c r="B1358" s="109" t="str">
        <f t="shared" si="53"/>
        <v>FR_SS.com</v>
      </c>
      <c r="C1358" s="110" t="s">
        <v>251</v>
      </c>
      <c r="D1358" s="110" t="s">
        <v>184</v>
      </c>
      <c r="E1358" s="110" t="s">
        <v>2346</v>
      </c>
      <c r="F1358" s="110" t="s">
        <v>2350</v>
      </c>
      <c r="G1358" s="110" t="s">
        <v>2861</v>
      </c>
      <c r="H1358" s="93" t="e">
        <v>#N/A</v>
      </c>
      <c r="I1358" s="99">
        <v>46076</v>
      </c>
      <c r="J1358" s="83" t="s">
        <v>189</v>
      </c>
      <c r="K1358" s="110"/>
      <c r="L1358" s="110"/>
      <c r="M1358" s="110"/>
      <c r="N1358" s="110"/>
      <c r="O1358" s="110"/>
    </row>
    <row r="1359" spans="1:15" s="108" customFormat="1" hidden="1">
      <c r="A1359" s="108" t="str">
        <f t="shared" si="52"/>
        <v>FRSS.comAir Conditionerwindow inverter air conditionerclimatiseur inverter de fenêtre</v>
      </c>
      <c r="B1359" s="109" t="str">
        <f t="shared" si="53"/>
        <v>FR_SS.com</v>
      </c>
      <c r="C1359" s="110" t="s">
        <v>251</v>
      </c>
      <c r="D1359" s="110" t="s">
        <v>184</v>
      </c>
      <c r="E1359" s="110" t="s">
        <v>2346</v>
      </c>
      <c r="F1359" s="110" t="s">
        <v>2424</v>
      </c>
      <c r="G1359" s="110" t="s">
        <v>2862</v>
      </c>
      <c r="H1359" s="93" t="e">
        <v>#N/A</v>
      </c>
      <c r="I1359" s="99">
        <v>46076</v>
      </c>
      <c r="J1359" s="83" t="s">
        <v>189</v>
      </c>
      <c r="K1359" s="110"/>
      <c r="L1359" s="110"/>
      <c r="M1359" s="110"/>
      <c r="N1359" s="110"/>
      <c r="O1359" s="110"/>
    </row>
    <row r="1360" spans="1:15" hidden="1">
      <c r="A1360" s="75" t="str">
        <f t="shared" si="52"/>
        <v>FRSS.comAir Conditionerair conditionerclimatiseur</v>
      </c>
      <c r="B1360" s="94" t="str">
        <f t="shared" si="53"/>
        <v>FR_SS.com</v>
      </c>
      <c r="C1360" s="93" t="s">
        <v>251</v>
      </c>
      <c r="D1360" s="93" t="s">
        <v>184</v>
      </c>
      <c r="E1360" s="93" t="s">
        <v>2346</v>
      </c>
      <c r="F1360" s="93" t="s">
        <v>2347</v>
      </c>
      <c r="G1360" s="120" t="s">
        <v>2851</v>
      </c>
      <c r="H1360" s="93" t="e">
        <v>#N/A</v>
      </c>
      <c r="I1360" s="105" t="s">
        <v>2310</v>
      </c>
      <c r="J1360" s="93" t="s">
        <v>189</v>
      </c>
      <c r="K1360" s="93">
        <v>2</v>
      </c>
      <c r="L1360" s="93" t="e">
        <v>#N/A</v>
      </c>
      <c r="M1360" s="93" t="s">
        <v>2311</v>
      </c>
      <c r="N1360" s="93">
        <f>VLOOKUP(B1360,'[16]01.수집 카테고리(List)'!$A$2:$H$64,8,FALSE)</f>
        <v>99991231</v>
      </c>
      <c r="O1360" s="93" t="s">
        <v>646</v>
      </c>
    </row>
    <row r="1361" spans="1:15" hidden="1">
      <c r="A1361" s="75" t="str">
        <f t="shared" si="52"/>
        <v>FRSS.comMonitormonitormoniteur</v>
      </c>
      <c r="B1361" s="94" t="str">
        <f t="shared" si="53"/>
        <v>FR_SS.com</v>
      </c>
      <c r="C1361" s="93" t="s">
        <v>251</v>
      </c>
      <c r="D1361" s="93" t="s">
        <v>184</v>
      </c>
      <c r="E1361" s="93" t="s">
        <v>2320</v>
      </c>
      <c r="F1361" s="93" t="s">
        <v>2323</v>
      </c>
      <c r="G1361" s="93" t="s">
        <v>2863</v>
      </c>
      <c r="H1361" s="93" t="e">
        <v>#N/A</v>
      </c>
      <c r="I1361" s="105" t="s">
        <v>2310</v>
      </c>
      <c r="J1361" s="93" t="s">
        <v>189</v>
      </c>
      <c r="K1361" s="93">
        <v>3</v>
      </c>
      <c r="L1361" s="93" t="e">
        <v>#N/A</v>
      </c>
      <c r="M1361" s="93" t="s">
        <v>2311</v>
      </c>
      <c r="N1361" s="93">
        <f>VLOOKUP(B1361,'[16]01.수집 카테고리(List)'!$A$2:$H$64,8,FALSE)</f>
        <v>99991231</v>
      </c>
      <c r="O1361" s="93" t="s">
        <v>646</v>
      </c>
    </row>
    <row r="1362" spans="1:15" hidden="1">
      <c r="A1362" s="75" t="str">
        <f t="shared" si="52"/>
        <v>FRSS.comMonitorgaming monitormoniteur de jeu</v>
      </c>
      <c r="B1362" s="94" t="str">
        <f t="shared" si="53"/>
        <v>FR_SS.com</v>
      </c>
      <c r="C1362" s="93" t="s">
        <v>251</v>
      </c>
      <c r="D1362" s="93" t="s">
        <v>184</v>
      </c>
      <c r="E1362" s="93" t="s">
        <v>2320</v>
      </c>
      <c r="F1362" s="93" t="s">
        <v>2322</v>
      </c>
      <c r="G1362" s="93" t="s">
        <v>2864</v>
      </c>
      <c r="H1362" s="93" t="e">
        <v>#N/A</v>
      </c>
      <c r="I1362" s="105" t="s">
        <v>2310</v>
      </c>
      <c r="J1362" s="93" t="s">
        <v>189</v>
      </c>
      <c r="K1362" s="93">
        <v>38</v>
      </c>
      <c r="L1362" s="93" t="e">
        <v>#N/A</v>
      </c>
      <c r="M1362" s="93" t="s">
        <v>2311</v>
      </c>
      <c r="N1362" s="93">
        <f>VLOOKUP(B1362,'[16]01.수집 카테고리(List)'!$A$2:$H$64,8,FALSE)</f>
        <v>99991231</v>
      </c>
      <c r="O1362" s="93" t="s">
        <v>646</v>
      </c>
    </row>
    <row r="1363" spans="1:15" hidden="1">
      <c r="A1363" s="75" t="str">
        <f t="shared" si="52"/>
        <v>FRSS.comRefrigeratorfridgefrigo</v>
      </c>
      <c r="B1363" s="94" t="str">
        <f t="shared" si="53"/>
        <v>FR_SS.com</v>
      </c>
      <c r="C1363" s="93" t="s">
        <v>251</v>
      </c>
      <c r="D1363" s="93" t="s">
        <v>184</v>
      </c>
      <c r="E1363" s="93" t="s">
        <v>2326</v>
      </c>
      <c r="F1363" s="93" t="s">
        <v>2414</v>
      </c>
      <c r="G1363" s="93" t="s">
        <v>2865</v>
      </c>
      <c r="H1363" s="93" t="e">
        <v>#N/A</v>
      </c>
      <c r="I1363" s="105" t="s">
        <v>2310</v>
      </c>
      <c r="J1363" s="93" t="s">
        <v>189</v>
      </c>
      <c r="K1363" s="93">
        <v>1455</v>
      </c>
      <c r="L1363" s="93" t="e">
        <v>#N/A</v>
      </c>
      <c r="M1363" s="93" t="s">
        <v>2311</v>
      </c>
      <c r="N1363" s="93">
        <f>VLOOKUP(B1363,'[16]01.수집 카테고리(List)'!$A$2:$H$64,8,FALSE)</f>
        <v>99991231</v>
      </c>
      <c r="O1363" s="93" t="s">
        <v>646</v>
      </c>
    </row>
    <row r="1364" spans="1:15" hidden="1">
      <c r="A1364" s="75" t="str">
        <f t="shared" si="52"/>
        <v>FRSS.comRefrigeratorrefrigeratorréfrigérateur</v>
      </c>
      <c r="B1364" s="94" t="str">
        <f t="shared" si="53"/>
        <v>FR_SS.com</v>
      </c>
      <c r="C1364" s="93" t="s">
        <v>251</v>
      </c>
      <c r="D1364" s="93" t="s">
        <v>184</v>
      </c>
      <c r="E1364" s="93" t="s">
        <v>2326</v>
      </c>
      <c r="F1364" s="93" t="s">
        <v>2329</v>
      </c>
      <c r="G1364" s="93" t="s">
        <v>2866</v>
      </c>
      <c r="H1364" s="93" t="e">
        <v>#N/A</v>
      </c>
      <c r="I1364" s="105" t="s">
        <v>2310</v>
      </c>
      <c r="J1364" s="93" t="s">
        <v>189</v>
      </c>
      <c r="K1364" s="93">
        <v>8</v>
      </c>
      <c r="L1364" s="93" t="e">
        <v>#N/A</v>
      </c>
      <c r="M1364" s="93" t="s">
        <v>2311</v>
      </c>
      <c r="N1364" s="93">
        <f>VLOOKUP(B1364,'[16]01.수집 카테고리(List)'!$A$2:$H$64,8,FALSE)</f>
        <v>99991231</v>
      </c>
      <c r="O1364" s="93" t="s">
        <v>646</v>
      </c>
    </row>
    <row r="1365" spans="1:15" hidden="1">
      <c r="A1365" s="75" t="str">
        <f t="shared" si="52"/>
        <v>FRSS.comTVtvtéléviseur</v>
      </c>
      <c r="B1365" s="94" t="str">
        <f t="shared" si="53"/>
        <v>FR_SS.com</v>
      </c>
      <c r="C1365" s="93" t="s">
        <v>251</v>
      </c>
      <c r="D1365" s="93" t="s">
        <v>184</v>
      </c>
      <c r="E1365" s="93" t="s">
        <v>161</v>
      </c>
      <c r="F1365" s="93" t="s">
        <v>2444</v>
      </c>
      <c r="G1365" s="93" t="s">
        <v>2867</v>
      </c>
      <c r="H1365" s="93" t="e">
        <v>#N/A</v>
      </c>
      <c r="I1365" s="105" t="s">
        <v>2310</v>
      </c>
      <c r="J1365" s="93" t="s">
        <v>189</v>
      </c>
      <c r="K1365" s="93">
        <v>6</v>
      </c>
      <c r="L1365" s="93">
        <v>13</v>
      </c>
      <c r="M1365" s="93" t="s">
        <v>2311</v>
      </c>
      <c r="N1365" s="93">
        <f>VLOOKUP(B1365,'[16]01.수집 카테고리(List)'!$A$2:$H$64,8,FALSE)</f>
        <v>99991231</v>
      </c>
      <c r="O1365" s="93" t="s">
        <v>646</v>
      </c>
    </row>
    <row r="1366" spans="1:15" hidden="1">
      <c r="A1366" s="75" t="str">
        <f t="shared" si="52"/>
        <v>FRSS.comWashing Machinewashing machinelave-linge</v>
      </c>
      <c r="B1366" s="94" t="str">
        <f t="shared" si="53"/>
        <v>FR_SS.com</v>
      </c>
      <c r="C1366" s="93" t="s">
        <v>251</v>
      </c>
      <c r="D1366" s="93" t="s">
        <v>184</v>
      </c>
      <c r="E1366" s="93" t="s">
        <v>2333</v>
      </c>
      <c r="F1366" s="93" t="s">
        <v>2340</v>
      </c>
      <c r="G1366" s="93" t="s">
        <v>2842</v>
      </c>
      <c r="H1366" s="93" t="e">
        <v>#N/A</v>
      </c>
      <c r="I1366" s="105" t="s">
        <v>2310</v>
      </c>
      <c r="J1366" s="93" t="s">
        <v>189</v>
      </c>
      <c r="K1366" s="93">
        <v>6758</v>
      </c>
      <c r="L1366" s="93" t="e">
        <v>#N/A</v>
      </c>
      <c r="M1366" s="93" t="s">
        <v>2311</v>
      </c>
      <c r="N1366" s="93">
        <f>VLOOKUP(B1366,'[16]01.수집 카테고리(List)'!$A$2:$H$64,8,FALSE)</f>
        <v>99991231</v>
      </c>
      <c r="O1366" s="93" t="s">
        <v>646</v>
      </c>
    </row>
    <row r="1367" spans="1:15" hidden="1">
      <c r="A1367" s="75" t="str">
        <f t="shared" si="52"/>
        <v>FRSS.comWashing Machinewasher dryerlave-linge séchant</v>
      </c>
      <c r="B1367" s="94" t="str">
        <f t="shared" si="53"/>
        <v>FR_SS.com</v>
      </c>
      <c r="C1367" s="93" t="s">
        <v>251</v>
      </c>
      <c r="D1367" s="93" t="s">
        <v>184</v>
      </c>
      <c r="E1367" s="93" t="s">
        <v>2333</v>
      </c>
      <c r="F1367" s="93" t="s">
        <v>2339</v>
      </c>
      <c r="G1367" s="93" t="s">
        <v>2868</v>
      </c>
      <c r="H1367" s="93" t="e">
        <v>#N/A</v>
      </c>
      <c r="I1367" s="105" t="s">
        <v>2310</v>
      </c>
      <c r="J1367" s="93" t="s">
        <v>189</v>
      </c>
      <c r="K1367" s="93">
        <v>6862</v>
      </c>
      <c r="L1367" s="93" t="e">
        <v>#N/A</v>
      </c>
      <c r="M1367" s="93" t="s">
        <v>2311</v>
      </c>
      <c r="N1367" s="93">
        <f>VLOOKUP(B1367,'[16]01.수집 카테고리(List)'!$A$2:$H$64,8,FALSE)</f>
        <v>99991231</v>
      </c>
      <c r="O1367" s="93" t="s">
        <v>646</v>
      </c>
    </row>
    <row r="1368" spans="1:15" s="111" customFormat="1" hidden="1">
      <c r="A1368" s="111" t="str">
        <f t="shared" si="52"/>
        <v>FRSS.comBluetooth Speakerspeakersenceinte</v>
      </c>
      <c r="B1368" s="112" t="str">
        <f t="shared" si="53"/>
        <v>FR_SS.com</v>
      </c>
      <c r="C1368" s="113" t="s">
        <v>251</v>
      </c>
      <c r="D1368" s="113" t="s">
        <v>184</v>
      </c>
      <c r="E1368" s="113" t="s">
        <v>2307</v>
      </c>
      <c r="F1368" s="113" t="s">
        <v>2471</v>
      </c>
      <c r="G1368" s="113" t="s">
        <v>2794</v>
      </c>
      <c r="H1368" s="93" t="e">
        <v>#N/A</v>
      </c>
      <c r="I1368" s="99">
        <v>46076</v>
      </c>
      <c r="J1368" s="83" t="s">
        <v>189</v>
      </c>
      <c r="K1368" s="113"/>
      <c r="L1368" s="113"/>
      <c r="M1368" s="113"/>
      <c r="N1368" s="113"/>
      <c r="O1368" s="113"/>
    </row>
    <row r="1369" spans="1:15" s="111" customFormat="1" hidden="1">
      <c r="A1369" s="111" t="str">
        <f t="shared" si="52"/>
        <v>FRSS.comBluetooth Speakerbluetooth speakerenceinte Bluetooth</v>
      </c>
      <c r="B1369" s="112" t="str">
        <f t="shared" si="53"/>
        <v>FR_SS.com</v>
      </c>
      <c r="C1369" s="113" t="s">
        <v>251</v>
      </c>
      <c r="D1369" s="113" t="s">
        <v>184</v>
      </c>
      <c r="E1369" s="113" t="s">
        <v>2307</v>
      </c>
      <c r="F1369" s="113" t="s">
        <v>2657</v>
      </c>
      <c r="G1369" s="113" t="s">
        <v>2795</v>
      </c>
      <c r="H1369" s="93" t="e">
        <v>#N/A</v>
      </c>
      <c r="I1369" s="99">
        <v>46076</v>
      </c>
      <c r="J1369" s="83" t="s">
        <v>189</v>
      </c>
      <c r="K1369" s="113"/>
      <c r="L1369" s="113"/>
      <c r="M1369" s="113"/>
      <c r="N1369" s="113"/>
      <c r="O1369" s="113"/>
    </row>
    <row r="1370" spans="1:15" s="111" customFormat="1" hidden="1">
      <c r="A1370" s="111" t="str">
        <f t="shared" si="52"/>
        <v>FRSS.comBluetooth Speakerbluetooth speaker portableenceinte Bluetooth portable</v>
      </c>
      <c r="B1370" s="112" t="str">
        <f t="shared" si="53"/>
        <v>FR_SS.com</v>
      </c>
      <c r="C1370" s="113" t="s">
        <v>251</v>
      </c>
      <c r="D1370" s="113" t="s">
        <v>184</v>
      </c>
      <c r="E1370" s="113" t="s">
        <v>2307</v>
      </c>
      <c r="F1370" s="113" t="s">
        <v>2479</v>
      </c>
      <c r="G1370" s="113" t="s">
        <v>2796</v>
      </c>
      <c r="H1370" s="93" t="e">
        <v>#N/A</v>
      </c>
      <c r="I1370" s="99">
        <v>46076</v>
      </c>
      <c r="J1370" s="83" t="s">
        <v>189</v>
      </c>
      <c r="K1370" s="113"/>
      <c r="L1370" s="113"/>
      <c r="M1370" s="113"/>
      <c r="N1370" s="113"/>
      <c r="O1370" s="113"/>
    </row>
    <row r="1371" spans="1:15" s="111" customFormat="1" hidden="1">
      <c r="A1371" s="111" t="str">
        <f t="shared" si="52"/>
        <v>FRSS.comBluetooth Speakerportable speakersenceinte portable</v>
      </c>
      <c r="B1371" s="112" t="str">
        <f t="shared" si="53"/>
        <v>FR_SS.com</v>
      </c>
      <c r="C1371" s="113" t="s">
        <v>251</v>
      </c>
      <c r="D1371" s="113" t="s">
        <v>184</v>
      </c>
      <c r="E1371" s="113" t="s">
        <v>2307</v>
      </c>
      <c r="F1371" s="113" t="s">
        <v>2473</v>
      </c>
      <c r="G1371" s="113" t="s">
        <v>2797</v>
      </c>
      <c r="H1371" s="93" t="e">
        <v>#N/A</v>
      </c>
      <c r="I1371" s="99">
        <v>46076</v>
      </c>
      <c r="J1371" s="83" t="s">
        <v>189</v>
      </c>
      <c r="K1371" s="113"/>
      <c r="L1371" s="113"/>
      <c r="M1371" s="113"/>
      <c r="N1371" s="113"/>
      <c r="O1371" s="113"/>
    </row>
    <row r="1372" spans="1:15" s="111" customFormat="1" hidden="1">
      <c r="A1372" s="111" t="str">
        <f t="shared" si="52"/>
        <v>FRSS.comBluetooth SpeakerWireless speakerEnceinte sans fil</v>
      </c>
      <c r="B1372" s="112" t="str">
        <f t="shared" si="53"/>
        <v>FR_SS.com</v>
      </c>
      <c r="C1372" s="113" t="s">
        <v>251</v>
      </c>
      <c r="D1372" s="113" t="s">
        <v>184</v>
      </c>
      <c r="E1372" s="113" t="s">
        <v>2307</v>
      </c>
      <c r="F1372" s="113" t="s">
        <v>2316</v>
      </c>
      <c r="G1372" s="113" t="s">
        <v>2798</v>
      </c>
      <c r="H1372" s="93" t="e">
        <v>#N/A</v>
      </c>
      <c r="I1372" s="99">
        <v>46076</v>
      </c>
      <c r="J1372" s="83" t="s">
        <v>189</v>
      </c>
      <c r="K1372" s="113"/>
      <c r="L1372" s="113"/>
      <c r="M1372" s="113"/>
      <c r="N1372" s="113"/>
      <c r="O1372" s="113"/>
    </row>
    <row r="1373" spans="1:15" s="111" customFormat="1" hidden="1">
      <c r="A1373" s="111" t="str">
        <f t="shared" si="52"/>
        <v>FRSS.comSOUNDBARSoundbarBarre de son</v>
      </c>
      <c r="B1373" s="112" t="str">
        <f t="shared" si="53"/>
        <v>FR_SS.com</v>
      </c>
      <c r="C1373" s="113" t="s">
        <v>251</v>
      </c>
      <c r="D1373" s="113" t="s">
        <v>184</v>
      </c>
      <c r="E1373" s="113" t="s">
        <v>2527</v>
      </c>
      <c r="F1373" s="113" t="s">
        <v>2363</v>
      </c>
      <c r="G1373" s="113" t="s">
        <v>2829</v>
      </c>
      <c r="H1373" s="93" t="e">
        <v>#N/A</v>
      </c>
      <c r="I1373" s="99">
        <v>46076</v>
      </c>
      <c r="J1373" s="83" t="s">
        <v>189</v>
      </c>
      <c r="K1373" s="113"/>
      <c r="L1373" s="113"/>
      <c r="M1373" s="113"/>
      <c r="N1373" s="113"/>
      <c r="O1373" s="113"/>
    </row>
    <row r="1374" spans="1:15" s="111" customFormat="1" hidden="1">
      <c r="A1374" s="111" t="str">
        <f t="shared" si="52"/>
        <v>FRSS.comSOUNDBARbluetooth soundbarbarre de son bluetooth</v>
      </c>
      <c r="B1374" s="112" t="str">
        <f t="shared" si="53"/>
        <v>FR_SS.com</v>
      </c>
      <c r="C1374" s="113" t="s">
        <v>251</v>
      </c>
      <c r="D1374" s="113" t="s">
        <v>184</v>
      </c>
      <c r="E1374" s="113" t="s">
        <v>2527</v>
      </c>
      <c r="F1374" s="113" t="s">
        <v>2830</v>
      </c>
      <c r="G1374" s="113" t="s">
        <v>2831</v>
      </c>
      <c r="H1374" s="93" t="e">
        <v>#N/A</v>
      </c>
      <c r="I1374" s="99">
        <v>46076</v>
      </c>
      <c r="J1374" s="83" t="s">
        <v>189</v>
      </c>
      <c r="K1374" s="113"/>
      <c r="L1374" s="113"/>
      <c r="M1374" s="113"/>
      <c r="N1374" s="113"/>
      <c r="O1374" s="113"/>
    </row>
    <row r="1375" spans="1:15" s="111" customFormat="1" hidden="1">
      <c r="A1375" s="111" t="str">
        <f t="shared" si="52"/>
        <v>FRSS.comSOUNDBARsoundbar for tvbarre de son pour tv</v>
      </c>
      <c r="B1375" s="112" t="str">
        <f t="shared" si="53"/>
        <v>FR_SS.com</v>
      </c>
      <c r="C1375" s="113" t="s">
        <v>251</v>
      </c>
      <c r="D1375" s="113" t="s">
        <v>184</v>
      </c>
      <c r="E1375" s="113" t="s">
        <v>2527</v>
      </c>
      <c r="F1375" s="113" t="s">
        <v>2573</v>
      </c>
      <c r="G1375" s="113" t="s">
        <v>2832</v>
      </c>
      <c r="H1375" s="93" t="e">
        <v>#N/A</v>
      </c>
      <c r="I1375" s="99">
        <v>46076</v>
      </c>
      <c r="J1375" s="83" t="s">
        <v>189</v>
      </c>
      <c r="K1375" s="113"/>
      <c r="L1375" s="113"/>
      <c r="M1375" s="113"/>
      <c r="N1375" s="113"/>
      <c r="O1375" s="113"/>
    </row>
    <row r="1376" spans="1:15" s="111" customFormat="1" hidden="1">
      <c r="A1376" s="111" t="str">
        <f t="shared" si="52"/>
        <v>FRSS.comSOUNDBARtv sound barbarre de son tv</v>
      </c>
      <c r="B1376" s="112" t="str">
        <f t="shared" si="53"/>
        <v>FR_SS.com</v>
      </c>
      <c r="C1376" s="113" t="s">
        <v>251</v>
      </c>
      <c r="D1376" s="113" t="s">
        <v>184</v>
      </c>
      <c r="E1376" s="113" t="s">
        <v>2527</v>
      </c>
      <c r="F1376" s="113" t="s">
        <v>2833</v>
      </c>
      <c r="G1376" s="113" t="s">
        <v>2834</v>
      </c>
      <c r="H1376" s="93" t="e">
        <v>#N/A</v>
      </c>
      <c r="I1376" s="99">
        <v>46076</v>
      </c>
      <c r="J1376" s="83" t="s">
        <v>189</v>
      </c>
      <c r="K1376" s="113"/>
      <c r="L1376" s="113"/>
      <c r="M1376" s="113"/>
      <c r="N1376" s="113"/>
      <c r="O1376" s="113"/>
    </row>
    <row r="1377" spans="1:15" s="111" customFormat="1" hidden="1">
      <c r="A1377" s="111" t="str">
        <f t="shared" si="52"/>
        <v>FRSS.comWireless HeadsetEarbudsécouteurs</v>
      </c>
      <c r="B1377" s="112" t="str">
        <f t="shared" si="53"/>
        <v>FR_SS.com</v>
      </c>
      <c r="C1377" s="113" t="s">
        <v>251</v>
      </c>
      <c r="D1377" s="113" t="s">
        <v>184</v>
      </c>
      <c r="E1377" s="113" t="s">
        <v>2373</v>
      </c>
      <c r="F1377" s="113" t="s">
        <v>2534</v>
      </c>
      <c r="G1377" s="113" t="s">
        <v>2845</v>
      </c>
      <c r="H1377" s="93" t="e">
        <v>#N/A</v>
      </c>
      <c r="I1377" s="99">
        <v>46076</v>
      </c>
      <c r="J1377" s="83" t="s">
        <v>189</v>
      </c>
      <c r="K1377" s="113"/>
      <c r="L1377" s="113"/>
      <c r="M1377" s="113"/>
      <c r="N1377" s="113"/>
      <c r="O1377" s="113"/>
    </row>
    <row r="1378" spans="1:15" s="111" customFormat="1" hidden="1">
      <c r="A1378" s="111" t="str">
        <f t="shared" si="52"/>
        <v>FRSS.comWireless Headsetbluetooth headphonesécouteurs bluetooth</v>
      </c>
      <c r="B1378" s="112" t="str">
        <f t="shared" si="53"/>
        <v>FR_SS.com</v>
      </c>
      <c r="C1378" s="113" t="s">
        <v>251</v>
      </c>
      <c r="D1378" s="113" t="s">
        <v>184</v>
      </c>
      <c r="E1378" s="113" t="s">
        <v>2373</v>
      </c>
      <c r="F1378" s="113" t="s">
        <v>2846</v>
      </c>
      <c r="G1378" s="113" t="s">
        <v>2847</v>
      </c>
      <c r="H1378" s="93" t="e">
        <v>#N/A</v>
      </c>
      <c r="I1378" s="99">
        <v>46076</v>
      </c>
      <c r="J1378" s="83" t="s">
        <v>189</v>
      </c>
      <c r="K1378" s="113"/>
      <c r="L1378" s="113"/>
      <c r="M1378" s="113"/>
      <c r="N1378" s="113"/>
      <c r="O1378" s="113"/>
    </row>
    <row r="1379" spans="1:15" s="111" customFormat="1" hidden="1">
      <c r="A1379" s="111" t="str">
        <f t="shared" si="52"/>
        <v>FRSS.comWireless Headsetsports bluetooth earphonesécouteurs bluetooth sport</v>
      </c>
      <c r="B1379" s="112" t="str">
        <f t="shared" si="53"/>
        <v>FR_SS.com</v>
      </c>
      <c r="C1379" s="113" t="s">
        <v>251</v>
      </c>
      <c r="D1379" s="113" t="s">
        <v>184</v>
      </c>
      <c r="E1379" s="113" t="s">
        <v>2373</v>
      </c>
      <c r="F1379" s="113" t="s">
        <v>2848</v>
      </c>
      <c r="G1379" s="113" t="s">
        <v>2849</v>
      </c>
      <c r="H1379" s="93" t="e">
        <v>#N/A</v>
      </c>
      <c r="I1379" s="99">
        <v>46076</v>
      </c>
      <c r="J1379" s="83" t="s">
        <v>189</v>
      </c>
      <c r="K1379" s="113"/>
      <c r="L1379" s="113"/>
      <c r="M1379" s="113"/>
      <c r="N1379" s="113"/>
      <c r="O1379" s="113"/>
    </row>
    <row r="1380" spans="1:15" s="111" customFormat="1" hidden="1">
      <c r="A1380" s="111" t="str">
        <f t="shared" si="52"/>
        <v>FRSS.comWireless HeadsetWireless Earbudsécouteurs sans fil</v>
      </c>
      <c r="B1380" s="112" t="str">
        <f t="shared" si="53"/>
        <v>FR_SS.com</v>
      </c>
      <c r="C1380" s="113" t="s">
        <v>251</v>
      </c>
      <c r="D1380" s="113" t="s">
        <v>184</v>
      </c>
      <c r="E1380" s="113" t="s">
        <v>2373</v>
      </c>
      <c r="F1380" s="113" t="s">
        <v>2760</v>
      </c>
      <c r="G1380" s="113" t="s">
        <v>2850</v>
      </c>
      <c r="H1380" s="93" t="e">
        <v>#N/A</v>
      </c>
      <c r="I1380" s="99">
        <v>46076</v>
      </c>
      <c r="J1380" s="83" t="s">
        <v>189</v>
      </c>
      <c r="K1380" s="113"/>
      <c r="L1380" s="113"/>
      <c r="M1380" s="113"/>
      <c r="N1380" s="113"/>
      <c r="O1380" s="113"/>
    </row>
    <row r="1381" spans="1:15" ht="17.399999999999999" hidden="1">
      <c r="A1381" s="75" t="str">
        <f t="shared" si="52"/>
        <v>HKFORTRESSAir Cleanerair purifier空氣清新機</v>
      </c>
      <c r="B1381" s="94" t="str">
        <f t="shared" si="53"/>
        <v>HK_FORTRESS</v>
      </c>
      <c r="C1381" s="93" t="s">
        <v>378</v>
      </c>
      <c r="D1381" s="93" t="s">
        <v>379</v>
      </c>
      <c r="E1381" s="93" t="s">
        <v>2342</v>
      </c>
      <c r="F1381" s="93" t="s">
        <v>2869</v>
      </c>
      <c r="G1381" s="93" t="s">
        <v>2870</v>
      </c>
      <c r="H1381" s="93" t="e">
        <v>#N/A</v>
      </c>
      <c r="I1381" s="105" t="s">
        <v>2310</v>
      </c>
      <c r="J1381" s="93" t="s">
        <v>189</v>
      </c>
      <c r="K1381" s="93">
        <v>352</v>
      </c>
      <c r="L1381" s="93" t="e">
        <v>#N/A</v>
      </c>
      <c r="M1381" s="93" t="s">
        <v>2311</v>
      </c>
      <c r="N1381" s="93" t="e">
        <f>VLOOKUP(B1381,'[16]01.수집 카테고리(List)'!$A$2:$H$64,8,FALSE)</f>
        <v>#N/A</v>
      </c>
      <c r="O1381" s="93"/>
    </row>
    <row r="1382" spans="1:15" ht="17.399999999999999" hidden="1">
      <c r="A1382" s="75" t="str">
        <f t="shared" si="52"/>
        <v>HKFORTRESSAir Cleanerportable air purifier便攜空氣清新機</v>
      </c>
      <c r="B1382" s="94" t="str">
        <f t="shared" si="53"/>
        <v>HK_FORTRESS</v>
      </c>
      <c r="C1382" s="93" t="s">
        <v>378</v>
      </c>
      <c r="D1382" s="93" t="s">
        <v>379</v>
      </c>
      <c r="E1382" s="93" t="s">
        <v>2342</v>
      </c>
      <c r="F1382" s="93" t="s">
        <v>2871</v>
      </c>
      <c r="G1382" s="93" t="s">
        <v>2872</v>
      </c>
      <c r="H1382" s="93" t="e">
        <v>#N/A</v>
      </c>
      <c r="I1382" s="105" t="s">
        <v>2310</v>
      </c>
      <c r="J1382" s="93" t="s">
        <v>189</v>
      </c>
      <c r="K1382" s="93">
        <v>144</v>
      </c>
      <c r="L1382" s="93" t="e">
        <v>#N/A</v>
      </c>
      <c r="M1382" s="93" t="s">
        <v>2311</v>
      </c>
      <c r="N1382" s="93" t="e">
        <f>VLOOKUP(B1382,'[16]01.수집 카테고리(List)'!$A$2:$H$64,8,FALSE)</f>
        <v>#N/A</v>
      </c>
      <c r="O1382" s="93"/>
    </row>
    <row r="1383" spans="1:15" hidden="1">
      <c r="A1383" s="75" t="str">
        <f t="shared" si="52"/>
        <v>HKFORTRESSBluetooth Speakerbluetooth speaker藍牙喇叭</v>
      </c>
      <c r="B1383" s="94" t="str">
        <f t="shared" si="53"/>
        <v>HK_FORTRESS</v>
      </c>
      <c r="C1383" s="93" t="s">
        <v>378</v>
      </c>
      <c r="D1383" s="93" t="s">
        <v>379</v>
      </c>
      <c r="E1383" s="93" t="s">
        <v>2307</v>
      </c>
      <c r="F1383" s="93" t="s">
        <v>2657</v>
      </c>
      <c r="G1383" s="93" t="s">
        <v>2873</v>
      </c>
      <c r="H1383" s="93" t="e">
        <v>#N/A</v>
      </c>
      <c r="I1383" s="105" t="s">
        <v>2310</v>
      </c>
      <c r="J1383" s="93" t="s">
        <v>189</v>
      </c>
      <c r="K1383" s="93">
        <v>91</v>
      </c>
      <c r="L1383" s="93" t="e">
        <v>#N/A</v>
      </c>
      <c r="M1383" s="93" t="s">
        <v>2311</v>
      </c>
      <c r="N1383" s="93" t="e">
        <f>VLOOKUP(B1383,'[16]01.수집 카테고리(List)'!$A$2:$H$64,8,FALSE)</f>
        <v>#N/A</v>
      </c>
      <c r="O1383" s="93"/>
    </row>
    <row r="1384" spans="1:15" hidden="1">
      <c r="A1384" s="75" t="str">
        <f t="shared" si="52"/>
        <v>HKFORTRESSBluetooth Speakerspeaker無線喇叭</v>
      </c>
      <c r="B1384" s="94" t="str">
        <f t="shared" si="53"/>
        <v>HK_FORTRESS</v>
      </c>
      <c r="C1384" s="93" t="s">
        <v>378</v>
      </c>
      <c r="D1384" s="93" t="s">
        <v>379</v>
      </c>
      <c r="E1384" s="93" t="s">
        <v>2307</v>
      </c>
      <c r="F1384" s="93" t="s">
        <v>2555</v>
      </c>
      <c r="G1384" s="93" t="s">
        <v>2874</v>
      </c>
      <c r="H1384" s="93" t="e">
        <v>#N/A</v>
      </c>
      <c r="I1384" s="105" t="s">
        <v>2310</v>
      </c>
      <c r="J1384" s="93" t="s">
        <v>189</v>
      </c>
      <c r="K1384" s="93">
        <v>75</v>
      </c>
      <c r="L1384" s="93" t="e">
        <v>#N/A</v>
      </c>
      <c r="M1384" s="93" t="s">
        <v>2311</v>
      </c>
      <c r="N1384" s="93" t="e">
        <f>VLOOKUP(B1384,'[16]01.수집 카테고리(List)'!$A$2:$H$64,8,FALSE)</f>
        <v>#N/A</v>
      </c>
      <c r="O1384" s="93"/>
    </row>
    <row r="1385" spans="1:15" hidden="1">
      <c r="A1385" s="75" t="str">
        <f t="shared" si="52"/>
        <v>HKFORTRESSBluetooth Speakerportable speaker無線音箱</v>
      </c>
      <c r="B1385" s="94" t="str">
        <f t="shared" si="53"/>
        <v>HK_FORTRESS</v>
      </c>
      <c r="C1385" s="93" t="s">
        <v>378</v>
      </c>
      <c r="D1385" s="93" t="s">
        <v>379</v>
      </c>
      <c r="E1385" s="93" t="s">
        <v>2307</v>
      </c>
      <c r="F1385" s="93" t="s">
        <v>2875</v>
      </c>
      <c r="G1385" s="93" t="s">
        <v>2876</v>
      </c>
      <c r="H1385" s="93" t="e">
        <v>#N/A</v>
      </c>
      <c r="I1385" s="105" t="s">
        <v>2310</v>
      </c>
      <c r="J1385" s="93" t="s">
        <v>189</v>
      </c>
      <c r="K1385" s="93">
        <v>764</v>
      </c>
      <c r="L1385" s="93" t="e">
        <v>#N/A</v>
      </c>
      <c r="M1385" s="93" t="s">
        <v>2311</v>
      </c>
      <c r="N1385" s="93" t="e">
        <f>VLOOKUP(B1385,'[16]01.수집 카테고리(List)'!$A$2:$H$64,8,FALSE)</f>
        <v>#N/A</v>
      </c>
      <c r="O1385" s="93"/>
    </row>
    <row r="1386" spans="1:15" hidden="1">
      <c r="A1386" s="75" t="str">
        <f t="shared" si="52"/>
        <v>HKFORTRESSBluetooth Speakerwireless speaker音箱</v>
      </c>
      <c r="B1386" s="94" t="str">
        <f t="shared" si="53"/>
        <v>HK_FORTRESS</v>
      </c>
      <c r="C1386" s="93" t="s">
        <v>378</v>
      </c>
      <c r="D1386" s="93" t="s">
        <v>379</v>
      </c>
      <c r="E1386" s="93" t="s">
        <v>2307</v>
      </c>
      <c r="F1386" s="93" t="s">
        <v>2877</v>
      </c>
      <c r="G1386" s="93" t="s">
        <v>2878</v>
      </c>
      <c r="H1386" s="93" t="e">
        <v>#N/A</v>
      </c>
      <c r="I1386" s="105" t="s">
        <v>2310</v>
      </c>
      <c r="J1386" s="93" t="s">
        <v>189</v>
      </c>
      <c r="K1386" s="93">
        <v>630</v>
      </c>
      <c r="L1386" s="93" t="e">
        <v>#N/A</v>
      </c>
      <c r="M1386" s="93" t="s">
        <v>2311</v>
      </c>
      <c r="N1386" s="93" t="e">
        <f>VLOOKUP(B1386,'[16]01.수집 카테고리(List)'!$A$2:$H$64,8,FALSE)</f>
        <v>#N/A</v>
      </c>
      <c r="O1386" s="93"/>
    </row>
    <row r="1387" spans="1:15" hidden="1">
      <c r="A1387" s="75" t="str">
        <f t="shared" si="52"/>
        <v>HKFORTRESSCordless Stick Vacuumstick vacuum cleanerstick vacuum cleaner</v>
      </c>
      <c r="B1387" s="94" t="str">
        <f t="shared" si="53"/>
        <v>HK_FORTRESS</v>
      </c>
      <c r="C1387" s="93" t="s">
        <v>378</v>
      </c>
      <c r="D1387" s="93" t="s">
        <v>379</v>
      </c>
      <c r="E1387" s="93" t="s">
        <v>2879</v>
      </c>
      <c r="F1387" s="93" t="s">
        <v>2439</v>
      </c>
      <c r="G1387" s="93" t="s">
        <v>2439</v>
      </c>
      <c r="H1387" s="93" t="e">
        <v>#N/A</v>
      </c>
      <c r="I1387" s="105" t="s">
        <v>2310</v>
      </c>
      <c r="J1387" s="93" t="s">
        <v>189</v>
      </c>
      <c r="K1387" s="93">
        <v>319</v>
      </c>
      <c r="L1387" s="93">
        <v>319</v>
      </c>
      <c r="M1387" s="93" t="s">
        <v>2311</v>
      </c>
      <c r="N1387" s="93" t="e">
        <f>VLOOKUP(B1387,'[16]01.수집 카테고리(List)'!$A$2:$H$64,8,FALSE)</f>
        <v>#N/A</v>
      </c>
      <c r="O1387" s="93"/>
    </row>
    <row r="1388" spans="1:15" hidden="1">
      <c r="A1388" s="75" t="str">
        <f t="shared" si="52"/>
        <v>HKFORTRESSCordless Stick Vacuumcordless stick vacuum cleaner無線吸塵機</v>
      </c>
      <c r="B1388" s="94" t="str">
        <f t="shared" si="53"/>
        <v>HK_FORTRESS</v>
      </c>
      <c r="C1388" s="93" t="s">
        <v>378</v>
      </c>
      <c r="D1388" s="93" t="s">
        <v>379</v>
      </c>
      <c r="E1388" s="93" t="s">
        <v>2879</v>
      </c>
      <c r="F1388" s="93" t="s">
        <v>2880</v>
      </c>
      <c r="G1388" s="93" t="s">
        <v>2881</v>
      </c>
      <c r="H1388" s="93" t="e">
        <v>#N/A</v>
      </c>
      <c r="I1388" s="105" t="s">
        <v>2310</v>
      </c>
      <c r="J1388" s="93" t="s">
        <v>189</v>
      </c>
      <c r="K1388" s="93">
        <v>543</v>
      </c>
      <c r="L1388" s="93" t="e">
        <v>#N/A</v>
      </c>
      <c r="M1388" s="93" t="s">
        <v>2311</v>
      </c>
      <c r="N1388" s="93" t="e">
        <f>VLOOKUP(B1388,'[16]01.수집 카테고리(List)'!$A$2:$H$64,8,FALSE)</f>
        <v>#N/A</v>
      </c>
      <c r="O1388" s="93"/>
    </row>
    <row r="1389" spans="1:15" hidden="1">
      <c r="A1389" s="75" t="str">
        <f t="shared" si="52"/>
        <v>HKFORTRESSCordless Stick Vacuumvacuum cleaner吸塵機</v>
      </c>
      <c r="B1389" s="94" t="str">
        <f t="shared" si="53"/>
        <v>HK_FORTRESS</v>
      </c>
      <c r="C1389" s="93" t="s">
        <v>378</v>
      </c>
      <c r="D1389" s="93" t="s">
        <v>379</v>
      </c>
      <c r="E1389" s="93" t="s">
        <v>2879</v>
      </c>
      <c r="F1389" s="93" t="s">
        <v>2882</v>
      </c>
      <c r="G1389" s="93" t="s">
        <v>2883</v>
      </c>
      <c r="H1389" s="93" t="e">
        <v>#N/A</v>
      </c>
      <c r="I1389" s="105" t="s">
        <v>2310</v>
      </c>
      <c r="J1389" s="93" t="s">
        <v>189</v>
      </c>
      <c r="K1389" s="93">
        <v>103</v>
      </c>
      <c r="L1389" s="93" t="e">
        <v>#N/A</v>
      </c>
      <c r="M1389" s="93" t="s">
        <v>2311</v>
      </c>
      <c r="N1389" s="93" t="e">
        <f>VLOOKUP(B1389,'[16]01.수집 카테고리(List)'!$A$2:$H$64,8,FALSE)</f>
        <v>#N/A</v>
      </c>
      <c r="O1389" s="93"/>
    </row>
    <row r="1390" spans="1:15" hidden="1">
      <c r="A1390" s="75" t="str">
        <f t="shared" si="52"/>
        <v>HKFORTRESSMonitor4k monitor4K 顯示器</v>
      </c>
      <c r="B1390" s="94" t="str">
        <f t="shared" si="53"/>
        <v>HK_FORTRESS</v>
      </c>
      <c r="C1390" s="93" t="s">
        <v>378</v>
      </c>
      <c r="D1390" s="93" t="s">
        <v>379</v>
      </c>
      <c r="E1390" s="93" t="s">
        <v>2320</v>
      </c>
      <c r="F1390" s="93" t="s">
        <v>2321</v>
      </c>
      <c r="G1390" s="93" t="s">
        <v>2884</v>
      </c>
      <c r="H1390" s="93" t="e">
        <v>#N/A</v>
      </c>
      <c r="I1390" s="105" t="s">
        <v>2310</v>
      </c>
      <c r="J1390" s="93" t="s">
        <v>189</v>
      </c>
      <c r="K1390" s="93">
        <v>226</v>
      </c>
      <c r="L1390" s="93" t="e">
        <v>#N/A</v>
      </c>
      <c r="M1390" s="93" t="s">
        <v>2311</v>
      </c>
      <c r="N1390" s="93" t="e">
        <f>VLOOKUP(B1390,'[16]01.수집 카테고리(List)'!$A$2:$H$64,8,FALSE)</f>
        <v>#N/A</v>
      </c>
      <c r="O1390" s="93"/>
    </row>
    <row r="1391" spans="1:15" hidden="1">
      <c r="A1391" s="75" t="str">
        <f t="shared" si="52"/>
        <v>HKFORTRESSMonitorultrawide monitorultrawide  顯示器</v>
      </c>
      <c r="B1391" s="94" t="str">
        <f t="shared" si="53"/>
        <v>HK_FORTRESS</v>
      </c>
      <c r="C1391" s="93" t="s">
        <v>378</v>
      </c>
      <c r="D1391" s="93" t="s">
        <v>379</v>
      </c>
      <c r="E1391" s="93" t="s">
        <v>2320</v>
      </c>
      <c r="F1391" s="93" t="s">
        <v>2325</v>
      </c>
      <c r="G1391" s="93" t="s">
        <v>2885</v>
      </c>
      <c r="H1391" s="93" t="e">
        <v>#N/A</v>
      </c>
      <c r="I1391" s="105" t="s">
        <v>2310</v>
      </c>
      <c r="J1391" s="93" t="s">
        <v>189</v>
      </c>
      <c r="K1391" s="93">
        <v>41</v>
      </c>
      <c r="L1391" s="93" t="e">
        <v>#N/A</v>
      </c>
      <c r="M1391" s="93" t="s">
        <v>2311</v>
      </c>
      <c r="N1391" s="93" t="e">
        <f>VLOOKUP(B1391,'[16]01.수집 카테고리(List)'!$A$2:$H$64,8,FALSE)</f>
        <v>#N/A</v>
      </c>
      <c r="O1391" s="93"/>
    </row>
    <row r="1392" spans="1:15" hidden="1">
      <c r="A1392" s="75" t="str">
        <f t="shared" si="52"/>
        <v>HKFORTRESSMonitorgaming monitor遊戲顯示器</v>
      </c>
      <c r="B1392" s="94" t="str">
        <f t="shared" si="53"/>
        <v>HK_FORTRESS</v>
      </c>
      <c r="C1392" s="93" t="s">
        <v>378</v>
      </c>
      <c r="D1392" s="93" t="s">
        <v>379</v>
      </c>
      <c r="E1392" s="93" t="s">
        <v>2320</v>
      </c>
      <c r="F1392" s="93" t="s">
        <v>2322</v>
      </c>
      <c r="G1392" s="93" t="s">
        <v>2886</v>
      </c>
      <c r="H1392" s="93" t="e">
        <v>#N/A</v>
      </c>
      <c r="I1392" s="105" t="s">
        <v>2310</v>
      </c>
      <c r="J1392" s="93" t="s">
        <v>189</v>
      </c>
      <c r="K1392" s="93">
        <v>245</v>
      </c>
      <c r="L1392" s="93" t="e">
        <v>#N/A</v>
      </c>
      <c r="M1392" s="93" t="s">
        <v>2311</v>
      </c>
      <c r="N1392" s="93" t="e">
        <f>VLOOKUP(B1392,'[16]01.수집 카테고리(List)'!$A$2:$H$64,8,FALSE)</f>
        <v>#N/A</v>
      </c>
      <c r="O1392" s="93"/>
    </row>
    <row r="1393" spans="1:15" hidden="1">
      <c r="A1393" s="75" t="str">
        <f t="shared" si="52"/>
        <v>HKFORTRESSMonitorgaming monitor電競顯示器</v>
      </c>
      <c r="B1393" s="94" t="str">
        <f t="shared" si="53"/>
        <v>HK_FORTRESS</v>
      </c>
      <c r="C1393" s="93" t="s">
        <v>378</v>
      </c>
      <c r="D1393" s="93" t="s">
        <v>379</v>
      </c>
      <c r="E1393" s="93" t="s">
        <v>2320</v>
      </c>
      <c r="F1393" s="93" t="s">
        <v>2322</v>
      </c>
      <c r="G1393" s="93" t="s">
        <v>2887</v>
      </c>
      <c r="H1393" s="93" t="e">
        <v>#N/A</v>
      </c>
      <c r="I1393" s="105" t="s">
        <v>2310</v>
      </c>
      <c r="J1393" s="93" t="s">
        <v>189</v>
      </c>
      <c r="K1393" s="93">
        <v>1536</v>
      </c>
      <c r="L1393" s="93" t="e">
        <v>#N/A</v>
      </c>
      <c r="M1393" s="93" t="s">
        <v>2311</v>
      </c>
      <c r="N1393" s="93" t="e">
        <f>VLOOKUP(B1393,'[16]01.수집 카테고리(List)'!$A$2:$H$64,8,FALSE)</f>
        <v>#N/A</v>
      </c>
      <c r="O1393" s="93"/>
    </row>
    <row r="1394" spans="1:15" hidden="1">
      <c r="A1394" s="75" t="str">
        <f t="shared" si="52"/>
        <v>HKFORTRESSMonitormonitor顯示器</v>
      </c>
      <c r="B1394" s="94" t="str">
        <f t="shared" si="53"/>
        <v>HK_FORTRESS</v>
      </c>
      <c r="C1394" s="93" t="s">
        <v>378</v>
      </c>
      <c r="D1394" s="93" t="s">
        <v>379</v>
      </c>
      <c r="E1394" s="93" t="s">
        <v>2320</v>
      </c>
      <c r="F1394" s="93" t="s">
        <v>2323</v>
      </c>
      <c r="G1394" s="93" t="s">
        <v>2888</v>
      </c>
      <c r="H1394" s="93" t="e">
        <v>#N/A</v>
      </c>
      <c r="I1394" s="105" t="s">
        <v>2310</v>
      </c>
      <c r="J1394" s="93" t="s">
        <v>189</v>
      </c>
      <c r="K1394" s="93">
        <v>43</v>
      </c>
      <c r="L1394" s="93" t="e">
        <v>#N/A</v>
      </c>
      <c r="M1394" s="93" t="s">
        <v>2311</v>
      </c>
      <c r="N1394" s="93" t="e">
        <f>VLOOKUP(B1394,'[16]01.수집 카테고리(List)'!$A$2:$H$64,8,FALSE)</f>
        <v>#N/A</v>
      </c>
      <c r="O1394" s="93"/>
    </row>
    <row r="1395" spans="1:15" ht="17.399999999999999" hidden="1">
      <c r="A1395" s="75" t="str">
        <f t="shared" si="52"/>
        <v>HKFORTRESSMonitormonitor顯示屏</v>
      </c>
      <c r="B1395" s="94" t="str">
        <f t="shared" si="53"/>
        <v>HK_FORTRESS</v>
      </c>
      <c r="C1395" s="93" t="s">
        <v>378</v>
      </c>
      <c r="D1395" s="93" t="s">
        <v>379</v>
      </c>
      <c r="E1395" s="93" t="s">
        <v>2320</v>
      </c>
      <c r="F1395" s="93" t="s">
        <v>2323</v>
      </c>
      <c r="G1395" s="93" t="s">
        <v>2889</v>
      </c>
      <c r="H1395" s="93" t="e">
        <v>#N/A</v>
      </c>
      <c r="I1395" s="105" t="s">
        <v>2310</v>
      </c>
      <c r="J1395" s="93" t="s">
        <v>189</v>
      </c>
      <c r="K1395" s="93">
        <v>67</v>
      </c>
      <c r="L1395" s="93" t="e">
        <v>#N/A</v>
      </c>
      <c r="M1395" s="93" t="s">
        <v>2311</v>
      </c>
      <c r="N1395" s="93" t="e">
        <f>VLOOKUP(B1395,'[16]01.수집 카테고리(List)'!$A$2:$H$64,8,FALSE)</f>
        <v>#N/A</v>
      </c>
      <c r="O1395" s="93"/>
    </row>
    <row r="1396" spans="1:15" hidden="1">
      <c r="A1396" s="75" t="str">
        <f t="shared" si="52"/>
        <v>HKFORTRESSRefrigeratorrefrigerator雪櫃</v>
      </c>
      <c r="B1396" s="94" t="str">
        <f t="shared" si="53"/>
        <v>HK_FORTRESS</v>
      </c>
      <c r="C1396" s="93" t="s">
        <v>378</v>
      </c>
      <c r="D1396" s="93" t="s">
        <v>379</v>
      </c>
      <c r="E1396" s="93" t="s">
        <v>2326</v>
      </c>
      <c r="F1396" s="93" t="s">
        <v>2329</v>
      </c>
      <c r="G1396" s="93" t="s">
        <v>2890</v>
      </c>
      <c r="H1396" s="93" t="e">
        <v>#N/A</v>
      </c>
      <c r="I1396" s="105" t="s">
        <v>2310</v>
      </c>
      <c r="J1396" s="93" t="s">
        <v>189</v>
      </c>
      <c r="K1396" s="93">
        <v>2</v>
      </c>
      <c r="L1396" s="93" t="e">
        <v>#N/A</v>
      </c>
      <c r="M1396" s="93" t="s">
        <v>2311</v>
      </c>
      <c r="N1396" s="93" t="e">
        <f>VLOOKUP(B1396,'[16]01.수집 카테고리(List)'!$A$2:$H$64,8,FALSE)</f>
        <v>#N/A</v>
      </c>
      <c r="O1396" s="93"/>
    </row>
    <row r="1397" spans="1:15" hidden="1">
      <c r="A1397" s="75" t="str">
        <f t="shared" si="52"/>
        <v>HKFORTRESSRefrigeratorbottom freezer refrigerator下置式雙門雪櫃</v>
      </c>
      <c r="B1397" s="94" t="str">
        <f t="shared" si="53"/>
        <v>HK_FORTRESS</v>
      </c>
      <c r="C1397" s="93" t="s">
        <v>378</v>
      </c>
      <c r="D1397" s="93" t="s">
        <v>379</v>
      </c>
      <c r="E1397" s="93" t="s">
        <v>2326</v>
      </c>
      <c r="F1397" s="93" t="s">
        <v>2327</v>
      </c>
      <c r="G1397" s="93" t="s">
        <v>2891</v>
      </c>
      <c r="H1397" s="93" t="e">
        <v>#N/A</v>
      </c>
      <c r="I1397" s="105" t="s">
        <v>2310</v>
      </c>
      <c r="J1397" s="93" t="s">
        <v>189</v>
      </c>
      <c r="K1397" s="93">
        <v>1325</v>
      </c>
      <c r="L1397" s="93" t="e">
        <v>#N/A</v>
      </c>
      <c r="M1397" s="93" t="s">
        <v>2311</v>
      </c>
      <c r="N1397" s="93" t="e">
        <f>VLOOKUP(B1397,'[16]01.수집 카테고리(List)'!$A$2:$H$64,8,FALSE)</f>
        <v>#N/A</v>
      </c>
      <c r="O1397" s="93"/>
    </row>
    <row r="1398" spans="1:15" hidden="1">
      <c r="A1398" s="75" t="str">
        <f t="shared" si="52"/>
        <v>HKFORTRESSSOUNDBARsound barsound bar</v>
      </c>
      <c r="B1398" s="94" t="str">
        <f t="shared" si="53"/>
        <v>HK_FORTRESS</v>
      </c>
      <c r="C1398" s="93" t="s">
        <v>378</v>
      </c>
      <c r="D1398" s="93" t="s">
        <v>379</v>
      </c>
      <c r="E1398" s="93" t="s">
        <v>165</v>
      </c>
      <c r="F1398" s="93" t="s">
        <v>2529</v>
      </c>
      <c r="G1398" s="93" t="s">
        <v>2529</v>
      </c>
      <c r="H1398" s="93" t="e">
        <v>#N/A</v>
      </c>
      <c r="I1398" s="105" t="s">
        <v>2310</v>
      </c>
      <c r="J1398" s="93" t="s">
        <v>189</v>
      </c>
      <c r="K1398" s="93">
        <v>8</v>
      </c>
      <c r="L1398" s="93">
        <v>8</v>
      </c>
      <c r="M1398" s="93" t="s">
        <v>2311</v>
      </c>
      <c r="N1398" s="93" t="e">
        <f>VLOOKUP(B1398,'[16]01.수집 카테고리(List)'!$A$2:$H$64,8,FALSE)</f>
        <v>#N/A</v>
      </c>
      <c r="O1398" s="93"/>
    </row>
    <row r="1399" spans="1:15" hidden="1">
      <c r="A1399" s="75" t="str">
        <f t="shared" si="52"/>
        <v>HKFORTRESSSOUNDBARSoundbarSoundbar</v>
      </c>
      <c r="B1399" s="94" t="str">
        <f t="shared" si="53"/>
        <v>HK_FORTRESS</v>
      </c>
      <c r="C1399" s="93" t="s">
        <v>378</v>
      </c>
      <c r="D1399" s="93" t="s">
        <v>379</v>
      </c>
      <c r="E1399" s="93" t="s">
        <v>165</v>
      </c>
      <c r="F1399" s="93" t="s">
        <v>2363</v>
      </c>
      <c r="G1399" s="93" t="s">
        <v>2363</v>
      </c>
      <c r="H1399" s="93" t="e">
        <v>#N/A</v>
      </c>
      <c r="I1399" s="105" t="s">
        <v>2310</v>
      </c>
      <c r="J1399" s="93" t="s">
        <v>189</v>
      </c>
      <c r="K1399" s="93">
        <v>1</v>
      </c>
      <c r="L1399" s="93">
        <v>1</v>
      </c>
      <c r="M1399" s="93" t="s">
        <v>2311</v>
      </c>
      <c r="N1399" s="93" t="e">
        <f>VLOOKUP(B1399,'[16]01.수집 카테고리(List)'!$A$2:$H$64,8,FALSE)</f>
        <v>#N/A</v>
      </c>
      <c r="O1399" s="93"/>
    </row>
    <row r="1400" spans="1:15" hidden="1">
      <c r="A1400" s="75" t="str">
        <f t="shared" si="52"/>
        <v>HKFORTRESSSOUNDBARsoundbar speakersoundbar speaker</v>
      </c>
      <c r="B1400" s="94" t="str">
        <f t="shared" si="53"/>
        <v>HK_FORTRESS</v>
      </c>
      <c r="C1400" s="93" t="s">
        <v>378</v>
      </c>
      <c r="D1400" s="93" t="s">
        <v>379</v>
      </c>
      <c r="E1400" s="93" t="s">
        <v>165</v>
      </c>
      <c r="F1400" s="93" t="s">
        <v>2892</v>
      </c>
      <c r="G1400" s="93" t="s">
        <v>2892</v>
      </c>
      <c r="H1400" s="93" t="e">
        <v>#N/A</v>
      </c>
      <c r="I1400" s="105" t="s">
        <v>2310</v>
      </c>
      <c r="J1400" s="93" t="s">
        <v>189</v>
      </c>
      <c r="K1400" s="93">
        <v>732</v>
      </c>
      <c r="L1400" s="93">
        <v>732</v>
      </c>
      <c r="M1400" s="93" t="s">
        <v>2311</v>
      </c>
      <c r="N1400" s="93" t="e">
        <f>VLOOKUP(B1400,'[16]01.수집 카테고리(List)'!$A$2:$H$64,8,FALSE)</f>
        <v>#N/A</v>
      </c>
      <c r="O1400" s="93"/>
    </row>
    <row r="1401" spans="1:15" hidden="1">
      <c r="A1401" s="75" t="str">
        <f t="shared" si="52"/>
        <v>HKFORTRESSTV4K TV4K電視</v>
      </c>
      <c r="B1401" s="94" t="str">
        <f t="shared" si="53"/>
        <v>HK_FORTRESS</v>
      </c>
      <c r="C1401" s="93" t="s">
        <v>378</v>
      </c>
      <c r="D1401" s="93" t="s">
        <v>379</v>
      </c>
      <c r="E1401" s="93" t="s">
        <v>161</v>
      </c>
      <c r="F1401" s="93" t="s">
        <v>2893</v>
      </c>
      <c r="G1401" s="93" t="s">
        <v>2894</v>
      </c>
      <c r="H1401" s="93" t="e">
        <v>#N/A</v>
      </c>
      <c r="I1401" s="105" t="s">
        <v>2310</v>
      </c>
      <c r="J1401" s="93" t="s">
        <v>189</v>
      </c>
      <c r="K1401" s="93">
        <v>2260</v>
      </c>
      <c r="L1401" s="93" t="e">
        <v>#N/A</v>
      </c>
      <c r="M1401" s="93" t="s">
        <v>2311</v>
      </c>
      <c r="N1401" s="93" t="e">
        <f>VLOOKUP(B1401,'[16]01.수집 카테고리(List)'!$A$2:$H$64,8,FALSE)</f>
        <v>#N/A</v>
      </c>
      <c r="O1401" s="93"/>
    </row>
    <row r="1402" spans="1:15" hidden="1">
      <c r="A1402" s="75" t="str">
        <f t="shared" si="52"/>
        <v>HKFORTRESSTV8K8K電視</v>
      </c>
      <c r="B1402" s="94" t="str">
        <f t="shared" si="53"/>
        <v>HK_FORTRESS</v>
      </c>
      <c r="C1402" s="93" t="s">
        <v>378</v>
      </c>
      <c r="D1402" s="93" t="s">
        <v>379</v>
      </c>
      <c r="E1402" s="93" t="s">
        <v>161</v>
      </c>
      <c r="F1402" s="93" t="s">
        <v>2895</v>
      </c>
      <c r="G1402" s="93" t="s">
        <v>2896</v>
      </c>
      <c r="H1402" s="93" t="e">
        <v>#N/A</v>
      </c>
      <c r="I1402" s="105" t="s">
        <v>2310</v>
      </c>
      <c r="J1402" s="93" t="s">
        <v>189</v>
      </c>
      <c r="K1402" s="93">
        <v>4018</v>
      </c>
      <c r="L1402" s="93" t="e">
        <v>#N/A</v>
      </c>
      <c r="M1402" s="93" t="s">
        <v>2311</v>
      </c>
      <c r="N1402" s="93" t="e">
        <f>VLOOKUP(B1402,'[16]01.수집 카테고리(List)'!$A$2:$H$64,8,FALSE)</f>
        <v>#N/A</v>
      </c>
      <c r="O1402" s="93"/>
    </row>
    <row r="1403" spans="1:15" hidden="1">
      <c r="A1403" s="75" t="str">
        <f t="shared" si="52"/>
        <v>HKFORTRESSTVled tvled電視</v>
      </c>
      <c r="B1403" s="94" t="str">
        <f t="shared" si="53"/>
        <v>HK_FORTRESS</v>
      </c>
      <c r="C1403" s="93" t="s">
        <v>378</v>
      </c>
      <c r="D1403" s="93" t="s">
        <v>379</v>
      </c>
      <c r="E1403" s="93" t="s">
        <v>161</v>
      </c>
      <c r="F1403" s="93" t="s">
        <v>2897</v>
      </c>
      <c r="G1403" s="93" t="s">
        <v>2898</v>
      </c>
      <c r="H1403" s="93" t="e">
        <v>#N/A</v>
      </c>
      <c r="I1403" s="105" t="s">
        <v>2310</v>
      </c>
      <c r="J1403" s="93" t="s">
        <v>189</v>
      </c>
      <c r="K1403" s="93">
        <v>4722</v>
      </c>
      <c r="L1403" s="93" t="e">
        <v>#N/A</v>
      </c>
      <c r="M1403" s="93" t="s">
        <v>2311</v>
      </c>
      <c r="N1403" s="93" t="e">
        <f>VLOOKUP(B1403,'[16]01.수집 카테고리(List)'!$A$2:$H$64,8,FALSE)</f>
        <v>#N/A</v>
      </c>
      <c r="O1403" s="93"/>
    </row>
    <row r="1404" spans="1:15" hidden="1">
      <c r="A1404" s="75" t="str">
        <f t="shared" si="52"/>
        <v>HKFORTRESSTVnanocell TVnanocell電視</v>
      </c>
      <c r="B1404" s="94" t="str">
        <f t="shared" si="53"/>
        <v>HK_FORTRESS</v>
      </c>
      <c r="C1404" s="93" t="s">
        <v>378</v>
      </c>
      <c r="D1404" s="93" t="s">
        <v>379</v>
      </c>
      <c r="E1404" s="93" t="s">
        <v>161</v>
      </c>
      <c r="F1404" s="93" t="s">
        <v>2899</v>
      </c>
      <c r="G1404" s="93" t="s">
        <v>2900</v>
      </c>
      <c r="H1404" s="93" t="e">
        <v>#N/A</v>
      </c>
      <c r="I1404" s="105" t="s">
        <v>2310</v>
      </c>
      <c r="J1404" s="93" t="s">
        <v>189</v>
      </c>
      <c r="K1404" s="93">
        <v>7019</v>
      </c>
      <c r="L1404" s="93" t="e">
        <v>#N/A</v>
      </c>
      <c r="M1404" s="93" t="s">
        <v>2311</v>
      </c>
      <c r="N1404" s="93" t="e">
        <f>VLOOKUP(B1404,'[16]01.수집 카테고리(List)'!$A$2:$H$64,8,FALSE)</f>
        <v>#N/A</v>
      </c>
      <c r="O1404" s="93"/>
    </row>
    <row r="1405" spans="1:15" hidden="1">
      <c r="A1405" s="75" t="str">
        <f t="shared" si="52"/>
        <v>HKFORTRESSTVoled TVoled電視</v>
      </c>
      <c r="B1405" s="94" t="str">
        <f t="shared" si="53"/>
        <v>HK_FORTRESS</v>
      </c>
      <c r="C1405" s="93" t="s">
        <v>378</v>
      </c>
      <c r="D1405" s="93" t="s">
        <v>379</v>
      </c>
      <c r="E1405" s="93" t="s">
        <v>161</v>
      </c>
      <c r="F1405" s="93" t="s">
        <v>2369</v>
      </c>
      <c r="G1405" s="93" t="s">
        <v>2901</v>
      </c>
      <c r="H1405" s="93" t="e">
        <v>#N/A</v>
      </c>
      <c r="I1405" s="105" t="s">
        <v>2310</v>
      </c>
      <c r="J1405" s="93" t="s">
        <v>189</v>
      </c>
      <c r="K1405" s="93">
        <v>6412</v>
      </c>
      <c r="L1405" s="93" t="e">
        <v>#N/A</v>
      </c>
      <c r="M1405" s="93" t="s">
        <v>2311</v>
      </c>
      <c r="N1405" s="93" t="e">
        <f>VLOOKUP(B1405,'[16]01.수집 카테고리(List)'!$A$2:$H$64,8,FALSE)</f>
        <v>#N/A</v>
      </c>
      <c r="O1405" s="93"/>
    </row>
    <row r="1406" spans="1:15" ht="17.399999999999999" hidden="1">
      <c r="A1406" s="75" t="str">
        <f t="shared" si="52"/>
        <v>HKFORTRESSTVhd tv高清電視</v>
      </c>
      <c r="B1406" s="94" t="str">
        <f t="shared" si="53"/>
        <v>HK_FORTRESS</v>
      </c>
      <c r="C1406" s="93" t="s">
        <v>378</v>
      </c>
      <c r="D1406" s="93" t="s">
        <v>379</v>
      </c>
      <c r="E1406" s="93" t="s">
        <v>161</v>
      </c>
      <c r="F1406" s="93" t="s">
        <v>2902</v>
      </c>
      <c r="G1406" s="93" t="s">
        <v>2903</v>
      </c>
      <c r="H1406" s="93" t="e">
        <v>#N/A</v>
      </c>
      <c r="I1406" s="105" t="s">
        <v>2310</v>
      </c>
      <c r="J1406" s="93" t="s">
        <v>189</v>
      </c>
      <c r="K1406" s="93">
        <v>2167</v>
      </c>
      <c r="L1406" s="93" t="e">
        <v>#N/A</v>
      </c>
      <c r="M1406" s="93" t="s">
        <v>2311</v>
      </c>
      <c r="N1406" s="93" t="e">
        <f>VLOOKUP(B1406,'[16]01.수집 카테고리(List)'!$A$2:$H$64,8,FALSE)</f>
        <v>#N/A</v>
      </c>
      <c r="O1406" s="93"/>
    </row>
    <row r="1407" spans="1:15" hidden="1">
      <c r="A1407" s="75" t="str">
        <f t="shared" si="52"/>
        <v>HKFORTRESSTVTV電視</v>
      </c>
      <c r="B1407" s="94" t="str">
        <f t="shared" si="53"/>
        <v>HK_FORTRESS</v>
      </c>
      <c r="C1407" s="93" t="s">
        <v>378</v>
      </c>
      <c r="D1407" s="93" t="s">
        <v>379</v>
      </c>
      <c r="E1407" s="93" t="s">
        <v>161</v>
      </c>
      <c r="F1407" s="93" t="s">
        <v>161</v>
      </c>
      <c r="G1407" s="93" t="s">
        <v>2904</v>
      </c>
      <c r="H1407" s="93" t="e">
        <v>#N/A</v>
      </c>
      <c r="I1407" s="105" t="s">
        <v>2310</v>
      </c>
      <c r="J1407" s="93" t="s">
        <v>189</v>
      </c>
      <c r="K1407" s="93">
        <v>5755</v>
      </c>
      <c r="L1407" s="93" t="e">
        <v>#N/A</v>
      </c>
      <c r="M1407" s="93" t="s">
        <v>2311</v>
      </c>
      <c r="N1407" s="93" t="e">
        <f>VLOOKUP(B1407,'[16]01.수집 카테고리(List)'!$A$2:$H$64,8,FALSE)</f>
        <v>#N/A</v>
      </c>
      <c r="O1407" s="93"/>
    </row>
    <row r="1408" spans="1:15" ht="17.399999999999999" hidden="1">
      <c r="A1408" s="75" t="str">
        <f t="shared" si="52"/>
        <v>HKFORTRESSTVuhd tv超高清電視</v>
      </c>
      <c r="B1408" s="94" t="str">
        <f t="shared" si="53"/>
        <v>HK_FORTRESS</v>
      </c>
      <c r="C1408" s="93" t="s">
        <v>378</v>
      </c>
      <c r="D1408" s="93" t="s">
        <v>379</v>
      </c>
      <c r="E1408" s="93" t="s">
        <v>161</v>
      </c>
      <c r="F1408" s="93" t="s">
        <v>2584</v>
      </c>
      <c r="G1408" s="93" t="s">
        <v>2905</v>
      </c>
      <c r="H1408" s="93" t="e">
        <v>#N/A</v>
      </c>
      <c r="I1408" s="105" t="s">
        <v>2310</v>
      </c>
      <c r="J1408" s="93" t="s">
        <v>189</v>
      </c>
      <c r="K1408" s="93">
        <v>2269</v>
      </c>
      <c r="L1408" s="93">
        <v>270</v>
      </c>
      <c r="M1408" s="93" t="s">
        <v>2311</v>
      </c>
      <c r="N1408" s="93" t="e">
        <f>VLOOKUP(B1408,'[16]01.수집 카테고리(List)'!$A$2:$H$64,8,FALSE)</f>
        <v>#N/A</v>
      </c>
      <c r="O1408" s="93"/>
    </row>
    <row r="1409" spans="1:15" hidden="1">
      <c r="A1409" s="75" t="str">
        <f t="shared" si="52"/>
        <v>HKFORTRESSWashing Machinewasher dryer洗衣乾衣機</v>
      </c>
      <c r="B1409" s="94" t="str">
        <f t="shared" si="53"/>
        <v>HK_FORTRESS</v>
      </c>
      <c r="C1409" s="93" t="s">
        <v>378</v>
      </c>
      <c r="D1409" s="93" t="s">
        <v>379</v>
      </c>
      <c r="E1409" s="93" t="s">
        <v>2333</v>
      </c>
      <c r="F1409" s="93" t="s">
        <v>2339</v>
      </c>
      <c r="G1409" s="93" t="s">
        <v>2906</v>
      </c>
      <c r="H1409" s="93" t="e">
        <v>#N/A</v>
      </c>
      <c r="I1409" s="105" t="s">
        <v>2310</v>
      </c>
      <c r="J1409" s="93" t="s">
        <v>189</v>
      </c>
      <c r="K1409" s="93">
        <v>38</v>
      </c>
      <c r="L1409" s="93" t="e">
        <v>#N/A</v>
      </c>
      <c r="M1409" s="93" t="s">
        <v>2311</v>
      </c>
      <c r="N1409" s="93" t="e">
        <f>VLOOKUP(B1409,'[16]01.수집 카테고리(List)'!$A$2:$H$64,8,FALSE)</f>
        <v>#N/A</v>
      </c>
      <c r="O1409" s="93"/>
    </row>
    <row r="1410" spans="1:15" hidden="1">
      <c r="A1410" s="75" t="str">
        <f t="shared" si="52"/>
        <v>HKFORTRESSWashing Machinewashing machinne洗衣機</v>
      </c>
      <c r="B1410" s="94" t="str">
        <f t="shared" si="53"/>
        <v>HK_FORTRESS</v>
      </c>
      <c r="C1410" s="93" t="s">
        <v>378</v>
      </c>
      <c r="D1410" s="93" t="s">
        <v>379</v>
      </c>
      <c r="E1410" s="93" t="s">
        <v>2333</v>
      </c>
      <c r="F1410" s="93" t="s">
        <v>2907</v>
      </c>
      <c r="G1410" s="93" t="s">
        <v>2908</v>
      </c>
      <c r="H1410" s="93" t="e">
        <v>#N/A</v>
      </c>
      <c r="I1410" s="105" t="s">
        <v>2310</v>
      </c>
      <c r="J1410" s="93" t="s">
        <v>189</v>
      </c>
      <c r="K1410" s="93">
        <v>70</v>
      </c>
      <c r="L1410" s="93" t="e">
        <v>#N/A</v>
      </c>
      <c r="M1410" s="93" t="s">
        <v>2311</v>
      </c>
      <c r="N1410" s="93" t="e">
        <f>VLOOKUP(B1410,'[16]01.수집 카테고리(List)'!$A$2:$H$64,8,FALSE)</f>
        <v>#N/A</v>
      </c>
      <c r="O1410" s="93"/>
    </row>
    <row r="1411" spans="1:15" hidden="1">
      <c r="A1411" s="75" t="str">
        <f t="shared" si="52"/>
        <v>HKFORTRESSWIRELESS HEADSETbluetooth earbuds藍牙耳機</v>
      </c>
      <c r="B1411" s="94" t="str">
        <f t="shared" si="53"/>
        <v>HK_FORTRESS</v>
      </c>
      <c r="C1411" s="93" t="s">
        <v>378</v>
      </c>
      <c r="D1411" s="93" t="s">
        <v>379</v>
      </c>
      <c r="E1411" s="93" t="s">
        <v>2201</v>
      </c>
      <c r="F1411" s="93" t="s">
        <v>2909</v>
      </c>
      <c r="G1411" s="93" t="s">
        <v>2910</v>
      </c>
      <c r="H1411" s="93" t="e">
        <v>#N/A</v>
      </c>
      <c r="I1411" s="105" t="s">
        <v>2310</v>
      </c>
      <c r="J1411" s="93" t="s">
        <v>189</v>
      </c>
      <c r="K1411" s="93">
        <v>119</v>
      </c>
      <c r="L1411" s="93" t="e">
        <v>#N/A</v>
      </c>
      <c r="M1411" s="93" t="s">
        <v>2311</v>
      </c>
      <c r="N1411" s="93" t="e">
        <f>VLOOKUP(B1411,'[16]01.수집 카테고리(List)'!$A$2:$H$64,8,FALSE)</f>
        <v>#N/A</v>
      </c>
      <c r="O1411" s="93"/>
    </row>
    <row r="1412" spans="1:15" hidden="1">
      <c r="A1412" s="75" t="str">
        <f t="shared" si="52"/>
        <v>HKFORTRESSWIRELESS HEADSETwireless earbuds無線耳機</v>
      </c>
      <c r="B1412" s="94" t="str">
        <f t="shared" si="53"/>
        <v>HK_FORTRESS</v>
      </c>
      <c r="C1412" s="93" t="s">
        <v>378</v>
      </c>
      <c r="D1412" s="93" t="s">
        <v>379</v>
      </c>
      <c r="E1412" s="93" t="s">
        <v>2201</v>
      </c>
      <c r="F1412" s="93" t="s">
        <v>2911</v>
      </c>
      <c r="G1412" s="93" t="s">
        <v>2912</v>
      </c>
      <c r="H1412" s="93" t="e">
        <v>#N/A</v>
      </c>
      <c r="I1412" s="105" t="s">
        <v>2310</v>
      </c>
      <c r="J1412" s="93" t="s">
        <v>189</v>
      </c>
      <c r="K1412" s="93">
        <v>94</v>
      </c>
      <c r="L1412" s="93" t="e">
        <v>#N/A</v>
      </c>
      <c r="M1412" s="93" t="s">
        <v>2311</v>
      </c>
      <c r="N1412" s="93" t="e">
        <f>VLOOKUP(B1412,'[16]01.수집 카테고리(List)'!$A$2:$H$64,8,FALSE)</f>
        <v>#N/A</v>
      </c>
      <c r="O1412" s="93"/>
    </row>
    <row r="1413" spans="1:15" hidden="1">
      <c r="A1413" s="75" t="str">
        <f t="shared" ref="A1413:A1476" si="54">C1413&amp;D1413&amp;E1413&amp;F1413&amp;G1413</f>
        <v>HKFORTRESSWIRELESS HEADSETearbuds耳機</v>
      </c>
      <c r="B1413" s="94" t="str">
        <f t="shared" ref="B1413:B1476" si="55">C1413&amp;"_"&amp;D1413</f>
        <v>HK_FORTRESS</v>
      </c>
      <c r="C1413" s="93" t="s">
        <v>378</v>
      </c>
      <c r="D1413" s="93" t="s">
        <v>379</v>
      </c>
      <c r="E1413" s="93" t="s">
        <v>2201</v>
      </c>
      <c r="F1413" s="93" t="s">
        <v>2913</v>
      </c>
      <c r="G1413" s="93" t="s">
        <v>2914</v>
      </c>
      <c r="H1413" s="93" t="e">
        <v>#N/A</v>
      </c>
      <c r="I1413" s="105" t="s">
        <v>2310</v>
      </c>
      <c r="J1413" s="93" t="s">
        <v>189</v>
      </c>
      <c r="K1413" s="93">
        <v>307</v>
      </c>
      <c r="L1413" s="93" t="e">
        <v>#N/A</v>
      </c>
      <c r="M1413" s="93" t="s">
        <v>2311</v>
      </c>
      <c r="N1413" s="93" t="e">
        <f>VLOOKUP(B1413,'[16]01.수집 카테고리(List)'!$A$2:$H$64,8,FALSE)</f>
        <v>#N/A</v>
      </c>
      <c r="O1413" s="93"/>
    </row>
    <row r="1414" spans="1:15" ht="17.399999999999999" hidden="1">
      <c r="A1414" s="75" t="str">
        <f t="shared" si="54"/>
        <v>HKFORTRESSWIRELESS HEADSETearphone真無線藍牙耳機</v>
      </c>
      <c r="B1414" s="94" t="str">
        <f t="shared" si="55"/>
        <v>HK_FORTRESS</v>
      </c>
      <c r="C1414" s="93" t="s">
        <v>378</v>
      </c>
      <c r="D1414" s="93" t="s">
        <v>379</v>
      </c>
      <c r="E1414" s="93" t="s">
        <v>2201</v>
      </c>
      <c r="F1414" s="93" t="s">
        <v>2915</v>
      </c>
      <c r="G1414" s="93" t="s">
        <v>2916</v>
      </c>
      <c r="H1414" s="93" t="e">
        <v>#N/A</v>
      </c>
      <c r="I1414" s="105" t="s">
        <v>2310</v>
      </c>
      <c r="J1414" s="93" t="s">
        <v>189</v>
      </c>
      <c r="K1414" s="93">
        <v>87</v>
      </c>
      <c r="L1414" s="93" t="e">
        <v>#N/A</v>
      </c>
      <c r="M1414" s="93" t="s">
        <v>2311</v>
      </c>
      <c r="N1414" s="93" t="e">
        <f>VLOOKUP(B1414,'[16]01.수집 카테고리(List)'!$A$2:$H$64,8,FALSE)</f>
        <v>#N/A</v>
      </c>
      <c r="O1414" s="93"/>
    </row>
    <row r="1415" spans="1:15" ht="17.399999999999999" hidden="1">
      <c r="A1415" s="75" t="str">
        <f t="shared" si="54"/>
        <v>HKFORTRESSWIRELESS HEADSETtrue wireless earbuds真無線耳機</v>
      </c>
      <c r="B1415" s="94" t="str">
        <f t="shared" si="55"/>
        <v>HK_FORTRESS</v>
      </c>
      <c r="C1415" s="93" t="s">
        <v>378</v>
      </c>
      <c r="D1415" s="93" t="s">
        <v>379</v>
      </c>
      <c r="E1415" s="93" t="s">
        <v>2201</v>
      </c>
      <c r="F1415" s="93" t="s">
        <v>2917</v>
      </c>
      <c r="G1415" s="93" t="s">
        <v>2918</v>
      </c>
      <c r="H1415" s="93" t="e">
        <v>#N/A</v>
      </c>
      <c r="I1415" s="105" t="s">
        <v>2310</v>
      </c>
      <c r="J1415" s="93" t="s">
        <v>189</v>
      </c>
      <c r="K1415" s="93">
        <v>91</v>
      </c>
      <c r="L1415" s="93" t="e">
        <v>#N/A</v>
      </c>
      <c r="M1415" s="93" t="s">
        <v>2311</v>
      </c>
      <c r="N1415" s="93" t="e">
        <f>VLOOKUP(B1415,'[16]01.수집 카테고리(List)'!$A$2:$H$64,8,FALSE)</f>
        <v>#N/A</v>
      </c>
      <c r="O1415" s="93"/>
    </row>
    <row r="1416" spans="1:15" hidden="1">
      <c r="A1416" s="75" t="str">
        <f t="shared" si="54"/>
        <v>HUEURONICSDishwashersteam dishwashergőzös mosogatógép</v>
      </c>
      <c r="B1416" s="94" t="str">
        <f t="shared" si="55"/>
        <v>HU_EURONICS</v>
      </c>
      <c r="C1416" s="93" t="s">
        <v>442</v>
      </c>
      <c r="D1416" s="93" t="s">
        <v>443</v>
      </c>
      <c r="E1416" s="93" t="s">
        <v>2440</v>
      </c>
      <c r="F1416" s="93" t="s">
        <v>2778</v>
      </c>
      <c r="G1416" s="93" t="s">
        <v>2919</v>
      </c>
      <c r="H1416" s="93" t="e">
        <v>#N/A</v>
      </c>
      <c r="I1416" s="105" t="s">
        <v>2310</v>
      </c>
      <c r="J1416" s="93" t="s">
        <v>189</v>
      </c>
      <c r="K1416" s="93">
        <v>288</v>
      </c>
      <c r="L1416" s="93" t="e">
        <v>#N/A</v>
      </c>
      <c r="M1416" s="93" t="s">
        <v>2311</v>
      </c>
      <c r="N1416" s="93" t="e">
        <f>VLOOKUP(B1416,'[16]01.수집 카테고리(List)'!$A$2:$H$64,8,FALSE)</f>
        <v>#N/A</v>
      </c>
      <c r="O1416" s="93"/>
    </row>
    <row r="1417" spans="1:15" hidden="1">
      <c r="A1417" s="75" t="str">
        <f t="shared" si="54"/>
        <v>HUEURONICSDishwasherdishwashermosogatógép</v>
      </c>
      <c r="B1417" s="94" t="str">
        <f t="shared" si="55"/>
        <v>HU_EURONICS</v>
      </c>
      <c r="C1417" s="93" t="s">
        <v>442</v>
      </c>
      <c r="D1417" s="93" t="s">
        <v>443</v>
      </c>
      <c r="E1417" s="93" t="s">
        <v>2440</v>
      </c>
      <c r="F1417" s="93" t="s">
        <v>2354</v>
      </c>
      <c r="G1417" s="93" t="s">
        <v>2920</v>
      </c>
      <c r="H1417" s="93" t="e">
        <v>#N/A</v>
      </c>
      <c r="I1417" s="105" t="s">
        <v>2310</v>
      </c>
      <c r="J1417" s="93" t="s">
        <v>189</v>
      </c>
      <c r="K1417" s="93">
        <v>8</v>
      </c>
      <c r="L1417" s="93" t="e">
        <v>#N/A</v>
      </c>
      <c r="M1417" s="93" t="s">
        <v>2311</v>
      </c>
      <c r="N1417" s="93" t="e">
        <f>VLOOKUP(B1417,'[16]01.수집 카테고리(List)'!$A$2:$H$64,8,FALSE)</f>
        <v>#N/A</v>
      </c>
      <c r="O1417" s="93"/>
    </row>
    <row r="1418" spans="1:15" hidden="1">
      <c r="A1418" s="75" t="str">
        <f t="shared" si="54"/>
        <v>HUEURONICSDishwasherQuadWash™ dishwasherQuadWash™ mosogatógép</v>
      </c>
      <c r="B1418" s="94" t="str">
        <f t="shared" si="55"/>
        <v>HU_EURONICS</v>
      </c>
      <c r="C1418" s="93" t="s">
        <v>442</v>
      </c>
      <c r="D1418" s="93" t="s">
        <v>443</v>
      </c>
      <c r="E1418" s="93" t="s">
        <v>2440</v>
      </c>
      <c r="F1418" s="93" t="s">
        <v>2921</v>
      </c>
      <c r="G1418" s="93" t="s">
        <v>2922</v>
      </c>
      <c r="H1418" s="93" t="e">
        <v>#N/A</v>
      </c>
      <c r="I1418" s="105" t="s">
        <v>2310</v>
      </c>
      <c r="J1418" s="93" t="s">
        <v>189</v>
      </c>
      <c r="K1418" s="93">
        <v>288</v>
      </c>
      <c r="L1418" s="93" t="e">
        <v>#N/A</v>
      </c>
      <c r="M1418" s="93" t="s">
        <v>2311</v>
      </c>
      <c r="N1418" s="93" t="e">
        <f>VLOOKUP(B1418,'[16]01.수집 카테고리(List)'!$A$2:$H$64,8,FALSE)</f>
        <v>#N/A</v>
      </c>
      <c r="O1418" s="93"/>
    </row>
    <row r="1419" spans="1:15" hidden="1">
      <c r="A1419" s="75" t="str">
        <f t="shared" si="54"/>
        <v>HUEURONICSDryerdryer with DUAL Inverter heatpumpDUAL Inverter hőszivattyús szárítógép</v>
      </c>
      <c r="B1419" s="94" t="str">
        <f t="shared" si="55"/>
        <v>HU_EURONICS</v>
      </c>
      <c r="C1419" s="93" t="s">
        <v>442</v>
      </c>
      <c r="D1419" s="93" t="s">
        <v>443</v>
      </c>
      <c r="E1419" s="93" t="s">
        <v>2431</v>
      </c>
      <c r="F1419" s="93" t="s">
        <v>2923</v>
      </c>
      <c r="G1419" s="93" t="s">
        <v>2924</v>
      </c>
      <c r="H1419" s="93" t="e">
        <v>#N/A</v>
      </c>
      <c r="I1419" s="105" t="s">
        <v>2310</v>
      </c>
      <c r="J1419" s="93" t="s">
        <v>189</v>
      </c>
      <c r="K1419" s="93">
        <v>191</v>
      </c>
      <c r="L1419" s="93" t="e">
        <v>#N/A</v>
      </c>
      <c r="M1419" s="93" t="s">
        <v>2311</v>
      </c>
      <c r="N1419" s="93" t="e">
        <f>VLOOKUP(B1419,'[16]01.수집 카테고리(List)'!$A$2:$H$64,8,FALSE)</f>
        <v>#N/A</v>
      </c>
      <c r="O1419" s="93"/>
    </row>
    <row r="1420" spans="1:15" hidden="1">
      <c r="A1420" s="75" t="str">
        <f t="shared" si="54"/>
        <v>HUEURONICSDryerdryer with heatpumphőszivattyús szárítógép</v>
      </c>
      <c r="B1420" s="94" t="str">
        <f t="shared" si="55"/>
        <v>HU_EURONICS</v>
      </c>
      <c r="C1420" s="93" t="s">
        <v>442</v>
      </c>
      <c r="D1420" s="93" t="s">
        <v>443</v>
      </c>
      <c r="E1420" s="93" t="s">
        <v>2431</v>
      </c>
      <c r="F1420" s="93" t="s">
        <v>2925</v>
      </c>
      <c r="G1420" s="93" t="s">
        <v>2926</v>
      </c>
      <c r="H1420" s="93" t="e">
        <v>#N/A</v>
      </c>
      <c r="I1420" s="105" t="s">
        <v>2310</v>
      </c>
      <c r="J1420" s="93" t="s">
        <v>189</v>
      </c>
      <c r="K1420" s="93">
        <v>57</v>
      </c>
      <c r="L1420" s="93" t="e">
        <v>#N/A</v>
      </c>
      <c r="M1420" s="93" t="s">
        <v>2311</v>
      </c>
      <c r="N1420" s="93" t="e">
        <f>VLOOKUP(B1420,'[16]01.수집 카테고리(List)'!$A$2:$H$64,8,FALSE)</f>
        <v>#N/A</v>
      </c>
      <c r="O1420" s="93"/>
    </row>
    <row r="1421" spans="1:15" hidden="1">
      <c r="A1421" s="75" t="str">
        <f t="shared" si="54"/>
        <v>HUEURONICSDryerdryerSzárítógép</v>
      </c>
      <c r="B1421" s="94" t="str">
        <f t="shared" si="55"/>
        <v>HU_EURONICS</v>
      </c>
      <c r="C1421" s="93" t="s">
        <v>442</v>
      </c>
      <c r="D1421" s="93" t="s">
        <v>443</v>
      </c>
      <c r="E1421" s="93" t="s">
        <v>2431</v>
      </c>
      <c r="F1421" s="93" t="s">
        <v>2927</v>
      </c>
      <c r="G1421" s="93" t="s">
        <v>2928</v>
      </c>
      <c r="H1421" s="93" t="e">
        <v>#N/A</v>
      </c>
      <c r="I1421" s="105" t="s">
        <v>2310</v>
      </c>
      <c r="J1421" s="93" t="s">
        <v>189</v>
      </c>
      <c r="K1421" s="93">
        <v>18</v>
      </c>
      <c r="L1421" s="93" t="e">
        <v>#N/A</v>
      </c>
      <c r="M1421" s="93" t="s">
        <v>2311</v>
      </c>
      <c r="N1421" s="93" t="e">
        <f>VLOOKUP(B1421,'[16]01.수집 카테고리(List)'!$A$2:$H$64,8,FALSE)</f>
        <v>#N/A</v>
      </c>
      <c r="O1421" s="93"/>
    </row>
    <row r="1422" spans="1:15" hidden="1">
      <c r="A1422" s="75" t="str">
        <f t="shared" si="54"/>
        <v>HUEURONICSDryerdryer with wifiwifis szárítógép</v>
      </c>
      <c r="B1422" s="94" t="str">
        <f t="shared" si="55"/>
        <v>HU_EURONICS</v>
      </c>
      <c r="C1422" s="93" t="s">
        <v>442</v>
      </c>
      <c r="D1422" s="93" t="s">
        <v>443</v>
      </c>
      <c r="E1422" s="93" t="s">
        <v>2431</v>
      </c>
      <c r="F1422" s="93" t="s">
        <v>2929</v>
      </c>
      <c r="G1422" s="93" t="s">
        <v>2930</v>
      </c>
      <c r="H1422" s="93" t="e">
        <v>#N/A</v>
      </c>
      <c r="I1422" s="105" t="s">
        <v>2310</v>
      </c>
      <c r="J1422" s="93" t="s">
        <v>189</v>
      </c>
      <c r="K1422" s="93">
        <v>57</v>
      </c>
      <c r="L1422" s="93" t="e">
        <v>#N/A</v>
      </c>
      <c r="M1422" s="93" t="s">
        <v>2311</v>
      </c>
      <c r="N1422" s="93" t="e">
        <f>VLOOKUP(B1422,'[16]01.수집 카테고리(List)'!$A$2:$H$64,8,FALSE)</f>
        <v>#N/A</v>
      </c>
      <c r="O1422" s="93"/>
    </row>
    <row r="1423" spans="1:15" hidden="1">
      <c r="A1423" s="75" t="str">
        <f t="shared" si="54"/>
        <v>HUEURONICSRefrigeratorbottom freezer refrigeratoralulfagyasztós hűtőszekrény</v>
      </c>
      <c r="B1423" s="94" t="str">
        <f t="shared" si="55"/>
        <v>HU_EURONICS</v>
      </c>
      <c r="C1423" s="93" t="s">
        <v>442</v>
      </c>
      <c r="D1423" s="93" t="s">
        <v>443</v>
      </c>
      <c r="E1423" s="93" t="s">
        <v>2326</v>
      </c>
      <c r="F1423" s="93" t="s">
        <v>2327</v>
      </c>
      <c r="G1423" s="93" t="s">
        <v>2931</v>
      </c>
      <c r="H1423" s="93" t="e">
        <v>#N/A</v>
      </c>
      <c r="I1423" s="105" t="s">
        <v>2310</v>
      </c>
      <c r="J1423" s="93" t="s">
        <v>189</v>
      </c>
      <c r="K1423" s="93">
        <v>110</v>
      </c>
      <c r="L1423" s="93" t="e">
        <v>#N/A</v>
      </c>
      <c r="M1423" s="93" t="s">
        <v>2311</v>
      </c>
      <c r="N1423" s="93" t="e">
        <f>VLOOKUP(B1423,'[16]01.수집 카테고리(List)'!$A$2:$H$64,8,FALSE)</f>
        <v>#N/A</v>
      </c>
      <c r="O1423" s="93"/>
    </row>
    <row r="1424" spans="1:15" hidden="1">
      <c r="A1424" s="75" t="str">
        <f t="shared" si="54"/>
        <v>HUEURONICSRefrigeratorone-door refigeratoregyajtós hűtőszekrény</v>
      </c>
      <c r="B1424" s="94" t="str">
        <f t="shared" si="55"/>
        <v>HU_EURONICS</v>
      </c>
      <c r="C1424" s="93" t="s">
        <v>442</v>
      </c>
      <c r="D1424" s="93" t="s">
        <v>443</v>
      </c>
      <c r="E1424" s="93" t="s">
        <v>2326</v>
      </c>
      <c r="F1424" s="93" t="s">
        <v>2932</v>
      </c>
      <c r="G1424" s="93" t="s">
        <v>2933</v>
      </c>
      <c r="H1424" s="93" t="e">
        <v>#N/A</v>
      </c>
      <c r="I1424" s="105" t="s">
        <v>2310</v>
      </c>
      <c r="J1424" s="93" t="s">
        <v>189</v>
      </c>
      <c r="K1424" s="93">
        <v>122</v>
      </c>
      <c r="L1424" s="93" t="e">
        <v>#N/A</v>
      </c>
      <c r="M1424" s="93" t="s">
        <v>2311</v>
      </c>
      <c r="N1424" s="93" t="e">
        <f>VLOOKUP(B1424,'[16]01.수집 카테고리(List)'!$A$2:$H$64,8,FALSE)</f>
        <v>#N/A</v>
      </c>
      <c r="O1424" s="93"/>
    </row>
    <row r="1425" spans="1:15" hidden="1">
      <c r="A1425" s="75" t="str">
        <f t="shared" si="54"/>
        <v>HUEURONICSRefrigeratortop freezer refrigeratorfelülfagyasztós hűtőszekrény</v>
      </c>
      <c r="B1425" s="94" t="str">
        <f t="shared" si="55"/>
        <v>HU_EURONICS</v>
      </c>
      <c r="C1425" s="93" t="s">
        <v>442</v>
      </c>
      <c r="D1425" s="93" t="s">
        <v>443</v>
      </c>
      <c r="E1425" s="93" t="s">
        <v>2326</v>
      </c>
      <c r="F1425" s="93" t="s">
        <v>2332</v>
      </c>
      <c r="G1425" s="93" t="s">
        <v>2934</v>
      </c>
      <c r="H1425" s="93" t="e">
        <v>#N/A</v>
      </c>
      <c r="I1425" s="105" t="s">
        <v>2310</v>
      </c>
      <c r="J1425" s="93" t="s">
        <v>189</v>
      </c>
      <c r="K1425" s="93">
        <v>123</v>
      </c>
      <c r="L1425" s="93" t="e">
        <v>#N/A</v>
      </c>
      <c r="M1425" s="93" t="s">
        <v>2311</v>
      </c>
      <c r="N1425" s="93" t="e">
        <f>VLOOKUP(B1425,'[16]01.수집 카테고리(List)'!$A$2:$H$64,8,FALSE)</f>
        <v>#N/A</v>
      </c>
      <c r="O1425" s="93"/>
    </row>
    <row r="1426" spans="1:15" hidden="1">
      <c r="A1426" s="75" t="str">
        <f t="shared" si="54"/>
        <v>HUEURONICSRefrigeratorrefrigeratorhűtőszekrény</v>
      </c>
      <c r="B1426" s="94" t="str">
        <f t="shared" si="55"/>
        <v>HU_EURONICS</v>
      </c>
      <c r="C1426" s="93" t="s">
        <v>442</v>
      </c>
      <c r="D1426" s="93" t="s">
        <v>443</v>
      </c>
      <c r="E1426" s="93" t="s">
        <v>2326</v>
      </c>
      <c r="F1426" s="93" t="s">
        <v>2329</v>
      </c>
      <c r="G1426" s="93" t="s">
        <v>2935</v>
      </c>
      <c r="H1426" s="93" t="e">
        <v>#N/A</v>
      </c>
      <c r="I1426" s="105" t="s">
        <v>2310</v>
      </c>
      <c r="J1426" s="93" t="s">
        <v>189</v>
      </c>
      <c r="K1426" s="93">
        <v>254</v>
      </c>
      <c r="L1426" s="93" t="e">
        <v>#N/A</v>
      </c>
      <c r="M1426" s="93" t="s">
        <v>2311</v>
      </c>
      <c r="N1426" s="93" t="e">
        <f>VLOOKUP(B1426,'[16]01.수집 카테고리(List)'!$A$2:$H$64,8,FALSE)</f>
        <v>#N/A</v>
      </c>
      <c r="O1426" s="93"/>
    </row>
    <row r="1427" spans="1:15" hidden="1">
      <c r="A1427" s="75" t="str">
        <f t="shared" si="54"/>
        <v>HUEURONICSRefrigeratormulti-door refigerator multi-door hűtőszekrény</v>
      </c>
      <c r="B1427" s="94" t="str">
        <f t="shared" si="55"/>
        <v>HU_EURONICS</v>
      </c>
      <c r="C1427" s="93" t="s">
        <v>442</v>
      </c>
      <c r="D1427" s="93" t="s">
        <v>443</v>
      </c>
      <c r="E1427" s="93" t="s">
        <v>2326</v>
      </c>
      <c r="F1427" s="93" t="s">
        <v>2936</v>
      </c>
      <c r="G1427" s="93" t="s">
        <v>2937</v>
      </c>
      <c r="H1427" s="93" t="e">
        <v>#N/A</v>
      </c>
      <c r="I1427" s="105" t="s">
        <v>2310</v>
      </c>
      <c r="J1427" s="93" t="s">
        <v>189</v>
      </c>
      <c r="K1427" s="93">
        <v>385</v>
      </c>
      <c r="L1427" s="93" t="e">
        <v>#N/A</v>
      </c>
      <c r="M1427" s="93" t="s">
        <v>2311</v>
      </c>
      <c r="N1427" s="93" t="e">
        <f>VLOOKUP(B1427,'[16]01.수집 카테고리(List)'!$A$2:$H$64,8,FALSE)</f>
        <v>#N/A</v>
      </c>
      <c r="O1427" s="93"/>
    </row>
    <row r="1428" spans="1:15" hidden="1">
      <c r="A1428" s="75" t="str">
        <f t="shared" si="54"/>
        <v>HUEURONICSRefrigeratorside by side refrigeratorsside by side hűtőszekrények</v>
      </c>
      <c r="B1428" s="94" t="str">
        <f t="shared" si="55"/>
        <v>HU_EURONICS</v>
      </c>
      <c r="C1428" s="93" t="s">
        <v>442</v>
      </c>
      <c r="D1428" s="93" t="s">
        <v>443</v>
      </c>
      <c r="E1428" s="93" t="s">
        <v>2326</v>
      </c>
      <c r="F1428" s="93" t="s">
        <v>2938</v>
      </c>
      <c r="G1428" s="93" t="s">
        <v>2939</v>
      </c>
      <c r="H1428" s="93" t="e">
        <v>#N/A</v>
      </c>
      <c r="I1428" s="105" t="s">
        <v>2310</v>
      </c>
      <c r="J1428" s="93" t="s">
        <v>189</v>
      </c>
      <c r="K1428" s="93">
        <v>613</v>
      </c>
      <c r="L1428" s="93" t="e">
        <v>#N/A</v>
      </c>
      <c r="M1428" s="93" t="s">
        <v>2311</v>
      </c>
      <c r="N1428" s="93" t="e">
        <f>VLOOKUP(B1428,'[16]01.수집 카테고리(List)'!$A$2:$H$64,8,FALSE)</f>
        <v>#N/A</v>
      </c>
      <c r="O1428" s="93"/>
    </row>
    <row r="1429" spans="1:15" hidden="1">
      <c r="A1429" s="75" t="str">
        <f t="shared" si="54"/>
        <v>HUEURONICSRefrigeratormulti-door refigerator többajtós hűtőszekrény</v>
      </c>
      <c r="B1429" s="94" t="str">
        <f t="shared" si="55"/>
        <v>HU_EURONICS</v>
      </c>
      <c r="C1429" s="93" t="s">
        <v>442</v>
      </c>
      <c r="D1429" s="93" t="s">
        <v>443</v>
      </c>
      <c r="E1429" s="93" t="s">
        <v>2326</v>
      </c>
      <c r="F1429" s="93" t="s">
        <v>2936</v>
      </c>
      <c r="G1429" s="93" t="s">
        <v>2940</v>
      </c>
      <c r="H1429" s="93" t="e">
        <v>#N/A</v>
      </c>
      <c r="I1429" s="105" t="s">
        <v>2310</v>
      </c>
      <c r="J1429" s="93" t="s">
        <v>189</v>
      </c>
      <c r="K1429" s="93">
        <v>114</v>
      </c>
      <c r="L1429" s="93" t="e">
        <v>#N/A</v>
      </c>
      <c r="M1429" s="93" t="s">
        <v>2311</v>
      </c>
      <c r="N1429" s="93" t="e">
        <f>VLOOKUP(B1429,'[16]01.수집 카테고리(List)'!$A$2:$H$64,8,FALSE)</f>
        <v>#N/A</v>
      </c>
      <c r="O1429" s="93"/>
    </row>
    <row r="1430" spans="1:15" hidden="1">
      <c r="A1430" s="75" t="str">
        <f t="shared" si="54"/>
        <v>HUEURONICSSOUNDBARSound barHang projektor</v>
      </c>
      <c r="B1430" s="94" t="str">
        <f t="shared" si="55"/>
        <v>HU_EURONICS</v>
      </c>
      <c r="C1430" s="93" t="s">
        <v>442</v>
      </c>
      <c r="D1430" s="93" t="s">
        <v>443</v>
      </c>
      <c r="E1430" s="93" t="s">
        <v>165</v>
      </c>
      <c r="F1430" s="93" t="s">
        <v>2365</v>
      </c>
      <c r="G1430" s="93" t="s">
        <v>2941</v>
      </c>
      <c r="H1430" s="93" t="e">
        <v>#N/A</v>
      </c>
      <c r="I1430" s="105" t="s">
        <v>2310</v>
      </c>
      <c r="J1430" s="93" t="s">
        <v>189</v>
      </c>
      <c r="K1430" s="93">
        <v>57</v>
      </c>
      <c r="L1430" s="93" t="e">
        <v>#N/A</v>
      </c>
      <c r="M1430" s="93" t="s">
        <v>2311</v>
      </c>
      <c r="N1430" s="93" t="e">
        <f>VLOOKUP(B1430,'[16]01.수집 카테고리(List)'!$A$2:$H$64,8,FALSE)</f>
        <v>#N/A</v>
      </c>
      <c r="O1430" s="93"/>
    </row>
    <row r="1431" spans="1:15" hidden="1">
      <c r="A1431" s="75" t="str">
        <f t="shared" si="54"/>
        <v>HUEURONICSSOUNDBARSound barsHang projektorok</v>
      </c>
      <c r="B1431" s="94" t="str">
        <f t="shared" si="55"/>
        <v>HU_EURONICS</v>
      </c>
      <c r="C1431" s="93" t="s">
        <v>442</v>
      </c>
      <c r="D1431" s="93" t="s">
        <v>443</v>
      </c>
      <c r="E1431" s="93" t="s">
        <v>165</v>
      </c>
      <c r="F1431" s="93" t="s">
        <v>2366</v>
      </c>
      <c r="G1431" s="93" t="s">
        <v>2942</v>
      </c>
      <c r="H1431" s="93" t="e">
        <v>#N/A</v>
      </c>
      <c r="I1431" s="105" t="s">
        <v>2310</v>
      </c>
      <c r="J1431" s="93" t="s">
        <v>189</v>
      </c>
      <c r="K1431" s="93">
        <v>57</v>
      </c>
      <c r="L1431" s="93" t="e">
        <v>#N/A</v>
      </c>
      <c r="M1431" s="93" t="s">
        <v>2311</v>
      </c>
      <c r="N1431" s="93" t="e">
        <f>VLOOKUP(B1431,'[16]01.수집 카테고리(List)'!$A$2:$H$64,8,FALSE)</f>
        <v>#N/A</v>
      </c>
      <c r="O1431" s="93"/>
    </row>
    <row r="1432" spans="1:15" hidden="1">
      <c r="A1432" s="75" t="str">
        <f t="shared" si="54"/>
        <v>HUEURONICSSOUNDBARSoundbarHangprojektor</v>
      </c>
      <c r="B1432" s="94" t="str">
        <f t="shared" si="55"/>
        <v>HU_EURONICS</v>
      </c>
      <c r="C1432" s="93" t="s">
        <v>442</v>
      </c>
      <c r="D1432" s="93" t="s">
        <v>443</v>
      </c>
      <c r="E1432" s="93" t="s">
        <v>165</v>
      </c>
      <c r="F1432" s="93" t="s">
        <v>2363</v>
      </c>
      <c r="G1432" s="93" t="s">
        <v>2943</v>
      </c>
      <c r="H1432" s="93" t="e">
        <v>#N/A</v>
      </c>
      <c r="I1432" s="105" t="s">
        <v>2310</v>
      </c>
      <c r="J1432" s="93" t="s">
        <v>189</v>
      </c>
      <c r="K1432" s="93">
        <v>57</v>
      </c>
      <c r="L1432" s="93" t="e">
        <v>#N/A</v>
      </c>
      <c r="M1432" s="93" t="s">
        <v>2311</v>
      </c>
      <c r="N1432" s="93" t="e">
        <f>VLOOKUP(B1432,'[16]01.수집 카테고리(List)'!$A$2:$H$64,8,FALSE)</f>
        <v>#N/A</v>
      </c>
      <c r="O1432" s="93"/>
    </row>
    <row r="1433" spans="1:15" hidden="1">
      <c r="A1433" s="75" t="str">
        <f t="shared" si="54"/>
        <v>HUEURONICSSOUNDBARSoundbarsHangprojektorok</v>
      </c>
      <c r="B1433" s="94" t="str">
        <f t="shared" si="55"/>
        <v>HU_EURONICS</v>
      </c>
      <c r="C1433" s="93" t="s">
        <v>442</v>
      </c>
      <c r="D1433" s="93" t="s">
        <v>443</v>
      </c>
      <c r="E1433" s="93" t="s">
        <v>165</v>
      </c>
      <c r="F1433" s="93" t="s">
        <v>2361</v>
      </c>
      <c r="G1433" s="93" t="s">
        <v>2944</v>
      </c>
      <c r="H1433" s="93" t="e">
        <v>#N/A</v>
      </c>
      <c r="I1433" s="105" t="s">
        <v>2310</v>
      </c>
      <c r="J1433" s="93" t="s">
        <v>189</v>
      </c>
      <c r="K1433" s="93">
        <v>57</v>
      </c>
      <c r="L1433" s="93" t="e">
        <v>#N/A</v>
      </c>
      <c r="M1433" s="93" t="s">
        <v>2311</v>
      </c>
      <c r="N1433" s="93" t="e">
        <f>VLOOKUP(B1433,'[16]01.수집 카테고리(List)'!$A$2:$H$64,8,FALSE)</f>
        <v>#N/A</v>
      </c>
      <c r="O1433" s="93"/>
    </row>
    <row r="1434" spans="1:15" hidden="1">
      <c r="A1434" s="75" t="str">
        <f t="shared" si="54"/>
        <v>HUEURONICSSOUNDBARSound systemHangrendszer</v>
      </c>
      <c r="B1434" s="94" t="str">
        <f t="shared" si="55"/>
        <v>HU_EURONICS</v>
      </c>
      <c r="C1434" s="93" t="s">
        <v>442</v>
      </c>
      <c r="D1434" s="93" t="s">
        <v>443</v>
      </c>
      <c r="E1434" s="93" t="s">
        <v>165</v>
      </c>
      <c r="F1434" s="93" t="s">
        <v>2359</v>
      </c>
      <c r="G1434" s="93" t="s">
        <v>2945</v>
      </c>
      <c r="H1434" s="93" t="e">
        <v>#N/A</v>
      </c>
      <c r="I1434" s="105" t="s">
        <v>2310</v>
      </c>
      <c r="J1434" s="93" t="s">
        <v>189</v>
      </c>
      <c r="K1434" s="93">
        <v>57</v>
      </c>
      <c r="L1434" s="93" t="e">
        <v>#N/A</v>
      </c>
      <c r="M1434" s="93" t="s">
        <v>2311</v>
      </c>
      <c r="N1434" s="93" t="e">
        <f>VLOOKUP(B1434,'[16]01.수집 카테고리(List)'!$A$2:$H$64,8,FALSE)</f>
        <v>#N/A</v>
      </c>
      <c r="O1434" s="93"/>
    </row>
    <row r="1435" spans="1:15" hidden="1">
      <c r="A1435" s="75" t="str">
        <f t="shared" si="54"/>
        <v>HUEURONICSTV4k TV4k tv</v>
      </c>
      <c r="B1435" s="94" t="str">
        <f t="shared" si="55"/>
        <v>HU_EURONICS</v>
      </c>
      <c r="C1435" s="93" t="s">
        <v>442</v>
      </c>
      <c r="D1435" s="93" t="s">
        <v>443</v>
      </c>
      <c r="E1435" s="93" t="s">
        <v>161</v>
      </c>
      <c r="F1435" s="93" t="s">
        <v>2368</v>
      </c>
      <c r="G1435" s="93" t="s">
        <v>2580</v>
      </c>
      <c r="H1435" s="93" t="e">
        <v>#N/A</v>
      </c>
      <c r="I1435" s="105" t="s">
        <v>2310</v>
      </c>
      <c r="J1435" s="93" t="s">
        <v>189</v>
      </c>
      <c r="K1435" s="93">
        <v>301</v>
      </c>
      <c r="L1435" s="93">
        <v>301</v>
      </c>
      <c r="M1435" s="93" t="s">
        <v>2311</v>
      </c>
      <c r="N1435" s="93" t="e">
        <f>VLOOKUP(B1435,'[16]01.수집 카테고리(List)'!$A$2:$H$64,8,FALSE)</f>
        <v>#N/A</v>
      </c>
      <c r="O1435" s="93"/>
    </row>
    <row r="1436" spans="1:15" hidden="1">
      <c r="A1436" s="75" t="str">
        <f t="shared" si="54"/>
        <v>HUEURONICSTVNanoCell TVnanocell tv</v>
      </c>
      <c r="B1436" s="94" t="str">
        <f t="shared" si="55"/>
        <v>HU_EURONICS</v>
      </c>
      <c r="C1436" s="93" t="s">
        <v>442</v>
      </c>
      <c r="D1436" s="93" t="s">
        <v>443</v>
      </c>
      <c r="E1436" s="93" t="s">
        <v>161</v>
      </c>
      <c r="F1436" s="93" t="s">
        <v>2946</v>
      </c>
      <c r="G1436" s="93" t="s">
        <v>2947</v>
      </c>
      <c r="H1436" s="93" t="e">
        <v>#N/A</v>
      </c>
      <c r="I1436" s="105" t="s">
        <v>2310</v>
      </c>
      <c r="J1436" s="93" t="s">
        <v>189</v>
      </c>
      <c r="K1436" s="93">
        <v>203</v>
      </c>
      <c r="L1436" s="93">
        <v>203</v>
      </c>
      <c r="M1436" s="93" t="s">
        <v>2311</v>
      </c>
      <c r="N1436" s="93" t="e">
        <f>VLOOKUP(B1436,'[16]01.수집 카테고리(List)'!$A$2:$H$64,8,FALSE)</f>
        <v>#N/A</v>
      </c>
      <c r="O1436" s="93"/>
    </row>
    <row r="1437" spans="1:15" hidden="1">
      <c r="A1437" s="75" t="str">
        <f t="shared" si="54"/>
        <v>HUEURONICSTVsmart TVokos TV</v>
      </c>
      <c r="B1437" s="94" t="str">
        <f t="shared" si="55"/>
        <v>HU_EURONICS</v>
      </c>
      <c r="C1437" s="93" t="s">
        <v>442</v>
      </c>
      <c r="D1437" s="93" t="s">
        <v>443</v>
      </c>
      <c r="E1437" s="93" t="s">
        <v>161</v>
      </c>
      <c r="F1437" s="93" t="s">
        <v>2371</v>
      </c>
      <c r="G1437" s="93" t="s">
        <v>2948</v>
      </c>
      <c r="H1437" s="93" t="e">
        <v>#N/A</v>
      </c>
      <c r="I1437" s="105" t="s">
        <v>2310</v>
      </c>
      <c r="J1437" s="93" t="s">
        <v>189</v>
      </c>
      <c r="K1437" s="93">
        <v>1471</v>
      </c>
      <c r="L1437" s="93">
        <v>772</v>
      </c>
      <c r="M1437" s="93" t="s">
        <v>2311</v>
      </c>
      <c r="N1437" s="93" t="e">
        <f>VLOOKUP(B1437,'[16]01.수집 카테고리(List)'!$A$2:$H$64,8,FALSE)</f>
        <v>#N/A</v>
      </c>
      <c r="O1437" s="93"/>
    </row>
    <row r="1438" spans="1:15" hidden="1">
      <c r="A1438" s="75" t="str">
        <f t="shared" si="54"/>
        <v>HUEURONICSTVOLED TV oled tv</v>
      </c>
      <c r="B1438" s="94" t="str">
        <f t="shared" si="55"/>
        <v>HU_EURONICS</v>
      </c>
      <c r="C1438" s="93" t="s">
        <v>442</v>
      </c>
      <c r="D1438" s="93" t="s">
        <v>443</v>
      </c>
      <c r="E1438" s="93" t="s">
        <v>161</v>
      </c>
      <c r="F1438" s="93" t="s">
        <v>2949</v>
      </c>
      <c r="G1438" s="93" t="s">
        <v>2581</v>
      </c>
      <c r="H1438" s="93" t="e">
        <v>#N/A</v>
      </c>
      <c r="I1438" s="105" t="s">
        <v>2310</v>
      </c>
      <c r="J1438" s="93" t="s">
        <v>189</v>
      </c>
      <c r="K1438" s="93">
        <v>228</v>
      </c>
      <c r="L1438" s="93" t="e">
        <v>#N/A</v>
      </c>
      <c r="M1438" s="93" t="s">
        <v>2311</v>
      </c>
      <c r="N1438" s="93" t="e">
        <f>VLOOKUP(B1438,'[16]01.수집 카테고리(List)'!$A$2:$H$64,8,FALSE)</f>
        <v>#N/A</v>
      </c>
      <c r="O1438" s="93"/>
    </row>
    <row r="1439" spans="1:15" hidden="1">
      <c r="A1439" s="75" t="str">
        <f t="shared" si="54"/>
        <v>HUEURONICSTVsmart TVsmart tv</v>
      </c>
      <c r="B1439" s="94" t="str">
        <f t="shared" si="55"/>
        <v>HU_EURONICS</v>
      </c>
      <c r="C1439" s="93" t="s">
        <v>442</v>
      </c>
      <c r="D1439" s="93" t="s">
        <v>443</v>
      </c>
      <c r="E1439" s="93" t="s">
        <v>161</v>
      </c>
      <c r="F1439" s="93" t="s">
        <v>2371</v>
      </c>
      <c r="G1439" s="93" t="s">
        <v>2582</v>
      </c>
      <c r="H1439" s="93" t="e">
        <v>#N/A</v>
      </c>
      <c r="I1439" s="105" t="s">
        <v>2310</v>
      </c>
      <c r="J1439" s="93" t="s">
        <v>189</v>
      </c>
      <c r="K1439" s="93">
        <v>772</v>
      </c>
      <c r="L1439" s="93">
        <v>772</v>
      </c>
      <c r="M1439" s="93" t="s">
        <v>2311</v>
      </c>
      <c r="N1439" s="93" t="e">
        <f>VLOOKUP(B1439,'[16]01.수집 카테고리(List)'!$A$2:$H$64,8,FALSE)</f>
        <v>#N/A</v>
      </c>
      <c r="O1439" s="93"/>
    </row>
    <row r="1440" spans="1:15" hidden="1">
      <c r="A1440" s="75" t="str">
        <f t="shared" si="54"/>
        <v>HUEURONICSTVtelevisiontelevízió</v>
      </c>
      <c r="B1440" s="94" t="str">
        <f t="shared" si="55"/>
        <v>HU_EURONICS</v>
      </c>
      <c r="C1440" s="93" t="s">
        <v>442</v>
      </c>
      <c r="D1440" s="93" t="s">
        <v>443</v>
      </c>
      <c r="E1440" s="93" t="s">
        <v>161</v>
      </c>
      <c r="F1440" s="93" t="s">
        <v>2950</v>
      </c>
      <c r="G1440" s="93" t="s">
        <v>2951</v>
      </c>
      <c r="H1440" s="93" t="e">
        <v>#N/A</v>
      </c>
      <c r="I1440" s="105" t="s">
        <v>2310</v>
      </c>
      <c r="J1440" s="93" t="s">
        <v>189</v>
      </c>
      <c r="K1440" s="93">
        <v>107</v>
      </c>
      <c r="L1440" s="93" t="e">
        <v>#N/A</v>
      </c>
      <c r="M1440" s="93" t="s">
        <v>2311</v>
      </c>
      <c r="N1440" s="93" t="e">
        <f>VLOOKUP(B1440,'[16]01.수집 카테고리(List)'!$A$2:$H$64,8,FALSE)</f>
        <v>#N/A</v>
      </c>
      <c r="O1440" s="93"/>
    </row>
    <row r="1441" spans="1:15" hidden="1">
      <c r="A1441" s="75" t="str">
        <f t="shared" si="54"/>
        <v>HUEURONICSTVTVtévé</v>
      </c>
      <c r="B1441" s="94" t="str">
        <f t="shared" si="55"/>
        <v>HU_EURONICS</v>
      </c>
      <c r="C1441" s="93" t="s">
        <v>442</v>
      </c>
      <c r="D1441" s="93" t="s">
        <v>443</v>
      </c>
      <c r="E1441" s="93" t="s">
        <v>161</v>
      </c>
      <c r="F1441" s="93" t="s">
        <v>161</v>
      </c>
      <c r="G1441" s="93" t="s">
        <v>2952</v>
      </c>
      <c r="H1441" s="93" t="e">
        <v>#N/A</v>
      </c>
      <c r="I1441" s="105" t="s">
        <v>2310</v>
      </c>
      <c r="J1441" s="93" t="s">
        <v>189</v>
      </c>
      <c r="K1441" s="93">
        <v>88</v>
      </c>
      <c r="L1441" s="93">
        <v>10</v>
      </c>
      <c r="M1441" s="93" t="s">
        <v>2311</v>
      </c>
      <c r="N1441" s="93" t="e">
        <f>VLOOKUP(B1441,'[16]01.수집 카테고리(List)'!$A$2:$H$64,8,FALSE)</f>
        <v>#N/A</v>
      </c>
      <c r="O1441" s="93"/>
    </row>
    <row r="1442" spans="1:15" hidden="1">
      <c r="A1442" s="75" t="str">
        <f t="shared" si="54"/>
        <v>HUEURONICSTVTVtv</v>
      </c>
      <c r="B1442" s="94" t="str">
        <f t="shared" si="55"/>
        <v>HU_EURONICS</v>
      </c>
      <c r="C1442" s="93" t="s">
        <v>442</v>
      </c>
      <c r="D1442" s="93" t="s">
        <v>443</v>
      </c>
      <c r="E1442" s="93" t="s">
        <v>161</v>
      </c>
      <c r="F1442" s="93" t="s">
        <v>161</v>
      </c>
      <c r="G1442" s="93" t="s">
        <v>2444</v>
      </c>
      <c r="H1442" s="93" t="e">
        <v>#N/A</v>
      </c>
      <c r="I1442" s="105" t="s">
        <v>2310</v>
      </c>
      <c r="J1442" s="93" t="s">
        <v>189</v>
      </c>
      <c r="K1442" s="93">
        <v>10</v>
      </c>
      <c r="L1442" s="93">
        <v>10</v>
      </c>
      <c r="M1442" s="93" t="s">
        <v>2311</v>
      </c>
      <c r="N1442" s="93" t="e">
        <f>VLOOKUP(B1442,'[16]01.수집 카테고리(List)'!$A$2:$H$64,8,FALSE)</f>
        <v>#N/A</v>
      </c>
      <c r="O1442" s="93"/>
    </row>
    <row r="1443" spans="1:15" hidden="1">
      <c r="A1443" s="75" t="str">
        <f t="shared" si="54"/>
        <v>HUEURONICSTVuhd TVuhd TV</v>
      </c>
      <c r="B1443" s="94" t="str">
        <f t="shared" si="55"/>
        <v>HU_EURONICS</v>
      </c>
      <c r="C1443" s="93" t="s">
        <v>442</v>
      </c>
      <c r="D1443" s="93" t="s">
        <v>443</v>
      </c>
      <c r="E1443" s="93" t="s">
        <v>161</v>
      </c>
      <c r="F1443" s="93" t="s">
        <v>2399</v>
      </c>
      <c r="G1443" s="93" t="s">
        <v>2399</v>
      </c>
      <c r="H1443" s="93" t="e">
        <v>#N/A</v>
      </c>
      <c r="I1443" s="105" t="s">
        <v>2310</v>
      </c>
      <c r="J1443" s="93" t="s">
        <v>189</v>
      </c>
      <c r="K1443" s="93">
        <v>227</v>
      </c>
      <c r="L1443" s="93">
        <v>227</v>
      </c>
      <c r="M1443" s="93" t="s">
        <v>2311</v>
      </c>
      <c r="N1443" s="93" t="e">
        <f>VLOOKUP(B1443,'[16]01.수집 카테고리(List)'!$A$2:$H$64,8,FALSE)</f>
        <v>#N/A</v>
      </c>
      <c r="O1443" s="93"/>
    </row>
    <row r="1444" spans="1:15" hidden="1">
      <c r="A1444" s="75" t="str">
        <f t="shared" si="54"/>
        <v>HUEURONICSTVultra hd tvultra hd tv</v>
      </c>
      <c r="B1444" s="94" t="str">
        <f t="shared" si="55"/>
        <v>HU_EURONICS</v>
      </c>
      <c r="C1444" s="93" t="s">
        <v>442</v>
      </c>
      <c r="D1444" s="93" t="s">
        <v>443</v>
      </c>
      <c r="E1444" s="93" t="s">
        <v>161</v>
      </c>
      <c r="F1444" s="93" t="s">
        <v>2953</v>
      </c>
      <c r="G1444" s="93" t="s">
        <v>2953</v>
      </c>
      <c r="H1444" s="93" t="e">
        <v>#N/A</v>
      </c>
      <c r="I1444" s="105" t="s">
        <v>2310</v>
      </c>
      <c r="J1444" s="93" t="s">
        <v>189</v>
      </c>
      <c r="K1444" s="93">
        <v>1313</v>
      </c>
      <c r="L1444" s="93">
        <v>1313</v>
      </c>
      <c r="M1444" s="93" t="s">
        <v>2311</v>
      </c>
      <c r="N1444" s="93" t="e">
        <f>VLOOKUP(B1444,'[16]01.수집 카테고리(List)'!$A$2:$H$64,8,FALSE)</f>
        <v>#N/A</v>
      </c>
      <c r="O1444" s="93"/>
    </row>
    <row r="1445" spans="1:15" hidden="1">
      <c r="A1445" s="75" t="str">
        <f t="shared" si="54"/>
        <v>HUEURONICSWashing Machinefront-loading washing machineelöltöltős mosógép</v>
      </c>
      <c r="B1445" s="94" t="str">
        <f t="shared" si="55"/>
        <v>HU_EURONICS</v>
      </c>
      <c r="C1445" s="93" t="s">
        <v>442</v>
      </c>
      <c r="D1445" s="93" t="s">
        <v>443</v>
      </c>
      <c r="E1445" s="93" t="s">
        <v>2333</v>
      </c>
      <c r="F1445" s="93" t="s">
        <v>2954</v>
      </c>
      <c r="G1445" s="93" t="s">
        <v>2955</v>
      </c>
      <c r="H1445" s="93" t="e">
        <v>#N/A</v>
      </c>
      <c r="I1445" s="105" t="s">
        <v>2310</v>
      </c>
      <c r="J1445" s="93" t="s">
        <v>189</v>
      </c>
      <c r="K1445" s="93">
        <v>139</v>
      </c>
      <c r="L1445" s="93" t="e">
        <v>#N/A</v>
      </c>
      <c r="M1445" s="93" t="s">
        <v>2311</v>
      </c>
      <c r="N1445" s="93" t="e">
        <f>VLOOKUP(B1445,'[16]01.수집 카테고리(List)'!$A$2:$H$64,8,FALSE)</f>
        <v>#N/A</v>
      </c>
      <c r="O1445" s="93"/>
    </row>
    <row r="1446" spans="1:15" hidden="1">
      <c r="A1446" s="75" t="str">
        <f t="shared" si="54"/>
        <v>HUEURONICSWashing Machinesteam washer-dryergőz mosó-szárítógép</v>
      </c>
      <c r="B1446" s="94" t="str">
        <f t="shared" si="55"/>
        <v>HU_EURONICS</v>
      </c>
      <c r="C1446" s="93" t="s">
        <v>442</v>
      </c>
      <c r="D1446" s="93" t="s">
        <v>443</v>
      </c>
      <c r="E1446" s="93" t="s">
        <v>2333</v>
      </c>
      <c r="F1446" s="93" t="s">
        <v>2956</v>
      </c>
      <c r="G1446" s="93" t="s">
        <v>2957</v>
      </c>
      <c r="H1446" s="93" t="e">
        <v>#N/A</v>
      </c>
      <c r="I1446" s="105" t="s">
        <v>2310</v>
      </c>
      <c r="J1446" s="93" t="s">
        <v>189</v>
      </c>
      <c r="K1446" s="93">
        <v>396</v>
      </c>
      <c r="L1446" s="93" t="e">
        <v>#N/A</v>
      </c>
      <c r="M1446" s="93" t="s">
        <v>2311</v>
      </c>
      <c r="N1446" s="93" t="e">
        <f>VLOOKUP(B1446,'[16]01.수집 카테고리(List)'!$A$2:$H$64,8,FALSE)</f>
        <v>#N/A</v>
      </c>
      <c r="O1446" s="93"/>
    </row>
    <row r="1447" spans="1:15" hidden="1">
      <c r="A1447" s="75" t="str">
        <f t="shared" si="54"/>
        <v>HUEURONICSWashing Machinesteam washing machinegőzmosógép</v>
      </c>
      <c r="B1447" s="94" t="str">
        <f t="shared" si="55"/>
        <v>HU_EURONICS</v>
      </c>
      <c r="C1447" s="93" t="s">
        <v>442</v>
      </c>
      <c r="D1447" s="93" t="s">
        <v>443</v>
      </c>
      <c r="E1447" s="93" t="s">
        <v>2333</v>
      </c>
      <c r="F1447" s="93" t="s">
        <v>2958</v>
      </c>
      <c r="G1447" s="93" t="s">
        <v>2959</v>
      </c>
      <c r="H1447" s="93" t="e">
        <v>#N/A</v>
      </c>
      <c r="I1447" s="105" t="s">
        <v>2310</v>
      </c>
      <c r="J1447" s="93" t="s">
        <v>189</v>
      </c>
      <c r="K1447" s="93">
        <v>42</v>
      </c>
      <c r="L1447" s="93" t="e">
        <v>#N/A</v>
      </c>
      <c r="M1447" s="93" t="s">
        <v>2311</v>
      </c>
      <c r="N1447" s="93" t="e">
        <f>VLOOKUP(B1447,'[16]01.수집 카테고리(List)'!$A$2:$H$64,8,FALSE)</f>
        <v>#N/A</v>
      </c>
      <c r="O1447" s="93"/>
    </row>
    <row r="1448" spans="1:15" hidden="1">
      <c r="A1448" s="75" t="str">
        <f t="shared" si="54"/>
        <v>HUEURONICSWashing Machineslim washing machinekeskeny mosógép</v>
      </c>
      <c r="B1448" s="94" t="str">
        <f t="shared" si="55"/>
        <v>HU_EURONICS</v>
      </c>
      <c r="C1448" s="93" t="s">
        <v>442</v>
      </c>
      <c r="D1448" s="93" t="s">
        <v>443</v>
      </c>
      <c r="E1448" s="93" t="s">
        <v>2333</v>
      </c>
      <c r="F1448" s="93" t="s">
        <v>2960</v>
      </c>
      <c r="G1448" s="93" t="s">
        <v>2961</v>
      </c>
      <c r="H1448" s="93" t="e">
        <v>#N/A</v>
      </c>
      <c r="I1448" s="105" t="s">
        <v>2310</v>
      </c>
      <c r="J1448" s="93" t="s">
        <v>189</v>
      </c>
      <c r="K1448" s="93">
        <v>183</v>
      </c>
      <c r="L1448" s="93" t="e">
        <v>#N/A</v>
      </c>
      <c r="M1448" s="93" t="s">
        <v>2311</v>
      </c>
      <c r="N1448" s="93" t="e">
        <f>VLOOKUP(B1448,'[16]01.수집 카테고리(List)'!$A$2:$H$64,8,FALSE)</f>
        <v>#N/A</v>
      </c>
      <c r="O1448" s="93"/>
    </row>
    <row r="1449" spans="1:15" hidden="1">
      <c r="A1449" s="75" t="str">
        <f t="shared" si="54"/>
        <v>HUEURONICSWashing Machinewasher-dryer mosó szárítógép</v>
      </c>
      <c r="B1449" s="94" t="str">
        <f t="shared" si="55"/>
        <v>HU_EURONICS</v>
      </c>
      <c r="C1449" s="93" t="s">
        <v>442</v>
      </c>
      <c r="D1449" s="93" t="s">
        <v>443</v>
      </c>
      <c r="E1449" s="93" t="s">
        <v>2333</v>
      </c>
      <c r="F1449" s="93" t="s">
        <v>2962</v>
      </c>
      <c r="G1449" s="93" t="s">
        <v>2963</v>
      </c>
      <c r="H1449" s="93" t="e">
        <v>#N/A</v>
      </c>
      <c r="I1449" s="105" t="s">
        <v>2310</v>
      </c>
      <c r="J1449" s="93" t="s">
        <v>189</v>
      </c>
      <c r="K1449" s="93">
        <v>203</v>
      </c>
      <c r="L1449" s="93" t="e">
        <v>#N/A</v>
      </c>
      <c r="M1449" s="93" t="s">
        <v>2311</v>
      </c>
      <c r="N1449" s="93" t="e">
        <f>VLOOKUP(B1449,'[16]01.수집 카테고리(List)'!$A$2:$H$64,8,FALSE)</f>
        <v>#N/A</v>
      </c>
      <c r="O1449" s="93"/>
    </row>
    <row r="1450" spans="1:15" hidden="1">
      <c r="A1450" s="75" t="str">
        <f t="shared" si="54"/>
        <v>HUEURONICSWashing Machinewashing machinemosógép</v>
      </c>
      <c r="B1450" s="94" t="str">
        <f t="shared" si="55"/>
        <v>HU_EURONICS</v>
      </c>
      <c r="C1450" s="93" t="s">
        <v>442</v>
      </c>
      <c r="D1450" s="93" t="s">
        <v>443</v>
      </c>
      <c r="E1450" s="93" t="s">
        <v>2333</v>
      </c>
      <c r="F1450" s="93" t="s">
        <v>2340</v>
      </c>
      <c r="G1450" s="93" t="s">
        <v>2964</v>
      </c>
      <c r="H1450" s="93" t="e">
        <v>#N/A</v>
      </c>
      <c r="I1450" s="105" t="s">
        <v>2310</v>
      </c>
      <c r="J1450" s="93" t="s">
        <v>189</v>
      </c>
      <c r="K1450" s="93">
        <v>26</v>
      </c>
      <c r="L1450" s="93" t="e">
        <v>#N/A</v>
      </c>
      <c r="M1450" s="93" t="s">
        <v>2311</v>
      </c>
      <c r="N1450" s="93" t="e">
        <f>VLOOKUP(B1450,'[16]01.수집 카테고리(List)'!$A$2:$H$64,8,FALSE)</f>
        <v>#N/A</v>
      </c>
      <c r="O1450" s="93"/>
    </row>
    <row r="1451" spans="1:15" hidden="1">
      <c r="A1451" s="75" t="str">
        <f t="shared" si="54"/>
        <v>HUMEDIAMARKTDishwashersteam dishwashergőzös mosogatógép</v>
      </c>
      <c r="B1451" s="94" t="str">
        <f t="shared" si="55"/>
        <v>HU_MEDIAMARKT</v>
      </c>
      <c r="C1451" s="93" t="s">
        <v>442</v>
      </c>
      <c r="D1451" s="93" t="s">
        <v>264</v>
      </c>
      <c r="E1451" s="93" t="s">
        <v>2440</v>
      </c>
      <c r="F1451" s="93" t="s">
        <v>2778</v>
      </c>
      <c r="G1451" s="93" t="s">
        <v>2919</v>
      </c>
      <c r="H1451" s="93" t="e">
        <v>#N/A</v>
      </c>
      <c r="I1451" s="105" t="s">
        <v>2310</v>
      </c>
      <c r="J1451" s="93" t="s">
        <v>189</v>
      </c>
      <c r="K1451" s="93">
        <v>495</v>
      </c>
      <c r="L1451" s="93" t="e">
        <v>#N/A</v>
      </c>
      <c r="M1451" s="93" t="s">
        <v>2311</v>
      </c>
      <c r="N1451" s="93" t="e">
        <f>VLOOKUP(B1451,'[16]01.수집 카테고리(List)'!$A$2:$H$64,8,FALSE)</f>
        <v>#N/A</v>
      </c>
      <c r="O1451" s="93"/>
    </row>
    <row r="1452" spans="1:15" hidden="1">
      <c r="A1452" s="75" t="str">
        <f t="shared" si="54"/>
        <v>HUMEDIAMARKTDishwasherdishwashermosogatógép</v>
      </c>
      <c r="B1452" s="94" t="str">
        <f t="shared" si="55"/>
        <v>HU_MEDIAMARKT</v>
      </c>
      <c r="C1452" s="93" t="s">
        <v>442</v>
      </c>
      <c r="D1452" s="93" t="s">
        <v>264</v>
      </c>
      <c r="E1452" s="93" t="s">
        <v>2440</v>
      </c>
      <c r="F1452" s="93" t="s">
        <v>2354</v>
      </c>
      <c r="G1452" s="93" t="s">
        <v>2920</v>
      </c>
      <c r="H1452" s="93" t="e">
        <v>#N/A</v>
      </c>
      <c r="I1452" s="105" t="s">
        <v>2310</v>
      </c>
      <c r="J1452" s="93" t="s">
        <v>189</v>
      </c>
      <c r="K1452" s="93">
        <v>81</v>
      </c>
      <c r="L1452" s="93" t="e">
        <v>#N/A</v>
      </c>
      <c r="M1452" s="93" t="s">
        <v>2311</v>
      </c>
      <c r="N1452" s="93" t="e">
        <f>VLOOKUP(B1452,'[16]01.수집 카테고리(List)'!$A$2:$H$64,8,FALSE)</f>
        <v>#N/A</v>
      </c>
      <c r="O1452" s="93"/>
    </row>
    <row r="1453" spans="1:15" hidden="1">
      <c r="A1453" s="75" t="str">
        <f t="shared" si="54"/>
        <v>HUMEDIAMARKTDishwasherQuadWash™ dishwasherQuadWash™ mosogatógép</v>
      </c>
      <c r="B1453" s="94" t="str">
        <f t="shared" si="55"/>
        <v>HU_MEDIAMARKT</v>
      </c>
      <c r="C1453" s="93" t="s">
        <v>442</v>
      </c>
      <c r="D1453" s="93" t="s">
        <v>264</v>
      </c>
      <c r="E1453" s="93" t="s">
        <v>2440</v>
      </c>
      <c r="F1453" s="93" t="s">
        <v>2921</v>
      </c>
      <c r="G1453" s="93" t="s">
        <v>2922</v>
      </c>
      <c r="H1453" s="93" t="e">
        <v>#N/A</v>
      </c>
      <c r="I1453" s="105" t="s">
        <v>2310</v>
      </c>
      <c r="J1453" s="93" t="s">
        <v>189</v>
      </c>
      <c r="K1453" s="93">
        <v>757</v>
      </c>
      <c r="L1453" s="93" t="e">
        <v>#N/A</v>
      </c>
      <c r="M1453" s="93" t="s">
        <v>2311</v>
      </c>
      <c r="N1453" s="93" t="e">
        <f>VLOOKUP(B1453,'[16]01.수집 카테고리(List)'!$A$2:$H$64,8,FALSE)</f>
        <v>#N/A</v>
      </c>
      <c r="O1453" s="93"/>
    </row>
    <row r="1454" spans="1:15" hidden="1">
      <c r="A1454" s="75" t="str">
        <f t="shared" si="54"/>
        <v>HUMEDIAMARKTMonitor4k monitor4k monitor</v>
      </c>
      <c r="B1454" s="94" t="str">
        <f t="shared" si="55"/>
        <v>HU_MEDIAMARKT</v>
      </c>
      <c r="C1454" s="93" t="s">
        <v>442</v>
      </c>
      <c r="D1454" s="93" t="s">
        <v>264</v>
      </c>
      <c r="E1454" s="93" t="s">
        <v>2320</v>
      </c>
      <c r="F1454" s="93" t="s">
        <v>2321</v>
      </c>
      <c r="G1454" s="93" t="s">
        <v>2321</v>
      </c>
      <c r="H1454" s="93" t="e">
        <v>#N/A</v>
      </c>
      <c r="I1454" s="105" t="s">
        <v>2310</v>
      </c>
      <c r="J1454" s="93" t="s">
        <v>189</v>
      </c>
      <c r="K1454" s="93">
        <v>1</v>
      </c>
      <c r="L1454" s="93">
        <v>1</v>
      </c>
      <c r="M1454" s="93" t="s">
        <v>2311</v>
      </c>
      <c r="N1454" s="93" t="e">
        <f>VLOOKUP(B1454,'[16]01.수집 카테고리(List)'!$A$2:$H$64,8,FALSE)</f>
        <v>#N/A</v>
      </c>
      <c r="O1454" s="93"/>
    </row>
    <row r="1455" spans="1:15" hidden="1">
      <c r="A1455" s="75" t="str">
        <f t="shared" si="54"/>
        <v>HUMEDIAMARKTMonitorgaming monitorgaming monitor</v>
      </c>
      <c r="B1455" s="94" t="str">
        <f t="shared" si="55"/>
        <v>HU_MEDIAMARKT</v>
      </c>
      <c r="C1455" s="93" t="s">
        <v>442</v>
      </c>
      <c r="D1455" s="93" t="s">
        <v>264</v>
      </c>
      <c r="E1455" s="93" t="s">
        <v>2320</v>
      </c>
      <c r="F1455" s="93" t="s">
        <v>2322</v>
      </c>
      <c r="G1455" s="93" t="s">
        <v>2322</v>
      </c>
      <c r="H1455" s="93" t="e">
        <v>#N/A</v>
      </c>
      <c r="I1455" s="105" t="s">
        <v>2310</v>
      </c>
      <c r="J1455" s="93" t="s">
        <v>189</v>
      </c>
      <c r="K1455" s="93">
        <v>11</v>
      </c>
      <c r="L1455" s="93">
        <v>11</v>
      </c>
      <c r="M1455" s="93" t="s">
        <v>2311</v>
      </c>
      <c r="N1455" s="93" t="e">
        <f>VLOOKUP(B1455,'[16]01.수집 카테고리(List)'!$A$2:$H$64,8,FALSE)</f>
        <v>#N/A</v>
      </c>
      <c r="O1455" s="93"/>
    </row>
    <row r="1456" spans="1:15" hidden="1">
      <c r="A1456" s="75" t="str">
        <f t="shared" si="54"/>
        <v>HUMEDIAMARKTMonitorips monitor ips monitor</v>
      </c>
      <c r="B1456" s="94" t="str">
        <f t="shared" si="55"/>
        <v>HU_MEDIAMARKT</v>
      </c>
      <c r="C1456" s="93" t="s">
        <v>442</v>
      </c>
      <c r="D1456" s="93" t="s">
        <v>264</v>
      </c>
      <c r="E1456" s="93" t="s">
        <v>2320</v>
      </c>
      <c r="F1456" s="93" t="s">
        <v>2965</v>
      </c>
      <c r="G1456" s="93" t="s">
        <v>2966</v>
      </c>
      <c r="H1456" s="93" t="e">
        <v>#N/A</v>
      </c>
      <c r="I1456" s="105" t="s">
        <v>2310</v>
      </c>
      <c r="J1456" s="93" t="s">
        <v>189</v>
      </c>
      <c r="K1456" s="93">
        <v>13</v>
      </c>
      <c r="L1456" s="93" t="e">
        <v>#N/A</v>
      </c>
      <c r="M1456" s="93" t="s">
        <v>2311</v>
      </c>
      <c r="N1456" s="93" t="e">
        <f>VLOOKUP(B1456,'[16]01.수집 카테고리(List)'!$A$2:$H$64,8,FALSE)</f>
        <v>#N/A</v>
      </c>
      <c r="O1456" s="93"/>
    </row>
    <row r="1457" spans="1:15" hidden="1">
      <c r="A1457" s="75" t="str">
        <f t="shared" si="54"/>
        <v>HUMEDIAMARKTMonitormonitormonitor</v>
      </c>
      <c r="B1457" s="94" t="str">
        <f t="shared" si="55"/>
        <v>HU_MEDIAMARKT</v>
      </c>
      <c r="C1457" s="93" t="s">
        <v>442</v>
      </c>
      <c r="D1457" s="93" t="s">
        <v>264</v>
      </c>
      <c r="E1457" s="93" t="s">
        <v>2320</v>
      </c>
      <c r="F1457" s="93" t="s">
        <v>2323</v>
      </c>
      <c r="G1457" s="93" t="s">
        <v>2323</v>
      </c>
      <c r="H1457" s="93" t="e">
        <v>#N/A</v>
      </c>
      <c r="I1457" s="105" t="s">
        <v>2310</v>
      </c>
      <c r="J1457" s="93" t="s">
        <v>189</v>
      </c>
      <c r="K1457" s="93">
        <v>34</v>
      </c>
      <c r="L1457" s="93">
        <v>34</v>
      </c>
      <c r="M1457" s="93" t="s">
        <v>2311</v>
      </c>
      <c r="N1457" s="93" t="e">
        <f>VLOOKUP(B1457,'[16]01.수집 카테고리(List)'!$A$2:$H$64,8,FALSE)</f>
        <v>#N/A</v>
      </c>
      <c r="O1457" s="93"/>
    </row>
    <row r="1458" spans="1:15" hidden="1">
      <c r="A1458" s="75" t="str">
        <f t="shared" si="54"/>
        <v>HUMEDIAMARKTMonitorTV monitortv monitor</v>
      </c>
      <c r="B1458" s="94" t="str">
        <f t="shared" si="55"/>
        <v>HU_MEDIAMARKT</v>
      </c>
      <c r="C1458" s="93" t="s">
        <v>442</v>
      </c>
      <c r="D1458" s="93" t="s">
        <v>264</v>
      </c>
      <c r="E1458" s="93" t="s">
        <v>2320</v>
      </c>
      <c r="F1458" s="93" t="s">
        <v>2967</v>
      </c>
      <c r="G1458" s="93" t="s">
        <v>2968</v>
      </c>
      <c r="H1458" s="93" t="e">
        <v>#N/A</v>
      </c>
      <c r="I1458" s="105" t="s">
        <v>2310</v>
      </c>
      <c r="J1458" s="93" t="s">
        <v>189</v>
      </c>
      <c r="K1458" s="93">
        <v>4</v>
      </c>
      <c r="L1458" s="93">
        <v>4</v>
      </c>
      <c r="M1458" s="93" t="s">
        <v>2311</v>
      </c>
      <c r="N1458" s="93" t="e">
        <f>VLOOKUP(B1458,'[16]01.수집 카테고리(List)'!$A$2:$H$64,8,FALSE)</f>
        <v>#N/A</v>
      </c>
      <c r="O1458" s="93"/>
    </row>
    <row r="1459" spans="1:15" hidden="1">
      <c r="A1459" s="75" t="str">
        <f t="shared" si="54"/>
        <v>HUMEDIAMARKTMonitoruhd monitoruhd monitor</v>
      </c>
      <c r="B1459" s="94" t="str">
        <f t="shared" si="55"/>
        <v>HU_MEDIAMARKT</v>
      </c>
      <c r="C1459" s="93" t="s">
        <v>442</v>
      </c>
      <c r="D1459" s="93" t="s">
        <v>264</v>
      </c>
      <c r="E1459" s="93" t="s">
        <v>2320</v>
      </c>
      <c r="F1459" s="93" t="s">
        <v>2324</v>
      </c>
      <c r="G1459" s="93" t="s">
        <v>2324</v>
      </c>
      <c r="H1459" s="93" t="e">
        <v>#N/A</v>
      </c>
      <c r="I1459" s="105" t="s">
        <v>2310</v>
      </c>
      <c r="J1459" s="93" t="s">
        <v>189</v>
      </c>
      <c r="K1459" s="93">
        <v>13</v>
      </c>
      <c r="L1459" s="93">
        <v>13</v>
      </c>
      <c r="M1459" s="93" t="s">
        <v>2311</v>
      </c>
      <c r="N1459" s="93" t="e">
        <f>VLOOKUP(B1459,'[16]01.수집 카테고리(List)'!$A$2:$H$64,8,FALSE)</f>
        <v>#N/A</v>
      </c>
      <c r="O1459" s="93"/>
    </row>
    <row r="1460" spans="1:15" hidden="1">
      <c r="A1460" s="75" t="str">
        <f t="shared" si="54"/>
        <v xml:space="preserve">HUMEDIAMARKTMonitorultrawide monitorultrawide monitor </v>
      </c>
      <c r="B1460" s="94" t="str">
        <f t="shared" si="55"/>
        <v>HU_MEDIAMARKT</v>
      </c>
      <c r="C1460" s="93" t="s">
        <v>442</v>
      </c>
      <c r="D1460" s="93" t="s">
        <v>264</v>
      </c>
      <c r="E1460" s="93" t="s">
        <v>2320</v>
      </c>
      <c r="F1460" s="93" t="s">
        <v>2325</v>
      </c>
      <c r="G1460" s="93" t="s">
        <v>2969</v>
      </c>
      <c r="H1460" s="93" t="e">
        <v>#N/A</v>
      </c>
      <c r="I1460" s="105" t="s">
        <v>2310</v>
      </c>
      <c r="J1460" s="93" t="s">
        <v>189</v>
      </c>
      <c r="K1460" s="93" t="e">
        <v>#N/A</v>
      </c>
      <c r="L1460" s="93">
        <v>3</v>
      </c>
      <c r="M1460" s="93" t="s">
        <v>2351</v>
      </c>
      <c r="N1460" s="93" t="e">
        <f>VLOOKUP(B1460,'[16]01.수집 카테고리(List)'!$A$2:$H$64,8,FALSE)</f>
        <v>#N/A</v>
      </c>
      <c r="O1460" s="93"/>
    </row>
    <row r="1461" spans="1:15" hidden="1">
      <c r="A1461" s="75" t="str">
        <f t="shared" si="54"/>
        <v>HUMEDIAMARKTRefrigeratorbottom freezer refrigeratoralulfagyasztós hűtőszekrény</v>
      </c>
      <c r="B1461" s="94" t="str">
        <f t="shared" si="55"/>
        <v>HU_MEDIAMARKT</v>
      </c>
      <c r="C1461" s="93" t="s">
        <v>442</v>
      </c>
      <c r="D1461" s="93" t="s">
        <v>264</v>
      </c>
      <c r="E1461" s="93" t="s">
        <v>2326</v>
      </c>
      <c r="F1461" s="93" t="s">
        <v>2327</v>
      </c>
      <c r="G1461" s="93" t="s">
        <v>2931</v>
      </c>
      <c r="H1461" s="93" t="e">
        <v>#N/A</v>
      </c>
      <c r="I1461" s="105" t="s">
        <v>2310</v>
      </c>
      <c r="J1461" s="93" t="s">
        <v>189</v>
      </c>
      <c r="K1461" s="93">
        <v>14</v>
      </c>
      <c r="L1461" s="93" t="e">
        <v>#N/A</v>
      </c>
      <c r="M1461" s="93" t="s">
        <v>2311</v>
      </c>
      <c r="N1461" s="93" t="e">
        <f>VLOOKUP(B1461,'[16]01.수집 카테고리(List)'!$A$2:$H$64,8,FALSE)</f>
        <v>#N/A</v>
      </c>
      <c r="O1461" s="93"/>
    </row>
    <row r="1462" spans="1:15" hidden="1">
      <c r="A1462" s="75" t="str">
        <f t="shared" si="54"/>
        <v>HUMEDIAMARKTRefrigeratorone-door refigeratoregyajtós hűtőszekrény</v>
      </c>
      <c r="B1462" s="94" t="str">
        <f t="shared" si="55"/>
        <v>HU_MEDIAMARKT</v>
      </c>
      <c r="C1462" s="93" t="s">
        <v>442</v>
      </c>
      <c r="D1462" s="93" t="s">
        <v>264</v>
      </c>
      <c r="E1462" s="93" t="s">
        <v>2326</v>
      </c>
      <c r="F1462" s="93" t="s">
        <v>2932</v>
      </c>
      <c r="G1462" s="93" t="s">
        <v>2933</v>
      </c>
      <c r="H1462" s="93" t="e">
        <v>#N/A</v>
      </c>
      <c r="I1462" s="105" t="s">
        <v>2310</v>
      </c>
      <c r="J1462" s="93" t="s">
        <v>189</v>
      </c>
      <c r="K1462" s="93">
        <v>3</v>
      </c>
      <c r="L1462" s="93" t="e">
        <v>#N/A</v>
      </c>
      <c r="M1462" s="93" t="s">
        <v>2311</v>
      </c>
      <c r="N1462" s="93" t="e">
        <f>VLOOKUP(B1462,'[16]01.수집 카테고리(List)'!$A$2:$H$64,8,FALSE)</f>
        <v>#N/A</v>
      </c>
      <c r="O1462" s="93"/>
    </row>
    <row r="1463" spans="1:15" hidden="1">
      <c r="A1463" s="75" t="str">
        <f t="shared" si="54"/>
        <v>HUMEDIAMARKTRefrigeratortop freezer refrigeratorfelülfagyasztós hűtőszekrény</v>
      </c>
      <c r="B1463" s="94" t="str">
        <f t="shared" si="55"/>
        <v>HU_MEDIAMARKT</v>
      </c>
      <c r="C1463" s="93" t="s">
        <v>442</v>
      </c>
      <c r="D1463" s="93" t="s">
        <v>264</v>
      </c>
      <c r="E1463" s="93" t="s">
        <v>2326</v>
      </c>
      <c r="F1463" s="93" t="s">
        <v>2332</v>
      </c>
      <c r="G1463" s="93" t="s">
        <v>2934</v>
      </c>
      <c r="H1463" s="93" t="e">
        <v>#N/A</v>
      </c>
      <c r="I1463" s="105" t="s">
        <v>2310</v>
      </c>
      <c r="J1463" s="93" t="s">
        <v>189</v>
      </c>
      <c r="K1463" s="93">
        <v>3</v>
      </c>
      <c r="L1463" s="93" t="e">
        <v>#N/A</v>
      </c>
      <c r="M1463" s="93" t="s">
        <v>2311</v>
      </c>
      <c r="N1463" s="93" t="e">
        <f>VLOOKUP(B1463,'[16]01.수집 카테고리(List)'!$A$2:$H$64,8,FALSE)</f>
        <v>#N/A</v>
      </c>
      <c r="O1463" s="93"/>
    </row>
    <row r="1464" spans="1:15" hidden="1">
      <c r="A1464" s="75" t="str">
        <f t="shared" si="54"/>
        <v>HUMEDIAMARKTRefrigeratorrefrigeratorhűtőszekrény</v>
      </c>
      <c r="B1464" s="94" t="str">
        <f t="shared" si="55"/>
        <v>HU_MEDIAMARKT</v>
      </c>
      <c r="C1464" s="93" t="s">
        <v>442</v>
      </c>
      <c r="D1464" s="93" t="s">
        <v>264</v>
      </c>
      <c r="E1464" s="93" t="s">
        <v>2326</v>
      </c>
      <c r="F1464" s="93" t="s">
        <v>2329</v>
      </c>
      <c r="G1464" s="93" t="s">
        <v>2935</v>
      </c>
      <c r="H1464" s="93" t="e">
        <v>#N/A</v>
      </c>
      <c r="I1464" s="105" t="s">
        <v>2310</v>
      </c>
      <c r="J1464" s="93" t="s">
        <v>189</v>
      </c>
      <c r="K1464" s="93">
        <v>37</v>
      </c>
      <c r="L1464" s="93" t="e">
        <v>#N/A</v>
      </c>
      <c r="M1464" s="93" t="s">
        <v>2311</v>
      </c>
      <c r="N1464" s="93" t="e">
        <f>VLOOKUP(B1464,'[16]01.수집 카테고리(List)'!$A$2:$H$64,8,FALSE)</f>
        <v>#N/A</v>
      </c>
      <c r="O1464" s="93"/>
    </row>
    <row r="1465" spans="1:15" hidden="1">
      <c r="A1465" s="75" t="str">
        <f t="shared" si="54"/>
        <v>HUMEDIAMARKTRefrigeratormulti-door refigerator multi-door hűtőszekrény</v>
      </c>
      <c r="B1465" s="94" t="str">
        <f t="shared" si="55"/>
        <v>HU_MEDIAMARKT</v>
      </c>
      <c r="C1465" s="93" t="s">
        <v>442</v>
      </c>
      <c r="D1465" s="93" t="s">
        <v>264</v>
      </c>
      <c r="E1465" s="93" t="s">
        <v>2326</v>
      </c>
      <c r="F1465" s="93" t="s">
        <v>2936</v>
      </c>
      <c r="G1465" s="93" t="s">
        <v>2937</v>
      </c>
      <c r="H1465" s="93" t="e">
        <v>#N/A</v>
      </c>
      <c r="I1465" s="105" t="s">
        <v>2310</v>
      </c>
      <c r="J1465" s="93" t="s">
        <v>189</v>
      </c>
      <c r="K1465" s="93">
        <v>993</v>
      </c>
      <c r="L1465" s="93" t="e">
        <v>#N/A</v>
      </c>
      <c r="M1465" s="93" t="s">
        <v>2311</v>
      </c>
      <c r="N1465" s="93" t="e">
        <f>VLOOKUP(B1465,'[16]01.수집 카테고리(List)'!$A$2:$H$64,8,FALSE)</f>
        <v>#N/A</v>
      </c>
      <c r="O1465" s="93"/>
    </row>
    <row r="1466" spans="1:15" hidden="1">
      <c r="A1466" s="75" t="str">
        <f t="shared" si="54"/>
        <v>HUMEDIAMARKTRefrigeratorside by side refrigeratorsside by side hűtőszekrények</v>
      </c>
      <c r="B1466" s="94" t="str">
        <f t="shared" si="55"/>
        <v>HU_MEDIAMARKT</v>
      </c>
      <c r="C1466" s="93" t="s">
        <v>442</v>
      </c>
      <c r="D1466" s="93" t="s">
        <v>264</v>
      </c>
      <c r="E1466" s="93" t="s">
        <v>2326</v>
      </c>
      <c r="F1466" s="93" t="s">
        <v>2938</v>
      </c>
      <c r="G1466" s="93" t="s">
        <v>2939</v>
      </c>
      <c r="H1466" s="93" t="e">
        <v>#N/A</v>
      </c>
      <c r="I1466" s="105" t="s">
        <v>2310</v>
      </c>
      <c r="J1466" s="93" t="s">
        <v>189</v>
      </c>
      <c r="K1466" s="93">
        <v>14</v>
      </c>
      <c r="L1466" s="93" t="e">
        <v>#N/A</v>
      </c>
      <c r="M1466" s="93" t="s">
        <v>2311</v>
      </c>
      <c r="N1466" s="93" t="e">
        <f>VLOOKUP(B1466,'[16]01.수집 카테고리(List)'!$A$2:$H$64,8,FALSE)</f>
        <v>#N/A</v>
      </c>
      <c r="O1466" s="93"/>
    </row>
    <row r="1467" spans="1:15" hidden="1">
      <c r="A1467" s="75" t="str">
        <f t="shared" si="54"/>
        <v>HUMEDIAMARKTRefrigeratormulti-door refigerator többajtós hűtőszekrény</v>
      </c>
      <c r="B1467" s="94" t="str">
        <f t="shared" si="55"/>
        <v>HU_MEDIAMARKT</v>
      </c>
      <c r="C1467" s="93" t="s">
        <v>442</v>
      </c>
      <c r="D1467" s="93" t="s">
        <v>264</v>
      </c>
      <c r="E1467" s="93" t="s">
        <v>2326</v>
      </c>
      <c r="F1467" s="93" t="s">
        <v>2936</v>
      </c>
      <c r="G1467" s="93" t="s">
        <v>2940</v>
      </c>
      <c r="H1467" s="93" t="e">
        <v>#N/A</v>
      </c>
      <c r="I1467" s="105" t="s">
        <v>2310</v>
      </c>
      <c r="J1467" s="93" t="s">
        <v>189</v>
      </c>
      <c r="K1467" s="93">
        <v>11</v>
      </c>
      <c r="L1467" s="93" t="e">
        <v>#N/A</v>
      </c>
      <c r="M1467" s="93" t="s">
        <v>2311</v>
      </c>
      <c r="N1467" s="93" t="e">
        <f>VLOOKUP(B1467,'[16]01.수집 카테고리(List)'!$A$2:$H$64,8,FALSE)</f>
        <v>#N/A</v>
      </c>
      <c r="O1467" s="93"/>
    </row>
    <row r="1468" spans="1:15" hidden="1">
      <c r="A1468" s="75" t="str">
        <f t="shared" si="54"/>
        <v>HUMEDIAMARKTSOUNDBARSound barHang projektor</v>
      </c>
      <c r="B1468" s="94" t="str">
        <f t="shared" si="55"/>
        <v>HU_MEDIAMARKT</v>
      </c>
      <c r="C1468" s="93" t="s">
        <v>442</v>
      </c>
      <c r="D1468" s="93" t="s">
        <v>264</v>
      </c>
      <c r="E1468" s="93" t="s">
        <v>165</v>
      </c>
      <c r="F1468" s="93" t="s">
        <v>2365</v>
      </c>
      <c r="G1468" s="93" t="s">
        <v>2941</v>
      </c>
      <c r="H1468" s="93" t="e">
        <v>#N/A</v>
      </c>
      <c r="I1468" s="105" t="s">
        <v>2310</v>
      </c>
      <c r="J1468" s="93" t="s">
        <v>189</v>
      </c>
      <c r="K1468" s="93">
        <v>9</v>
      </c>
      <c r="L1468" s="93" t="e">
        <v>#N/A</v>
      </c>
      <c r="M1468" s="93" t="s">
        <v>2311</v>
      </c>
      <c r="N1468" s="93" t="e">
        <f>VLOOKUP(B1468,'[16]01.수집 카테고리(List)'!$A$2:$H$64,8,FALSE)</f>
        <v>#N/A</v>
      </c>
      <c r="O1468" s="93"/>
    </row>
    <row r="1469" spans="1:15" hidden="1">
      <c r="A1469" s="75" t="str">
        <f t="shared" si="54"/>
        <v>HUMEDIAMARKTSOUNDBARSound barsHang projektorok</v>
      </c>
      <c r="B1469" s="94" t="str">
        <f t="shared" si="55"/>
        <v>HU_MEDIAMARKT</v>
      </c>
      <c r="C1469" s="93" t="s">
        <v>442</v>
      </c>
      <c r="D1469" s="93" t="s">
        <v>264</v>
      </c>
      <c r="E1469" s="93" t="s">
        <v>165</v>
      </c>
      <c r="F1469" s="93" t="s">
        <v>2366</v>
      </c>
      <c r="G1469" s="93" t="s">
        <v>2942</v>
      </c>
      <c r="H1469" s="93" t="e">
        <v>#N/A</v>
      </c>
      <c r="I1469" s="105" t="s">
        <v>2310</v>
      </c>
      <c r="J1469" s="93" t="s">
        <v>189</v>
      </c>
      <c r="K1469" s="93">
        <v>7</v>
      </c>
      <c r="L1469" s="93" t="e">
        <v>#N/A</v>
      </c>
      <c r="M1469" s="93" t="s">
        <v>2311</v>
      </c>
      <c r="N1469" s="93" t="e">
        <f>VLOOKUP(B1469,'[16]01.수집 카테고리(List)'!$A$2:$H$64,8,FALSE)</f>
        <v>#N/A</v>
      </c>
      <c r="O1469" s="93"/>
    </row>
    <row r="1470" spans="1:15" hidden="1">
      <c r="A1470" s="75" t="str">
        <f t="shared" si="54"/>
        <v>HUMEDIAMARKTSOUNDBARSoundbarHangprojektor</v>
      </c>
      <c r="B1470" s="94" t="str">
        <f t="shared" si="55"/>
        <v>HU_MEDIAMARKT</v>
      </c>
      <c r="C1470" s="93" t="s">
        <v>442</v>
      </c>
      <c r="D1470" s="93" t="s">
        <v>264</v>
      </c>
      <c r="E1470" s="93" t="s">
        <v>165</v>
      </c>
      <c r="F1470" s="93" t="s">
        <v>2363</v>
      </c>
      <c r="G1470" s="93" t="s">
        <v>2943</v>
      </c>
      <c r="H1470" s="93" t="e">
        <v>#N/A</v>
      </c>
      <c r="I1470" s="105" t="s">
        <v>2310</v>
      </c>
      <c r="J1470" s="93" t="s">
        <v>189</v>
      </c>
      <c r="K1470" s="93">
        <v>9</v>
      </c>
      <c r="L1470" s="93" t="e">
        <v>#N/A</v>
      </c>
      <c r="M1470" s="93" t="s">
        <v>2311</v>
      </c>
      <c r="N1470" s="93" t="e">
        <f>VLOOKUP(B1470,'[16]01.수집 카테고리(List)'!$A$2:$H$64,8,FALSE)</f>
        <v>#N/A</v>
      </c>
      <c r="O1470" s="93"/>
    </row>
    <row r="1471" spans="1:15" hidden="1">
      <c r="A1471" s="75" t="str">
        <f t="shared" si="54"/>
        <v>HUMEDIAMARKTSOUNDBARSoundbarsHangprojektorok</v>
      </c>
      <c r="B1471" s="94" t="str">
        <f t="shared" si="55"/>
        <v>HU_MEDIAMARKT</v>
      </c>
      <c r="C1471" s="93" t="s">
        <v>442</v>
      </c>
      <c r="D1471" s="93" t="s">
        <v>264</v>
      </c>
      <c r="E1471" s="93" t="s">
        <v>165</v>
      </c>
      <c r="F1471" s="93" t="s">
        <v>2361</v>
      </c>
      <c r="G1471" s="93" t="s">
        <v>2944</v>
      </c>
      <c r="H1471" s="93" t="e">
        <v>#N/A</v>
      </c>
      <c r="I1471" s="105" t="s">
        <v>2310</v>
      </c>
      <c r="J1471" s="93" t="s">
        <v>189</v>
      </c>
      <c r="K1471" s="93">
        <v>9</v>
      </c>
      <c r="L1471" s="93" t="e">
        <v>#N/A</v>
      </c>
      <c r="M1471" s="93" t="s">
        <v>2311</v>
      </c>
      <c r="N1471" s="93" t="e">
        <f>VLOOKUP(B1471,'[16]01.수집 카테고리(List)'!$A$2:$H$64,8,FALSE)</f>
        <v>#N/A</v>
      </c>
      <c r="O1471" s="93"/>
    </row>
    <row r="1472" spans="1:15" hidden="1">
      <c r="A1472" s="75" t="str">
        <f t="shared" si="54"/>
        <v>HUMEDIAMARKTSOUNDBARSound systemHangrendszer</v>
      </c>
      <c r="B1472" s="94" t="str">
        <f t="shared" si="55"/>
        <v>HU_MEDIAMARKT</v>
      </c>
      <c r="C1472" s="93" t="s">
        <v>442</v>
      </c>
      <c r="D1472" s="93" t="s">
        <v>264</v>
      </c>
      <c r="E1472" s="93" t="s">
        <v>165</v>
      </c>
      <c r="F1472" s="93" t="s">
        <v>2359</v>
      </c>
      <c r="G1472" s="93" t="s">
        <v>2945</v>
      </c>
      <c r="H1472" s="93" t="e">
        <v>#N/A</v>
      </c>
      <c r="I1472" s="105" t="s">
        <v>2310</v>
      </c>
      <c r="J1472" s="93" t="s">
        <v>189</v>
      </c>
      <c r="K1472" s="93">
        <v>30</v>
      </c>
      <c r="L1472" s="93" t="e">
        <v>#N/A</v>
      </c>
      <c r="M1472" s="93" t="s">
        <v>2311</v>
      </c>
      <c r="N1472" s="93" t="e">
        <f>VLOOKUP(B1472,'[16]01.수집 카테고리(List)'!$A$2:$H$64,8,FALSE)</f>
        <v>#N/A</v>
      </c>
      <c r="O1472" s="93"/>
    </row>
    <row r="1473" spans="1:15" hidden="1">
      <c r="A1473" s="75" t="str">
        <f t="shared" si="54"/>
        <v>HUMEDIAMARKTTV4k TV4k tv</v>
      </c>
      <c r="B1473" s="94" t="str">
        <f t="shared" si="55"/>
        <v>HU_MEDIAMARKT</v>
      </c>
      <c r="C1473" s="93" t="s">
        <v>442</v>
      </c>
      <c r="D1473" s="93" t="s">
        <v>264</v>
      </c>
      <c r="E1473" s="93" t="s">
        <v>161</v>
      </c>
      <c r="F1473" s="93" t="s">
        <v>2368</v>
      </c>
      <c r="G1473" s="93" t="s">
        <v>2580</v>
      </c>
      <c r="H1473" s="93" t="e">
        <v>#N/A</v>
      </c>
      <c r="I1473" s="105" t="s">
        <v>2310</v>
      </c>
      <c r="J1473" s="93" t="s">
        <v>189</v>
      </c>
      <c r="K1473" s="93">
        <v>20</v>
      </c>
      <c r="L1473" s="93">
        <v>20</v>
      </c>
      <c r="M1473" s="93" t="s">
        <v>2311</v>
      </c>
      <c r="N1473" s="93" t="e">
        <f>VLOOKUP(B1473,'[16]01.수집 카테고리(List)'!$A$2:$H$64,8,FALSE)</f>
        <v>#N/A</v>
      </c>
      <c r="O1473" s="93"/>
    </row>
    <row r="1474" spans="1:15" hidden="1">
      <c r="A1474" s="75" t="str">
        <f t="shared" si="54"/>
        <v>HUMEDIAMARKTTVNanoCell TVnanocell tv</v>
      </c>
      <c r="B1474" s="94" t="str">
        <f t="shared" si="55"/>
        <v>HU_MEDIAMARKT</v>
      </c>
      <c r="C1474" s="93" t="s">
        <v>442</v>
      </c>
      <c r="D1474" s="93" t="s">
        <v>264</v>
      </c>
      <c r="E1474" s="93" t="s">
        <v>161</v>
      </c>
      <c r="F1474" s="93" t="s">
        <v>2946</v>
      </c>
      <c r="G1474" s="93" t="s">
        <v>2947</v>
      </c>
      <c r="H1474" s="93" t="e">
        <v>#N/A</v>
      </c>
      <c r="I1474" s="105" t="s">
        <v>2310</v>
      </c>
      <c r="J1474" s="93" t="s">
        <v>189</v>
      </c>
      <c r="K1474" s="93">
        <v>25</v>
      </c>
      <c r="L1474" s="93">
        <v>25</v>
      </c>
      <c r="M1474" s="93" t="s">
        <v>2311</v>
      </c>
      <c r="N1474" s="93" t="e">
        <f>VLOOKUP(B1474,'[16]01.수집 카테고리(List)'!$A$2:$H$64,8,FALSE)</f>
        <v>#N/A</v>
      </c>
      <c r="O1474" s="93"/>
    </row>
    <row r="1475" spans="1:15" hidden="1">
      <c r="A1475" s="75" t="str">
        <f t="shared" si="54"/>
        <v>HUMEDIAMARKTTVsmart TVokos TV</v>
      </c>
      <c r="B1475" s="94" t="str">
        <f t="shared" si="55"/>
        <v>HU_MEDIAMARKT</v>
      </c>
      <c r="C1475" s="93" t="s">
        <v>442</v>
      </c>
      <c r="D1475" s="93" t="s">
        <v>264</v>
      </c>
      <c r="E1475" s="93" t="s">
        <v>161</v>
      </c>
      <c r="F1475" s="93" t="s">
        <v>2371</v>
      </c>
      <c r="G1475" s="93" t="s">
        <v>2948</v>
      </c>
      <c r="H1475" s="93" t="e">
        <v>#N/A</v>
      </c>
      <c r="I1475" s="105" t="s">
        <v>2310</v>
      </c>
      <c r="J1475" s="93" t="s">
        <v>189</v>
      </c>
      <c r="K1475" s="93">
        <v>22</v>
      </c>
      <c r="L1475" s="93">
        <v>24</v>
      </c>
      <c r="M1475" s="93" t="s">
        <v>2311</v>
      </c>
      <c r="N1475" s="93" t="e">
        <f>VLOOKUP(B1475,'[16]01.수집 카테고리(List)'!$A$2:$H$64,8,FALSE)</f>
        <v>#N/A</v>
      </c>
      <c r="O1475" s="93"/>
    </row>
    <row r="1476" spans="1:15" hidden="1">
      <c r="A1476" s="75" t="str">
        <f t="shared" si="54"/>
        <v>HUMEDIAMARKTTVOLED TV oled tv</v>
      </c>
      <c r="B1476" s="94" t="str">
        <f t="shared" si="55"/>
        <v>HU_MEDIAMARKT</v>
      </c>
      <c r="C1476" s="93" t="s">
        <v>442</v>
      </c>
      <c r="D1476" s="93" t="s">
        <v>264</v>
      </c>
      <c r="E1476" s="93" t="s">
        <v>161</v>
      </c>
      <c r="F1476" s="93" t="s">
        <v>2949</v>
      </c>
      <c r="G1476" s="93" t="s">
        <v>2581</v>
      </c>
      <c r="H1476" s="93" t="e">
        <v>#N/A</v>
      </c>
      <c r="I1476" s="105" t="s">
        <v>2310</v>
      </c>
      <c r="J1476" s="93" t="s">
        <v>189</v>
      </c>
      <c r="K1476" s="93">
        <v>30</v>
      </c>
      <c r="L1476" s="93" t="e">
        <v>#N/A</v>
      </c>
      <c r="M1476" s="93" t="s">
        <v>2311</v>
      </c>
      <c r="N1476" s="93" t="e">
        <f>VLOOKUP(B1476,'[16]01.수집 카테고리(List)'!$A$2:$H$64,8,FALSE)</f>
        <v>#N/A</v>
      </c>
      <c r="O1476" s="93"/>
    </row>
    <row r="1477" spans="1:15" hidden="1">
      <c r="A1477" s="75" t="str">
        <f t="shared" ref="A1477:A1540" si="56">C1477&amp;D1477&amp;E1477&amp;F1477&amp;G1477</f>
        <v>HUMEDIAMARKTTVsmart TVsmart tv</v>
      </c>
      <c r="B1477" s="94" t="str">
        <f t="shared" ref="B1477:B1540" si="57">C1477&amp;"_"&amp;D1477</f>
        <v>HU_MEDIAMARKT</v>
      </c>
      <c r="C1477" s="93" t="s">
        <v>442</v>
      </c>
      <c r="D1477" s="93" t="s">
        <v>264</v>
      </c>
      <c r="E1477" s="93" t="s">
        <v>161</v>
      </c>
      <c r="F1477" s="93" t="s">
        <v>2371</v>
      </c>
      <c r="G1477" s="93" t="s">
        <v>2582</v>
      </c>
      <c r="H1477" s="93" t="e">
        <v>#N/A</v>
      </c>
      <c r="I1477" s="105" t="s">
        <v>2310</v>
      </c>
      <c r="J1477" s="93" t="s">
        <v>189</v>
      </c>
      <c r="K1477" s="93">
        <v>24</v>
      </c>
      <c r="L1477" s="93">
        <v>24</v>
      </c>
      <c r="M1477" s="93" t="s">
        <v>2311</v>
      </c>
      <c r="N1477" s="93" t="e">
        <f>VLOOKUP(B1477,'[16]01.수집 카테고리(List)'!$A$2:$H$64,8,FALSE)</f>
        <v>#N/A</v>
      </c>
      <c r="O1477" s="93"/>
    </row>
    <row r="1478" spans="1:15" hidden="1">
      <c r="A1478" s="75" t="str">
        <f t="shared" si="56"/>
        <v>HUMEDIAMARKTTVtelevisiontelevízió</v>
      </c>
      <c r="B1478" s="94" t="str">
        <f t="shared" si="57"/>
        <v>HU_MEDIAMARKT</v>
      </c>
      <c r="C1478" s="93" t="s">
        <v>442</v>
      </c>
      <c r="D1478" s="93" t="s">
        <v>264</v>
      </c>
      <c r="E1478" s="93" t="s">
        <v>161</v>
      </c>
      <c r="F1478" s="93" t="s">
        <v>2950</v>
      </c>
      <c r="G1478" s="93" t="s">
        <v>2951</v>
      </c>
      <c r="H1478" s="93" t="e">
        <v>#N/A</v>
      </c>
      <c r="I1478" s="105" t="s">
        <v>2310</v>
      </c>
      <c r="J1478" s="93" t="s">
        <v>189</v>
      </c>
      <c r="K1478" s="93">
        <v>17</v>
      </c>
      <c r="L1478" s="93" t="e">
        <v>#N/A</v>
      </c>
      <c r="M1478" s="93" t="s">
        <v>2311</v>
      </c>
      <c r="N1478" s="93" t="e">
        <f>VLOOKUP(B1478,'[16]01.수집 카테고리(List)'!$A$2:$H$64,8,FALSE)</f>
        <v>#N/A</v>
      </c>
      <c r="O1478" s="93"/>
    </row>
    <row r="1479" spans="1:15" hidden="1">
      <c r="A1479" s="75" t="str">
        <f t="shared" si="56"/>
        <v>HUMEDIAMARKTTVTVtévé</v>
      </c>
      <c r="B1479" s="94" t="str">
        <f t="shared" si="57"/>
        <v>HU_MEDIAMARKT</v>
      </c>
      <c r="C1479" s="93" t="s">
        <v>442</v>
      </c>
      <c r="D1479" s="93" t="s">
        <v>264</v>
      </c>
      <c r="E1479" s="93" t="s">
        <v>161</v>
      </c>
      <c r="F1479" s="93" t="s">
        <v>161</v>
      </c>
      <c r="G1479" s="93" t="s">
        <v>2952</v>
      </c>
      <c r="H1479" s="93" t="e">
        <v>#N/A</v>
      </c>
      <c r="I1479" s="105" t="s">
        <v>2310</v>
      </c>
      <c r="J1479" s="93" t="s">
        <v>189</v>
      </c>
      <c r="K1479" s="93">
        <v>15</v>
      </c>
      <c r="L1479" s="93">
        <v>28</v>
      </c>
      <c r="M1479" s="93" t="s">
        <v>2311</v>
      </c>
      <c r="N1479" s="93" t="e">
        <f>VLOOKUP(B1479,'[16]01.수집 카테고리(List)'!$A$2:$H$64,8,FALSE)</f>
        <v>#N/A</v>
      </c>
      <c r="O1479" s="93"/>
    </row>
    <row r="1480" spans="1:15" hidden="1">
      <c r="A1480" s="75" t="str">
        <f t="shared" si="56"/>
        <v>HUMEDIAMARKTTVTVtv</v>
      </c>
      <c r="B1480" s="94" t="str">
        <f t="shared" si="57"/>
        <v>HU_MEDIAMARKT</v>
      </c>
      <c r="C1480" s="93" t="s">
        <v>442</v>
      </c>
      <c r="D1480" s="93" t="s">
        <v>264</v>
      </c>
      <c r="E1480" s="93" t="s">
        <v>161</v>
      </c>
      <c r="F1480" s="93" t="s">
        <v>161</v>
      </c>
      <c r="G1480" s="93" t="s">
        <v>2444</v>
      </c>
      <c r="H1480" s="93" t="e">
        <v>#N/A</v>
      </c>
      <c r="I1480" s="105" t="s">
        <v>2310</v>
      </c>
      <c r="J1480" s="93" t="s">
        <v>189</v>
      </c>
      <c r="K1480" s="93">
        <v>28</v>
      </c>
      <c r="L1480" s="93">
        <v>28</v>
      </c>
      <c r="M1480" s="93" t="s">
        <v>2311</v>
      </c>
      <c r="N1480" s="93" t="e">
        <f>VLOOKUP(B1480,'[16]01.수집 카테고리(List)'!$A$2:$H$64,8,FALSE)</f>
        <v>#N/A</v>
      </c>
      <c r="O1480" s="93"/>
    </row>
    <row r="1481" spans="1:15" hidden="1">
      <c r="A1481" s="75" t="str">
        <f t="shared" si="56"/>
        <v>HUMEDIAMARKTTVuhd TVuhd TV</v>
      </c>
      <c r="B1481" s="94" t="str">
        <f t="shared" si="57"/>
        <v>HU_MEDIAMARKT</v>
      </c>
      <c r="C1481" s="93" t="s">
        <v>442</v>
      </c>
      <c r="D1481" s="93" t="s">
        <v>264</v>
      </c>
      <c r="E1481" s="93" t="s">
        <v>161</v>
      </c>
      <c r="F1481" s="93" t="s">
        <v>2399</v>
      </c>
      <c r="G1481" s="93" t="s">
        <v>2399</v>
      </c>
      <c r="H1481" s="93" t="e">
        <v>#N/A</v>
      </c>
      <c r="I1481" s="105" t="s">
        <v>2310</v>
      </c>
      <c r="J1481" s="93" t="s">
        <v>189</v>
      </c>
      <c r="K1481" s="93">
        <v>19</v>
      </c>
      <c r="L1481" s="93">
        <v>19</v>
      </c>
      <c r="M1481" s="93" t="s">
        <v>2311</v>
      </c>
      <c r="N1481" s="93" t="e">
        <f>VLOOKUP(B1481,'[16]01.수집 카테고리(List)'!$A$2:$H$64,8,FALSE)</f>
        <v>#N/A</v>
      </c>
      <c r="O1481" s="93"/>
    </row>
    <row r="1482" spans="1:15" hidden="1">
      <c r="A1482" s="75" t="str">
        <f t="shared" si="56"/>
        <v>HUMEDIAMARKTTVultra hd tvultra hd tv</v>
      </c>
      <c r="B1482" s="94" t="str">
        <f t="shared" si="57"/>
        <v>HU_MEDIAMARKT</v>
      </c>
      <c r="C1482" s="93" t="s">
        <v>442</v>
      </c>
      <c r="D1482" s="93" t="s">
        <v>264</v>
      </c>
      <c r="E1482" s="93" t="s">
        <v>161</v>
      </c>
      <c r="F1482" s="93" t="s">
        <v>2953</v>
      </c>
      <c r="G1482" s="93" t="s">
        <v>2953</v>
      </c>
      <c r="H1482" s="93" t="e">
        <v>#N/A</v>
      </c>
      <c r="I1482" s="105" t="s">
        <v>2310</v>
      </c>
      <c r="J1482" s="93" t="s">
        <v>189</v>
      </c>
      <c r="K1482" s="93">
        <v>11</v>
      </c>
      <c r="L1482" s="93">
        <v>11</v>
      </c>
      <c r="M1482" s="93" t="s">
        <v>2311</v>
      </c>
      <c r="N1482" s="93" t="e">
        <f>VLOOKUP(B1482,'[16]01.수집 카테고리(List)'!$A$2:$H$64,8,FALSE)</f>
        <v>#N/A</v>
      </c>
      <c r="O1482" s="93"/>
    </row>
    <row r="1483" spans="1:15" hidden="1">
      <c r="A1483" s="75" t="str">
        <f t="shared" si="56"/>
        <v>HUMEDIAMARKTWashing Machinefront-loading washing machineelöltöltős mosógép</v>
      </c>
      <c r="B1483" s="94" t="str">
        <f t="shared" si="57"/>
        <v>HU_MEDIAMARKT</v>
      </c>
      <c r="C1483" s="93" t="s">
        <v>442</v>
      </c>
      <c r="D1483" s="93" t="s">
        <v>264</v>
      </c>
      <c r="E1483" s="93" t="s">
        <v>2333</v>
      </c>
      <c r="F1483" s="93" t="s">
        <v>2954</v>
      </c>
      <c r="G1483" s="93" t="s">
        <v>2955</v>
      </c>
      <c r="H1483" s="93" t="e">
        <v>#N/A</v>
      </c>
      <c r="I1483" s="105" t="s">
        <v>2310</v>
      </c>
      <c r="J1483" s="93" t="s">
        <v>189</v>
      </c>
      <c r="K1483" s="93">
        <v>8</v>
      </c>
      <c r="L1483" s="93" t="e">
        <v>#N/A</v>
      </c>
      <c r="M1483" s="93" t="s">
        <v>2311</v>
      </c>
      <c r="N1483" s="93" t="e">
        <f>VLOOKUP(B1483,'[16]01.수집 카테고리(List)'!$A$2:$H$64,8,FALSE)</f>
        <v>#N/A</v>
      </c>
      <c r="O1483" s="93"/>
    </row>
    <row r="1484" spans="1:15" hidden="1">
      <c r="A1484" s="75" t="str">
        <f t="shared" si="56"/>
        <v>HUMEDIAMARKTWashing Machinesteam washer-dryergőz mosó-szárítógép</v>
      </c>
      <c r="B1484" s="94" t="str">
        <f t="shared" si="57"/>
        <v>HU_MEDIAMARKT</v>
      </c>
      <c r="C1484" s="93" t="s">
        <v>442</v>
      </c>
      <c r="D1484" s="93" t="s">
        <v>264</v>
      </c>
      <c r="E1484" s="93" t="s">
        <v>2333</v>
      </c>
      <c r="F1484" s="93" t="s">
        <v>2956</v>
      </c>
      <c r="G1484" s="93" t="s">
        <v>2957</v>
      </c>
      <c r="H1484" s="93" t="e">
        <v>#N/A</v>
      </c>
      <c r="I1484" s="105" t="s">
        <v>2310</v>
      </c>
      <c r="J1484" s="93" t="s">
        <v>189</v>
      </c>
      <c r="K1484" s="93">
        <v>1051</v>
      </c>
      <c r="L1484" s="93" t="e">
        <v>#N/A</v>
      </c>
      <c r="M1484" s="93" t="s">
        <v>2311</v>
      </c>
      <c r="N1484" s="93" t="e">
        <f>VLOOKUP(B1484,'[16]01.수집 카테고리(List)'!$A$2:$H$64,8,FALSE)</f>
        <v>#N/A</v>
      </c>
      <c r="O1484" s="93"/>
    </row>
    <row r="1485" spans="1:15" hidden="1">
      <c r="A1485" s="75" t="str">
        <f t="shared" si="56"/>
        <v>HUMEDIAMARKTWashing Machinesteam washing machinegőzmosógép</v>
      </c>
      <c r="B1485" s="94" t="str">
        <f t="shared" si="57"/>
        <v>HU_MEDIAMARKT</v>
      </c>
      <c r="C1485" s="93" t="s">
        <v>442</v>
      </c>
      <c r="D1485" s="93" t="s">
        <v>264</v>
      </c>
      <c r="E1485" s="93" t="s">
        <v>2333</v>
      </c>
      <c r="F1485" s="93" t="s">
        <v>2958</v>
      </c>
      <c r="G1485" s="93" t="s">
        <v>2959</v>
      </c>
      <c r="H1485" s="93" t="e">
        <v>#N/A</v>
      </c>
      <c r="I1485" s="105" t="s">
        <v>2310</v>
      </c>
      <c r="J1485" s="93" t="s">
        <v>189</v>
      </c>
      <c r="K1485" s="93">
        <v>1</v>
      </c>
      <c r="L1485" s="93" t="e">
        <v>#N/A</v>
      </c>
      <c r="M1485" s="93" t="s">
        <v>2311</v>
      </c>
      <c r="N1485" s="93" t="e">
        <f>VLOOKUP(B1485,'[16]01.수집 카테고리(List)'!$A$2:$H$64,8,FALSE)</f>
        <v>#N/A</v>
      </c>
      <c r="O1485" s="93"/>
    </row>
    <row r="1486" spans="1:15" hidden="1">
      <c r="A1486" s="75" t="str">
        <f t="shared" si="56"/>
        <v>HUMEDIAMARKTWashing Machineslim washing machinekeskeny mosógép</v>
      </c>
      <c r="B1486" s="94" t="str">
        <f t="shared" si="57"/>
        <v>HU_MEDIAMARKT</v>
      </c>
      <c r="C1486" s="93" t="s">
        <v>442</v>
      </c>
      <c r="D1486" s="93" t="s">
        <v>264</v>
      </c>
      <c r="E1486" s="93" t="s">
        <v>2333</v>
      </c>
      <c r="F1486" s="93" t="s">
        <v>2960</v>
      </c>
      <c r="G1486" s="93" t="s">
        <v>2961</v>
      </c>
      <c r="H1486" s="93" t="e">
        <v>#N/A</v>
      </c>
      <c r="I1486" s="105" t="s">
        <v>2310</v>
      </c>
      <c r="J1486" s="93" t="s">
        <v>189</v>
      </c>
      <c r="K1486" s="93">
        <v>4</v>
      </c>
      <c r="L1486" s="93" t="e">
        <v>#N/A</v>
      </c>
      <c r="M1486" s="93" t="s">
        <v>2311</v>
      </c>
      <c r="N1486" s="93" t="e">
        <f>VLOOKUP(B1486,'[16]01.수집 카테고리(List)'!$A$2:$H$64,8,FALSE)</f>
        <v>#N/A</v>
      </c>
      <c r="O1486" s="93"/>
    </row>
    <row r="1487" spans="1:15" hidden="1">
      <c r="A1487" s="75" t="str">
        <f t="shared" si="56"/>
        <v>HUMEDIAMARKTWashing Machinewasher-dryer mosó szárítógép</v>
      </c>
      <c r="B1487" s="94" t="str">
        <f t="shared" si="57"/>
        <v>HU_MEDIAMARKT</v>
      </c>
      <c r="C1487" s="93" t="s">
        <v>442</v>
      </c>
      <c r="D1487" s="93" t="s">
        <v>264</v>
      </c>
      <c r="E1487" s="93" t="s">
        <v>2333</v>
      </c>
      <c r="F1487" s="93" t="s">
        <v>2962</v>
      </c>
      <c r="G1487" s="93" t="s">
        <v>2963</v>
      </c>
      <c r="H1487" s="93" t="e">
        <v>#N/A</v>
      </c>
      <c r="I1487" s="105" t="s">
        <v>2310</v>
      </c>
      <c r="J1487" s="93" t="s">
        <v>189</v>
      </c>
      <c r="K1487" s="93">
        <v>14</v>
      </c>
      <c r="L1487" s="93" t="e">
        <v>#N/A</v>
      </c>
      <c r="M1487" s="93" t="s">
        <v>2311</v>
      </c>
      <c r="N1487" s="93" t="e">
        <f>VLOOKUP(B1487,'[16]01.수집 카테고리(List)'!$A$2:$H$64,8,FALSE)</f>
        <v>#N/A</v>
      </c>
      <c r="O1487" s="93"/>
    </row>
    <row r="1488" spans="1:15" hidden="1">
      <c r="A1488" s="75" t="str">
        <f t="shared" si="56"/>
        <v>HUMEDIAMARKTWashing Machinewashing machinemosógép</v>
      </c>
      <c r="B1488" s="94" t="str">
        <f t="shared" si="57"/>
        <v>HU_MEDIAMARKT</v>
      </c>
      <c r="C1488" s="93" t="s">
        <v>442</v>
      </c>
      <c r="D1488" s="93" t="s">
        <v>264</v>
      </c>
      <c r="E1488" s="93" t="s">
        <v>2333</v>
      </c>
      <c r="F1488" s="93" t="s">
        <v>2340</v>
      </c>
      <c r="G1488" s="93" t="s">
        <v>2964</v>
      </c>
      <c r="H1488" s="93" t="e">
        <v>#N/A</v>
      </c>
      <c r="I1488" s="105" t="s">
        <v>2310</v>
      </c>
      <c r="J1488" s="93" t="s">
        <v>189</v>
      </c>
      <c r="K1488" s="93">
        <v>48</v>
      </c>
      <c r="L1488" s="93" t="e">
        <v>#N/A</v>
      </c>
      <c r="M1488" s="93" t="s">
        <v>2311</v>
      </c>
      <c r="N1488" s="93" t="e">
        <f>VLOOKUP(B1488,'[16]01.수집 카테고리(List)'!$A$2:$H$64,8,FALSE)</f>
        <v>#N/A</v>
      </c>
      <c r="O1488" s="93"/>
    </row>
    <row r="1489" spans="1:15" hidden="1">
      <c r="A1489" s="75" t="str">
        <f t="shared" si="56"/>
        <v>IDHARTONOAir Conditionerair conditionerAC</v>
      </c>
      <c r="B1489" s="94" t="str">
        <f t="shared" si="57"/>
        <v>ID_HARTONO</v>
      </c>
      <c r="C1489" s="93" t="s">
        <v>382</v>
      </c>
      <c r="D1489" s="93" t="s">
        <v>383</v>
      </c>
      <c r="E1489" s="93" t="s">
        <v>2346</v>
      </c>
      <c r="F1489" s="93" t="s">
        <v>2347</v>
      </c>
      <c r="G1489" s="93" t="s">
        <v>2492</v>
      </c>
      <c r="H1489" s="93" t="e">
        <v>#N/A</v>
      </c>
      <c r="I1489" s="105" t="s">
        <v>2310</v>
      </c>
      <c r="J1489" s="93" t="s">
        <v>189</v>
      </c>
      <c r="K1489" s="93">
        <v>4526</v>
      </c>
      <c r="L1489" s="93" t="e">
        <v>#N/A</v>
      </c>
      <c r="M1489" s="93" t="s">
        <v>2311</v>
      </c>
      <c r="N1489" s="93" t="e">
        <f>VLOOKUP(B1489,'[16]01.수집 카테고리(List)'!$A$2:$H$64,8,FALSE)</f>
        <v>#N/A</v>
      </c>
      <c r="O1489" s="93"/>
    </row>
    <row r="1490" spans="1:15" hidden="1">
      <c r="A1490" s="75" t="str">
        <f t="shared" si="56"/>
        <v>IDHARTONOAir Conditionerfloor standing air conditionerAC floor standing</v>
      </c>
      <c r="B1490" s="94" t="str">
        <f t="shared" si="57"/>
        <v>ID_HARTONO</v>
      </c>
      <c r="C1490" s="93" t="s">
        <v>382</v>
      </c>
      <c r="D1490" s="93" t="s">
        <v>383</v>
      </c>
      <c r="E1490" s="93" t="s">
        <v>2346</v>
      </c>
      <c r="F1490" s="93" t="s">
        <v>2970</v>
      </c>
      <c r="G1490" s="93" t="s">
        <v>2971</v>
      </c>
      <c r="H1490" s="93" t="e">
        <v>#N/A</v>
      </c>
      <c r="I1490" s="105" t="s">
        <v>2310</v>
      </c>
      <c r="J1490" s="93" t="s">
        <v>189</v>
      </c>
      <c r="K1490" s="93">
        <v>4578</v>
      </c>
      <c r="L1490" s="93" t="e">
        <v>#N/A</v>
      </c>
      <c r="M1490" s="93" t="s">
        <v>2311</v>
      </c>
      <c r="N1490" s="93" t="e">
        <f>VLOOKUP(B1490,'[16]01.수집 카테고리(List)'!$A$2:$H$64,8,FALSE)</f>
        <v>#N/A</v>
      </c>
      <c r="O1490" s="93"/>
    </row>
    <row r="1491" spans="1:15" hidden="1">
      <c r="A1491" s="75" t="str">
        <f t="shared" si="56"/>
        <v>IDHARTONOAir Conditionerinverter air conditionerAC inverter</v>
      </c>
      <c r="B1491" s="94" t="str">
        <f t="shared" si="57"/>
        <v>ID_HARTONO</v>
      </c>
      <c r="C1491" s="93" t="s">
        <v>382</v>
      </c>
      <c r="D1491" s="93" t="s">
        <v>383</v>
      </c>
      <c r="E1491" s="93" t="s">
        <v>2346</v>
      </c>
      <c r="F1491" s="93" t="s">
        <v>2348</v>
      </c>
      <c r="G1491" s="93" t="s">
        <v>2972</v>
      </c>
      <c r="H1491" s="93" t="e">
        <v>#N/A</v>
      </c>
      <c r="I1491" s="105" t="s">
        <v>2310</v>
      </c>
      <c r="J1491" s="93" t="s">
        <v>189</v>
      </c>
      <c r="K1491" s="93">
        <v>4602</v>
      </c>
      <c r="L1491" s="93" t="e">
        <v>#N/A</v>
      </c>
      <c r="M1491" s="93" t="s">
        <v>2311</v>
      </c>
      <c r="N1491" s="93" t="e">
        <f>VLOOKUP(B1491,'[16]01.수집 카테고리(List)'!$A$2:$H$64,8,FALSE)</f>
        <v>#N/A</v>
      </c>
      <c r="O1491" s="93"/>
    </row>
    <row r="1492" spans="1:15" hidden="1">
      <c r="A1492" s="75" t="str">
        <f t="shared" si="56"/>
        <v>IDHARTONOBluetooth Speakerspeaker bluetoothspeaker bluetooth</v>
      </c>
      <c r="B1492" s="94" t="str">
        <f t="shared" si="57"/>
        <v>ID_HARTONO</v>
      </c>
      <c r="C1492" s="93" t="s">
        <v>382</v>
      </c>
      <c r="D1492" s="93" t="s">
        <v>383</v>
      </c>
      <c r="E1492" s="93" t="s">
        <v>2307</v>
      </c>
      <c r="F1492" s="93" t="s">
        <v>2973</v>
      </c>
      <c r="G1492" s="93" t="s">
        <v>2973</v>
      </c>
      <c r="H1492" s="93" t="e">
        <v>#N/A</v>
      </c>
      <c r="I1492" s="105" t="s">
        <v>2310</v>
      </c>
      <c r="J1492" s="93" t="s">
        <v>189</v>
      </c>
      <c r="K1492" s="93">
        <v>719</v>
      </c>
      <c r="L1492" s="93">
        <v>719</v>
      </c>
      <c r="M1492" s="93" t="s">
        <v>2311</v>
      </c>
      <c r="N1492" s="93" t="e">
        <f>VLOOKUP(B1492,'[16]01.수집 카테고리(List)'!$A$2:$H$64,8,FALSE)</f>
        <v>#N/A</v>
      </c>
      <c r="O1492" s="93"/>
    </row>
    <row r="1493" spans="1:15" hidden="1">
      <c r="A1493" s="75" t="str">
        <f t="shared" si="56"/>
        <v>IDHARTONOBluetooth Speakermini speakerspeaker mini</v>
      </c>
      <c r="B1493" s="94" t="str">
        <f t="shared" si="57"/>
        <v>ID_HARTONO</v>
      </c>
      <c r="C1493" s="93" t="s">
        <v>382</v>
      </c>
      <c r="D1493" s="93" t="s">
        <v>383</v>
      </c>
      <c r="E1493" s="93" t="s">
        <v>2307</v>
      </c>
      <c r="F1493" s="93" t="s">
        <v>2974</v>
      </c>
      <c r="G1493" s="93" t="s">
        <v>2975</v>
      </c>
      <c r="H1493" s="93" t="e">
        <v>#N/A</v>
      </c>
      <c r="I1493" s="105" t="s">
        <v>2310</v>
      </c>
      <c r="J1493" s="93" t="s">
        <v>189</v>
      </c>
      <c r="K1493" s="93">
        <v>721</v>
      </c>
      <c r="L1493" s="93" t="e">
        <v>#N/A</v>
      </c>
      <c r="M1493" s="93" t="s">
        <v>2311</v>
      </c>
      <c r="N1493" s="93" t="e">
        <f>VLOOKUP(B1493,'[16]01.수집 카테고리(List)'!$A$2:$H$64,8,FALSE)</f>
        <v>#N/A</v>
      </c>
      <c r="O1493" s="93"/>
    </row>
    <row r="1494" spans="1:15" hidden="1">
      <c r="A1494" s="75" t="str">
        <f t="shared" si="56"/>
        <v>IDHARTONOBluetooth Speakerwireless speakerspeaker nirkabel</v>
      </c>
      <c r="B1494" s="94" t="str">
        <f t="shared" si="57"/>
        <v>ID_HARTONO</v>
      </c>
      <c r="C1494" s="93" t="s">
        <v>382</v>
      </c>
      <c r="D1494" s="93" t="s">
        <v>383</v>
      </c>
      <c r="E1494" s="93" t="s">
        <v>2307</v>
      </c>
      <c r="F1494" s="93" t="s">
        <v>2877</v>
      </c>
      <c r="G1494" s="93" t="s">
        <v>2976</v>
      </c>
      <c r="H1494" s="93" t="e">
        <v>#N/A</v>
      </c>
      <c r="I1494" s="105" t="s">
        <v>2310</v>
      </c>
      <c r="J1494" s="93" t="s">
        <v>189</v>
      </c>
      <c r="K1494" s="93">
        <v>718</v>
      </c>
      <c r="L1494" s="93" t="e">
        <v>#N/A</v>
      </c>
      <c r="M1494" s="93" t="s">
        <v>2311</v>
      </c>
      <c r="N1494" s="93" t="e">
        <f>VLOOKUP(B1494,'[16]01.수집 카테고리(List)'!$A$2:$H$64,8,FALSE)</f>
        <v>#N/A</v>
      </c>
      <c r="O1494" s="93"/>
    </row>
    <row r="1495" spans="1:15" hidden="1">
      <c r="A1495" s="75" t="str">
        <f t="shared" si="56"/>
        <v>IDHARTONOBluetooth Speakerportable speakerspeaker portabel</v>
      </c>
      <c r="B1495" s="94" t="str">
        <f t="shared" si="57"/>
        <v>ID_HARTONO</v>
      </c>
      <c r="C1495" s="93" t="s">
        <v>382</v>
      </c>
      <c r="D1495" s="93" t="s">
        <v>383</v>
      </c>
      <c r="E1495" s="93" t="s">
        <v>2307</v>
      </c>
      <c r="F1495" s="93" t="s">
        <v>2875</v>
      </c>
      <c r="G1495" s="93" t="s">
        <v>2977</v>
      </c>
      <c r="H1495" s="93" t="e">
        <v>#N/A</v>
      </c>
      <c r="I1495" s="105" t="s">
        <v>2310</v>
      </c>
      <c r="J1495" s="93" t="s">
        <v>189</v>
      </c>
      <c r="K1495" s="93">
        <v>726</v>
      </c>
      <c r="L1495" s="93" t="e">
        <v>#N/A</v>
      </c>
      <c r="M1495" s="93" t="s">
        <v>2311</v>
      </c>
      <c r="N1495" s="93" t="e">
        <f>VLOOKUP(B1495,'[16]01.수집 카테고리(List)'!$A$2:$H$64,8,FALSE)</f>
        <v>#N/A</v>
      </c>
      <c r="O1495" s="93"/>
    </row>
    <row r="1496" spans="1:15" hidden="1">
      <c r="A1496" s="75" t="str">
        <f t="shared" si="56"/>
        <v>IDHARTONOBluetooth Speakerspeaker portablespeaker portable </v>
      </c>
      <c r="B1496" s="94" t="str">
        <f t="shared" si="57"/>
        <v>ID_HARTONO</v>
      </c>
      <c r="C1496" s="93" t="s">
        <v>382</v>
      </c>
      <c r="D1496" s="93" t="s">
        <v>383</v>
      </c>
      <c r="E1496" s="93" t="s">
        <v>2307</v>
      </c>
      <c r="F1496" s="93" t="s">
        <v>2978</v>
      </c>
      <c r="G1496" s="93" t="s">
        <v>2979</v>
      </c>
      <c r="H1496" s="93" t="e">
        <v>#N/A</v>
      </c>
      <c r="I1496" s="105" t="s">
        <v>2310</v>
      </c>
      <c r="J1496" s="93" t="s">
        <v>189</v>
      </c>
      <c r="K1496" s="93" t="e">
        <v>#N/A</v>
      </c>
      <c r="L1496" s="93">
        <v>106</v>
      </c>
      <c r="M1496" s="93" t="s">
        <v>2351</v>
      </c>
      <c r="N1496" s="93" t="e">
        <f>VLOOKUP(B1496,'[16]01.수집 카테고리(List)'!$A$2:$H$64,8,FALSE)</f>
        <v>#N/A</v>
      </c>
      <c r="O1496" s="93"/>
    </row>
    <row r="1497" spans="1:15" hidden="1">
      <c r="A1497" s="75" t="str">
        <f t="shared" si="56"/>
        <v>IDHARTONOMONITOR4k monitor4k monitor</v>
      </c>
      <c r="B1497" s="94" t="str">
        <f t="shared" si="57"/>
        <v>ID_HARTONO</v>
      </c>
      <c r="C1497" s="93" t="s">
        <v>382</v>
      </c>
      <c r="D1497" s="93" t="s">
        <v>383</v>
      </c>
      <c r="E1497" s="93" t="s">
        <v>2384</v>
      </c>
      <c r="F1497" s="93" t="s">
        <v>2321</v>
      </c>
      <c r="G1497" s="93" t="s">
        <v>2321</v>
      </c>
      <c r="H1497" s="93" t="e">
        <v>#N/A</v>
      </c>
      <c r="I1497" s="105" t="s">
        <v>2310</v>
      </c>
      <c r="J1497" s="93" t="s">
        <v>189</v>
      </c>
      <c r="K1497" s="93">
        <v>13</v>
      </c>
      <c r="L1497" s="93">
        <v>13</v>
      </c>
      <c r="M1497" s="93" t="s">
        <v>2311</v>
      </c>
      <c r="N1497" s="93" t="e">
        <f>VLOOKUP(B1497,'[16]01.수집 카테고리(List)'!$A$2:$H$64,8,FALSE)</f>
        <v>#N/A</v>
      </c>
      <c r="O1497" s="93"/>
    </row>
    <row r="1498" spans="1:15" hidden="1">
      <c r="A1498" s="75" t="str">
        <f t="shared" si="56"/>
        <v>IDHARTONOMONITORgaming monitorgaming monitor</v>
      </c>
      <c r="B1498" s="94" t="str">
        <f t="shared" si="57"/>
        <v>ID_HARTONO</v>
      </c>
      <c r="C1498" s="93" t="s">
        <v>382</v>
      </c>
      <c r="D1498" s="93" t="s">
        <v>383</v>
      </c>
      <c r="E1498" s="93" t="s">
        <v>2384</v>
      </c>
      <c r="F1498" s="93" t="s">
        <v>2322</v>
      </c>
      <c r="G1498" s="93" t="s">
        <v>2322</v>
      </c>
      <c r="H1498" s="93" t="e">
        <v>#N/A</v>
      </c>
      <c r="I1498" s="105" t="s">
        <v>2310</v>
      </c>
      <c r="J1498" s="93" t="s">
        <v>189</v>
      </c>
      <c r="K1498" s="93">
        <v>211</v>
      </c>
      <c r="L1498" s="93">
        <v>211</v>
      </c>
      <c r="M1498" s="93" t="s">
        <v>2311</v>
      </c>
      <c r="N1498" s="93" t="e">
        <f>VLOOKUP(B1498,'[16]01.수집 카테고리(List)'!$A$2:$H$64,8,FALSE)</f>
        <v>#N/A</v>
      </c>
      <c r="O1498" s="93"/>
    </row>
    <row r="1499" spans="1:15" hidden="1">
      <c r="A1499" s="75" t="str">
        <f t="shared" si="56"/>
        <v>IDHARTONOMONITORmonitormonitor</v>
      </c>
      <c r="B1499" s="94" t="str">
        <f t="shared" si="57"/>
        <v>ID_HARTONO</v>
      </c>
      <c r="C1499" s="93" t="s">
        <v>382</v>
      </c>
      <c r="D1499" s="93" t="s">
        <v>383</v>
      </c>
      <c r="E1499" s="93" t="s">
        <v>2384</v>
      </c>
      <c r="F1499" s="93" t="s">
        <v>2323</v>
      </c>
      <c r="G1499" s="93" t="s">
        <v>2323</v>
      </c>
      <c r="H1499" s="93" t="e">
        <v>#N/A</v>
      </c>
      <c r="I1499" s="105" t="s">
        <v>2310</v>
      </c>
      <c r="J1499" s="93" t="s">
        <v>189</v>
      </c>
      <c r="K1499" s="93">
        <v>379</v>
      </c>
      <c r="L1499" s="93">
        <v>379</v>
      </c>
      <c r="M1499" s="93" t="s">
        <v>2311</v>
      </c>
      <c r="N1499" s="93" t="e">
        <f>VLOOKUP(B1499,'[16]01.수집 카테고리(List)'!$A$2:$H$64,8,FALSE)</f>
        <v>#N/A</v>
      </c>
      <c r="O1499" s="93"/>
    </row>
    <row r="1500" spans="1:15" hidden="1">
      <c r="A1500" s="75" t="str">
        <f t="shared" si="56"/>
        <v>IDHARTONOMONITORuhd monitoruhd monitor</v>
      </c>
      <c r="B1500" s="94" t="str">
        <f t="shared" si="57"/>
        <v>ID_HARTONO</v>
      </c>
      <c r="C1500" s="93" t="s">
        <v>382</v>
      </c>
      <c r="D1500" s="93" t="s">
        <v>383</v>
      </c>
      <c r="E1500" s="93" t="s">
        <v>2384</v>
      </c>
      <c r="F1500" s="93" t="s">
        <v>2324</v>
      </c>
      <c r="G1500" s="93" t="s">
        <v>2324</v>
      </c>
      <c r="H1500" s="93" t="e">
        <v>#N/A</v>
      </c>
      <c r="I1500" s="105" t="s">
        <v>2310</v>
      </c>
      <c r="J1500" s="93" t="s">
        <v>189</v>
      </c>
      <c r="K1500" s="93">
        <v>31</v>
      </c>
      <c r="L1500" s="93">
        <v>31</v>
      </c>
      <c r="M1500" s="93" t="s">
        <v>2311</v>
      </c>
      <c r="N1500" s="93" t="e">
        <f>VLOOKUP(B1500,'[16]01.수집 카테고리(List)'!$A$2:$H$64,8,FALSE)</f>
        <v>#N/A</v>
      </c>
      <c r="O1500" s="93"/>
    </row>
    <row r="1501" spans="1:15" hidden="1">
      <c r="A1501" s="75" t="str">
        <f t="shared" si="56"/>
        <v>IDHARTONOMONITORultrawide monitorultrawide monitor</v>
      </c>
      <c r="B1501" s="94" t="str">
        <f t="shared" si="57"/>
        <v>ID_HARTONO</v>
      </c>
      <c r="C1501" s="93" t="s">
        <v>382</v>
      </c>
      <c r="D1501" s="93" t="s">
        <v>383</v>
      </c>
      <c r="E1501" s="93" t="s">
        <v>2384</v>
      </c>
      <c r="F1501" s="93" t="s">
        <v>2325</v>
      </c>
      <c r="G1501" s="93" t="s">
        <v>2325</v>
      </c>
      <c r="H1501" s="93" t="e">
        <v>#N/A</v>
      </c>
      <c r="I1501" s="105" t="s">
        <v>2310</v>
      </c>
      <c r="J1501" s="93" t="s">
        <v>189</v>
      </c>
      <c r="K1501" s="93">
        <v>4</v>
      </c>
      <c r="L1501" s="93">
        <v>4</v>
      </c>
      <c r="M1501" s="93" t="s">
        <v>2311</v>
      </c>
      <c r="N1501" s="93" t="e">
        <f>VLOOKUP(B1501,'[16]01.수집 카테고리(List)'!$A$2:$H$64,8,FALSE)</f>
        <v>#N/A</v>
      </c>
      <c r="O1501" s="93"/>
    </row>
    <row r="1502" spans="1:15" hidden="1">
      <c r="A1502" s="75" t="str">
        <f t="shared" si="56"/>
        <v>IDHARTONORefrigeratorrefrigeratorkulkas</v>
      </c>
      <c r="B1502" s="94" t="str">
        <f t="shared" si="57"/>
        <v>ID_HARTONO</v>
      </c>
      <c r="C1502" s="93" t="s">
        <v>382</v>
      </c>
      <c r="D1502" s="93" t="s">
        <v>383</v>
      </c>
      <c r="E1502" s="93" t="s">
        <v>2326</v>
      </c>
      <c r="F1502" s="93" t="s">
        <v>2329</v>
      </c>
      <c r="G1502" s="93" t="s">
        <v>2980</v>
      </c>
      <c r="H1502" s="93" t="e">
        <v>#N/A</v>
      </c>
      <c r="I1502" s="105" t="s">
        <v>2310</v>
      </c>
      <c r="J1502" s="93" t="s">
        <v>189</v>
      </c>
      <c r="K1502" s="93">
        <v>151</v>
      </c>
      <c r="L1502" s="93" t="e">
        <v>#N/A</v>
      </c>
      <c r="M1502" s="93" t="s">
        <v>2311</v>
      </c>
      <c r="N1502" s="93" t="e">
        <f>VLOOKUP(B1502,'[16]01.수집 카테고리(List)'!$A$2:$H$64,8,FALSE)</f>
        <v>#N/A</v>
      </c>
      <c r="O1502" s="93"/>
    </row>
    <row r="1503" spans="1:15" hidden="1">
      <c r="A1503" s="75" t="str">
        <f t="shared" si="56"/>
        <v>IDHARTONORefrigerator2 doors refrigeratorkulkas 2 pintu</v>
      </c>
      <c r="B1503" s="94" t="str">
        <f t="shared" si="57"/>
        <v>ID_HARTONO</v>
      </c>
      <c r="C1503" s="93" t="s">
        <v>382</v>
      </c>
      <c r="D1503" s="93" t="s">
        <v>383</v>
      </c>
      <c r="E1503" s="93" t="s">
        <v>2326</v>
      </c>
      <c r="F1503" s="93" t="s">
        <v>2981</v>
      </c>
      <c r="G1503" s="93" t="s">
        <v>2982</v>
      </c>
      <c r="H1503" s="93" t="e">
        <v>#N/A</v>
      </c>
      <c r="I1503" s="105" t="s">
        <v>2310</v>
      </c>
      <c r="J1503" s="93" t="s">
        <v>189</v>
      </c>
      <c r="K1503" s="93">
        <v>5786</v>
      </c>
      <c r="L1503" s="93" t="e">
        <v>#N/A</v>
      </c>
      <c r="M1503" s="93" t="s">
        <v>2311</v>
      </c>
      <c r="N1503" s="93" t="e">
        <f>VLOOKUP(B1503,'[16]01.수집 카테고리(List)'!$A$2:$H$64,8,FALSE)</f>
        <v>#N/A</v>
      </c>
      <c r="O1503" s="93"/>
    </row>
    <row r="1504" spans="1:15" hidden="1">
      <c r="A1504" s="75" t="str">
        <f t="shared" si="56"/>
        <v>IDHARTONORefrigeratormulti door refrigeratorkulkas multi door</v>
      </c>
      <c r="B1504" s="94" t="str">
        <f t="shared" si="57"/>
        <v>ID_HARTONO</v>
      </c>
      <c r="C1504" s="93" t="s">
        <v>382</v>
      </c>
      <c r="D1504" s="93" t="s">
        <v>383</v>
      </c>
      <c r="E1504" s="93" t="s">
        <v>2326</v>
      </c>
      <c r="F1504" s="93" t="s">
        <v>2983</v>
      </c>
      <c r="G1504" s="93" t="s">
        <v>2984</v>
      </c>
      <c r="H1504" s="93" t="e">
        <v>#N/A</v>
      </c>
      <c r="I1504" s="105" t="s">
        <v>2310</v>
      </c>
      <c r="J1504" s="93" t="s">
        <v>189</v>
      </c>
      <c r="K1504" s="93">
        <v>151</v>
      </c>
      <c r="L1504" s="93" t="e">
        <v>#N/A</v>
      </c>
      <c r="M1504" s="93" t="s">
        <v>2311</v>
      </c>
      <c r="N1504" s="93" t="e">
        <f>VLOOKUP(B1504,'[16]01.수집 카테고리(List)'!$A$2:$H$64,8,FALSE)</f>
        <v>#N/A</v>
      </c>
      <c r="O1504" s="93"/>
    </row>
    <row r="1505" spans="1:15" hidden="1">
      <c r="A1505" s="75" t="str">
        <f t="shared" si="56"/>
        <v>IDHARTONORefrigeratorside by side refrigeratorkulkas side by side</v>
      </c>
      <c r="B1505" s="94" t="str">
        <f t="shared" si="57"/>
        <v>ID_HARTONO</v>
      </c>
      <c r="C1505" s="93" t="s">
        <v>382</v>
      </c>
      <c r="D1505" s="93" t="s">
        <v>383</v>
      </c>
      <c r="E1505" s="93" t="s">
        <v>2326</v>
      </c>
      <c r="F1505" s="93" t="s">
        <v>2330</v>
      </c>
      <c r="G1505" s="93" t="s">
        <v>2985</v>
      </c>
      <c r="H1505" s="93" t="e">
        <v>#N/A</v>
      </c>
      <c r="I1505" s="105" t="s">
        <v>2310</v>
      </c>
      <c r="J1505" s="93" t="s">
        <v>189</v>
      </c>
      <c r="K1505" s="93">
        <v>150</v>
      </c>
      <c r="L1505" s="93" t="e">
        <v>#N/A</v>
      </c>
      <c r="M1505" s="93" t="s">
        <v>2311</v>
      </c>
      <c r="N1505" s="93" t="e">
        <f>VLOOKUP(B1505,'[16]01.수집 카테고리(List)'!$A$2:$H$64,8,FALSE)</f>
        <v>#N/A</v>
      </c>
      <c r="O1505" s="93"/>
    </row>
    <row r="1506" spans="1:15" hidden="1">
      <c r="A1506" s="75" t="str">
        <f t="shared" si="56"/>
        <v>IDHARTONOSOUNDBARsound barsound bar</v>
      </c>
      <c r="B1506" s="94" t="str">
        <f t="shared" si="57"/>
        <v>ID_HARTONO</v>
      </c>
      <c r="C1506" s="93" t="s">
        <v>382</v>
      </c>
      <c r="D1506" s="93" t="s">
        <v>383</v>
      </c>
      <c r="E1506" s="93" t="s">
        <v>165</v>
      </c>
      <c r="F1506" s="93" t="s">
        <v>2529</v>
      </c>
      <c r="G1506" s="93" t="s">
        <v>2529</v>
      </c>
      <c r="H1506" s="93" t="e">
        <v>#N/A</v>
      </c>
      <c r="I1506" s="105" t="s">
        <v>2310</v>
      </c>
      <c r="J1506" s="93" t="s">
        <v>189</v>
      </c>
      <c r="K1506" s="93">
        <v>344</v>
      </c>
      <c r="L1506" s="93">
        <v>344</v>
      </c>
      <c r="M1506" s="93" t="s">
        <v>2311</v>
      </c>
      <c r="N1506" s="93" t="e">
        <f>VLOOKUP(B1506,'[16]01.수집 카테고리(List)'!$A$2:$H$64,8,FALSE)</f>
        <v>#N/A</v>
      </c>
      <c r="O1506" s="93"/>
    </row>
    <row r="1507" spans="1:15" hidden="1">
      <c r="A1507" s="75" t="str">
        <f t="shared" si="56"/>
        <v>IDHARTONOSOUNDBARsound bar tvsound bar tv</v>
      </c>
      <c r="B1507" s="94" t="str">
        <f t="shared" si="57"/>
        <v>ID_HARTONO</v>
      </c>
      <c r="C1507" s="93" t="s">
        <v>382</v>
      </c>
      <c r="D1507" s="93" t="s">
        <v>383</v>
      </c>
      <c r="E1507" s="93" t="s">
        <v>165</v>
      </c>
      <c r="F1507" s="93" t="s">
        <v>2986</v>
      </c>
      <c r="G1507" s="93" t="s">
        <v>2986</v>
      </c>
      <c r="H1507" s="93" t="e">
        <v>#N/A</v>
      </c>
      <c r="I1507" s="105" t="s">
        <v>2310</v>
      </c>
      <c r="J1507" s="93" t="s">
        <v>189</v>
      </c>
      <c r="K1507" s="93">
        <v>1919</v>
      </c>
      <c r="L1507" s="93">
        <v>1919</v>
      </c>
      <c r="M1507" s="93" t="s">
        <v>2311</v>
      </c>
      <c r="N1507" s="93" t="e">
        <f>VLOOKUP(B1507,'[16]01.수집 카테고리(List)'!$A$2:$H$64,8,FALSE)</f>
        <v>#N/A</v>
      </c>
      <c r="O1507" s="93"/>
    </row>
    <row r="1508" spans="1:15" hidden="1">
      <c r="A1508" s="75" t="str">
        <f t="shared" si="56"/>
        <v>IDHARTONOSOUNDBARsoundbarsoundbar</v>
      </c>
      <c r="B1508" s="94" t="str">
        <f t="shared" si="57"/>
        <v>ID_HARTONO</v>
      </c>
      <c r="C1508" s="93" t="s">
        <v>382</v>
      </c>
      <c r="D1508" s="93" t="s">
        <v>383</v>
      </c>
      <c r="E1508" s="93" t="s">
        <v>165</v>
      </c>
      <c r="F1508" s="93" t="s">
        <v>2987</v>
      </c>
      <c r="G1508" s="93" t="s">
        <v>2987</v>
      </c>
      <c r="H1508" s="93" t="e">
        <v>#N/A</v>
      </c>
      <c r="I1508" s="105" t="s">
        <v>2310</v>
      </c>
      <c r="J1508" s="93" t="s">
        <v>189</v>
      </c>
      <c r="K1508" s="93">
        <v>344</v>
      </c>
      <c r="L1508" s="93">
        <v>344</v>
      </c>
      <c r="M1508" s="93" t="s">
        <v>2311</v>
      </c>
      <c r="N1508" s="93" t="e">
        <f>VLOOKUP(B1508,'[16]01.수집 카테고리(List)'!$A$2:$H$64,8,FALSE)</f>
        <v>#N/A</v>
      </c>
      <c r="O1508" s="93"/>
    </row>
    <row r="1509" spans="1:15" hidden="1">
      <c r="A1509" s="75" t="str">
        <f t="shared" si="56"/>
        <v>IDHARTONOSOUNDBARspeaker sound barspeaker sound bar</v>
      </c>
      <c r="B1509" s="94" t="str">
        <f t="shared" si="57"/>
        <v>ID_HARTONO</v>
      </c>
      <c r="C1509" s="93" t="s">
        <v>382</v>
      </c>
      <c r="D1509" s="93" t="s">
        <v>383</v>
      </c>
      <c r="E1509" s="93" t="s">
        <v>165</v>
      </c>
      <c r="F1509" s="93" t="s">
        <v>2988</v>
      </c>
      <c r="G1509" s="93" t="s">
        <v>2988</v>
      </c>
      <c r="H1509" s="93" t="e">
        <v>#N/A</v>
      </c>
      <c r="I1509" s="105" t="s">
        <v>2310</v>
      </c>
      <c r="J1509" s="93" t="s">
        <v>189</v>
      </c>
      <c r="K1509" s="93">
        <v>1000</v>
      </c>
      <c r="L1509" s="93">
        <v>1000</v>
      </c>
      <c r="M1509" s="93" t="s">
        <v>2311</v>
      </c>
      <c r="N1509" s="93" t="e">
        <f>VLOOKUP(B1509,'[16]01.수집 카테고리(List)'!$A$2:$H$64,8,FALSE)</f>
        <v>#N/A</v>
      </c>
      <c r="O1509" s="93"/>
    </row>
    <row r="1510" spans="1:15" hidden="1">
      <c r="A1510" s="75" t="str">
        <f t="shared" si="56"/>
        <v>IDHARTONOSOUNDBARspeaker soundbarspeaker soundbar</v>
      </c>
      <c r="B1510" s="94" t="str">
        <f t="shared" si="57"/>
        <v>ID_HARTONO</v>
      </c>
      <c r="C1510" s="93" t="s">
        <v>382</v>
      </c>
      <c r="D1510" s="93" t="s">
        <v>383</v>
      </c>
      <c r="E1510" s="93" t="s">
        <v>165</v>
      </c>
      <c r="F1510" s="93" t="s">
        <v>2989</v>
      </c>
      <c r="G1510" s="93" t="s">
        <v>2989</v>
      </c>
      <c r="H1510" s="93" t="e">
        <v>#N/A</v>
      </c>
      <c r="I1510" s="105" t="s">
        <v>2310</v>
      </c>
      <c r="J1510" s="93" t="s">
        <v>189</v>
      </c>
      <c r="K1510" s="93">
        <v>1006</v>
      </c>
      <c r="L1510" s="93">
        <v>1006</v>
      </c>
      <c r="M1510" s="93" t="s">
        <v>2311</v>
      </c>
      <c r="N1510" s="93" t="e">
        <f>VLOOKUP(B1510,'[16]01.수집 카테고리(List)'!$A$2:$H$64,8,FALSE)</f>
        <v>#N/A</v>
      </c>
      <c r="O1510" s="93"/>
    </row>
    <row r="1511" spans="1:15" hidden="1">
      <c r="A1511" s="75" t="str">
        <f t="shared" si="56"/>
        <v>IDHARTONOTVsmart TVsmart TV</v>
      </c>
      <c r="B1511" s="94" t="str">
        <f t="shared" si="57"/>
        <v>ID_HARTONO</v>
      </c>
      <c r="C1511" s="93" t="s">
        <v>382</v>
      </c>
      <c r="D1511" s="93" t="s">
        <v>383</v>
      </c>
      <c r="E1511" s="93" t="s">
        <v>161</v>
      </c>
      <c r="F1511" s="93" t="s">
        <v>2371</v>
      </c>
      <c r="G1511" s="93" t="s">
        <v>2371</v>
      </c>
      <c r="H1511" s="93" t="e">
        <v>#N/A</v>
      </c>
      <c r="I1511" s="105" t="s">
        <v>2310</v>
      </c>
      <c r="J1511" s="93" t="s">
        <v>189</v>
      </c>
      <c r="K1511" s="93">
        <v>1563</v>
      </c>
      <c r="L1511" s="93">
        <v>1563</v>
      </c>
      <c r="M1511" s="93" t="s">
        <v>2311</v>
      </c>
      <c r="N1511" s="93" t="e">
        <f>VLOOKUP(B1511,'[16]01.수집 카테고리(List)'!$A$2:$H$64,8,FALSE)</f>
        <v>#N/A</v>
      </c>
      <c r="O1511" s="93"/>
    </row>
    <row r="1512" spans="1:15" hidden="1">
      <c r="A1512" s="75" t="str">
        <f t="shared" si="56"/>
        <v>IDHARTONOTVTVTV</v>
      </c>
      <c r="B1512" s="94" t="str">
        <f t="shared" si="57"/>
        <v>ID_HARTONO</v>
      </c>
      <c r="C1512" s="93" t="s">
        <v>382</v>
      </c>
      <c r="D1512" s="93" t="s">
        <v>383</v>
      </c>
      <c r="E1512" s="93" t="s">
        <v>161</v>
      </c>
      <c r="F1512" s="93" t="s">
        <v>161</v>
      </c>
      <c r="G1512" s="93" t="s">
        <v>161</v>
      </c>
      <c r="H1512" s="93" t="e">
        <v>#N/A</v>
      </c>
      <c r="I1512" s="105" t="s">
        <v>2310</v>
      </c>
      <c r="J1512" s="93" t="s">
        <v>189</v>
      </c>
      <c r="K1512" s="93">
        <v>1564</v>
      </c>
      <c r="L1512" s="93">
        <v>1564</v>
      </c>
      <c r="M1512" s="93" t="s">
        <v>2311</v>
      </c>
      <c r="N1512" s="93" t="e">
        <f>VLOOKUP(B1512,'[16]01.수집 카테고리(List)'!$A$2:$H$64,8,FALSE)</f>
        <v>#N/A</v>
      </c>
      <c r="O1512" s="93"/>
    </row>
    <row r="1513" spans="1:15" hidden="1">
      <c r="A1513" s="75" t="str">
        <f t="shared" si="56"/>
        <v>IDHARTONOTV4k TVTV 4K</v>
      </c>
      <c r="B1513" s="94" t="str">
        <f t="shared" si="57"/>
        <v>ID_HARTONO</v>
      </c>
      <c r="C1513" s="93" t="s">
        <v>382</v>
      </c>
      <c r="D1513" s="93" t="s">
        <v>383</v>
      </c>
      <c r="E1513" s="93" t="s">
        <v>161</v>
      </c>
      <c r="F1513" s="93" t="s">
        <v>2368</v>
      </c>
      <c r="G1513" s="93" t="s">
        <v>2508</v>
      </c>
      <c r="H1513" s="93" t="e">
        <v>#N/A</v>
      </c>
      <c r="I1513" s="105" t="s">
        <v>2310</v>
      </c>
      <c r="J1513" s="93" t="s">
        <v>189</v>
      </c>
      <c r="K1513" s="93">
        <v>1548</v>
      </c>
      <c r="L1513" s="93" t="e">
        <v>#N/A</v>
      </c>
      <c r="M1513" s="93" t="s">
        <v>2311</v>
      </c>
      <c r="N1513" s="93" t="e">
        <f>VLOOKUP(B1513,'[16]01.수집 카테고리(List)'!$A$2:$H$64,8,FALSE)</f>
        <v>#N/A</v>
      </c>
      <c r="O1513" s="93"/>
    </row>
    <row r="1514" spans="1:15" hidden="1">
      <c r="A1514" s="75" t="str">
        <f t="shared" si="56"/>
        <v>IDHARTONOTVoled TVTV OLED</v>
      </c>
      <c r="B1514" s="94" t="str">
        <f t="shared" si="57"/>
        <v>ID_HARTONO</v>
      </c>
      <c r="C1514" s="93" t="s">
        <v>382</v>
      </c>
      <c r="D1514" s="93" t="s">
        <v>383</v>
      </c>
      <c r="E1514" s="93" t="s">
        <v>161</v>
      </c>
      <c r="F1514" s="93" t="s">
        <v>2369</v>
      </c>
      <c r="G1514" s="93" t="s">
        <v>2840</v>
      </c>
      <c r="H1514" s="93" t="e">
        <v>#N/A</v>
      </c>
      <c r="I1514" s="105" t="s">
        <v>2310</v>
      </c>
      <c r="J1514" s="93" t="s">
        <v>189</v>
      </c>
      <c r="K1514" s="93">
        <v>1567</v>
      </c>
      <c r="L1514" s="93" t="e">
        <v>#N/A</v>
      </c>
      <c r="M1514" s="93" t="s">
        <v>2311</v>
      </c>
      <c r="N1514" s="93" t="e">
        <f>VLOOKUP(B1514,'[16]01.수집 카테고리(List)'!$A$2:$H$64,8,FALSE)</f>
        <v>#N/A</v>
      </c>
      <c r="O1514" s="93"/>
    </row>
    <row r="1515" spans="1:15" hidden="1">
      <c r="A1515" s="75" t="str">
        <f t="shared" si="56"/>
        <v>IDHARTONOTVuhd TVUHD TV</v>
      </c>
      <c r="B1515" s="94" t="str">
        <f t="shared" si="57"/>
        <v>ID_HARTONO</v>
      </c>
      <c r="C1515" s="93" t="s">
        <v>382</v>
      </c>
      <c r="D1515" s="93" t="s">
        <v>383</v>
      </c>
      <c r="E1515" s="93" t="s">
        <v>161</v>
      </c>
      <c r="F1515" s="93" t="s">
        <v>2399</v>
      </c>
      <c r="G1515" s="93" t="s">
        <v>2990</v>
      </c>
      <c r="H1515" s="93" t="e">
        <v>#N/A</v>
      </c>
      <c r="I1515" s="105" t="s">
        <v>2310</v>
      </c>
      <c r="J1515" s="93" t="s">
        <v>189</v>
      </c>
      <c r="K1515" s="93">
        <v>1562</v>
      </c>
      <c r="L1515" s="93">
        <v>1562</v>
      </c>
      <c r="M1515" s="93" t="s">
        <v>2311</v>
      </c>
      <c r="N1515" s="93" t="e">
        <f>VLOOKUP(B1515,'[16]01.수집 카테고리(List)'!$A$2:$H$64,8,FALSE)</f>
        <v>#N/A</v>
      </c>
      <c r="O1515" s="93"/>
    </row>
    <row r="1516" spans="1:15" hidden="1">
      <c r="A1516" s="75" t="str">
        <f t="shared" si="56"/>
        <v>IDHARTONOWashing Machinefront loaderfront load</v>
      </c>
      <c r="B1516" s="94" t="str">
        <f t="shared" si="57"/>
        <v>ID_HARTONO</v>
      </c>
      <c r="C1516" s="93" t="s">
        <v>382</v>
      </c>
      <c r="D1516" s="93" t="s">
        <v>383</v>
      </c>
      <c r="E1516" s="93" t="s">
        <v>2333</v>
      </c>
      <c r="F1516" s="93" t="s">
        <v>2334</v>
      </c>
      <c r="G1516" s="93" t="s">
        <v>2991</v>
      </c>
      <c r="H1516" s="93" t="e">
        <v>#N/A</v>
      </c>
      <c r="I1516" s="105" t="s">
        <v>2310</v>
      </c>
      <c r="J1516" s="93" t="s">
        <v>189</v>
      </c>
      <c r="K1516" s="93">
        <v>67</v>
      </c>
      <c r="L1516" s="93" t="e">
        <v>#N/A</v>
      </c>
      <c r="M1516" s="93" t="s">
        <v>2311</v>
      </c>
      <c r="N1516" s="93" t="e">
        <f>VLOOKUP(B1516,'[16]01.수집 카테고리(List)'!$A$2:$H$64,8,FALSE)</f>
        <v>#N/A</v>
      </c>
      <c r="O1516" s="93"/>
    </row>
    <row r="1517" spans="1:15" hidden="1">
      <c r="A1517" s="75" t="str">
        <f t="shared" si="56"/>
        <v>IDHARTONOWashing Machinewashing machinemesin cuci</v>
      </c>
      <c r="B1517" s="94" t="str">
        <f t="shared" si="57"/>
        <v>ID_HARTONO</v>
      </c>
      <c r="C1517" s="93" t="s">
        <v>382</v>
      </c>
      <c r="D1517" s="93" t="s">
        <v>383</v>
      </c>
      <c r="E1517" s="93" t="s">
        <v>2333</v>
      </c>
      <c r="F1517" s="93" t="s">
        <v>2340</v>
      </c>
      <c r="G1517" s="93" t="s">
        <v>2992</v>
      </c>
      <c r="H1517" s="93" t="e">
        <v>#N/A</v>
      </c>
      <c r="I1517" s="105" t="s">
        <v>2310</v>
      </c>
      <c r="J1517" s="93" t="s">
        <v>189</v>
      </c>
      <c r="K1517" s="93">
        <v>199</v>
      </c>
      <c r="L1517" s="93" t="e">
        <v>#N/A</v>
      </c>
      <c r="M1517" s="93" t="s">
        <v>2311</v>
      </c>
      <c r="N1517" s="93" t="e">
        <f>VLOOKUP(B1517,'[16]01.수집 카테고리(List)'!$A$2:$H$64,8,FALSE)</f>
        <v>#N/A</v>
      </c>
      <c r="O1517" s="93"/>
    </row>
    <row r="1518" spans="1:15" hidden="1">
      <c r="A1518" s="75" t="str">
        <f t="shared" si="56"/>
        <v>IDHARTONOWashing Machinetop loadertop load</v>
      </c>
      <c r="B1518" s="94" t="str">
        <f t="shared" si="57"/>
        <v>ID_HARTONO</v>
      </c>
      <c r="C1518" s="93" t="s">
        <v>382</v>
      </c>
      <c r="D1518" s="93" t="s">
        <v>383</v>
      </c>
      <c r="E1518" s="93" t="s">
        <v>2333</v>
      </c>
      <c r="F1518" s="93" t="s">
        <v>2336</v>
      </c>
      <c r="G1518" s="93" t="s">
        <v>2993</v>
      </c>
      <c r="H1518" s="93" t="e">
        <v>#N/A</v>
      </c>
      <c r="I1518" s="105" t="s">
        <v>2310</v>
      </c>
      <c r="J1518" s="93" t="s">
        <v>189</v>
      </c>
      <c r="K1518" s="93">
        <v>10511</v>
      </c>
      <c r="L1518" s="93" t="e">
        <v>#N/A</v>
      </c>
      <c r="M1518" s="93" t="s">
        <v>2311</v>
      </c>
      <c r="N1518" s="93" t="e">
        <f>VLOOKUP(B1518,'[16]01.수집 카테고리(List)'!$A$2:$H$64,8,FALSE)</f>
        <v>#N/A</v>
      </c>
      <c r="O1518" s="93"/>
    </row>
    <row r="1519" spans="1:15" hidden="1">
      <c r="A1519" s="75" t="str">
        <f t="shared" si="56"/>
        <v>IDHARTONOWashing Machinetwin loadtwinwash</v>
      </c>
      <c r="B1519" s="94" t="str">
        <f t="shared" si="57"/>
        <v>ID_HARTONO</v>
      </c>
      <c r="C1519" s="93" t="s">
        <v>382</v>
      </c>
      <c r="D1519" s="93" t="s">
        <v>383</v>
      </c>
      <c r="E1519" s="93" t="s">
        <v>2333</v>
      </c>
      <c r="F1519" s="93" t="s">
        <v>2994</v>
      </c>
      <c r="G1519" s="93" t="s">
        <v>2995</v>
      </c>
      <c r="H1519" s="93" t="e">
        <v>#N/A</v>
      </c>
      <c r="I1519" s="105" t="s">
        <v>2310</v>
      </c>
      <c r="J1519" s="93" t="s">
        <v>189</v>
      </c>
      <c r="K1519" s="93">
        <v>198</v>
      </c>
      <c r="L1519" s="93" t="e">
        <v>#N/A</v>
      </c>
      <c r="M1519" s="93" t="s">
        <v>2311</v>
      </c>
      <c r="N1519" s="93" t="e">
        <f>VLOOKUP(B1519,'[16]01.수집 카테고리(List)'!$A$2:$H$64,8,FALSE)</f>
        <v>#N/A</v>
      </c>
      <c r="O1519" s="93"/>
    </row>
    <row r="1520" spans="1:15" hidden="1">
      <c r="A1520" s="75" t="str">
        <f t="shared" si="56"/>
        <v>IDHARTONOWIRELESS HEADSETbluetooth earbudsbluetooth earbuds</v>
      </c>
      <c r="B1520" s="94" t="str">
        <f t="shared" si="57"/>
        <v>ID_HARTONO</v>
      </c>
      <c r="C1520" s="93" t="s">
        <v>382</v>
      </c>
      <c r="D1520" s="93" t="s">
        <v>383</v>
      </c>
      <c r="E1520" s="93" t="s">
        <v>2201</v>
      </c>
      <c r="F1520" s="93" t="s">
        <v>2909</v>
      </c>
      <c r="G1520" s="93" t="s">
        <v>2909</v>
      </c>
      <c r="H1520" s="93" t="e">
        <v>#N/A</v>
      </c>
      <c r="I1520" s="105" t="s">
        <v>2310</v>
      </c>
      <c r="J1520" s="93" t="s">
        <v>189</v>
      </c>
      <c r="K1520" s="93">
        <v>1905</v>
      </c>
      <c r="L1520" s="93">
        <v>1905</v>
      </c>
      <c r="M1520" s="93" t="s">
        <v>2311</v>
      </c>
      <c r="N1520" s="93" t="e">
        <f>VLOOKUP(B1520,'[16]01.수집 카테고리(List)'!$A$2:$H$64,8,FALSE)</f>
        <v>#N/A</v>
      </c>
      <c r="O1520" s="93"/>
    </row>
    <row r="1521" spans="1:15" hidden="1">
      <c r="A1521" s="75" t="str">
        <f t="shared" si="56"/>
        <v>IDHARTONOWIRELESS HEADSETearbudsearbuds</v>
      </c>
      <c r="B1521" s="94" t="str">
        <f t="shared" si="57"/>
        <v>ID_HARTONO</v>
      </c>
      <c r="C1521" s="93" t="s">
        <v>382</v>
      </c>
      <c r="D1521" s="93" t="s">
        <v>383</v>
      </c>
      <c r="E1521" s="93" t="s">
        <v>2201</v>
      </c>
      <c r="F1521" s="93" t="s">
        <v>2913</v>
      </c>
      <c r="G1521" s="93" t="s">
        <v>2913</v>
      </c>
      <c r="H1521" s="93" t="e">
        <v>#N/A</v>
      </c>
      <c r="I1521" s="105" t="s">
        <v>2310</v>
      </c>
      <c r="J1521" s="93" t="s">
        <v>189</v>
      </c>
      <c r="K1521" s="93">
        <v>1958</v>
      </c>
      <c r="L1521" s="93">
        <v>1958</v>
      </c>
      <c r="M1521" s="93" t="s">
        <v>2311</v>
      </c>
      <c r="N1521" s="93" t="e">
        <f>VLOOKUP(B1521,'[16]01.수집 카테고리(List)'!$A$2:$H$64,8,FALSE)</f>
        <v>#N/A</v>
      </c>
      <c r="O1521" s="93"/>
    </row>
    <row r="1522" spans="1:15" hidden="1">
      <c r="A1522" s="75" t="str">
        <f t="shared" si="56"/>
        <v>IDHARTONOWIRELESS HEADSETbluetooth earphoneearphone bluetooth</v>
      </c>
      <c r="B1522" s="94" t="str">
        <f t="shared" si="57"/>
        <v>ID_HARTONO</v>
      </c>
      <c r="C1522" s="93" t="s">
        <v>382</v>
      </c>
      <c r="D1522" s="93" t="s">
        <v>383</v>
      </c>
      <c r="E1522" s="93" t="s">
        <v>2201</v>
      </c>
      <c r="F1522" s="93" t="s">
        <v>2996</v>
      </c>
      <c r="G1522" s="93" t="s">
        <v>2997</v>
      </c>
      <c r="H1522" s="93" t="e">
        <v>#N/A</v>
      </c>
      <c r="I1522" s="105" t="s">
        <v>2310</v>
      </c>
      <c r="J1522" s="93" t="s">
        <v>189</v>
      </c>
      <c r="K1522" s="93">
        <v>2620</v>
      </c>
      <c r="L1522" s="93" t="e">
        <v>#N/A</v>
      </c>
      <c r="M1522" s="93" t="s">
        <v>2311</v>
      </c>
      <c r="N1522" s="93" t="e">
        <f>VLOOKUP(B1522,'[16]01.수집 카테고리(List)'!$A$2:$H$64,8,FALSE)</f>
        <v>#N/A</v>
      </c>
      <c r="O1522" s="93"/>
    </row>
    <row r="1523" spans="1:15" hidden="1">
      <c r="A1523" s="75" t="str">
        <f t="shared" si="56"/>
        <v>IDHARTONOWIRELESS HEADSETtwstws　</v>
      </c>
      <c r="B1523" s="94" t="str">
        <f t="shared" si="57"/>
        <v>ID_HARTONO</v>
      </c>
      <c r="C1523" s="93" t="s">
        <v>382</v>
      </c>
      <c r="D1523" s="93" t="s">
        <v>383</v>
      </c>
      <c r="E1523" s="93" t="s">
        <v>2201</v>
      </c>
      <c r="F1523" s="93" t="s">
        <v>2998</v>
      </c>
      <c r="G1523" s="93" t="s">
        <v>2999</v>
      </c>
      <c r="H1523" s="93" t="e">
        <v>#N/A</v>
      </c>
      <c r="I1523" s="105" t="s">
        <v>2310</v>
      </c>
      <c r="J1523" s="93" t="s">
        <v>189</v>
      </c>
      <c r="K1523" s="93" t="e">
        <v>#N/A</v>
      </c>
      <c r="L1523" s="93">
        <v>3405</v>
      </c>
      <c r="M1523" s="93" t="s">
        <v>2351</v>
      </c>
      <c r="N1523" s="93" t="e">
        <f>VLOOKUP(B1523,'[16]01.수집 카테고리(List)'!$A$2:$H$64,8,FALSE)</f>
        <v>#N/A</v>
      </c>
      <c r="O1523" s="93"/>
    </row>
    <row r="1524" spans="1:15" hidden="1">
      <c r="A1524" s="75" t="str">
        <f t="shared" si="56"/>
        <v>IDHARTONOWIRELESS HEADSETwireless earphonewireless earphone</v>
      </c>
      <c r="B1524" s="94" t="str">
        <f t="shared" si="57"/>
        <v>ID_HARTONO</v>
      </c>
      <c r="C1524" s="93" t="s">
        <v>382</v>
      </c>
      <c r="D1524" s="93" t="s">
        <v>383</v>
      </c>
      <c r="E1524" s="93" t="s">
        <v>2201</v>
      </c>
      <c r="F1524" s="93" t="s">
        <v>3000</v>
      </c>
      <c r="G1524" s="93" t="s">
        <v>3000</v>
      </c>
      <c r="H1524" s="93" t="e">
        <v>#N/A</v>
      </c>
      <c r="I1524" s="105" t="s">
        <v>2310</v>
      </c>
      <c r="J1524" s="93" t="s">
        <v>189</v>
      </c>
      <c r="K1524" s="93">
        <v>313</v>
      </c>
      <c r="L1524" s="93">
        <v>313</v>
      </c>
      <c r="M1524" s="93" t="s">
        <v>2311</v>
      </c>
      <c r="N1524" s="93" t="e">
        <f>VLOOKUP(B1524,'[16]01.수집 카테고리(List)'!$A$2:$H$64,8,FALSE)</f>
        <v>#N/A</v>
      </c>
      <c r="O1524" s="93"/>
    </row>
    <row r="1525" spans="1:15" hidden="1">
      <c r="A1525" s="75" t="str">
        <f t="shared" si="56"/>
        <v>INAMAZON_LGAir ConditionerACAC</v>
      </c>
      <c r="B1525" s="94" t="str">
        <f t="shared" si="57"/>
        <v>IN_AMAZON_LG</v>
      </c>
      <c r="C1525" s="93" t="s">
        <v>302</v>
      </c>
      <c r="D1525" s="93" t="s">
        <v>303</v>
      </c>
      <c r="E1525" s="93" t="s">
        <v>2346</v>
      </c>
      <c r="F1525" s="93" t="s">
        <v>2492</v>
      </c>
      <c r="G1525" s="93" t="s">
        <v>2492</v>
      </c>
      <c r="H1525" s="93" t="e">
        <v>#N/A</v>
      </c>
      <c r="I1525" s="105" t="s">
        <v>2310</v>
      </c>
      <c r="J1525" s="93" t="s">
        <v>189</v>
      </c>
      <c r="K1525" s="93">
        <v>1603</v>
      </c>
      <c r="L1525" s="93">
        <v>1603</v>
      </c>
      <c r="M1525" s="93" t="s">
        <v>2311</v>
      </c>
      <c r="N1525" s="93">
        <f>VLOOKUP(B1525,'[16]01.수집 카테고리(List)'!$A$2:$H$64,8,FALSE)</f>
        <v>99991231</v>
      </c>
      <c r="O1525" s="93" t="s">
        <v>646</v>
      </c>
    </row>
    <row r="1526" spans="1:15" hidden="1">
      <c r="A1526" s="75" t="str">
        <f t="shared" si="56"/>
        <v>INAMAZON_LGAir Conditionerair conditionerair conditioner</v>
      </c>
      <c r="B1526" s="94" t="str">
        <f t="shared" si="57"/>
        <v>IN_AMAZON_LG</v>
      </c>
      <c r="C1526" s="93" t="s">
        <v>302</v>
      </c>
      <c r="D1526" s="93" t="s">
        <v>303</v>
      </c>
      <c r="E1526" s="93" t="s">
        <v>2346</v>
      </c>
      <c r="F1526" s="93" t="s">
        <v>2347</v>
      </c>
      <c r="G1526" s="93" t="s">
        <v>2347</v>
      </c>
      <c r="H1526" s="93" t="e">
        <v>#N/A</v>
      </c>
      <c r="I1526" s="105" t="s">
        <v>2310</v>
      </c>
      <c r="J1526" s="93" t="s">
        <v>189</v>
      </c>
      <c r="K1526" s="93">
        <v>1739</v>
      </c>
      <c r="L1526" s="93">
        <v>1739</v>
      </c>
      <c r="M1526" s="93" t="s">
        <v>2311</v>
      </c>
      <c r="N1526" s="93">
        <f>VLOOKUP(B1526,'[16]01.수집 카테고리(List)'!$A$2:$H$64,8,FALSE)</f>
        <v>99991231</v>
      </c>
      <c r="O1526" s="93" t="s">
        <v>646</v>
      </c>
    </row>
    <row r="1527" spans="1:15" hidden="1">
      <c r="A1527" s="75" t="str">
        <f t="shared" si="56"/>
        <v>INAMAZON_LGAir Conditionerinverter air conditionerinverter air conditioner</v>
      </c>
      <c r="B1527" s="94" t="str">
        <f t="shared" si="57"/>
        <v>IN_AMAZON_LG</v>
      </c>
      <c r="C1527" s="93" t="s">
        <v>302</v>
      </c>
      <c r="D1527" s="93" t="s">
        <v>303</v>
      </c>
      <c r="E1527" s="93" t="s">
        <v>2346</v>
      </c>
      <c r="F1527" s="93" t="s">
        <v>2348</v>
      </c>
      <c r="G1527" s="93" t="s">
        <v>2348</v>
      </c>
      <c r="H1527" s="93" t="e">
        <v>#N/A</v>
      </c>
      <c r="I1527" s="105" t="s">
        <v>2310</v>
      </c>
      <c r="J1527" s="93" t="s">
        <v>189</v>
      </c>
      <c r="K1527" s="93">
        <v>1648</v>
      </c>
      <c r="L1527" s="93">
        <v>1648</v>
      </c>
      <c r="M1527" s="93" t="s">
        <v>2311</v>
      </c>
      <c r="N1527" s="93">
        <f>VLOOKUP(B1527,'[16]01.수집 카테고리(List)'!$A$2:$H$64,8,FALSE)</f>
        <v>99991231</v>
      </c>
      <c r="O1527" s="93" t="s">
        <v>646</v>
      </c>
    </row>
    <row r="1528" spans="1:15" hidden="1">
      <c r="A1528" s="75" t="str">
        <f t="shared" si="56"/>
        <v>INAMAZON_LGAir Conditionersplit ACsplit AC</v>
      </c>
      <c r="B1528" s="94" t="str">
        <f t="shared" si="57"/>
        <v>IN_AMAZON_LG</v>
      </c>
      <c r="C1528" s="93" t="s">
        <v>302</v>
      </c>
      <c r="D1528" s="93" t="s">
        <v>303</v>
      </c>
      <c r="E1528" s="93" t="s">
        <v>2346</v>
      </c>
      <c r="F1528" s="93" t="s">
        <v>2495</v>
      </c>
      <c r="G1528" s="93" t="s">
        <v>2495</v>
      </c>
      <c r="H1528" s="93" t="e">
        <v>#N/A</v>
      </c>
      <c r="I1528" s="105" t="s">
        <v>2310</v>
      </c>
      <c r="J1528" s="93" t="s">
        <v>189</v>
      </c>
      <c r="K1528" s="93">
        <v>1821</v>
      </c>
      <c r="L1528" s="93">
        <v>1821</v>
      </c>
      <c r="M1528" s="93" t="s">
        <v>2311</v>
      </c>
      <c r="N1528" s="93">
        <f>VLOOKUP(B1528,'[16]01.수집 카테고리(List)'!$A$2:$H$64,8,FALSE)</f>
        <v>99991231</v>
      </c>
      <c r="O1528" s="93" t="s">
        <v>646</v>
      </c>
    </row>
    <row r="1529" spans="1:15" hidden="1">
      <c r="A1529" s="75" t="str">
        <f t="shared" si="56"/>
        <v>INAMAZON_LGAir Conditionerwindow air conditioner window AC</v>
      </c>
      <c r="B1529" s="94" t="str">
        <f t="shared" si="57"/>
        <v>IN_AMAZON_LG</v>
      </c>
      <c r="C1529" s="93" t="s">
        <v>302</v>
      </c>
      <c r="D1529" s="93" t="s">
        <v>303</v>
      </c>
      <c r="E1529" s="93" t="s">
        <v>2346</v>
      </c>
      <c r="F1529" s="93" t="s">
        <v>3001</v>
      </c>
      <c r="G1529" s="93" t="s">
        <v>3002</v>
      </c>
      <c r="H1529" s="93" t="e">
        <v>#N/A</v>
      </c>
      <c r="I1529" s="105" t="s">
        <v>2310</v>
      </c>
      <c r="J1529" s="93" t="s">
        <v>189</v>
      </c>
      <c r="K1529" s="93">
        <v>752</v>
      </c>
      <c r="L1529" s="93" t="e">
        <v>#N/A</v>
      </c>
      <c r="M1529" s="93" t="s">
        <v>2311</v>
      </c>
      <c r="N1529" s="93">
        <f>VLOOKUP(B1529,'[16]01.수집 카테고리(List)'!$A$2:$H$64,8,FALSE)</f>
        <v>99991231</v>
      </c>
      <c r="O1529" s="93" t="s">
        <v>646</v>
      </c>
    </row>
    <row r="1530" spans="1:15" hidden="1">
      <c r="A1530" s="75" t="str">
        <f t="shared" si="56"/>
        <v>INAMAZON_LGBluetooth Speakerbluetooth speakerblootooth speekar</v>
      </c>
      <c r="B1530" s="94" t="str">
        <f t="shared" si="57"/>
        <v>IN_AMAZON_LG</v>
      </c>
      <c r="C1530" s="93" t="s">
        <v>302</v>
      </c>
      <c r="D1530" s="93" t="s">
        <v>303</v>
      </c>
      <c r="E1530" s="93" t="s">
        <v>2307</v>
      </c>
      <c r="F1530" s="93" t="s">
        <v>2657</v>
      </c>
      <c r="G1530" s="93" t="s">
        <v>3003</v>
      </c>
      <c r="H1530" s="93" t="e">
        <v>#N/A</v>
      </c>
      <c r="I1530" s="105" t="s">
        <v>2310</v>
      </c>
      <c r="J1530" s="93" t="s">
        <v>189</v>
      </c>
      <c r="K1530" s="93">
        <v>2264</v>
      </c>
      <c r="L1530" s="93" t="e">
        <v>#N/A</v>
      </c>
      <c r="M1530" s="93" t="s">
        <v>2311</v>
      </c>
      <c r="N1530" s="93">
        <f>VLOOKUP(B1530,'[16]01.수집 카테고리(List)'!$A$2:$H$64,8,FALSE)</f>
        <v>99991231</v>
      </c>
      <c r="O1530" s="93" t="s">
        <v>646</v>
      </c>
    </row>
    <row r="1531" spans="1:15" hidden="1">
      <c r="A1531" s="75" t="str">
        <f t="shared" si="56"/>
        <v>INAMAZON_LGBluetooth Speakerbluetooth speaker portableblootooth speekar portebal</v>
      </c>
      <c r="B1531" s="94" t="str">
        <f t="shared" si="57"/>
        <v>IN_AMAZON_LG</v>
      </c>
      <c r="C1531" s="93" t="s">
        <v>302</v>
      </c>
      <c r="D1531" s="93" t="s">
        <v>303</v>
      </c>
      <c r="E1531" s="93" t="s">
        <v>2307</v>
      </c>
      <c r="F1531" s="93" t="s">
        <v>2479</v>
      </c>
      <c r="G1531" s="93" t="s">
        <v>3004</v>
      </c>
      <c r="H1531" s="93" t="e">
        <v>#N/A</v>
      </c>
      <c r="I1531" s="105" t="s">
        <v>2310</v>
      </c>
      <c r="J1531" s="93" t="s">
        <v>189</v>
      </c>
      <c r="K1531" s="93">
        <v>1478</v>
      </c>
      <c r="L1531" s="93" t="e">
        <v>#N/A</v>
      </c>
      <c r="M1531" s="93" t="s">
        <v>2311</v>
      </c>
      <c r="N1531" s="93">
        <f>VLOOKUP(B1531,'[16]01.수집 카테고리(List)'!$A$2:$H$64,8,FALSE)</f>
        <v>99991231</v>
      </c>
      <c r="O1531" s="93" t="s">
        <v>646</v>
      </c>
    </row>
    <row r="1532" spans="1:15" hidden="1">
      <c r="A1532" s="75" t="str">
        <f t="shared" si="56"/>
        <v>INAMAZON_LGBluetooth Speakerportable speakersportebal speekar</v>
      </c>
      <c r="B1532" s="94" t="str">
        <f t="shared" si="57"/>
        <v>IN_AMAZON_LG</v>
      </c>
      <c r="C1532" s="93" t="s">
        <v>302</v>
      </c>
      <c r="D1532" s="93" t="s">
        <v>303</v>
      </c>
      <c r="E1532" s="93" t="s">
        <v>2307</v>
      </c>
      <c r="F1532" s="93" t="s">
        <v>2473</v>
      </c>
      <c r="G1532" s="93" t="s">
        <v>3005</v>
      </c>
      <c r="H1532" s="93" t="e">
        <v>#N/A</v>
      </c>
      <c r="I1532" s="105" t="s">
        <v>2310</v>
      </c>
      <c r="J1532" s="93" t="s">
        <v>189</v>
      </c>
      <c r="K1532" s="93">
        <v>1331</v>
      </c>
      <c r="L1532" s="93" t="e">
        <v>#N/A</v>
      </c>
      <c r="M1532" s="93" t="s">
        <v>2311</v>
      </c>
      <c r="N1532" s="93">
        <f>VLOOKUP(B1532,'[16]01.수집 카테고리(List)'!$A$2:$H$64,8,FALSE)</f>
        <v>99991231</v>
      </c>
      <c r="O1532" s="93" t="s">
        <v>646</v>
      </c>
    </row>
    <row r="1533" spans="1:15" hidden="1">
      <c r="A1533" s="75" t="str">
        <f t="shared" si="56"/>
        <v>INAMAZON_LGBluetooth Speakerwireless portable speakersvaayarales portebal speekar</v>
      </c>
      <c r="B1533" s="94" t="str">
        <f t="shared" si="57"/>
        <v>IN_AMAZON_LG</v>
      </c>
      <c r="C1533" s="93" t="s">
        <v>302</v>
      </c>
      <c r="D1533" s="93" t="s">
        <v>303</v>
      </c>
      <c r="E1533" s="93" t="s">
        <v>2307</v>
      </c>
      <c r="F1533" s="93" t="s">
        <v>2475</v>
      </c>
      <c r="G1533" s="93" t="s">
        <v>3006</v>
      </c>
      <c r="H1533" s="93" t="e">
        <v>#N/A</v>
      </c>
      <c r="I1533" s="105" t="s">
        <v>2310</v>
      </c>
      <c r="J1533" s="93" t="s">
        <v>189</v>
      </c>
      <c r="K1533" s="93">
        <v>353</v>
      </c>
      <c r="L1533" s="93" t="e">
        <v>#N/A</v>
      </c>
      <c r="M1533" s="93" t="s">
        <v>2311</v>
      </c>
      <c r="N1533" s="93">
        <f>VLOOKUP(B1533,'[16]01.수집 카테고리(List)'!$A$2:$H$64,8,FALSE)</f>
        <v>99991231</v>
      </c>
      <c r="O1533" s="93" t="s">
        <v>646</v>
      </c>
    </row>
    <row r="1534" spans="1:15" hidden="1">
      <c r="A1534" s="75" t="str">
        <f t="shared" si="56"/>
        <v>INAMAZON_LGBluetooth Speakerspeakersvaktaon</v>
      </c>
      <c r="B1534" s="94" t="str">
        <f t="shared" si="57"/>
        <v>IN_AMAZON_LG</v>
      </c>
      <c r="C1534" s="93" t="s">
        <v>302</v>
      </c>
      <c r="D1534" s="93" t="s">
        <v>303</v>
      </c>
      <c r="E1534" s="93" t="s">
        <v>2307</v>
      </c>
      <c r="F1534" s="93" t="s">
        <v>2471</v>
      </c>
      <c r="G1534" s="93" t="s">
        <v>3007</v>
      </c>
      <c r="H1534" s="93" t="e">
        <v>#N/A</v>
      </c>
      <c r="I1534" s="105" t="s">
        <v>2310</v>
      </c>
      <c r="J1534" s="93" t="s">
        <v>189</v>
      </c>
      <c r="K1534" s="93">
        <v>127</v>
      </c>
      <c r="L1534" s="93" t="e">
        <v>#N/A</v>
      </c>
      <c r="M1534" s="93" t="s">
        <v>2311</v>
      </c>
      <c r="N1534" s="93">
        <f>VLOOKUP(B1534,'[16]01.수집 카테고리(List)'!$A$2:$H$64,8,FALSE)</f>
        <v>99991231</v>
      </c>
      <c r="O1534" s="93" t="s">
        <v>646</v>
      </c>
    </row>
    <row r="1535" spans="1:15" hidden="1">
      <c r="A1535" s="75" t="str">
        <f t="shared" si="56"/>
        <v>INAMAZON_LGMonitor4k monitor4k monitor</v>
      </c>
      <c r="B1535" s="94" t="str">
        <f t="shared" si="57"/>
        <v>IN_AMAZON_LG</v>
      </c>
      <c r="C1535" s="93" t="s">
        <v>302</v>
      </c>
      <c r="D1535" s="93" t="s">
        <v>303</v>
      </c>
      <c r="E1535" s="93" t="s">
        <v>2320</v>
      </c>
      <c r="F1535" s="93" t="s">
        <v>2321</v>
      </c>
      <c r="G1535" s="93" t="s">
        <v>2321</v>
      </c>
      <c r="H1535" s="93" t="e">
        <v>#N/A</v>
      </c>
      <c r="I1535" s="105" t="s">
        <v>2310</v>
      </c>
      <c r="J1535" s="93" t="s">
        <v>189</v>
      </c>
      <c r="K1535" s="93">
        <v>1715</v>
      </c>
      <c r="L1535" s="93">
        <v>1715</v>
      </c>
      <c r="M1535" s="93" t="s">
        <v>2311</v>
      </c>
      <c r="N1535" s="93">
        <f>VLOOKUP(B1535,'[16]01.수집 카테고리(List)'!$A$2:$H$64,8,FALSE)</f>
        <v>99991231</v>
      </c>
      <c r="O1535" s="93" t="s">
        <v>646</v>
      </c>
    </row>
    <row r="1536" spans="1:15" hidden="1">
      <c r="A1536" s="75" t="str">
        <f t="shared" si="56"/>
        <v>INAMAZON_LGMonitorgaming monitorgaming monitor</v>
      </c>
      <c r="B1536" s="94" t="str">
        <f t="shared" si="57"/>
        <v>IN_AMAZON_LG</v>
      </c>
      <c r="C1536" s="93" t="s">
        <v>302</v>
      </c>
      <c r="D1536" s="93" t="s">
        <v>303</v>
      </c>
      <c r="E1536" s="93" t="s">
        <v>2320</v>
      </c>
      <c r="F1536" s="93" t="s">
        <v>2322</v>
      </c>
      <c r="G1536" s="93" t="s">
        <v>2322</v>
      </c>
      <c r="H1536" s="93" t="e">
        <v>#N/A</v>
      </c>
      <c r="I1536" s="105" t="s">
        <v>2310</v>
      </c>
      <c r="J1536" s="93" t="s">
        <v>189</v>
      </c>
      <c r="K1536" s="93">
        <v>1890</v>
      </c>
      <c r="L1536" s="93">
        <v>1890</v>
      </c>
      <c r="M1536" s="93" t="s">
        <v>2311</v>
      </c>
      <c r="N1536" s="93">
        <f>VLOOKUP(B1536,'[16]01.수집 카테고리(List)'!$A$2:$H$64,8,FALSE)</f>
        <v>99991231</v>
      </c>
      <c r="O1536" s="93" t="s">
        <v>646</v>
      </c>
    </row>
    <row r="1537" spans="1:15" hidden="1">
      <c r="A1537" s="75" t="str">
        <f t="shared" si="56"/>
        <v>INAMAZON_LGMonitormonitormonitor</v>
      </c>
      <c r="B1537" s="94" t="str">
        <f t="shared" si="57"/>
        <v>IN_AMAZON_LG</v>
      </c>
      <c r="C1537" s="93" t="s">
        <v>302</v>
      </c>
      <c r="D1537" s="93" t="s">
        <v>303</v>
      </c>
      <c r="E1537" s="93" t="s">
        <v>2320</v>
      </c>
      <c r="F1537" s="93" t="s">
        <v>2323</v>
      </c>
      <c r="G1537" s="93" t="s">
        <v>2323</v>
      </c>
      <c r="H1537" s="93" t="e">
        <v>#N/A</v>
      </c>
      <c r="I1537" s="105" t="s">
        <v>2310</v>
      </c>
      <c r="J1537" s="93" t="s">
        <v>189</v>
      </c>
      <c r="K1537" s="93">
        <v>1829</v>
      </c>
      <c r="L1537" s="93">
        <v>1829</v>
      </c>
      <c r="M1537" s="93" t="s">
        <v>2311</v>
      </c>
      <c r="N1537" s="93">
        <f>VLOOKUP(B1537,'[16]01.수집 카테고리(List)'!$A$2:$H$64,8,FALSE)</f>
        <v>99991231</v>
      </c>
      <c r="O1537" s="93" t="s">
        <v>646</v>
      </c>
    </row>
    <row r="1538" spans="1:15" hidden="1">
      <c r="A1538" s="75" t="str">
        <f t="shared" si="56"/>
        <v>INAMAZON_LGMonitoruhd monitoruhd monitor</v>
      </c>
      <c r="B1538" s="94" t="str">
        <f t="shared" si="57"/>
        <v>IN_AMAZON_LG</v>
      </c>
      <c r="C1538" s="93" t="s">
        <v>302</v>
      </c>
      <c r="D1538" s="93" t="s">
        <v>303</v>
      </c>
      <c r="E1538" s="93" t="s">
        <v>2320</v>
      </c>
      <c r="F1538" s="93" t="s">
        <v>2324</v>
      </c>
      <c r="G1538" s="93" t="s">
        <v>2324</v>
      </c>
      <c r="H1538" s="93" t="e">
        <v>#N/A</v>
      </c>
      <c r="I1538" s="105" t="s">
        <v>2310</v>
      </c>
      <c r="J1538" s="93" t="s">
        <v>189</v>
      </c>
      <c r="K1538" s="93">
        <v>819</v>
      </c>
      <c r="L1538" s="93">
        <v>819</v>
      </c>
      <c r="M1538" s="93" t="s">
        <v>2311</v>
      </c>
      <c r="N1538" s="93">
        <f>VLOOKUP(B1538,'[16]01.수집 카테고리(List)'!$A$2:$H$64,8,FALSE)</f>
        <v>99991231</v>
      </c>
      <c r="O1538" s="93" t="s">
        <v>646</v>
      </c>
    </row>
    <row r="1539" spans="1:15" hidden="1">
      <c r="A1539" s="75" t="str">
        <f t="shared" si="56"/>
        <v>INAMAZON_LGMonitorultrawide monitorultrawide monitor</v>
      </c>
      <c r="B1539" s="94" t="str">
        <f t="shared" si="57"/>
        <v>IN_AMAZON_LG</v>
      </c>
      <c r="C1539" s="93" t="s">
        <v>302</v>
      </c>
      <c r="D1539" s="93" t="s">
        <v>303</v>
      </c>
      <c r="E1539" s="93" t="s">
        <v>2320</v>
      </c>
      <c r="F1539" s="93" t="s">
        <v>2325</v>
      </c>
      <c r="G1539" s="93" t="s">
        <v>2325</v>
      </c>
      <c r="H1539" s="93" t="e">
        <v>#N/A</v>
      </c>
      <c r="I1539" s="105" t="s">
        <v>2310</v>
      </c>
      <c r="J1539" s="93" t="s">
        <v>189</v>
      </c>
      <c r="K1539" s="93">
        <v>1069</v>
      </c>
      <c r="L1539" s="93">
        <v>1069</v>
      </c>
      <c r="M1539" s="93" t="s">
        <v>2311</v>
      </c>
      <c r="N1539" s="93">
        <f>VLOOKUP(B1539,'[16]01.수집 카테고리(List)'!$A$2:$H$64,8,FALSE)</f>
        <v>99991231</v>
      </c>
      <c r="O1539" s="93" t="s">
        <v>646</v>
      </c>
    </row>
    <row r="1540" spans="1:15" hidden="1">
      <c r="A1540" s="75" t="str">
        <f t="shared" si="56"/>
        <v>INAMAZON_LGRefrigeratorbottom freezer refrigeratorbottom freezer refrigerator</v>
      </c>
      <c r="B1540" s="94" t="str">
        <f t="shared" si="57"/>
        <v>IN_AMAZON_LG</v>
      </c>
      <c r="C1540" s="93" t="s">
        <v>302</v>
      </c>
      <c r="D1540" s="93" t="s">
        <v>303</v>
      </c>
      <c r="E1540" s="93" t="s">
        <v>2326</v>
      </c>
      <c r="F1540" s="93" t="s">
        <v>2327</v>
      </c>
      <c r="G1540" s="93" t="s">
        <v>2327</v>
      </c>
      <c r="H1540" s="93" t="e">
        <v>#N/A</v>
      </c>
      <c r="I1540" s="105" t="s">
        <v>2310</v>
      </c>
      <c r="J1540" s="93" t="s">
        <v>189</v>
      </c>
      <c r="K1540" s="93">
        <v>674</v>
      </c>
      <c r="L1540" s="93">
        <v>674</v>
      </c>
      <c r="M1540" s="93" t="s">
        <v>2311</v>
      </c>
      <c r="N1540" s="93">
        <f>VLOOKUP(B1540,'[16]01.수집 카테고리(List)'!$A$2:$H$64,8,FALSE)</f>
        <v>99991231</v>
      </c>
      <c r="O1540" s="93" t="s">
        <v>646</v>
      </c>
    </row>
    <row r="1541" spans="1:15" hidden="1">
      <c r="A1541" s="75" t="str">
        <f t="shared" ref="A1541:A1604" si="58">C1541&amp;D1541&amp;E1541&amp;F1541&amp;G1541</f>
        <v>INAMAZON_LGRefrigeratorfrench door refrigeratordouble door refrigerator</v>
      </c>
      <c r="B1541" s="94" t="str">
        <f t="shared" ref="B1541:B1604" si="59">C1541&amp;"_"&amp;D1541</f>
        <v>IN_AMAZON_LG</v>
      </c>
      <c r="C1541" s="93" t="s">
        <v>302</v>
      </c>
      <c r="D1541" s="93" t="s">
        <v>303</v>
      </c>
      <c r="E1541" s="93" t="s">
        <v>2326</v>
      </c>
      <c r="F1541" s="93" t="s">
        <v>2328</v>
      </c>
      <c r="G1541" s="93" t="s">
        <v>3008</v>
      </c>
      <c r="H1541" s="93" t="e">
        <v>#N/A</v>
      </c>
      <c r="I1541" s="105" t="s">
        <v>2310</v>
      </c>
      <c r="J1541" s="93" t="s">
        <v>189</v>
      </c>
      <c r="K1541" s="93">
        <v>1640</v>
      </c>
      <c r="L1541" s="93" t="e">
        <v>#N/A</v>
      </c>
      <c r="M1541" s="93" t="s">
        <v>2311</v>
      </c>
      <c r="N1541" s="93">
        <f>VLOOKUP(B1541,'[16]01.수집 카테고리(List)'!$A$2:$H$64,8,FALSE)</f>
        <v>99991231</v>
      </c>
      <c r="O1541" s="93" t="s">
        <v>646</v>
      </c>
    </row>
    <row r="1542" spans="1:15" hidden="1">
      <c r="A1542" s="75" t="str">
        <f t="shared" si="58"/>
        <v>INAMAZON_LGRefrigeratorfridgefridge</v>
      </c>
      <c r="B1542" s="94" t="str">
        <f t="shared" si="59"/>
        <v>IN_AMAZON_LG</v>
      </c>
      <c r="C1542" s="93" t="s">
        <v>302</v>
      </c>
      <c r="D1542" s="93" t="s">
        <v>303</v>
      </c>
      <c r="E1542" s="93" t="s">
        <v>2326</v>
      </c>
      <c r="F1542" s="93" t="s">
        <v>2414</v>
      </c>
      <c r="G1542" s="93" t="s">
        <v>2414</v>
      </c>
      <c r="H1542" s="93" t="e">
        <v>#N/A</v>
      </c>
      <c r="I1542" s="105" t="s">
        <v>2310</v>
      </c>
      <c r="J1542" s="93" t="s">
        <v>189</v>
      </c>
      <c r="K1542" s="93">
        <v>1606</v>
      </c>
      <c r="L1542" s="93">
        <v>1606</v>
      </c>
      <c r="M1542" s="93" t="s">
        <v>2311</v>
      </c>
      <c r="N1542" s="93">
        <f>VLOOKUP(B1542,'[16]01.수집 카테고리(List)'!$A$2:$H$64,8,FALSE)</f>
        <v>99991231</v>
      </c>
      <c r="O1542" s="93" t="s">
        <v>646</v>
      </c>
    </row>
    <row r="1543" spans="1:15" hidden="1">
      <c r="A1543" s="75" t="str">
        <f t="shared" si="58"/>
        <v>INAMAZON_LGRefrigeratorrefrigeratorrefrigerator</v>
      </c>
      <c r="B1543" s="94" t="str">
        <f t="shared" si="59"/>
        <v>IN_AMAZON_LG</v>
      </c>
      <c r="C1543" s="93" t="s">
        <v>302</v>
      </c>
      <c r="D1543" s="93" t="s">
        <v>303</v>
      </c>
      <c r="E1543" s="93" t="s">
        <v>2326</v>
      </c>
      <c r="F1543" s="93" t="s">
        <v>2329</v>
      </c>
      <c r="G1543" s="93" t="s">
        <v>2329</v>
      </c>
      <c r="H1543" s="93" t="e">
        <v>#N/A</v>
      </c>
      <c r="I1543" s="105" t="s">
        <v>2310</v>
      </c>
      <c r="J1543" s="93" t="s">
        <v>189</v>
      </c>
      <c r="K1543" s="93">
        <v>1419</v>
      </c>
      <c r="L1543" s="93">
        <v>1419</v>
      </c>
      <c r="M1543" s="93" t="s">
        <v>2311</v>
      </c>
      <c r="N1543" s="93">
        <f>VLOOKUP(B1543,'[16]01.수집 카테고리(List)'!$A$2:$H$64,8,FALSE)</f>
        <v>99991231</v>
      </c>
      <c r="O1543" s="93" t="s">
        <v>646</v>
      </c>
    </row>
    <row r="1544" spans="1:15" hidden="1">
      <c r="A1544" s="75" t="str">
        <f t="shared" si="58"/>
        <v>INAMAZON_LGRefrigeratorside by side refrigeratorside by side refrigerator</v>
      </c>
      <c r="B1544" s="94" t="str">
        <f t="shared" si="59"/>
        <v>IN_AMAZON_LG</v>
      </c>
      <c r="C1544" s="93" t="s">
        <v>302</v>
      </c>
      <c r="D1544" s="93" t="s">
        <v>303</v>
      </c>
      <c r="E1544" s="93" t="s">
        <v>2326</v>
      </c>
      <c r="F1544" s="93" t="s">
        <v>2330</v>
      </c>
      <c r="G1544" s="93" t="s">
        <v>2330</v>
      </c>
      <c r="H1544" s="93" t="e">
        <v>#N/A</v>
      </c>
      <c r="I1544" s="105" t="s">
        <v>2310</v>
      </c>
      <c r="J1544" s="93" t="s">
        <v>189</v>
      </c>
      <c r="K1544" s="93">
        <v>754</v>
      </c>
      <c r="L1544" s="93">
        <v>754</v>
      </c>
      <c r="M1544" s="93" t="s">
        <v>2311</v>
      </c>
      <c r="N1544" s="93">
        <f>VLOOKUP(B1544,'[16]01.수집 카테고리(List)'!$A$2:$H$64,8,FALSE)</f>
        <v>99991231</v>
      </c>
      <c r="O1544" s="93" t="s">
        <v>646</v>
      </c>
    </row>
    <row r="1545" spans="1:15" hidden="1">
      <c r="A1545" s="75" t="str">
        <f t="shared" si="58"/>
        <v>INAMAZON_LGRefrigeratortop freezer refrigeratortop freezer refrigerator</v>
      </c>
      <c r="B1545" s="94" t="str">
        <f t="shared" si="59"/>
        <v>IN_AMAZON_LG</v>
      </c>
      <c r="C1545" s="93" t="s">
        <v>302</v>
      </c>
      <c r="D1545" s="93" t="s">
        <v>303</v>
      </c>
      <c r="E1545" s="93" t="s">
        <v>2326</v>
      </c>
      <c r="F1545" s="93" t="s">
        <v>2332</v>
      </c>
      <c r="G1545" s="93" t="s">
        <v>2332</v>
      </c>
      <c r="H1545" s="93" t="e">
        <v>#N/A</v>
      </c>
      <c r="I1545" s="105" t="s">
        <v>2310</v>
      </c>
      <c r="J1545" s="93" t="s">
        <v>189</v>
      </c>
      <c r="K1545" s="93">
        <v>635</v>
      </c>
      <c r="L1545" s="93">
        <v>635</v>
      </c>
      <c r="M1545" s="93" t="s">
        <v>2311</v>
      </c>
      <c r="N1545" s="93">
        <f>VLOOKUP(B1545,'[16]01.수집 카테고리(List)'!$A$2:$H$64,8,FALSE)</f>
        <v>99991231</v>
      </c>
      <c r="O1545" s="93" t="s">
        <v>646</v>
      </c>
    </row>
    <row r="1546" spans="1:15" hidden="1">
      <c r="A1546" s="75" t="str">
        <f t="shared" si="58"/>
        <v>INAMAZON_LGSOUNDBARSound barSound bar</v>
      </c>
      <c r="B1546" s="94" t="str">
        <f t="shared" si="59"/>
        <v>IN_AMAZON_LG</v>
      </c>
      <c r="C1546" s="93" t="s">
        <v>302</v>
      </c>
      <c r="D1546" s="93" t="s">
        <v>303</v>
      </c>
      <c r="E1546" s="93" t="s">
        <v>165</v>
      </c>
      <c r="F1546" s="93" t="s">
        <v>2365</v>
      </c>
      <c r="G1546" s="93" t="s">
        <v>2365</v>
      </c>
      <c r="H1546" s="93" t="e">
        <v>#N/A</v>
      </c>
      <c r="I1546" s="105" t="s">
        <v>2310</v>
      </c>
      <c r="J1546" s="93" t="s">
        <v>189</v>
      </c>
      <c r="K1546" s="93">
        <v>1018</v>
      </c>
      <c r="L1546" s="93">
        <v>1018</v>
      </c>
      <c r="M1546" s="93" t="s">
        <v>2311</v>
      </c>
      <c r="N1546" s="93">
        <f>VLOOKUP(B1546,'[16]01.수집 카테고리(List)'!$A$2:$H$64,8,FALSE)</f>
        <v>99991231</v>
      </c>
      <c r="O1546" s="93" t="s">
        <v>646</v>
      </c>
    </row>
    <row r="1547" spans="1:15" hidden="1">
      <c r="A1547" s="75" t="str">
        <f t="shared" si="58"/>
        <v>INAMAZON_LGSOUNDBARSound barsSound bars</v>
      </c>
      <c r="B1547" s="94" t="str">
        <f t="shared" si="59"/>
        <v>IN_AMAZON_LG</v>
      </c>
      <c r="C1547" s="93" t="s">
        <v>302</v>
      </c>
      <c r="D1547" s="93" t="s">
        <v>303</v>
      </c>
      <c r="E1547" s="93" t="s">
        <v>165</v>
      </c>
      <c r="F1547" s="93" t="s">
        <v>2366</v>
      </c>
      <c r="G1547" s="93" t="s">
        <v>2366</v>
      </c>
      <c r="H1547" s="93" t="e">
        <v>#N/A</v>
      </c>
      <c r="I1547" s="105" t="s">
        <v>2310</v>
      </c>
      <c r="J1547" s="93" t="s">
        <v>189</v>
      </c>
      <c r="K1547" s="93">
        <v>1248</v>
      </c>
      <c r="L1547" s="93">
        <v>1248</v>
      </c>
      <c r="M1547" s="93" t="s">
        <v>2311</v>
      </c>
      <c r="N1547" s="93">
        <f>VLOOKUP(B1547,'[16]01.수집 카테고리(List)'!$A$2:$H$64,8,FALSE)</f>
        <v>99991231</v>
      </c>
      <c r="O1547" s="93" t="s">
        <v>646</v>
      </c>
    </row>
    <row r="1548" spans="1:15" hidden="1">
      <c r="A1548" s="75" t="str">
        <f t="shared" si="58"/>
        <v>INAMAZON_LGSOUNDBARSoundbarSoundbar</v>
      </c>
      <c r="B1548" s="94" t="str">
        <f t="shared" si="59"/>
        <v>IN_AMAZON_LG</v>
      </c>
      <c r="C1548" s="93" t="s">
        <v>302</v>
      </c>
      <c r="D1548" s="93" t="s">
        <v>303</v>
      </c>
      <c r="E1548" s="93" t="s">
        <v>165</v>
      </c>
      <c r="F1548" s="93" t="s">
        <v>2363</v>
      </c>
      <c r="G1548" s="93" t="s">
        <v>2363</v>
      </c>
      <c r="H1548" s="93" t="e">
        <v>#N/A</v>
      </c>
      <c r="I1548" s="105" t="s">
        <v>2310</v>
      </c>
      <c r="J1548" s="93" t="s">
        <v>189</v>
      </c>
      <c r="K1548" s="93">
        <v>1141</v>
      </c>
      <c r="L1548" s="93">
        <v>1141</v>
      </c>
      <c r="M1548" s="93" t="s">
        <v>2311</v>
      </c>
      <c r="N1548" s="93">
        <f>VLOOKUP(B1548,'[16]01.수집 카테고리(List)'!$A$2:$H$64,8,FALSE)</f>
        <v>99991231</v>
      </c>
      <c r="O1548" s="93" t="s">
        <v>646</v>
      </c>
    </row>
    <row r="1549" spans="1:15" hidden="1">
      <c r="A1549" s="75" t="str">
        <f t="shared" si="58"/>
        <v>INAMAZON_LGSOUNDBARSoundbarsSoundbars</v>
      </c>
      <c r="B1549" s="94" t="str">
        <f t="shared" si="59"/>
        <v>IN_AMAZON_LG</v>
      </c>
      <c r="C1549" s="93" t="s">
        <v>302</v>
      </c>
      <c r="D1549" s="93" t="s">
        <v>303</v>
      </c>
      <c r="E1549" s="93" t="s">
        <v>165</v>
      </c>
      <c r="F1549" s="93" t="s">
        <v>2361</v>
      </c>
      <c r="G1549" s="93" t="s">
        <v>2361</v>
      </c>
      <c r="H1549" s="93" t="e">
        <v>#N/A</v>
      </c>
      <c r="I1549" s="105" t="s">
        <v>2310</v>
      </c>
      <c r="J1549" s="93" t="s">
        <v>189</v>
      </c>
      <c r="K1549" s="93">
        <v>1154</v>
      </c>
      <c r="L1549" s="93">
        <v>1154</v>
      </c>
      <c r="M1549" s="93" t="s">
        <v>2311</v>
      </c>
      <c r="N1549" s="93">
        <f>VLOOKUP(B1549,'[16]01.수집 카테고리(List)'!$A$2:$H$64,8,FALSE)</f>
        <v>99991231</v>
      </c>
      <c r="O1549" s="93" t="s">
        <v>646</v>
      </c>
    </row>
    <row r="1550" spans="1:15" hidden="1">
      <c r="A1550" s="75" t="str">
        <f t="shared" si="58"/>
        <v>INAMAZON_LGTV4k TV4k TV</v>
      </c>
      <c r="B1550" s="94" t="str">
        <f t="shared" si="59"/>
        <v>IN_AMAZON_LG</v>
      </c>
      <c r="C1550" s="93" t="s">
        <v>302</v>
      </c>
      <c r="D1550" s="93" t="s">
        <v>303</v>
      </c>
      <c r="E1550" s="93" t="s">
        <v>161</v>
      </c>
      <c r="F1550" s="93" t="s">
        <v>2368</v>
      </c>
      <c r="G1550" s="93" t="s">
        <v>2368</v>
      </c>
      <c r="H1550" s="93" t="e">
        <v>#N/A</v>
      </c>
      <c r="I1550" s="105" t="s">
        <v>2310</v>
      </c>
      <c r="J1550" s="93" t="s">
        <v>189</v>
      </c>
      <c r="K1550" s="93">
        <v>1144</v>
      </c>
      <c r="L1550" s="93">
        <v>1144</v>
      </c>
      <c r="M1550" s="93" t="s">
        <v>2311</v>
      </c>
      <c r="N1550" s="93">
        <f>VLOOKUP(B1550,'[16]01.수집 카테고리(List)'!$A$2:$H$64,8,FALSE)</f>
        <v>99991231</v>
      </c>
      <c r="O1550" s="93" t="s">
        <v>646</v>
      </c>
    </row>
    <row r="1551" spans="1:15" hidden="1">
      <c r="A1551" s="75" t="str">
        <f t="shared" si="58"/>
        <v>INAMAZON_LGTVled TVled TV</v>
      </c>
      <c r="B1551" s="94" t="str">
        <f t="shared" si="59"/>
        <v>IN_AMAZON_LG</v>
      </c>
      <c r="C1551" s="93" t="s">
        <v>302</v>
      </c>
      <c r="D1551" s="93" t="s">
        <v>303</v>
      </c>
      <c r="E1551" s="93" t="s">
        <v>161</v>
      </c>
      <c r="F1551" s="93" t="s">
        <v>3009</v>
      </c>
      <c r="G1551" s="93" t="s">
        <v>3009</v>
      </c>
      <c r="H1551" s="93" t="e">
        <v>#N/A</v>
      </c>
      <c r="I1551" s="105" t="s">
        <v>2310</v>
      </c>
      <c r="J1551" s="93" t="s">
        <v>189</v>
      </c>
      <c r="K1551" s="93">
        <v>2204</v>
      </c>
      <c r="L1551" s="93">
        <v>2204</v>
      </c>
      <c r="M1551" s="93" t="s">
        <v>2311</v>
      </c>
      <c r="N1551" s="93">
        <f>VLOOKUP(B1551,'[16]01.수집 카테고리(List)'!$A$2:$H$64,8,FALSE)</f>
        <v>99991231</v>
      </c>
      <c r="O1551" s="93" t="s">
        <v>646</v>
      </c>
    </row>
    <row r="1552" spans="1:15" hidden="1">
      <c r="A1552" s="75" t="str">
        <f t="shared" si="58"/>
        <v>INAMAZON_LGTVoled TVoled TV</v>
      </c>
      <c r="B1552" s="94" t="str">
        <f t="shared" si="59"/>
        <v>IN_AMAZON_LG</v>
      </c>
      <c r="C1552" s="93" t="s">
        <v>302</v>
      </c>
      <c r="D1552" s="93" t="s">
        <v>303</v>
      </c>
      <c r="E1552" s="93" t="s">
        <v>161</v>
      </c>
      <c r="F1552" s="93" t="s">
        <v>2369</v>
      </c>
      <c r="G1552" s="93" t="s">
        <v>2369</v>
      </c>
      <c r="H1552" s="93" t="e">
        <v>#N/A</v>
      </c>
      <c r="I1552" s="105" t="s">
        <v>2310</v>
      </c>
      <c r="J1552" s="93" t="s">
        <v>189</v>
      </c>
      <c r="K1552" s="93">
        <v>541</v>
      </c>
      <c r="L1552" s="93">
        <v>541</v>
      </c>
      <c r="M1552" s="93" t="s">
        <v>2311</v>
      </c>
      <c r="N1552" s="93">
        <f>VLOOKUP(B1552,'[16]01.수집 카테고리(List)'!$A$2:$H$64,8,FALSE)</f>
        <v>99991231</v>
      </c>
      <c r="O1552" s="93" t="s">
        <v>646</v>
      </c>
    </row>
    <row r="1553" spans="1:15" hidden="1">
      <c r="A1553" s="75" t="str">
        <f t="shared" si="58"/>
        <v>INAMAZON_LGTVsmart TVsmart TV</v>
      </c>
      <c r="B1553" s="94" t="str">
        <f t="shared" si="59"/>
        <v>IN_AMAZON_LG</v>
      </c>
      <c r="C1553" s="93" t="s">
        <v>302</v>
      </c>
      <c r="D1553" s="93" t="s">
        <v>303</v>
      </c>
      <c r="E1553" s="93" t="s">
        <v>161</v>
      </c>
      <c r="F1553" s="93" t="s">
        <v>2371</v>
      </c>
      <c r="G1553" s="93" t="s">
        <v>2371</v>
      </c>
      <c r="H1553" s="93" t="e">
        <v>#N/A</v>
      </c>
      <c r="I1553" s="105" t="s">
        <v>2310</v>
      </c>
      <c r="J1553" s="93" t="s">
        <v>189</v>
      </c>
      <c r="K1553" s="93">
        <v>1060</v>
      </c>
      <c r="L1553" s="93">
        <v>1060</v>
      </c>
      <c r="M1553" s="93" t="s">
        <v>2311</v>
      </c>
      <c r="N1553" s="93">
        <f>VLOOKUP(B1553,'[16]01.수집 카테고리(List)'!$A$2:$H$64,8,FALSE)</f>
        <v>99991231</v>
      </c>
      <c r="O1553" s="93" t="s">
        <v>646</v>
      </c>
    </row>
    <row r="1554" spans="1:15" hidden="1">
      <c r="A1554" s="75" t="str">
        <f t="shared" si="58"/>
        <v>INAMAZON_LGTVTVTV</v>
      </c>
      <c r="B1554" s="94" t="str">
        <f t="shared" si="59"/>
        <v>IN_AMAZON_LG</v>
      </c>
      <c r="C1554" s="93" t="s">
        <v>302</v>
      </c>
      <c r="D1554" s="93" t="s">
        <v>303</v>
      </c>
      <c r="E1554" s="93" t="s">
        <v>161</v>
      </c>
      <c r="F1554" s="93" t="s">
        <v>161</v>
      </c>
      <c r="G1554" s="93" t="s">
        <v>161</v>
      </c>
      <c r="H1554" s="93" t="e">
        <v>#N/A</v>
      </c>
      <c r="I1554" s="105" t="s">
        <v>2310</v>
      </c>
      <c r="J1554" s="93" t="s">
        <v>189</v>
      </c>
      <c r="K1554" s="93">
        <v>1203</v>
      </c>
      <c r="L1554" s="93">
        <v>1203</v>
      </c>
      <c r="M1554" s="93" t="s">
        <v>2311</v>
      </c>
      <c r="N1554" s="93">
        <f>VLOOKUP(B1554,'[16]01.수집 카테고리(List)'!$A$2:$H$64,8,FALSE)</f>
        <v>99991231</v>
      </c>
      <c r="O1554" s="93" t="s">
        <v>646</v>
      </c>
    </row>
    <row r="1555" spans="1:15" hidden="1">
      <c r="A1555" s="75" t="str">
        <f t="shared" si="58"/>
        <v>INAMAZON_LGTVuhd TVuhd TV</v>
      </c>
      <c r="B1555" s="94" t="str">
        <f t="shared" si="59"/>
        <v>IN_AMAZON_LG</v>
      </c>
      <c r="C1555" s="93" t="s">
        <v>302</v>
      </c>
      <c r="D1555" s="93" t="s">
        <v>303</v>
      </c>
      <c r="E1555" s="93" t="s">
        <v>161</v>
      </c>
      <c r="F1555" s="93" t="s">
        <v>2399</v>
      </c>
      <c r="G1555" s="93" t="s">
        <v>2399</v>
      </c>
      <c r="H1555" s="93" t="e">
        <v>#N/A</v>
      </c>
      <c r="I1555" s="105" t="s">
        <v>2310</v>
      </c>
      <c r="J1555" s="93" t="s">
        <v>189</v>
      </c>
      <c r="K1555" s="93">
        <v>1121</v>
      </c>
      <c r="L1555" s="93">
        <v>1121</v>
      </c>
      <c r="M1555" s="93" t="s">
        <v>2311</v>
      </c>
      <c r="N1555" s="93">
        <f>VLOOKUP(B1555,'[16]01.수집 카테고리(List)'!$A$2:$H$64,8,FALSE)</f>
        <v>99991231</v>
      </c>
      <c r="O1555" s="93" t="s">
        <v>646</v>
      </c>
    </row>
    <row r="1556" spans="1:15" hidden="1">
      <c r="A1556" s="75" t="str">
        <f t="shared" si="58"/>
        <v>INAMAZON_LGWashing Machineautomatic washing machineautomatic washing machine</v>
      </c>
      <c r="B1556" s="94" t="str">
        <f t="shared" si="59"/>
        <v>IN_AMAZON_LG</v>
      </c>
      <c r="C1556" s="93" t="s">
        <v>302</v>
      </c>
      <c r="D1556" s="93" t="s">
        <v>303</v>
      </c>
      <c r="E1556" s="93" t="s">
        <v>2333</v>
      </c>
      <c r="F1556" s="93" t="s">
        <v>3010</v>
      </c>
      <c r="G1556" s="93" t="s">
        <v>3010</v>
      </c>
      <c r="H1556" s="93" t="e">
        <v>#N/A</v>
      </c>
      <c r="I1556" s="105" t="s">
        <v>2310</v>
      </c>
      <c r="J1556" s="93" t="s">
        <v>189</v>
      </c>
      <c r="K1556" s="93">
        <v>1132</v>
      </c>
      <c r="L1556" s="93">
        <v>1132</v>
      </c>
      <c r="M1556" s="93" t="s">
        <v>2311</v>
      </c>
      <c r="N1556" s="93">
        <f>VLOOKUP(B1556,'[16]01.수집 카테고리(List)'!$A$2:$H$64,8,FALSE)</f>
        <v>99991231</v>
      </c>
      <c r="O1556" s="93" t="s">
        <v>646</v>
      </c>
    </row>
    <row r="1557" spans="1:15" hidden="1">
      <c r="A1557" s="75" t="str">
        <f t="shared" si="58"/>
        <v>INAMAZON_LGWashing Machinefront loaderfront load washing machine</v>
      </c>
      <c r="B1557" s="94" t="str">
        <f t="shared" si="59"/>
        <v>IN_AMAZON_LG</v>
      </c>
      <c r="C1557" s="93" t="s">
        <v>302</v>
      </c>
      <c r="D1557" s="93" t="s">
        <v>303</v>
      </c>
      <c r="E1557" s="93" t="s">
        <v>2333</v>
      </c>
      <c r="F1557" s="93" t="s">
        <v>2334</v>
      </c>
      <c r="G1557" s="93" t="s">
        <v>3011</v>
      </c>
      <c r="H1557" s="93" t="e">
        <v>#N/A</v>
      </c>
      <c r="I1557" s="105" t="s">
        <v>2310</v>
      </c>
      <c r="J1557" s="93" t="s">
        <v>189</v>
      </c>
      <c r="K1557" s="93">
        <v>1233</v>
      </c>
      <c r="L1557" s="93" t="e">
        <v>#N/A</v>
      </c>
      <c r="M1557" s="93" t="s">
        <v>2311</v>
      </c>
      <c r="N1557" s="93">
        <f>VLOOKUP(B1557,'[16]01.수집 카테고리(List)'!$A$2:$H$64,8,FALSE)</f>
        <v>99991231</v>
      </c>
      <c r="O1557" s="93" t="s">
        <v>646</v>
      </c>
    </row>
    <row r="1558" spans="1:15" hidden="1">
      <c r="A1558" s="75" t="str">
        <f t="shared" si="58"/>
        <v>INAMAZON_LGWashing Machinesemi automatic washing machinesemi automatic washing machine</v>
      </c>
      <c r="B1558" s="94" t="str">
        <f t="shared" si="59"/>
        <v>IN_AMAZON_LG</v>
      </c>
      <c r="C1558" s="93" t="s">
        <v>302</v>
      </c>
      <c r="D1558" s="93" t="s">
        <v>303</v>
      </c>
      <c r="E1558" s="93" t="s">
        <v>2333</v>
      </c>
      <c r="F1558" s="93" t="s">
        <v>3012</v>
      </c>
      <c r="G1558" s="93" t="s">
        <v>3012</v>
      </c>
      <c r="H1558" s="93" t="e">
        <v>#N/A</v>
      </c>
      <c r="I1558" s="105" t="s">
        <v>2310</v>
      </c>
      <c r="J1558" s="93" t="s">
        <v>189</v>
      </c>
      <c r="K1558" s="93">
        <v>954</v>
      </c>
      <c r="L1558" s="93">
        <v>954</v>
      </c>
      <c r="M1558" s="93" t="s">
        <v>2311</v>
      </c>
      <c r="N1558" s="93">
        <f>VLOOKUP(B1558,'[16]01.수집 카테고리(List)'!$A$2:$H$64,8,FALSE)</f>
        <v>99991231</v>
      </c>
      <c r="O1558" s="93" t="s">
        <v>646</v>
      </c>
    </row>
    <row r="1559" spans="1:15" hidden="1">
      <c r="A1559" s="75" t="str">
        <f t="shared" si="58"/>
        <v>INAMAZON_LGWashing Machinetop loadertop load washing machine</v>
      </c>
      <c r="B1559" s="94" t="str">
        <f t="shared" si="59"/>
        <v>IN_AMAZON_LG</v>
      </c>
      <c r="C1559" s="93" t="s">
        <v>302</v>
      </c>
      <c r="D1559" s="93" t="s">
        <v>303</v>
      </c>
      <c r="E1559" s="93" t="s">
        <v>2333</v>
      </c>
      <c r="F1559" s="93" t="s">
        <v>2336</v>
      </c>
      <c r="G1559" s="93" t="s">
        <v>3013</v>
      </c>
      <c r="H1559" s="93" t="e">
        <v>#N/A</v>
      </c>
      <c r="I1559" s="105" t="s">
        <v>2310</v>
      </c>
      <c r="J1559" s="93" t="s">
        <v>189</v>
      </c>
      <c r="K1559" s="93">
        <v>862</v>
      </c>
      <c r="L1559" s="93" t="e">
        <v>#N/A</v>
      </c>
      <c r="M1559" s="93" t="s">
        <v>2311</v>
      </c>
      <c r="N1559" s="93">
        <f>VLOOKUP(B1559,'[16]01.수집 카테고리(List)'!$A$2:$H$64,8,FALSE)</f>
        <v>99991231</v>
      </c>
      <c r="O1559" s="93" t="s">
        <v>646</v>
      </c>
    </row>
    <row r="1560" spans="1:15" hidden="1">
      <c r="A1560" s="75" t="str">
        <f t="shared" si="58"/>
        <v>INAMAZON_LGWashing Machinewasher dryerwasher dryer</v>
      </c>
      <c r="B1560" s="94" t="str">
        <f t="shared" si="59"/>
        <v>IN_AMAZON_LG</v>
      </c>
      <c r="C1560" s="93" t="s">
        <v>302</v>
      </c>
      <c r="D1560" s="93" t="s">
        <v>303</v>
      </c>
      <c r="E1560" s="93" t="s">
        <v>2333</v>
      </c>
      <c r="F1560" s="93" t="s">
        <v>2339</v>
      </c>
      <c r="G1560" s="93" t="s">
        <v>2339</v>
      </c>
      <c r="H1560" s="93" t="e">
        <v>#N/A</v>
      </c>
      <c r="I1560" s="105" t="s">
        <v>2310</v>
      </c>
      <c r="J1560" s="93" t="s">
        <v>189</v>
      </c>
      <c r="K1560" s="93">
        <v>954</v>
      </c>
      <c r="L1560" s="93">
        <v>954</v>
      </c>
      <c r="M1560" s="93" t="s">
        <v>2311</v>
      </c>
      <c r="N1560" s="93">
        <f>VLOOKUP(B1560,'[16]01.수집 카테고리(List)'!$A$2:$H$64,8,FALSE)</f>
        <v>99991231</v>
      </c>
      <c r="O1560" s="93" t="s">
        <v>646</v>
      </c>
    </row>
    <row r="1561" spans="1:15" hidden="1">
      <c r="A1561" s="75" t="str">
        <f t="shared" si="58"/>
        <v>INAMAZON_LGWashing Machinewashing machinewashing machine</v>
      </c>
      <c r="B1561" s="94" t="str">
        <f t="shared" si="59"/>
        <v>IN_AMAZON_LG</v>
      </c>
      <c r="C1561" s="93" t="s">
        <v>302</v>
      </c>
      <c r="D1561" s="93" t="s">
        <v>303</v>
      </c>
      <c r="E1561" s="93" t="s">
        <v>2333</v>
      </c>
      <c r="F1561" s="93" t="s">
        <v>2340</v>
      </c>
      <c r="G1561" s="93" t="s">
        <v>2340</v>
      </c>
      <c r="H1561" s="93" t="e">
        <v>#N/A</v>
      </c>
      <c r="I1561" s="105" t="s">
        <v>2310</v>
      </c>
      <c r="J1561" s="93" t="s">
        <v>189</v>
      </c>
      <c r="K1561" s="93">
        <v>1065</v>
      </c>
      <c r="L1561" s="93">
        <v>1065</v>
      </c>
      <c r="M1561" s="93" t="s">
        <v>2311</v>
      </c>
      <c r="N1561" s="93">
        <f>VLOOKUP(B1561,'[16]01.수집 카테고리(List)'!$A$2:$H$64,8,FALSE)</f>
        <v>99991231</v>
      </c>
      <c r="O1561" s="93" t="s">
        <v>646</v>
      </c>
    </row>
    <row r="1562" spans="1:15" hidden="1">
      <c r="A1562" s="75" t="str">
        <f t="shared" si="58"/>
        <v>INAMAZON_LGWater PurifierHOT &amp; COLD Water Purifier HOT &amp; COLD Water Purifier</v>
      </c>
      <c r="B1562" s="94" t="str">
        <f t="shared" si="59"/>
        <v>IN_AMAZON_LG</v>
      </c>
      <c r="C1562" s="93" t="s">
        <v>302</v>
      </c>
      <c r="D1562" s="93" t="s">
        <v>303</v>
      </c>
      <c r="E1562" s="93" t="s">
        <v>3014</v>
      </c>
      <c r="F1562" s="93" t="s">
        <v>3015</v>
      </c>
      <c r="G1562" s="93" t="s">
        <v>3016</v>
      </c>
      <c r="H1562" s="93" t="e">
        <v>#N/A</v>
      </c>
      <c r="I1562" s="105" t="s">
        <v>2310</v>
      </c>
      <c r="J1562" s="93" t="s">
        <v>189</v>
      </c>
      <c r="K1562" s="93">
        <v>1762</v>
      </c>
      <c r="L1562" s="93" t="e">
        <v>#N/A</v>
      </c>
      <c r="M1562" s="93" t="s">
        <v>2311</v>
      </c>
      <c r="N1562" s="93">
        <f>VLOOKUP(B1562,'[16]01.수집 카테고리(List)'!$A$2:$H$64,8,FALSE)</f>
        <v>99991231</v>
      </c>
      <c r="O1562" s="93" t="s">
        <v>646</v>
      </c>
    </row>
    <row r="1563" spans="1:15" hidden="1">
      <c r="A1563" s="75" t="str">
        <f t="shared" si="58"/>
        <v>INAMAZON_LGWater PurifierRO Water PurifierRO Water Purifier</v>
      </c>
      <c r="B1563" s="94" t="str">
        <f t="shared" si="59"/>
        <v>IN_AMAZON_LG</v>
      </c>
      <c r="C1563" s="93" t="s">
        <v>302</v>
      </c>
      <c r="D1563" s="93" t="s">
        <v>303</v>
      </c>
      <c r="E1563" s="93" t="s">
        <v>3014</v>
      </c>
      <c r="F1563" s="93" t="s">
        <v>3017</v>
      </c>
      <c r="G1563" s="93" t="s">
        <v>3017</v>
      </c>
      <c r="H1563" s="93" t="e">
        <v>#N/A</v>
      </c>
      <c r="I1563" s="105" t="s">
        <v>2310</v>
      </c>
      <c r="J1563" s="93" t="s">
        <v>189</v>
      </c>
      <c r="K1563" s="93">
        <v>2271</v>
      </c>
      <c r="L1563" s="93">
        <v>2271</v>
      </c>
      <c r="M1563" s="93" t="s">
        <v>2311</v>
      </c>
      <c r="N1563" s="93">
        <f>VLOOKUP(B1563,'[16]01.수집 카테고리(List)'!$A$2:$H$64,8,FALSE)</f>
        <v>99991231</v>
      </c>
      <c r="O1563" s="93" t="s">
        <v>646</v>
      </c>
    </row>
    <row r="1564" spans="1:15" hidden="1">
      <c r="A1564" s="75" t="str">
        <f t="shared" si="58"/>
        <v>INAMAZON_LGWater PurifierSTS TANK Water Purifier STS TANK Water Purifier</v>
      </c>
      <c r="B1564" s="94" t="str">
        <f t="shared" si="59"/>
        <v>IN_AMAZON_LG</v>
      </c>
      <c r="C1564" s="93" t="s">
        <v>302</v>
      </c>
      <c r="D1564" s="93" t="s">
        <v>303</v>
      </c>
      <c r="E1564" s="93" t="s">
        <v>3014</v>
      </c>
      <c r="F1564" s="93" t="s">
        <v>3018</v>
      </c>
      <c r="G1564" s="93" t="s">
        <v>3019</v>
      </c>
      <c r="H1564" s="93" t="e">
        <v>#N/A</v>
      </c>
      <c r="I1564" s="105" t="s">
        <v>2310</v>
      </c>
      <c r="J1564" s="93" t="s">
        <v>189</v>
      </c>
      <c r="K1564" s="93">
        <v>305</v>
      </c>
      <c r="L1564" s="93" t="e">
        <v>#N/A</v>
      </c>
      <c r="M1564" s="93" t="s">
        <v>2311</v>
      </c>
      <c r="N1564" s="93">
        <f>VLOOKUP(B1564,'[16]01.수집 카테고리(List)'!$A$2:$H$64,8,FALSE)</f>
        <v>99991231</v>
      </c>
      <c r="O1564" s="93" t="s">
        <v>646</v>
      </c>
    </row>
    <row r="1565" spans="1:15" hidden="1">
      <c r="A1565" s="75" t="str">
        <f t="shared" si="58"/>
        <v>INAMAZON_LGWater PurifierUF Water PurifierUF Water Purifier</v>
      </c>
      <c r="B1565" s="94" t="str">
        <f t="shared" si="59"/>
        <v>IN_AMAZON_LG</v>
      </c>
      <c r="C1565" s="93" t="s">
        <v>302</v>
      </c>
      <c r="D1565" s="93" t="s">
        <v>303</v>
      </c>
      <c r="E1565" s="93" t="s">
        <v>3014</v>
      </c>
      <c r="F1565" s="93" t="s">
        <v>3020</v>
      </c>
      <c r="G1565" s="93" t="s">
        <v>3020</v>
      </c>
      <c r="H1565" s="93" t="e">
        <v>#N/A</v>
      </c>
      <c r="I1565" s="105" t="s">
        <v>2310</v>
      </c>
      <c r="J1565" s="93" t="s">
        <v>189</v>
      </c>
      <c r="K1565" s="93">
        <v>3428</v>
      </c>
      <c r="L1565" s="93">
        <v>3428</v>
      </c>
      <c r="M1565" s="93" t="s">
        <v>2311</v>
      </c>
      <c r="N1565" s="93">
        <f>VLOOKUP(B1565,'[16]01.수집 카테고리(List)'!$A$2:$H$64,8,FALSE)</f>
        <v>99991231</v>
      </c>
      <c r="O1565" s="93" t="s">
        <v>646</v>
      </c>
    </row>
    <row r="1566" spans="1:15" hidden="1">
      <c r="A1566" s="75" t="str">
        <f t="shared" si="58"/>
        <v>INAMAZON_LGWater PurifierUV Water PurifierUV Water Purifier</v>
      </c>
      <c r="B1566" s="94" t="str">
        <f t="shared" si="59"/>
        <v>IN_AMAZON_LG</v>
      </c>
      <c r="C1566" s="93" t="s">
        <v>302</v>
      </c>
      <c r="D1566" s="93" t="s">
        <v>303</v>
      </c>
      <c r="E1566" s="93" t="s">
        <v>3014</v>
      </c>
      <c r="F1566" s="93" t="s">
        <v>3021</v>
      </c>
      <c r="G1566" s="93" t="s">
        <v>3021</v>
      </c>
      <c r="H1566" s="93" t="e">
        <v>#N/A</v>
      </c>
      <c r="I1566" s="105" t="s">
        <v>2310</v>
      </c>
      <c r="J1566" s="93" t="s">
        <v>189</v>
      </c>
      <c r="K1566" s="93">
        <v>2447</v>
      </c>
      <c r="L1566" s="93">
        <v>2447</v>
      </c>
      <c r="M1566" s="93" t="s">
        <v>2311</v>
      </c>
      <c r="N1566" s="93">
        <f>VLOOKUP(B1566,'[16]01.수집 카테고리(List)'!$A$2:$H$64,8,FALSE)</f>
        <v>99991231</v>
      </c>
      <c r="O1566" s="93" t="s">
        <v>646</v>
      </c>
    </row>
    <row r="1567" spans="1:15" hidden="1">
      <c r="A1567" s="75" t="str">
        <f t="shared" si="58"/>
        <v>INAMAZON_LGWater PurifierWater PurifierWater Purifier</v>
      </c>
      <c r="B1567" s="94" t="str">
        <f t="shared" si="59"/>
        <v>IN_AMAZON_LG</v>
      </c>
      <c r="C1567" s="93" t="s">
        <v>302</v>
      </c>
      <c r="D1567" s="93" t="s">
        <v>303</v>
      </c>
      <c r="E1567" s="93" t="s">
        <v>3014</v>
      </c>
      <c r="F1567" s="93" t="s">
        <v>3014</v>
      </c>
      <c r="G1567" s="93" t="s">
        <v>3014</v>
      </c>
      <c r="H1567" s="93" t="e">
        <v>#N/A</v>
      </c>
      <c r="I1567" s="105" t="s">
        <v>2310</v>
      </c>
      <c r="J1567" s="93" t="s">
        <v>189</v>
      </c>
      <c r="K1567" s="93">
        <v>1722</v>
      </c>
      <c r="L1567" s="93">
        <v>1722</v>
      </c>
      <c r="M1567" s="93" t="s">
        <v>2311</v>
      </c>
      <c r="N1567" s="93">
        <f>VLOOKUP(B1567,'[16]01.수집 카테고리(List)'!$A$2:$H$64,8,FALSE)</f>
        <v>99991231</v>
      </c>
      <c r="O1567" s="93" t="s">
        <v>646</v>
      </c>
    </row>
    <row r="1568" spans="1:15" hidden="1">
      <c r="A1568" s="75" t="str">
        <f t="shared" si="58"/>
        <v>INAMAZON_LGWIRELESS HEADSETEarbudsEarbuds</v>
      </c>
      <c r="B1568" s="94" t="str">
        <f t="shared" si="59"/>
        <v>IN_AMAZON_LG</v>
      </c>
      <c r="C1568" s="93" t="s">
        <v>302</v>
      </c>
      <c r="D1568" s="93" t="s">
        <v>303</v>
      </c>
      <c r="E1568" s="93" t="s">
        <v>2201</v>
      </c>
      <c r="F1568" s="93" t="s">
        <v>2534</v>
      </c>
      <c r="G1568" s="93" t="s">
        <v>2534</v>
      </c>
      <c r="H1568" s="93" t="e">
        <v>#N/A</v>
      </c>
      <c r="I1568" s="105" t="s">
        <v>2310</v>
      </c>
      <c r="J1568" s="93" t="s">
        <v>189</v>
      </c>
      <c r="K1568" s="93">
        <v>1877</v>
      </c>
      <c r="L1568" s="93">
        <v>1877</v>
      </c>
      <c r="M1568" s="93" t="s">
        <v>2311</v>
      </c>
      <c r="N1568" s="93">
        <f>VLOOKUP(B1568,'[16]01.수집 카테고리(List)'!$A$2:$H$64,8,FALSE)</f>
        <v>99991231</v>
      </c>
      <c r="O1568" s="93" t="s">
        <v>646</v>
      </c>
    </row>
    <row r="1569" spans="1:15" hidden="1">
      <c r="A1569" s="75" t="str">
        <f t="shared" si="58"/>
        <v>INAMAZON_LGWIRELESS HEADSETNoise Cancelling EarbudsNoise Cancelling Earbuds</v>
      </c>
      <c r="B1569" s="94" t="str">
        <f t="shared" si="59"/>
        <v>IN_AMAZON_LG</v>
      </c>
      <c r="C1569" s="93" t="s">
        <v>302</v>
      </c>
      <c r="D1569" s="93" t="s">
        <v>303</v>
      </c>
      <c r="E1569" s="93" t="s">
        <v>2201</v>
      </c>
      <c r="F1569" s="93" t="s">
        <v>3022</v>
      </c>
      <c r="G1569" s="93" t="s">
        <v>3022</v>
      </c>
      <c r="H1569" s="93" t="e">
        <v>#N/A</v>
      </c>
      <c r="I1569" s="105" t="s">
        <v>2310</v>
      </c>
      <c r="J1569" s="93" t="s">
        <v>189</v>
      </c>
      <c r="K1569" s="93">
        <v>5619</v>
      </c>
      <c r="L1569" s="93">
        <v>5619</v>
      </c>
      <c r="M1569" s="93" t="s">
        <v>2311</v>
      </c>
      <c r="N1569" s="93">
        <f>VLOOKUP(B1569,'[16]01.수집 카테고리(List)'!$A$2:$H$64,8,FALSE)</f>
        <v>99991231</v>
      </c>
      <c r="O1569" s="93" t="s">
        <v>646</v>
      </c>
    </row>
    <row r="1570" spans="1:15" hidden="1">
      <c r="A1570" s="75" t="str">
        <f t="shared" si="58"/>
        <v>INAMAZON_LGWIRELESS HEADSETTrue Wireless EarbudsTrue Wireless Earbuds</v>
      </c>
      <c r="B1570" s="94" t="str">
        <f t="shared" si="59"/>
        <v>IN_AMAZON_LG</v>
      </c>
      <c r="C1570" s="93" t="s">
        <v>302</v>
      </c>
      <c r="D1570" s="93" t="s">
        <v>303</v>
      </c>
      <c r="E1570" s="93" t="s">
        <v>2201</v>
      </c>
      <c r="F1570" s="93" t="s">
        <v>3023</v>
      </c>
      <c r="G1570" s="93" t="s">
        <v>3023</v>
      </c>
      <c r="H1570" s="93" t="e">
        <v>#N/A</v>
      </c>
      <c r="I1570" s="105" t="s">
        <v>2310</v>
      </c>
      <c r="J1570" s="93" t="s">
        <v>189</v>
      </c>
      <c r="K1570" s="93">
        <v>1898</v>
      </c>
      <c r="L1570" s="93">
        <v>1898</v>
      </c>
      <c r="M1570" s="93" t="s">
        <v>2311</v>
      </c>
      <c r="N1570" s="93">
        <f>VLOOKUP(B1570,'[16]01.수집 카테고리(List)'!$A$2:$H$64,8,FALSE)</f>
        <v>99991231</v>
      </c>
      <c r="O1570" s="93" t="s">
        <v>646</v>
      </c>
    </row>
    <row r="1571" spans="1:15" hidden="1">
      <c r="A1571" s="75" t="str">
        <f t="shared" si="58"/>
        <v>INAMAZON_LGWIRELESS HEADSETTruly Wireless EarbudsTruly Wireless Earbuds</v>
      </c>
      <c r="B1571" s="94" t="str">
        <f t="shared" si="59"/>
        <v>IN_AMAZON_LG</v>
      </c>
      <c r="C1571" s="93" t="s">
        <v>302</v>
      </c>
      <c r="D1571" s="93" t="s">
        <v>303</v>
      </c>
      <c r="E1571" s="93" t="s">
        <v>2201</v>
      </c>
      <c r="F1571" s="93" t="s">
        <v>3024</v>
      </c>
      <c r="G1571" s="93" t="s">
        <v>3024</v>
      </c>
      <c r="H1571" s="93" t="e">
        <v>#N/A</v>
      </c>
      <c r="I1571" s="105" t="s">
        <v>2310</v>
      </c>
      <c r="J1571" s="93" t="s">
        <v>189</v>
      </c>
      <c r="K1571" s="93">
        <v>1948</v>
      </c>
      <c r="L1571" s="93">
        <v>1948</v>
      </c>
      <c r="M1571" s="93" t="s">
        <v>2311</v>
      </c>
      <c r="N1571" s="93">
        <f>VLOOKUP(B1571,'[16]01.수집 카테고리(List)'!$A$2:$H$64,8,FALSE)</f>
        <v>99991231</v>
      </c>
      <c r="O1571" s="93" t="s">
        <v>646</v>
      </c>
    </row>
    <row r="1572" spans="1:15" hidden="1">
      <c r="A1572" s="75" t="str">
        <f t="shared" si="58"/>
        <v>INAMAZON_LGWIRELESS HEADSETWireless EarbudsWireless Earbuds</v>
      </c>
      <c r="B1572" s="94" t="str">
        <f t="shared" si="59"/>
        <v>IN_AMAZON_LG</v>
      </c>
      <c r="C1572" s="93" t="s">
        <v>302</v>
      </c>
      <c r="D1572" s="93" t="s">
        <v>303</v>
      </c>
      <c r="E1572" s="93" t="s">
        <v>2201</v>
      </c>
      <c r="F1572" s="93" t="s">
        <v>2760</v>
      </c>
      <c r="G1572" s="93" t="s">
        <v>2760</v>
      </c>
      <c r="H1572" s="93" t="e">
        <v>#N/A</v>
      </c>
      <c r="I1572" s="105" t="s">
        <v>2310</v>
      </c>
      <c r="J1572" s="93" t="s">
        <v>189</v>
      </c>
      <c r="K1572" s="93">
        <v>1770</v>
      </c>
      <c r="L1572" s="93">
        <v>1770</v>
      </c>
      <c r="M1572" s="93" t="s">
        <v>2311</v>
      </c>
      <c r="N1572" s="93">
        <f>VLOOKUP(B1572,'[16]01.수집 카테고리(List)'!$A$2:$H$64,8,FALSE)</f>
        <v>99991231</v>
      </c>
      <c r="O1572" s="93" t="s">
        <v>646</v>
      </c>
    </row>
    <row r="1573" spans="1:15" s="108" customFormat="1" hidden="1">
      <c r="A1573" s="108" t="str">
        <f t="shared" si="58"/>
        <v>INAMAZON_LGDryerDryerDryer</v>
      </c>
      <c r="B1573" s="109" t="str">
        <f t="shared" si="59"/>
        <v>IN_AMAZON_LG</v>
      </c>
      <c r="C1573" s="110" t="s">
        <v>302</v>
      </c>
      <c r="D1573" s="110" t="s">
        <v>303</v>
      </c>
      <c r="E1573" s="110" t="s">
        <v>2535</v>
      </c>
      <c r="F1573" s="110" t="s">
        <v>2431</v>
      </c>
      <c r="G1573" s="110" t="s">
        <v>2431</v>
      </c>
      <c r="H1573" s="93" t="e">
        <v>#N/A</v>
      </c>
      <c r="I1573" s="99">
        <v>46076</v>
      </c>
      <c r="J1573" s="83" t="s">
        <v>189</v>
      </c>
      <c r="K1573" s="110"/>
      <c r="L1573" s="110"/>
      <c r="M1573" s="110"/>
      <c r="N1573" s="110"/>
      <c r="O1573" s="110"/>
    </row>
    <row r="1574" spans="1:15" s="108" customFormat="1" hidden="1">
      <c r="A1574" s="108" t="str">
        <f t="shared" si="58"/>
        <v>INAMAZON_LGDryerheatpump  heatpump</v>
      </c>
      <c r="B1574" s="109" t="str">
        <f t="shared" si="59"/>
        <v>IN_AMAZON_LG</v>
      </c>
      <c r="C1574" s="110" t="s">
        <v>302</v>
      </c>
      <c r="D1574" s="110" t="s">
        <v>303</v>
      </c>
      <c r="E1574" s="110" t="s">
        <v>2535</v>
      </c>
      <c r="F1574" s="110" t="s">
        <v>2432</v>
      </c>
      <c r="G1574" s="110" t="s">
        <v>2433</v>
      </c>
      <c r="H1574" s="93" t="e">
        <v>#N/A</v>
      </c>
      <c r="I1574" s="99">
        <v>46076</v>
      </c>
      <c r="J1574" s="83" t="s">
        <v>189</v>
      </c>
      <c r="K1574" s="110"/>
      <c r="L1574" s="110"/>
      <c r="M1574" s="110"/>
      <c r="N1574" s="110"/>
      <c r="O1574" s="110"/>
    </row>
    <row r="1575" spans="1:15" s="108" customFormat="1" hidden="1">
      <c r="A1575" s="108" t="str">
        <f t="shared" si="58"/>
        <v>INAMAZON_LGDryerLG DryerLG Dryer</v>
      </c>
      <c r="B1575" s="109" t="str">
        <f t="shared" si="59"/>
        <v>IN_AMAZON_LG</v>
      </c>
      <c r="C1575" s="110" t="s">
        <v>302</v>
      </c>
      <c r="D1575" s="110" t="s">
        <v>303</v>
      </c>
      <c r="E1575" s="110" t="s">
        <v>2535</v>
      </c>
      <c r="F1575" s="110" t="s">
        <v>2434</v>
      </c>
      <c r="G1575" s="110" t="s">
        <v>2434</v>
      </c>
      <c r="H1575" s="93" t="e">
        <v>#N/A</v>
      </c>
      <c r="I1575" s="99">
        <v>46076</v>
      </c>
      <c r="J1575" s="83" t="s">
        <v>189</v>
      </c>
      <c r="K1575" s="110"/>
      <c r="L1575" s="110"/>
      <c r="M1575" s="110"/>
      <c r="N1575" s="110"/>
      <c r="O1575" s="110"/>
    </row>
    <row r="1576" spans="1:15" hidden="1">
      <c r="A1576" s="75" t="str">
        <f t="shared" si="58"/>
        <v>INFLIPKARTBluetooth Speakerbluetooth speakerblootooth speekar</v>
      </c>
      <c r="B1576" s="94" t="str">
        <f t="shared" si="59"/>
        <v>IN_FLIPKART</v>
      </c>
      <c r="C1576" s="93" t="s">
        <v>302</v>
      </c>
      <c r="D1576" s="93" t="s">
        <v>595</v>
      </c>
      <c r="E1576" s="93" t="s">
        <v>2307</v>
      </c>
      <c r="F1576" s="93" t="s">
        <v>2657</v>
      </c>
      <c r="G1576" s="93" t="s">
        <v>3003</v>
      </c>
      <c r="H1576" s="93" t="e">
        <v>#N/A</v>
      </c>
      <c r="I1576" s="105" t="s">
        <v>2310</v>
      </c>
      <c r="J1576" s="93" t="s">
        <v>189</v>
      </c>
      <c r="K1576" s="93">
        <v>7837</v>
      </c>
      <c r="L1576" s="93" t="e">
        <v>#N/A</v>
      </c>
      <c r="M1576" s="93" t="s">
        <v>2311</v>
      </c>
      <c r="N1576" s="93">
        <f>VLOOKUP(B1576,'[16]01.수집 카테고리(List)'!$A$2:$H$64,8,FALSE)</f>
        <v>99991231</v>
      </c>
      <c r="O1576" s="93" t="s">
        <v>646</v>
      </c>
    </row>
    <row r="1577" spans="1:15" hidden="1">
      <c r="A1577" s="75" t="str">
        <f t="shared" si="58"/>
        <v>INFLIPKARTBluetooth Speakerbluetooth speaker portableblootooth speekar portebal</v>
      </c>
      <c r="B1577" s="94" t="str">
        <f t="shared" si="59"/>
        <v>IN_FLIPKART</v>
      </c>
      <c r="C1577" s="93" t="s">
        <v>302</v>
      </c>
      <c r="D1577" s="93" t="s">
        <v>595</v>
      </c>
      <c r="E1577" s="93" t="s">
        <v>2307</v>
      </c>
      <c r="F1577" s="93" t="s">
        <v>2479</v>
      </c>
      <c r="G1577" s="93" t="s">
        <v>3004</v>
      </c>
      <c r="H1577" s="93" t="e">
        <v>#N/A</v>
      </c>
      <c r="I1577" s="105" t="s">
        <v>2310</v>
      </c>
      <c r="J1577" s="93" t="s">
        <v>189</v>
      </c>
      <c r="K1577" s="93">
        <v>6050</v>
      </c>
      <c r="L1577" s="93" t="e">
        <v>#N/A</v>
      </c>
      <c r="M1577" s="93" t="s">
        <v>2311</v>
      </c>
      <c r="N1577" s="93">
        <f>VLOOKUP(B1577,'[16]01.수집 카테고리(List)'!$A$2:$H$64,8,FALSE)</f>
        <v>99991231</v>
      </c>
      <c r="O1577" s="93" t="s">
        <v>646</v>
      </c>
    </row>
    <row r="1578" spans="1:15" hidden="1">
      <c r="A1578" s="75" t="str">
        <f t="shared" si="58"/>
        <v>INFLIPKARTBluetooth Speakerportable speakersportebal speekar</v>
      </c>
      <c r="B1578" s="94" t="str">
        <f t="shared" si="59"/>
        <v>IN_FLIPKART</v>
      </c>
      <c r="C1578" s="93" t="s">
        <v>302</v>
      </c>
      <c r="D1578" s="93" t="s">
        <v>595</v>
      </c>
      <c r="E1578" s="93" t="s">
        <v>2307</v>
      </c>
      <c r="F1578" s="93" t="s">
        <v>2473</v>
      </c>
      <c r="G1578" s="93" t="s">
        <v>3005</v>
      </c>
      <c r="H1578" s="93" t="e">
        <v>#N/A</v>
      </c>
      <c r="I1578" s="105" t="s">
        <v>2310</v>
      </c>
      <c r="J1578" s="93" t="s">
        <v>189</v>
      </c>
      <c r="K1578" s="93">
        <v>9579</v>
      </c>
      <c r="L1578" s="93" t="e">
        <v>#N/A</v>
      </c>
      <c r="M1578" s="93" t="s">
        <v>2311</v>
      </c>
      <c r="N1578" s="93">
        <f>VLOOKUP(B1578,'[16]01.수집 카테고리(List)'!$A$2:$H$64,8,FALSE)</f>
        <v>99991231</v>
      </c>
      <c r="O1578" s="93" t="s">
        <v>646</v>
      </c>
    </row>
    <row r="1579" spans="1:15" hidden="1">
      <c r="A1579" s="75" t="str">
        <f t="shared" si="58"/>
        <v>INFLIPKARTBluetooth Speakerwireless portable speakersvaayarales portebal speekar</v>
      </c>
      <c r="B1579" s="94" t="str">
        <f t="shared" si="59"/>
        <v>IN_FLIPKART</v>
      </c>
      <c r="C1579" s="93" t="s">
        <v>302</v>
      </c>
      <c r="D1579" s="93" t="s">
        <v>595</v>
      </c>
      <c r="E1579" s="93" t="s">
        <v>2307</v>
      </c>
      <c r="F1579" s="93" t="s">
        <v>2475</v>
      </c>
      <c r="G1579" s="93" t="s">
        <v>3006</v>
      </c>
      <c r="H1579" s="93" t="e">
        <v>#N/A</v>
      </c>
      <c r="I1579" s="105" t="s">
        <v>2310</v>
      </c>
      <c r="J1579" s="93" t="s">
        <v>189</v>
      </c>
      <c r="K1579" s="93">
        <v>10895</v>
      </c>
      <c r="L1579" s="93" t="e">
        <v>#N/A</v>
      </c>
      <c r="M1579" s="93" t="s">
        <v>2311</v>
      </c>
      <c r="N1579" s="93">
        <f>VLOOKUP(B1579,'[16]01.수집 카테고리(List)'!$A$2:$H$64,8,FALSE)</f>
        <v>99991231</v>
      </c>
      <c r="O1579" s="93" t="s">
        <v>646</v>
      </c>
    </row>
    <row r="1580" spans="1:15" hidden="1">
      <c r="A1580" s="75" t="str">
        <f t="shared" si="58"/>
        <v>INFLIPKARTBluetooth Speakerspeakersvaktaon</v>
      </c>
      <c r="B1580" s="94" t="str">
        <f t="shared" si="59"/>
        <v>IN_FLIPKART</v>
      </c>
      <c r="C1580" s="93" t="s">
        <v>302</v>
      </c>
      <c r="D1580" s="93" t="s">
        <v>595</v>
      </c>
      <c r="E1580" s="93" t="s">
        <v>2307</v>
      </c>
      <c r="F1580" s="93" t="s">
        <v>2471</v>
      </c>
      <c r="G1580" s="93" t="s">
        <v>3007</v>
      </c>
      <c r="H1580" s="93" t="e">
        <v>#N/A</v>
      </c>
      <c r="I1580" s="105" t="s">
        <v>2310</v>
      </c>
      <c r="J1580" s="93" t="s">
        <v>189</v>
      </c>
      <c r="K1580" s="93">
        <v>5368</v>
      </c>
      <c r="L1580" s="93" t="e">
        <v>#N/A</v>
      </c>
      <c r="M1580" s="93" t="s">
        <v>2311</v>
      </c>
      <c r="N1580" s="93">
        <f>VLOOKUP(B1580,'[16]01.수집 카테고리(List)'!$A$2:$H$64,8,FALSE)</f>
        <v>99991231</v>
      </c>
      <c r="O1580" s="93" t="s">
        <v>646</v>
      </c>
    </row>
    <row r="1581" spans="1:15" hidden="1">
      <c r="A1581" s="75" t="str">
        <f t="shared" si="58"/>
        <v>INFLIPKARTDISHWASHERBuilt in Dish washerBuilt in Dish washer</v>
      </c>
      <c r="B1581" s="94" t="str">
        <f t="shared" si="59"/>
        <v>IN_FLIPKART</v>
      </c>
      <c r="C1581" s="93" t="s">
        <v>302</v>
      </c>
      <c r="D1581" s="93" t="s">
        <v>595</v>
      </c>
      <c r="E1581" s="93" t="s">
        <v>169</v>
      </c>
      <c r="F1581" s="93" t="s">
        <v>2356</v>
      </c>
      <c r="G1581" s="93" t="s">
        <v>2356</v>
      </c>
      <c r="H1581" s="93" t="e">
        <v>#N/A</v>
      </c>
      <c r="I1581" s="105" t="s">
        <v>2310</v>
      </c>
      <c r="J1581" s="93" t="s">
        <v>189</v>
      </c>
      <c r="K1581" s="93">
        <v>354</v>
      </c>
      <c r="L1581" s="93">
        <v>354</v>
      </c>
      <c r="M1581" s="93" t="s">
        <v>2311</v>
      </c>
      <c r="N1581" s="93">
        <f>VLOOKUP(B1581,'[16]01.수집 카테고리(List)'!$A$2:$H$64,8,FALSE)</f>
        <v>99991231</v>
      </c>
      <c r="O1581" s="93" t="s">
        <v>646</v>
      </c>
    </row>
    <row r="1582" spans="1:15" hidden="1">
      <c r="A1582" s="75" t="str">
        <f t="shared" si="58"/>
        <v>INFLIPKARTDISHWASHERdishwasherdishwasher</v>
      </c>
      <c r="B1582" s="94" t="str">
        <f t="shared" si="59"/>
        <v>IN_FLIPKART</v>
      </c>
      <c r="C1582" s="93" t="s">
        <v>302</v>
      </c>
      <c r="D1582" s="93" t="s">
        <v>595</v>
      </c>
      <c r="E1582" s="93" t="s">
        <v>169</v>
      </c>
      <c r="F1582" s="93" t="s">
        <v>2354</v>
      </c>
      <c r="G1582" s="93" t="s">
        <v>2354</v>
      </c>
      <c r="H1582" s="93" t="e">
        <v>#N/A</v>
      </c>
      <c r="I1582" s="105" t="s">
        <v>2310</v>
      </c>
      <c r="J1582" s="93" t="s">
        <v>189</v>
      </c>
      <c r="K1582" s="93">
        <v>3712</v>
      </c>
      <c r="L1582" s="93">
        <v>3712</v>
      </c>
      <c r="M1582" s="93" t="s">
        <v>2311</v>
      </c>
      <c r="N1582" s="93">
        <f>VLOOKUP(B1582,'[16]01.수집 카테고리(List)'!$A$2:$H$64,8,FALSE)</f>
        <v>99991231</v>
      </c>
      <c r="O1582" s="93" t="s">
        <v>646</v>
      </c>
    </row>
    <row r="1583" spans="1:15" hidden="1">
      <c r="A1583" s="75" t="str">
        <f t="shared" si="58"/>
        <v>INFLIPKARTDISHWASHERFreestanding Dishwasher Freestanding Dishwasher</v>
      </c>
      <c r="B1583" s="94" t="str">
        <f t="shared" si="59"/>
        <v>IN_FLIPKART</v>
      </c>
      <c r="C1583" s="93" t="s">
        <v>302</v>
      </c>
      <c r="D1583" s="93" t="s">
        <v>595</v>
      </c>
      <c r="E1583" s="93" t="s">
        <v>169</v>
      </c>
      <c r="F1583" s="93" t="s">
        <v>2441</v>
      </c>
      <c r="G1583" s="93" t="s">
        <v>2352</v>
      </c>
      <c r="H1583" s="93" t="e">
        <v>#N/A</v>
      </c>
      <c r="I1583" s="105" t="s">
        <v>2310</v>
      </c>
      <c r="J1583" s="93" t="s">
        <v>189</v>
      </c>
      <c r="K1583" s="93">
        <v>2492</v>
      </c>
      <c r="L1583" s="93" t="e">
        <v>#N/A</v>
      </c>
      <c r="M1583" s="93" t="s">
        <v>2311</v>
      </c>
      <c r="N1583" s="93">
        <f>VLOOKUP(B1583,'[16]01.수집 카테고리(List)'!$A$2:$H$64,8,FALSE)</f>
        <v>99991231</v>
      </c>
      <c r="O1583" s="93" t="s">
        <v>646</v>
      </c>
    </row>
    <row r="1584" spans="1:15" hidden="1">
      <c r="A1584" s="75" t="str">
        <f t="shared" si="58"/>
        <v>INFLIPKARTMonitor4k monitor4k monitor</v>
      </c>
      <c r="B1584" s="94" t="str">
        <f t="shared" si="59"/>
        <v>IN_FLIPKART</v>
      </c>
      <c r="C1584" s="93" t="s">
        <v>302</v>
      </c>
      <c r="D1584" s="93" t="s">
        <v>595</v>
      </c>
      <c r="E1584" s="93" t="s">
        <v>2320</v>
      </c>
      <c r="F1584" s="93" t="s">
        <v>2321</v>
      </c>
      <c r="G1584" s="93" t="s">
        <v>2321</v>
      </c>
      <c r="H1584" s="93" t="e">
        <v>#N/A</v>
      </c>
      <c r="I1584" s="105" t="s">
        <v>2310</v>
      </c>
      <c r="J1584" s="93" t="s">
        <v>189</v>
      </c>
      <c r="K1584" s="93">
        <v>540</v>
      </c>
      <c r="L1584" s="93">
        <v>540</v>
      </c>
      <c r="M1584" s="93" t="s">
        <v>2311</v>
      </c>
      <c r="N1584" s="93">
        <f>VLOOKUP(B1584,'[16]01.수집 카테고리(List)'!$A$2:$H$64,8,FALSE)</f>
        <v>99991231</v>
      </c>
      <c r="O1584" s="93" t="s">
        <v>646</v>
      </c>
    </row>
    <row r="1585" spans="1:15" hidden="1">
      <c r="A1585" s="75" t="str">
        <f t="shared" si="58"/>
        <v>INFLIPKARTMonitorgaming monitorgaming monitor</v>
      </c>
      <c r="B1585" s="94" t="str">
        <f t="shared" si="59"/>
        <v>IN_FLIPKART</v>
      </c>
      <c r="C1585" s="93" t="s">
        <v>302</v>
      </c>
      <c r="D1585" s="93" t="s">
        <v>595</v>
      </c>
      <c r="E1585" s="93" t="s">
        <v>2320</v>
      </c>
      <c r="F1585" s="93" t="s">
        <v>2322</v>
      </c>
      <c r="G1585" s="93" t="s">
        <v>2322</v>
      </c>
      <c r="H1585" s="93" t="e">
        <v>#N/A</v>
      </c>
      <c r="I1585" s="105" t="s">
        <v>2310</v>
      </c>
      <c r="J1585" s="93" t="s">
        <v>189</v>
      </c>
      <c r="K1585" s="93">
        <v>1159</v>
      </c>
      <c r="L1585" s="93">
        <v>1159</v>
      </c>
      <c r="M1585" s="93" t="s">
        <v>2311</v>
      </c>
      <c r="N1585" s="93">
        <f>VLOOKUP(B1585,'[16]01.수집 카테고리(List)'!$A$2:$H$64,8,FALSE)</f>
        <v>99991231</v>
      </c>
      <c r="O1585" s="93" t="s">
        <v>646</v>
      </c>
    </row>
    <row r="1586" spans="1:15" hidden="1">
      <c r="A1586" s="75" t="str">
        <f t="shared" si="58"/>
        <v>INFLIPKARTMonitormonitormonitor</v>
      </c>
      <c r="B1586" s="94" t="str">
        <f t="shared" si="59"/>
        <v>IN_FLIPKART</v>
      </c>
      <c r="C1586" s="93" t="s">
        <v>302</v>
      </c>
      <c r="D1586" s="93" t="s">
        <v>595</v>
      </c>
      <c r="E1586" s="93" t="s">
        <v>2320</v>
      </c>
      <c r="F1586" s="93" t="s">
        <v>2323</v>
      </c>
      <c r="G1586" s="93" t="s">
        <v>2323</v>
      </c>
      <c r="H1586" s="93" t="e">
        <v>#N/A</v>
      </c>
      <c r="I1586" s="105" t="s">
        <v>2310</v>
      </c>
      <c r="J1586" s="93" t="s">
        <v>189</v>
      </c>
      <c r="K1586" s="93">
        <v>3065</v>
      </c>
      <c r="L1586" s="93">
        <v>3065</v>
      </c>
      <c r="M1586" s="93" t="s">
        <v>2311</v>
      </c>
      <c r="N1586" s="93">
        <f>VLOOKUP(B1586,'[16]01.수집 카테고리(List)'!$A$2:$H$64,8,FALSE)</f>
        <v>99991231</v>
      </c>
      <c r="O1586" s="93" t="s">
        <v>646</v>
      </c>
    </row>
    <row r="1587" spans="1:15" hidden="1">
      <c r="A1587" s="75" t="str">
        <f t="shared" si="58"/>
        <v>INFLIPKARTMonitoruhd monitoruhd monitor</v>
      </c>
      <c r="B1587" s="94" t="str">
        <f t="shared" si="59"/>
        <v>IN_FLIPKART</v>
      </c>
      <c r="C1587" s="93" t="s">
        <v>302</v>
      </c>
      <c r="D1587" s="93" t="s">
        <v>595</v>
      </c>
      <c r="E1587" s="93" t="s">
        <v>2320</v>
      </c>
      <c r="F1587" s="93" t="s">
        <v>2324</v>
      </c>
      <c r="G1587" s="93" t="s">
        <v>2324</v>
      </c>
      <c r="H1587" s="93" t="e">
        <v>#N/A</v>
      </c>
      <c r="I1587" s="105" t="s">
        <v>2310</v>
      </c>
      <c r="J1587" s="93" t="s">
        <v>189</v>
      </c>
      <c r="K1587" s="93">
        <v>575</v>
      </c>
      <c r="L1587" s="93">
        <v>575</v>
      </c>
      <c r="M1587" s="93" t="s">
        <v>2311</v>
      </c>
      <c r="N1587" s="93">
        <f>VLOOKUP(B1587,'[16]01.수집 카테고리(List)'!$A$2:$H$64,8,FALSE)</f>
        <v>99991231</v>
      </c>
      <c r="O1587" s="93" t="s">
        <v>646</v>
      </c>
    </row>
    <row r="1588" spans="1:15" hidden="1">
      <c r="A1588" s="75" t="str">
        <f t="shared" si="58"/>
        <v>INFLIPKARTMonitorultrawide monitorultrawide monitor</v>
      </c>
      <c r="B1588" s="94" t="str">
        <f t="shared" si="59"/>
        <v>IN_FLIPKART</v>
      </c>
      <c r="C1588" s="93" t="s">
        <v>302</v>
      </c>
      <c r="D1588" s="93" t="s">
        <v>595</v>
      </c>
      <c r="E1588" s="93" t="s">
        <v>2320</v>
      </c>
      <c r="F1588" s="93" t="s">
        <v>2325</v>
      </c>
      <c r="G1588" s="93" t="s">
        <v>2325</v>
      </c>
      <c r="H1588" s="93" t="e">
        <v>#N/A</v>
      </c>
      <c r="I1588" s="105" t="s">
        <v>2310</v>
      </c>
      <c r="J1588" s="93" t="s">
        <v>189</v>
      </c>
      <c r="K1588" s="93">
        <v>193</v>
      </c>
      <c r="L1588" s="93">
        <v>193</v>
      </c>
      <c r="M1588" s="93" t="s">
        <v>2311</v>
      </c>
      <c r="N1588" s="93">
        <f>VLOOKUP(B1588,'[16]01.수집 카테고리(List)'!$A$2:$H$64,8,FALSE)</f>
        <v>99991231</v>
      </c>
      <c r="O1588" s="93" t="s">
        <v>646</v>
      </c>
    </row>
    <row r="1589" spans="1:15" hidden="1">
      <c r="A1589" s="75" t="str">
        <f t="shared" si="58"/>
        <v>INFLIPKARTRefrigeratorbottom freezer refrigeratorbottom freezer refrigerator</v>
      </c>
      <c r="B1589" s="94" t="str">
        <f t="shared" si="59"/>
        <v>IN_FLIPKART</v>
      </c>
      <c r="C1589" s="93" t="s">
        <v>302</v>
      </c>
      <c r="D1589" s="93" t="s">
        <v>595</v>
      </c>
      <c r="E1589" s="93" t="s">
        <v>2326</v>
      </c>
      <c r="F1589" s="93" t="s">
        <v>2327</v>
      </c>
      <c r="G1589" s="93" t="s">
        <v>2327</v>
      </c>
      <c r="H1589" s="93" t="e">
        <v>#N/A</v>
      </c>
      <c r="I1589" s="105" t="s">
        <v>2310</v>
      </c>
      <c r="J1589" s="93" t="s">
        <v>189</v>
      </c>
      <c r="K1589" s="93">
        <v>147</v>
      </c>
      <c r="L1589" s="93">
        <v>147</v>
      </c>
      <c r="M1589" s="93" t="s">
        <v>2311</v>
      </c>
      <c r="N1589" s="93">
        <f>VLOOKUP(B1589,'[16]01.수집 카테고리(List)'!$A$2:$H$64,8,FALSE)</f>
        <v>99991231</v>
      </c>
      <c r="O1589" s="93" t="s">
        <v>646</v>
      </c>
    </row>
    <row r="1590" spans="1:15" hidden="1">
      <c r="A1590" s="75" t="str">
        <f t="shared" si="58"/>
        <v>INFLIPKARTRefrigeratorfrench door refrigeratordouble door refrigerator</v>
      </c>
      <c r="B1590" s="94" t="str">
        <f t="shared" si="59"/>
        <v>IN_FLIPKART</v>
      </c>
      <c r="C1590" s="93" t="s">
        <v>302</v>
      </c>
      <c r="D1590" s="93" t="s">
        <v>595</v>
      </c>
      <c r="E1590" s="93" t="s">
        <v>2326</v>
      </c>
      <c r="F1590" s="93" t="s">
        <v>2328</v>
      </c>
      <c r="G1590" s="93" t="s">
        <v>3008</v>
      </c>
      <c r="H1590" s="93" t="e">
        <v>#N/A</v>
      </c>
      <c r="I1590" s="105" t="s">
        <v>2310</v>
      </c>
      <c r="J1590" s="93" t="s">
        <v>189</v>
      </c>
      <c r="K1590" s="93">
        <v>2361</v>
      </c>
      <c r="L1590" s="93" t="e">
        <v>#N/A</v>
      </c>
      <c r="M1590" s="93" t="s">
        <v>2311</v>
      </c>
      <c r="N1590" s="93">
        <f>VLOOKUP(B1590,'[16]01.수집 카테고리(List)'!$A$2:$H$64,8,FALSE)</f>
        <v>99991231</v>
      </c>
      <c r="O1590" s="93" t="s">
        <v>646</v>
      </c>
    </row>
    <row r="1591" spans="1:15" hidden="1">
      <c r="A1591" s="75" t="str">
        <f t="shared" si="58"/>
        <v>INFLIPKARTRefrigeratorfridgefridge</v>
      </c>
      <c r="B1591" s="94" t="str">
        <f t="shared" si="59"/>
        <v>IN_FLIPKART</v>
      </c>
      <c r="C1591" s="93" t="s">
        <v>302</v>
      </c>
      <c r="D1591" s="93" t="s">
        <v>595</v>
      </c>
      <c r="E1591" s="93" t="s">
        <v>2326</v>
      </c>
      <c r="F1591" s="93" t="s">
        <v>2414</v>
      </c>
      <c r="G1591" s="93" t="s">
        <v>2414</v>
      </c>
      <c r="H1591" s="93" t="e">
        <v>#N/A</v>
      </c>
      <c r="I1591" s="105" t="s">
        <v>2310</v>
      </c>
      <c r="J1591" s="93" t="s">
        <v>189</v>
      </c>
      <c r="K1591" s="93">
        <v>4193</v>
      </c>
      <c r="L1591" s="93">
        <v>4193</v>
      </c>
      <c r="M1591" s="93" t="s">
        <v>2311</v>
      </c>
      <c r="N1591" s="93">
        <f>VLOOKUP(B1591,'[16]01.수집 카테고리(List)'!$A$2:$H$64,8,FALSE)</f>
        <v>99991231</v>
      </c>
      <c r="O1591" s="93" t="s">
        <v>646</v>
      </c>
    </row>
    <row r="1592" spans="1:15" hidden="1">
      <c r="A1592" s="75" t="str">
        <f t="shared" si="58"/>
        <v>INFLIPKARTRefrigeratorrefrigeratorrefrigerator</v>
      </c>
      <c r="B1592" s="94" t="str">
        <f t="shared" si="59"/>
        <v>IN_FLIPKART</v>
      </c>
      <c r="C1592" s="93" t="s">
        <v>302</v>
      </c>
      <c r="D1592" s="93" t="s">
        <v>595</v>
      </c>
      <c r="E1592" s="93" t="s">
        <v>2326</v>
      </c>
      <c r="F1592" s="93" t="s">
        <v>2329</v>
      </c>
      <c r="G1592" s="93" t="s">
        <v>2329</v>
      </c>
      <c r="H1592" s="93" t="e">
        <v>#N/A</v>
      </c>
      <c r="I1592" s="105" t="s">
        <v>2310</v>
      </c>
      <c r="J1592" s="93" t="s">
        <v>189</v>
      </c>
      <c r="K1592" s="93">
        <v>4191</v>
      </c>
      <c r="L1592" s="93">
        <v>4191</v>
      </c>
      <c r="M1592" s="93" t="s">
        <v>2311</v>
      </c>
      <c r="N1592" s="93">
        <f>VLOOKUP(B1592,'[16]01.수집 카테고리(List)'!$A$2:$H$64,8,FALSE)</f>
        <v>99991231</v>
      </c>
      <c r="O1592" s="93" t="s">
        <v>646</v>
      </c>
    </row>
    <row r="1593" spans="1:15" hidden="1">
      <c r="A1593" s="75" t="str">
        <f t="shared" si="58"/>
        <v>INFLIPKARTRefrigeratorside by side refrigeratorside by side refrigerator</v>
      </c>
      <c r="B1593" s="94" t="str">
        <f t="shared" si="59"/>
        <v>IN_FLIPKART</v>
      </c>
      <c r="C1593" s="93" t="s">
        <v>302</v>
      </c>
      <c r="D1593" s="93" t="s">
        <v>595</v>
      </c>
      <c r="E1593" s="93" t="s">
        <v>2326</v>
      </c>
      <c r="F1593" s="93" t="s">
        <v>2330</v>
      </c>
      <c r="G1593" s="93" t="s">
        <v>2330</v>
      </c>
      <c r="H1593" s="93" t="e">
        <v>#N/A</v>
      </c>
      <c r="I1593" s="105" t="s">
        <v>2310</v>
      </c>
      <c r="J1593" s="93" t="s">
        <v>189</v>
      </c>
      <c r="K1593" s="93">
        <v>609</v>
      </c>
      <c r="L1593" s="93">
        <v>609</v>
      </c>
      <c r="M1593" s="93" t="s">
        <v>2311</v>
      </c>
      <c r="N1593" s="93">
        <f>VLOOKUP(B1593,'[16]01.수집 카테고리(List)'!$A$2:$H$64,8,FALSE)</f>
        <v>99991231</v>
      </c>
      <c r="O1593" s="93" t="s">
        <v>646</v>
      </c>
    </row>
    <row r="1594" spans="1:15" hidden="1">
      <c r="A1594" s="75" t="str">
        <f t="shared" si="58"/>
        <v>INFLIPKARTRefrigeratortop freezer refrigeratortop freezer refrigerator</v>
      </c>
      <c r="B1594" s="94" t="str">
        <f t="shared" si="59"/>
        <v>IN_FLIPKART</v>
      </c>
      <c r="C1594" s="93" t="s">
        <v>302</v>
      </c>
      <c r="D1594" s="93" t="s">
        <v>595</v>
      </c>
      <c r="E1594" s="93" t="s">
        <v>2326</v>
      </c>
      <c r="F1594" s="93" t="s">
        <v>2332</v>
      </c>
      <c r="G1594" s="93" t="s">
        <v>2332</v>
      </c>
      <c r="H1594" s="93" t="e">
        <v>#N/A</v>
      </c>
      <c r="I1594" s="105" t="s">
        <v>2310</v>
      </c>
      <c r="J1594" s="93" t="s">
        <v>189</v>
      </c>
      <c r="K1594" s="93">
        <v>3420</v>
      </c>
      <c r="L1594" s="93">
        <v>3420</v>
      </c>
      <c r="M1594" s="93" t="s">
        <v>2311</v>
      </c>
      <c r="N1594" s="93">
        <f>VLOOKUP(B1594,'[16]01.수집 카테고리(List)'!$A$2:$H$64,8,FALSE)</f>
        <v>99991231</v>
      </c>
      <c r="O1594" s="93" t="s">
        <v>646</v>
      </c>
    </row>
    <row r="1595" spans="1:15" hidden="1">
      <c r="A1595" s="75" t="str">
        <f t="shared" si="58"/>
        <v>INFLIPKARTSOUNDBARSound barSound bar</v>
      </c>
      <c r="B1595" s="94" t="str">
        <f t="shared" si="59"/>
        <v>IN_FLIPKART</v>
      </c>
      <c r="C1595" s="93" t="s">
        <v>302</v>
      </c>
      <c r="D1595" s="93" t="s">
        <v>595</v>
      </c>
      <c r="E1595" s="93" t="s">
        <v>165</v>
      </c>
      <c r="F1595" s="93" t="s">
        <v>2365</v>
      </c>
      <c r="G1595" s="93" t="s">
        <v>2365</v>
      </c>
      <c r="H1595" s="93" t="e">
        <v>#N/A</v>
      </c>
      <c r="I1595" s="105" t="s">
        <v>2310</v>
      </c>
      <c r="J1595" s="93" t="s">
        <v>189</v>
      </c>
      <c r="K1595" s="93">
        <v>3091</v>
      </c>
      <c r="L1595" s="93">
        <v>3091</v>
      </c>
      <c r="M1595" s="93" t="s">
        <v>2311</v>
      </c>
      <c r="N1595" s="93">
        <f>VLOOKUP(B1595,'[16]01.수집 카테고리(List)'!$A$2:$H$64,8,FALSE)</f>
        <v>99991231</v>
      </c>
      <c r="O1595" s="93" t="s">
        <v>646</v>
      </c>
    </row>
    <row r="1596" spans="1:15" hidden="1">
      <c r="A1596" s="75" t="str">
        <f t="shared" si="58"/>
        <v>INFLIPKARTSOUNDBARSound barsSound bars</v>
      </c>
      <c r="B1596" s="94" t="str">
        <f t="shared" si="59"/>
        <v>IN_FLIPKART</v>
      </c>
      <c r="C1596" s="93" t="s">
        <v>302</v>
      </c>
      <c r="D1596" s="93" t="s">
        <v>595</v>
      </c>
      <c r="E1596" s="93" t="s">
        <v>165</v>
      </c>
      <c r="F1596" s="93" t="s">
        <v>2366</v>
      </c>
      <c r="G1596" s="93" t="s">
        <v>2366</v>
      </c>
      <c r="H1596" s="93" t="e">
        <v>#N/A</v>
      </c>
      <c r="I1596" s="105" t="s">
        <v>2310</v>
      </c>
      <c r="J1596" s="93" t="s">
        <v>189</v>
      </c>
      <c r="K1596" s="93">
        <v>2608</v>
      </c>
      <c r="L1596" s="93">
        <v>2608</v>
      </c>
      <c r="M1596" s="93" t="s">
        <v>2311</v>
      </c>
      <c r="N1596" s="93">
        <f>VLOOKUP(B1596,'[16]01.수집 카테고리(List)'!$A$2:$H$64,8,FALSE)</f>
        <v>99991231</v>
      </c>
      <c r="O1596" s="93" t="s">
        <v>646</v>
      </c>
    </row>
    <row r="1597" spans="1:15" hidden="1">
      <c r="A1597" s="75" t="str">
        <f t="shared" si="58"/>
        <v>INFLIPKARTSOUNDBARSoundbarSoundbar</v>
      </c>
      <c r="B1597" s="94" t="str">
        <f t="shared" si="59"/>
        <v>IN_FLIPKART</v>
      </c>
      <c r="C1597" s="93" t="s">
        <v>302</v>
      </c>
      <c r="D1597" s="93" t="s">
        <v>595</v>
      </c>
      <c r="E1597" s="93" t="s">
        <v>165</v>
      </c>
      <c r="F1597" s="93" t="s">
        <v>2363</v>
      </c>
      <c r="G1597" s="93" t="s">
        <v>2363</v>
      </c>
      <c r="H1597" s="93" t="e">
        <v>#N/A</v>
      </c>
      <c r="I1597" s="105" t="s">
        <v>2310</v>
      </c>
      <c r="J1597" s="93" t="s">
        <v>189</v>
      </c>
      <c r="K1597" s="93">
        <v>3270</v>
      </c>
      <c r="L1597" s="93">
        <v>3270</v>
      </c>
      <c r="M1597" s="93" t="s">
        <v>2311</v>
      </c>
      <c r="N1597" s="93">
        <f>VLOOKUP(B1597,'[16]01.수집 카테고리(List)'!$A$2:$H$64,8,FALSE)</f>
        <v>99991231</v>
      </c>
      <c r="O1597" s="93" t="s">
        <v>646</v>
      </c>
    </row>
    <row r="1598" spans="1:15" hidden="1">
      <c r="A1598" s="75" t="str">
        <f t="shared" si="58"/>
        <v>INFLIPKARTSOUNDBARSoundbarsSoundbars</v>
      </c>
      <c r="B1598" s="94" t="str">
        <f t="shared" si="59"/>
        <v>IN_FLIPKART</v>
      </c>
      <c r="C1598" s="93" t="s">
        <v>302</v>
      </c>
      <c r="D1598" s="93" t="s">
        <v>595</v>
      </c>
      <c r="E1598" s="93" t="s">
        <v>165</v>
      </c>
      <c r="F1598" s="93" t="s">
        <v>2361</v>
      </c>
      <c r="G1598" s="93" t="s">
        <v>2361</v>
      </c>
      <c r="H1598" s="93" t="e">
        <v>#N/A</v>
      </c>
      <c r="I1598" s="105" t="s">
        <v>2310</v>
      </c>
      <c r="J1598" s="93" t="s">
        <v>189</v>
      </c>
      <c r="K1598" s="93">
        <v>2823</v>
      </c>
      <c r="L1598" s="93">
        <v>2823</v>
      </c>
      <c r="M1598" s="93" t="s">
        <v>2311</v>
      </c>
      <c r="N1598" s="93">
        <f>VLOOKUP(B1598,'[16]01.수집 카테고리(List)'!$A$2:$H$64,8,FALSE)</f>
        <v>99991231</v>
      </c>
      <c r="O1598" s="93" t="s">
        <v>646</v>
      </c>
    </row>
    <row r="1599" spans="1:15" hidden="1">
      <c r="A1599" s="75" t="str">
        <f t="shared" si="58"/>
        <v>INFLIPKARTTV4k TV4k TV</v>
      </c>
      <c r="B1599" s="94" t="str">
        <f t="shared" si="59"/>
        <v>IN_FLIPKART</v>
      </c>
      <c r="C1599" s="93" t="s">
        <v>302</v>
      </c>
      <c r="D1599" s="93" t="s">
        <v>595</v>
      </c>
      <c r="E1599" s="93" t="s">
        <v>161</v>
      </c>
      <c r="F1599" s="93" t="s">
        <v>2368</v>
      </c>
      <c r="G1599" s="93" t="s">
        <v>2368</v>
      </c>
      <c r="H1599" s="93" t="e">
        <v>#N/A</v>
      </c>
      <c r="I1599" s="105" t="s">
        <v>2310</v>
      </c>
      <c r="J1599" s="93" t="s">
        <v>189</v>
      </c>
      <c r="K1599" s="93">
        <v>4426</v>
      </c>
      <c r="L1599" s="93">
        <v>4426</v>
      </c>
      <c r="M1599" s="93" t="s">
        <v>2311</v>
      </c>
      <c r="N1599" s="93">
        <f>VLOOKUP(B1599,'[16]01.수집 카테고리(List)'!$A$2:$H$64,8,FALSE)</f>
        <v>99991231</v>
      </c>
      <c r="O1599" s="93" t="s">
        <v>646</v>
      </c>
    </row>
    <row r="1600" spans="1:15" hidden="1">
      <c r="A1600" s="75" t="str">
        <f t="shared" si="58"/>
        <v>INFLIPKARTTVled TVled TV</v>
      </c>
      <c r="B1600" s="94" t="str">
        <f t="shared" si="59"/>
        <v>IN_FLIPKART</v>
      </c>
      <c r="C1600" s="93" t="s">
        <v>302</v>
      </c>
      <c r="D1600" s="93" t="s">
        <v>595</v>
      </c>
      <c r="E1600" s="93" t="s">
        <v>161</v>
      </c>
      <c r="F1600" s="93" t="s">
        <v>3009</v>
      </c>
      <c r="G1600" s="93" t="s">
        <v>3009</v>
      </c>
      <c r="H1600" s="93" t="e">
        <v>#N/A</v>
      </c>
      <c r="I1600" s="105" t="s">
        <v>2310</v>
      </c>
      <c r="J1600" s="93" t="s">
        <v>189</v>
      </c>
      <c r="K1600" s="93">
        <v>5710</v>
      </c>
      <c r="L1600" s="93">
        <v>5710</v>
      </c>
      <c r="M1600" s="93" t="s">
        <v>2311</v>
      </c>
      <c r="N1600" s="93">
        <f>VLOOKUP(B1600,'[16]01.수집 카테고리(List)'!$A$2:$H$64,8,FALSE)</f>
        <v>99991231</v>
      </c>
      <c r="O1600" s="93" t="s">
        <v>646</v>
      </c>
    </row>
    <row r="1601" spans="1:15" hidden="1">
      <c r="A1601" s="75" t="str">
        <f t="shared" si="58"/>
        <v>INFLIPKARTTVoled TVoled TV</v>
      </c>
      <c r="B1601" s="94" t="str">
        <f t="shared" si="59"/>
        <v>IN_FLIPKART</v>
      </c>
      <c r="C1601" s="93" t="s">
        <v>302</v>
      </c>
      <c r="D1601" s="93" t="s">
        <v>595</v>
      </c>
      <c r="E1601" s="93" t="s">
        <v>161</v>
      </c>
      <c r="F1601" s="93" t="s">
        <v>2369</v>
      </c>
      <c r="G1601" s="93" t="s">
        <v>2369</v>
      </c>
      <c r="H1601" s="93" t="e">
        <v>#N/A</v>
      </c>
      <c r="I1601" s="105" t="s">
        <v>2310</v>
      </c>
      <c r="J1601" s="93" t="s">
        <v>189</v>
      </c>
      <c r="K1601" s="93">
        <v>1301</v>
      </c>
      <c r="L1601" s="93">
        <v>1301</v>
      </c>
      <c r="M1601" s="93" t="s">
        <v>2311</v>
      </c>
      <c r="N1601" s="93">
        <f>VLOOKUP(B1601,'[16]01.수집 카테고리(List)'!$A$2:$H$64,8,FALSE)</f>
        <v>99991231</v>
      </c>
      <c r="O1601" s="93" t="s">
        <v>646</v>
      </c>
    </row>
    <row r="1602" spans="1:15" hidden="1">
      <c r="A1602" s="75" t="str">
        <f t="shared" si="58"/>
        <v>INFLIPKARTTVsmart TVsmart TV</v>
      </c>
      <c r="B1602" s="94" t="str">
        <f t="shared" si="59"/>
        <v>IN_FLIPKART</v>
      </c>
      <c r="C1602" s="93" t="s">
        <v>302</v>
      </c>
      <c r="D1602" s="93" t="s">
        <v>595</v>
      </c>
      <c r="E1602" s="93" t="s">
        <v>161</v>
      </c>
      <c r="F1602" s="93" t="s">
        <v>2371</v>
      </c>
      <c r="G1602" s="93" t="s">
        <v>2371</v>
      </c>
      <c r="H1602" s="93" t="e">
        <v>#N/A</v>
      </c>
      <c r="I1602" s="105" t="s">
        <v>2310</v>
      </c>
      <c r="J1602" s="93" t="s">
        <v>189</v>
      </c>
      <c r="K1602" s="93">
        <v>5693</v>
      </c>
      <c r="L1602" s="93">
        <v>5693</v>
      </c>
      <c r="M1602" s="93" t="s">
        <v>2311</v>
      </c>
      <c r="N1602" s="93">
        <f>VLOOKUP(B1602,'[16]01.수집 카테고리(List)'!$A$2:$H$64,8,FALSE)</f>
        <v>99991231</v>
      </c>
      <c r="O1602" s="93" t="s">
        <v>646</v>
      </c>
    </row>
    <row r="1603" spans="1:15" hidden="1">
      <c r="A1603" s="75" t="str">
        <f t="shared" si="58"/>
        <v>INFLIPKARTTVTVTV</v>
      </c>
      <c r="B1603" s="94" t="str">
        <f t="shared" si="59"/>
        <v>IN_FLIPKART</v>
      </c>
      <c r="C1603" s="93" t="s">
        <v>302</v>
      </c>
      <c r="D1603" s="93" t="s">
        <v>595</v>
      </c>
      <c r="E1603" s="93" t="s">
        <v>161</v>
      </c>
      <c r="F1603" s="93" t="s">
        <v>161</v>
      </c>
      <c r="G1603" s="93" t="s">
        <v>161</v>
      </c>
      <c r="H1603" s="93" t="e">
        <v>#N/A</v>
      </c>
      <c r="I1603" s="105" t="s">
        <v>2310</v>
      </c>
      <c r="J1603" s="93" t="s">
        <v>189</v>
      </c>
      <c r="K1603" s="93">
        <v>6442</v>
      </c>
      <c r="L1603" s="93">
        <v>6442</v>
      </c>
      <c r="M1603" s="93" t="s">
        <v>2311</v>
      </c>
      <c r="N1603" s="93">
        <f>VLOOKUP(B1603,'[16]01.수집 카테고리(List)'!$A$2:$H$64,8,FALSE)</f>
        <v>99991231</v>
      </c>
      <c r="O1603" s="93" t="s">
        <v>646</v>
      </c>
    </row>
    <row r="1604" spans="1:15" hidden="1">
      <c r="A1604" s="75" t="str">
        <f t="shared" si="58"/>
        <v>INFLIPKARTTVuhd TVuhd TV</v>
      </c>
      <c r="B1604" s="94" t="str">
        <f t="shared" si="59"/>
        <v>IN_FLIPKART</v>
      </c>
      <c r="C1604" s="93" t="s">
        <v>302</v>
      </c>
      <c r="D1604" s="93" t="s">
        <v>595</v>
      </c>
      <c r="E1604" s="93" t="s">
        <v>161</v>
      </c>
      <c r="F1604" s="93" t="s">
        <v>2399</v>
      </c>
      <c r="G1604" s="93" t="s">
        <v>2399</v>
      </c>
      <c r="H1604" s="93" t="e">
        <v>#N/A</v>
      </c>
      <c r="I1604" s="105" t="s">
        <v>2310</v>
      </c>
      <c r="J1604" s="93" t="s">
        <v>189</v>
      </c>
      <c r="K1604" s="93">
        <v>4631</v>
      </c>
      <c r="L1604" s="93">
        <v>4631</v>
      </c>
      <c r="M1604" s="93" t="s">
        <v>2311</v>
      </c>
      <c r="N1604" s="93">
        <f>VLOOKUP(B1604,'[16]01.수집 카테고리(List)'!$A$2:$H$64,8,FALSE)</f>
        <v>99991231</v>
      </c>
      <c r="O1604" s="93" t="s">
        <v>646</v>
      </c>
    </row>
    <row r="1605" spans="1:15" hidden="1">
      <c r="A1605" s="75" t="str">
        <f t="shared" ref="A1605:A1668" si="60">C1605&amp;D1605&amp;E1605&amp;F1605&amp;G1605</f>
        <v>INFLIPKARTWashing Machineautomatic washing machineautomatic washing machine</v>
      </c>
      <c r="B1605" s="94" t="str">
        <f t="shared" ref="B1605:B1668" si="61">C1605&amp;"_"&amp;D1605</f>
        <v>IN_FLIPKART</v>
      </c>
      <c r="C1605" s="93" t="s">
        <v>302</v>
      </c>
      <c r="D1605" s="93" t="s">
        <v>595</v>
      </c>
      <c r="E1605" s="93" t="s">
        <v>2333</v>
      </c>
      <c r="F1605" s="93" t="s">
        <v>3010</v>
      </c>
      <c r="G1605" s="93" t="s">
        <v>3010</v>
      </c>
      <c r="H1605" s="93" t="e">
        <v>#N/A</v>
      </c>
      <c r="I1605" s="105" t="s">
        <v>2310</v>
      </c>
      <c r="J1605" s="93" t="s">
        <v>189</v>
      </c>
      <c r="K1605" s="93">
        <v>4303</v>
      </c>
      <c r="L1605" s="93">
        <v>4303</v>
      </c>
      <c r="M1605" s="93" t="s">
        <v>2311</v>
      </c>
      <c r="N1605" s="93">
        <f>VLOOKUP(B1605,'[16]01.수집 카테고리(List)'!$A$2:$H$64,8,FALSE)</f>
        <v>99991231</v>
      </c>
      <c r="O1605" s="93" t="s">
        <v>646</v>
      </c>
    </row>
    <row r="1606" spans="1:15" hidden="1">
      <c r="A1606" s="75" t="str">
        <f t="shared" si="60"/>
        <v>INFLIPKARTWashing Machinefront loaderfront load washing machine</v>
      </c>
      <c r="B1606" s="94" t="str">
        <f t="shared" si="61"/>
        <v>IN_FLIPKART</v>
      </c>
      <c r="C1606" s="93" t="s">
        <v>302</v>
      </c>
      <c r="D1606" s="93" t="s">
        <v>595</v>
      </c>
      <c r="E1606" s="93" t="s">
        <v>2333</v>
      </c>
      <c r="F1606" s="93" t="s">
        <v>2334</v>
      </c>
      <c r="G1606" s="93" t="s">
        <v>3011</v>
      </c>
      <c r="H1606" s="93" t="e">
        <v>#N/A</v>
      </c>
      <c r="I1606" s="105" t="s">
        <v>2310</v>
      </c>
      <c r="J1606" s="93" t="s">
        <v>189</v>
      </c>
      <c r="K1606" s="93">
        <v>1615</v>
      </c>
      <c r="L1606" s="93" t="e">
        <v>#N/A</v>
      </c>
      <c r="M1606" s="93" t="s">
        <v>2311</v>
      </c>
      <c r="N1606" s="93">
        <f>VLOOKUP(B1606,'[16]01.수집 카테고리(List)'!$A$2:$H$64,8,FALSE)</f>
        <v>99991231</v>
      </c>
      <c r="O1606" s="93" t="s">
        <v>646</v>
      </c>
    </row>
    <row r="1607" spans="1:15" hidden="1">
      <c r="A1607" s="75" t="str">
        <f t="shared" si="60"/>
        <v>INFLIPKARTWashing Machinesemi automatic washing machinesemi automatic washing machine</v>
      </c>
      <c r="B1607" s="94" t="str">
        <f t="shared" si="61"/>
        <v>IN_FLIPKART</v>
      </c>
      <c r="C1607" s="93" t="s">
        <v>302</v>
      </c>
      <c r="D1607" s="93" t="s">
        <v>595</v>
      </c>
      <c r="E1607" s="93" t="s">
        <v>2333</v>
      </c>
      <c r="F1607" s="93" t="s">
        <v>3012</v>
      </c>
      <c r="G1607" s="93" t="s">
        <v>3012</v>
      </c>
      <c r="H1607" s="93" t="e">
        <v>#N/A</v>
      </c>
      <c r="I1607" s="105" t="s">
        <v>2310</v>
      </c>
      <c r="J1607" s="93" t="s">
        <v>189</v>
      </c>
      <c r="K1607" s="93">
        <v>1859</v>
      </c>
      <c r="L1607" s="93">
        <v>1859</v>
      </c>
      <c r="M1607" s="93" t="s">
        <v>2311</v>
      </c>
      <c r="N1607" s="93">
        <f>VLOOKUP(B1607,'[16]01.수집 카테고리(List)'!$A$2:$H$64,8,FALSE)</f>
        <v>99991231</v>
      </c>
      <c r="O1607" s="93" t="s">
        <v>646</v>
      </c>
    </row>
    <row r="1608" spans="1:15" hidden="1">
      <c r="A1608" s="75" t="str">
        <f t="shared" si="60"/>
        <v>INFLIPKARTWashing Machinetop loadertop load washing machine</v>
      </c>
      <c r="B1608" s="94" t="str">
        <f t="shared" si="61"/>
        <v>IN_FLIPKART</v>
      </c>
      <c r="C1608" s="93" t="s">
        <v>302</v>
      </c>
      <c r="D1608" s="93" t="s">
        <v>595</v>
      </c>
      <c r="E1608" s="93" t="s">
        <v>2333</v>
      </c>
      <c r="F1608" s="93" t="s">
        <v>2336</v>
      </c>
      <c r="G1608" s="93" t="s">
        <v>3013</v>
      </c>
      <c r="H1608" s="93" t="e">
        <v>#N/A</v>
      </c>
      <c r="I1608" s="105" t="s">
        <v>2310</v>
      </c>
      <c r="J1608" s="93" t="s">
        <v>189</v>
      </c>
      <c r="K1608" s="93">
        <v>3181</v>
      </c>
      <c r="L1608" s="93" t="e">
        <v>#N/A</v>
      </c>
      <c r="M1608" s="93" t="s">
        <v>2311</v>
      </c>
      <c r="N1608" s="93">
        <f>VLOOKUP(B1608,'[16]01.수집 카테고리(List)'!$A$2:$H$64,8,FALSE)</f>
        <v>99991231</v>
      </c>
      <c r="O1608" s="93" t="s">
        <v>646</v>
      </c>
    </row>
    <row r="1609" spans="1:15" hidden="1">
      <c r="A1609" s="75" t="str">
        <f t="shared" si="60"/>
        <v>INFLIPKARTWashing Machinewasher dryerwasher dryer</v>
      </c>
      <c r="B1609" s="94" t="str">
        <f t="shared" si="61"/>
        <v>IN_FLIPKART</v>
      </c>
      <c r="C1609" s="93" t="s">
        <v>302</v>
      </c>
      <c r="D1609" s="93" t="s">
        <v>595</v>
      </c>
      <c r="E1609" s="93" t="s">
        <v>2333</v>
      </c>
      <c r="F1609" s="93" t="s">
        <v>2339</v>
      </c>
      <c r="G1609" s="93" t="s">
        <v>2339</v>
      </c>
      <c r="H1609" s="93" t="e">
        <v>#N/A</v>
      </c>
      <c r="I1609" s="105" t="s">
        <v>2310</v>
      </c>
      <c r="J1609" s="93" t="s">
        <v>189</v>
      </c>
      <c r="K1609" s="93">
        <v>510</v>
      </c>
      <c r="L1609" s="93">
        <v>510</v>
      </c>
      <c r="M1609" s="93" t="s">
        <v>2311</v>
      </c>
      <c r="N1609" s="93">
        <f>VLOOKUP(B1609,'[16]01.수집 카테고리(List)'!$A$2:$H$64,8,FALSE)</f>
        <v>99991231</v>
      </c>
      <c r="O1609" s="93" t="s">
        <v>646</v>
      </c>
    </row>
    <row r="1610" spans="1:15" hidden="1">
      <c r="A1610" s="75" t="str">
        <f t="shared" si="60"/>
        <v>INFLIPKARTWashing Machinewashing machinewashing machine</v>
      </c>
      <c r="B1610" s="94" t="str">
        <f t="shared" si="61"/>
        <v>IN_FLIPKART</v>
      </c>
      <c r="C1610" s="93" t="s">
        <v>302</v>
      </c>
      <c r="D1610" s="93" t="s">
        <v>595</v>
      </c>
      <c r="E1610" s="93" t="s">
        <v>2333</v>
      </c>
      <c r="F1610" s="93" t="s">
        <v>2340</v>
      </c>
      <c r="G1610" s="93" t="s">
        <v>2340</v>
      </c>
      <c r="H1610" s="93" t="e">
        <v>#N/A</v>
      </c>
      <c r="I1610" s="105" t="s">
        <v>2310</v>
      </c>
      <c r="J1610" s="93" t="s">
        <v>189</v>
      </c>
      <c r="K1610" s="93">
        <v>4172</v>
      </c>
      <c r="L1610" s="93">
        <v>4172</v>
      </c>
      <c r="M1610" s="93" t="s">
        <v>2311</v>
      </c>
      <c r="N1610" s="93">
        <f>VLOOKUP(B1610,'[16]01.수집 카테고리(List)'!$A$2:$H$64,8,FALSE)</f>
        <v>99991231</v>
      </c>
      <c r="O1610" s="93" t="s">
        <v>646</v>
      </c>
    </row>
    <row r="1611" spans="1:15" hidden="1">
      <c r="A1611" s="75" t="str">
        <f t="shared" si="60"/>
        <v>INFLIPKARTWater PurifierHOT &amp; COLD Water Purifier HOT &amp; COLD Water Purifier</v>
      </c>
      <c r="B1611" s="94" t="str">
        <f t="shared" si="61"/>
        <v>IN_FLIPKART</v>
      </c>
      <c r="C1611" s="93" t="s">
        <v>302</v>
      </c>
      <c r="D1611" s="93" t="s">
        <v>595</v>
      </c>
      <c r="E1611" s="93" t="s">
        <v>3014</v>
      </c>
      <c r="F1611" s="93" t="s">
        <v>3015</v>
      </c>
      <c r="G1611" s="93" t="s">
        <v>3016</v>
      </c>
      <c r="H1611" s="93" t="e">
        <v>#N/A</v>
      </c>
      <c r="I1611" s="105" t="s">
        <v>2310</v>
      </c>
      <c r="J1611" s="93" t="s">
        <v>189</v>
      </c>
      <c r="K1611" s="93">
        <v>316</v>
      </c>
      <c r="L1611" s="93" t="e">
        <v>#N/A</v>
      </c>
      <c r="M1611" s="93" t="s">
        <v>2311</v>
      </c>
      <c r="N1611" s="93">
        <f>VLOOKUP(B1611,'[16]01.수집 카테고리(List)'!$A$2:$H$64,8,FALSE)</f>
        <v>99991231</v>
      </c>
      <c r="O1611" s="93" t="s">
        <v>646</v>
      </c>
    </row>
    <row r="1612" spans="1:15" hidden="1">
      <c r="A1612" s="75" t="str">
        <f t="shared" si="60"/>
        <v>INFLIPKARTWater PurifierRO Water PurifierRO Water Purifier</v>
      </c>
      <c r="B1612" s="94" t="str">
        <f t="shared" si="61"/>
        <v>IN_FLIPKART</v>
      </c>
      <c r="C1612" s="93" t="s">
        <v>302</v>
      </c>
      <c r="D1612" s="93" t="s">
        <v>595</v>
      </c>
      <c r="E1612" s="93" t="s">
        <v>3014</v>
      </c>
      <c r="F1612" s="93" t="s">
        <v>3017</v>
      </c>
      <c r="G1612" s="93" t="s">
        <v>3017</v>
      </c>
      <c r="H1612" s="93" t="e">
        <v>#N/A</v>
      </c>
      <c r="I1612" s="105" t="s">
        <v>2310</v>
      </c>
      <c r="J1612" s="93" t="s">
        <v>189</v>
      </c>
      <c r="K1612" s="93">
        <v>7059</v>
      </c>
      <c r="L1612" s="93">
        <v>7059</v>
      </c>
      <c r="M1612" s="93" t="s">
        <v>2311</v>
      </c>
      <c r="N1612" s="93">
        <f>VLOOKUP(B1612,'[16]01.수집 카테고리(List)'!$A$2:$H$64,8,FALSE)</f>
        <v>99991231</v>
      </c>
      <c r="O1612" s="93" t="s">
        <v>646</v>
      </c>
    </row>
    <row r="1613" spans="1:15" hidden="1">
      <c r="A1613" s="75" t="str">
        <f t="shared" si="60"/>
        <v>INFLIPKARTWater PurifierSTS TANK Water Purifier STS TANK Water Purifier</v>
      </c>
      <c r="B1613" s="94" t="str">
        <f t="shared" si="61"/>
        <v>IN_FLIPKART</v>
      </c>
      <c r="C1613" s="93" t="s">
        <v>302</v>
      </c>
      <c r="D1613" s="93" t="s">
        <v>595</v>
      </c>
      <c r="E1613" s="93" t="s">
        <v>3014</v>
      </c>
      <c r="F1613" s="93" t="s">
        <v>3018</v>
      </c>
      <c r="G1613" s="93" t="s">
        <v>3019</v>
      </c>
      <c r="H1613" s="93" t="e">
        <v>#N/A</v>
      </c>
      <c r="I1613" s="105" t="s">
        <v>2310</v>
      </c>
      <c r="J1613" s="93" t="s">
        <v>189</v>
      </c>
      <c r="K1613" s="93">
        <v>2522</v>
      </c>
      <c r="L1613" s="93" t="e">
        <v>#N/A</v>
      </c>
      <c r="M1613" s="93" t="s">
        <v>2311</v>
      </c>
      <c r="N1613" s="93">
        <f>VLOOKUP(B1613,'[16]01.수집 카테고리(List)'!$A$2:$H$64,8,FALSE)</f>
        <v>99991231</v>
      </c>
      <c r="O1613" s="93" t="s">
        <v>646</v>
      </c>
    </row>
    <row r="1614" spans="1:15" hidden="1">
      <c r="A1614" s="75" t="str">
        <f t="shared" si="60"/>
        <v>INFLIPKARTWater PurifierUF Water PurifierUF Water Purifier</v>
      </c>
      <c r="B1614" s="94" t="str">
        <f t="shared" si="61"/>
        <v>IN_FLIPKART</v>
      </c>
      <c r="C1614" s="93" t="s">
        <v>302</v>
      </c>
      <c r="D1614" s="93" t="s">
        <v>595</v>
      </c>
      <c r="E1614" s="93" t="s">
        <v>3014</v>
      </c>
      <c r="F1614" s="93" t="s">
        <v>3020</v>
      </c>
      <c r="G1614" s="93" t="s">
        <v>3020</v>
      </c>
      <c r="H1614" s="93" t="e">
        <v>#N/A</v>
      </c>
      <c r="I1614" s="105" t="s">
        <v>2310</v>
      </c>
      <c r="J1614" s="93" t="s">
        <v>189</v>
      </c>
      <c r="K1614" s="93">
        <v>7370</v>
      </c>
      <c r="L1614" s="93">
        <v>7370</v>
      </c>
      <c r="M1614" s="93" t="s">
        <v>2311</v>
      </c>
      <c r="N1614" s="93">
        <f>VLOOKUP(B1614,'[16]01.수집 카테고리(List)'!$A$2:$H$64,8,FALSE)</f>
        <v>99991231</v>
      </c>
      <c r="O1614" s="93" t="s">
        <v>646</v>
      </c>
    </row>
    <row r="1615" spans="1:15" hidden="1">
      <c r="A1615" s="75" t="str">
        <f t="shared" si="60"/>
        <v>INFLIPKARTWater PurifierUV Water PurifierUV Water Purifier</v>
      </c>
      <c r="B1615" s="94" t="str">
        <f t="shared" si="61"/>
        <v>IN_FLIPKART</v>
      </c>
      <c r="C1615" s="93" t="s">
        <v>302</v>
      </c>
      <c r="D1615" s="93" t="s">
        <v>595</v>
      </c>
      <c r="E1615" s="93" t="s">
        <v>3014</v>
      </c>
      <c r="F1615" s="93" t="s">
        <v>3021</v>
      </c>
      <c r="G1615" s="93" t="s">
        <v>3021</v>
      </c>
      <c r="H1615" s="93" t="e">
        <v>#N/A</v>
      </c>
      <c r="I1615" s="105" t="s">
        <v>2310</v>
      </c>
      <c r="J1615" s="93" t="s">
        <v>189</v>
      </c>
      <c r="K1615" s="93">
        <v>7558</v>
      </c>
      <c r="L1615" s="93">
        <v>7558</v>
      </c>
      <c r="M1615" s="93" t="s">
        <v>2311</v>
      </c>
      <c r="N1615" s="93">
        <f>VLOOKUP(B1615,'[16]01.수집 카테고리(List)'!$A$2:$H$64,8,FALSE)</f>
        <v>99991231</v>
      </c>
      <c r="O1615" s="93" t="s">
        <v>646</v>
      </c>
    </row>
    <row r="1616" spans="1:15" hidden="1">
      <c r="A1616" s="75" t="str">
        <f t="shared" si="60"/>
        <v>INFLIPKARTWater PurifierWater PurifierWater Purifier</v>
      </c>
      <c r="B1616" s="94" t="str">
        <f t="shared" si="61"/>
        <v>IN_FLIPKART</v>
      </c>
      <c r="C1616" s="93" t="s">
        <v>302</v>
      </c>
      <c r="D1616" s="93" t="s">
        <v>595</v>
      </c>
      <c r="E1616" s="93" t="s">
        <v>3014</v>
      </c>
      <c r="F1616" s="93" t="s">
        <v>3014</v>
      </c>
      <c r="G1616" s="93" t="s">
        <v>3014</v>
      </c>
      <c r="H1616" s="93" t="e">
        <v>#N/A</v>
      </c>
      <c r="I1616" s="105" t="s">
        <v>2310</v>
      </c>
      <c r="J1616" s="93" t="s">
        <v>189</v>
      </c>
      <c r="K1616" s="93">
        <v>7169</v>
      </c>
      <c r="L1616" s="93">
        <v>7169</v>
      </c>
      <c r="M1616" s="93" t="s">
        <v>2311</v>
      </c>
      <c r="N1616" s="93">
        <f>VLOOKUP(B1616,'[16]01.수집 카테고리(List)'!$A$2:$H$64,8,FALSE)</f>
        <v>99991231</v>
      </c>
      <c r="O1616" s="93" t="s">
        <v>646</v>
      </c>
    </row>
    <row r="1617" spans="1:15" hidden="1">
      <c r="A1617" s="75" t="str">
        <f t="shared" si="60"/>
        <v>INFLIPKARTWIRELESS HEADSETEarbudsEarbuds</v>
      </c>
      <c r="B1617" s="94" t="str">
        <f t="shared" si="61"/>
        <v>IN_FLIPKART</v>
      </c>
      <c r="C1617" s="93" t="s">
        <v>302</v>
      </c>
      <c r="D1617" s="93" t="s">
        <v>595</v>
      </c>
      <c r="E1617" s="93" t="s">
        <v>2201</v>
      </c>
      <c r="F1617" s="93" t="s">
        <v>2534</v>
      </c>
      <c r="G1617" s="93" t="s">
        <v>2534</v>
      </c>
      <c r="H1617" s="93" t="e">
        <v>#N/A</v>
      </c>
      <c r="I1617" s="105" t="s">
        <v>2310</v>
      </c>
      <c r="J1617" s="93" t="s">
        <v>189</v>
      </c>
      <c r="K1617" s="93">
        <v>13111</v>
      </c>
      <c r="L1617" s="93">
        <v>13111</v>
      </c>
      <c r="M1617" s="93" t="s">
        <v>2311</v>
      </c>
      <c r="N1617" s="93">
        <f>VLOOKUP(B1617,'[16]01.수집 카테고리(List)'!$A$2:$H$64,8,FALSE)</f>
        <v>99991231</v>
      </c>
      <c r="O1617" s="93" t="s">
        <v>646</v>
      </c>
    </row>
    <row r="1618" spans="1:15" hidden="1">
      <c r="A1618" s="75" t="str">
        <f t="shared" si="60"/>
        <v>INFLIPKARTWIRELESS HEADSETNoise Cancelling EarbudsNoise Cancelling Earbuds</v>
      </c>
      <c r="B1618" s="94" t="str">
        <f t="shared" si="61"/>
        <v>IN_FLIPKART</v>
      </c>
      <c r="C1618" s="93" t="s">
        <v>302</v>
      </c>
      <c r="D1618" s="93" t="s">
        <v>595</v>
      </c>
      <c r="E1618" s="93" t="s">
        <v>2201</v>
      </c>
      <c r="F1618" s="93" t="s">
        <v>3022</v>
      </c>
      <c r="G1618" s="93" t="s">
        <v>3022</v>
      </c>
      <c r="H1618" s="93" t="e">
        <v>#N/A</v>
      </c>
      <c r="I1618" s="105" t="s">
        <v>2310</v>
      </c>
      <c r="J1618" s="93" t="s">
        <v>189</v>
      </c>
      <c r="K1618" s="93">
        <v>19757</v>
      </c>
      <c r="L1618" s="93">
        <v>19757</v>
      </c>
      <c r="M1618" s="93" t="s">
        <v>2311</v>
      </c>
      <c r="N1618" s="93">
        <f>VLOOKUP(B1618,'[16]01.수집 카테고리(List)'!$A$2:$H$64,8,FALSE)</f>
        <v>99991231</v>
      </c>
      <c r="O1618" s="93" t="s">
        <v>646</v>
      </c>
    </row>
    <row r="1619" spans="1:15" hidden="1">
      <c r="A1619" s="75" t="str">
        <f t="shared" si="60"/>
        <v>INFLIPKARTWIRELESS HEADSETTrue Wireless EarbudsTrue Wireless Earbuds</v>
      </c>
      <c r="B1619" s="94" t="str">
        <f t="shared" si="61"/>
        <v>IN_FLIPKART</v>
      </c>
      <c r="C1619" s="93" t="s">
        <v>302</v>
      </c>
      <c r="D1619" s="93" t="s">
        <v>595</v>
      </c>
      <c r="E1619" s="93" t="s">
        <v>2201</v>
      </c>
      <c r="F1619" s="93" t="s">
        <v>3023</v>
      </c>
      <c r="G1619" s="93" t="s">
        <v>3023</v>
      </c>
      <c r="H1619" s="93" t="e">
        <v>#N/A</v>
      </c>
      <c r="I1619" s="105" t="s">
        <v>2310</v>
      </c>
      <c r="J1619" s="93" t="s">
        <v>189</v>
      </c>
      <c r="K1619" s="93">
        <v>14586</v>
      </c>
      <c r="L1619" s="93">
        <v>14586</v>
      </c>
      <c r="M1619" s="93" t="s">
        <v>2311</v>
      </c>
      <c r="N1619" s="93">
        <f>VLOOKUP(B1619,'[16]01.수집 카테고리(List)'!$A$2:$H$64,8,FALSE)</f>
        <v>99991231</v>
      </c>
      <c r="O1619" s="93" t="s">
        <v>646</v>
      </c>
    </row>
    <row r="1620" spans="1:15" hidden="1">
      <c r="A1620" s="75" t="str">
        <f t="shared" si="60"/>
        <v>INFLIPKARTWIRELESS HEADSETTruly Wireless EarbudsTruly Wireless Earbuds</v>
      </c>
      <c r="B1620" s="94" t="str">
        <f t="shared" si="61"/>
        <v>IN_FLIPKART</v>
      </c>
      <c r="C1620" s="93" t="s">
        <v>302</v>
      </c>
      <c r="D1620" s="93" t="s">
        <v>595</v>
      </c>
      <c r="E1620" s="93" t="s">
        <v>2201</v>
      </c>
      <c r="F1620" s="93" t="s">
        <v>3024</v>
      </c>
      <c r="G1620" s="93" t="s">
        <v>3024</v>
      </c>
      <c r="H1620" s="93" t="e">
        <v>#N/A</v>
      </c>
      <c r="I1620" s="105" t="s">
        <v>2310</v>
      </c>
      <c r="J1620" s="93" t="s">
        <v>189</v>
      </c>
      <c r="K1620" s="93">
        <v>2149</v>
      </c>
      <c r="L1620" s="93">
        <v>2149</v>
      </c>
      <c r="M1620" s="93" t="s">
        <v>2311</v>
      </c>
      <c r="N1620" s="93">
        <f>VLOOKUP(B1620,'[16]01.수집 카테고리(List)'!$A$2:$H$64,8,FALSE)</f>
        <v>99991231</v>
      </c>
      <c r="O1620" s="93" t="s">
        <v>646</v>
      </c>
    </row>
    <row r="1621" spans="1:15" hidden="1">
      <c r="A1621" s="75" t="str">
        <f t="shared" si="60"/>
        <v>INFLIPKARTWIRELESS HEADSETWireless EarbudsWireless Earbuds</v>
      </c>
      <c r="B1621" s="94" t="str">
        <f t="shared" si="61"/>
        <v>IN_FLIPKART</v>
      </c>
      <c r="C1621" s="93" t="s">
        <v>302</v>
      </c>
      <c r="D1621" s="93" t="s">
        <v>595</v>
      </c>
      <c r="E1621" s="93" t="s">
        <v>2201</v>
      </c>
      <c r="F1621" s="93" t="s">
        <v>2760</v>
      </c>
      <c r="G1621" s="93" t="s">
        <v>2760</v>
      </c>
      <c r="H1621" s="93" t="e">
        <v>#N/A</v>
      </c>
      <c r="I1621" s="105" t="s">
        <v>2310</v>
      </c>
      <c r="J1621" s="93" t="s">
        <v>189</v>
      </c>
      <c r="K1621" s="93">
        <v>12017</v>
      </c>
      <c r="L1621" s="93">
        <v>12017</v>
      </c>
      <c r="M1621" s="93" t="s">
        <v>2311</v>
      </c>
      <c r="N1621" s="93">
        <f>VLOOKUP(B1621,'[16]01.수집 카테고리(List)'!$A$2:$H$64,8,FALSE)</f>
        <v>99991231</v>
      </c>
      <c r="O1621" s="93" t="s">
        <v>646</v>
      </c>
    </row>
    <row r="1622" spans="1:15" s="108" customFormat="1" hidden="1">
      <c r="A1622" s="108" t="str">
        <f t="shared" si="60"/>
        <v>INFLIPKARTDryerDryerDryer</v>
      </c>
      <c r="B1622" s="109" t="str">
        <f t="shared" si="61"/>
        <v>IN_FLIPKART</v>
      </c>
      <c r="C1622" s="110" t="s">
        <v>302</v>
      </c>
      <c r="D1622" s="110" t="s">
        <v>595</v>
      </c>
      <c r="E1622" s="110" t="s">
        <v>2535</v>
      </c>
      <c r="F1622" s="110" t="s">
        <v>2431</v>
      </c>
      <c r="G1622" s="110" t="s">
        <v>2431</v>
      </c>
      <c r="H1622" s="93" t="e">
        <v>#N/A</v>
      </c>
      <c r="I1622" s="99">
        <v>46076</v>
      </c>
      <c r="J1622" s="83" t="s">
        <v>189</v>
      </c>
      <c r="K1622" s="110"/>
      <c r="L1622" s="110"/>
      <c r="M1622" s="110"/>
      <c r="N1622" s="110"/>
      <c r="O1622" s="110"/>
    </row>
    <row r="1623" spans="1:15" s="108" customFormat="1" hidden="1">
      <c r="A1623" s="108" t="str">
        <f t="shared" si="60"/>
        <v>INFLIPKARTDryerheatpump  heatpump</v>
      </c>
      <c r="B1623" s="109" t="str">
        <f t="shared" si="61"/>
        <v>IN_FLIPKART</v>
      </c>
      <c r="C1623" s="110" t="s">
        <v>302</v>
      </c>
      <c r="D1623" s="110" t="s">
        <v>595</v>
      </c>
      <c r="E1623" s="110" t="s">
        <v>2535</v>
      </c>
      <c r="F1623" s="110" t="s">
        <v>2432</v>
      </c>
      <c r="G1623" s="110" t="s">
        <v>2433</v>
      </c>
      <c r="H1623" s="93" t="e">
        <v>#N/A</v>
      </c>
      <c r="I1623" s="99">
        <v>46076</v>
      </c>
      <c r="J1623" s="83" t="s">
        <v>189</v>
      </c>
      <c r="K1623" s="110"/>
      <c r="L1623" s="110"/>
      <c r="M1623" s="110"/>
      <c r="N1623" s="110"/>
      <c r="O1623" s="110"/>
    </row>
    <row r="1624" spans="1:15" s="108" customFormat="1" hidden="1">
      <c r="A1624" s="108" t="str">
        <f t="shared" si="60"/>
        <v>INFLIPKARTDryerLG DryerLG Dryer</v>
      </c>
      <c r="B1624" s="109" t="str">
        <f t="shared" si="61"/>
        <v>IN_FLIPKART</v>
      </c>
      <c r="C1624" s="110" t="s">
        <v>302</v>
      </c>
      <c r="D1624" s="110" t="s">
        <v>595</v>
      </c>
      <c r="E1624" s="110" t="s">
        <v>2535</v>
      </c>
      <c r="F1624" s="110" t="s">
        <v>2434</v>
      </c>
      <c r="G1624" s="110" t="s">
        <v>2434</v>
      </c>
      <c r="H1624" s="93" t="e">
        <v>#N/A</v>
      </c>
      <c r="I1624" s="99">
        <v>46076</v>
      </c>
      <c r="J1624" s="83" t="s">
        <v>189</v>
      </c>
      <c r="K1624" s="110"/>
      <c r="L1624" s="110"/>
      <c r="M1624" s="110"/>
      <c r="N1624" s="110"/>
      <c r="O1624" s="110"/>
    </row>
    <row r="1625" spans="1:15" hidden="1">
      <c r="A1625" s="75" t="str">
        <f t="shared" si="60"/>
        <v>ITAMAZONLaptopNotebookNotebook</v>
      </c>
      <c r="B1625" s="94" t="str">
        <f t="shared" si="61"/>
        <v>IT_AMAZON</v>
      </c>
      <c r="C1625" s="93" t="s">
        <v>271</v>
      </c>
      <c r="D1625" s="93" t="s">
        <v>262</v>
      </c>
      <c r="E1625" s="93" t="s">
        <v>2407</v>
      </c>
      <c r="F1625" s="93" t="s">
        <v>2664</v>
      </c>
      <c r="G1625" s="93" t="s">
        <v>2664</v>
      </c>
      <c r="H1625" s="93" t="e">
        <v>#N/A</v>
      </c>
      <c r="I1625" s="105" t="s">
        <v>2310</v>
      </c>
      <c r="J1625" s="93" t="s">
        <v>189</v>
      </c>
      <c r="K1625" s="93">
        <v>3755</v>
      </c>
      <c r="L1625" s="93">
        <v>3755</v>
      </c>
      <c r="M1625" s="93" t="s">
        <v>2311</v>
      </c>
      <c r="N1625" s="93">
        <f>VLOOKUP(B1625,'[16]01.수집 카테고리(List)'!$A$2:$H$64,8,FALSE)</f>
        <v>99991231</v>
      </c>
      <c r="O1625" s="93" t="s">
        <v>646</v>
      </c>
    </row>
    <row r="1626" spans="1:15" hidden="1">
      <c r="A1626" s="75" t="str">
        <f t="shared" si="60"/>
        <v>ITAMAZONLaptopLaptopPortatile</v>
      </c>
      <c r="B1626" s="94" t="str">
        <f t="shared" si="61"/>
        <v>IT_AMAZON</v>
      </c>
      <c r="C1626" s="93" t="s">
        <v>271</v>
      </c>
      <c r="D1626" s="93" t="s">
        <v>262</v>
      </c>
      <c r="E1626" s="93" t="s">
        <v>2407</v>
      </c>
      <c r="F1626" s="93" t="s">
        <v>2407</v>
      </c>
      <c r="G1626" s="93" t="s">
        <v>3025</v>
      </c>
      <c r="H1626" s="93" t="e">
        <v>#N/A</v>
      </c>
      <c r="I1626" s="105" t="s">
        <v>2310</v>
      </c>
      <c r="J1626" s="93" t="s">
        <v>189</v>
      </c>
      <c r="K1626" s="93">
        <v>2432</v>
      </c>
      <c r="L1626" s="93" t="e">
        <v>#N/A</v>
      </c>
      <c r="M1626" s="93" t="s">
        <v>2311</v>
      </c>
      <c r="N1626" s="93">
        <f>VLOOKUP(B1626,'[16]01.수집 카테고리(List)'!$A$2:$H$64,8,FALSE)</f>
        <v>99991231</v>
      </c>
      <c r="O1626" s="93" t="s">
        <v>646</v>
      </c>
    </row>
    <row r="1627" spans="1:15" hidden="1">
      <c r="A1627" s="75" t="str">
        <f t="shared" si="60"/>
        <v>ITAMAZONLaptopUltrabookUltrabook</v>
      </c>
      <c r="B1627" s="94" t="str">
        <f t="shared" si="61"/>
        <v>IT_AMAZON</v>
      </c>
      <c r="C1627" s="93" t="s">
        <v>271</v>
      </c>
      <c r="D1627" s="93" t="s">
        <v>262</v>
      </c>
      <c r="E1627" s="93" t="s">
        <v>2407</v>
      </c>
      <c r="F1627" s="93" t="s">
        <v>2665</v>
      </c>
      <c r="G1627" s="93" t="s">
        <v>2665</v>
      </c>
      <c r="H1627" s="93" t="e">
        <v>#N/A</v>
      </c>
      <c r="I1627" s="105" t="s">
        <v>2310</v>
      </c>
      <c r="J1627" s="93" t="s">
        <v>189</v>
      </c>
      <c r="K1627" s="93">
        <v>2076</v>
      </c>
      <c r="L1627" s="93">
        <v>2076</v>
      </c>
      <c r="M1627" s="93" t="s">
        <v>2311</v>
      </c>
      <c r="N1627" s="93">
        <f>VLOOKUP(B1627,'[16]01.수집 카테고리(List)'!$A$2:$H$64,8,FALSE)</f>
        <v>99991231</v>
      </c>
      <c r="O1627" s="93" t="s">
        <v>646</v>
      </c>
    </row>
    <row r="1628" spans="1:15" hidden="1">
      <c r="A1628" s="75" t="str">
        <f t="shared" si="60"/>
        <v>ITAMAZONMonitorMonitor Full HDMonitor Full HD</v>
      </c>
      <c r="B1628" s="94" t="str">
        <f t="shared" si="61"/>
        <v>IT_AMAZON</v>
      </c>
      <c r="C1628" s="93" t="s">
        <v>271</v>
      </c>
      <c r="D1628" s="93" t="s">
        <v>262</v>
      </c>
      <c r="E1628" s="93" t="s">
        <v>2320</v>
      </c>
      <c r="F1628" s="93" t="s">
        <v>2669</v>
      </c>
      <c r="G1628" s="93" t="s">
        <v>2669</v>
      </c>
      <c r="H1628" s="93" t="e">
        <v>#N/A</v>
      </c>
      <c r="I1628" s="105" t="s">
        <v>2310</v>
      </c>
      <c r="J1628" s="93" t="s">
        <v>189</v>
      </c>
      <c r="K1628" s="93">
        <v>1171</v>
      </c>
      <c r="L1628" s="93">
        <v>1171</v>
      </c>
      <c r="M1628" s="93" t="s">
        <v>2311</v>
      </c>
      <c r="N1628" s="93">
        <f>VLOOKUP(B1628,'[16]01.수집 카테고리(List)'!$A$2:$H$64,8,FALSE)</f>
        <v>99991231</v>
      </c>
      <c r="O1628" s="93" t="s">
        <v>646</v>
      </c>
    </row>
    <row r="1629" spans="1:15" hidden="1">
      <c r="A1629" s="75" t="str">
        <f t="shared" si="60"/>
        <v>ITAMAZONMonitorMonitor GamingMonitor Gaming</v>
      </c>
      <c r="B1629" s="94" t="str">
        <f t="shared" si="61"/>
        <v>IT_AMAZON</v>
      </c>
      <c r="C1629" s="93" t="s">
        <v>271</v>
      </c>
      <c r="D1629" s="93" t="s">
        <v>262</v>
      </c>
      <c r="E1629" s="93" t="s">
        <v>2320</v>
      </c>
      <c r="F1629" s="93" t="s">
        <v>2670</v>
      </c>
      <c r="G1629" s="93" t="s">
        <v>2670</v>
      </c>
      <c r="H1629" s="93" t="e">
        <v>#N/A</v>
      </c>
      <c r="I1629" s="105" t="s">
        <v>2310</v>
      </c>
      <c r="J1629" s="93" t="s">
        <v>189</v>
      </c>
      <c r="K1629" s="93">
        <v>599</v>
      </c>
      <c r="L1629" s="93">
        <v>599</v>
      </c>
      <c r="M1629" s="93" t="s">
        <v>2311</v>
      </c>
      <c r="N1629" s="93">
        <f>VLOOKUP(B1629,'[16]01.수집 카테고리(List)'!$A$2:$H$64,8,FALSE)</f>
        <v>99991231</v>
      </c>
      <c r="O1629" s="93" t="s">
        <v>646</v>
      </c>
    </row>
    <row r="1630" spans="1:15" hidden="1">
      <c r="A1630" s="75" t="str">
        <f t="shared" si="60"/>
        <v>ITAMAZONMonitorMonitor PCMonitor PC</v>
      </c>
      <c r="B1630" s="94" t="str">
        <f t="shared" si="61"/>
        <v>IT_AMAZON</v>
      </c>
      <c r="C1630" s="93" t="s">
        <v>271</v>
      </c>
      <c r="D1630" s="93" t="s">
        <v>262</v>
      </c>
      <c r="E1630" s="93" t="s">
        <v>2320</v>
      </c>
      <c r="F1630" s="93" t="s">
        <v>2671</v>
      </c>
      <c r="G1630" s="93" t="s">
        <v>2671</v>
      </c>
      <c r="H1630" s="93" t="e">
        <v>#N/A</v>
      </c>
      <c r="I1630" s="105" t="s">
        <v>2310</v>
      </c>
      <c r="J1630" s="93" t="s">
        <v>189</v>
      </c>
      <c r="K1630" s="93">
        <v>935</v>
      </c>
      <c r="L1630" s="93">
        <v>935</v>
      </c>
      <c r="M1630" s="93" t="s">
        <v>2311</v>
      </c>
      <c r="N1630" s="93">
        <f>VLOOKUP(B1630,'[16]01.수집 카테고리(List)'!$A$2:$H$64,8,FALSE)</f>
        <v>99991231</v>
      </c>
      <c r="O1630" s="93" t="s">
        <v>646</v>
      </c>
    </row>
    <row r="1631" spans="1:15" hidden="1">
      <c r="A1631" s="75" t="str">
        <f t="shared" si="60"/>
        <v>ITAMAZONMonitorMonitor Ultra HDMonitor Ultra HD</v>
      </c>
      <c r="B1631" s="94" t="str">
        <f t="shared" si="61"/>
        <v>IT_AMAZON</v>
      </c>
      <c r="C1631" s="93" t="s">
        <v>271</v>
      </c>
      <c r="D1631" s="93" t="s">
        <v>262</v>
      </c>
      <c r="E1631" s="93" t="s">
        <v>2320</v>
      </c>
      <c r="F1631" s="93" t="s">
        <v>2672</v>
      </c>
      <c r="G1631" s="93" t="s">
        <v>2672</v>
      </c>
      <c r="H1631" s="93" t="e">
        <v>#N/A</v>
      </c>
      <c r="I1631" s="105" t="s">
        <v>2310</v>
      </c>
      <c r="J1631" s="93" t="s">
        <v>189</v>
      </c>
      <c r="K1631" s="93">
        <v>490</v>
      </c>
      <c r="L1631" s="93">
        <v>490</v>
      </c>
      <c r="M1631" s="93" t="s">
        <v>2311</v>
      </c>
      <c r="N1631" s="93">
        <f>VLOOKUP(B1631,'[16]01.수집 카테고리(List)'!$A$2:$H$64,8,FALSE)</f>
        <v>99991231</v>
      </c>
      <c r="O1631" s="93" t="s">
        <v>646</v>
      </c>
    </row>
    <row r="1632" spans="1:15" hidden="1">
      <c r="A1632" s="75" t="str">
        <f t="shared" si="60"/>
        <v>ITAMAZONMonitorMonitor Ultra WideMonitor Ultra Wide</v>
      </c>
      <c r="B1632" s="94" t="str">
        <f t="shared" si="61"/>
        <v>IT_AMAZON</v>
      </c>
      <c r="C1632" s="93" t="s">
        <v>271</v>
      </c>
      <c r="D1632" s="93" t="s">
        <v>262</v>
      </c>
      <c r="E1632" s="93" t="s">
        <v>2320</v>
      </c>
      <c r="F1632" s="93" t="s">
        <v>2673</v>
      </c>
      <c r="G1632" s="93" t="s">
        <v>2673</v>
      </c>
      <c r="H1632" s="93" t="e">
        <v>#N/A</v>
      </c>
      <c r="I1632" s="105" t="s">
        <v>2310</v>
      </c>
      <c r="J1632" s="93" t="s">
        <v>189</v>
      </c>
      <c r="K1632" s="93">
        <v>370</v>
      </c>
      <c r="L1632" s="93">
        <v>370</v>
      </c>
      <c r="M1632" s="93" t="s">
        <v>2311</v>
      </c>
      <c r="N1632" s="93">
        <f>VLOOKUP(B1632,'[16]01.수집 카테고리(List)'!$A$2:$H$64,8,FALSE)</f>
        <v>99991231</v>
      </c>
      <c r="O1632" s="93" t="s">
        <v>646</v>
      </c>
    </row>
    <row r="1633" spans="1:15" hidden="1">
      <c r="A1633" s="75" t="str">
        <f t="shared" si="60"/>
        <v>ITAMAZONOVENSlide-in RangeCucina a gas con scorrimento</v>
      </c>
      <c r="B1633" s="94" t="str">
        <f t="shared" si="61"/>
        <v>IT_AMAZON</v>
      </c>
      <c r="C1633" s="93" t="s">
        <v>271</v>
      </c>
      <c r="D1633" s="93" t="s">
        <v>262</v>
      </c>
      <c r="E1633" s="93" t="s">
        <v>173</v>
      </c>
      <c r="F1633" s="93" t="s">
        <v>2676</v>
      </c>
      <c r="G1633" s="93" t="s">
        <v>3026</v>
      </c>
      <c r="H1633" s="93" t="e">
        <v>#N/A</v>
      </c>
      <c r="I1633" s="105" t="s">
        <v>2310</v>
      </c>
      <c r="J1633" s="93" t="s">
        <v>189</v>
      </c>
      <c r="K1633" s="93">
        <v>73</v>
      </c>
      <c r="L1633" s="93" t="e">
        <v>#N/A</v>
      </c>
      <c r="M1633" s="93" t="s">
        <v>2311</v>
      </c>
      <c r="N1633" s="93">
        <f>VLOOKUP(B1633,'[16]01.수집 카테고리(List)'!$A$2:$H$64,8,FALSE)</f>
        <v>99991231</v>
      </c>
      <c r="O1633" s="93" t="s">
        <v>646</v>
      </c>
    </row>
    <row r="1634" spans="1:15" hidden="1">
      <c r="A1634" s="75" t="str">
        <f t="shared" si="60"/>
        <v>ITAMAZONOVENWall OvenForno Da Parete</v>
      </c>
      <c r="B1634" s="94" t="str">
        <f t="shared" si="61"/>
        <v>IT_AMAZON</v>
      </c>
      <c r="C1634" s="93" t="s">
        <v>271</v>
      </c>
      <c r="D1634" s="93" t="s">
        <v>262</v>
      </c>
      <c r="E1634" s="93" t="s">
        <v>173</v>
      </c>
      <c r="F1634" s="93" t="s">
        <v>2544</v>
      </c>
      <c r="G1634" s="93" t="s">
        <v>3027</v>
      </c>
      <c r="H1634" s="93" t="e">
        <v>#N/A</v>
      </c>
      <c r="I1634" s="105" t="s">
        <v>2310</v>
      </c>
      <c r="J1634" s="93" t="s">
        <v>189</v>
      </c>
      <c r="K1634" s="93">
        <v>237</v>
      </c>
      <c r="L1634" s="93" t="e">
        <v>#N/A</v>
      </c>
      <c r="M1634" s="93" t="s">
        <v>2311</v>
      </c>
      <c r="N1634" s="93">
        <f>VLOOKUP(B1634,'[16]01.수집 카테고리(List)'!$A$2:$H$64,8,FALSE)</f>
        <v>99991231</v>
      </c>
      <c r="O1634" s="93" t="s">
        <v>646</v>
      </c>
    </row>
    <row r="1635" spans="1:15" hidden="1">
      <c r="A1635" s="75" t="str">
        <f t="shared" si="60"/>
        <v>ITAMAZONOVENFreestanding OvenForno indipendente</v>
      </c>
      <c r="B1635" s="94" t="str">
        <f t="shared" si="61"/>
        <v>IT_AMAZON</v>
      </c>
      <c r="C1635" s="93" t="s">
        <v>271</v>
      </c>
      <c r="D1635" s="93" t="s">
        <v>262</v>
      </c>
      <c r="E1635" s="93" t="s">
        <v>173</v>
      </c>
      <c r="F1635" s="93" t="s">
        <v>2678</v>
      </c>
      <c r="G1635" s="93" t="s">
        <v>3028</v>
      </c>
      <c r="H1635" s="93" t="e">
        <v>#N/A</v>
      </c>
      <c r="I1635" s="105" t="s">
        <v>2310</v>
      </c>
      <c r="J1635" s="93" t="s">
        <v>189</v>
      </c>
      <c r="K1635" s="93">
        <v>142</v>
      </c>
      <c r="L1635" s="93" t="e">
        <v>#N/A</v>
      </c>
      <c r="M1635" s="93" t="s">
        <v>2311</v>
      </c>
      <c r="N1635" s="93">
        <f>VLOOKUP(B1635,'[16]01.수집 카테고리(List)'!$A$2:$H$64,8,FALSE)</f>
        <v>99991231</v>
      </c>
      <c r="O1635" s="93" t="s">
        <v>646</v>
      </c>
    </row>
    <row r="1636" spans="1:15" hidden="1">
      <c r="A1636" s="75" t="str">
        <f t="shared" si="60"/>
        <v>ITAMAZONOVENCooktopPiano cottura</v>
      </c>
      <c r="B1636" s="94" t="str">
        <f t="shared" si="61"/>
        <v>IT_AMAZON</v>
      </c>
      <c r="C1636" s="93" t="s">
        <v>271</v>
      </c>
      <c r="D1636" s="93" t="s">
        <v>262</v>
      </c>
      <c r="E1636" s="93" t="s">
        <v>173</v>
      </c>
      <c r="F1636" s="93" t="s">
        <v>2541</v>
      </c>
      <c r="G1636" s="93" t="s">
        <v>3029</v>
      </c>
      <c r="H1636" s="93" t="e">
        <v>#N/A</v>
      </c>
      <c r="I1636" s="105" t="s">
        <v>2310</v>
      </c>
      <c r="J1636" s="93" t="s">
        <v>189</v>
      </c>
      <c r="K1636" s="93">
        <v>43</v>
      </c>
      <c r="L1636" s="93" t="e">
        <v>#N/A</v>
      </c>
      <c r="M1636" s="93" t="s">
        <v>2311</v>
      </c>
      <c r="N1636" s="93">
        <f>VLOOKUP(B1636,'[16]01.수집 카테고리(List)'!$A$2:$H$64,8,FALSE)</f>
        <v>99991231</v>
      </c>
      <c r="O1636" s="93" t="s">
        <v>646</v>
      </c>
    </row>
    <row r="1637" spans="1:15" hidden="1">
      <c r="A1637" s="75" t="str">
        <f t="shared" si="60"/>
        <v>ITAMAZONRefrigeratorfrench door refrigeratorfrigoriferi multidoor</v>
      </c>
      <c r="B1637" s="94" t="str">
        <f t="shared" si="61"/>
        <v>IT_AMAZON</v>
      </c>
      <c r="C1637" s="93" t="s">
        <v>271</v>
      </c>
      <c r="D1637" s="93" t="s">
        <v>262</v>
      </c>
      <c r="E1637" s="93" t="s">
        <v>2326</v>
      </c>
      <c r="F1637" s="93" t="s">
        <v>2328</v>
      </c>
      <c r="G1637" s="93" t="s">
        <v>3030</v>
      </c>
      <c r="H1637" s="93" t="e">
        <v>#N/A</v>
      </c>
      <c r="I1637" s="105" t="s">
        <v>2310</v>
      </c>
      <c r="J1637" s="93" t="s">
        <v>189</v>
      </c>
      <c r="K1637" s="93">
        <v>382</v>
      </c>
      <c r="L1637" s="93" t="e">
        <v>#N/A</v>
      </c>
      <c r="M1637" s="93" t="s">
        <v>2311</v>
      </c>
      <c r="N1637" s="93">
        <f>VLOOKUP(B1637,'[16]01.수집 카테고리(List)'!$A$2:$H$64,8,FALSE)</f>
        <v>99991231</v>
      </c>
      <c r="O1637" s="93" t="s">
        <v>646</v>
      </c>
    </row>
    <row r="1638" spans="1:15" hidden="1">
      <c r="A1638" s="75" t="str">
        <f t="shared" si="60"/>
        <v>ITAMAZONRefrigeratorrefrigeratorfrigorifero</v>
      </c>
      <c r="B1638" s="94" t="str">
        <f t="shared" si="61"/>
        <v>IT_AMAZON</v>
      </c>
      <c r="C1638" s="93" t="s">
        <v>271</v>
      </c>
      <c r="D1638" s="93" t="s">
        <v>262</v>
      </c>
      <c r="E1638" s="93" t="s">
        <v>2326</v>
      </c>
      <c r="F1638" s="93" t="s">
        <v>2329</v>
      </c>
      <c r="G1638" s="93" t="s">
        <v>3031</v>
      </c>
      <c r="H1638" s="93" t="e">
        <v>#N/A</v>
      </c>
      <c r="I1638" s="105" t="s">
        <v>2310</v>
      </c>
      <c r="J1638" s="93" t="s">
        <v>189</v>
      </c>
      <c r="K1638" s="93">
        <v>848</v>
      </c>
      <c r="L1638" s="93" t="e">
        <v>#N/A</v>
      </c>
      <c r="M1638" s="93" t="s">
        <v>2311</v>
      </c>
      <c r="N1638" s="93">
        <f>VLOOKUP(B1638,'[16]01.수집 카테고리(List)'!$A$2:$H$64,8,FALSE)</f>
        <v>99991231</v>
      </c>
      <c r="O1638" s="93" t="s">
        <v>646</v>
      </c>
    </row>
    <row r="1639" spans="1:15" hidden="1">
      <c r="A1639" s="75" t="str">
        <f t="shared" si="60"/>
        <v>ITAMAZONRefrigeratorbottom freezer refrigeratorFrigorifero combinato</v>
      </c>
      <c r="B1639" s="94" t="str">
        <f t="shared" si="61"/>
        <v>IT_AMAZON</v>
      </c>
      <c r="C1639" s="93" t="s">
        <v>271</v>
      </c>
      <c r="D1639" s="93" t="s">
        <v>262</v>
      </c>
      <c r="E1639" s="93" t="s">
        <v>2326</v>
      </c>
      <c r="F1639" s="93" t="s">
        <v>2327</v>
      </c>
      <c r="G1639" s="93" t="s">
        <v>3032</v>
      </c>
      <c r="H1639" s="93" t="e">
        <v>#N/A</v>
      </c>
      <c r="I1639" s="105" t="s">
        <v>2310</v>
      </c>
      <c r="J1639" s="93" t="s">
        <v>189</v>
      </c>
      <c r="K1639" s="93">
        <v>745</v>
      </c>
      <c r="L1639" s="93" t="e">
        <v>#N/A</v>
      </c>
      <c r="M1639" s="93" t="s">
        <v>2311</v>
      </c>
      <c r="N1639" s="93">
        <f>VLOOKUP(B1639,'[16]01.수집 카테고리(List)'!$A$2:$H$64,8,FALSE)</f>
        <v>99991231</v>
      </c>
      <c r="O1639" s="93" t="s">
        <v>646</v>
      </c>
    </row>
    <row r="1640" spans="1:15" hidden="1">
      <c r="A1640" s="75" t="str">
        <f t="shared" si="60"/>
        <v>ITAMAZONRefrigeratortop freezer refrigeratorfrigorifero doppia porta</v>
      </c>
      <c r="B1640" s="94" t="str">
        <f t="shared" si="61"/>
        <v>IT_AMAZON</v>
      </c>
      <c r="C1640" s="93" t="s">
        <v>271</v>
      </c>
      <c r="D1640" s="93" t="s">
        <v>262</v>
      </c>
      <c r="E1640" s="93" t="s">
        <v>2326</v>
      </c>
      <c r="F1640" s="93" t="s">
        <v>2332</v>
      </c>
      <c r="G1640" s="93" t="s">
        <v>3033</v>
      </c>
      <c r="H1640" s="93" t="e">
        <v>#N/A</v>
      </c>
      <c r="I1640" s="105" t="s">
        <v>2310</v>
      </c>
      <c r="J1640" s="93" t="s">
        <v>189</v>
      </c>
      <c r="K1640" s="93">
        <v>656</v>
      </c>
      <c r="L1640" s="93" t="e">
        <v>#N/A</v>
      </c>
      <c r="M1640" s="93" t="s">
        <v>2311</v>
      </c>
      <c r="N1640" s="93">
        <f>VLOOKUP(B1640,'[16]01.수집 카테고리(List)'!$A$2:$H$64,8,FALSE)</f>
        <v>99991231</v>
      </c>
      <c r="O1640" s="93" t="s">
        <v>646</v>
      </c>
    </row>
    <row r="1641" spans="1:15" hidden="1">
      <c r="A1641" s="75" t="str">
        <f t="shared" si="60"/>
        <v>ITAMAZONRefrigeratorside by side refrigeratorfrigorifero side by side</v>
      </c>
      <c r="B1641" s="94" t="str">
        <f t="shared" si="61"/>
        <v>IT_AMAZON</v>
      </c>
      <c r="C1641" s="93" t="s">
        <v>271</v>
      </c>
      <c r="D1641" s="93" t="s">
        <v>262</v>
      </c>
      <c r="E1641" s="93" t="s">
        <v>2326</v>
      </c>
      <c r="F1641" s="93" t="s">
        <v>2330</v>
      </c>
      <c r="G1641" s="93" t="s">
        <v>3034</v>
      </c>
      <c r="H1641" s="93" t="e">
        <v>#N/A</v>
      </c>
      <c r="I1641" s="105" t="s">
        <v>2310</v>
      </c>
      <c r="J1641" s="93" t="s">
        <v>189</v>
      </c>
      <c r="K1641" s="93">
        <v>316</v>
      </c>
      <c r="L1641" s="93" t="e">
        <v>#N/A</v>
      </c>
      <c r="M1641" s="93" t="s">
        <v>2311</v>
      </c>
      <c r="N1641" s="93">
        <f>VLOOKUP(B1641,'[16]01.수집 카테고리(List)'!$A$2:$H$64,8,FALSE)</f>
        <v>99991231</v>
      </c>
      <c r="O1641" s="93" t="s">
        <v>646</v>
      </c>
    </row>
    <row r="1642" spans="1:15" hidden="1">
      <c r="A1642" s="75" t="str">
        <f t="shared" si="60"/>
        <v>ITAMAZONTVsmart TVsmart TV</v>
      </c>
      <c r="B1642" s="94" t="str">
        <f t="shared" si="61"/>
        <v>IT_AMAZON</v>
      </c>
      <c r="C1642" s="93" t="s">
        <v>271</v>
      </c>
      <c r="D1642" s="93" t="s">
        <v>262</v>
      </c>
      <c r="E1642" s="93" t="s">
        <v>161</v>
      </c>
      <c r="F1642" s="93" t="s">
        <v>2371</v>
      </c>
      <c r="G1642" s="93" t="s">
        <v>2371</v>
      </c>
      <c r="H1642" s="93" t="e">
        <v>#N/A</v>
      </c>
      <c r="I1642" s="105" t="s">
        <v>2310</v>
      </c>
      <c r="J1642" s="93" t="s">
        <v>189</v>
      </c>
      <c r="K1642" s="93">
        <v>832</v>
      </c>
      <c r="L1642" s="93">
        <v>832</v>
      </c>
      <c r="M1642" s="93" t="s">
        <v>2311</v>
      </c>
      <c r="N1642" s="93">
        <f>VLOOKUP(B1642,'[16]01.수집 카테고리(List)'!$A$2:$H$64,8,FALSE)</f>
        <v>99991231</v>
      </c>
      <c r="O1642" s="93" t="s">
        <v>646</v>
      </c>
    </row>
    <row r="1643" spans="1:15" hidden="1">
      <c r="A1643" s="75" t="str">
        <f t="shared" si="60"/>
        <v>ITAMAZONTVTVTV</v>
      </c>
      <c r="B1643" s="94" t="str">
        <f t="shared" si="61"/>
        <v>IT_AMAZON</v>
      </c>
      <c r="C1643" s="93" t="s">
        <v>271</v>
      </c>
      <c r="D1643" s="93" t="s">
        <v>262</v>
      </c>
      <c r="E1643" s="93" t="s">
        <v>161</v>
      </c>
      <c r="F1643" s="93" t="s">
        <v>161</v>
      </c>
      <c r="G1643" s="93" t="s">
        <v>161</v>
      </c>
      <c r="H1643" s="93" t="e">
        <v>#N/A</v>
      </c>
      <c r="I1643" s="105" t="s">
        <v>2310</v>
      </c>
      <c r="J1643" s="93" t="s">
        <v>189</v>
      </c>
      <c r="K1643" s="93">
        <v>1272</v>
      </c>
      <c r="L1643" s="93">
        <v>1272</v>
      </c>
      <c r="M1643" s="93" t="s">
        <v>2311</v>
      </c>
      <c r="N1643" s="93">
        <f>VLOOKUP(B1643,'[16]01.수집 카테고리(List)'!$A$2:$H$64,8,FALSE)</f>
        <v>99991231</v>
      </c>
      <c r="O1643" s="93" t="s">
        <v>646</v>
      </c>
    </row>
    <row r="1644" spans="1:15" hidden="1">
      <c r="A1644" s="75" t="str">
        <f t="shared" si="60"/>
        <v>ITAMAZONTV4k TVTV 4k</v>
      </c>
      <c r="B1644" s="94" t="str">
        <f t="shared" si="61"/>
        <v>IT_AMAZON</v>
      </c>
      <c r="C1644" s="93" t="s">
        <v>271</v>
      </c>
      <c r="D1644" s="93" t="s">
        <v>262</v>
      </c>
      <c r="E1644" s="93" t="s">
        <v>161</v>
      </c>
      <c r="F1644" s="93" t="s">
        <v>2368</v>
      </c>
      <c r="G1644" s="93" t="s">
        <v>3035</v>
      </c>
      <c r="H1644" s="93" t="e">
        <v>#N/A</v>
      </c>
      <c r="I1644" s="105" t="s">
        <v>2310</v>
      </c>
      <c r="J1644" s="93" t="s">
        <v>189</v>
      </c>
      <c r="K1644" s="93">
        <v>950</v>
      </c>
      <c r="L1644" s="93" t="e">
        <v>#N/A</v>
      </c>
      <c r="M1644" s="93" t="s">
        <v>2311</v>
      </c>
      <c r="N1644" s="93">
        <f>VLOOKUP(B1644,'[16]01.수집 카테고리(List)'!$A$2:$H$64,8,FALSE)</f>
        <v>99991231</v>
      </c>
      <c r="O1644" s="93" t="s">
        <v>646</v>
      </c>
    </row>
    <row r="1645" spans="1:15" hidden="1">
      <c r="A1645" s="75" t="str">
        <f t="shared" si="60"/>
        <v>ITAMAZONTVoled TVTV OLED</v>
      </c>
      <c r="B1645" s="94" t="str">
        <f t="shared" si="61"/>
        <v>IT_AMAZON</v>
      </c>
      <c r="C1645" s="93" t="s">
        <v>271</v>
      </c>
      <c r="D1645" s="93" t="s">
        <v>262</v>
      </c>
      <c r="E1645" s="93" t="s">
        <v>161</v>
      </c>
      <c r="F1645" s="93" t="s">
        <v>2369</v>
      </c>
      <c r="G1645" s="93" t="s">
        <v>2840</v>
      </c>
      <c r="H1645" s="93" t="e">
        <v>#N/A</v>
      </c>
      <c r="I1645" s="105" t="s">
        <v>2310</v>
      </c>
      <c r="J1645" s="93" t="s">
        <v>189</v>
      </c>
      <c r="K1645" s="93">
        <v>508</v>
      </c>
      <c r="L1645" s="93" t="e">
        <v>#N/A</v>
      </c>
      <c r="M1645" s="93" t="s">
        <v>2311</v>
      </c>
      <c r="N1645" s="93">
        <f>VLOOKUP(B1645,'[16]01.수집 카테고리(List)'!$A$2:$H$64,8,FALSE)</f>
        <v>99991231</v>
      </c>
      <c r="O1645" s="93" t="s">
        <v>646</v>
      </c>
    </row>
    <row r="1646" spans="1:15" hidden="1">
      <c r="A1646" s="75" t="str">
        <f t="shared" si="60"/>
        <v>ITAMAZONTVuhd TVTV UHD</v>
      </c>
      <c r="B1646" s="94" t="str">
        <f t="shared" si="61"/>
        <v>IT_AMAZON</v>
      </c>
      <c r="C1646" s="93" t="s">
        <v>271</v>
      </c>
      <c r="D1646" s="93" t="s">
        <v>262</v>
      </c>
      <c r="E1646" s="93" t="s">
        <v>161</v>
      </c>
      <c r="F1646" s="93" t="s">
        <v>2399</v>
      </c>
      <c r="G1646" s="93" t="s">
        <v>2841</v>
      </c>
      <c r="H1646" s="93" t="e">
        <v>#N/A</v>
      </c>
      <c r="I1646" s="105" t="s">
        <v>2310</v>
      </c>
      <c r="J1646" s="93" t="s">
        <v>189</v>
      </c>
      <c r="K1646" s="93">
        <v>714</v>
      </c>
      <c r="L1646" s="93" t="e">
        <v>#N/A</v>
      </c>
      <c r="M1646" s="93" t="s">
        <v>2311</v>
      </c>
      <c r="N1646" s="93">
        <f>VLOOKUP(B1646,'[16]01.수집 카테고리(List)'!$A$2:$H$64,8,FALSE)</f>
        <v>99991231</v>
      </c>
      <c r="O1646" s="93" t="s">
        <v>646</v>
      </c>
    </row>
    <row r="1647" spans="1:15" hidden="1">
      <c r="A1647" s="75" t="str">
        <f t="shared" si="60"/>
        <v>ITAMAZONWashing Machinefront loadercarica frontale</v>
      </c>
      <c r="B1647" s="94" t="str">
        <f t="shared" si="61"/>
        <v>IT_AMAZON</v>
      </c>
      <c r="C1647" s="93" t="s">
        <v>271</v>
      </c>
      <c r="D1647" s="93" t="s">
        <v>262</v>
      </c>
      <c r="E1647" s="93" t="s">
        <v>2333</v>
      </c>
      <c r="F1647" s="93" t="s">
        <v>2334</v>
      </c>
      <c r="G1647" s="93" t="s">
        <v>3036</v>
      </c>
      <c r="H1647" s="93" t="e">
        <v>#N/A</v>
      </c>
      <c r="I1647" s="105" t="s">
        <v>2310</v>
      </c>
      <c r="J1647" s="93" t="s">
        <v>189</v>
      </c>
      <c r="K1647" s="93">
        <v>3085</v>
      </c>
      <c r="L1647" s="93" t="e">
        <v>#N/A</v>
      </c>
      <c r="M1647" s="93" t="s">
        <v>2311</v>
      </c>
      <c r="N1647" s="93">
        <f>VLOOKUP(B1647,'[16]01.수집 카테고리(List)'!$A$2:$H$64,8,FALSE)</f>
        <v>99991231</v>
      </c>
      <c r="O1647" s="93" t="s">
        <v>646</v>
      </c>
    </row>
    <row r="1648" spans="1:15" hidden="1">
      <c r="A1648" s="75" t="str">
        <f t="shared" si="60"/>
        <v>ITAMAZONWashing Machinewasher dryer combolavasciuga</v>
      </c>
      <c r="B1648" s="94" t="str">
        <f t="shared" si="61"/>
        <v>IT_AMAZON</v>
      </c>
      <c r="C1648" s="93" t="s">
        <v>271</v>
      </c>
      <c r="D1648" s="93" t="s">
        <v>262</v>
      </c>
      <c r="E1648" s="93" t="s">
        <v>2333</v>
      </c>
      <c r="F1648" s="93" t="s">
        <v>2338</v>
      </c>
      <c r="G1648" s="93" t="s">
        <v>3037</v>
      </c>
      <c r="H1648" s="93" t="e">
        <v>#N/A</v>
      </c>
      <c r="I1648" s="105" t="s">
        <v>2310</v>
      </c>
      <c r="J1648" s="93" t="s">
        <v>189</v>
      </c>
      <c r="K1648" s="93">
        <v>1144</v>
      </c>
      <c r="L1648" s="93" t="e">
        <v>#N/A</v>
      </c>
      <c r="M1648" s="93" t="s">
        <v>2311</v>
      </c>
      <c r="N1648" s="93">
        <f>VLOOKUP(B1648,'[16]01.수집 카테고리(List)'!$A$2:$H$64,8,FALSE)</f>
        <v>99991231</v>
      </c>
      <c r="O1648" s="93" t="s">
        <v>646</v>
      </c>
    </row>
    <row r="1649" spans="1:15" hidden="1">
      <c r="A1649" s="75" t="str">
        <f t="shared" si="60"/>
        <v>ITAMAZONWashing Machinewashing machinelavatrice</v>
      </c>
      <c r="B1649" s="94" t="str">
        <f t="shared" si="61"/>
        <v>IT_AMAZON</v>
      </c>
      <c r="C1649" s="93" t="s">
        <v>271</v>
      </c>
      <c r="D1649" s="93" t="s">
        <v>262</v>
      </c>
      <c r="E1649" s="93" t="s">
        <v>2333</v>
      </c>
      <c r="F1649" s="93" t="s">
        <v>2340</v>
      </c>
      <c r="G1649" s="93" t="s">
        <v>3038</v>
      </c>
      <c r="H1649" s="93" t="e">
        <v>#N/A</v>
      </c>
      <c r="I1649" s="105" t="s">
        <v>2310</v>
      </c>
      <c r="J1649" s="93" t="s">
        <v>189</v>
      </c>
      <c r="K1649" s="93">
        <v>1762</v>
      </c>
      <c r="L1649" s="93" t="e">
        <v>#N/A</v>
      </c>
      <c r="M1649" s="93" t="s">
        <v>2311</v>
      </c>
      <c r="N1649" s="93">
        <f>VLOOKUP(B1649,'[16]01.수집 카테고리(List)'!$A$2:$H$64,8,FALSE)</f>
        <v>99991231</v>
      </c>
      <c r="O1649" s="93" t="s">
        <v>646</v>
      </c>
    </row>
    <row r="1650" spans="1:15" s="108" customFormat="1" hidden="1">
      <c r="A1650" s="108" t="str">
        <f t="shared" si="60"/>
        <v>ITAMAZONAir Conditionerair conditionercondizionatore</v>
      </c>
      <c r="B1650" s="109" t="str">
        <f t="shared" si="61"/>
        <v>IT_AMAZON</v>
      </c>
      <c r="C1650" s="110" t="s">
        <v>271</v>
      </c>
      <c r="D1650" s="110" t="s">
        <v>262</v>
      </c>
      <c r="E1650" s="110" t="s">
        <v>2524</v>
      </c>
      <c r="F1650" s="110" t="s">
        <v>2607</v>
      </c>
      <c r="G1650" s="110" t="s">
        <v>3039</v>
      </c>
      <c r="H1650" s="93" t="e">
        <v>#N/A</v>
      </c>
      <c r="I1650" s="99">
        <v>46076</v>
      </c>
      <c r="J1650" s="83" t="s">
        <v>189</v>
      </c>
      <c r="K1650" s="110"/>
      <c r="L1650" s="110"/>
      <c r="M1650" s="110"/>
      <c r="N1650" s="110"/>
      <c r="O1650" s="110"/>
    </row>
    <row r="1651" spans="1:15" s="108" customFormat="1" hidden="1">
      <c r="A1651" s="108" t="str">
        <f t="shared" si="60"/>
        <v>ITAMAZONAir Conditionerinverter air conditionercondizionatore inverter</v>
      </c>
      <c r="B1651" s="109" t="str">
        <f t="shared" si="61"/>
        <v>IT_AMAZON</v>
      </c>
      <c r="C1651" s="110" t="s">
        <v>271</v>
      </c>
      <c r="D1651" s="110" t="s">
        <v>262</v>
      </c>
      <c r="E1651" s="110" t="s">
        <v>2524</v>
      </c>
      <c r="F1651" s="110" t="s">
        <v>2609</v>
      </c>
      <c r="G1651" s="110" t="s">
        <v>3040</v>
      </c>
      <c r="H1651" s="93" t="e">
        <v>#N/A</v>
      </c>
      <c r="I1651" s="99">
        <v>46076</v>
      </c>
      <c r="J1651" s="83" t="s">
        <v>189</v>
      </c>
      <c r="K1651" s="110"/>
      <c r="L1651" s="110"/>
      <c r="M1651" s="110"/>
      <c r="N1651" s="110"/>
      <c r="O1651" s="110"/>
    </row>
    <row r="1652" spans="1:15" s="108" customFormat="1" hidden="1">
      <c r="A1652" s="108" t="str">
        <f t="shared" si="60"/>
        <v>ITAMAZONAir Conditionersplit air conditionercondizionatore split</v>
      </c>
      <c r="B1652" s="109" t="str">
        <f t="shared" si="61"/>
        <v>IT_AMAZON</v>
      </c>
      <c r="C1652" s="110" t="s">
        <v>271</v>
      </c>
      <c r="D1652" s="110" t="s">
        <v>262</v>
      </c>
      <c r="E1652" s="110" t="s">
        <v>2524</v>
      </c>
      <c r="F1652" s="110" t="s">
        <v>2611</v>
      </c>
      <c r="G1652" s="110" t="s">
        <v>3041</v>
      </c>
      <c r="H1652" s="93" t="e">
        <v>#N/A</v>
      </c>
      <c r="I1652" s="99">
        <v>46076</v>
      </c>
      <c r="J1652" s="83" t="s">
        <v>189</v>
      </c>
      <c r="K1652" s="110"/>
      <c r="L1652" s="110"/>
      <c r="M1652" s="110"/>
      <c r="N1652" s="110"/>
      <c r="O1652" s="110"/>
    </row>
    <row r="1653" spans="1:15" s="108" customFormat="1" hidden="1">
      <c r="A1653" s="108" t="str">
        <f t="shared" si="60"/>
        <v>ITAMAZONAir Conditionersplit inverter air conditionerclimatizzatore split inverter</v>
      </c>
      <c r="B1653" s="109" t="str">
        <f t="shared" si="61"/>
        <v>IT_AMAZON</v>
      </c>
      <c r="C1653" s="110" t="s">
        <v>271</v>
      </c>
      <c r="D1653" s="110" t="s">
        <v>262</v>
      </c>
      <c r="E1653" s="110" t="s">
        <v>2524</v>
      </c>
      <c r="F1653" s="110" t="s">
        <v>2614</v>
      </c>
      <c r="G1653" s="110" t="s">
        <v>3042</v>
      </c>
      <c r="H1653" s="93" t="e">
        <v>#N/A</v>
      </c>
      <c r="I1653" s="99">
        <v>46076</v>
      </c>
      <c r="J1653" s="83" t="s">
        <v>189</v>
      </c>
      <c r="K1653" s="110"/>
      <c r="L1653" s="110"/>
      <c r="M1653" s="110"/>
      <c r="N1653" s="110"/>
      <c r="O1653" s="110"/>
    </row>
    <row r="1654" spans="1:15" s="108" customFormat="1" hidden="1">
      <c r="A1654" s="108" t="str">
        <f t="shared" si="60"/>
        <v>ITAMAZONAir Conditionerwindow air conditionercondizionatore da finestra</v>
      </c>
      <c r="B1654" s="109" t="str">
        <f t="shared" si="61"/>
        <v>IT_AMAZON</v>
      </c>
      <c r="C1654" s="110" t="s">
        <v>271</v>
      </c>
      <c r="D1654" s="110" t="s">
        <v>262</v>
      </c>
      <c r="E1654" s="110" t="s">
        <v>2524</v>
      </c>
      <c r="F1654" s="110" t="s">
        <v>2616</v>
      </c>
      <c r="G1654" s="110" t="s">
        <v>3043</v>
      </c>
      <c r="H1654" s="93" t="e">
        <v>#N/A</v>
      </c>
      <c r="I1654" s="99">
        <v>46076</v>
      </c>
      <c r="J1654" s="83" t="s">
        <v>189</v>
      </c>
      <c r="K1654" s="110"/>
      <c r="L1654" s="110"/>
      <c r="M1654" s="110"/>
      <c r="N1654" s="110"/>
      <c r="O1654" s="110"/>
    </row>
    <row r="1655" spans="1:15" s="108" customFormat="1" hidden="1">
      <c r="A1655" s="108" t="str">
        <f t="shared" si="60"/>
        <v>ITAMAZONAir Conditionerwindow inverter air conditionercondizionatore inverter da finestra</v>
      </c>
      <c r="B1655" s="109" t="str">
        <f t="shared" si="61"/>
        <v>IT_AMAZON</v>
      </c>
      <c r="C1655" s="110" t="s">
        <v>271</v>
      </c>
      <c r="D1655" s="110" t="s">
        <v>262</v>
      </c>
      <c r="E1655" s="110" t="s">
        <v>2524</v>
      </c>
      <c r="F1655" s="110" t="s">
        <v>2424</v>
      </c>
      <c r="G1655" s="110" t="s">
        <v>3044</v>
      </c>
      <c r="H1655" s="93" t="e">
        <v>#N/A</v>
      </c>
      <c r="I1655" s="99">
        <v>46076</v>
      </c>
      <c r="J1655" s="83" t="s">
        <v>189</v>
      </c>
      <c r="K1655" s="110"/>
      <c r="L1655" s="110"/>
      <c r="M1655" s="110"/>
      <c r="N1655" s="110"/>
      <c r="O1655" s="110"/>
    </row>
    <row r="1656" spans="1:15" s="81" customFormat="1" hidden="1">
      <c r="A1656" s="81" t="str">
        <f t="shared" si="60"/>
        <v>ITAMAZONDryerDryerAsciugatrici</v>
      </c>
      <c r="B1656" s="106" t="str">
        <f t="shared" si="61"/>
        <v>IT_AMAZON</v>
      </c>
      <c r="C1656" s="107" t="s">
        <v>271</v>
      </c>
      <c r="D1656" s="107" t="s">
        <v>262</v>
      </c>
      <c r="E1656" s="107" t="s">
        <v>2535</v>
      </c>
      <c r="F1656" s="107" t="s">
        <v>2431</v>
      </c>
      <c r="G1656" s="107" t="s">
        <v>3045</v>
      </c>
      <c r="H1656" s="93" t="e">
        <v>#N/A</v>
      </c>
      <c r="I1656" s="99">
        <v>46076</v>
      </c>
      <c r="J1656" s="83" t="s">
        <v>189</v>
      </c>
      <c r="K1656" s="107"/>
      <c r="L1656" s="107"/>
      <c r="M1656" s="107"/>
      <c r="N1656" s="107"/>
      <c r="O1656" s="107"/>
    </row>
    <row r="1657" spans="1:15" hidden="1">
      <c r="A1657" s="75" t="str">
        <f t="shared" si="60"/>
        <v>ITMEDIAWORLDBluetooth Speakerbluetooth speakeraltoparlante bluetooth</v>
      </c>
      <c r="B1657" s="94" t="str">
        <f t="shared" si="61"/>
        <v>IT_MEDIAWORLD</v>
      </c>
      <c r="C1657" s="93" t="s">
        <v>271</v>
      </c>
      <c r="D1657" s="93" t="s">
        <v>273</v>
      </c>
      <c r="E1657" s="93" t="s">
        <v>2307</v>
      </c>
      <c r="F1657" s="93" t="s">
        <v>2657</v>
      </c>
      <c r="G1657" s="93" t="s">
        <v>3046</v>
      </c>
      <c r="H1657" s="93" t="e">
        <v>#N/A</v>
      </c>
      <c r="I1657" s="105" t="s">
        <v>2310</v>
      </c>
      <c r="J1657" s="93" t="s">
        <v>189</v>
      </c>
      <c r="K1657" s="93">
        <v>282</v>
      </c>
      <c r="L1657" s="93" t="e">
        <v>#N/A</v>
      </c>
      <c r="M1657" s="93" t="s">
        <v>2311</v>
      </c>
      <c r="N1657" s="93">
        <f>VLOOKUP(B1657,'[16]01.수집 카테고리(List)'!$A$2:$H$64,8,FALSE)</f>
        <v>99991231</v>
      </c>
      <c r="O1657" s="93" t="s">
        <v>646</v>
      </c>
    </row>
    <row r="1658" spans="1:15" hidden="1">
      <c r="A1658" s="75" t="str">
        <f t="shared" si="60"/>
        <v>ITMEDIAWORLDBluetooth SpeakerspeakersAltoparlanti</v>
      </c>
      <c r="B1658" s="94" t="str">
        <f t="shared" si="61"/>
        <v>IT_MEDIAWORLD</v>
      </c>
      <c r="C1658" s="93" t="s">
        <v>271</v>
      </c>
      <c r="D1658" s="93" t="s">
        <v>273</v>
      </c>
      <c r="E1658" s="93" t="s">
        <v>2307</v>
      </c>
      <c r="F1658" s="93" t="s">
        <v>2471</v>
      </c>
      <c r="G1658" s="93" t="s">
        <v>3047</v>
      </c>
      <c r="H1658" s="93" t="e">
        <v>#N/A</v>
      </c>
      <c r="I1658" s="105" t="s">
        <v>2310</v>
      </c>
      <c r="J1658" s="93" t="s">
        <v>189</v>
      </c>
      <c r="K1658" s="93">
        <v>294</v>
      </c>
      <c r="L1658" s="93" t="e">
        <v>#N/A</v>
      </c>
      <c r="M1658" s="93" t="s">
        <v>2311</v>
      </c>
      <c r="N1658" s="93">
        <f>VLOOKUP(B1658,'[16]01.수집 카테고리(List)'!$A$2:$H$64,8,FALSE)</f>
        <v>99991231</v>
      </c>
      <c r="O1658" s="93" t="s">
        <v>646</v>
      </c>
    </row>
    <row r="1659" spans="1:15" hidden="1">
      <c r="A1659" s="75" t="str">
        <f t="shared" si="60"/>
        <v>ITMEDIAWORLDBluetooth Speakerportable speakersaltoparlanti portatil</v>
      </c>
      <c r="B1659" s="94" t="str">
        <f t="shared" si="61"/>
        <v>IT_MEDIAWORLD</v>
      </c>
      <c r="C1659" s="93" t="s">
        <v>271</v>
      </c>
      <c r="D1659" s="93" t="s">
        <v>273</v>
      </c>
      <c r="E1659" s="93" t="s">
        <v>2307</v>
      </c>
      <c r="F1659" s="93" t="s">
        <v>2473</v>
      </c>
      <c r="G1659" s="93" t="s">
        <v>3048</v>
      </c>
      <c r="H1659" s="93" t="e">
        <v>#N/A</v>
      </c>
      <c r="I1659" s="105" t="s">
        <v>2310</v>
      </c>
      <c r="J1659" s="93" t="s">
        <v>189</v>
      </c>
      <c r="K1659" s="93">
        <v>31127</v>
      </c>
      <c r="L1659" s="93" t="e">
        <v>#N/A</v>
      </c>
      <c r="M1659" s="93" t="s">
        <v>2311</v>
      </c>
      <c r="N1659" s="93">
        <f>VLOOKUP(B1659,'[16]01.수집 카테고리(List)'!$A$2:$H$64,8,FALSE)</f>
        <v>99991231</v>
      </c>
      <c r="O1659" s="93" t="s">
        <v>646</v>
      </c>
    </row>
    <row r="1660" spans="1:15" hidden="1">
      <c r="A1660" s="75" t="str">
        <f t="shared" si="60"/>
        <v>ITMEDIAWORLDBluetooth Speakerbluetooth speakerscasse bluetooth</v>
      </c>
      <c r="B1660" s="94" t="str">
        <f t="shared" si="61"/>
        <v>IT_MEDIAWORLD</v>
      </c>
      <c r="C1660" s="93" t="s">
        <v>271</v>
      </c>
      <c r="D1660" s="93" t="s">
        <v>273</v>
      </c>
      <c r="E1660" s="93" t="s">
        <v>2307</v>
      </c>
      <c r="F1660" s="93" t="s">
        <v>3049</v>
      </c>
      <c r="G1660" s="93" t="s">
        <v>3050</v>
      </c>
      <c r="H1660" s="93" t="e">
        <v>#N/A</v>
      </c>
      <c r="I1660" s="105" t="s">
        <v>2310</v>
      </c>
      <c r="J1660" s="93" t="s">
        <v>189</v>
      </c>
      <c r="K1660" s="93">
        <v>31838</v>
      </c>
      <c r="L1660" s="93" t="e">
        <v>#N/A</v>
      </c>
      <c r="M1660" s="93" t="s">
        <v>2311</v>
      </c>
      <c r="N1660" s="93">
        <f>VLOOKUP(B1660,'[16]01.수집 카테고리(List)'!$A$2:$H$64,8,FALSE)</f>
        <v>99991231</v>
      </c>
      <c r="O1660" s="93" t="s">
        <v>646</v>
      </c>
    </row>
    <row r="1661" spans="1:15" hidden="1">
      <c r="A1661" s="75" t="str">
        <f t="shared" si="60"/>
        <v>ITMEDIAWORLDDISHWASHERdishwasherlavastoviglie</v>
      </c>
      <c r="B1661" s="94" t="str">
        <f t="shared" si="61"/>
        <v>IT_MEDIAWORLD</v>
      </c>
      <c r="C1661" s="93" t="s">
        <v>271</v>
      </c>
      <c r="D1661" s="93" t="s">
        <v>273</v>
      </c>
      <c r="E1661" s="93" t="s">
        <v>169</v>
      </c>
      <c r="F1661" s="93" t="s">
        <v>2354</v>
      </c>
      <c r="G1661" s="93" t="s">
        <v>3051</v>
      </c>
      <c r="H1661" s="93" t="e">
        <v>#N/A</v>
      </c>
      <c r="I1661" s="105" t="s">
        <v>2310</v>
      </c>
      <c r="J1661" s="93" t="s">
        <v>189</v>
      </c>
      <c r="K1661" s="93">
        <v>662</v>
      </c>
      <c r="L1661" s="93" t="e">
        <v>#N/A</v>
      </c>
      <c r="M1661" s="93" t="s">
        <v>2311</v>
      </c>
      <c r="N1661" s="93">
        <f>VLOOKUP(B1661,'[16]01.수집 카테고리(List)'!$A$2:$H$64,8,FALSE)</f>
        <v>99991231</v>
      </c>
      <c r="O1661" s="93" t="s">
        <v>646</v>
      </c>
    </row>
    <row r="1662" spans="1:15" hidden="1">
      <c r="A1662" s="75" t="str">
        <f t="shared" si="60"/>
        <v>ITMEDIAWORLDDISHWASHERBuilt in Dish washerLavastoviglie incasso</v>
      </c>
      <c r="B1662" s="94" t="str">
        <f t="shared" si="61"/>
        <v>IT_MEDIAWORLD</v>
      </c>
      <c r="C1662" s="93" t="s">
        <v>271</v>
      </c>
      <c r="D1662" s="93" t="s">
        <v>273</v>
      </c>
      <c r="E1662" s="93" t="s">
        <v>169</v>
      </c>
      <c r="F1662" s="93" t="s">
        <v>2356</v>
      </c>
      <c r="G1662" s="93" t="s">
        <v>3052</v>
      </c>
      <c r="H1662" s="93" t="e">
        <v>#N/A</v>
      </c>
      <c r="I1662" s="105" t="s">
        <v>2310</v>
      </c>
      <c r="J1662" s="93" t="s">
        <v>189</v>
      </c>
      <c r="K1662" s="93">
        <v>355</v>
      </c>
      <c r="L1662" s="93" t="e">
        <v>#N/A</v>
      </c>
      <c r="M1662" s="93" t="s">
        <v>2311</v>
      </c>
      <c r="N1662" s="93">
        <f>VLOOKUP(B1662,'[16]01.수집 카테고리(List)'!$A$2:$H$64,8,FALSE)</f>
        <v>99991231</v>
      </c>
      <c r="O1662" s="93" t="s">
        <v>646</v>
      </c>
    </row>
    <row r="1663" spans="1:15" hidden="1">
      <c r="A1663" s="75" t="str">
        <f t="shared" si="60"/>
        <v>ITMEDIAWORLDDISHWASHERFreestanding Dishwasher Lavastoviglie libera installazione</v>
      </c>
      <c r="B1663" s="94" t="str">
        <f t="shared" si="61"/>
        <v>IT_MEDIAWORLD</v>
      </c>
      <c r="C1663" s="93" t="s">
        <v>271</v>
      </c>
      <c r="D1663" s="93" t="s">
        <v>273</v>
      </c>
      <c r="E1663" s="93" t="s">
        <v>169</v>
      </c>
      <c r="F1663" s="93" t="s">
        <v>2441</v>
      </c>
      <c r="G1663" s="93" t="s">
        <v>3053</v>
      </c>
      <c r="H1663" s="93" t="e">
        <v>#N/A</v>
      </c>
      <c r="I1663" s="105" t="s">
        <v>2310</v>
      </c>
      <c r="J1663" s="93" t="s">
        <v>189</v>
      </c>
      <c r="K1663" s="93">
        <v>432</v>
      </c>
      <c r="L1663" s="93" t="e">
        <v>#N/A</v>
      </c>
      <c r="M1663" s="93" t="s">
        <v>2311</v>
      </c>
      <c r="N1663" s="93">
        <f>VLOOKUP(B1663,'[16]01.수집 카테고리(List)'!$A$2:$H$64,8,FALSE)</f>
        <v>99991231</v>
      </c>
      <c r="O1663" s="93" t="s">
        <v>646</v>
      </c>
    </row>
    <row r="1664" spans="1:15" hidden="1">
      <c r="A1664" s="75" t="str">
        <f t="shared" si="60"/>
        <v>ITMEDIAWORLDDryerDryerAsciugatrici</v>
      </c>
      <c r="B1664" s="94" t="str">
        <f t="shared" si="61"/>
        <v>IT_MEDIAWORLD</v>
      </c>
      <c r="C1664" s="93" t="s">
        <v>271</v>
      </c>
      <c r="D1664" s="93" t="s">
        <v>273</v>
      </c>
      <c r="E1664" s="93" t="s">
        <v>2431</v>
      </c>
      <c r="F1664" s="93" t="s">
        <v>2431</v>
      </c>
      <c r="G1664" s="93" t="s">
        <v>3045</v>
      </c>
      <c r="H1664" s="93" t="e">
        <v>#N/A</v>
      </c>
      <c r="I1664" s="105" t="s">
        <v>2310</v>
      </c>
      <c r="J1664" s="93" t="s">
        <v>189</v>
      </c>
      <c r="K1664" s="93">
        <v>84</v>
      </c>
      <c r="L1664" s="93" t="e">
        <v>#N/A</v>
      </c>
      <c r="M1664" s="93" t="s">
        <v>2311</v>
      </c>
      <c r="N1664" s="93">
        <f>VLOOKUP(B1664,'[16]01.수집 카테고리(List)'!$A$2:$H$64,8,FALSE)</f>
        <v>99991231</v>
      </c>
      <c r="O1664" s="93" t="s">
        <v>646</v>
      </c>
    </row>
    <row r="1665" spans="1:15" hidden="1">
      <c r="A1665" s="75" t="str">
        <f t="shared" si="60"/>
        <v>ITMEDIAWORLDMonitorMonitor Full HDMonitor Full HD</v>
      </c>
      <c r="B1665" s="94" t="str">
        <f t="shared" si="61"/>
        <v>IT_MEDIAWORLD</v>
      </c>
      <c r="C1665" s="93" t="s">
        <v>271</v>
      </c>
      <c r="D1665" s="93" t="s">
        <v>273</v>
      </c>
      <c r="E1665" s="93" t="s">
        <v>2320</v>
      </c>
      <c r="F1665" s="93" t="s">
        <v>2669</v>
      </c>
      <c r="G1665" s="93" t="s">
        <v>2669</v>
      </c>
      <c r="H1665" s="93" t="e">
        <v>#N/A</v>
      </c>
      <c r="I1665" s="105" t="s">
        <v>2310</v>
      </c>
      <c r="J1665" s="93" t="s">
        <v>189</v>
      </c>
      <c r="K1665" s="93">
        <v>688</v>
      </c>
      <c r="L1665" s="93">
        <v>688</v>
      </c>
      <c r="M1665" s="93" t="s">
        <v>2311</v>
      </c>
      <c r="N1665" s="93">
        <f>VLOOKUP(B1665,'[16]01.수집 카테고리(List)'!$A$2:$H$64,8,FALSE)</f>
        <v>99991231</v>
      </c>
      <c r="O1665" s="93" t="s">
        <v>646</v>
      </c>
    </row>
    <row r="1666" spans="1:15" hidden="1">
      <c r="A1666" s="75" t="str">
        <f t="shared" si="60"/>
        <v>ITMEDIAWORLDMonitorMonitor GamingMonitor Gaming</v>
      </c>
      <c r="B1666" s="94" t="str">
        <f t="shared" si="61"/>
        <v>IT_MEDIAWORLD</v>
      </c>
      <c r="C1666" s="93" t="s">
        <v>271</v>
      </c>
      <c r="D1666" s="93" t="s">
        <v>273</v>
      </c>
      <c r="E1666" s="93" t="s">
        <v>2320</v>
      </c>
      <c r="F1666" s="93" t="s">
        <v>2670</v>
      </c>
      <c r="G1666" s="93" t="s">
        <v>2670</v>
      </c>
      <c r="H1666" s="93" t="e">
        <v>#N/A</v>
      </c>
      <c r="I1666" s="105" t="s">
        <v>2310</v>
      </c>
      <c r="J1666" s="93" t="s">
        <v>189</v>
      </c>
      <c r="K1666" s="93">
        <v>655</v>
      </c>
      <c r="L1666" s="93">
        <v>655</v>
      </c>
      <c r="M1666" s="93" t="s">
        <v>2311</v>
      </c>
      <c r="N1666" s="93">
        <f>VLOOKUP(B1666,'[16]01.수집 카테고리(List)'!$A$2:$H$64,8,FALSE)</f>
        <v>99991231</v>
      </c>
      <c r="O1666" s="93" t="s">
        <v>646</v>
      </c>
    </row>
    <row r="1667" spans="1:15" hidden="1">
      <c r="A1667" s="75" t="str">
        <f t="shared" si="60"/>
        <v>ITMEDIAWORLDMonitorMonitor PCMonitor PC</v>
      </c>
      <c r="B1667" s="94" t="str">
        <f t="shared" si="61"/>
        <v>IT_MEDIAWORLD</v>
      </c>
      <c r="C1667" s="93" t="s">
        <v>271</v>
      </c>
      <c r="D1667" s="93" t="s">
        <v>273</v>
      </c>
      <c r="E1667" s="93" t="s">
        <v>2320</v>
      </c>
      <c r="F1667" s="93" t="s">
        <v>2671</v>
      </c>
      <c r="G1667" s="93" t="s">
        <v>2671</v>
      </c>
      <c r="H1667" s="93" t="e">
        <v>#N/A</v>
      </c>
      <c r="I1667" s="105" t="s">
        <v>2310</v>
      </c>
      <c r="J1667" s="93" t="s">
        <v>189</v>
      </c>
      <c r="K1667" s="93">
        <v>69</v>
      </c>
      <c r="L1667" s="93">
        <v>69</v>
      </c>
      <c r="M1667" s="93" t="s">
        <v>2311</v>
      </c>
      <c r="N1667" s="93">
        <f>VLOOKUP(B1667,'[16]01.수집 카테고리(List)'!$A$2:$H$64,8,FALSE)</f>
        <v>99991231</v>
      </c>
      <c r="O1667" s="93" t="s">
        <v>646</v>
      </c>
    </row>
    <row r="1668" spans="1:15" hidden="1">
      <c r="A1668" s="75" t="str">
        <f t="shared" si="60"/>
        <v>ITMEDIAWORLDMonitorMonitor Ultra HDMonitor Ultra HD</v>
      </c>
      <c r="B1668" s="94" t="str">
        <f t="shared" si="61"/>
        <v>IT_MEDIAWORLD</v>
      </c>
      <c r="C1668" s="93" t="s">
        <v>271</v>
      </c>
      <c r="D1668" s="93" t="s">
        <v>273</v>
      </c>
      <c r="E1668" s="93" t="s">
        <v>2320</v>
      </c>
      <c r="F1668" s="93" t="s">
        <v>2672</v>
      </c>
      <c r="G1668" s="93" t="s">
        <v>2672</v>
      </c>
      <c r="H1668" s="93" t="e">
        <v>#N/A</v>
      </c>
      <c r="I1668" s="105" t="s">
        <v>2310</v>
      </c>
      <c r="J1668" s="93" t="s">
        <v>189</v>
      </c>
      <c r="K1668" s="93">
        <v>5</v>
      </c>
      <c r="L1668" s="93">
        <v>5</v>
      </c>
      <c r="M1668" s="93" t="s">
        <v>2311</v>
      </c>
      <c r="N1668" s="93">
        <f>VLOOKUP(B1668,'[16]01.수집 카테고리(List)'!$A$2:$H$64,8,FALSE)</f>
        <v>99991231</v>
      </c>
      <c r="O1668" s="93" t="s">
        <v>646</v>
      </c>
    </row>
    <row r="1669" spans="1:15" hidden="1">
      <c r="A1669" s="75" t="str">
        <f t="shared" ref="A1669:A1727" si="62">C1669&amp;D1669&amp;E1669&amp;F1669&amp;G1669</f>
        <v>ITMEDIAWORLDMonitorMonitor Ultra WideMonitor Ultra Wide</v>
      </c>
      <c r="B1669" s="94" t="str">
        <f t="shared" ref="B1669:B1727" si="63">C1669&amp;"_"&amp;D1669</f>
        <v>IT_MEDIAWORLD</v>
      </c>
      <c r="C1669" s="93" t="s">
        <v>271</v>
      </c>
      <c r="D1669" s="93" t="s">
        <v>273</v>
      </c>
      <c r="E1669" s="93" t="s">
        <v>2320</v>
      </c>
      <c r="F1669" s="93" t="s">
        <v>2673</v>
      </c>
      <c r="G1669" s="93" t="s">
        <v>2673</v>
      </c>
      <c r="H1669" s="93" t="e">
        <v>#N/A</v>
      </c>
      <c r="I1669" s="105" t="s">
        <v>2310</v>
      </c>
      <c r="J1669" s="93" t="s">
        <v>189</v>
      </c>
      <c r="K1669" s="93">
        <v>5</v>
      </c>
      <c r="L1669" s="93">
        <v>5</v>
      </c>
      <c r="M1669" s="93" t="s">
        <v>2311</v>
      </c>
      <c r="N1669" s="93">
        <f>VLOOKUP(B1669,'[16]01.수집 카테고리(List)'!$A$2:$H$64,8,FALSE)</f>
        <v>99991231</v>
      </c>
      <c r="O1669" s="93" t="s">
        <v>646</v>
      </c>
    </row>
    <row r="1670" spans="1:15" hidden="1">
      <c r="A1670" s="75" t="str">
        <f t="shared" si="62"/>
        <v>ITMEDIAWORLDOVENSlide-in RangeCucina a gas con scorrimento</v>
      </c>
      <c r="B1670" s="94" t="str">
        <f t="shared" si="63"/>
        <v>IT_MEDIAWORLD</v>
      </c>
      <c r="C1670" s="93" t="s">
        <v>271</v>
      </c>
      <c r="D1670" s="93" t="s">
        <v>273</v>
      </c>
      <c r="E1670" s="93" t="s">
        <v>173</v>
      </c>
      <c r="F1670" s="93" t="s">
        <v>2676</v>
      </c>
      <c r="G1670" s="93" t="s">
        <v>3026</v>
      </c>
      <c r="H1670" s="93" t="e">
        <v>#N/A</v>
      </c>
      <c r="I1670" s="105" t="s">
        <v>2310</v>
      </c>
      <c r="J1670" s="93" t="s">
        <v>189</v>
      </c>
      <c r="K1670" s="93">
        <v>22</v>
      </c>
      <c r="L1670" s="93" t="e">
        <v>#N/A</v>
      </c>
      <c r="M1670" s="93" t="s">
        <v>2311</v>
      </c>
      <c r="N1670" s="93">
        <f>VLOOKUP(B1670,'[16]01.수집 카테고리(List)'!$A$2:$H$64,8,FALSE)</f>
        <v>99991231</v>
      </c>
      <c r="O1670" s="93" t="s">
        <v>646</v>
      </c>
    </row>
    <row r="1671" spans="1:15" hidden="1">
      <c r="A1671" s="75" t="str">
        <f t="shared" si="62"/>
        <v>ITMEDIAWORLDOVENWall OvenForno Da Parete</v>
      </c>
      <c r="B1671" s="94" t="str">
        <f t="shared" si="63"/>
        <v>IT_MEDIAWORLD</v>
      </c>
      <c r="C1671" s="93" t="s">
        <v>271</v>
      </c>
      <c r="D1671" s="93" t="s">
        <v>273</v>
      </c>
      <c r="E1671" s="93" t="s">
        <v>173</v>
      </c>
      <c r="F1671" s="93" t="s">
        <v>2544</v>
      </c>
      <c r="G1671" s="93" t="s">
        <v>3027</v>
      </c>
      <c r="H1671" s="93" t="e">
        <v>#N/A</v>
      </c>
      <c r="I1671" s="105" t="s">
        <v>2310</v>
      </c>
      <c r="J1671" s="93" t="s">
        <v>189</v>
      </c>
      <c r="K1671" s="93">
        <v>58</v>
      </c>
      <c r="L1671" s="93" t="e">
        <v>#N/A</v>
      </c>
      <c r="M1671" s="93" t="s">
        <v>2311</v>
      </c>
      <c r="N1671" s="93">
        <f>VLOOKUP(B1671,'[16]01.수집 카테고리(List)'!$A$2:$H$64,8,FALSE)</f>
        <v>99991231</v>
      </c>
      <c r="O1671" s="93" t="s">
        <v>646</v>
      </c>
    </row>
    <row r="1672" spans="1:15" hidden="1">
      <c r="A1672" s="75" t="str">
        <f t="shared" si="62"/>
        <v>ITMEDIAWORLDOVENFreestanding OvenForno indipendente</v>
      </c>
      <c r="B1672" s="94" t="str">
        <f t="shared" si="63"/>
        <v>IT_MEDIAWORLD</v>
      </c>
      <c r="C1672" s="93" t="s">
        <v>271</v>
      </c>
      <c r="D1672" s="93" t="s">
        <v>273</v>
      </c>
      <c r="E1672" s="93" t="s">
        <v>173</v>
      </c>
      <c r="F1672" s="93" t="s">
        <v>2678</v>
      </c>
      <c r="G1672" s="93" t="s">
        <v>3028</v>
      </c>
      <c r="H1672" s="93" t="e">
        <v>#N/A</v>
      </c>
      <c r="I1672" s="105" t="s">
        <v>2310</v>
      </c>
      <c r="J1672" s="93" t="s">
        <v>189</v>
      </c>
      <c r="K1672" s="93" t="e">
        <v>#N/A</v>
      </c>
      <c r="L1672" s="93" t="e">
        <v>#N/A</v>
      </c>
      <c r="M1672" s="93" t="s">
        <v>2393</v>
      </c>
      <c r="N1672" s="93">
        <f>VLOOKUP(B1672,'[16]01.수집 카테고리(List)'!$A$2:$H$64,8,FALSE)</f>
        <v>99991231</v>
      </c>
      <c r="O1672" s="93" t="s">
        <v>646</v>
      </c>
    </row>
    <row r="1673" spans="1:15" hidden="1">
      <c r="A1673" s="75" t="str">
        <f t="shared" si="62"/>
        <v>ITMEDIAWORLDOVENCooktopPiano cottura</v>
      </c>
      <c r="B1673" s="94" t="str">
        <f t="shared" si="63"/>
        <v>IT_MEDIAWORLD</v>
      </c>
      <c r="C1673" s="93" t="s">
        <v>271</v>
      </c>
      <c r="D1673" s="93" t="s">
        <v>273</v>
      </c>
      <c r="E1673" s="93" t="s">
        <v>173</v>
      </c>
      <c r="F1673" s="93" t="s">
        <v>2541</v>
      </c>
      <c r="G1673" s="93" t="s">
        <v>3029</v>
      </c>
      <c r="H1673" s="93" t="e">
        <v>#N/A</v>
      </c>
      <c r="I1673" s="105" t="s">
        <v>2310</v>
      </c>
      <c r="J1673" s="93" t="s">
        <v>189</v>
      </c>
      <c r="K1673" s="93">
        <v>1390</v>
      </c>
      <c r="L1673" s="93" t="e">
        <v>#N/A</v>
      </c>
      <c r="M1673" s="93" t="s">
        <v>2311</v>
      </c>
      <c r="N1673" s="93">
        <f>VLOOKUP(B1673,'[16]01.수집 카테고리(List)'!$A$2:$H$64,8,FALSE)</f>
        <v>99991231</v>
      </c>
      <c r="O1673" s="93" t="s">
        <v>646</v>
      </c>
    </row>
    <row r="1674" spans="1:15" hidden="1">
      <c r="A1674" s="75" t="str">
        <f t="shared" si="62"/>
        <v>ITMEDIAWORLDRefrigeratorfrench door refrigeratorfrigoriferi multidoor</v>
      </c>
      <c r="B1674" s="94" t="str">
        <f t="shared" si="63"/>
        <v>IT_MEDIAWORLD</v>
      </c>
      <c r="C1674" s="93" t="s">
        <v>271</v>
      </c>
      <c r="D1674" s="93" t="s">
        <v>273</v>
      </c>
      <c r="E1674" s="93" t="s">
        <v>2326</v>
      </c>
      <c r="F1674" s="93" t="s">
        <v>2328</v>
      </c>
      <c r="G1674" s="93" t="s">
        <v>3030</v>
      </c>
      <c r="H1674" s="93" t="e">
        <v>#N/A</v>
      </c>
      <c r="I1674" s="105" t="s">
        <v>2310</v>
      </c>
      <c r="J1674" s="93" t="s">
        <v>189</v>
      </c>
      <c r="K1674" s="93">
        <v>85</v>
      </c>
      <c r="L1674" s="93" t="e">
        <v>#N/A</v>
      </c>
      <c r="M1674" s="93" t="s">
        <v>2311</v>
      </c>
      <c r="N1674" s="93">
        <f>VLOOKUP(B1674,'[16]01.수집 카테고리(List)'!$A$2:$H$64,8,FALSE)</f>
        <v>99991231</v>
      </c>
      <c r="O1674" s="93" t="s">
        <v>646</v>
      </c>
    </row>
    <row r="1675" spans="1:15" hidden="1">
      <c r="A1675" s="75" t="str">
        <f t="shared" si="62"/>
        <v>ITMEDIAWORLDRefrigeratorrefrigeratorfrigorifero</v>
      </c>
      <c r="B1675" s="94" t="str">
        <f t="shared" si="63"/>
        <v>IT_MEDIAWORLD</v>
      </c>
      <c r="C1675" s="93" t="s">
        <v>271</v>
      </c>
      <c r="D1675" s="93" t="s">
        <v>273</v>
      </c>
      <c r="E1675" s="93" t="s">
        <v>2326</v>
      </c>
      <c r="F1675" s="93" t="s">
        <v>2329</v>
      </c>
      <c r="G1675" s="93" t="s">
        <v>3031</v>
      </c>
      <c r="H1675" s="93" t="e">
        <v>#N/A</v>
      </c>
      <c r="I1675" s="105" t="s">
        <v>2310</v>
      </c>
      <c r="J1675" s="93" t="s">
        <v>189</v>
      </c>
      <c r="K1675" s="93">
        <v>392</v>
      </c>
      <c r="L1675" s="93" t="e">
        <v>#N/A</v>
      </c>
      <c r="M1675" s="93" t="s">
        <v>2311</v>
      </c>
      <c r="N1675" s="93">
        <f>VLOOKUP(B1675,'[16]01.수집 카테고리(List)'!$A$2:$H$64,8,FALSE)</f>
        <v>99991231</v>
      </c>
      <c r="O1675" s="93" t="s">
        <v>646</v>
      </c>
    </row>
    <row r="1676" spans="1:15" hidden="1">
      <c r="A1676" s="75" t="str">
        <f t="shared" si="62"/>
        <v>ITMEDIAWORLDRefrigeratorbottom freezer refrigeratorFrigorifero combinato</v>
      </c>
      <c r="B1676" s="94" t="str">
        <f t="shared" si="63"/>
        <v>IT_MEDIAWORLD</v>
      </c>
      <c r="C1676" s="93" t="s">
        <v>271</v>
      </c>
      <c r="D1676" s="93" t="s">
        <v>273</v>
      </c>
      <c r="E1676" s="93" t="s">
        <v>2326</v>
      </c>
      <c r="F1676" s="93" t="s">
        <v>2327</v>
      </c>
      <c r="G1676" s="93" t="s">
        <v>3032</v>
      </c>
      <c r="H1676" s="93" t="e">
        <v>#N/A</v>
      </c>
      <c r="I1676" s="105" t="s">
        <v>2310</v>
      </c>
      <c r="J1676" s="93" t="s">
        <v>189</v>
      </c>
      <c r="K1676" s="93">
        <v>9</v>
      </c>
      <c r="L1676" s="93" t="e">
        <v>#N/A</v>
      </c>
      <c r="M1676" s="93" t="s">
        <v>2311</v>
      </c>
      <c r="N1676" s="93">
        <f>VLOOKUP(B1676,'[16]01.수집 카테고리(List)'!$A$2:$H$64,8,FALSE)</f>
        <v>99991231</v>
      </c>
      <c r="O1676" s="93" t="s">
        <v>646</v>
      </c>
    </row>
    <row r="1677" spans="1:15" hidden="1">
      <c r="A1677" s="75" t="str">
        <f t="shared" si="62"/>
        <v>ITMEDIAWORLDRefrigeratortop freezer refrigeratorfrigorifero doppia porta</v>
      </c>
      <c r="B1677" s="94" t="str">
        <f t="shared" si="63"/>
        <v>IT_MEDIAWORLD</v>
      </c>
      <c r="C1677" s="93" t="s">
        <v>271</v>
      </c>
      <c r="D1677" s="93" t="s">
        <v>273</v>
      </c>
      <c r="E1677" s="93" t="s">
        <v>2326</v>
      </c>
      <c r="F1677" s="93" t="s">
        <v>2332</v>
      </c>
      <c r="G1677" s="93" t="s">
        <v>3033</v>
      </c>
      <c r="H1677" s="93" t="e">
        <v>#N/A</v>
      </c>
      <c r="I1677" s="105" t="s">
        <v>2310</v>
      </c>
      <c r="J1677" s="93" t="s">
        <v>189</v>
      </c>
      <c r="K1677" s="93">
        <v>7</v>
      </c>
      <c r="L1677" s="93" t="e">
        <v>#N/A</v>
      </c>
      <c r="M1677" s="93" t="s">
        <v>2311</v>
      </c>
      <c r="N1677" s="93">
        <f>VLOOKUP(B1677,'[16]01.수집 카테고리(List)'!$A$2:$H$64,8,FALSE)</f>
        <v>99991231</v>
      </c>
      <c r="O1677" s="93" t="s">
        <v>646</v>
      </c>
    </row>
    <row r="1678" spans="1:15" hidden="1">
      <c r="A1678" s="75" t="str">
        <f t="shared" si="62"/>
        <v>ITMEDIAWORLDRefrigeratorside by side refrigeratorfrigorifero side by side</v>
      </c>
      <c r="B1678" s="94" t="str">
        <f t="shared" si="63"/>
        <v>IT_MEDIAWORLD</v>
      </c>
      <c r="C1678" s="93" t="s">
        <v>271</v>
      </c>
      <c r="D1678" s="93" t="s">
        <v>273</v>
      </c>
      <c r="E1678" s="93" t="s">
        <v>2326</v>
      </c>
      <c r="F1678" s="93" t="s">
        <v>2330</v>
      </c>
      <c r="G1678" s="93" t="s">
        <v>3034</v>
      </c>
      <c r="H1678" s="93" t="e">
        <v>#N/A</v>
      </c>
      <c r="I1678" s="105" t="s">
        <v>2310</v>
      </c>
      <c r="J1678" s="93" t="s">
        <v>189</v>
      </c>
      <c r="K1678" s="93">
        <v>128</v>
      </c>
      <c r="L1678" s="93" t="e">
        <v>#N/A</v>
      </c>
      <c r="M1678" s="93" t="s">
        <v>2311</v>
      </c>
      <c r="N1678" s="93">
        <f>VLOOKUP(B1678,'[16]01.수집 카테고리(List)'!$A$2:$H$64,8,FALSE)</f>
        <v>99991231</v>
      </c>
      <c r="O1678" s="93" t="s">
        <v>646</v>
      </c>
    </row>
    <row r="1679" spans="1:15" hidden="1">
      <c r="A1679" s="75" t="str">
        <f t="shared" si="62"/>
        <v>ITMEDIAWORLDSoundbarSound barSound bar</v>
      </c>
      <c r="B1679" s="94" t="str">
        <f t="shared" si="63"/>
        <v>IT_MEDIAWORLD</v>
      </c>
      <c r="C1679" s="93" t="s">
        <v>271</v>
      </c>
      <c r="D1679" s="93" t="s">
        <v>273</v>
      </c>
      <c r="E1679" s="93" t="s">
        <v>2363</v>
      </c>
      <c r="F1679" s="93" t="s">
        <v>2365</v>
      </c>
      <c r="G1679" s="93" t="s">
        <v>2365</v>
      </c>
      <c r="H1679" s="93" t="e">
        <v>#N/A</v>
      </c>
      <c r="I1679" s="105" t="s">
        <v>2310</v>
      </c>
      <c r="J1679" s="93" t="s">
        <v>189</v>
      </c>
      <c r="K1679" s="93">
        <v>166</v>
      </c>
      <c r="L1679" s="93">
        <v>166</v>
      </c>
      <c r="M1679" s="93" t="s">
        <v>2311</v>
      </c>
      <c r="N1679" s="93">
        <f>VLOOKUP(B1679,'[16]01.수집 카테고리(List)'!$A$2:$H$64,8,FALSE)</f>
        <v>99991231</v>
      </c>
      <c r="O1679" s="93" t="s">
        <v>646</v>
      </c>
    </row>
    <row r="1680" spans="1:15" hidden="1">
      <c r="A1680" s="75" t="str">
        <f t="shared" si="62"/>
        <v>ITMEDIAWORLDSOUNDBARSoundbarSoundbar</v>
      </c>
      <c r="B1680" s="94" t="str">
        <f t="shared" si="63"/>
        <v>IT_MEDIAWORLD</v>
      </c>
      <c r="C1680" s="93" t="s">
        <v>271</v>
      </c>
      <c r="D1680" s="93" t="s">
        <v>273</v>
      </c>
      <c r="E1680" s="93" t="s">
        <v>165</v>
      </c>
      <c r="F1680" s="93" t="s">
        <v>2363</v>
      </c>
      <c r="G1680" s="93" t="s">
        <v>2363</v>
      </c>
      <c r="H1680" s="93" t="e">
        <v>#N/A</v>
      </c>
      <c r="I1680" s="105" t="s">
        <v>2310</v>
      </c>
      <c r="J1680" s="93" t="s">
        <v>189</v>
      </c>
      <c r="K1680" s="93">
        <v>178</v>
      </c>
      <c r="L1680" s="93">
        <v>178</v>
      </c>
      <c r="M1680" s="93" t="s">
        <v>2311</v>
      </c>
      <c r="N1680" s="93">
        <f>VLOOKUP(B1680,'[16]01.수집 카테고리(List)'!$A$2:$H$64,8,FALSE)</f>
        <v>99991231</v>
      </c>
      <c r="O1680" s="93" t="s">
        <v>646</v>
      </c>
    </row>
    <row r="1681" spans="1:15" hidden="1">
      <c r="A1681" s="75" t="str">
        <f t="shared" si="62"/>
        <v>ITMEDIAWORLDSOUNDBARsoundbar for tvsoundbar per tv</v>
      </c>
      <c r="B1681" s="94" t="str">
        <f t="shared" si="63"/>
        <v>IT_MEDIAWORLD</v>
      </c>
      <c r="C1681" s="93" t="s">
        <v>271</v>
      </c>
      <c r="D1681" s="93" t="s">
        <v>273</v>
      </c>
      <c r="E1681" s="93" t="s">
        <v>165</v>
      </c>
      <c r="F1681" s="93" t="s">
        <v>2573</v>
      </c>
      <c r="G1681" s="93" t="s">
        <v>3054</v>
      </c>
      <c r="H1681" s="93" t="e">
        <v>#N/A</v>
      </c>
      <c r="I1681" s="105" t="s">
        <v>2310</v>
      </c>
      <c r="J1681" s="93" t="s">
        <v>189</v>
      </c>
      <c r="K1681" s="93">
        <v>22</v>
      </c>
      <c r="L1681" s="93" t="e">
        <v>#N/A</v>
      </c>
      <c r="M1681" s="93" t="s">
        <v>2311</v>
      </c>
      <c r="N1681" s="93">
        <f>VLOOKUP(B1681,'[16]01.수집 카테고리(List)'!$A$2:$H$64,8,FALSE)</f>
        <v>99991231</v>
      </c>
      <c r="O1681" s="93" t="s">
        <v>646</v>
      </c>
    </row>
    <row r="1682" spans="1:15" hidden="1">
      <c r="A1682" s="75" t="str">
        <f t="shared" si="62"/>
        <v>ITMEDIAWORLDSOUNDBARtv soundbarsoundbar tv</v>
      </c>
      <c r="B1682" s="94" t="str">
        <f t="shared" si="63"/>
        <v>IT_MEDIAWORLD</v>
      </c>
      <c r="C1682" s="93" t="s">
        <v>271</v>
      </c>
      <c r="D1682" s="93" t="s">
        <v>273</v>
      </c>
      <c r="E1682" s="93" t="s">
        <v>165</v>
      </c>
      <c r="F1682" s="93" t="s">
        <v>2686</v>
      </c>
      <c r="G1682" s="93" t="s">
        <v>3055</v>
      </c>
      <c r="H1682" s="93" t="e">
        <v>#N/A</v>
      </c>
      <c r="I1682" s="105" t="s">
        <v>2310</v>
      </c>
      <c r="J1682" s="93" t="s">
        <v>189</v>
      </c>
      <c r="K1682" s="93">
        <v>23</v>
      </c>
      <c r="L1682" s="93" t="e">
        <v>#N/A</v>
      </c>
      <c r="M1682" s="93" t="s">
        <v>2311</v>
      </c>
      <c r="N1682" s="93">
        <f>VLOOKUP(B1682,'[16]01.수집 카테고리(List)'!$A$2:$H$64,8,FALSE)</f>
        <v>99991231</v>
      </c>
      <c r="O1682" s="93" t="s">
        <v>646</v>
      </c>
    </row>
    <row r="1683" spans="1:15" hidden="1">
      <c r="A1683" s="75" t="str">
        <f t="shared" si="62"/>
        <v>ITMEDIAWORLDTVsmart TVsmart TV</v>
      </c>
      <c r="B1683" s="94" t="str">
        <f t="shared" si="63"/>
        <v>IT_MEDIAWORLD</v>
      </c>
      <c r="C1683" s="93" t="s">
        <v>271</v>
      </c>
      <c r="D1683" s="93" t="s">
        <v>273</v>
      </c>
      <c r="E1683" s="93" t="s">
        <v>161</v>
      </c>
      <c r="F1683" s="93" t="s">
        <v>2371</v>
      </c>
      <c r="G1683" s="93" t="s">
        <v>2371</v>
      </c>
      <c r="H1683" s="93" t="e">
        <v>#N/A</v>
      </c>
      <c r="I1683" s="105" t="s">
        <v>2310</v>
      </c>
      <c r="J1683" s="93" t="s">
        <v>189</v>
      </c>
      <c r="K1683" s="93">
        <v>168</v>
      </c>
      <c r="L1683" s="93">
        <v>168</v>
      </c>
      <c r="M1683" s="93" t="s">
        <v>2311</v>
      </c>
      <c r="N1683" s="93">
        <f>VLOOKUP(B1683,'[16]01.수집 카테고리(List)'!$A$2:$H$64,8,FALSE)</f>
        <v>99991231</v>
      </c>
      <c r="O1683" s="93" t="s">
        <v>646</v>
      </c>
    </row>
    <row r="1684" spans="1:15" hidden="1">
      <c r="A1684" s="75" t="str">
        <f t="shared" si="62"/>
        <v>ITMEDIAWORLDTVTVTV</v>
      </c>
      <c r="B1684" s="94" t="str">
        <f t="shared" si="63"/>
        <v>IT_MEDIAWORLD</v>
      </c>
      <c r="C1684" s="93" t="s">
        <v>271</v>
      </c>
      <c r="D1684" s="93" t="s">
        <v>273</v>
      </c>
      <c r="E1684" s="93" t="s">
        <v>161</v>
      </c>
      <c r="F1684" s="93" t="s">
        <v>161</v>
      </c>
      <c r="G1684" s="93" t="s">
        <v>161</v>
      </c>
      <c r="H1684" s="93" t="e">
        <v>#N/A</v>
      </c>
      <c r="I1684" s="105" t="s">
        <v>2310</v>
      </c>
      <c r="J1684" s="93" t="s">
        <v>189</v>
      </c>
      <c r="K1684" s="93">
        <v>377</v>
      </c>
      <c r="L1684" s="93">
        <v>377</v>
      </c>
      <c r="M1684" s="93" t="s">
        <v>2311</v>
      </c>
      <c r="N1684" s="93">
        <f>VLOOKUP(B1684,'[16]01.수집 카테고리(List)'!$A$2:$H$64,8,FALSE)</f>
        <v>99991231</v>
      </c>
      <c r="O1684" s="93" t="s">
        <v>646</v>
      </c>
    </row>
    <row r="1685" spans="1:15" hidden="1">
      <c r="A1685" s="75" t="str">
        <f t="shared" si="62"/>
        <v>ITMEDIAWORLDTV4k TVTV 4k</v>
      </c>
      <c r="B1685" s="94" t="str">
        <f t="shared" si="63"/>
        <v>IT_MEDIAWORLD</v>
      </c>
      <c r="C1685" s="93" t="s">
        <v>271</v>
      </c>
      <c r="D1685" s="93" t="s">
        <v>273</v>
      </c>
      <c r="E1685" s="93" t="s">
        <v>161</v>
      </c>
      <c r="F1685" s="93" t="s">
        <v>2368</v>
      </c>
      <c r="G1685" s="93" t="s">
        <v>3035</v>
      </c>
      <c r="H1685" s="93" t="e">
        <v>#N/A</v>
      </c>
      <c r="I1685" s="105" t="s">
        <v>2310</v>
      </c>
      <c r="J1685" s="93" t="s">
        <v>189</v>
      </c>
      <c r="K1685" s="93">
        <v>247</v>
      </c>
      <c r="L1685" s="93">
        <v>2086</v>
      </c>
      <c r="M1685" s="93" t="s">
        <v>2311</v>
      </c>
      <c r="N1685" s="93">
        <f>VLOOKUP(B1685,'[16]01.수집 카테고리(List)'!$A$2:$H$64,8,FALSE)</f>
        <v>99991231</v>
      </c>
      <c r="O1685" s="93" t="s">
        <v>646</v>
      </c>
    </row>
    <row r="1686" spans="1:15" hidden="1">
      <c r="A1686" s="75" t="str">
        <f t="shared" si="62"/>
        <v>ITMEDIAWORLDTVoled TVTV OLED</v>
      </c>
      <c r="B1686" s="94" t="str">
        <f t="shared" si="63"/>
        <v>IT_MEDIAWORLD</v>
      </c>
      <c r="C1686" s="93" t="s">
        <v>271</v>
      </c>
      <c r="D1686" s="93" t="s">
        <v>273</v>
      </c>
      <c r="E1686" s="93" t="s">
        <v>161</v>
      </c>
      <c r="F1686" s="93" t="s">
        <v>2369</v>
      </c>
      <c r="G1686" s="93" t="s">
        <v>2840</v>
      </c>
      <c r="H1686" s="93" t="e">
        <v>#N/A</v>
      </c>
      <c r="I1686" s="105" t="s">
        <v>2310</v>
      </c>
      <c r="J1686" s="93" t="s">
        <v>189</v>
      </c>
      <c r="K1686" s="93">
        <v>172</v>
      </c>
      <c r="L1686" s="93">
        <v>20</v>
      </c>
      <c r="M1686" s="93" t="s">
        <v>2311</v>
      </c>
      <c r="N1686" s="93">
        <f>VLOOKUP(B1686,'[16]01.수집 카테고리(List)'!$A$2:$H$64,8,FALSE)</f>
        <v>99991231</v>
      </c>
      <c r="O1686" s="93" t="s">
        <v>646</v>
      </c>
    </row>
    <row r="1687" spans="1:15" hidden="1">
      <c r="A1687" s="75" t="str">
        <f t="shared" si="62"/>
        <v>ITMEDIAWORLDTVuhd TVTV UHD</v>
      </c>
      <c r="B1687" s="94" t="str">
        <f t="shared" si="63"/>
        <v>IT_MEDIAWORLD</v>
      </c>
      <c r="C1687" s="93" t="s">
        <v>271</v>
      </c>
      <c r="D1687" s="93" t="s">
        <v>273</v>
      </c>
      <c r="E1687" s="93" t="s">
        <v>161</v>
      </c>
      <c r="F1687" s="93" t="s">
        <v>2399</v>
      </c>
      <c r="G1687" s="93" t="s">
        <v>2841</v>
      </c>
      <c r="H1687" s="93" t="e">
        <v>#N/A</v>
      </c>
      <c r="I1687" s="105" t="s">
        <v>2310</v>
      </c>
      <c r="J1687" s="93" t="s">
        <v>189</v>
      </c>
      <c r="K1687" s="93">
        <v>162</v>
      </c>
      <c r="L1687" s="93">
        <v>2</v>
      </c>
      <c r="M1687" s="93" t="s">
        <v>2311</v>
      </c>
      <c r="N1687" s="93">
        <f>VLOOKUP(B1687,'[16]01.수집 카테고리(List)'!$A$2:$H$64,8,FALSE)</f>
        <v>99991231</v>
      </c>
      <c r="O1687" s="93" t="s">
        <v>646</v>
      </c>
    </row>
    <row r="1688" spans="1:15" hidden="1">
      <c r="A1688" s="75" t="str">
        <f t="shared" si="62"/>
        <v>ITMEDIAWORLDWashing Machinefront loadercarica frontale</v>
      </c>
      <c r="B1688" s="94" t="str">
        <f t="shared" si="63"/>
        <v>IT_MEDIAWORLD</v>
      </c>
      <c r="C1688" s="93" t="s">
        <v>271</v>
      </c>
      <c r="D1688" s="93" t="s">
        <v>273</v>
      </c>
      <c r="E1688" s="93" t="s">
        <v>2333</v>
      </c>
      <c r="F1688" s="93" t="s">
        <v>2334</v>
      </c>
      <c r="G1688" s="93" t="s">
        <v>3036</v>
      </c>
      <c r="H1688" s="93" t="e">
        <v>#N/A</v>
      </c>
      <c r="I1688" s="105" t="s">
        <v>2310</v>
      </c>
      <c r="J1688" s="93" t="s">
        <v>189</v>
      </c>
      <c r="K1688" s="93">
        <v>315</v>
      </c>
      <c r="L1688" s="93" t="e">
        <v>#N/A</v>
      </c>
      <c r="M1688" s="93" t="s">
        <v>2311</v>
      </c>
      <c r="N1688" s="93">
        <f>VLOOKUP(B1688,'[16]01.수집 카테고리(List)'!$A$2:$H$64,8,FALSE)</f>
        <v>99991231</v>
      </c>
      <c r="O1688" s="93" t="s">
        <v>646</v>
      </c>
    </row>
    <row r="1689" spans="1:15" hidden="1">
      <c r="A1689" s="75" t="str">
        <f t="shared" si="62"/>
        <v>ITMEDIAWORLDWashing Machinewasher dryer combolavasciuga</v>
      </c>
      <c r="B1689" s="94" t="str">
        <f t="shared" si="63"/>
        <v>IT_MEDIAWORLD</v>
      </c>
      <c r="C1689" s="93" t="s">
        <v>271</v>
      </c>
      <c r="D1689" s="93" t="s">
        <v>273</v>
      </c>
      <c r="E1689" s="93" t="s">
        <v>2333</v>
      </c>
      <c r="F1689" s="93" t="s">
        <v>2338</v>
      </c>
      <c r="G1689" s="93" t="s">
        <v>3037</v>
      </c>
      <c r="H1689" s="93" t="e">
        <v>#N/A</v>
      </c>
      <c r="I1689" s="105" t="s">
        <v>2310</v>
      </c>
      <c r="J1689" s="93" t="s">
        <v>189</v>
      </c>
      <c r="K1689" s="93">
        <v>88</v>
      </c>
      <c r="L1689" s="93" t="e">
        <v>#N/A</v>
      </c>
      <c r="M1689" s="93" t="s">
        <v>2311</v>
      </c>
      <c r="N1689" s="93">
        <f>VLOOKUP(B1689,'[16]01.수집 카테고리(List)'!$A$2:$H$64,8,FALSE)</f>
        <v>99991231</v>
      </c>
      <c r="O1689" s="93" t="s">
        <v>646</v>
      </c>
    </row>
    <row r="1690" spans="1:15" hidden="1">
      <c r="A1690" s="75" t="str">
        <f t="shared" si="62"/>
        <v>ITMEDIAWORLDWashing Machinewashing machinelavatrice</v>
      </c>
      <c r="B1690" s="94" t="str">
        <f t="shared" si="63"/>
        <v>IT_MEDIAWORLD</v>
      </c>
      <c r="C1690" s="93" t="s">
        <v>271</v>
      </c>
      <c r="D1690" s="93" t="s">
        <v>273</v>
      </c>
      <c r="E1690" s="93" t="s">
        <v>2333</v>
      </c>
      <c r="F1690" s="93" t="s">
        <v>2340</v>
      </c>
      <c r="G1690" s="93" t="s">
        <v>3038</v>
      </c>
      <c r="H1690" s="93" t="e">
        <v>#N/A</v>
      </c>
      <c r="I1690" s="105" t="s">
        <v>2310</v>
      </c>
      <c r="J1690" s="93" t="s">
        <v>189</v>
      </c>
      <c r="K1690" s="93">
        <v>197</v>
      </c>
      <c r="L1690" s="93" t="e">
        <v>#N/A</v>
      </c>
      <c r="M1690" s="93" t="s">
        <v>2311</v>
      </c>
      <c r="N1690" s="93">
        <f>VLOOKUP(B1690,'[16]01.수집 카테고리(List)'!$A$2:$H$64,8,FALSE)</f>
        <v>99991231</v>
      </c>
      <c r="O1690" s="93" t="s">
        <v>646</v>
      </c>
    </row>
    <row r="1691" spans="1:15" hidden="1">
      <c r="A1691" s="75" t="str">
        <f t="shared" si="62"/>
        <v>ITMEDIAWORLDWIRELESS HEADSETEarbudsAuricolari</v>
      </c>
      <c r="B1691" s="94" t="str">
        <f t="shared" si="63"/>
        <v>IT_MEDIAWORLD</v>
      </c>
      <c r="C1691" s="93" t="s">
        <v>271</v>
      </c>
      <c r="D1691" s="93" t="s">
        <v>273</v>
      </c>
      <c r="E1691" s="93" t="s">
        <v>2201</v>
      </c>
      <c r="F1691" s="93" t="s">
        <v>2534</v>
      </c>
      <c r="G1691" s="93" t="s">
        <v>3056</v>
      </c>
      <c r="H1691" s="93" t="e">
        <v>#N/A</v>
      </c>
      <c r="I1691" s="105" t="s">
        <v>2310</v>
      </c>
      <c r="J1691" s="93" t="s">
        <v>189</v>
      </c>
      <c r="K1691" s="93">
        <v>422</v>
      </c>
      <c r="L1691" s="93" t="e">
        <v>#N/A</v>
      </c>
      <c r="M1691" s="93" t="s">
        <v>2311</v>
      </c>
      <c r="N1691" s="93">
        <f>VLOOKUP(B1691,'[16]01.수집 카테고리(List)'!$A$2:$H$64,8,FALSE)</f>
        <v>99991231</v>
      </c>
      <c r="O1691" s="93" t="s">
        <v>646</v>
      </c>
    </row>
    <row r="1692" spans="1:15" hidden="1">
      <c r="A1692" s="75" t="str">
        <f t="shared" si="62"/>
        <v>ITMEDIAWORLDWIRELESS HEADSETEar budsAuricolari</v>
      </c>
      <c r="B1692" s="94" t="str">
        <f t="shared" si="63"/>
        <v>IT_MEDIAWORLD</v>
      </c>
      <c r="C1692" s="93" t="s">
        <v>271</v>
      </c>
      <c r="D1692" s="93" t="s">
        <v>273</v>
      </c>
      <c r="E1692" s="93" t="s">
        <v>2201</v>
      </c>
      <c r="F1692" s="93" t="s">
        <v>2380</v>
      </c>
      <c r="G1692" s="93" t="s">
        <v>3056</v>
      </c>
      <c r="H1692" s="93" t="e">
        <v>#N/A</v>
      </c>
      <c r="I1692" s="105" t="s">
        <v>2310</v>
      </c>
      <c r="J1692" s="93" t="s">
        <v>189</v>
      </c>
      <c r="K1692" s="93">
        <v>422</v>
      </c>
      <c r="L1692" s="93" t="e">
        <v>#N/A</v>
      </c>
      <c r="M1692" s="93" t="s">
        <v>2311</v>
      </c>
      <c r="N1692" s="93">
        <f>VLOOKUP(B1692,'[16]01.수집 카테고리(List)'!$A$2:$H$64,8,FALSE)</f>
        <v>99991231</v>
      </c>
      <c r="O1692" s="93" t="s">
        <v>646</v>
      </c>
    </row>
    <row r="1693" spans="1:15" hidden="1">
      <c r="A1693" s="75" t="str">
        <f t="shared" si="62"/>
        <v>ITMEDIAWORLDWIRELESS HEADSETBluetooth earbudsAuricolari Bluetooth</v>
      </c>
      <c r="B1693" s="94" t="str">
        <f t="shared" si="63"/>
        <v>IT_MEDIAWORLD</v>
      </c>
      <c r="C1693" s="93" t="s">
        <v>271</v>
      </c>
      <c r="D1693" s="93" t="s">
        <v>273</v>
      </c>
      <c r="E1693" s="93" t="s">
        <v>2201</v>
      </c>
      <c r="F1693" s="93" t="s">
        <v>2382</v>
      </c>
      <c r="G1693" s="93" t="s">
        <v>3057</v>
      </c>
      <c r="H1693" s="93" t="e">
        <v>#N/A</v>
      </c>
      <c r="I1693" s="105" t="s">
        <v>2310</v>
      </c>
      <c r="J1693" s="93" t="s">
        <v>189</v>
      </c>
      <c r="K1693" s="93">
        <v>410</v>
      </c>
      <c r="L1693" s="93" t="e">
        <v>#N/A</v>
      </c>
      <c r="M1693" s="93" t="s">
        <v>2311</v>
      </c>
      <c r="N1693" s="93">
        <f>VLOOKUP(B1693,'[16]01.수집 카테고리(List)'!$A$2:$H$64,8,FALSE)</f>
        <v>99991231</v>
      </c>
      <c r="O1693" s="93" t="s">
        <v>646</v>
      </c>
    </row>
    <row r="1694" spans="1:15" hidden="1">
      <c r="A1694" s="75" t="str">
        <f t="shared" si="62"/>
        <v>ITMEDIAWORLDWIRELESS HEADSETWireless earbudsAuricolari wireless</v>
      </c>
      <c r="B1694" s="94" t="str">
        <f t="shared" si="63"/>
        <v>IT_MEDIAWORLD</v>
      </c>
      <c r="C1694" s="93" t="s">
        <v>271</v>
      </c>
      <c r="D1694" s="93" t="s">
        <v>273</v>
      </c>
      <c r="E1694" s="93" t="s">
        <v>2201</v>
      </c>
      <c r="F1694" s="93" t="s">
        <v>2376</v>
      </c>
      <c r="G1694" s="93" t="s">
        <v>3058</v>
      </c>
      <c r="H1694" s="93" t="e">
        <v>#N/A</v>
      </c>
      <c r="I1694" s="105" t="s">
        <v>2310</v>
      </c>
      <c r="J1694" s="93" t="s">
        <v>189</v>
      </c>
      <c r="K1694" s="93">
        <v>421</v>
      </c>
      <c r="L1694" s="93" t="e">
        <v>#N/A</v>
      </c>
      <c r="M1694" s="93" t="s">
        <v>2311</v>
      </c>
      <c r="N1694" s="93">
        <f>VLOOKUP(B1694,'[16]01.수집 카테고리(List)'!$A$2:$H$64,8,FALSE)</f>
        <v>99991231</v>
      </c>
      <c r="O1694" s="93" t="s">
        <v>646</v>
      </c>
    </row>
    <row r="1695" spans="1:15" hidden="1">
      <c r="A1695" s="75" t="str">
        <f t="shared" si="62"/>
        <v>ITMEDIAWORLDWIRELESS HEADSETBluetooth HeadphonesCuffie Bluetooth</v>
      </c>
      <c r="B1695" s="94" t="str">
        <f t="shared" si="63"/>
        <v>IT_MEDIAWORLD</v>
      </c>
      <c r="C1695" s="93" t="s">
        <v>271</v>
      </c>
      <c r="D1695" s="93" t="s">
        <v>273</v>
      </c>
      <c r="E1695" s="93" t="s">
        <v>2201</v>
      </c>
      <c r="F1695" s="93" t="s">
        <v>2533</v>
      </c>
      <c r="G1695" s="93" t="s">
        <v>3059</v>
      </c>
      <c r="H1695" s="93" t="e">
        <v>#N/A</v>
      </c>
      <c r="I1695" s="105" t="s">
        <v>2310</v>
      </c>
      <c r="J1695" s="93" t="s">
        <v>189</v>
      </c>
      <c r="K1695" s="93">
        <v>320</v>
      </c>
      <c r="L1695" s="93" t="e">
        <v>#N/A</v>
      </c>
      <c r="M1695" s="93" t="s">
        <v>2311</v>
      </c>
      <c r="N1695" s="93">
        <f>VLOOKUP(B1695,'[16]01.수집 카테고리(List)'!$A$2:$H$64,8,FALSE)</f>
        <v>99991231</v>
      </c>
      <c r="O1695" s="93" t="s">
        <v>646</v>
      </c>
    </row>
    <row r="1696" spans="1:15" s="108" customFormat="1" hidden="1">
      <c r="A1696" s="108" t="str">
        <f t="shared" si="62"/>
        <v>ITMEDIAWORLDAir Conditionerair conditionercondizionatore</v>
      </c>
      <c r="B1696" s="109" t="str">
        <f t="shared" si="63"/>
        <v>IT_MEDIAWORLD</v>
      </c>
      <c r="C1696" s="110" t="s">
        <v>271</v>
      </c>
      <c r="D1696" s="110" t="s">
        <v>273</v>
      </c>
      <c r="E1696" s="110" t="s">
        <v>2524</v>
      </c>
      <c r="F1696" s="110" t="s">
        <v>2347</v>
      </c>
      <c r="G1696" s="110" t="s">
        <v>3039</v>
      </c>
      <c r="H1696" s="93" t="e">
        <v>#N/A</v>
      </c>
      <c r="I1696" s="99">
        <v>46076</v>
      </c>
      <c r="J1696" s="83" t="s">
        <v>189</v>
      </c>
      <c r="K1696" s="110"/>
      <c r="L1696" s="110"/>
      <c r="M1696" s="110"/>
      <c r="N1696" s="110"/>
      <c r="O1696" s="110"/>
    </row>
    <row r="1697" spans="1:15" s="108" customFormat="1" hidden="1">
      <c r="A1697" s="108" t="str">
        <f t="shared" si="62"/>
        <v>ITMEDIAWORLDAir Conditionerinverter air conditionercondizionatore inverter</v>
      </c>
      <c r="B1697" s="109" t="str">
        <f t="shared" si="63"/>
        <v>IT_MEDIAWORLD</v>
      </c>
      <c r="C1697" s="110" t="s">
        <v>271</v>
      </c>
      <c r="D1697" s="110" t="s">
        <v>273</v>
      </c>
      <c r="E1697" s="110" t="s">
        <v>2524</v>
      </c>
      <c r="F1697" s="110" t="s">
        <v>2348</v>
      </c>
      <c r="G1697" s="110" t="s">
        <v>3040</v>
      </c>
      <c r="H1697" s="93" t="e">
        <v>#N/A</v>
      </c>
      <c r="I1697" s="99">
        <v>46076</v>
      </c>
      <c r="J1697" s="83" t="s">
        <v>189</v>
      </c>
      <c r="K1697" s="110"/>
      <c r="L1697" s="110"/>
      <c r="M1697" s="110"/>
      <c r="N1697" s="110"/>
      <c r="O1697" s="110"/>
    </row>
    <row r="1698" spans="1:15" s="108" customFormat="1" hidden="1">
      <c r="A1698" s="108" t="str">
        <f t="shared" si="62"/>
        <v>ITMEDIAWORLDAir Conditionersplit air conditionercondizionatore split</v>
      </c>
      <c r="B1698" s="109" t="str">
        <f t="shared" si="63"/>
        <v>IT_MEDIAWORLD</v>
      </c>
      <c r="C1698" s="110" t="s">
        <v>271</v>
      </c>
      <c r="D1698" s="110" t="s">
        <v>273</v>
      </c>
      <c r="E1698" s="110" t="s">
        <v>2524</v>
      </c>
      <c r="F1698" s="110" t="s">
        <v>2422</v>
      </c>
      <c r="G1698" s="110" t="s">
        <v>3041</v>
      </c>
      <c r="H1698" s="93" t="e">
        <v>#N/A</v>
      </c>
      <c r="I1698" s="99">
        <v>46076</v>
      </c>
      <c r="J1698" s="83" t="s">
        <v>189</v>
      </c>
      <c r="K1698" s="110"/>
      <c r="L1698" s="110"/>
      <c r="M1698" s="110"/>
      <c r="N1698" s="110"/>
      <c r="O1698" s="110"/>
    </row>
    <row r="1699" spans="1:15" s="108" customFormat="1" hidden="1">
      <c r="A1699" s="108" t="str">
        <f t="shared" si="62"/>
        <v>ITMEDIAWORLDAir Conditionersplit inverter air conditionerclimatizzatore split inverter</v>
      </c>
      <c r="B1699" s="109" t="str">
        <f t="shared" si="63"/>
        <v>IT_MEDIAWORLD</v>
      </c>
      <c r="C1699" s="110" t="s">
        <v>271</v>
      </c>
      <c r="D1699" s="110" t="s">
        <v>273</v>
      </c>
      <c r="E1699" s="110" t="s">
        <v>2524</v>
      </c>
      <c r="F1699" s="110" t="s">
        <v>2423</v>
      </c>
      <c r="G1699" s="110" t="s">
        <v>3042</v>
      </c>
      <c r="H1699" s="93" t="e">
        <v>#N/A</v>
      </c>
      <c r="I1699" s="99">
        <v>46076</v>
      </c>
      <c r="J1699" s="83" t="s">
        <v>189</v>
      </c>
      <c r="K1699" s="110"/>
      <c r="L1699" s="110"/>
      <c r="M1699" s="110"/>
      <c r="N1699" s="110"/>
      <c r="O1699" s="110"/>
    </row>
    <row r="1700" spans="1:15" s="108" customFormat="1" hidden="1">
      <c r="A1700" s="108" t="str">
        <f t="shared" si="62"/>
        <v>ITMEDIAWORLDAir Conditionerwindow air conditionercondizionatore da finestra</v>
      </c>
      <c r="B1700" s="109" t="str">
        <f t="shared" si="63"/>
        <v>IT_MEDIAWORLD</v>
      </c>
      <c r="C1700" s="110" t="s">
        <v>271</v>
      </c>
      <c r="D1700" s="110" t="s">
        <v>273</v>
      </c>
      <c r="E1700" s="110" t="s">
        <v>2524</v>
      </c>
      <c r="F1700" s="110" t="s">
        <v>2350</v>
      </c>
      <c r="G1700" s="110" t="s">
        <v>3043</v>
      </c>
      <c r="H1700" s="93" t="e">
        <v>#N/A</v>
      </c>
      <c r="I1700" s="99">
        <v>46076</v>
      </c>
      <c r="J1700" s="83" t="s">
        <v>189</v>
      </c>
      <c r="K1700" s="110"/>
      <c r="L1700" s="110"/>
      <c r="M1700" s="110"/>
      <c r="N1700" s="110"/>
      <c r="O1700" s="110"/>
    </row>
    <row r="1701" spans="1:15" s="108" customFormat="1" hidden="1">
      <c r="A1701" s="108" t="str">
        <f t="shared" si="62"/>
        <v>ITMEDIAWORLDAir Conditionerwindow inverter air conditionercondizionatore inverter da finestra</v>
      </c>
      <c r="B1701" s="109" t="str">
        <f t="shared" si="63"/>
        <v>IT_MEDIAWORLD</v>
      </c>
      <c r="C1701" s="110" t="s">
        <v>271</v>
      </c>
      <c r="D1701" s="110" t="s">
        <v>273</v>
      </c>
      <c r="E1701" s="110" t="s">
        <v>2524</v>
      </c>
      <c r="F1701" s="110" t="s">
        <v>2424</v>
      </c>
      <c r="G1701" s="110" t="s">
        <v>3044</v>
      </c>
      <c r="H1701" s="93" t="e">
        <v>#N/A</v>
      </c>
      <c r="I1701" s="99">
        <v>46076</v>
      </c>
      <c r="J1701" s="83" t="s">
        <v>189</v>
      </c>
      <c r="K1701" s="110"/>
      <c r="L1701" s="110"/>
      <c r="M1701" s="110"/>
      <c r="N1701" s="110"/>
      <c r="O1701" s="110"/>
    </row>
    <row r="1702" spans="1:15" hidden="1">
      <c r="A1702" s="75" t="str">
        <f t="shared" si="62"/>
        <v>ITSS.comAir Conditionerair conditionercondizionatore</v>
      </c>
      <c r="B1702" s="94" t="str">
        <f t="shared" si="63"/>
        <v>IT_SS.com</v>
      </c>
      <c r="C1702" s="93" t="s">
        <v>271</v>
      </c>
      <c r="D1702" s="93" t="s">
        <v>184</v>
      </c>
      <c r="E1702" s="93" t="s">
        <v>2346</v>
      </c>
      <c r="F1702" s="93" t="s">
        <v>2347</v>
      </c>
      <c r="G1702" s="93" t="s">
        <v>3060</v>
      </c>
      <c r="H1702" s="93" t="e">
        <v>#N/A</v>
      </c>
      <c r="I1702" s="105" t="s">
        <v>2310</v>
      </c>
      <c r="J1702" s="93" t="s">
        <v>189</v>
      </c>
      <c r="K1702" s="93">
        <v>15</v>
      </c>
      <c r="L1702" s="93" t="e">
        <v>#N/A</v>
      </c>
      <c r="M1702" s="93" t="s">
        <v>2311</v>
      </c>
      <c r="N1702" s="93">
        <f>VLOOKUP(B1702,'[16]01.수집 카테고리(List)'!$A$2:$H$64,8,FALSE)</f>
        <v>99991231</v>
      </c>
      <c r="O1702" s="93" t="s">
        <v>646</v>
      </c>
    </row>
    <row r="1703" spans="1:15" hidden="1">
      <c r="A1703" s="75" t="str">
        <f t="shared" si="62"/>
        <v>ITSS.comMonitormonitormonitor</v>
      </c>
      <c r="B1703" s="94" t="str">
        <f t="shared" si="63"/>
        <v>IT_SS.com</v>
      </c>
      <c r="C1703" s="93" t="s">
        <v>271</v>
      </c>
      <c r="D1703" s="93" t="s">
        <v>184</v>
      </c>
      <c r="E1703" s="93" t="s">
        <v>2320</v>
      </c>
      <c r="F1703" s="93" t="s">
        <v>2323</v>
      </c>
      <c r="G1703" s="93" t="s">
        <v>2323</v>
      </c>
      <c r="H1703" s="93" t="e">
        <v>#N/A</v>
      </c>
      <c r="I1703" s="105" t="s">
        <v>2310</v>
      </c>
      <c r="J1703" s="93" t="s">
        <v>189</v>
      </c>
      <c r="K1703" s="93">
        <v>122</v>
      </c>
      <c r="L1703" s="93">
        <v>122</v>
      </c>
      <c r="M1703" s="93" t="s">
        <v>2311</v>
      </c>
      <c r="N1703" s="93">
        <f>VLOOKUP(B1703,'[16]01.수집 카테고리(List)'!$A$2:$H$64,8,FALSE)</f>
        <v>99991231</v>
      </c>
      <c r="O1703" s="93" t="s">
        <v>646</v>
      </c>
    </row>
    <row r="1704" spans="1:15" hidden="1">
      <c r="A1704" s="75" t="str">
        <f t="shared" si="62"/>
        <v>ITSS.comMonitorgaming monitormonitor da gaming</v>
      </c>
      <c r="B1704" s="94" t="str">
        <f t="shared" si="63"/>
        <v>IT_SS.com</v>
      </c>
      <c r="C1704" s="93" t="s">
        <v>271</v>
      </c>
      <c r="D1704" s="93" t="s">
        <v>184</v>
      </c>
      <c r="E1704" s="93" t="s">
        <v>2320</v>
      </c>
      <c r="F1704" s="93" t="s">
        <v>2322</v>
      </c>
      <c r="G1704" s="93" t="s">
        <v>3061</v>
      </c>
      <c r="H1704" s="93" t="e">
        <v>#N/A</v>
      </c>
      <c r="I1704" s="105" t="s">
        <v>2310</v>
      </c>
      <c r="J1704" s="93" t="s">
        <v>189</v>
      </c>
      <c r="K1704" s="93">
        <v>46</v>
      </c>
      <c r="L1704" s="93" t="e">
        <v>#N/A</v>
      </c>
      <c r="M1704" s="93" t="s">
        <v>2311</v>
      </c>
      <c r="N1704" s="93">
        <f>VLOOKUP(B1704,'[16]01.수집 카테고리(List)'!$A$2:$H$64,8,FALSE)</f>
        <v>99991231</v>
      </c>
      <c r="O1704" s="93" t="s">
        <v>646</v>
      </c>
    </row>
    <row r="1705" spans="1:15" hidden="1">
      <c r="A1705" s="75" t="str">
        <f t="shared" si="62"/>
        <v>ITSS.comRefrigeratorfridgefrigo</v>
      </c>
      <c r="B1705" s="94" t="str">
        <f t="shared" si="63"/>
        <v>IT_SS.com</v>
      </c>
      <c r="C1705" s="93" t="s">
        <v>271</v>
      </c>
      <c r="D1705" s="93" t="s">
        <v>184</v>
      </c>
      <c r="E1705" s="93" t="s">
        <v>2326</v>
      </c>
      <c r="F1705" s="93" t="s">
        <v>2414</v>
      </c>
      <c r="G1705" s="93" t="s">
        <v>2865</v>
      </c>
      <c r="H1705" s="93" t="e">
        <v>#N/A</v>
      </c>
      <c r="I1705" s="105" t="s">
        <v>2310</v>
      </c>
      <c r="J1705" s="93" t="s">
        <v>189</v>
      </c>
      <c r="K1705" s="93">
        <v>182</v>
      </c>
      <c r="L1705" s="93" t="e">
        <v>#N/A</v>
      </c>
      <c r="M1705" s="93" t="s">
        <v>2311</v>
      </c>
      <c r="N1705" s="93">
        <f>VLOOKUP(B1705,'[16]01.수집 카테고리(List)'!$A$2:$H$64,8,FALSE)</f>
        <v>99991231</v>
      </c>
      <c r="O1705" s="93" t="s">
        <v>646</v>
      </c>
    </row>
    <row r="1706" spans="1:15" hidden="1">
      <c r="A1706" s="75" t="str">
        <f t="shared" si="62"/>
        <v>ITSS.comRefrigeratorrefrigeratorfrigorifero</v>
      </c>
      <c r="B1706" s="94" t="str">
        <f t="shared" si="63"/>
        <v>IT_SS.com</v>
      </c>
      <c r="C1706" s="93" t="s">
        <v>271</v>
      </c>
      <c r="D1706" s="93" t="s">
        <v>184</v>
      </c>
      <c r="E1706" s="93" t="s">
        <v>2326</v>
      </c>
      <c r="F1706" s="93" t="s">
        <v>2329</v>
      </c>
      <c r="G1706" s="93" t="s">
        <v>3031</v>
      </c>
      <c r="H1706" s="93" t="e">
        <v>#N/A</v>
      </c>
      <c r="I1706" s="105" t="s">
        <v>2310</v>
      </c>
      <c r="J1706" s="93" t="s">
        <v>189</v>
      </c>
      <c r="K1706" s="93">
        <v>6</v>
      </c>
      <c r="L1706" s="93" t="e">
        <v>#N/A</v>
      </c>
      <c r="M1706" s="93" t="s">
        <v>2311</v>
      </c>
      <c r="N1706" s="93">
        <f>VLOOKUP(B1706,'[16]01.수집 카테고리(List)'!$A$2:$H$64,8,FALSE)</f>
        <v>99991231</v>
      </c>
      <c r="O1706" s="93" t="s">
        <v>646</v>
      </c>
    </row>
    <row r="1707" spans="1:15" hidden="1">
      <c r="A1707" s="75" t="str">
        <f t="shared" si="62"/>
        <v>ITSS.comTVtvtelevisore</v>
      </c>
      <c r="B1707" s="94" t="str">
        <f t="shared" si="63"/>
        <v>IT_SS.com</v>
      </c>
      <c r="C1707" s="93" t="s">
        <v>271</v>
      </c>
      <c r="D1707" s="93" t="s">
        <v>184</v>
      </c>
      <c r="E1707" s="93" t="s">
        <v>161</v>
      </c>
      <c r="F1707" s="93" t="s">
        <v>2444</v>
      </c>
      <c r="G1707" s="93" t="s">
        <v>3062</v>
      </c>
      <c r="H1707" s="93" t="e">
        <v>#N/A</v>
      </c>
      <c r="I1707" s="105" t="s">
        <v>2310</v>
      </c>
      <c r="J1707" s="93" t="s">
        <v>189</v>
      </c>
      <c r="K1707" s="93">
        <v>84</v>
      </c>
      <c r="L1707" s="93">
        <v>40</v>
      </c>
      <c r="M1707" s="93" t="s">
        <v>2311</v>
      </c>
      <c r="N1707" s="93">
        <f>VLOOKUP(B1707,'[16]01.수집 카테고리(List)'!$A$2:$H$64,8,FALSE)</f>
        <v>99991231</v>
      </c>
      <c r="O1707" s="93" t="s">
        <v>646</v>
      </c>
    </row>
    <row r="1708" spans="1:15" hidden="1">
      <c r="A1708" s="75" t="str">
        <f t="shared" si="62"/>
        <v>ITSS.comWashing Machinewasher dryerlavasciuga</v>
      </c>
      <c r="B1708" s="94" t="str">
        <f t="shared" si="63"/>
        <v>IT_SS.com</v>
      </c>
      <c r="C1708" s="93" t="s">
        <v>271</v>
      </c>
      <c r="D1708" s="93" t="s">
        <v>184</v>
      </c>
      <c r="E1708" s="93" t="s">
        <v>2333</v>
      </c>
      <c r="F1708" s="93" t="s">
        <v>2339</v>
      </c>
      <c r="G1708" s="93" t="s">
        <v>3037</v>
      </c>
      <c r="H1708" s="93" t="e">
        <v>#N/A</v>
      </c>
      <c r="I1708" s="105" t="s">
        <v>2310</v>
      </c>
      <c r="J1708" s="93" t="s">
        <v>189</v>
      </c>
      <c r="K1708" s="93">
        <v>1</v>
      </c>
      <c r="L1708" s="93" t="e">
        <v>#N/A</v>
      </c>
      <c r="M1708" s="93" t="s">
        <v>2311</v>
      </c>
      <c r="N1708" s="93">
        <f>VLOOKUP(B1708,'[16]01.수집 카테고리(List)'!$A$2:$H$64,8,FALSE)</f>
        <v>99991231</v>
      </c>
      <c r="O1708" s="93" t="s">
        <v>646</v>
      </c>
    </row>
    <row r="1709" spans="1:15" hidden="1">
      <c r="A1709" s="75" t="str">
        <f t="shared" si="62"/>
        <v>ITSS.comWashing Machinewashing machinelavatrice</v>
      </c>
      <c r="B1709" s="94" t="str">
        <f t="shared" si="63"/>
        <v>IT_SS.com</v>
      </c>
      <c r="C1709" s="93" t="s">
        <v>271</v>
      </c>
      <c r="D1709" s="93" t="s">
        <v>184</v>
      </c>
      <c r="E1709" s="93" t="s">
        <v>2333</v>
      </c>
      <c r="F1709" s="93" t="s">
        <v>2340</v>
      </c>
      <c r="G1709" s="93" t="s">
        <v>3038</v>
      </c>
      <c r="H1709" s="93" t="e">
        <v>#N/A</v>
      </c>
      <c r="I1709" s="105" t="s">
        <v>2310</v>
      </c>
      <c r="J1709" s="93" t="s">
        <v>189</v>
      </c>
      <c r="K1709" s="93">
        <v>7</v>
      </c>
      <c r="L1709" s="93" t="e">
        <v>#N/A</v>
      </c>
      <c r="M1709" s="93" t="s">
        <v>2311</v>
      </c>
      <c r="N1709" s="93">
        <f>VLOOKUP(B1709,'[16]01.수집 카테고리(List)'!$A$2:$H$64,8,FALSE)</f>
        <v>99991231</v>
      </c>
      <c r="O1709" s="93" t="s">
        <v>646</v>
      </c>
    </row>
    <row r="1710" spans="1:15" s="81" customFormat="1" hidden="1">
      <c r="A1710" s="81" t="str">
        <f t="shared" si="62"/>
        <v>ITSS.comBluetooth Speakerbluetooth speakeraltoparlante bluetooth</v>
      </c>
      <c r="B1710" s="106" t="str">
        <f t="shared" si="63"/>
        <v>IT_SS.com</v>
      </c>
      <c r="C1710" s="107" t="s">
        <v>269</v>
      </c>
      <c r="D1710" s="107" t="s">
        <v>184</v>
      </c>
      <c r="E1710" s="107" t="s">
        <v>2307</v>
      </c>
      <c r="F1710" s="107" t="s">
        <v>2657</v>
      </c>
      <c r="G1710" s="107" t="s">
        <v>3046</v>
      </c>
      <c r="H1710" s="93" t="e">
        <v>#N/A</v>
      </c>
      <c r="I1710" s="99">
        <v>46076</v>
      </c>
      <c r="J1710" s="83" t="s">
        <v>189</v>
      </c>
      <c r="K1710" s="107"/>
      <c r="L1710" s="107"/>
      <c r="M1710" s="107"/>
      <c r="N1710" s="107"/>
      <c r="O1710" s="107"/>
    </row>
    <row r="1711" spans="1:15" s="81" customFormat="1" hidden="1">
      <c r="A1711" s="81" t="str">
        <f t="shared" si="62"/>
        <v>ITSS.comBluetooth SpeakerspeakersAltoparlanti</v>
      </c>
      <c r="B1711" s="106" t="str">
        <f t="shared" si="63"/>
        <v>IT_SS.com</v>
      </c>
      <c r="C1711" s="107" t="s">
        <v>269</v>
      </c>
      <c r="D1711" s="107" t="s">
        <v>184</v>
      </c>
      <c r="E1711" s="107" t="s">
        <v>2307</v>
      </c>
      <c r="F1711" s="107" t="s">
        <v>2471</v>
      </c>
      <c r="G1711" s="107" t="s">
        <v>3047</v>
      </c>
      <c r="H1711" s="93" t="e">
        <v>#N/A</v>
      </c>
      <c r="I1711" s="99">
        <v>46076</v>
      </c>
      <c r="J1711" s="83" t="s">
        <v>189</v>
      </c>
      <c r="K1711" s="107"/>
      <c r="L1711" s="107"/>
      <c r="M1711" s="107"/>
      <c r="N1711" s="107"/>
      <c r="O1711" s="107"/>
    </row>
    <row r="1712" spans="1:15" s="81" customFormat="1" hidden="1">
      <c r="A1712" s="81" t="str">
        <f t="shared" si="62"/>
        <v>ITSS.comBluetooth Speakerportable speakersaltoparlanti portatil</v>
      </c>
      <c r="B1712" s="106" t="str">
        <f t="shared" si="63"/>
        <v>IT_SS.com</v>
      </c>
      <c r="C1712" s="107" t="s">
        <v>269</v>
      </c>
      <c r="D1712" s="107" t="s">
        <v>184</v>
      </c>
      <c r="E1712" s="107" t="s">
        <v>2307</v>
      </c>
      <c r="F1712" s="107" t="s">
        <v>2473</v>
      </c>
      <c r="G1712" s="107" t="s">
        <v>3048</v>
      </c>
      <c r="H1712" s="93" t="e">
        <v>#N/A</v>
      </c>
      <c r="I1712" s="99">
        <v>46076</v>
      </c>
      <c r="J1712" s="83" t="s">
        <v>189</v>
      </c>
      <c r="K1712" s="107"/>
      <c r="L1712" s="107"/>
      <c r="M1712" s="107"/>
      <c r="N1712" s="107"/>
      <c r="O1712" s="107"/>
    </row>
    <row r="1713" spans="1:15" s="81" customFormat="1" hidden="1">
      <c r="A1713" s="81" t="str">
        <f t="shared" si="62"/>
        <v>ITSS.comBluetooth Speakerbluetooth speakerscasse bluetooth</v>
      </c>
      <c r="B1713" s="106" t="str">
        <f t="shared" si="63"/>
        <v>IT_SS.com</v>
      </c>
      <c r="C1713" s="107" t="s">
        <v>269</v>
      </c>
      <c r="D1713" s="107" t="s">
        <v>184</v>
      </c>
      <c r="E1713" s="107" t="s">
        <v>2307</v>
      </c>
      <c r="F1713" s="107" t="s">
        <v>3049</v>
      </c>
      <c r="G1713" s="107" t="s">
        <v>3050</v>
      </c>
      <c r="H1713" s="93" t="e">
        <v>#N/A</v>
      </c>
      <c r="I1713" s="99">
        <v>46076</v>
      </c>
      <c r="J1713" s="83" t="s">
        <v>189</v>
      </c>
      <c r="K1713" s="107"/>
      <c r="L1713" s="107"/>
      <c r="M1713" s="107"/>
      <c r="N1713" s="107"/>
      <c r="O1713" s="107"/>
    </row>
    <row r="1714" spans="1:15" s="81" customFormat="1" hidden="1">
      <c r="A1714" s="81" t="str">
        <f t="shared" si="62"/>
        <v>ITSS.comSOUNDBARSoundbarSoundbar</v>
      </c>
      <c r="B1714" s="106" t="str">
        <f t="shared" si="63"/>
        <v>IT_SS.com</v>
      </c>
      <c r="C1714" s="107" t="s">
        <v>271</v>
      </c>
      <c r="D1714" s="107" t="s">
        <v>184</v>
      </c>
      <c r="E1714" s="107" t="s">
        <v>2527</v>
      </c>
      <c r="F1714" s="107" t="s">
        <v>2363</v>
      </c>
      <c r="G1714" s="107" t="s">
        <v>2363</v>
      </c>
      <c r="H1714" s="93" t="e">
        <v>#N/A</v>
      </c>
      <c r="I1714" s="99">
        <v>46076</v>
      </c>
      <c r="J1714" s="83" t="s">
        <v>189</v>
      </c>
      <c r="K1714" s="107"/>
      <c r="L1714" s="107"/>
      <c r="M1714" s="107"/>
      <c r="N1714" s="107"/>
      <c r="O1714" s="107"/>
    </row>
    <row r="1715" spans="1:15" s="81" customFormat="1" hidden="1">
      <c r="A1715" s="81" t="str">
        <f t="shared" si="62"/>
        <v>ITSS.comSOUNDBARsoundbar for tvsoundbar per tv</v>
      </c>
      <c r="B1715" s="106" t="str">
        <f t="shared" si="63"/>
        <v>IT_SS.com</v>
      </c>
      <c r="C1715" s="107" t="s">
        <v>271</v>
      </c>
      <c r="D1715" s="107" t="s">
        <v>184</v>
      </c>
      <c r="E1715" s="107" t="s">
        <v>2527</v>
      </c>
      <c r="F1715" s="107" t="s">
        <v>2573</v>
      </c>
      <c r="G1715" s="107" t="s">
        <v>3054</v>
      </c>
      <c r="H1715" s="93" t="e">
        <v>#N/A</v>
      </c>
      <c r="I1715" s="99">
        <v>46076</v>
      </c>
      <c r="J1715" s="83" t="s">
        <v>189</v>
      </c>
      <c r="K1715" s="107"/>
      <c r="L1715" s="107"/>
      <c r="M1715" s="107"/>
      <c r="N1715" s="107"/>
      <c r="O1715" s="107"/>
    </row>
    <row r="1716" spans="1:15" s="81" customFormat="1" hidden="1">
      <c r="A1716" s="81" t="str">
        <f t="shared" si="62"/>
        <v>ITSS.comSOUNDBARtv soundbarsoundbar tv</v>
      </c>
      <c r="B1716" s="106" t="str">
        <f t="shared" si="63"/>
        <v>IT_SS.com</v>
      </c>
      <c r="C1716" s="107" t="s">
        <v>271</v>
      </c>
      <c r="D1716" s="107" t="s">
        <v>184</v>
      </c>
      <c r="E1716" s="107" t="s">
        <v>2527</v>
      </c>
      <c r="F1716" s="107" t="s">
        <v>2686</v>
      </c>
      <c r="G1716" s="107" t="s">
        <v>3055</v>
      </c>
      <c r="H1716" s="93" t="e">
        <v>#N/A</v>
      </c>
      <c r="I1716" s="99">
        <v>46076</v>
      </c>
      <c r="J1716" s="83" t="s">
        <v>189</v>
      </c>
      <c r="K1716" s="107"/>
      <c r="L1716" s="107"/>
      <c r="M1716" s="107"/>
      <c r="N1716" s="107"/>
      <c r="O1716" s="107"/>
    </row>
    <row r="1717" spans="1:15" s="81" customFormat="1" hidden="1">
      <c r="A1717" s="81" t="str">
        <f t="shared" si="62"/>
        <v>ITSS.comWireless HeadsetEarbudsAuricolari</v>
      </c>
      <c r="B1717" s="106" t="str">
        <f t="shared" si="63"/>
        <v>IT_SS.com</v>
      </c>
      <c r="C1717" s="107" t="s">
        <v>271</v>
      </c>
      <c r="D1717" s="107" t="s">
        <v>184</v>
      </c>
      <c r="E1717" s="107" t="s">
        <v>2705</v>
      </c>
      <c r="F1717" s="107" t="s">
        <v>2534</v>
      </c>
      <c r="G1717" s="107" t="s">
        <v>3056</v>
      </c>
      <c r="H1717" s="93" t="e">
        <v>#N/A</v>
      </c>
      <c r="I1717" s="99">
        <v>46076</v>
      </c>
      <c r="J1717" s="83" t="s">
        <v>189</v>
      </c>
      <c r="K1717" s="107"/>
      <c r="L1717" s="107"/>
      <c r="M1717" s="107"/>
      <c r="N1717" s="107"/>
      <c r="O1717" s="107"/>
    </row>
    <row r="1718" spans="1:15" s="81" customFormat="1" hidden="1">
      <c r="A1718" s="81" t="str">
        <f t="shared" si="62"/>
        <v>ITSS.comWireless HeadsetEar budsAuricolari</v>
      </c>
      <c r="B1718" s="106" t="str">
        <f t="shared" si="63"/>
        <v>IT_SS.com</v>
      </c>
      <c r="C1718" s="107" t="s">
        <v>271</v>
      </c>
      <c r="D1718" s="107" t="s">
        <v>184</v>
      </c>
      <c r="E1718" s="107" t="s">
        <v>2705</v>
      </c>
      <c r="F1718" s="107" t="s">
        <v>2380</v>
      </c>
      <c r="G1718" s="107" t="s">
        <v>3056</v>
      </c>
      <c r="H1718" s="93" t="e">
        <v>#N/A</v>
      </c>
      <c r="I1718" s="99">
        <v>46076</v>
      </c>
      <c r="J1718" s="83" t="s">
        <v>189</v>
      </c>
      <c r="K1718" s="107"/>
      <c r="L1718" s="107"/>
      <c r="M1718" s="107"/>
      <c r="N1718" s="107"/>
      <c r="O1718" s="107"/>
    </row>
    <row r="1719" spans="1:15" s="81" customFormat="1" hidden="1">
      <c r="A1719" s="81" t="str">
        <f t="shared" si="62"/>
        <v>ITSS.comWireless HeadsetBluetooth earbudsAuricolari Bluetooth</v>
      </c>
      <c r="B1719" s="106" t="str">
        <f t="shared" si="63"/>
        <v>IT_SS.com</v>
      </c>
      <c r="C1719" s="107" t="s">
        <v>271</v>
      </c>
      <c r="D1719" s="107" t="s">
        <v>184</v>
      </c>
      <c r="E1719" s="107" t="s">
        <v>2705</v>
      </c>
      <c r="F1719" s="107" t="s">
        <v>2382</v>
      </c>
      <c r="G1719" s="107" t="s">
        <v>3057</v>
      </c>
      <c r="H1719" s="93" t="e">
        <v>#N/A</v>
      </c>
      <c r="I1719" s="99">
        <v>46076</v>
      </c>
      <c r="J1719" s="83" t="s">
        <v>189</v>
      </c>
      <c r="K1719" s="107"/>
      <c r="L1719" s="107"/>
      <c r="M1719" s="107"/>
      <c r="N1719" s="107"/>
      <c r="O1719" s="107"/>
    </row>
    <row r="1720" spans="1:15" s="81" customFormat="1" hidden="1">
      <c r="A1720" s="81" t="str">
        <f t="shared" si="62"/>
        <v>ITSS.comWireless HeadsetWireless earbudsAuricolari wireless</v>
      </c>
      <c r="B1720" s="106" t="str">
        <f t="shared" si="63"/>
        <v>IT_SS.com</v>
      </c>
      <c r="C1720" s="107" t="s">
        <v>271</v>
      </c>
      <c r="D1720" s="107" t="s">
        <v>184</v>
      </c>
      <c r="E1720" s="107" t="s">
        <v>2705</v>
      </c>
      <c r="F1720" s="107" t="s">
        <v>2376</v>
      </c>
      <c r="G1720" s="107" t="s">
        <v>3058</v>
      </c>
      <c r="H1720" s="93" t="e">
        <v>#N/A</v>
      </c>
      <c r="I1720" s="99">
        <v>46076</v>
      </c>
      <c r="J1720" s="83" t="s">
        <v>189</v>
      </c>
      <c r="K1720" s="107"/>
      <c r="L1720" s="107"/>
      <c r="M1720" s="107"/>
      <c r="N1720" s="107"/>
      <c r="O1720" s="107"/>
    </row>
    <row r="1721" spans="1:15" s="81" customFormat="1" hidden="1">
      <c r="A1721" s="81" t="str">
        <f t="shared" si="62"/>
        <v>ITSS.comWireless HeadsetBluetooth HeadphonesCuffie Bluetooth</v>
      </c>
      <c r="B1721" s="106" t="str">
        <f t="shared" si="63"/>
        <v>IT_SS.com</v>
      </c>
      <c r="C1721" s="107" t="s">
        <v>271</v>
      </c>
      <c r="D1721" s="107" t="s">
        <v>184</v>
      </c>
      <c r="E1721" s="107" t="s">
        <v>2705</v>
      </c>
      <c r="F1721" s="107" t="s">
        <v>2533</v>
      </c>
      <c r="G1721" s="107" t="s">
        <v>3059</v>
      </c>
      <c r="H1721" s="93" t="e">
        <v>#N/A</v>
      </c>
      <c r="I1721" s="99">
        <v>46076</v>
      </c>
      <c r="J1721" s="83" t="s">
        <v>189</v>
      </c>
      <c r="K1721" s="107"/>
      <c r="L1721" s="107"/>
      <c r="M1721" s="107"/>
      <c r="N1721" s="107"/>
      <c r="O1721" s="107"/>
    </row>
    <row r="1722" spans="1:15" hidden="1">
      <c r="A1722" s="75" t="str">
        <f t="shared" si="62"/>
        <v>ITUNIEUROBluetooth Speakerbluetooth speakeraltoparlante bluetooth</v>
      </c>
      <c r="B1722" s="94" t="str">
        <f t="shared" si="63"/>
        <v>IT_UNIEURO</v>
      </c>
      <c r="C1722" s="93" t="s">
        <v>271</v>
      </c>
      <c r="D1722" s="93" t="s">
        <v>275</v>
      </c>
      <c r="E1722" s="93" t="s">
        <v>2307</v>
      </c>
      <c r="F1722" s="93" t="s">
        <v>2657</v>
      </c>
      <c r="G1722" s="93" t="s">
        <v>3046</v>
      </c>
      <c r="H1722" s="93" t="e">
        <v>#N/A</v>
      </c>
      <c r="I1722" s="105" t="s">
        <v>2310</v>
      </c>
      <c r="J1722" s="93" t="s">
        <v>189</v>
      </c>
      <c r="K1722" s="93">
        <v>1</v>
      </c>
      <c r="L1722" s="93" t="e">
        <v>#N/A</v>
      </c>
      <c r="M1722" s="93" t="s">
        <v>2311</v>
      </c>
      <c r="N1722" s="93">
        <f>VLOOKUP(B1722,'[16]01.수집 카테고리(List)'!$A$2:$H$64,8,FALSE)</f>
        <v>99991231</v>
      </c>
      <c r="O1722" s="93" t="s">
        <v>646</v>
      </c>
    </row>
    <row r="1723" spans="1:15" hidden="1">
      <c r="A1723" s="75" t="str">
        <f t="shared" si="62"/>
        <v>ITUNIEUROBluetooth SpeakerspeakersAltoparlanti</v>
      </c>
      <c r="B1723" s="94" t="str">
        <f t="shared" si="63"/>
        <v>IT_UNIEURO</v>
      </c>
      <c r="C1723" s="93" t="s">
        <v>271</v>
      </c>
      <c r="D1723" s="93" t="s">
        <v>275</v>
      </c>
      <c r="E1723" s="93" t="s">
        <v>2307</v>
      </c>
      <c r="F1723" s="93" t="s">
        <v>2471</v>
      </c>
      <c r="G1723" s="93" t="s">
        <v>3047</v>
      </c>
      <c r="H1723" s="93" t="e">
        <v>#N/A</v>
      </c>
      <c r="I1723" s="105" t="s">
        <v>2310</v>
      </c>
      <c r="J1723" s="93" t="s">
        <v>189</v>
      </c>
      <c r="K1723" s="93">
        <v>9</v>
      </c>
      <c r="L1723" s="93" t="e">
        <v>#N/A</v>
      </c>
      <c r="M1723" s="93" t="s">
        <v>2311</v>
      </c>
      <c r="N1723" s="93">
        <f>VLOOKUP(B1723,'[16]01.수집 카테고리(List)'!$A$2:$H$64,8,FALSE)</f>
        <v>99991231</v>
      </c>
      <c r="O1723" s="93" t="s">
        <v>646</v>
      </c>
    </row>
    <row r="1724" spans="1:15" hidden="1">
      <c r="A1724" s="75" t="str">
        <f t="shared" si="62"/>
        <v>ITUNIEUROBluetooth Speakerportable speakersaltoparlanti portatil</v>
      </c>
      <c r="B1724" s="94" t="str">
        <f t="shared" si="63"/>
        <v>IT_UNIEURO</v>
      </c>
      <c r="C1724" s="93" t="s">
        <v>271</v>
      </c>
      <c r="D1724" s="93" t="s">
        <v>275</v>
      </c>
      <c r="E1724" s="93" t="s">
        <v>2307</v>
      </c>
      <c r="F1724" s="93" t="s">
        <v>2473</v>
      </c>
      <c r="G1724" s="93" t="s">
        <v>3048</v>
      </c>
      <c r="H1724" s="93" t="e">
        <v>#N/A</v>
      </c>
      <c r="I1724" s="105" t="s">
        <v>2310</v>
      </c>
      <c r="J1724" s="93" t="s">
        <v>189</v>
      </c>
      <c r="K1724" s="93">
        <v>20732</v>
      </c>
      <c r="L1724" s="93" t="e">
        <v>#N/A</v>
      </c>
      <c r="M1724" s="93" t="s">
        <v>2311</v>
      </c>
      <c r="N1724" s="93">
        <f>VLOOKUP(B1724,'[16]01.수집 카테고리(List)'!$A$2:$H$64,8,FALSE)</f>
        <v>99991231</v>
      </c>
      <c r="O1724" s="93" t="s">
        <v>646</v>
      </c>
    </row>
    <row r="1725" spans="1:15" hidden="1">
      <c r="A1725" s="75" t="str">
        <f t="shared" si="62"/>
        <v>ITUNIEUROBluetooth Speakerbluetooth speakerscasse bluetooth</v>
      </c>
      <c r="B1725" s="94" t="str">
        <f t="shared" si="63"/>
        <v>IT_UNIEURO</v>
      </c>
      <c r="C1725" s="93" t="s">
        <v>271</v>
      </c>
      <c r="D1725" s="93" t="s">
        <v>275</v>
      </c>
      <c r="E1725" s="93" t="s">
        <v>2307</v>
      </c>
      <c r="F1725" s="93" t="s">
        <v>3049</v>
      </c>
      <c r="G1725" s="93" t="s">
        <v>3050</v>
      </c>
      <c r="H1725" s="93" t="e">
        <v>#N/A</v>
      </c>
      <c r="I1725" s="105" t="s">
        <v>2310</v>
      </c>
      <c r="J1725" s="93" t="s">
        <v>189</v>
      </c>
      <c r="K1725" s="93">
        <v>22007</v>
      </c>
      <c r="L1725" s="93" t="e">
        <v>#N/A</v>
      </c>
      <c r="M1725" s="93" t="s">
        <v>2311</v>
      </c>
      <c r="N1725" s="93">
        <f>VLOOKUP(B1725,'[16]01.수집 카테고리(List)'!$A$2:$H$64,8,FALSE)</f>
        <v>99991231</v>
      </c>
      <c r="O1725" s="93" t="s">
        <v>646</v>
      </c>
    </row>
    <row r="1726" spans="1:15" hidden="1">
      <c r="A1726" s="75" t="str">
        <f t="shared" si="62"/>
        <v>ITUNIEURODISHWASHERdishwasherlavastoviglie</v>
      </c>
      <c r="B1726" s="94" t="str">
        <f t="shared" si="63"/>
        <v>IT_UNIEURO</v>
      </c>
      <c r="C1726" s="93" t="s">
        <v>271</v>
      </c>
      <c r="D1726" s="93" t="s">
        <v>275</v>
      </c>
      <c r="E1726" s="93" t="s">
        <v>169</v>
      </c>
      <c r="F1726" s="93" t="s">
        <v>2354</v>
      </c>
      <c r="G1726" s="93" t="s">
        <v>3051</v>
      </c>
      <c r="H1726" s="93" t="e">
        <v>#N/A</v>
      </c>
      <c r="I1726" s="105" t="s">
        <v>2310</v>
      </c>
      <c r="J1726" s="93" t="s">
        <v>189</v>
      </c>
      <c r="K1726" s="93">
        <v>4</v>
      </c>
      <c r="L1726" s="93" t="e">
        <v>#N/A</v>
      </c>
      <c r="M1726" s="93" t="s">
        <v>2311</v>
      </c>
      <c r="N1726" s="93">
        <f>VLOOKUP(B1726,'[16]01.수집 카테고리(List)'!$A$2:$H$64,8,FALSE)</f>
        <v>99991231</v>
      </c>
      <c r="O1726" s="93" t="s">
        <v>646</v>
      </c>
    </row>
    <row r="1727" spans="1:15" hidden="1">
      <c r="A1727" s="75" t="str">
        <f t="shared" si="62"/>
        <v>ITUNIEURODISHWASHERBuilt in Dish washerLavastoviglie incasso</v>
      </c>
      <c r="B1727" s="94" t="str">
        <f t="shared" si="63"/>
        <v>IT_UNIEURO</v>
      </c>
      <c r="C1727" s="93" t="s">
        <v>271</v>
      </c>
      <c r="D1727" s="93" t="s">
        <v>275</v>
      </c>
      <c r="E1727" s="93" t="s">
        <v>169</v>
      </c>
      <c r="F1727" s="93" t="s">
        <v>2356</v>
      </c>
      <c r="G1727" s="93" t="s">
        <v>3052</v>
      </c>
      <c r="H1727" s="93" t="e">
        <v>#N/A</v>
      </c>
      <c r="I1727" s="105" t="s">
        <v>2310</v>
      </c>
      <c r="J1727" s="93" t="s">
        <v>189</v>
      </c>
      <c r="K1727" s="93">
        <v>1</v>
      </c>
      <c r="L1727" s="93" t="e">
        <v>#N/A</v>
      </c>
      <c r="M1727" s="93" t="s">
        <v>2311</v>
      </c>
      <c r="N1727" s="93">
        <f>VLOOKUP(B1727,'[16]01.수집 카테고리(List)'!$A$2:$H$64,8,FALSE)</f>
        <v>99991231</v>
      </c>
      <c r="O1727" s="93" t="s">
        <v>646</v>
      </c>
    </row>
    <row r="1728" spans="1:15" hidden="1">
      <c r="A1728" s="75" t="str">
        <f t="shared" ref="A1728:A1790" si="64">C1728&amp;D1728&amp;E1728&amp;F1728&amp;G1728</f>
        <v>ITUNIEURODISHWASHERFreestanding Dishwasher Lavastoviglie libera installazione</v>
      </c>
      <c r="B1728" s="94" t="str">
        <f t="shared" ref="B1728:B1790" si="65">C1728&amp;"_"&amp;D1728</f>
        <v>IT_UNIEURO</v>
      </c>
      <c r="C1728" s="93" t="s">
        <v>271</v>
      </c>
      <c r="D1728" s="93" t="s">
        <v>275</v>
      </c>
      <c r="E1728" s="93" t="s">
        <v>169</v>
      </c>
      <c r="F1728" s="93" t="s">
        <v>2441</v>
      </c>
      <c r="G1728" s="93" t="s">
        <v>3053</v>
      </c>
      <c r="H1728" s="93" t="e">
        <v>#N/A</v>
      </c>
      <c r="I1728" s="105" t="s">
        <v>2310</v>
      </c>
      <c r="J1728" s="93" t="s">
        <v>189</v>
      </c>
      <c r="K1728" s="93">
        <v>1</v>
      </c>
      <c r="L1728" s="93" t="e">
        <v>#N/A</v>
      </c>
      <c r="M1728" s="93" t="s">
        <v>2311</v>
      </c>
      <c r="N1728" s="93">
        <f>VLOOKUP(B1728,'[16]01.수집 카테고리(List)'!$A$2:$H$64,8,FALSE)</f>
        <v>99991231</v>
      </c>
      <c r="O1728" s="93" t="s">
        <v>646</v>
      </c>
    </row>
    <row r="1729" spans="1:15" hidden="1">
      <c r="A1729" s="75" t="str">
        <f t="shared" si="64"/>
        <v>ITUNIEURODryerDryerAsciugatrici</v>
      </c>
      <c r="B1729" s="94" t="str">
        <f t="shared" si="65"/>
        <v>IT_UNIEURO</v>
      </c>
      <c r="C1729" s="93" t="s">
        <v>271</v>
      </c>
      <c r="D1729" s="93" t="s">
        <v>275</v>
      </c>
      <c r="E1729" s="93" t="s">
        <v>2431</v>
      </c>
      <c r="F1729" s="93" t="s">
        <v>2431</v>
      </c>
      <c r="G1729" s="93" t="s">
        <v>3045</v>
      </c>
      <c r="H1729" s="93" t="e">
        <v>#N/A</v>
      </c>
      <c r="I1729" s="105" t="s">
        <v>2310</v>
      </c>
      <c r="J1729" s="93" t="s">
        <v>189</v>
      </c>
      <c r="K1729" s="93">
        <v>1</v>
      </c>
      <c r="L1729" s="93" t="e">
        <v>#N/A</v>
      </c>
      <c r="M1729" s="93" t="s">
        <v>2311</v>
      </c>
      <c r="N1729" s="93">
        <f>VLOOKUP(B1729,'[16]01.수집 카테고리(List)'!$A$2:$H$64,8,FALSE)</f>
        <v>99991231</v>
      </c>
      <c r="O1729" s="93" t="s">
        <v>646</v>
      </c>
    </row>
    <row r="1730" spans="1:15" hidden="1">
      <c r="A1730" s="75" t="str">
        <f t="shared" si="64"/>
        <v>ITUNIEUROMonitorMonitor Full HDMonitor Full HD</v>
      </c>
      <c r="B1730" s="94" t="str">
        <f t="shared" si="65"/>
        <v>IT_UNIEURO</v>
      </c>
      <c r="C1730" s="93" t="s">
        <v>271</v>
      </c>
      <c r="D1730" s="93" t="s">
        <v>275</v>
      </c>
      <c r="E1730" s="93" t="s">
        <v>2320</v>
      </c>
      <c r="F1730" s="93" t="s">
        <v>2669</v>
      </c>
      <c r="G1730" s="93" t="s">
        <v>2669</v>
      </c>
      <c r="H1730" s="93" t="e">
        <v>#N/A</v>
      </c>
      <c r="I1730" s="105" t="s">
        <v>2310</v>
      </c>
      <c r="J1730" s="93" t="s">
        <v>189</v>
      </c>
      <c r="K1730" s="93">
        <v>6</v>
      </c>
      <c r="L1730" s="93">
        <v>6</v>
      </c>
      <c r="M1730" s="93" t="s">
        <v>2311</v>
      </c>
      <c r="N1730" s="93">
        <f>VLOOKUP(B1730,'[16]01.수집 카테고리(List)'!$A$2:$H$64,8,FALSE)</f>
        <v>99991231</v>
      </c>
      <c r="O1730" s="93" t="s">
        <v>646</v>
      </c>
    </row>
    <row r="1731" spans="1:15" hidden="1">
      <c r="A1731" s="75" t="str">
        <f t="shared" si="64"/>
        <v>ITUNIEUROMonitorMonitor GamingMonitor Gaming</v>
      </c>
      <c r="B1731" s="94" t="str">
        <f t="shared" si="65"/>
        <v>IT_UNIEURO</v>
      </c>
      <c r="C1731" s="93" t="s">
        <v>271</v>
      </c>
      <c r="D1731" s="93" t="s">
        <v>275</v>
      </c>
      <c r="E1731" s="93" t="s">
        <v>2320</v>
      </c>
      <c r="F1731" s="93" t="s">
        <v>2670</v>
      </c>
      <c r="G1731" s="93" t="s">
        <v>2670</v>
      </c>
      <c r="H1731" s="93" t="e">
        <v>#N/A</v>
      </c>
      <c r="I1731" s="105" t="s">
        <v>2310</v>
      </c>
      <c r="J1731" s="93" t="s">
        <v>189</v>
      </c>
      <c r="K1731" s="93">
        <v>3</v>
      </c>
      <c r="L1731" s="93">
        <v>3</v>
      </c>
      <c r="M1731" s="93" t="s">
        <v>2311</v>
      </c>
      <c r="N1731" s="93">
        <f>VLOOKUP(B1731,'[16]01.수집 카테고리(List)'!$A$2:$H$64,8,FALSE)</f>
        <v>99991231</v>
      </c>
      <c r="O1731" s="93" t="s">
        <v>646</v>
      </c>
    </row>
    <row r="1732" spans="1:15" hidden="1">
      <c r="A1732" s="75" t="str">
        <f t="shared" si="64"/>
        <v>ITUNIEUROMonitorMonitor PCMonitor PC</v>
      </c>
      <c r="B1732" s="94" t="str">
        <f t="shared" si="65"/>
        <v>IT_UNIEURO</v>
      </c>
      <c r="C1732" s="93" t="s">
        <v>271</v>
      </c>
      <c r="D1732" s="93" t="s">
        <v>275</v>
      </c>
      <c r="E1732" s="93" t="s">
        <v>2320</v>
      </c>
      <c r="F1732" s="93" t="s">
        <v>2671</v>
      </c>
      <c r="G1732" s="93" t="s">
        <v>2671</v>
      </c>
      <c r="H1732" s="93" t="e">
        <v>#N/A</v>
      </c>
      <c r="I1732" s="105" t="s">
        <v>2310</v>
      </c>
      <c r="J1732" s="93" t="s">
        <v>189</v>
      </c>
      <c r="K1732" s="93">
        <v>3</v>
      </c>
      <c r="L1732" s="93">
        <v>3</v>
      </c>
      <c r="M1732" s="93" t="s">
        <v>2311</v>
      </c>
      <c r="N1732" s="93">
        <f>VLOOKUP(B1732,'[16]01.수집 카테고리(List)'!$A$2:$H$64,8,FALSE)</f>
        <v>99991231</v>
      </c>
      <c r="O1732" s="93" t="s">
        <v>646</v>
      </c>
    </row>
    <row r="1733" spans="1:15" hidden="1">
      <c r="A1733" s="75" t="str">
        <f t="shared" si="64"/>
        <v>ITUNIEUROMonitorMonitor Ultra HDMonitor Ultra HD</v>
      </c>
      <c r="B1733" s="94" t="str">
        <f t="shared" si="65"/>
        <v>IT_UNIEURO</v>
      </c>
      <c r="C1733" s="93" t="s">
        <v>271</v>
      </c>
      <c r="D1733" s="93" t="s">
        <v>3063</v>
      </c>
      <c r="E1733" s="93" t="s">
        <v>2320</v>
      </c>
      <c r="F1733" s="93" t="s">
        <v>2672</v>
      </c>
      <c r="G1733" s="93" t="s">
        <v>2672</v>
      </c>
      <c r="H1733" s="93" t="e">
        <v>#N/A</v>
      </c>
      <c r="I1733" s="105" t="s">
        <v>2310</v>
      </c>
      <c r="J1733" s="93" t="s">
        <v>189</v>
      </c>
      <c r="K1733" s="93">
        <v>1</v>
      </c>
      <c r="L1733" s="93">
        <v>1</v>
      </c>
      <c r="M1733" s="93" t="s">
        <v>2311</v>
      </c>
      <c r="N1733" s="93">
        <f>VLOOKUP(B1733,'[16]01.수집 카테고리(List)'!$A$2:$H$64,8,FALSE)</f>
        <v>99991231</v>
      </c>
      <c r="O1733" s="93" t="s">
        <v>646</v>
      </c>
    </row>
    <row r="1734" spans="1:15" hidden="1">
      <c r="A1734" s="75" t="str">
        <f t="shared" si="64"/>
        <v>ITUNIEUROMonitorMonitor Ultra WideMonitor Ultra Wide</v>
      </c>
      <c r="B1734" s="94" t="str">
        <f t="shared" si="65"/>
        <v>IT_UNIEURO</v>
      </c>
      <c r="C1734" s="93" t="s">
        <v>271</v>
      </c>
      <c r="D1734" s="93" t="s">
        <v>275</v>
      </c>
      <c r="E1734" s="93" t="s">
        <v>2320</v>
      </c>
      <c r="F1734" s="93" t="s">
        <v>2673</v>
      </c>
      <c r="G1734" s="93" t="s">
        <v>2673</v>
      </c>
      <c r="H1734" s="93" t="e">
        <v>#N/A</v>
      </c>
      <c r="I1734" s="105" t="s">
        <v>2310</v>
      </c>
      <c r="J1734" s="93" t="s">
        <v>189</v>
      </c>
      <c r="K1734" s="93">
        <v>1398</v>
      </c>
      <c r="L1734" s="93">
        <v>1398</v>
      </c>
      <c r="M1734" s="93" t="s">
        <v>2311</v>
      </c>
      <c r="N1734" s="93">
        <f>VLOOKUP(B1734,'[16]01.수집 카테고리(List)'!$A$2:$H$64,8,FALSE)</f>
        <v>99991231</v>
      </c>
      <c r="O1734" s="93" t="s">
        <v>646</v>
      </c>
    </row>
    <row r="1735" spans="1:15" hidden="1">
      <c r="A1735" s="75" t="str">
        <f t="shared" si="64"/>
        <v>ITUNIEUROOVENSlide-in RangeCucina a gas con scorrimento</v>
      </c>
      <c r="B1735" s="94" t="str">
        <f t="shared" si="65"/>
        <v>IT_UNIEURO</v>
      </c>
      <c r="C1735" s="93" t="s">
        <v>271</v>
      </c>
      <c r="D1735" s="93" t="s">
        <v>275</v>
      </c>
      <c r="E1735" s="93" t="s">
        <v>173</v>
      </c>
      <c r="F1735" s="93" t="s">
        <v>2676</v>
      </c>
      <c r="G1735" s="93" t="s">
        <v>3064</v>
      </c>
      <c r="H1735" s="93" t="e">
        <v>#N/A</v>
      </c>
      <c r="I1735" s="105" t="s">
        <v>2310</v>
      </c>
      <c r="J1735" s="93" t="s">
        <v>189</v>
      </c>
      <c r="K1735" s="93">
        <v>17</v>
      </c>
      <c r="L1735" s="93" t="e">
        <v>#N/A</v>
      </c>
      <c r="M1735" s="93" t="s">
        <v>2311</v>
      </c>
      <c r="N1735" s="93">
        <f>VLOOKUP(B1735,'[16]01.수집 카테고리(List)'!$A$2:$H$64,8,FALSE)</f>
        <v>99991231</v>
      </c>
      <c r="O1735" s="93" t="s">
        <v>646</v>
      </c>
    </row>
    <row r="1736" spans="1:15" hidden="1">
      <c r="A1736" s="75" t="str">
        <f t="shared" si="64"/>
        <v>ITUNIEUROOVENWall OvenForno Da Parete</v>
      </c>
      <c r="B1736" s="94" t="str">
        <f t="shared" si="65"/>
        <v>IT_UNIEURO</v>
      </c>
      <c r="C1736" s="93" t="s">
        <v>271</v>
      </c>
      <c r="D1736" s="93" t="s">
        <v>275</v>
      </c>
      <c r="E1736" s="93" t="s">
        <v>173</v>
      </c>
      <c r="F1736" s="93" t="s">
        <v>2544</v>
      </c>
      <c r="G1736" s="93" t="s">
        <v>3065</v>
      </c>
      <c r="H1736" s="93" t="e">
        <v>#N/A</v>
      </c>
      <c r="I1736" s="105" t="s">
        <v>2310</v>
      </c>
      <c r="J1736" s="93" t="s">
        <v>189</v>
      </c>
      <c r="K1736" s="93">
        <v>38</v>
      </c>
      <c r="L1736" s="93" t="e">
        <v>#N/A</v>
      </c>
      <c r="M1736" s="93" t="s">
        <v>2311</v>
      </c>
      <c r="N1736" s="93">
        <f>VLOOKUP(B1736,'[16]01.수집 카테고리(List)'!$A$2:$H$64,8,FALSE)</f>
        <v>99991231</v>
      </c>
      <c r="O1736" s="93" t="s">
        <v>646</v>
      </c>
    </row>
    <row r="1737" spans="1:15" hidden="1">
      <c r="A1737" s="75" t="str">
        <f t="shared" si="64"/>
        <v>ITUNIEUROOVENFreestanding OvenForno indipendente</v>
      </c>
      <c r="B1737" s="94" t="str">
        <f t="shared" si="65"/>
        <v>IT_UNIEURO</v>
      </c>
      <c r="C1737" s="93" t="s">
        <v>271</v>
      </c>
      <c r="D1737" s="93" t="s">
        <v>275</v>
      </c>
      <c r="E1737" s="93" t="s">
        <v>173</v>
      </c>
      <c r="F1737" s="93" t="s">
        <v>2678</v>
      </c>
      <c r="G1737" s="93" t="s">
        <v>3066</v>
      </c>
      <c r="H1737" s="93" t="e">
        <v>#N/A</v>
      </c>
      <c r="I1737" s="105" t="s">
        <v>2310</v>
      </c>
      <c r="J1737" s="93" t="s">
        <v>189</v>
      </c>
      <c r="K1737" s="93">
        <v>17</v>
      </c>
      <c r="L1737" s="93" t="e">
        <v>#N/A</v>
      </c>
      <c r="M1737" s="93" t="s">
        <v>2311</v>
      </c>
      <c r="N1737" s="93">
        <f>VLOOKUP(B1737,'[16]01.수집 카테고리(List)'!$A$2:$H$64,8,FALSE)</f>
        <v>99991231</v>
      </c>
      <c r="O1737" s="93" t="s">
        <v>646</v>
      </c>
    </row>
    <row r="1738" spans="1:15" hidden="1">
      <c r="A1738" s="75" t="str">
        <f t="shared" si="64"/>
        <v>ITUNIEUROOVENCooktopPiano cottura</v>
      </c>
      <c r="B1738" s="94" t="str">
        <f t="shared" si="65"/>
        <v>IT_UNIEURO</v>
      </c>
      <c r="C1738" s="93" t="s">
        <v>271</v>
      </c>
      <c r="D1738" s="93" t="s">
        <v>275</v>
      </c>
      <c r="E1738" s="93" t="s">
        <v>173</v>
      </c>
      <c r="F1738" s="93" t="s">
        <v>2541</v>
      </c>
      <c r="G1738" s="93" t="s">
        <v>3067</v>
      </c>
      <c r="H1738" s="93" t="e">
        <v>#N/A</v>
      </c>
      <c r="I1738" s="105" t="s">
        <v>2310</v>
      </c>
      <c r="J1738" s="93" t="s">
        <v>189</v>
      </c>
      <c r="K1738" s="93">
        <v>12</v>
      </c>
      <c r="L1738" s="93" t="e">
        <v>#N/A</v>
      </c>
      <c r="M1738" s="93" t="s">
        <v>2311</v>
      </c>
      <c r="N1738" s="93">
        <f>VLOOKUP(B1738,'[16]01.수집 카테고리(List)'!$A$2:$H$64,8,FALSE)</f>
        <v>99991231</v>
      </c>
      <c r="O1738" s="93" t="s">
        <v>646</v>
      </c>
    </row>
    <row r="1739" spans="1:15" hidden="1">
      <c r="A1739" s="75" t="str">
        <f t="shared" si="64"/>
        <v>ITUNIEURORefrigeratorfrench door refrigeratorfrigoriferi multidoor</v>
      </c>
      <c r="B1739" s="94" t="str">
        <f t="shared" si="65"/>
        <v>IT_UNIEURO</v>
      </c>
      <c r="C1739" s="93" t="s">
        <v>271</v>
      </c>
      <c r="D1739" s="93" t="s">
        <v>275</v>
      </c>
      <c r="E1739" s="93" t="s">
        <v>2326</v>
      </c>
      <c r="F1739" s="93" t="s">
        <v>2328</v>
      </c>
      <c r="G1739" s="93" t="s">
        <v>3030</v>
      </c>
      <c r="H1739" s="93" t="e">
        <v>#N/A</v>
      </c>
      <c r="I1739" s="105" t="s">
        <v>2310</v>
      </c>
      <c r="J1739" s="93" t="s">
        <v>189</v>
      </c>
      <c r="K1739" s="93">
        <v>1854</v>
      </c>
      <c r="L1739" s="93" t="e">
        <v>#N/A</v>
      </c>
      <c r="M1739" s="93" t="s">
        <v>2311</v>
      </c>
      <c r="N1739" s="93">
        <f>VLOOKUP(B1739,'[16]01.수집 카테고리(List)'!$A$2:$H$64,8,FALSE)</f>
        <v>99991231</v>
      </c>
      <c r="O1739" s="93" t="s">
        <v>646</v>
      </c>
    </row>
    <row r="1740" spans="1:15" hidden="1">
      <c r="A1740" s="75" t="str">
        <f t="shared" si="64"/>
        <v>ITUNIEURORefrigeratorrefrigeratorfrigorifero</v>
      </c>
      <c r="B1740" s="94" t="str">
        <f t="shared" si="65"/>
        <v>IT_UNIEURO</v>
      </c>
      <c r="C1740" s="93" t="s">
        <v>271</v>
      </c>
      <c r="D1740" s="93" t="s">
        <v>275</v>
      </c>
      <c r="E1740" s="93" t="s">
        <v>2326</v>
      </c>
      <c r="F1740" s="93" t="s">
        <v>2329</v>
      </c>
      <c r="G1740" s="93" t="s">
        <v>3031</v>
      </c>
      <c r="H1740" s="93" t="e">
        <v>#N/A</v>
      </c>
      <c r="I1740" s="105" t="s">
        <v>2310</v>
      </c>
      <c r="J1740" s="93" t="s">
        <v>189</v>
      </c>
      <c r="K1740" s="93">
        <v>15</v>
      </c>
      <c r="L1740" s="93" t="e">
        <v>#N/A</v>
      </c>
      <c r="M1740" s="93" t="s">
        <v>2311</v>
      </c>
      <c r="N1740" s="93">
        <f>VLOOKUP(B1740,'[16]01.수집 카테고리(List)'!$A$2:$H$64,8,FALSE)</f>
        <v>99991231</v>
      </c>
      <c r="O1740" s="93" t="s">
        <v>646</v>
      </c>
    </row>
    <row r="1741" spans="1:15" hidden="1">
      <c r="A1741" s="75" t="str">
        <f t="shared" si="64"/>
        <v>ITUNIEURORefrigeratorbottom freezer refrigeratorFrigorifero combinato</v>
      </c>
      <c r="B1741" s="94" t="str">
        <f t="shared" si="65"/>
        <v>IT_UNIEURO</v>
      </c>
      <c r="C1741" s="93" t="s">
        <v>271</v>
      </c>
      <c r="D1741" s="93" t="s">
        <v>275</v>
      </c>
      <c r="E1741" s="93" t="s">
        <v>2326</v>
      </c>
      <c r="F1741" s="93" t="s">
        <v>2327</v>
      </c>
      <c r="G1741" s="93" t="s">
        <v>3032</v>
      </c>
      <c r="H1741" s="93" t="e">
        <v>#N/A</v>
      </c>
      <c r="I1741" s="105" t="s">
        <v>2310</v>
      </c>
      <c r="J1741" s="93" t="s">
        <v>189</v>
      </c>
      <c r="K1741" s="93">
        <v>5</v>
      </c>
      <c r="L1741" s="93" t="e">
        <v>#N/A</v>
      </c>
      <c r="M1741" s="93" t="s">
        <v>2311</v>
      </c>
      <c r="N1741" s="93">
        <f>VLOOKUP(B1741,'[16]01.수집 카테고리(List)'!$A$2:$H$64,8,FALSE)</f>
        <v>99991231</v>
      </c>
      <c r="O1741" s="93" t="s">
        <v>646</v>
      </c>
    </row>
    <row r="1742" spans="1:15" hidden="1">
      <c r="A1742" s="75" t="str">
        <f t="shared" si="64"/>
        <v>ITUNIEURORefrigeratortop freezer refrigeratorfrigorifero doppia porta</v>
      </c>
      <c r="B1742" s="94" t="str">
        <f t="shared" si="65"/>
        <v>IT_UNIEURO</v>
      </c>
      <c r="C1742" s="93" t="s">
        <v>271</v>
      </c>
      <c r="D1742" s="93" t="s">
        <v>275</v>
      </c>
      <c r="E1742" s="93" t="s">
        <v>2326</v>
      </c>
      <c r="F1742" s="93" t="s">
        <v>2332</v>
      </c>
      <c r="G1742" s="93" t="s">
        <v>3033</v>
      </c>
      <c r="H1742" s="93" t="e">
        <v>#N/A</v>
      </c>
      <c r="I1742" s="105" t="s">
        <v>2310</v>
      </c>
      <c r="J1742" s="93" t="s">
        <v>189</v>
      </c>
      <c r="K1742" s="93">
        <v>3</v>
      </c>
      <c r="L1742" s="93" t="e">
        <v>#N/A</v>
      </c>
      <c r="M1742" s="93" t="s">
        <v>2311</v>
      </c>
      <c r="N1742" s="93">
        <f>VLOOKUP(B1742,'[16]01.수집 카테고리(List)'!$A$2:$H$64,8,FALSE)</f>
        <v>99991231</v>
      </c>
      <c r="O1742" s="93" t="s">
        <v>646</v>
      </c>
    </row>
    <row r="1743" spans="1:15" hidden="1">
      <c r="A1743" s="75" t="str">
        <f t="shared" si="64"/>
        <v>ITUNIEURORefrigeratorside by side refrigeratorfrigorifero side by side</v>
      </c>
      <c r="B1743" s="94" t="str">
        <f t="shared" si="65"/>
        <v>IT_UNIEURO</v>
      </c>
      <c r="C1743" s="93" t="s">
        <v>271</v>
      </c>
      <c r="D1743" s="93" t="s">
        <v>275</v>
      </c>
      <c r="E1743" s="93" t="s">
        <v>2326</v>
      </c>
      <c r="F1743" s="93" t="s">
        <v>2330</v>
      </c>
      <c r="G1743" s="93" t="s">
        <v>3034</v>
      </c>
      <c r="H1743" s="93" t="e">
        <v>#N/A</v>
      </c>
      <c r="I1743" s="105" t="s">
        <v>2310</v>
      </c>
      <c r="J1743" s="93" t="s">
        <v>189</v>
      </c>
      <c r="K1743" s="93">
        <v>122</v>
      </c>
      <c r="L1743" s="93" t="e">
        <v>#N/A</v>
      </c>
      <c r="M1743" s="93" t="s">
        <v>2311</v>
      </c>
      <c r="N1743" s="93">
        <f>VLOOKUP(B1743,'[16]01.수집 카테고리(List)'!$A$2:$H$64,8,FALSE)</f>
        <v>99991231</v>
      </c>
      <c r="O1743" s="93" t="s">
        <v>646</v>
      </c>
    </row>
    <row r="1744" spans="1:15" hidden="1">
      <c r="A1744" s="75" t="str">
        <f t="shared" si="64"/>
        <v>ITUNIEUROSoundbarSound barSound bar</v>
      </c>
      <c r="B1744" s="94" t="str">
        <f t="shared" si="65"/>
        <v>IT_UNIEURO</v>
      </c>
      <c r="C1744" s="93" t="s">
        <v>271</v>
      </c>
      <c r="D1744" s="93" t="s">
        <v>275</v>
      </c>
      <c r="E1744" s="93" t="s">
        <v>2363</v>
      </c>
      <c r="F1744" s="93" t="s">
        <v>2365</v>
      </c>
      <c r="G1744" s="93" t="s">
        <v>2365</v>
      </c>
      <c r="H1744" s="93" t="e">
        <v>#N/A</v>
      </c>
      <c r="I1744" s="105" t="s">
        <v>2310</v>
      </c>
      <c r="J1744" s="93" t="s">
        <v>189</v>
      </c>
      <c r="K1744" s="93">
        <v>2</v>
      </c>
      <c r="L1744" s="93">
        <v>2</v>
      </c>
      <c r="M1744" s="93" t="s">
        <v>2311</v>
      </c>
      <c r="N1744" s="93">
        <f>VLOOKUP(B1744,'[16]01.수집 카테고리(List)'!$A$2:$H$64,8,FALSE)</f>
        <v>99991231</v>
      </c>
      <c r="O1744" s="93" t="s">
        <v>646</v>
      </c>
    </row>
    <row r="1745" spans="1:15" hidden="1">
      <c r="A1745" s="75" t="str">
        <f t="shared" si="64"/>
        <v>ITUNIEUROSOUNDBARSoundbarSoundbar</v>
      </c>
      <c r="B1745" s="94" t="str">
        <f t="shared" si="65"/>
        <v>IT_UNIEURO</v>
      </c>
      <c r="C1745" s="93" t="s">
        <v>271</v>
      </c>
      <c r="D1745" s="93" t="s">
        <v>275</v>
      </c>
      <c r="E1745" s="93" t="s">
        <v>165</v>
      </c>
      <c r="F1745" s="93" t="s">
        <v>2363</v>
      </c>
      <c r="G1745" s="93" t="s">
        <v>2363</v>
      </c>
      <c r="H1745" s="93" t="e">
        <v>#N/A</v>
      </c>
      <c r="I1745" s="105" t="s">
        <v>2310</v>
      </c>
      <c r="J1745" s="93" t="s">
        <v>189</v>
      </c>
      <c r="K1745" s="93">
        <v>3</v>
      </c>
      <c r="L1745" s="93">
        <v>3</v>
      </c>
      <c r="M1745" s="93" t="s">
        <v>2311</v>
      </c>
      <c r="N1745" s="93">
        <f>VLOOKUP(B1745,'[16]01.수집 카테고리(List)'!$A$2:$H$64,8,FALSE)</f>
        <v>99991231</v>
      </c>
      <c r="O1745" s="93" t="s">
        <v>646</v>
      </c>
    </row>
    <row r="1746" spans="1:15" hidden="1">
      <c r="A1746" s="75" t="str">
        <f t="shared" si="64"/>
        <v>ITUNIEUROSOUNDBARsoundbar for tvsoundbar per tv</v>
      </c>
      <c r="B1746" s="94" t="str">
        <f t="shared" si="65"/>
        <v>IT_UNIEURO</v>
      </c>
      <c r="C1746" s="93" t="s">
        <v>271</v>
      </c>
      <c r="D1746" s="93" t="s">
        <v>275</v>
      </c>
      <c r="E1746" s="93" t="s">
        <v>165</v>
      </c>
      <c r="F1746" s="93" t="s">
        <v>2573</v>
      </c>
      <c r="G1746" s="93" t="s">
        <v>3054</v>
      </c>
      <c r="H1746" s="93" t="e">
        <v>#N/A</v>
      </c>
      <c r="I1746" s="105" t="s">
        <v>2310</v>
      </c>
      <c r="J1746" s="93" t="s">
        <v>189</v>
      </c>
      <c r="K1746" s="93">
        <v>3</v>
      </c>
      <c r="L1746" s="93" t="e">
        <v>#N/A</v>
      </c>
      <c r="M1746" s="93" t="s">
        <v>2311</v>
      </c>
      <c r="N1746" s="93">
        <f>VLOOKUP(B1746,'[16]01.수집 카테고리(List)'!$A$2:$H$64,8,FALSE)</f>
        <v>99991231</v>
      </c>
      <c r="O1746" s="93" t="s">
        <v>646</v>
      </c>
    </row>
    <row r="1747" spans="1:15" hidden="1">
      <c r="A1747" s="75" t="str">
        <f t="shared" si="64"/>
        <v>ITUNIEUROSOUNDBARtv soundbarsoundbar tv</v>
      </c>
      <c r="B1747" s="94" t="str">
        <f t="shared" si="65"/>
        <v>IT_UNIEURO</v>
      </c>
      <c r="C1747" s="93" t="s">
        <v>271</v>
      </c>
      <c r="D1747" s="93" t="s">
        <v>275</v>
      </c>
      <c r="E1747" s="93" t="s">
        <v>165</v>
      </c>
      <c r="F1747" s="93" t="s">
        <v>2686</v>
      </c>
      <c r="G1747" s="93" t="s">
        <v>3055</v>
      </c>
      <c r="H1747" s="93" t="e">
        <v>#N/A</v>
      </c>
      <c r="I1747" s="105" t="s">
        <v>2310</v>
      </c>
      <c r="J1747" s="93" t="s">
        <v>189</v>
      </c>
      <c r="K1747" s="93">
        <v>2357</v>
      </c>
      <c r="L1747" s="93" t="e">
        <v>#N/A</v>
      </c>
      <c r="M1747" s="93" t="s">
        <v>2311</v>
      </c>
      <c r="N1747" s="93">
        <f>VLOOKUP(B1747,'[16]01.수집 카테고리(List)'!$A$2:$H$64,8,FALSE)</f>
        <v>99991231</v>
      </c>
      <c r="O1747" s="93" t="s">
        <v>646</v>
      </c>
    </row>
    <row r="1748" spans="1:15" hidden="1">
      <c r="A1748" s="75" t="str">
        <f t="shared" si="64"/>
        <v>ITUNIEUROTVsmart TVsmart TV</v>
      </c>
      <c r="B1748" s="94" t="str">
        <f t="shared" si="65"/>
        <v>IT_UNIEURO</v>
      </c>
      <c r="C1748" s="93" t="s">
        <v>271</v>
      </c>
      <c r="D1748" s="93" t="s">
        <v>275</v>
      </c>
      <c r="E1748" s="93" t="s">
        <v>161</v>
      </c>
      <c r="F1748" s="93" t="s">
        <v>2371</v>
      </c>
      <c r="G1748" s="93" t="s">
        <v>2371</v>
      </c>
      <c r="H1748" s="93" t="e">
        <v>#N/A</v>
      </c>
      <c r="I1748" s="105" t="s">
        <v>2310</v>
      </c>
      <c r="J1748" s="93" t="s">
        <v>189</v>
      </c>
      <c r="K1748" s="93">
        <v>4</v>
      </c>
      <c r="L1748" s="93">
        <v>4</v>
      </c>
      <c r="M1748" s="93" t="s">
        <v>2311</v>
      </c>
      <c r="N1748" s="93">
        <f>VLOOKUP(B1748,'[16]01.수집 카테고리(List)'!$A$2:$H$64,8,FALSE)</f>
        <v>99991231</v>
      </c>
      <c r="O1748" s="93" t="s">
        <v>646</v>
      </c>
    </row>
    <row r="1749" spans="1:15" hidden="1">
      <c r="A1749" s="75" t="str">
        <f t="shared" si="64"/>
        <v>ITUNIEUROTVTVTV</v>
      </c>
      <c r="B1749" s="94" t="str">
        <f t="shared" si="65"/>
        <v>IT_UNIEURO</v>
      </c>
      <c r="C1749" s="93" t="s">
        <v>271</v>
      </c>
      <c r="D1749" s="93" t="s">
        <v>275</v>
      </c>
      <c r="E1749" s="93" t="s">
        <v>161</v>
      </c>
      <c r="F1749" s="93" t="s">
        <v>161</v>
      </c>
      <c r="G1749" s="93" t="s">
        <v>161</v>
      </c>
      <c r="H1749" s="93" t="e">
        <v>#N/A</v>
      </c>
      <c r="I1749" s="105" t="s">
        <v>2310</v>
      </c>
      <c r="J1749" s="93" t="s">
        <v>189</v>
      </c>
      <c r="K1749" s="93">
        <v>4</v>
      </c>
      <c r="L1749" s="93">
        <v>4</v>
      </c>
      <c r="M1749" s="93" t="s">
        <v>2311</v>
      </c>
      <c r="N1749" s="93">
        <f>VLOOKUP(B1749,'[16]01.수집 카테고리(List)'!$A$2:$H$64,8,FALSE)</f>
        <v>99991231</v>
      </c>
      <c r="O1749" s="93" t="s">
        <v>646</v>
      </c>
    </row>
    <row r="1750" spans="1:15" hidden="1">
      <c r="A1750" s="75" t="str">
        <f t="shared" si="64"/>
        <v>ITUNIEUROTV4k TVTV 4k</v>
      </c>
      <c r="B1750" s="94" t="str">
        <f t="shared" si="65"/>
        <v>IT_UNIEURO</v>
      </c>
      <c r="C1750" s="93" t="s">
        <v>271</v>
      </c>
      <c r="D1750" s="93" t="s">
        <v>275</v>
      </c>
      <c r="E1750" s="93" t="s">
        <v>161</v>
      </c>
      <c r="F1750" s="93" t="s">
        <v>2368</v>
      </c>
      <c r="G1750" s="93" t="s">
        <v>3035</v>
      </c>
      <c r="H1750" s="93" t="e">
        <v>#N/A</v>
      </c>
      <c r="I1750" s="105" t="s">
        <v>2310</v>
      </c>
      <c r="J1750" s="93" t="s">
        <v>189</v>
      </c>
      <c r="K1750" s="93" t="e">
        <v>#N/A</v>
      </c>
      <c r="L1750" s="93">
        <v>5</v>
      </c>
      <c r="M1750" s="93" t="s">
        <v>2351</v>
      </c>
      <c r="N1750" s="93">
        <f>VLOOKUP(B1750,'[16]01.수집 카테고리(List)'!$A$2:$H$64,8,FALSE)</f>
        <v>99991231</v>
      </c>
      <c r="O1750" s="93" t="s">
        <v>646</v>
      </c>
    </row>
    <row r="1751" spans="1:15" hidden="1">
      <c r="A1751" s="75" t="str">
        <f t="shared" si="64"/>
        <v>ITUNIEUROTVoled TVTV OLED</v>
      </c>
      <c r="B1751" s="94" t="str">
        <f t="shared" si="65"/>
        <v>IT_UNIEURO</v>
      </c>
      <c r="C1751" s="93" t="s">
        <v>271</v>
      </c>
      <c r="D1751" s="93" t="s">
        <v>275</v>
      </c>
      <c r="E1751" s="93" t="s">
        <v>161</v>
      </c>
      <c r="F1751" s="93" t="s">
        <v>2369</v>
      </c>
      <c r="G1751" s="93" t="s">
        <v>2840</v>
      </c>
      <c r="H1751" s="93" t="e">
        <v>#N/A</v>
      </c>
      <c r="I1751" s="105" t="s">
        <v>2310</v>
      </c>
      <c r="J1751" s="93" t="s">
        <v>189</v>
      </c>
      <c r="K1751" s="93" t="e">
        <v>#N/A</v>
      </c>
      <c r="L1751" s="93">
        <v>2</v>
      </c>
      <c r="M1751" s="93" t="s">
        <v>2351</v>
      </c>
      <c r="N1751" s="93">
        <f>VLOOKUP(B1751,'[16]01.수집 카테고리(List)'!$A$2:$H$64,8,FALSE)</f>
        <v>99991231</v>
      </c>
      <c r="O1751" s="93" t="s">
        <v>646</v>
      </c>
    </row>
    <row r="1752" spans="1:15" hidden="1">
      <c r="A1752" s="75" t="str">
        <f t="shared" si="64"/>
        <v>ITUNIEUROTVuhd TVTV UHD</v>
      </c>
      <c r="B1752" s="94" t="str">
        <f t="shared" si="65"/>
        <v>IT_UNIEURO</v>
      </c>
      <c r="C1752" s="93" t="s">
        <v>271</v>
      </c>
      <c r="D1752" s="93" t="s">
        <v>275</v>
      </c>
      <c r="E1752" s="93" t="s">
        <v>161</v>
      </c>
      <c r="F1752" s="93" t="s">
        <v>2399</v>
      </c>
      <c r="G1752" s="93" t="s">
        <v>2841</v>
      </c>
      <c r="H1752" s="93" t="e">
        <v>#N/A</v>
      </c>
      <c r="I1752" s="105" t="s">
        <v>2310</v>
      </c>
      <c r="J1752" s="93" t="s">
        <v>189</v>
      </c>
      <c r="K1752" s="93" t="e">
        <v>#N/A</v>
      </c>
      <c r="L1752" s="93">
        <v>5</v>
      </c>
      <c r="M1752" s="93" t="s">
        <v>2351</v>
      </c>
      <c r="N1752" s="93">
        <f>VLOOKUP(B1752,'[16]01.수집 카테고리(List)'!$A$2:$H$64,8,FALSE)</f>
        <v>99991231</v>
      </c>
      <c r="O1752" s="93" t="s">
        <v>646</v>
      </c>
    </row>
    <row r="1753" spans="1:15" hidden="1">
      <c r="A1753" s="75" t="str">
        <f t="shared" si="64"/>
        <v>ITUNIEUROWashing Machinefront loadercarica frontale</v>
      </c>
      <c r="B1753" s="94" t="str">
        <f t="shared" si="65"/>
        <v>IT_UNIEURO</v>
      </c>
      <c r="C1753" s="93" t="s">
        <v>271</v>
      </c>
      <c r="D1753" s="93" t="s">
        <v>275</v>
      </c>
      <c r="E1753" s="93" t="s">
        <v>2333</v>
      </c>
      <c r="F1753" s="93" t="s">
        <v>2334</v>
      </c>
      <c r="G1753" s="93" t="s">
        <v>3036</v>
      </c>
      <c r="H1753" s="93" t="e">
        <v>#N/A</v>
      </c>
      <c r="I1753" s="105" t="s">
        <v>2310</v>
      </c>
      <c r="J1753" s="93" t="s">
        <v>189</v>
      </c>
      <c r="K1753" s="93">
        <v>2</v>
      </c>
      <c r="L1753" s="93" t="e">
        <v>#N/A</v>
      </c>
      <c r="M1753" s="93" t="s">
        <v>2311</v>
      </c>
      <c r="N1753" s="93">
        <f>VLOOKUP(B1753,'[16]01.수집 카테고리(List)'!$A$2:$H$64,8,FALSE)</f>
        <v>99991231</v>
      </c>
      <c r="O1753" s="93" t="s">
        <v>646</v>
      </c>
    </row>
    <row r="1754" spans="1:15" hidden="1">
      <c r="A1754" s="75" t="str">
        <f t="shared" si="64"/>
        <v>ITUNIEUROWashing Machinewasher dryer combolavasciuga</v>
      </c>
      <c r="B1754" s="94" t="str">
        <f t="shared" si="65"/>
        <v>IT_UNIEURO</v>
      </c>
      <c r="C1754" s="93" t="s">
        <v>271</v>
      </c>
      <c r="D1754" s="93" t="s">
        <v>275</v>
      </c>
      <c r="E1754" s="93" t="s">
        <v>2333</v>
      </c>
      <c r="F1754" s="93" t="s">
        <v>2338</v>
      </c>
      <c r="G1754" s="93" t="s">
        <v>3037</v>
      </c>
      <c r="H1754" s="93" t="e">
        <v>#N/A</v>
      </c>
      <c r="I1754" s="105" t="s">
        <v>2310</v>
      </c>
      <c r="J1754" s="93" t="s">
        <v>189</v>
      </c>
      <c r="K1754" s="93">
        <v>1</v>
      </c>
      <c r="L1754" s="93" t="e">
        <v>#N/A</v>
      </c>
      <c r="M1754" s="93" t="s">
        <v>2311</v>
      </c>
      <c r="N1754" s="93">
        <f>VLOOKUP(B1754,'[16]01.수집 카테고리(List)'!$A$2:$H$64,8,FALSE)</f>
        <v>99991231</v>
      </c>
      <c r="O1754" s="93" t="s">
        <v>646</v>
      </c>
    </row>
    <row r="1755" spans="1:15" hidden="1">
      <c r="A1755" s="75" t="str">
        <f t="shared" si="64"/>
        <v>ITUNIEUROWashing Machinewashing machinelavatrice</v>
      </c>
      <c r="B1755" s="94" t="str">
        <f t="shared" si="65"/>
        <v>IT_UNIEURO</v>
      </c>
      <c r="C1755" s="93" t="s">
        <v>271</v>
      </c>
      <c r="D1755" s="93" t="s">
        <v>275</v>
      </c>
      <c r="E1755" s="93" t="s">
        <v>2333</v>
      </c>
      <c r="F1755" s="93" t="s">
        <v>2340</v>
      </c>
      <c r="G1755" s="93" t="s">
        <v>3038</v>
      </c>
      <c r="H1755" s="93" t="e">
        <v>#N/A</v>
      </c>
      <c r="I1755" s="105" t="s">
        <v>2310</v>
      </c>
      <c r="J1755" s="93" t="s">
        <v>189</v>
      </c>
      <c r="K1755" s="93">
        <v>2</v>
      </c>
      <c r="L1755" s="93" t="e">
        <v>#N/A</v>
      </c>
      <c r="M1755" s="93" t="s">
        <v>2311</v>
      </c>
      <c r="N1755" s="93">
        <f>VLOOKUP(B1755,'[16]01.수집 카테고리(List)'!$A$2:$H$64,8,FALSE)</f>
        <v>99991231</v>
      </c>
      <c r="O1755" s="93" t="s">
        <v>646</v>
      </c>
    </row>
    <row r="1756" spans="1:15" hidden="1">
      <c r="A1756" s="75" t="str">
        <f t="shared" si="64"/>
        <v>ITUNIEUROWIRELESS HEADSETEarbudsAuricolari</v>
      </c>
      <c r="B1756" s="94" t="str">
        <f t="shared" si="65"/>
        <v>IT_UNIEURO</v>
      </c>
      <c r="C1756" s="93" t="s">
        <v>271</v>
      </c>
      <c r="D1756" s="93" t="s">
        <v>275</v>
      </c>
      <c r="E1756" s="93" t="s">
        <v>2201</v>
      </c>
      <c r="F1756" s="93" t="s">
        <v>2534</v>
      </c>
      <c r="G1756" s="93" t="s">
        <v>3056</v>
      </c>
      <c r="H1756" s="93" t="e">
        <v>#N/A</v>
      </c>
      <c r="I1756" s="105" t="s">
        <v>2310</v>
      </c>
      <c r="J1756" s="93" t="s">
        <v>189</v>
      </c>
      <c r="K1756" s="93">
        <v>2</v>
      </c>
      <c r="L1756" s="93" t="e">
        <v>#N/A</v>
      </c>
      <c r="M1756" s="93" t="s">
        <v>2311</v>
      </c>
      <c r="N1756" s="93">
        <f>VLOOKUP(B1756,'[16]01.수집 카테고리(List)'!$A$2:$H$64,8,FALSE)</f>
        <v>99991231</v>
      </c>
      <c r="O1756" s="93" t="s">
        <v>646</v>
      </c>
    </row>
    <row r="1757" spans="1:15" hidden="1">
      <c r="A1757" s="75" t="str">
        <f t="shared" si="64"/>
        <v>ITUNIEUROWIRELESS HEADSETEar budsAuricolari</v>
      </c>
      <c r="B1757" s="94" t="str">
        <f t="shared" si="65"/>
        <v>IT_UNIEURO</v>
      </c>
      <c r="C1757" s="93" t="s">
        <v>271</v>
      </c>
      <c r="D1757" s="93" t="s">
        <v>275</v>
      </c>
      <c r="E1757" s="93" t="s">
        <v>2201</v>
      </c>
      <c r="F1757" s="93" t="s">
        <v>2380</v>
      </c>
      <c r="G1757" s="93" t="s">
        <v>3056</v>
      </c>
      <c r="H1757" s="93" t="e">
        <v>#N/A</v>
      </c>
      <c r="I1757" s="105" t="s">
        <v>2310</v>
      </c>
      <c r="J1757" s="93" t="s">
        <v>189</v>
      </c>
      <c r="K1757" s="93">
        <v>2</v>
      </c>
      <c r="L1757" s="93" t="e">
        <v>#N/A</v>
      </c>
      <c r="M1757" s="93" t="s">
        <v>2311</v>
      </c>
      <c r="N1757" s="93">
        <f>VLOOKUP(B1757,'[16]01.수집 카테고리(List)'!$A$2:$H$64,8,FALSE)</f>
        <v>99991231</v>
      </c>
      <c r="O1757" s="93" t="s">
        <v>646</v>
      </c>
    </row>
    <row r="1758" spans="1:15" hidden="1">
      <c r="A1758" s="75" t="str">
        <f t="shared" si="64"/>
        <v>ITUNIEUROWIRELESS HEADSETBluetooth earbudsAuricolari Bluetooth</v>
      </c>
      <c r="B1758" s="94" t="str">
        <f t="shared" si="65"/>
        <v>IT_UNIEURO</v>
      </c>
      <c r="C1758" s="93" t="s">
        <v>271</v>
      </c>
      <c r="D1758" s="93" t="s">
        <v>275</v>
      </c>
      <c r="E1758" s="93" t="s">
        <v>2201</v>
      </c>
      <c r="F1758" s="93" t="s">
        <v>2382</v>
      </c>
      <c r="G1758" s="93" t="s">
        <v>3057</v>
      </c>
      <c r="H1758" s="93" t="e">
        <v>#N/A</v>
      </c>
      <c r="I1758" s="105" t="s">
        <v>2310</v>
      </c>
      <c r="J1758" s="93" t="s">
        <v>189</v>
      </c>
      <c r="K1758" s="93">
        <v>3</v>
      </c>
      <c r="L1758" s="93" t="e">
        <v>#N/A</v>
      </c>
      <c r="M1758" s="93" t="s">
        <v>2311</v>
      </c>
      <c r="N1758" s="93">
        <f>VLOOKUP(B1758,'[16]01.수집 카테고리(List)'!$A$2:$H$64,8,FALSE)</f>
        <v>99991231</v>
      </c>
      <c r="O1758" s="93" t="s">
        <v>646</v>
      </c>
    </row>
    <row r="1759" spans="1:15" hidden="1">
      <c r="A1759" s="75" t="str">
        <f t="shared" si="64"/>
        <v>ITUNIEUROWIRELESS HEADSETWireless earbudsAuricolari wireless</v>
      </c>
      <c r="B1759" s="94" t="str">
        <f t="shared" si="65"/>
        <v>IT_UNIEURO</v>
      </c>
      <c r="C1759" s="93" t="s">
        <v>271</v>
      </c>
      <c r="D1759" s="93" t="s">
        <v>275</v>
      </c>
      <c r="E1759" s="93" t="s">
        <v>2201</v>
      </c>
      <c r="F1759" s="93" t="s">
        <v>2376</v>
      </c>
      <c r="G1759" s="93" t="s">
        <v>3058</v>
      </c>
      <c r="H1759" s="93" t="e">
        <v>#N/A</v>
      </c>
      <c r="I1759" s="105" t="s">
        <v>2310</v>
      </c>
      <c r="J1759" s="93" t="s">
        <v>189</v>
      </c>
      <c r="K1759" s="93">
        <v>4</v>
      </c>
      <c r="L1759" s="93" t="e">
        <v>#N/A</v>
      </c>
      <c r="M1759" s="93" t="s">
        <v>2311</v>
      </c>
      <c r="N1759" s="93">
        <f>VLOOKUP(B1759,'[16]01.수집 카테고리(List)'!$A$2:$H$64,8,FALSE)</f>
        <v>99991231</v>
      </c>
      <c r="O1759" s="93" t="s">
        <v>646</v>
      </c>
    </row>
    <row r="1760" spans="1:15" hidden="1">
      <c r="A1760" s="75" t="str">
        <f t="shared" si="64"/>
        <v>ITUNIEUROWIRELESS HEADSETBluetooth HeadphonesCuffie Bluetooth</v>
      </c>
      <c r="B1760" s="94" t="str">
        <f t="shared" si="65"/>
        <v>IT_UNIEURO</v>
      </c>
      <c r="C1760" s="93" t="s">
        <v>271</v>
      </c>
      <c r="D1760" s="93" t="s">
        <v>275</v>
      </c>
      <c r="E1760" s="93" t="s">
        <v>2201</v>
      </c>
      <c r="F1760" s="93" t="s">
        <v>2533</v>
      </c>
      <c r="G1760" s="93" t="s">
        <v>3059</v>
      </c>
      <c r="H1760" s="93" t="e">
        <v>#N/A</v>
      </c>
      <c r="I1760" s="105" t="s">
        <v>2310</v>
      </c>
      <c r="J1760" s="93" t="s">
        <v>189</v>
      </c>
      <c r="K1760" s="93">
        <v>2</v>
      </c>
      <c r="L1760" s="93" t="e">
        <v>#N/A</v>
      </c>
      <c r="M1760" s="93" t="s">
        <v>2311</v>
      </c>
      <c r="N1760" s="93">
        <f>VLOOKUP(B1760,'[16]01.수집 카테고리(List)'!$A$2:$H$64,8,FALSE)</f>
        <v>99991231</v>
      </c>
      <c r="O1760" s="93" t="s">
        <v>646</v>
      </c>
    </row>
    <row r="1761" spans="1:15" s="108" customFormat="1" hidden="1">
      <c r="A1761" s="108" t="str">
        <f t="shared" si="64"/>
        <v>ITUNIEUROAir Conditionerair conditionercondizionatore</v>
      </c>
      <c r="B1761" s="109" t="str">
        <f t="shared" si="65"/>
        <v>IT_UNIEURO</v>
      </c>
      <c r="C1761" s="110" t="s">
        <v>271</v>
      </c>
      <c r="D1761" s="110" t="s">
        <v>275</v>
      </c>
      <c r="E1761" s="110" t="s">
        <v>2524</v>
      </c>
      <c r="F1761" s="110" t="s">
        <v>2347</v>
      </c>
      <c r="G1761" s="110" t="s">
        <v>3039</v>
      </c>
      <c r="H1761" s="93" t="e">
        <v>#N/A</v>
      </c>
      <c r="I1761" s="99">
        <v>46076</v>
      </c>
      <c r="J1761" s="83" t="s">
        <v>189</v>
      </c>
      <c r="K1761" s="110"/>
      <c r="L1761" s="110"/>
      <c r="M1761" s="110"/>
      <c r="N1761" s="110"/>
      <c r="O1761" s="110"/>
    </row>
    <row r="1762" spans="1:15" s="108" customFormat="1" hidden="1">
      <c r="A1762" s="108" t="str">
        <f t="shared" si="64"/>
        <v>ITUNIEUROAir Conditionerinverter air conditionercondizionatore inverter</v>
      </c>
      <c r="B1762" s="109" t="str">
        <f t="shared" si="65"/>
        <v>IT_UNIEURO</v>
      </c>
      <c r="C1762" s="110" t="s">
        <v>271</v>
      </c>
      <c r="D1762" s="110" t="s">
        <v>275</v>
      </c>
      <c r="E1762" s="110" t="s">
        <v>2524</v>
      </c>
      <c r="F1762" s="110" t="s">
        <v>2348</v>
      </c>
      <c r="G1762" s="110" t="s">
        <v>3040</v>
      </c>
      <c r="H1762" s="93" t="e">
        <v>#N/A</v>
      </c>
      <c r="I1762" s="99">
        <v>46076</v>
      </c>
      <c r="J1762" s="83" t="s">
        <v>189</v>
      </c>
      <c r="K1762" s="110"/>
      <c r="L1762" s="110"/>
      <c r="M1762" s="110"/>
      <c r="N1762" s="110"/>
      <c r="O1762" s="110"/>
    </row>
    <row r="1763" spans="1:15" s="108" customFormat="1" hidden="1">
      <c r="A1763" s="108" t="str">
        <f t="shared" si="64"/>
        <v>ITUNIEUROAir Conditionersplit air conditionercondizionatore split</v>
      </c>
      <c r="B1763" s="109" t="str">
        <f t="shared" si="65"/>
        <v>IT_UNIEURO</v>
      </c>
      <c r="C1763" s="110" t="s">
        <v>271</v>
      </c>
      <c r="D1763" s="110" t="s">
        <v>275</v>
      </c>
      <c r="E1763" s="110" t="s">
        <v>2524</v>
      </c>
      <c r="F1763" s="110" t="s">
        <v>2422</v>
      </c>
      <c r="G1763" s="110" t="s">
        <v>3041</v>
      </c>
      <c r="H1763" s="93" t="e">
        <v>#N/A</v>
      </c>
      <c r="I1763" s="99">
        <v>46076</v>
      </c>
      <c r="J1763" s="83" t="s">
        <v>189</v>
      </c>
      <c r="K1763" s="110"/>
      <c r="L1763" s="110"/>
      <c r="M1763" s="110"/>
      <c r="N1763" s="110"/>
      <c r="O1763" s="110"/>
    </row>
    <row r="1764" spans="1:15" s="108" customFormat="1" hidden="1">
      <c r="A1764" s="108" t="str">
        <f t="shared" si="64"/>
        <v>ITUNIEUROAir Conditionersplit inverter air conditionerclimatizzatore split inverter</v>
      </c>
      <c r="B1764" s="109" t="str">
        <f t="shared" si="65"/>
        <v>IT_UNIEURO</v>
      </c>
      <c r="C1764" s="110" t="s">
        <v>271</v>
      </c>
      <c r="D1764" s="110" t="s">
        <v>275</v>
      </c>
      <c r="E1764" s="110" t="s">
        <v>2524</v>
      </c>
      <c r="F1764" s="110" t="s">
        <v>2423</v>
      </c>
      <c r="G1764" s="110" t="s">
        <v>3042</v>
      </c>
      <c r="H1764" s="93" t="e">
        <v>#N/A</v>
      </c>
      <c r="I1764" s="99">
        <v>46076</v>
      </c>
      <c r="J1764" s="83" t="s">
        <v>189</v>
      </c>
      <c r="K1764" s="110"/>
      <c r="L1764" s="110"/>
      <c r="M1764" s="110"/>
      <c r="N1764" s="110"/>
      <c r="O1764" s="110"/>
    </row>
    <row r="1765" spans="1:15" s="108" customFormat="1" hidden="1">
      <c r="A1765" s="108" t="str">
        <f t="shared" si="64"/>
        <v>ITUNIEUROAir Conditionerwindow air conditionercondizionatore da finestra</v>
      </c>
      <c r="B1765" s="109" t="str">
        <f t="shared" si="65"/>
        <v>IT_UNIEURO</v>
      </c>
      <c r="C1765" s="110" t="s">
        <v>271</v>
      </c>
      <c r="D1765" s="110" t="s">
        <v>275</v>
      </c>
      <c r="E1765" s="110" t="s">
        <v>2524</v>
      </c>
      <c r="F1765" s="110" t="s">
        <v>2350</v>
      </c>
      <c r="G1765" s="110" t="s">
        <v>3043</v>
      </c>
      <c r="H1765" s="93" t="e">
        <v>#N/A</v>
      </c>
      <c r="I1765" s="99">
        <v>46076</v>
      </c>
      <c r="J1765" s="83" t="s">
        <v>189</v>
      </c>
      <c r="K1765" s="110"/>
      <c r="L1765" s="110"/>
      <c r="M1765" s="110"/>
      <c r="N1765" s="110"/>
      <c r="O1765" s="110"/>
    </row>
    <row r="1766" spans="1:15" s="108" customFormat="1" hidden="1">
      <c r="A1766" s="108" t="str">
        <f t="shared" si="64"/>
        <v>ITUNIEUROAir Conditionerwindow inverter air conditionercondizionatore inverter da finestra</v>
      </c>
      <c r="B1766" s="109" t="str">
        <f t="shared" si="65"/>
        <v>IT_UNIEURO</v>
      </c>
      <c r="C1766" s="110" t="s">
        <v>271</v>
      </c>
      <c r="D1766" s="110" t="s">
        <v>275</v>
      </c>
      <c r="E1766" s="110" t="s">
        <v>2524</v>
      </c>
      <c r="F1766" s="110" t="s">
        <v>2424</v>
      </c>
      <c r="G1766" s="110" t="s">
        <v>3044</v>
      </c>
      <c r="H1766" s="93" t="e">
        <v>#N/A</v>
      </c>
      <c r="I1766" s="99">
        <v>46076</v>
      </c>
      <c r="J1766" s="83" t="s">
        <v>189</v>
      </c>
      <c r="K1766" s="110"/>
      <c r="L1766" s="110"/>
      <c r="M1766" s="110"/>
      <c r="N1766" s="110"/>
      <c r="O1766" s="110"/>
    </row>
    <row r="1767" spans="1:15" ht="17.399999999999999" hidden="1">
      <c r="A1767" s="75" t="str">
        <f t="shared" si="64"/>
        <v>JPAMAZONBluetooth Speakerbluetooth speakerブルートゥーススピーカー</v>
      </c>
      <c r="B1767" s="94" t="str">
        <f t="shared" si="65"/>
        <v>JP_AMAZON</v>
      </c>
      <c r="C1767" s="93" t="s">
        <v>307</v>
      </c>
      <c r="D1767" s="93" t="s">
        <v>262</v>
      </c>
      <c r="E1767" s="93" t="s">
        <v>2307</v>
      </c>
      <c r="F1767" s="93" t="s">
        <v>2657</v>
      </c>
      <c r="G1767" s="93" t="s">
        <v>3068</v>
      </c>
      <c r="H1767" s="93" t="e">
        <v>#N/A</v>
      </c>
      <c r="I1767" s="105" t="s">
        <v>2310</v>
      </c>
      <c r="J1767" s="93" t="s">
        <v>189</v>
      </c>
      <c r="K1767" s="93">
        <v>3511</v>
      </c>
      <c r="L1767" s="93" t="e">
        <v>#N/A</v>
      </c>
      <c r="M1767" s="93" t="s">
        <v>2311</v>
      </c>
      <c r="N1767" s="93">
        <f>VLOOKUP(B1767,'[16]01.수집 카테고리(List)'!$A$2:$H$64,8,FALSE)</f>
        <v>99991231</v>
      </c>
      <c r="O1767" s="93" t="s">
        <v>646</v>
      </c>
    </row>
    <row r="1768" spans="1:15" ht="17.399999999999999" hidden="1">
      <c r="A1768" s="75" t="str">
        <f t="shared" si="64"/>
        <v>JPAMAZONBluetooth Speakerportable speakerポータブルススピーカー</v>
      </c>
      <c r="B1768" s="94" t="str">
        <f t="shared" si="65"/>
        <v>JP_AMAZON</v>
      </c>
      <c r="C1768" s="93" t="s">
        <v>307</v>
      </c>
      <c r="D1768" s="93" t="s">
        <v>262</v>
      </c>
      <c r="E1768" s="93" t="s">
        <v>2307</v>
      </c>
      <c r="F1768" s="93" t="s">
        <v>2875</v>
      </c>
      <c r="G1768" s="93" t="s">
        <v>3069</v>
      </c>
      <c r="H1768" s="93" t="e">
        <v>#N/A</v>
      </c>
      <c r="I1768" s="105" t="s">
        <v>2310</v>
      </c>
      <c r="J1768" s="93" t="s">
        <v>189</v>
      </c>
      <c r="K1768" s="93">
        <v>3600</v>
      </c>
      <c r="L1768" s="93" t="e">
        <v>#N/A</v>
      </c>
      <c r="M1768" s="93" t="s">
        <v>2311</v>
      </c>
      <c r="N1768" s="93">
        <f>VLOOKUP(B1768,'[16]01.수집 카테고리(List)'!$A$2:$H$64,8,FALSE)</f>
        <v>99991231</v>
      </c>
      <c r="O1768" s="93" t="s">
        <v>646</v>
      </c>
    </row>
    <row r="1769" spans="1:15" ht="17.399999999999999" hidden="1">
      <c r="A1769" s="75" t="str">
        <f t="shared" si="64"/>
        <v>JPAMAZONBluetooth Speakerportable bluetooth speakerポータブルブルートゥーススピーカー</v>
      </c>
      <c r="B1769" s="94" t="str">
        <f t="shared" si="65"/>
        <v>JP_AMAZON</v>
      </c>
      <c r="C1769" s="93" t="s">
        <v>307</v>
      </c>
      <c r="D1769" s="93" t="s">
        <v>262</v>
      </c>
      <c r="E1769" s="93" t="s">
        <v>2307</v>
      </c>
      <c r="F1769" s="93" t="s">
        <v>3070</v>
      </c>
      <c r="G1769" s="93" t="s">
        <v>3071</v>
      </c>
      <c r="H1769" s="93" t="e">
        <v>#N/A</v>
      </c>
      <c r="I1769" s="105" t="s">
        <v>2310</v>
      </c>
      <c r="J1769" s="93" t="s">
        <v>189</v>
      </c>
      <c r="K1769" s="93">
        <v>3190</v>
      </c>
      <c r="L1769" s="93" t="e">
        <v>#N/A</v>
      </c>
      <c r="M1769" s="93" t="s">
        <v>2311</v>
      </c>
      <c r="N1769" s="93">
        <f>VLOOKUP(B1769,'[16]01.수집 카테고리(List)'!$A$2:$H$64,8,FALSE)</f>
        <v>99991231</v>
      </c>
      <c r="O1769" s="93" t="s">
        <v>646</v>
      </c>
    </row>
    <row r="1770" spans="1:15" ht="17.399999999999999" hidden="1">
      <c r="A1770" s="75" t="str">
        <f t="shared" si="64"/>
        <v>JPAMAZONBluetooth Speakerspeakersスピーカー</v>
      </c>
      <c r="B1770" s="94" t="str">
        <f t="shared" si="65"/>
        <v>JP_AMAZON</v>
      </c>
      <c r="C1770" s="93" t="s">
        <v>307</v>
      </c>
      <c r="D1770" s="93" t="s">
        <v>262</v>
      </c>
      <c r="E1770" s="93" t="s">
        <v>2307</v>
      </c>
      <c r="F1770" s="93" t="s">
        <v>2471</v>
      </c>
      <c r="G1770" s="93" t="s">
        <v>3072</v>
      </c>
      <c r="H1770" s="93" t="e">
        <v>#N/A</v>
      </c>
      <c r="I1770" s="105" t="s">
        <v>2310</v>
      </c>
      <c r="J1770" s="93" t="s">
        <v>189</v>
      </c>
      <c r="K1770" s="93">
        <v>140</v>
      </c>
      <c r="L1770" s="93" t="e">
        <v>#N/A</v>
      </c>
      <c r="M1770" s="93" t="s">
        <v>2311</v>
      </c>
      <c r="N1770" s="93">
        <f>VLOOKUP(B1770,'[16]01.수집 카테고리(List)'!$A$2:$H$64,8,FALSE)</f>
        <v>99991231</v>
      </c>
      <c r="O1770" s="93" t="s">
        <v>646</v>
      </c>
    </row>
    <row r="1771" spans="1:15" ht="17.399999999999999" hidden="1">
      <c r="A1771" s="75" t="str">
        <f t="shared" si="64"/>
        <v>JPAMAZONBluetooth Speakerbluetooth speaker portableブルートゥーススピーカー ポータブル</v>
      </c>
      <c r="B1771" s="94" t="str">
        <f t="shared" si="65"/>
        <v>JP_AMAZON</v>
      </c>
      <c r="C1771" s="93" t="s">
        <v>307</v>
      </c>
      <c r="D1771" s="93" t="s">
        <v>262</v>
      </c>
      <c r="E1771" s="93" t="s">
        <v>2307</v>
      </c>
      <c r="F1771" s="93" t="s">
        <v>2479</v>
      </c>
      <c r="G1771" s="93" t="s">
        <v>3073</v>
      </c>
      <c r="H1771" s="93" t="s">
        <v>3074</v>
      </c>
      <c r="I1771" s="105" t="s">
        <v>2310</v>
      </c>
      <c r="J1771" s="93" t="s">
        <v>189</v>
      </c>
      <c r="K1771" s="93">
        <v>35</v>
      </c>
      <c r="L1771" s="93" t="e">
        <v>#N/A</v>
      </c>
      <c r="M1771" s="93" t="s">
        <v>2311</v>
      </c>
      <c r="N1771" s="93">
        <f>VLOOKUP(B1771,'[16]01.수집 카테고리(List)'!$A$2:$H$64,8,FALSE)</f>
        <v>99991231</v>
      </c>
      <c r="O1771" s="93" t="s">
        <v>646</v>
      </c>
    </row>
    <row r="1772" spans="1:15" ht="17.399999999999999" hidden="1">
      <c r="A1772" s="75" t="str">
        <f t="shared" si="64"/>
        <v>JPAMAZONBluetooth Speakerportable speakersポータブルスピーカー</v>
      </c>
      <c r="B1772" s="94" t="str">
        <f t="shared" si="65"/>
        <v>JP_AMAZON</v>
      </c>
      <c r="C1772" s="93" t="s">
        <v>307</v>
      </c>
      <c r="D1772" s="93" t="s">
        <v>262</v>
      </c>
      <c r="E1772" s="93" t="s">
        <v>2307</v>
      </c>
      <c r="F1772" s="93" t="s">
        <v>2473</v>
      </c>
      <c r="G1772" s="93" t="s">
        <v>3075</v>
      </c>
      <c r="H1772" s="93" t="s">
        <v>3074</v>
      </c>
      <c r="I1772" s="105" t="s">
        <v>2310</v>
      </c>
      <c r="J1772" s="93" t="s">
        <v>189</v>
      </c>
      <c r="K1772" s="93">
        <v>72</v>
      </c>
      <c r="L1772" s="93" t="e">
        <v>#N/A</v>
      </c>
      <c r="M1772" s="93" t="s">
        <v>2311</v>
      </c>
      <c r="N1772" s="93">
        <f>VLOOKUP(B1772,'[16]01.수집 카테고리(List)'!$A$2:$H$64,8,FALSE)</f>
        <v>99991231</v>
      </c>
      <c r="O1772" s="93" t="s">
        <v>646</v>
      </c>
    </row>
    <row r="1773" spans="1:15" ht="17.399999999999999" hidden="1">
      <c r="A1773" s="75" t="str">
        <f t="shared" si="64"/>
        <v>JPAMAZONBluetooth SpeakerPortable bluetooth speakersポータブルブルートゥーススピーカー</v>
      </c>
      <c r="B1773" s="94" t="str">
        <f t="shared" si="65"/>
        <v>JP_AMAZON</v>
      </c>
      <c r="C1773" s="93" t="s">
        <v>307</v>
      </c>
      <c r="D1773" s="93" t="s">
        <v>262</v>
      </c>
      <c r="E1773" s="93" t="s">
        <v>2307</v>
      </c>
      <c r="F1773" s="93" t="s">
        <v>2426</v>
      </c>
      <c r="G1773" s="93" t="s">
        <v>3071</v>
      </c>
      <c r="H1773" s="93" t="e">
        <v>#N/A</v>
      </c>
      <c r="I1773" s="105" t="s">
        <v>2310</v>
      </c>
      <c r="J1773" s="93" t="s">
        <v>189</v>
      </c>
      <c r="K1773" s="93">
        <v>3190</v>
      </c>
      <c r="L1773" s="93" t="e">
        <v>#N/A</v>
      </c>
      <c r="M1773" s="93" t="s">
        <v>2311</v>
      </c>
      <c r="N1773" s="93">
        <f>VLOOKUP(B1773,'[16]01.수집 카테고리(List)'!$A$2:$H$64,8,FALSE)</f>
        <v>99991231</v>
      </c>
      <c r="O1773" s="93" t="s">
        <v>646</v>
      </c>
    </row>
    <row r="1774" spans="1:15" ht="17.399999999999999" hidden="1">
      <c r="A1774" s="75" t="str">
        <f t="shared" si="64"/>
        <v>JPAMAZONLaptop15inch Laptop１5インチ ノートパソコン</v>
      </c>
      <c r="B1774" s="94" t="str">
        <f t="shared" si="65"/>
        <v>JP_AMAZON</v>
      </c>
      <c r="C1774" s="93" t="s">
        <v>307</v>
      </c>
      <c r="D1774" s="93" t="s">
        <v>262</v>
      </c>
      <c r="E1774" s="93" t="s">
        <v>2407</v>
      </c>
      <c r="F1774" s="93" t="s">
        <v>2408</v>
      </c>
      <c r="G1774" s="93" t="s">
        <v>3076</v>
      </c>
      <c r="H1774" s="93" t="e">
        <v>#N/A</v>
      </c>
      <c r="I1774" s="105" t="s">
        <v>2310</v>
      </c>
      <c r="J1774" s="93" t="s">
        <v>189</v>
      </c>
      <c r="K1774" s="93">
        <v>10770</v>
      </c>
      <c r="L1774" s="93" t="e">
        <v>#N/A</v>
      </c>
      <c r="M1774" s="93" t="s">
        <v>2311</v>
      </c>
      <c r="N1774" s="93">
        <f>VLOOKUP(B1774,'[16]01.수집 카테고리(List)'!$A$2:$H$64,8,FALSE)</f>
        <v>99991231</v>
      </c>
      <c r="O1774" s="93" t="s">
        <v>646</v>
      </c>
    </row>
    <row r="1775" spans="1:15" ht="17.399999999999999" hidden="1">
      <c r="A1775" s="75" t="str">
        <f t="shared" si="64"/>
        <v>JPAMAZONLaptop17inch Laptop１７インチ ノートパソコン</v>
      </c>
      <c r="B1775" s="94" t="str">
        <f t="shared" si="65"/>
        <v>JP_AMAZON</v>
      </c>
      <c r="C1775" s="93" t="s">
        <v>307</v>
      </c>
      <c r="D1775" s="93" t="s">
        <v>262</v>
      </c>
      <c r="E1775" s="93" t="s">
        <v>2407</v>
      </c>
      <c r="F1775" s="93" t="s">
        <v>2409</v>
      </c>
      <c r="G1775" s="93" t="s">
        <v>3077</v>
      </c>
      <c r="H1775" s="93" t="e">
        <v>#N/A</v>
      </c>
      <c r="I1775" s="105" t="s">
        <v>2310</v>
      </c>
      <c r="J1775" s="93" t="s">
        <v>189</v>
      </c>
      <c r="K1775" s="93">
        <v>10004</v>
      </c>
      <c r="L1775" s="93" t="e">
        <v>#N/A</v>
      </c>
      <c r="M1775" s="93" t="s">
        <v>2311</v>
      </c>
      <c r="N1775" s="93">
        <f>VLOOKUP(B1775,'[16]01.수집 카테고리(List)'!$A$2:$H$64,8,FALSE)</f>
        <v>99991231</v>
      </c>
      <c r="O1775" s="93" t="s">
        <v>646</v>
      </c>
    </row>
    <row r="1776" spans="1:15" ht="17.399999999999999" hidden="1">
      <c r="A1776" s="75" t="str">
        <f t="shared" si="64"/>
        <v>JPAMAZONLaptopi7 laptopi7 ノートパソコン</v>
      </c>
      <c r="B1776" s="94" t="str">
        <f t="shared" si="65"/>
        <v>JP_AMAZON</v>
      </c>
      <c r="C1776" s="93" t="s">
        <v>307</v>
      </c>
      <c r="D1776" s="93" t="s">
        <v>262</v>
      </c>
      <c r="E1776" s="93" t="s">
        <v>2407</v>
      </c>
      <c r="F1776" s="93" t="s">
        <v>2410</v>
      </c>
      <c r="G1776" s="93" t="s">
        <v>3078</v>
      </c>
      <c r="H1776" s="93" t="e">
        <v>#N/A</v>
      </c>
      <c r="I1776" s="105" t="s">
        <v>2310</v>
      </c>
      <c r="J1776" s="93" t="s">
        <v>189</v>
      </c>
      <c r="K1776" s="93">
        <v>10175</v>
      </c>
      <c r="L1776" s="93" t="e">
        <v>#N/A</v>
      </c>
      <c r="M1776" s="93" t="s">
        <v>2311</v>
      </c>
      <c r="N1776" s="93">
        <f>VLOOKUP(B1776,'[16]01.수집 카테고리(List)'!$A$2:$H$64,8,FALSE)</f>
        <v>99991231</v>
      </c>
      <c r="O1776" s="93" t="s">
        <v>646</v>
      </c>
    </row>
    <row r="1777" spans="1:15" ht="17.399999999999999" hidden="1">
      <c r="A1777" s="75" t="str">
        <f t="shared" si="64"/>
        <v>JPAMAZONLaptopLaptopノートパソコン</v>
      </c>
      <c r="B1777" s="94" t="str">
        <f t="shared" si="65"/>
        <v>JP_AMAZON</v>
      </c>
      <c r="C1777" s="93" t="s">
        <v>307</v>
      </c>
      <c r="D1777" s="93" t="s">
        <v>262</v>
      </c>
      <c r="E1777" s="93" t="s">
        <v>2407</v>
      </c>
      <c r="F1777" s="93" t="s">
        <v>2407</v>
      </c>
      <c r="G1777" s="93" t="s">
        <v>3079</v>
      </c>
      <c r="H1777" s="93" t="e">
        <v>#N/A</v>
      </c>
      <c r="I1777" s="105" t="s">
        <v>2310</v>
      </c>
      <c r="J1777" s="93" t="s">
        <v>189</v>
      </c>
      <c r="K1777" s="93">
        <v>11577</v>
      </c>
      <c r="L1777" s="93" t="e">
        <v>#N/A</v>
      </c>
      <c r="M1777" s="93" t="s">
        <v>2311</v>
      </c>
      <c r="N1777" s="93">
        <f>VLOOKUP(B1777,'[16]01.수집 카테고리(List)'!$A$2:$H$64,8,FALSE)</f>
        <v>99991231</v>
      </c>
      <c r="O1777" s="93" t="s">
        <v>646</v>
      </c>
    </row>
    <row r="1778" spans="1:15" ht="17.399999999999999" hidden="1">
      <c r="A1778" s="75" t="str">
        <f t="shared" si="64"/>
        <v>JPAMAZONLaptopLightweight Laptop軽量 ノートパソコン</v>
      </c>
      <c r="B1778" s="94" t="str">
        <f t="shared" si="65"/>
        <v>JP_AMAZON</v>
      </c>
      <c r="C1778" s="93" t="s">
        <v>307</v>
      </c>
      <c r="D1778" s="93" t="s">
        <v>262</v>
      </c>
      <c r="E1778" s="93" t="s">
        <v>2407</v>
      </c>
      <c r="F1778" s="93" t="s">
        <v>2411</v>
      </c>
      <c r="G1778" s="93" t="s">
        <v>3080</v>
      </c>
      <c r="H1778" s="93" t="e">
        <v>#N/A</v>
      </c>
      <c r="I1778" s="105" t="s">
        <v>2310</v>
      </c>
      <c r="J1778" s="93" t="s">
        <v>189</v>
      </c>
      <c r="K1778" s="93">
        <v>10886</v>
      </c>
      <c r="L1778" s="93" t="e">
        <v>#N/A</v>
      </c>
      <c r="M1778" s="93" t="s">
        <v>2311</v>
      </c>
      <c r="N1778" s="93">
        <f>VLOOKUP(B1778,'[16]01.수집 카테고리(List)'!$A$2:$H$64,8,FALSE)</f>
        <v>99991231</v>
      </c>
      <c r="O1778" s="93" t="s">
        <v>646</v>
      </c>
    </row>
    <row r="1779" spans="1:15" ht="17.399999999999999" hidden="1">
      <c r="A1779" s="75" t="str">
        <f t="shared" si="64"/>
        <v>JPAMAZONMonitor4k monitor4Kモニター</v>
      </c>
      <c r="B1779" s="94" t="str">
        <f t="shared" si="65"/>
        <v>JP_AMAZON</v>
      </c>
      <c r="C1779" s="93" t="s">
        <v>307</v>
      </c>
      <c r="D1779" s="93" t="s">
        <v>262</v>
      </c>
      <c r="E1779" s="93" t="s">
        <v>2320</v>
      </c>
      <c r="F1779" s="93" t="s">
        <v>2321</v>
      </c>
      <c r="G1779" s="93" t="s">
        <v>3081</v>
      </c>
      <c r="H1779" s="93" t="e">
        <v>#N/A</v>
      </c>
      <c r="I1779" s="105" t="s">
        <v>2310</v>
      </c>
      <c r="J1779" s="93" t="s">
        <v>189</v>
      </c>
      <c r="K1779" s="93">
        <v>4362</v>
      </c>
      <c r="L1779" s="93" t="e">
        <v>#N/A</v>
      </c>
      <c r="M1779" s="93" t="s">
        <v>2311</v>
      </c>
      <c r="N1779" s="93">
        <f>VLOOKUP(B1779,'[16]01.수집 카테고리(List)'!$A$2:$H$64,8,FALSE)</f>
        <v>99991231</v>
      </c>
      <c r="O1779" s="93" t="s">
        <v>646</v>
      </c>
    </row>
    <row r="1780" spans="1:15" ht="17.399999999999999" hidden="1">
      <c r="A1780" s="75" t="str">
        <f t="shared" si="64"/>
        <v>JPAMAZONMonitorultrawide monitorウルトラワイドモニター</v>
      </c>
      <c r="B1780" s="94" t="str">
        <f t="shared" si="65"/>
        <v>JP_AMAZON</v>
      </c>
      <c r="C1780" s="93" t="s">
        <v>307</v>
      </c>
      <c r="D1780" s="93" t="s">
        <v>262</v>
      </c>
      <c r="E1780" s="93" t="s">
        <v>2320</v>
      </c>
      <c r="F1780" s="93" t="s">
        <v>2325</v>
      </c>
      <c r="G1780" s="93" t="s">
        <v>3082</v>
      </c>
      <c r="H1780" s="93" t="e">
        <v>#N/A</v>
      </c>
      <c r="I1780" s="105" t="s">
        <v>2310</v>
      </c>
      <c r="J1780" s="93" t="s">
        <v>189</v>
      </c>
      <c r="K1780" s="93">
        <v>4631</v>
      </c>
      <c r="L1780" s="93" t="e">
        <v>#N/A</v>
      </c>
      <c r="M1780" s="93" t="s">
        <v>2311</v>
      </c>
      <c r="N1780" s="93">
        <f>VLOOKUP(B1780,'[16]01.수집 카테고리(List)'!$A$2:$H$64,8,FALSE)</f>
        <v>99991231</v>
      </c>
      <c r="O1780" s="93" t="s">
        <v>646</v>
      </c>
    </row>
    <row r="1781" spans="1:15" ht="17.399999999999999" hidden="1">
      <c r="A1781" s="75" t="str">
        <f t="shared" si="64"/>
        <v>JPAMAZONMonitorgaming monitorゲーミングモニター</v>
      </c>
      <c r="B1781" s="94" t="str">
        <f t="shared" si="65"/>
        <v>JP_AMAZON</v>
      </c>
      <c r="C1781" s="93" t="s">
        <v>307</v>
      </c>
      <c r="D1781" s="93" t="s">
        <v>262</v>
      </c>
      <c r="E1781" s="93" t="s">
        <v>2320</v>
      </c>
      <c r="F1781" s="93" t="s">
        <v>2322</v>
      </c>
      <c r="G1781" s="93" t="s">
        <v>3083</v>
      </c>
      <c r="H1781" s="93" t="e">
        <v>#N/A</v>
      </c>
      <c r="I1781" s="105" t="s">
        <v>2310</v>
      </c>
      <c r="J1781" s="93" t="s">
        <v>189</v>
      </c>
      <c r="K1781" s="93">
        <v>4296</v>
      </c>
      <c r="L1781" s="93" t="e">
        <v>#N/A</v>
      </c>
      <c r="M1781" s="93" t="s">
        <v>2311</v>
      </c>
      <c r="N1781" s="93">
        <f>VLOOKUP(B1781,'[16]01.수집 카테고리(List)'!$A$2:$H$64,8,FALSE)</f>
        <v>99991231</v>
      </c>
      <c r="O1781" s="93" t="s">
        <v>646</v>
      </c>
    </row>
    <row r="1782" spans="1:15" ht="17.399999999999999" hidden="1">
      <c r="A1782" s="75" t="str">
        <f t="shared" si="64"/>
        <v>JPAMAZONMonitormonitorモニター</v>
      </c>
      <c r="B1782" s="94" t="str">
        <f t="shared" si="65"/>
        <v>JP_AMAZON</v>
      </c>
      <c r="C1782" s="93" t="s">
        <v>307</v>
      </c>
      <c r="D1782" s="93" t="s">
        <v>262</v>
      </c>
      <c r="E1782" s="93" t="s">
        <v>2320</v>
      </c>
      <c r="F1782" s="93" t="s">
        <v>2323</v>
      </c>
      <c r="G1782" s="93" t="s">
        <v>3084</v>
      </c>
      <c r="H1782" s="93" t="e">
        <v>#N/A</v>
      </c>
      <c r="I1782" s="105" t="s">
        <v>2310</v>
      </c>
      <c r="J1782" s="93" t="s">
        <v>189</v>
      </c>
      <c r="K1782" s="93">
        <v>5100</v>
      </c>
      <c r="L1782" s="93" t="e">
        <v>#N/A</v>
      </c>
      <c r="M1782" s="93" t="s">
        <v>2311</v>
      </c>
      <c r="N1782" s="93">
        <f>VLOOKUP(B1782,'[16]01.수집 카테고리(List)'!$A$2:$H$64,8,FALSE)</f>
        <v>99991231</v>
      </c>
      <c r="O1782" s="93" t="s">
        <v>646</v>
      </c>
    </row>
    <row r="1783" spans="1:15" ht="17.399999999999999" hidden="1">
      <c r="A1783" s="75" t="str">
        <f t="shared" si="64"/>
        <v>JPAMAZONREFRIGERATORside by side refrigeratorサイドバイサイド冷蔵庫</v>
      </c>
      <c r="B1783" s="94" t="str">
        <f t="shared" si="65"/>
        <v>JP_AMAZON</v>
      </c>
      <c r="C1783" s="93" t="s">
        <v>307</v>
      </c>
      <c r="D1783" s="93" t="s">
        <v>262</v>
      </c>
      <c r="E1783" s="93" t="s">
        <v>2387</v>
      </c>
      <c r="F1783" s="93" t="s">
        <v>2330</v>
      </c>
      <c r="G1783" s="93" t="s">
        <v>3085</v>
      </c>
      <c r="H1783" s="93" t="e">
        <v>#N/A</v>
      </c>
      <c r="I1783" s="105" t="s">
        <v>2310</v>
      </c>
      <c r="J1783" s="93" t="s">
        <v>189</v>
      </c>
      <c r="K1783" s="93">
        <v>3</v>
      </c>
      <c r="L1783" s="93" t="e">
        <v>#N/A</v>
      </c>
      <c r="M1783" s="93" t="s">
        <v>2311</v>
      </c>
      <c r="N1783" s="93">
        <f>VLOOKUP(B1783,'[16]01.수집 카테고리(List)'!$A$2:$H$64,8,FALSE)</f>
        <v>99991231</v>
      </c>
      <c r="O1783" s="93" t="s">
        <v>646</v>
      </c>
    </row>
    <row r="1784" spans="1:15" ht="17.399999999999999" hidden="1">
      <c r="A1784" s="75" t="str">
        <f t="shared" si="64"/>
        <v>JPAMAZONREFRIGERATORfrench door refrigeratorフレンチドア冷蔵庫</v>
      </c>
      <c r="B1784" s="94" t="str">
        <f t="shared" si="65"/>
        <v>JP_AMAZON</v>
      </c>
      <c r="C1784" s="93" t="s">
        <v>307</v>
      </c>
      <c r="D1784" s="93" t="s">
        <v>262</v>
      </c>
      <c r="E1784" s="93" t="s">
        <v>2387</v>
      </c>
      <c r="F1784" s="93" t="s">
        <v>2328</v>
      </c>
      <c r="G1784" s="93" t="s">
        <v>3086</v>
      </c>
      <c r="H1784" s="93" t="e">
        <v>#N/A</v>
      </c>
      <c r="I1784" s="105" t="s">
        <v>2310</v>
      </c>
      <c r="J1784" s="93" t="s">
        <v>189</v>
      </c>
      <c r="K1784" s="93">
        <v>68</v>
      </c>
      <c r="L1784" s="93" t="e">
        <v>#N/A</v>
      </c>
      <c r="M1784" s="93" t="s">
        <v>2311</v>
      </c>
      <c r="N1784" s="93">
        <f>VLOOKUP(B1784,'[16]01.수집 카테고리(List)'!$A$2:$H$64,8,FALSE)</f>
        <v>99991231</v>
      </c>
      <c r="O1784" s="93" t="s">
        <v>646</v>
      </c>
    </row>
    <row r="1785" spans="1:15" ht="17.399999999999999" hidden="1">
      <c r="A1785" s="75" t="str">
        <f t="shared" si="64"/>
        <v>JPAMAZONREFRIGERATORtop freezer refrigerator冷凍室上側冷蔵庫</v>
      </c>
      <c r="B1785" s="94" t="str">
        <f t="shared" si="65"/>
        <v>JP_AMAZON</v>
      </c>
      <c r="C1785" s="93" t="s">
        <v>307</v>
      </c>
      <c r="D1785" s="93" t="s">
        <v>262</v>
      </c>
      <c r="E1785" s="93" t="s">
        <v>2387</v>
      </c>
      <c r="F1785" s="93" t="s">
        <v>2332</v>
      </c>
      <c r="G1785" s="93" t="s">
        <v>3087</v>
      </c>
      <c r="H1785" s="93" t="e">
        <v>#N/A</v>
      </c>
      <c r="I1785" s="105" t="s">
        <v>2310</v>
      </c>
      <c r="J1785" s="93" t="s">
        <v>189</v>
      </c>
      <c r="K1785" s="93">
        <v>118</v>
      </c>
      <c r="L1785" s="93" t="e">
        <v>#N/A</v>
      </c>
      <c r="M1785" s="93" t="s">
        <v>2311</v>
      </c>
      <c r="N1785" s="93">
        <f>VLOOKUP(B1785,'[16]01.수집 카테고리(List)'!$A$2:$H$64,8,FALSE)</f>
        <v>99991231</v>
      </c>
      <c r="O1785" s="93" t="s">
        <v>646</v>
      </c>
    </row>
    <row r="1786" spans="1:15" ht="17.399999999999999" hidden="1">
      <c r="A1786" s="75" t="str">
        <f t="shared" si="64"/>
        <v>JPAMAZONREFRIGERATORbottom freezer refrigerator冷凍室下側冷蔵庫</v>
      </c>
      <c r="B1786" s="94" t="str">
        <f t="shared" si="65"/>
        <v>JP_AMAZON</v>
      </c>
      <c r="C1786" s="93" t="s">
        <v>307</v>
      </c>
      <c r="D1786" s="93" t="s">
        <v>262</v>
      </c>
      <c r="E1786" s="93" t="s">
        <v>2387</v>
      </c>
      <c r="F1786" s="93" t="s">
        <v>2327</v>
      </c>
      <c r="G1786" s="93" t="s">
        <v>3088</v>
      </c>
      <c r="H1786" s="93" t="e">
        <v>#N/A</v>
      </c>
      <c r="I1786" s="105" t="s">
        <v>2310</v>
      </c>
      <c r="J1786" s="93" t="s">
        <v>189</v>
      </c>
      <c r="K1786" s="93">
        <v>57</v>
      </c>
      <c r="L1786" s="93" t="e">
        <v>#N/A</v>
      </c>
      <c r="M1786" s="93" t="s">
        <v>2311</v>
      </c>
      <c r="N1786" s="93">
        <f>VLOOKUP(B1786,'[16]01.수집 카테고리(List)'!$A$2:$H$64,8,FALSE)</f>
        <v>99991231</v>
      </c>
      <c r="O1786" s="93" t="s">
        <v>646</v>
      </c>
    </row>
    <row r="1787" spans="1:15" ht="17.399999999999999" hidden="1">
      <c r="A1787" s="75" t="str">
        <f t="shared" si="64"/>
        <v>JPAMAZONREFRIGERATORrefrigerator冷蔵庫</v>
      </c>
      <c r="B1787" s="94" t="str">
        <f t="shared" si="65"/>
        <v>JP_AMAZON</v>
      </c>
      <c r="C1787" s="93" t="s">
        <v>307</v>
      </c>
      <c r="D1787" s="93" t="s">
        <v>262</v>
      </c>
      <c r="E1787" s="93" t="s">
        <v>2387</v>
      </c>
      <c r="F1787" s="93" t="s">
        <v>2329</v>
      </c>
      <c r="G1787" s="93" t="s">
        <v>3089</v>
      </c>
      <c r="H1787" s="93" t="e">
        <v>#N/A</v>
      </c>
      <c r="I1787" s="105" t="s">
        <v>2310</v>
      </c>
      <c r="J1787" s="93" t="s">
        <v>189</v>
      </c>
      <c r="K1787" s="93">
        <v>838</v>
      </c>
      <c r="L1787" s="93" t="e">
        <v>#N/A</v>
      </c>
      <c r="M1787" s="93" t="s">
        <v>2311</v>
      </c>
      <c r="N1787" s="93">
        <f>VLOOKUP(B1787,'[16]01.수집 카테고리(List)'!$A$2:$H$64,8,FALSE)</f>
        <v>99991231</v>
      </c>
      <c r="O1787" s="93" t="s">
        <v>646</v>
      </c>
    </row>
    <row r="1788" spans="1:15" ht="17.399999999999999" hidden="1">
      <c r="A1788" s="75" t="str">
        <f t="shared" si="64"/>
        <v>JPAMAZONSOUNDBARTV Sound Bartv サウンド バー</v>
      </c>
      <c r="B1788" s="94" t="str">
        <f t="shared" si="65"/>
        <v>JP_AMAZON</v>
      </c>
      <c r="C1788" s="93" t="s">
        <v>307</v>
      </c>
      <c r="D1788" s="93" t="s">
        <v>262</v>
      </c>
      <c r="E1788" s="93" t="s">
        <v>165</v>
      </c>
      <c r="F1788" s="93" t="s">
        <v>3090</v>
      </c>
      <c r="G1788" s="93" t="s">
        <v>3091</v>
      </c>
      <c r="H1788" s="93" t="e">
        <v>#N/A</v>
      </c>
      <c r="I1788" s="105" t="s">
        <v>2310</v>
      </c>
      <c r="J1788" s="93" t="s">
        <v>189</v>
      </c>
      <c r="K1788" s="93">
        <v>2789</v>
      </c>
      <c r="L1788" s="93" t="e">
        <v>#N/A</v>
      </c>
      <c r="M1788" s="93" t="s">
        <v>2311</v>
      </c>
      <c r="N1788" s="93">
        <f>VLOOKUP(B1788,'[16]01.수집 카테고리(List)'!$A$2:$H$64,8,FALSE)</f>
        <v>99991231</v>
      </c>
      <c r="O1788" s="93" t="s">
        <v>646</v>
      </c>
    </row>
    <row r="1789" spans="1:15" ht="17.399999999999999" hidden="1">
      <c r="A1789" s="75" t="str">
        <f t="shared" si="64"/>
        <v>JPAMAZONSOUNDBARSound Barサウンドバー</v>
      </c>
      <c r="B1789" s="94" t="str">
        <f t="shared" si="65"/>
        <v>JP_AMAZON</v>
      </c>
      <c r="C1789" s="93" t="s">
        <v>307</v>
      </c>
      <c r="D1789" s="93" t="s">
        <v>262</v>
      </c>
      <c r="E1789" s="93" t="s">
        <v>165</v>
      </c>
      <c r="F1789" s="93" t="s">
        <v>2488</v>
      </c>
      <c r="G1789" s="93" t="s">
        <v>3092</v>
      </c>
      <c r="H1789" s="93" t="e">
        <v>#N/A</v>
      </c>
      <c r="I1789" s="105" t="s">
        <v>2310</v>
      </c>
      <c r="J1789" s="93" t="s">
        <v>189</v>
      </c>
      <c r="K1789" s="93">
        <v>3788</v>
      </c>
      <c r="L1789" s="93" t="e">
        <v>#N/A</v>
      </c>
      <c r="M1789" s="93" t="s">
        <v>2311</v>
      </c>
      <c r="N1789" s="93">
        <f>VLOOKUP(B1789,'[16]01.수집 카테고리(List)'!$A$2:$H$64,8,FALSE)</f>
        <v>99991231</v>
      </c>
      <c r="O1789" s="93" t="s">
        <v>646</v>
      </c>
    </row>
    <row r="1790" spans="1:15" ht="17.399999999999999" hidden="1">
      <c r="A1790" s="75" t="str">
        <f t="shared" si="64"/>
        <v>JPAMAZONSOUNDBARSound Bar recommendationサウンドバー おすすめ</v>
      </c>
      <c r="B1790" s="94" t="str">
        <f t="shared" si="65"/>
        <v>JP_AMAZON</v>
      </c>
      <c r="C1790" s="93" t="s">
        <v>307</v>
      </c>
      <c r="D1790" s="93" t="s">
        <v>262</v>
      </c>
      <c r="E1790" s="93" t="s">
        <v>165</v>
      </c>
      <c r="F1790" s="93" t="s">
        <v>3093</v>
      </c>
      <c r="G1790" s="93" t="s">
        <v>3094</v>
      </c>
      <c r="H1790" s="93" t="e">
        <v>#N/A</v>
      </c>
      <c r="I1790" s="105" t="s">
        <v>2310</v>
      </c>
      <c r="J1790" s="93" t="s">
        <v>189</v>
      </c>
      <c r="K1790" s="93">
        <v>3741</v>
      </c>
      <c r="L1790" s="93" t="e">
        <v>#N/A</v>
      </c>
      <c r="M1790" s="93" t="s">
        <v>2311</v>
      </c>
      <c r="N1790" s="93">
        <f>VLOOKUP(B1790,'[16]01.수집 카테고리(List)'!$A$2:$H$64,8,FALSE)</f>
        <v>99991231</v>
      </c>
      <c r="O1790" s="93" t="s">
        <v>646</v>
      </c>
    </row>
    <row r="1791" spans="1:15" ht="17.399999999999999" hidden="1">
      <c r="A1791" s="75" t="str">
        <f t="shared" ref="A1791:A1854" si="66">C1791&amp;D1791&amp;E1791&amp;F1791&amp;G1791</f>
        <v>JPAMAZONSOUNDBARSound Bar comparisionサウンドバー 比較</v>
      </c>
      <c r="B1791" s="94" t="str">
        <f t="shared" ref="B1791:B1854" si="67">C1791&amp;"_"&amp;D1791</f>
        <v>JP_AMAZON</v>
      </c>
      <c r="C1791" s="93" t="s">
        <v>307</v>
      </c>
      <c r="D1791" s="93" t="s">
        <v>262</v>
      </c>
      <c r="E1791" s="93" t="s">
        <v>165</v>
      </c>
      <c r="F1791" s="93" t="s">
        <v>3095</v>
      </c>
      <c r="G1791" s="93" t="s">
        <v>3096</v>
      </c>
      <c r="H1791" s="93" t="e">
        <v>#N/A</v>
      </c>
      <c r="I1791" s="105" t="s">
        <v>2310</v>
      </c>
      <c r="J1791" s="93" t="s">
        <v>189</v>
      </c>
      <c r="K1791" s="93">
        <v>3035</v>
      </c>
      <c r="L1791" s="93" t="e">
        <v>#N/A</v>
      </c>
      <c r="M1791" s="93" t="s">
        <v>2311</v>
      </c>
      <c r="N1791" s="93">
        <f>VLOOKUP(B1791,'[16]01.수집 카테고리(List)'!$A$2:$H$64,8,FALSE)</f>
        <v>99991231</v>
      </c>
      <c r="O1791" s="93" t="s">
        <v>646</v>
      </c>
    </row>
    <row r="1792" spans="1:15" ht="17.399999999999999" hidden="1">
      <c r="A1792" s="75" t="str">
        <f t="shared" si="66"/>
        <v>JPAMAZONSOUNDBARPopular Sound Barサウンドバー 人気</v>
      </c>
      <c r="B1792" s="94" t="str">
        <f t="shared" si="67"/>
        <v>JP_AMAZON</v>
      </c>
      <c r="C1792" s="93" t="s">
        <v>307</v>
      </c>
      <c r="D1792" s="93" t="s">
        <v>262</v>
      </c>
      <c r="E1792" s="93" t="s">
        <v>165</v>
      </c>
      <c r="F1792" s="93" t="s">
        <v>3097</v>
      </c>
      <c r="G1792" s="93" t="s">
        <v>3098</v>
      </c>
      <c r="H1792" s="93" t="e">
        <v>#N/A</v>
      </c>
      <c r="I1792" s="105" t="s">
        <v>2310</v>
      </c>
      <c r="J1792" s="93" t="s">
        <v>189</v>
      </c>
      <c r="K1792" s="93">
        <v>3234</v>
      </c>
      <c r="L1792" s="93" t="e">
        <v>#N/A</v>
      </c>
      <c r="M1792" s="93" t="s">
        <v>2311</v>
      </c>
      <c r="N1792" s="93">
        <f>VLOOKUP(B1792,'[16]01.수집 카테고리(List)'!$A$2:$H$64,8,FALSE)</f>
        <v>99991231</v>
      </c>
      <c r="O1792" s="93" t="s">
        <v>646</v>
      </c>
    </row>
    <row r="1793" spans="1:15" hidden="1">
      <c r="A1793" s="75" t="str">
        <f t="shared" si="66"/>
        <v>JPAMAZONTV4k TV4Kテレビ</v>
      </c>
      <c r="B1793" s="94" t="str">
        <f t="shared" si="67"/>
        <v>JP_AMAZON</v>
      </c>
      <c r="C1793" s="93" t="s">
        <v>307</v>
      </c>
      <c r="D1793" s="93" t="s">
        <v>262</v>
      </c>
      <c r="E1793" s="93" t="s">
        <v>161</v>
      </c>
      <c r="F1793" s="93" t="s">
        <v>2368</v>
      </c>
      <c r="G1793" s="93" t="s">
        <v>3099</v>
      </c>
      <c r="H1793" s="93" t="e">
        <v>#N/A</v>
      </c>
      <c r="I1793" s="105" t="s">
        <v>2310</v>
      </c>
      <c r="J1793" s="93" t="s">
        <v>189</v>
      </c>
      <c r="K1793" s="93">
        <v>5290</v>
      </c>
      <c r="L1793" s="93" t="e">
        <v>#N/A</v>
      </c>
      <c r="M1793" s="93" t="s">
        <v>2311</v>
      </c>
      <c r="N1793" s="93">
        <f>VLOOKUP(B1793,'[16]01.수집 카테고리(List)'!$A$2:$H$64,8,FALSE)</f>
        <v>99991231</v>
      </c>
      <c r="O1793" s="93" t="s">
        <v>646</v>
      </c>
    </row>
    <row r="1794" spans="1:15" hidden="1">
      <c r="A1794" s="75" t="str">
        <f t="shared" si="66"/>
        <v>JPAMAZONTVuhd TVUHDテレビ</v>
      </c>
      <c r="B1794" s="94" t="str">
        <f t="shared" si="67"/>
        <v>JP_AMAZON</v>
      </c>
      <c r="C1794" s="93" t="s">
        <v>307</v>
      </c>
      <c r="D1794" s="93" t="s">
        <v>262</v>
      </c>
      <c r="E1794" s="93" t="s">
        <v>161</v>
      </c>
      <c r="F1794" s="93" t="s">
        <v>2399</v>
      </c>
      <c r="G1794" s="93" t="s">
        <v>3100</v>
      </c>
      <c r="H1794" s="93" t="e">
        <v>#N/A</v>
      </c>
      <c r="I1794" s="105" t="s">
        <v>2310</v>
      </c>
      <c r="J1794" s="93" t="s">
        <v>189</v>
      </c>
      <c r="K1794" s="93">
        <v>1419</v>
      </c>
      <c r="L1794" s="93" t="e">
        <v>#N/A</v>
      </c>
      <c r="M1794" s="93" t="s">
        <v>2311</v>
      </c>
      <c r="N1794" s="93">
        <f>VLOOKUP(B1794,'[16]01.수집 카테고리(List)'!$A$2:$H$64,8,FALSE)</f>
        <v>99991231</v>
      </c>
      <c r="O1794" s="93" t="s">
        <v>646</v>
      </c>
    </row>
    <row r="1795" spans="1:15" ht="17.399999999999999" hidden="1">
      <c r="A1795" s="75" t="str">
        <f t="shared" si="66"/>
        <v>JPAMAZONTVsmart TVスマートテレビ</v>
      </c>
      <c r="B1795" s="94" t="str">
        <f t="shared" si="67"/>
        <v>JP_AMAZON</v>
      </c>
      <c r="C1795" s="93" t="s">
        <v>307</v>
      </c>
      <c r="D1795" s="93" t="s">
        <v>262</v>
      </c>
      <c r="E1795" s="93" t="s">
        <v>161</v>
      </c>
      <c r="F1795" s="93" t="s">
        <v>2371</v>
      </c>
      <c r="G1795" s="93" t="s">
        <v>3101</v>
      </c>
      <c r="H1795" s="93" t="e">
        <v>#N/A</v>
      </c>
      <c r="I1795" s="105" t="s">
        <v>2310</v>
      </c>
      <c r="J1795" s="93" t="s">
        <v>189</v>
      </c>
      <c r="K1795" s="93">
        <v>6103</v>
      </c>
      <c r="L1795" s="93" t="e">
        <v>#N/A</v>
      </c>
      <c r="M1795" s="93" t="s">
        <v>2311</v>
      </c>
      <c r="N1795" s="93">
        <f>VLOOKUP(B1795,'[16]01.수집 카테고리(List)'!$A$2:$H$64,8,FALSE)</f>
        <v>99991231</v>
      </c>
      <c r="O1795" s="93" t="s">
        <v>646</v>
      </c>
    </row>
    <row r="1796" spans="1:15" hidden="1">
      <c r="A1796" s="75" t="str">
        <f t="shared" si="66"/>
        <v>JPAMAZONTVTVテレビ</v>
      </c>
      <c r="B1796" s="94" t="str">
        <f t="shared" si="67"/>
        <v>JP_AMAZON</v>
      </c>
      <c r="C1796" s="93" t="s">
        <v>307</v>
      </c>
      <c r="D1796" s="93" t="s">
        <v>262</v>
      </c>
      <c r="E1796" s="93" t="s">
        <v>161</v>
      </c>
      <c r="F1796" s="93" t="s">
        <v>161</v>
      </c>
      <c r="G1796" s="93" t="s">
        <v>3102</v>
      </c>
      <c r="H1796" s="93" t="e">
        <v>#N/A</v>
      </c>
      <c r="I1796" s="105" t="s">
        <v>2310</v>
      </c>
      <c r="J1796" s="93" t="s">
        <v>189</v>
      </c>
      <c r="K1796" s="93">
        <v>5512</v>
      </c>
      <c r="L1796" s="93" t="e">
        <v>#N/A</v>
      </c>
      <c r="M1796" s="93" t="s">
        <v>2311</v>
      </c>
      <c r="N1796" s="93">
        <f>VLOOKUP(B1796,'[16]01.수집 카테고리(List)'!$A$2:$H$64,8,FALSE)</f>
        <v>99991231</v>
      </c>
      <c r="O1796" s="93" t="s">
        <v>646</v>
      </c>
    </row>
    <row r="1797" spans="1:15" hidden="1">
      <c r="A1797" s="75" t="str">
        <f t="shared" si="66"/>
        <v>JPAMAZONTVoled TV有機ELテレビ</v>
      </c>
      <c r="B1797" s="94" t="str">
        <f t="shared" si="67"/>
        <v>JP_AMAZON</v>
      </c>
      <c r="C1797" s="93" t="s">
        <v>307</v>
      </c>
      <c r="D1797" s="93" t="s">
        <v>262</v>
      </c>
      <c r="E1797" s="93" t="s">
        <v>161</v>
      </c>
      <c r="F1797" s="93" t="s">
        <v>2369</v>
      </c>
      <c r="G1797" s="93" t="s">
        <v>3103</v>
      </c>
      <c r="H1797" s="93" t="e">
        <v>#N/A</v>
      </c>
      <c r="I1797" s="105" t="s">
        <v>2310</v>
      </c>
      <c r="J1797" s="93" t="s">
        <v>189</v>
      </c>
      <c r="K1797" s="93">
        <v>1562</v>
      </c>
      <c r="L1797" s="93" t="e">
        <v>#N/A</v>
      </c>
      <c r="M1797" s="93" t="s">
        <v>2311</v>
      </c>
      <c r="N1797" s="93">
        <f>VLOOKUP(B1797,'[16]01.수집 카테고리(List)'!$A$2:$H$64,8,FALSE)</f>
        <v>99991231</v>
      </c>
      <c r="O1797" s="93" t="s">
        <v>646</v>
      </c>
    </row>
    <row r="1798" spans="1:15" hidden="1">
      <c r="A1798" s="75" t="str">
        <f t="shared" si="66"/>
        <v>JPAMAZONWASHING MACHINEtop load washer上面洗濯機</v>
      </c>
      <c r="B1798" s="94" t="str">
        <f t="shared" si="67"/>
        <v>JP_AMAZON</v>
      </c>
      <c r="C1798" s="93" t="s">
        <v>307</v>
      </c>
      <c r="D1798" s="93" t="s">
        <v>262</v>
      </c>
      <c r="E1798" s="93" t="s">
        <v>2401</v>
      </c>
      <c r="F1798" s="93" t="s">
        <v>2337</v>
      </c>
      <c r="G1798" s="93" t="s">
        <v>3104</v>
      </c>
      <c r="H1798" s="93" t="e">
        <v>#N/A</v>
      </c>
      <c r="I1798" s="105" t="s">
        <v>2310</v>
      </c>
      <c r="J1798" s="93" t="s">
        <v>189</v>
      </c>
      <c r="K1798" s="93">
        <v>9</v>
      </c>
      <c r="L1798" s="93" t="e">
        <v>#N/A</v>
      </c>
      <c r="M1798" s="93" t="s">
        <v>2311</v>
      </c>
      <c r="N1798" s="93">
        <f>VLOOKUP(B1798,'[16]01.수집 카테고리(List)'!$A$2:$H$64,8,FALSE)</f>
        <v>99991231</v>
      </c>
      <c r="O1798" s="93" t="s">
        <v>646</v>
      </c>
    </row>
    <row r="1799" spans="1:15" hidden="1">
      <c r="A1799" s="75" t="str">
        <f t="shared" si="66"/>
        <v>JPAMAZONWASHING MACHINEwasher dryer combo洗濯乾燥機 コンボ</v>
      </c>
      <c r="B1799" s="94" t="str">
        <f t="shared" si="67"/>
        <v>JP_AMAZON</v>
      </c>
      <c r="C1799" s="93" t="s">
        <v>307</v>
      </c>
      <c r="D1799" s="93" t="s">
        <v>262</v>
      </c>
      <c r="E1799" s="93" t="s">
        <v>2401</v>
      </c>
      <c r="F1799" s="93" t="s">
        <v>2338</v>
      </c>
      <c r="G1799" s="93" t="s">
        <v>3105</v>
      </c>
      <c r="H1799" s="93" t="e">
        <v>#N/A</v>
      </c>
      <c r="I1799" s="105" t="s">
        <v>2310</v>
      </c>
      <c r="J1799" s="93" t="s">
        <v>189</v>
      </c>
      <c r="K1799" s="93">
        <v>62</v>
      </c>
      <c r="L1799" s="93" t="e">
        <v>#N/A</v>
      </c>
      <c r="M1799" s="93" t="s">
        <v>2311</v>
      </c>
      <c r="N1799" s="93">
        <f>VLOOKUP(B1799,'[16]01.수집 카테고리(List)'!$A$2:$H$64,8,FALSE)</f>
        <v>99991231</v>
      </c>
      <c r="O1799" s="93" t="s">
        <v>646</v>
      </c>
    </row>
    <row r="1800" spans="1:15" hidden="1">
      <c r="A1800" s="75" t="str">
        <f t="shared" si="66"/>
        <v>JPAMAZONWASHING MACHINEwashing machine洗濯機</v>
      </c>
      <c r="B1800" s="94" t="str">
        <f t="shared" si="67"/>
        <v>JP_AMAZON</v>
      </c>
      <c r="C1800" s="93" t="s">
        <v>307</v>
      </c>
      <c r="D1800" s="93" t="s">
        <v>262</v>
      </c>
      <c r="E1800" s="93" t="s">
        <v>2401</v>
      </c>
      <c r="F1800" s="93" t="s">
        <v>2340</v>
      </c>
      <c r="G1800" s="93" t="s">
        <v>3106</v>
      </c>
      <c r="H1800" s="93" t="e">
        <v>#N/A</v>
      </c>
      <c r="I1800" s="105" t="s">
        <v>2310</v>
      </c>
      <c r="J1800" s="93" t="s">
        <v>189</v>
      </c>
      <c r="K1800" s="93">
        <v>1195</v>
      </c>
      <c r="L1800" s="93" t="e">
        <v>#N/A</v>
      </c>
      <c r="M1800" s="93" t="s">
        <v>2311</v>
      </c>
      <c r="N1800" s="93">
        <f>VLOOKUP(B1800,'[16]01.수집 카테고리(List)'!$A$2:$H$64,8,FALSE)</f>
        <v>99991231</v>
      </c>
      <c r="O1800" s="93" t="s">
        <v>646</v>
      </c>
    </row>
    <row r="1801" spans="1:15" hidden="1">
      <c r="A1801" s="75" t="str">
        <f t="shared" si="66"/>
        <v>JPAMAZONWASHING MACHINEfront load washer前面洗濯機</v>
      </c>
      <c r="B1801" s="94" t="str">
        <f t="shared" si="67"/>
        <v>JP_AMAZON</v>
      </c>
      <c r="C1801" s="93" t="s">
        <v>307</v>
      </c>
      <c r="D1801" s="93" t="s">
        <v>262</v>
      </c>
      <c r="E1801" s="93" t="s">
        <v>2401</v>
      </c>
      <c r="F1801" s="93" t="s">
        <v>2335</v>
      </c>
      <c r="G1801" s="93" t="s">
        <v>3107</v>
      </c>
      <c r="H1801" s="93" t="e">
        <v>#N/A</v>
      </c>
      <c r="I1801" s="105" t="s">
        <v>2310</v>
      </c>
      <c r="J1801" s="93" t="s">
        <v>189</v>
      </c>
      <c r="K1801" s="93">
        <v>411</v>
      </c>
      <c r="L1801" s="93" t="e">
        <v>#N/A</v>
      </c>
      <c r="M1801" s="93" t="s">
        <v>2311</v>
      </c>
      <c r="N1801" s="93">
        <f>VLOOKUP(B1801,'[16]01.수집 카테고리(List)'!$A$2:$H$64,8,FALSE)</f>
        <v>99991231</v>
      </c>
      <c r="O1801" s="93" t="s">
        <v>646</v>
      </c>
    </row>
    <row r="1802" spans="1:15" ht="17.399999999999999" hidden="1">
      <c r="A1802" s="75" t="str">
        <f t="shared" si="66"/>
        <v>JPAMAZONWireless Headsetbluetooth Earphoneブルートゥースイヤホン</v>
      </c>
      <c r="B1802" s="94" t="str">
        <f t="shared" si="67"/>
        <v>JP_AMAZON</v>
      </c>
      <c r="C1802" s="93" t="s">
        <v>307</v>
      </c>
      <c r="D1802" s="93" t="s">
        <v>262</v>
      </c>
      <c r="E1802" s="93" t="s">
        <v>2373</v>
      </c>
      <c r="F1802" s="93" t="s">
        <v>3108</v>
      </c>
      <c r="G1802" s="93" t="s">
        <v>3109</v>
      </c>
      <c r="H1802" s="93" t="e">
        <v>#N/A</v>
      </c>
      <c r="I1802" s="105" t="s">
        <v>2310</v>
      </c>
      <c r="J1802" s="93" t="s">
        <v>189</v>
      </c>
      <c r="K1802" s="93">
        <v>3959</v>
      </c>
      <c r="L1802" s="93" t="e">
        <v>#N/A</v>
      </c>
      <c r="M1802" s="93" t="s">
        <v>2311</v>
      </c>
      <c r="N1802" s="93">
        <f>VLOOKUP(B1802,'[16]01.수집 카테고리(List)'!$A$2:$H$64,8,FALSE)</f>
        <v>99991231</v>
      </c>
      <c r="O1802" s="93" t="s">
        <v>646</v>
      </c>
    </row>
    <row r="1803" spans="1:15" hidden="1">
      <c r="A1803" s="75" t="str">
        <f t="shared" si="66"/>
        <v>JPAMAZONWireless HeadsetWireless Earbudsワイヤレスイヤホン</v>
      </c>
      <c r="B1803" s="94" t="str">
        <f t="shared" si="67"/>
        <v>JP_AMAZON</v>
      </c>
      <c r="C1803" s="93" t="s">
        <v>307</v>
      </c>
      <c r="D1803" s="93" t="s">
        <v>262</v>
      </c>
      <c r="E1803" s="93" t="s">
        <v>2373</v>
      </c>
      <c r="F1803" s="93" t="s">
        <v>2760</v>
      </c>
      <c r="G1803" s="93" t="s">
        <v>3110</v>
      </c>
      <c r="H1803" s="93" t="e">
        <v>#N/A</v>
      </c>
      <c r="I1803" s="105" t="s">
        <v>2310</v>
      </c>
      <c r="J1803" s="93" t="s">
        <v>189</v>
      </c>
      <c r="K1803" s="93">
        <v>4576</v>
      </c>
      <c r="L1803" s="93" t="e">
        <v>#N/A</v>
      </c>
      <c r="M1803" s="93" t="s">
        <v>2311</v>
      </c>
      <c r="N1803" s="93">
        <f>VLOOKUP(B1803,'[16]01.수집 카테고리(List)'!$A$2:$H$64,8,FALSE)</f>
        <v>99991231</v>
      </c>
      <c r="O1803" s="93" t="s">
        <v>646</v>
      </c>
    </row>
    <row r="1804" spans="1:15" hidden="1">
      <c r="A1804" s="75" t="str">
        <f t="shared" si="66"/>
        <v>JPAMAZONWireless HeadsetTrue Wireless Earbuds完全ワイヤレスイヤホン</v>
      </c>
      <c r="B1804" s="94" t="str">
        <f t="shared" si="67"/>
        <v>JP_AMAZON</v>
      </c>
      <c r="C1804" s="93" t="s">
        <v>307</v>
      </c>
      <c r="D1804" s="93" t="s">
        <v>262</v>
      </c>
      <c r="E1804" s="93" t="s">
        <v>2373</v>
      </c>
      <c r="F1804" s="93" t="s">
        <v>3023</v>
      </c>
      <c r="G1804" s="93" t="s">
        <v>3111</v>
      </c>
      <c r="H1804" s="93" t="e">
        <v>#N/A</v>
      </c>
      <c r="I1804" s="105" t="s">
        <v>2310</v>
      </c>
      <c r="J1804" s="93" t="s">
        <v>189</v>
      </c>
      <c r="K1804" s="93">
        <v>4899</v>
      </c>
      <c r="L1804" s="93" t="e">
        <v>#N/A</v>
      </c>
      <c r="M1804" s="93" t="s">
        <v>2311</v>
      </c>
      <c r="N1804" s="93">
        <f>VLOOKUP(B1804,'[16]01.수집 카테고리(List)'!$A$2:$H$64,8,FALSE)</f>
        <v>99991231</v>
      </c>
      <c r="O1804" s="93" t="s">
        <v>646</v>
      </c>
    </row>
    <row r="1805" spans="1:15" s="108" customFormat="1" hidden="1">
      <c r="A1805" s="108" t="str">
        <f t="shared" si="66"/>
        <v>JPAMAZONAir Conditionerair conditionerエアコン</v>
      </c>
      <c r="B1805" s="109" t="str">
        <f t="shared" si="67"/>
        <v>JP_AMAZON</v>
      </c>
      <c r="C1805" s="110" t="s">
        <v>307</v>
      </c>
      <c r="D1805" s="110" t="s">
        <v>262</v>
      </c>
      <c r="E1805" s="110" t="s">
        <v>2524</v>
      </c>
      <c r="F1805" s="110" t="s">
        <v>2347</v>
      </c>
      <c r="G1805" s="110" t="s">
        <v>3112</v>
      </c>
      <c r="H1805" s="93" t="e">
        <v>#N/A</v>
      </c>
      <c r="I1805" s="99">
        <v>46076</v>
      </c>
      <c r="J1805" s="83" t="s">
        <v>189</v>
      </c>
      <c r="K1805" s="110"/>
      <c r="L1805" s="110"/>
      <c r="M1805" s="110"/>
      <c r="N1805" s="110"/>
      <c r="O1805" s="110"/>
    </row>
    <row r="1806" spans="1:15" s="108" customFormat="1" hidden="1">
      <c r="A1806" s="108" t="str">
        <f t="shared" si="66"/>
        <v>JPAMAZONAir Conditionerinverter air conditionerインバーターエアコン</v>
      </c>
      <c r="B1806" s="109" t="str">
        <f t="shared" si="67"/>
        <v>JP_AMAZON</v>
      </c>
      <c r="C1806" s="110" t="s">
        <v>307</v>
      </c>
      <c r="D1806" s="110" t="s">
        <v>262</v>
      </c>
      <c r="E1806" s="110" t="s">
        <v>2524</v>
      </c>
      <c r="F1806" s="110" t="s">
        <v>2609</v>
      </c>
      <c r="G1806" s="110" t="s">
        <v>3113</v>
      </c>
      <c r="H1806" s="93" t="e">
        <v>#N/A</v>
      </c>
      <c r="I1806" s="99">
        <v>46076</v>
      </c>
      <c r="J1806" s="83" t="s">
        <v>189</v>
      </c>
      <c r="K1806" s="110"/>
      <c r="L1806" s="110"/>
      <c r="M1806" s="110"/>
      <c r="N1806" s="110"/>
      <c r="O1806" s="110"/>
    </row>
    <row r="1807" spans="1:15" s="108" customFormat="1" hidden="1">
      <c r="A1807" s="108" t="str">
        <f t="shared" si="66"/>
        <v>JPAMAZONAir Conditionersplit air conditionerスプリットエアコン</v>
      </c>
      <c r="B1807" s="109" t="str">
        <f t="shared" si="67"/>
        <v>JP_AMAZON</v>
      </c>
      <c r="C1807" s="110" t="s">
        <v>307</v>
      </c>
      <c r="D1807" s="110" t="s">
        <v>262</v>
      </c>
      <c r="E1807" s="110" t="s">
        <v>2524</v>
      </c>
      <c r="F1807" s="110" t="s">
        <v>2611</v>
      </c>
      <c r="G1807" s="110" t="s">
        <v>3114</v>
      </c>
      <c r="H1807" s="93" t="e">
        <v>#N/A</v>
      </c>
      <c r="I1807" s="99">
        <v>46076</v>
      </c>
      <c r="J1807" s="83" t="s">
        <v>189</v>
      </c>
      <c r="K1807" s="110"/>
      <c r="L1807" s="110"/>
      <c r="M1807" s="110"/>
      <c r="N1807" s="110"/>
      <c r="O1807" s="110"/>
    </row>
    <row r="1808" spans="1:15" s="108" customFormat="1" hidden="1">
      <c r="A1808" s="108" t="str">
        <f t="shared" si="66"/>
        <v>JPAMAZONAir Conditionersplit inverter air conditionerスプリットインバーターエアコン</v>
      </c>
      <c r="B1808" s="109" t="str">
        <f t="shared" si="67"/>
        <v>JP_AMAZON</v>
      </c>
      <c r="C1808" s="110" t="s">
        <v>307</v>
      </c>
      <c r="D1808" s="110" t="s">
        <v>262</v>
      </c>
      <c r="E1808" s="110" t="s">
        <v>2524</v>
      </c>
      <c r="F1808" s="110" t="s">
        <v>2614</v>
      </c>
      <c r="G1808" s="110" t="s">
        <v>3115</v>
      </c>
      <c r="H1808" s="93" t="e">
        <v>#N/A</v>
      </c>
      <c r="I1808" s="99">
        <v>46076</v>
      </c>
      <c r="J1808" s="83" t="s">
        <v>189</v>
      </c>
      <c r="K1808" s="110"/>
      <c r="L1808" s="110"/>
      <c r="M1808" s="110"/>
      <c r="N1808" s="110"/>
      <c r="O1808" s="110"/>
    </row>
    <row r="1809" spans="1:15" s="108" customFormat="1" hidden="1">
      <c r="A1809" s="108" t="str">
        <f t="shared" si="66"/>
        <v>JPAMAZONAir Conditionerwindow air conditioner窓用エアコン</v>
      </c>
      <c r="B1809" s="109" t="str">
        <f t="shared" si="67"/>
        <v>JP_AMAZON</v>
      </c>
      <c r="C1809" s="110" t="s">
        <v>307</v>
      </c>
      <c r="D1809" s="110" t="s">
        <v>262</v>
      </c>
      <c r="E1809" s="110" t="s">
        <v>2524</v>
      </c>
      <c r="F1809" s="110" t="s">
        <v>2616</v>
      </c>
      <c r="G1809" s="110" t="s">
        <v>3116</v>
      </c>
      <c r="H1809" s="93" t="e">
        <v>#N/A</v>
      </c>
      <c r="I1809" s="99">
        <v>46076</v>
      </c>
      <c r="J1809" s="83" t="s">
        <v>189</v>
      </c>
      <c r="K1809" s="110"/>
      <c r="L1809" s="110"/>
      <c r="M1809" s="110"/>
      <c r="N1809" s="110"/>
      <c r="O1809" s="110"/>
    </row>
    <row r="1810" spans="1:15" s="108" customFormat="1" hidden="1">
      <c r="A1810" s="108" t="str">
        <f t="shared" si="66"/>
        <v>JPAMAZONAir Conditionerwindow inverter air conditionerウィンドウインバーターエアコン</v>
      </c>
      <c r="B1810" s="109" t="str">
        <f t="shared" si="67"/>
        <v>JP_AMAZON</v>
      </c>
      <c r="C1810" s="110" t="s">
        <v>307</v>
      </c>
      <c r="D1810" s="110" t="s">
        <v>262</v>
      </c>
      <c r="E1810" s="110" t="s">
        <v>2524</v>
      </c>
      <c r="F1810" s="110" t="s">
        <v>2618</v>
      </c>
      <c r="G1810" s="110" t="s">
        <v>3117</v>
      </c>
      <c r="H1810" s="93" t="e">
        <v>#N/A</v>
      </c>
      <c r="I1810" s="99">
        <v>46076</v>
      </c>
      <c r="J1810" s="83" t="s">
        <v>189</v>
      </c>
      <c r="K1810" s="110"/>
      <c r="L1810" s="110"/>
      <c r="M1810" s="110"/>
      <c r="N1810" s="110"/>
      <c r="O1810" s="110"/>
    </row>
    <row r="1811" spans="1:15" s="108" customFormat="1" hidden="1">
      <c r="A1811" s="108" t="str">
        <f t="shared" si="66"/>
        <v>JPAMAZONDryerDryerドライヤー</v>
      </c>
      <c r="B1811" s="109" t="str">
        <f t="shared" si="67"/>
        <v>JP_AMAZON</v>
      </c>
      <c r="C1811" s="110" t="s">
        <v>307</v>
      </c>
      <c r="D1811" s="110" t="s">
        <v>262</v>
      </c>
      <c r="E1811" s="110" t="s">
        <v>2535</v>
      </c>
      <c r="F1811" s="110" t="s">
        <v>2535</v>
      </c>
      <c r="G1811" s="110" t="s">
        <v>3118</v>
      </c>
      <c r="H1811" s="93" t="e">
        <v>#N/A</v>
      </c>
      <c r="I1811" s="99">
        <v>46076</v>
      </c>
      <c r="J1811" s="83" t="s">
        <v>189</v>
      </c>
      <c r="K1811" s="110"/>
      <c r="L1811" s="110"/>
      <c r="M1811" s="110"/>
      <c r="N1811" s="110"/>
      <c r="O1811" s="110"/>
    </row>
    <row r="1812" spans="1:15" s="108" customFormat="1" hidden="1">
      <c r="A1812" s="108" t="str">
        <f t="shared" si="66"/>
        <v>JPAMAZONDryerheatpump  ヒートポンプ</v>
      </c>
      <c r="B1812" s="109" t="str">
        <f t="shared" si="67"/>
        <v>JP_AMAZON</v>
      </c>
      <c r="C1812" s="110" t="s">
        <v>307</v>
      </c>
      <c r="D1812" s="110" t="s">
        <v>262</v>
      </c>
      <c r="E1812" s="110" t="s">
        <v>2535</v>
      </c>
      <c r="F1812" s="110" t="s">
        <v>2621</v>
      </c>
      <c r="G1812" s="110" t="s">
        <v>3119</v>
      </c>
      <c r="H1812" s="93" t="e">
        <v>#N/A</v>
      </c>
      <c r="I1812" s="99">
        <v>46076</v>
      </c>
      <c r="J1812" s="83" t="s">
        <v>189</v>
      </c>
      <c r="K1812" s="110"/>
      <c r="L1812" s="110"/>
      <c r="M1812" s="110"/>
      <c r="N1812" s="110"/>
      <c r="O1812" s="110"/>
    </row>
    <row r="1813" spans="1:15" s="108" customFormat="1" hidden="1">
      <c r="A1813" s="108" t="str">
        <f t="shared" si="66"/>
        <v>JPAMAZONDryerLG DryerLGドライヤー</v>
      </c>
      <c r="B1813" s="109" t="str">
        <f t="shared" si="67"/>
        <v>JP_AMAZON</v>
      </c>
      <c r="C1813" s="110" t="s">
        <v>307</v>
      </c>
      <c r="D1813" s="110" t="s">
        <v>262</v>
      </c>
      <c r="E1813" s="110" t="s">
        <v>2535</v>
      </c>
      <c r="F1813" s="110" t="s">
        <v>2623</v>
      </c>
      <c r="G1813" s="110" t="s">
        <v>3120</v>
      </c>
      <c r="H1813" s="93" t="e">
        <v>#N/A</v>
      </c>
      <c r="I1813" s="99">
        <v>46076</v>
      </c>
      <c r="J1813" s="83" t="s">
        <v>189</v>
      </c>
      <c r="K1813" s="110"/>
      <c r="L1813" s="110"/>
      <c r="M1813" s="110"/>
      <c r="N1813" s="110"/>
      <c r="O1813" s="110"/>
    </row>
    <row r="1814" spans="1:15" hidden="1">
      <c r="A1814" s="75" t="str">
        <f t="shared" si="66"/>
        <v>KZSULPAKAir Conditionerinverter air conditionerинвертерный кондиционер</v>
      </c>
      <c r="B1814" s="94" t="str">
        <f t="shared" si="67"/>
        <v>KZ_SULPAK</v>
      </c>
      <c r="C1814" s="93" t="s">
        <v>410</v>
      </c>
      <c r="D1814" s="93" t="s">
        <v>411</v>
      </c>
      <c r="E1814" s="93" t="s">
        <v>2346</v>
      </c>
      <c r="F1814" s="93" t="s">
        <v>2348</v>
      </c>
      <c r="G1814" s="93" t="s">
        <v>3121</v>
      </c>
      <c r="H1814" s="93" t="e">
        <v>#N/A</v>
      </c>
      <c r="I1814" s="105" t="s">
        <v>2310</v>
      </c>
      <c r="J1814" s="93" t="s">
        <v>189</v>
      </c>
      <c r="K1814" s="93">
        <v>55477</v>
      </c>
      <c r="L1814" s="93" t="e">
        <v>#N/A</v>
      </c>
      <c r="M1814" s="93" t="s">
        <v>2311</v>
      </c>
      <c r="N1814" s="93" t="e">
        <f>VLOOKUP(B1814,'[16]01.수집 카테고리(List)'!$A$2:$H$64,8,FALSE)</f>
        <v>#N/A</v>
      </c>
      <c r="O1814" s="93"/>
    </row>
    <row r="1815" spans="1:15" hidden="1">
      <c r="A1815" s="75" t="str">
        <f t="shared" si="66"/>
        <v>KZSULPAKAir Conditionerair conditionerкондиционер</v>
      </c>
      <c r="B1815" s="94" t="str">
        <f t="shared" si="67"/>
        <v>KZ_SULPAK</v>
      </c>
      <c r="C1815" s="93" t="s">
        <v>410</v>
      </c>
      <c r="D1815" s="93" t="s">
        <v>411</v>
      </c>
      <c r="E1815" s="93" t="s">
        <v>2346</v>
      </c>
      <c r="F1815" s="93" t="s">
        <v>2347</v>
      </c>
      <c r="G1815" s="93" t="s">
        <v>3122</v>
      </c>
      <c r="H1815" s="93" t="e">
        <v>#N/A</v>
      </c>
      <c r="I1815" s="105" t="s">
        <v>2310</v>
      </c>
      <c r="J1815" s="93" t="s">
        <v>189</v>
      </c>
      <c r="K1815" s="93">
        <v>105</v>
      </c>
      <c r="L1815" s="93" t="e">
        <v>#N/A</v>
      </c>
      <c r="M1815" s="93" t="s">
        <v>2311</v>
      </c>
      <c r="N1815" s="93" t="e">
        <f>VLOOKUP(B1815,'[16]01.수집 카테고리(List)'!$A$2:$H$64,8,FALSE)</f>
        <v>#N/A</v>
      </c>
      <c r="O1815" s="93"/>
    </row>
    <row r="1816" spans="1:15" hidden="1">
      <c r="A1816" s="75" t="str">
        <f t="shared" si="66"/>
        <v>KZSULPAKBluetooth Speakerbluetooth speakerbluetooth колонка</v>
      </c>
      <c r="B1816" s="94" t="str">
        <f t="shared" si="67"/>
        <v>KZ_SULPAK</v>
      </c>
      <c r="C1816" s="93" t="s">
        <v>410</v>
      </c>
      <c r="D1816" s="93" t="s">
        <v>411</v>
      </c>
      <c r="E1816" s="93" t="s">
        <v>2307</v>
      </c>
      <c r="F1816" s="93" t="s">
        <v>2657</v>
      </c>
      <c r="G1816" s="93" t="s">
        <v>3123</v>
      </c>
      <c r="H1816" s="93" t="e">
        <v>#N/A</v>
      </c>
      <c r="I1816" s="105" t="s">
        <v>2310</v>
      </c>
      <c r="J1816" s="93" t="s">
        <v>189</v>
      </c>
      <c r="K1816" s="93">
        <v>750</v>
      </c>
      <c r="L1816" s="93" t="e">
        <v>#N/A</v>
      </c>
      <c r="M1816" s="93" t="s">
        <v>2311</v>
      </c>
      <c r="N1816" s="93" t="e">
        <f>VLOOKUP(B1816,'[16]01.수집 카테고리(List)'!$A$2:$H$64,8,FALSE)</f>
        <v>#N/A</v>
      </c>
      <c r="O1816" s="93"/>
    </row>
    <row r="1817" spans="1:15" hidden="1">
      <c r="A1817" s="75" t="str">
        <f t="shared" si="66"/>
        <v>KZSULPAKBluetooth Speakerbluetooth speaker portablebluetooth колонка портативті</v>
      </c>
      <c r="B1817" s="94" t="str">
        <f t="shared" si="67"/>
        <v>KZ_SULPAK</v>
      </c>
      <c r="C1817" s="93" t="s">
        <v>410</v>
      </c>
      <c r="D1817" s="93" t="s">
        <v>411</v>
      </c>
      <c r="E1817" s="93" t="s">
        <v>2307</v>
      </c>
      <c r="F1817" s="93" t="s">
        <v>2479</v>
      </c>
      <c r="G1817" s="93" t="s">
        <v>3124</v>
      </c>
      <c r="H1817" s="93" t="e">
        <v>#N/A</v>
      </c>
      <c r="I1817" s="105" t="s">
        <v>2310</v>
      </c>
      <c r="J1817" s="93" t="s">
        <v>189</v>
      </c>
      <c r="K1817" s="93">
        <v>750</v>
      </c>
      <c r="L1817" s="93" t="e">
        <v>#N/A</v>
      </c>
      <c r="M1817" s="93" t="s">
        <v>2311</v>
      </c>
      <c r="N1817" s="93" t="e">
        <f>VLOOKUP(B1817,'[16]01.수집 카테고리(List)'!$A$2:$H$64,8,FALSE)</f>
        <v>#N/A</v>
      </c>
      <c r="O1817" s="93"/>
    </row>
    <row r="1818" spans="1:15" hidden="1">
      <c r="A1818" s="75" t="str">
        <f t="shared" si="66"/>
        <v>KZSULPAKBluetooth Speakerspeakersколонка</v>
      </c>
      <c r="B1818" s="94" t="str">
        <f t="shared" si="67"/>
        <v>KZ_SULPAK</v>
      </c>
      <c r="C1818" s="93" t="s">
        <v>410</v>
      </c>
      <c r="D1818" s="93" t="s">
        <v>411</v>
      </c>
      <c r="E1818" s="93" t="s">
        <v>2307</v>
      </c>
      <c r="F1818" s="93" t="s">
        <v>2471</v>
      </c>
      <c r="G1818" s="93" t="s">
        <v>3125</v>
      </c>
      <c r="H1818" s="93" t="e">
        <v>#N/A</v>
      </c>
      <c r="I1818" s="105" t="s">
        <v>2310</v>
      </c>
      <c r="J1818" s="93" t="s">
        <v>189</v>
      </c>
      <c r="K1818" s="93">
        <v>1</v>
      </c>
      <c r="L1818" s="93" t="e">
        <v>#N/A</v>
      </c>
      <c r="M1818" s="93" t="s">
        <v>2311</v>
      </c>
      <c r="N1818" s="93" t="e">
        <f>VLOOKUP(B1818,'[16]01.수집 카테고리(List)'!$A$2:$H$64,8,FALSE)</f>
        <v>#N/A</v>
      </c>
      <c r="O1818" s="93"/>
    </row>
    <row r="1819" spans="1:15" hidden="1">
      <c r="A1819" s="75" t="str">
        <f t="shared" si="66"/>
        <v>KZSULPAKBluetooth Speakerwireless portable speakersколонка портативті</v>
      </c>
      <c r="B1819" s="94" t="str">
        <f t="shared" si="67"/>
        <v>KZ_SULPAK</v>
      </c>
      <c r="C1819" s="93" t="s">
        <v>410</v>
      </c>
      <c r="D1819" s="93" t="s">
        <v>411</v>
      </c>
      <c r="E1819" s="93" t="s">
        <v>2307</v>
      </c>
      <c r="F1819" s="93" t="s">
        <v>2475</v>
      </c>
      <c r="G1819" s="93" t="s">
        <v>3126</v>
      </c>
      <c r="H1819" s="93" t="e">
        <v>#N/A</v>
      </c>
      <c r="I1819" s="105" t="s">
        <v>2310</v>
      </c>
      <c r="J1819" s="93" t="s">
        <v>189</v>
      </c>
      <c r="K1819" s="93">
        <v>37</v>
      </c>
      <c r="L1819" s="93" t="e">
        <v>#N/A</v>
      </c>
      <c r="M1819" s="93" t="s">
        <v>2311</v>
      </c>
      <c r="N1819" s="93" t="e">
        <f>VLOOKUP(B1819,'[16]01.수집 카테고리(List)'!$A$2:$H$64,8,FALSE)</f>
        <v>#N/A</v>
      </c>
      <c r="O1819" s="93"/>
    </row>
    <row r="1820" spans="1:15" hidden="1">
      <c r="A1820" s="75" t="str">
        <f t="shared" si="66"/>
        <v>KZSULPAKBluetooth Speakerportable speakersпортативті колонка</v>
      </c>
      <c r="B1820" s="94" t="str">
        <f t="shared" si="67"/>
        <v>KZ_SULPAK</v>
      </c>
      <c r="C1820" s="93" t="s">
        <v>410</v>
      </c>
      <c r="D1820" s="93" t="s">
        <v>411</v>
      </c>
      <c r="E1820" s="93" t="s">
        <v>2307</v>
      </c>
      <c r="F1820" s="93" t="s">
        <v>2473</v>
      </c>
      <c r="G1820" s="93" t="s">
        <v>3127</v>
      </c>
      <c r="H1820" s="93" t="e">
        <v>#N/A</v>
      </c>
      <c r="I1820" s="105" t="s">
        <v>2310</v>
      </c>
      <c r="J1820" s="93" t="s">
        <v>189</v>
      </c>
      <c r="K1820" s="93">
        <v>38</v>
      </c>
      <c r="L1820" s="93" t="e">
        <v>#N/A</v>
      </c>
      <c r="M1820" s="93" t="s">
        <v>2311</v>
      </c>
      <c r="N1820" s="93" t="e">
        <f>VLOOKUP(B1820,'[16]01.수집 카테고리(List)'!$A$2:$H$64,8,FALSE)</f>
        <v>#N/A</v>
      </c>
      <c r="O1820" s="93"/>
    </row>
    <row r="1821" spans="1:15" hidden="1">
      <c r="A1821" s="75" t="str">
        <f t="shared" si="66"/>
        <v>KZSULPAKDISHWASHERBuilt in Dish washerВстроенная посудомоечная машина</v>
      </c>
      <c r="B1821" s="94" t="str">
        <f t="shared" si="67"/>
        <v>KZ_SULPAK</v>
      </c>
      <c r="C1821" s="93" t="s">
        <v>410</v>
      </c>
      <c r="D1821" s="93" t="s">
        <v>411</v>
      </c>
      <c r="E1821" s="93" t="s">
        <v>169</v>
      </c>
      <c r="F1821" s="93" t="s">
        <v>2356</v>
      </c>
      <c r="G1821" s="93" t="s">
        <v>3128</v>
      </c>
      <c r="H1821" s="93" t="e">
        <v>#N/A</v>
      </c>
      <c r="I1821" s="105" t="s">
        <v>2310</v>
      </c>
      <c r="J1821" s="93" t="s">
        <v>189</v>
      </c>
      <c r="K1821" s="93">
        <v>9</v>
      </c>
      <c r="L1821" s="93" t="e">
        <v>#N/A</v>
      </c>
      <c r="M1821" s="93" t="s">
        <v>2311</v>
      </c>
      <c r="N1821" s="93" t="e">
        <f>VLOOKUP(B1821,'[16]01.수집 카테고리(List)'!$A$2:$H$64,8,FALSE)</f>
        <v>#N/A</v>
      </c>
      <c r="O1821" s="93"/>
    </row>
    <row r="1822" spans="1:15" hidden="1">
      <c r="A1822" s="75" t="str">
        <f t="shared" si="66"/>
        <v>KZSULPAKDISHWASHERFreestanding Dishwasher Отдельностоящая посудомоечная машина</v>
      </c>
      <c r="B1822" s="94" t="str">
        <f t="shared" si="67"/>
        <v>KZ_SULPAK</v>
      </c>
      <c r="C1822" s="93" t="s">
        <v>410</v>
      </c>
      <c r="D1822" s="93" t="s">
        <v>411</v>
      </c>
      <c r="E1822" s="93" t="s">
        <v>169</v>
      </c>
      <c r="F1822" s="93" t="s">
        <v>2441</v>
      </c>
      <c r="G1822" s="93" t="s">
        <v>3129</v>
      </c>
      <c r="H1822" s="93" t="e">
        <v>#N/A</v>
      </c>
      <c r="I1822" s="105" t="s">
        <v>2310</v>
      </c>
      <c r="J1822" s="93" t="s">
        <v>189</v>
      </c>
      <c r="K1822" s="93">
        <v>5</v>
      </c>
      <c r="L1822" s="93" t="e">
        <v>#N/A</v>
      </c>
      <c r="M1822" s="93" t="s">
        <v>2311</v>
      </c>
      <c r="N1822" s="93" t="e">
        <f>VLOOKUP(B1822,'[16]01.수집 카테고리(List)'!$A$2:$H$64,8,FALSE)</f>
        <v>#N/A</v>
      </c>
      <c r="O1822" s="93"/>
    </row>
    <row r="1823" spans="1:15" hidden="1">
      <c r="A1823" s="75" t="str">
        <f t="shared" si="66"/>
        <v>KZSULPAKDISHWASHERdishwasherпосудомоечная машина</v>
      </c>
      <c r="B1823" s="94" t="str">
        <f t="shared" si="67"/>
        <v>KZ_SULPAK</v>
      </c>
      <c r="C1823" s="93" t="s">
        <v>410</v>
      </c>
      <c r="D1823" s="93" t="s">
        <v>411</v>
      </c>
      <c r="E1823" s="93" t="s">
        <v>169</v>
      </c>
      <c r="F1823" s="93" t="s">
        <v>2354</v>
      </c>
      <c r="G1823" s="93" t="s">
        <v>3130</v>
      </c>
      <c r="H1823" s="93" t="e">
        <v>#N/A</v>
      </c>
      <c r="I1823" s="105" t="s">
        <v>2310</v>
      </c>
      <c r="J1823" s="93" t="s">
        <v>189</v>
      </c>
      <c r="K1823" s="93">
        <v>70</v>
      </c>
      <c r="L1823" s="93" t="e">
        <v>#N/A</v>
      </c>
      <c r="M1823" s="93" t="s">
        <v>2311</v>
      </c>
      <c r="N1823" s="93" t="e">
        <f>VLOOKUP(B1823,'[16]01.수집 카테고리(List)'!$A$2:$H$64,8,FALSE)</f>
        <v>#N/A</v>
      </c>
      <c r="O1823" s="93"/>
    </row>
    <row r="1824" spans="1:15" hidden="1">
      <c r="A1824" s="75" t="str">
        <f t="shared" si="66"/>
        <v>KZSULPAKRefrigeratorside by side refrigeratorмногодверный холодильник</v>
      </c>
      <c r="B1824" s="94" t="str">
        <f t="shared" si="67"/>
        <v>KZ_SULPAK</v>
      </c>
      <c r="C1824" s="93" t="s">
        <v>410</v>
      </c>
      <c r="D1824" s="93" t="s">
        <v>411</v>
      </c>
      <c r="E1824" s="93" t="s">
        <v>2326</v>
      </c>
      <c r="F1824" s="93" t="s">
        <v>2330</v>
      </c>
      <c r="G1824" s="93" t="s">
        <v>3131</v>
      </c>
      <c r="H1824" s="93" t="e">
        <v>#N/A</v>
      </c>
      <c r="I1824" s="105" t="s">
        <v>2310</v>
      </c>
      <c r="J1824" s="93" t="s">
        <v>189</v>
      </c>
      <c r="K1824" s="93">
        <v>113</v>
      </c>
      <c r="L1824" s="93" t="e">
        <v>#N/A</v>
      </c>
      <c r="M1824" s="93" t="s">
        <v>2311</v>
      </c>
      <c r="N1824" s="93" t="e">
        <f>VLOOKUP(B1824,'[16]01.수집 카테고리(List)'!$A$2:$H$64,8,FALSE)</f>
        <v>#N/A</v>
      </c>
      <c r="O1824" s="93"/>
    </row>
    <row r="1825" spans="1:15" hidden="1">
      <c r="A1825" s="75" t="str">
        <f t="shared" si="66"/>
        <v>KZSULPAKRefrigeratorrefrigeratorхолодильник</v>
      </c>
      <c r="B1825" s="94" t="str">
        <f t="shared" si="67"/>
        <v>KZ_SULPAK</v>
      </c>
      <c r="C1825" s="93" t="s">
        <v>410</v>
      </c>
      <c r="D1825" s="93" t="s">
        <v>411</v>
      </c>
      <c r="E1825" s="93" t="s">
        <v>2326</v>
      </c>
      <c r="F1825" s="93" t="s">
        <v>2329</v>
      </c>
      <c r="G1825" s="93" t="s">
        <v>3132</v>
      </c>
      <c r="H1825" s="93" t="e">
        <v>#N/A</v>
      </c>
      <c r="I1825" s="105" t="s">
        <v>2310</v>
      </c>
      <c r="J1825" s="93" t="s">
        <v>189</v>
      </c>
      <c r="K1825" s="93">
        <v>129</v>
      </c>
      <c r="L1825" s="93" t="e">
        <v>#N/A</v>
      </c>
      <c r="M1825" s="93" t="s">
        <v>2311</v>
      </c>
      <c r="N1825" s="93" t="e">
        <f>VLOOKUP(B1825,'[16]01.수집 카테고리(List)'!$A$2:$H$64,8,FALSE)</f>
        <v>#N/A</v>
      </c>
      <c r="O1825" s="93"/>
    </row>
    <row r="1826" spans="1:15" hidden="1">
      <c r="A1826" s="75" t="str">
        <f t="shared" si="66"/>
        <v>KZSULPAKRefrigeratortop freezer refrigeratorхолодильник с верхней морозильной камерой</v>
      </c>
      <c r="B1826" s="94" t="str">
        <f t="shared" si="67"/>
        <v>KZ_SULPAK</v>
      </c>
      <c r="C1826" s="93" t="s">
        <v>410</v>
      </c>
      <c r="D1826" s="93" t="s">
        <v>411</v>
      </c>
      <c r="E1826" s="93" t="s">
        <v>2326</v>
      </c>
      <c r="F1826" s="93" t="s">
        <v>2332</v>
      </c>
      <c r="G1826" s="93" t="s">
        <v>3133</v>
      </c>
      <c r="H1826" s="93" t="e">
        <v>#N/A</v>
      </c>
      <c r="I1826" s="105" t="s">
        <v>2310</v>
      </c>
      <c r="J1826" s="93" t="s">
        <v>189</v>
      </c>
      <c r="K1826" s="93">
        <v>114</v>
      </c>
      <c r="L1826" s="93" t="e">
        <v>#N/A</v>
      </c>
      <c r="M1826" s="93" t="s">
        <v>2311</v>
      </c>
      <c r="N1826" s="93" t="e">
        <f>VLOOKUP(B1826,'[16]01.수집 카테고리(List)'!$A$2:$H$64,8,FALSE)</f>
        <v>#N/A</v>
      </c>
      <c r="O1826" s="93"/>
    </row>
    <row r="1827" spans="1:15" hidden="1">
      <c r="A1827" s="75" t="str">
        <f t="shared" si="66"/>
        <v>KZSULPAKRefrigeratorbottom freezer refrigeratorхолодильник с нижней морозильной камерой</v>
      </c>
      <c r="B1827" s="94" t="str">
        <f t="shared" si="67"/>
        <v>KZ_SULPAK</v>
      </c>
      <c r="C1827" s="93" t="s">
        <v>410</v>
      </c>
      <c r="D1827" s="93" t="s">
        <v>411</v>
      </c>
      <c r="E1827" s="93" t="s">
        <v>2326</v>
      </c>
      <c r="F1827" s="93" t="s">
        <v>2327</v>
      </c>
      <c r="G1827" s="93" t="s">
        <v>3134</v>
      </c>
      <c r="H1827" s="93" t="e">
        <v>#N/A</v>
      </c>
      <c r="I1827" s="105" t="s">
        <v>2310</v>
      </c>
      <c r="J1827" s="93" t="s">
        <v>189</v>
      </c>
      <c r="K1827" s="93">
        <v>114</v>
      </c>
      <c r="L1827" s="93" t="e">
        <v>#N/A</v>
      </c>
      <c r="M1827" s="93" t="s">
        <v>2311</v>
      </c>
      <c r="N1827" s="93" t="e">
        <f>VLOOKUP(B1827,'[16]01.수집 카테고리(List)'!$A$2:$H$64,8,FALSE)</f>
        <v>#N/A</v>
      </c>
      <c r="O1827" s="93"/>
    </row>
    <row r="1828" spans="1:15" hidden="1">
      <c r="A1828" s="75" t="str">
        <f t="shared" si="66"/>
        <v>KZSULPAKSOUNDBARsoundbarsoundbar</v>
      </c>
      <c r="B1828" s="94" t="str">
        <f t="shared" si="67"/>
        <v>KZ_SULPAK</v>
      </c>
      <c r="C1828" s="93" t="s">
        <v>410</v>
      </c>
      <c r="D1828" s="93" t="s">
        <v>411</v>
      </c>
      <c r="E1828" s="93" t="s">
        <v>165</v>
      </c>
      <c r="F1828" s="93" t="s">
        <v>2987</v>
      </c>
      <c r="G1828" s="93" t="s">
        <v>2987</v>
      </c>
      <c r="H1828" s="93" t="e">
        <v>#N/A</v>
      </c>
      <c r="I1828" s="105" t="s">
        <v>2310</v>
      </c>
      <c r="J1828" s="93" t="s">
        <v>189</v>
      </c>
      <c r="K1828" s="93">
        <v>39</v>
      </c>
      <c r="L1828" s="93">
        <v>39</v>
      </c>
      <c r="M1828" s="93" t="s">
        <v>2311</v>
      </c>
      <c r="N1828" s="93" t="e">
        <f>VLOOKUP(B1828,'[16]01.수집 카테고리(List)'!$A$2:$H$64,8,FALSE)</f>
        <v>#N/A</v>
      </c>
      <c r="O1828" s="93"/>
    </row>
    <row r="1829" spans="1:15" hidden="1">
      <c r="A1829" s="75" t="str">
        <f t="shared" si="66"/>
        <v>KZSULPAKSOUNDBARaudioдыбыс</v>
      </c>
      <c r="B1829" s="94" t="str">
        <f t="shared" si="67"/>
        <v>KZ_SULPAK</v>
      </c>
      <c r="C1829" s="93" t="s">
        <v>410</v>
      </c>
      <c r="D1829" s="93" t="s">
        <v>411</v>
      </c>
      <c r="E1829" s="93" t="s">
        <v>165</v>
      </c>
      <c r="F1829" s="93" t="s">
        <v>2528</v>
      </c>
      <c r="G1829" s="93" t="s">
        <v>3135</v>
      </c>
      <c r="H1829" s="93" t="e">
        <v>#N/A</v>
      </c>
      <c r="I1829" s="105" t="s">
        <v>2310</v>
      </c>
      <c r="J1829" s="93" t="s">
        <v>189</v>
      </c>
      <c r="K1829" s="93">
        <v>93</v>
      </c>
      <c r="L1829" s="93" t="e">
        <v>#N/A</v>
      </c>
      <c r="M1829" s="93" t="s">
        <v>2311</v>
      </c>
      <c r="N1829" s="93" t="e">
        <f>VLOOKUP(B1829,'[16]01.수집 카테고리(List)'!$A$2:$H$64,8,FALSE)</f>
        <v>#N/A</v>
      </c>
      <c r="O1829" s="93"/>
    </row>
    <row r="1830" spans="1:15" hidden="1">
      <c r="A1830" s="75" t="str">
        <f t="shared" si="66"/>
        <v>KZSULPAKSOUNDBARsound barСаундбар</v>
      </c>
      <c r="B1830" s="94" t="str">
        <f t="shared" si="67"/>
        <v>KZ_SULPAK</v>
      </c>
      <c r="C1830" s="93" t="s">
        <v>410</v>
      </c>
      <c r="D1830" s="93" t="s">
        <v>411</v>
      </c>
      <c r="E1830" s="93" t="s">
        <v>165</v>
      </c>
      <c r="F1830" s="93" t="s">
        <v>2529</v>
      </c>
      <c r="G1830" s="93" t="s">
        <v>3136</v>
      </c>
      <c r="H1830" s="93" t="e">
        <v>#N/A</v>
      </c>
      <c r="I1830" s="105" t="s">
        <v>2310</v>
      </c>
      <c r="J1830" s="93" t="s">
        <v>189</v>
      </c>
      <c r="K1830" s="93">
        <v>2</v>
      </c>
      <c r="L1830" s="93" t="e">
        <v>#N/A</v>
      </c>
      <c r="M1830" s="93" t="s">
        <v>2311</v>
      </c>
      <c r="N1830" s="93" t="e">
        <f>VLOOKUP(B1830,'[16]01.수집 카테고리(List)'!$A$2:$H$64,8,FALSE)</f>
        <v>#N/A</v>
      </c>
      <c r="O1830" s="93"/>
    </row>
    <row r="1831" spans="1:15" hidden="1">
      <c r="A1831" s="75" t="str">
        <f t="shared" si="66"/>
        <v>KZSULPAKSOUNDBARsound systemсистема саундбара</v>
      </c>
      <c r="B1831" s="94" t="str">
        <f t="shared" si="67"/>
        <v>KZ_SULPAK</v>
      </c>
      <c r="C1831" s="93" t="s">
        <v>410</v>
      </c>
      <c r="D1831" s="93" t="s">
        <v>411</v>
      </c>
      <c r="E1831" s="93" t="s">
        <v>165</v>
      </c>
      <c r="F1831" s="93" t="s">
        <v>2530</v>
      </c>
      <c r="G1831" s="93" t="s">
        <v>3137</v>
      </c>
      <c r="H1831" s="93" t="s">
        <v>3138</v>
      </c>
      <c r="I1831" s="105" t="s">
        <v>2310</v>
      </c>
      <c r="J1831" s="93" t="s">
        <v>189</v>
      </c>
      <c r="K1831" s="93" t="e">
        <v>#N/A</v>
      </c>
      <c r="L1831" s="93" t="e">
        <v>#N/A</v>
      </c>
      <c r="M1831" s="93" t="s">
        <v>2393</v>
      </c>
      <c r="N1831" s="93" t="e">
        <f>VLOOKUP(B1831,'[16]01.수집 카테고리(List)'!$A$2:$H$64,8,FALSE)</f>
        <v>#N/A</v>
      </c>
      <c r="O1831" s="93"/>
    </row>
    <row r="1832" spans="1:15" hidden="1">
      <c r="A1832" s="75" t="str">
        <f t="shared" si="66"/>
        <v>KZSULPAKTV4k TV4k телевизор</v>
      </c>
      <c r="B1832" s="94" t="str">
        <f t="shared" si="67"/>
        <v>KZ_SULPAK</v>
      </c>
      <c r="C1832" s="93" t="s">
        <v>410</v>
      </c>
      <c r="D1832" s="93" t="s">
        <v>411</v>
      </c>
      <c r="E1832" s="93" t="s">
        <v>161</v>
      </c>
      <c r="F1832" s="93" t="s">
        <v>2368</v>
      </c>
      <c r="G1832" s="93" t="s">
        <v>3139</v>
      </c>
      <c r="H1832" s="93" t="e">
        <v>#N/A</v>
      </c>
      <c r="I1832" s="105" t="s">
        <v>2310</v>
      </c>
      <c r="J1832" s="93" t="s">
        <v>189</v>
      </c>
      <c r="K1832" s="93">
        <v>31</v>
      </c>
      <c r="L1832" s="93">
        <v>160</v>
      </c>
      <c r="M1832" s="93" t="s">
        <v>2311</v>
      </c>
      <c r="N1832" s="93" t="e">
        <f>VLOOKUP(B1832,'[16]01.수집 카테고리(List)'!$A$2:$H$64,8,FALSE)</f>
        <v>#N/A</v>
      </c>
      <c r="O1832" s="93"/>
    </row>
    <row r="1833" spans="1:15" hidden="1">
      <c r="A1833" s="75" t="str">
        <f t="shared" si="66"/>
        <v>KZSULPAKTVoled TVoled телевизор</v>
      </c>
      <c r="B1833" s="94" t="str">
        <f t="shared" si="67"/>
        <v>KZ_SULPAK</v>
      </c>
      <c r="C1833" s="93" t="s">
        <v>410</v>
      </c>
      <c r="D1833" s="93" t="s">
        <v>411</v>
      </c>
      <c r="E1833" s="93" t="s">
        <v>161</v>
      </c>
      <c r="F1833" s="93" t="s">
        <v>2369</v>
      </c>
      <c r="G1833" s="93" t="s">
        <v>3140</v>
      </c>
      <c r="H1833" s="93" t="e">
        <v>#N/A</v>
      </c>
      <c r="I1833" s="105" t="s">
        <v>2310</v>
      </c>
      <c r="J1833" s="93" t="s">
        <v>189</v>
      </c>
      <c r="K1833" s="93">
        <v>27</v>
      </c>
      <c r="L1833" s="93">
        <v>1344</v>
      </c>
      <c r="M1833" s="93" t="s">
        <v>2311</v>
      </c>
      <c r="N1833" s="93" t="e">
        <f>VLOOKUP(B1833,'[16]01.수집 카테고리(List)'!$A$2:$H$64,8,FALSE)</f>
        <v>#N/A</v>
      </c>
      <c r="O1833" s="93"/>
    </row>
    <row r="1834" spans="1:15" hidden="1">
      <c r="A1834" s="75" t="str">
        <f t="shared" si="66"/>
        <v>KZSULPAKTVuhd TVuhd телевизор</v>
      </c>
      <c r="B1834" s="94" t="str">
        <f t="shared" si="67"/>
        <v>KZ_SULPAK</v>
      </c>
      <c r="C1834" s="93" t="s">
        <v>410</v>
      </c>
      <c r="D1834" s="93" t="s">
        <v>411</v>
      </c>
      <c r="E1834" s="93" t="s">
        <v>161</v>
      </c>
      <c r="F1834" s="93" t="s">
        <v>2399</v>
      </c>
      <c r="G1834" s="93" t="s">
        <v>3141</v>
      </c>
      <c r="H1834" s="93" t="e">
        <v>#N/A</v>
      </c>
      <c r="I1834" s="105" t="s">
        <v>2310</v>
      </c>
      <c r="J1834" s="93" t="s">
        <v>189</v>
      </c>
      <c r="K1834" s="93">
        <v>2532</v>
      </c>
      <c r="L1834" s="93" t="e">
        <v>#N/A</v>
      </c>
      <c r="M1834" s="93" t="s">
        <v>2311</v>
      </c>
      <c r="N1834" s="93" t="e">
        <f>VLOOKUP(B1834,'[16]01.수집 카테고리(List)'!$A$2:$H$64,8,FALSE)</f>
        <v>#N/A</v>
      </c>
      <c r="O1834" s="93"/>
    </row>
    <row r="1835" spans="1:15" hidden="1">
      <c r="A1835" s="75" t="str">
        <f t="shared" si="66"/>
        <v>KZSULPAKTVsmart TVсмарт тв</v>
      </c>
      <c r="B1835" s="94" t="str">
        <f t="shared" si="67"/>
        <v>KZ_SULPAK</v>
      </c>
      <c r="C1835" s="93" t="s">
        <v>410</v>
      </c>
      <c r="D1835" s="93" t="s">
        <v>411</v>
      </c>
      <c r="E1835" s="93" t="s">
        <v>161</v>
      </c>
      <c r="F1835" s="93" t="s">
        <v>2371</v>
      </c>
      <c r="G1835" s="93" t="s">
        <v>3142</v>
      </c>
      <c r="H1835" s="93" t="e">
        <v>#N/A</v>
      </c>
      <c r="I1835" s="105" t="s">
        <v>2310</v>
      </c>
      <c r="J1835" s="93" t="s">
        <v>189</v>
      </c>
      <c r="K1835" s="93">
        <v>9</v>
      </c>
      <c r="L1835" s="93" t="e">
        <v>#N/A</v>
      </c>
      <c r="M1835" s="93" t="s">
        <v>2311</v>
      </c>
      <c r="N1835" s="93" t="e">
        <f>VLOOKUP(B1835,'[16]01.수집 카테고리(List)'!$A$2:$H$64,8,FALSE)</f>
        <v>#N/A</v>
      </c>
      <c r="O1835" s="93"/>
    </row>
    <row r="1836" spans="1:15" hidden="1">
      <c r="A1836" s="75" t="str">
        <f t="shared" si="66"/>
        <v>KZSULPAKTVTVтелевизор</v>
      </c>
      <c r="B1836" s="94" t="str">
        <f t="shared" si="67"/>
        <v>KZ_SULPAK</v>
      </c>
      <c r="C1836" s="93" t="s">
        <v>410</v>
      </c>
      <c r="D1836" s="93" t="s">
        <v>411</v>
      </c>
      <c r="E1836" s="93" t="s">
        <v>161</v>
      </c>
      <c r="F1836" s="93" t="s">
        <v>161</v>
      </c>
      <c r="G1836" s="93" t="s">
        <v>3143</v>
      </c>
      <c r="H1836" s="93" t="e">
        <v>#N/A</v>
      </c>
      <c r="I1836" s="105" t="s">
        <v>2310</v>
      </c>
      <c r="J1836" s="93" t="s">
        <v>189</v>
      </c>
      <c r="K1836" s="93">
        <v>9</v>
      </c>
      <c r="L1836" s="93">
        <v>13824</v>
      </c>
      <c r="M1836" s="93" t="s">
        <v>2311</v>
      </c>
      <c r="N1836" s="93" t="e">
        <f>VLOOKUP(B1836,'[16]01.수집 카테고리(List)'!$A$2:$H$64,8,FALSE)</f>
        <v>#N/A</v>
      </c>
      <c r="O1836" s="93"/>
    </row>
    <row r="1837" spans="1:15" hidden="1">
      <c r="A1837" s="75" t="str">
        <f t="shared" si="66"/>
        <v>KZSULPAKWashing Machinetop loaderверхняя загрузка</v>
      </c>
      <c r="B1837" s="94" t="str">
        <f t="shared" si="67"/>
        <v>KZ_SULPAK</v>
      </c>
      <c r="C1837" s="93" t="s">
        <v>410</v>
      </c>
      <c r="D1837" s="93" t="s">
        <v>411</v>
      </c>
      <c r="E1837" s="93" t="s">
        <v>2333</v>
      </c>
      <c r="F1837" s="93" t="s">
        <v>2336</v>
      </c>
      <c r="G1837" s="93" t="s">
        <v>3144</v>
      </c>
      <c r="H1837" s="93" t="e">
        <v>#N/A</v>
      </c>
      <c r="I1837" s="105" t="s">
        <v>2310</v>
      </c>
      <c r="J1837" s="93" t="s">
        <v>189</v>
      </c>
      <c r="K1837" s="93">
        <v>1</v>
      </c>
      <c r="L1837" s="93" t="e">
        <v>#N/A</v>
      </c>
      <c r="M1837" s="93" t="s">
        <v>2311</v>
      </c>
      <c r="N1837" s="93" t="e">
        <f>VLOOKUP(B1837,'[16]01.수집 카테고리(List)'!$A$2:$H$64,8,FALSE)</f>
        <v>#N/A</v>
      </c>
      <c r="O1837" s="93"/>
    </row>
    <row r="1838" spans="1:15" hidden="1">
      <c r="A1838" s="75" t="str">
        <f t="shared" si="66"/>
        <v>KZSULPAKWashing Machinefront loaderпередняя загрузка</v>
      </c>
      <c r="B1838" s="94" t="str">
        <f t="shared" si="67"/>
        <v>KZ_SULPAK</v>
      </c>
      <c r="C1838" s="93" t="s">
        <v>410</v>
      </c>
      <c r="D1838" s="93" t="s">
        <v>411</v>
      </c>
      <c r="E1838" s="93" t="s">
        <v>2333</v>
      </c>
      <c r="F1838" s="93" t="s">
        <v>2334</v>
      </c>
      <c r="G1838" s="93" t="s">
        <v>3145</v>
      </c>
      <c r="H1838" s="93" t="e">
        <v>#N/A</v>
      </c>
      <c r="I1838" s="105" t="s">
        <v>2310</v>
      </c>
      <c r="J1838" s="93" t="s">
        <v>189</v>
      </c>
      <c r="K1838" s="93">
        <v>12</v>
      </c>
      <c r="L1838" s="93" t="e">
        <v>#N/A</v>
      </c>
      <c r="M1838" s="93" t="s">
        <v>2311</v>
      </c>
      <c r="N1838" s="93" t="e">
        <f>VLOOKUP(B1838,'[16]01.수집 카테고리(List)'!$A$2:$H$64,8,FALSE)</f>
        <v>#N/A</v>
      </c>
      <c r="O1838" s="93"/>
    </row>
    <row r="1839" spans="1:15" hidden="1">
      <c r="A1839" s="75" t="str">
        <f t="shared" si="66"/>
        <v>KZSULPAKWashing Machinewashing machineстиральная машина</v>
      </c>
      <c r="B1839" s="94" t="str">
        <f t="shared" si="67"/>
        <v>KZ_SULPAK</v>
      </c>
      <c r="C1839" s="93" t="s">
        <v>410</v>
      </c>
      <c r="D1839" s="93" t="s">
        <v>411</v>
      </c>
      <c r="E1839" s="93" t="s">
        <v>2333</v>
      </c>
      <c r="F1839" s="93" t="s">
        <v>2340</v>
      </c>
      <c r="G1839" s="93" t="s">
        <v>3146</v>
      </c>
      <c r="H1839" s="93" t="e">
        <v>#N/A</v>
      </c>
      <c r="I1839" s="105" t="s">
        <v>2310</v>
      </c>
      <c r="J1839" s="93" t="s">
        <v>189</v>
      </c>
      <c r="K1839" s="93">
        <v>20</v>
      </c>
      <c r="L1839" s="93" t="e">
        <v>#N/A</v>
      </c>
      <c r="M1839" s="93" t="s">
        <v>2311</v>
      </c>
      <c r="N1839" s="93" t="e">
        <f>VLOOKUP(B1839,'[16]01.수집 카테고리(List)'!$A$2:$H$64,8,FALSE)</f>
        <v>#N/A</v>
      </c>
      <c r="O1839" s="93"/>
    </row>
    <row r="1840" spans="1:15" hidden="1">
      <c r="A1840" s="75" t="str">
        <f t="shared" si="66"/>
        <v>KZSULPAKWashing Machinewasher dryer comboСтиральная машина с сушкой</v>
      </c>
      <c r="B1840" s="94" t="str">
        <f t="shared" si="67"/>
        <v>KZ_SULPAK</v>
      </c>
      <c r="C1840" s="93" t="s">
        <v>410</v>
      </c>
      <c r="D1840" s="93" t="s">
        <v>411</v>
      </c>
      <c r="E1840" s="93" t="s">
        <v>2333</v>
      </c>
      <c r="F1840" s="93" t="s">
        <v>2338</v>
      </c>
      <c r="G1840" s="93" t="s">
        <v>3147</v>
      </c>
      <c r="H1840" s="93" t="e">
        <v>#N/A</v>
      </c>
      <c r="I1840" s="105" t="s">
        <v>2310</v>
      </c>
      <c r="J1840" s="93" t="s">
        <v>189</v>
      </c>
      <c r="K1840" s="93">
        <v>26</v>
      </c>
      <c r="L1840" s="93" t="e">
        <v>#N/A</v>
      </c>
      <c r="M1840" s="93" t="s">
        <v>2311</v>
      </c>
      <c r="N1840" s="93" t="e">
        <f>VLOOKUP(B1840,'[16]01.수집 카테고리(List)'!$A$2:$H$64,8,FALSE)</f>
        <v>#N/A</v>
      </c>
      <c r="O1840" s="93"/>
    </row>
    <row r="1841" spans="1:15" hidden="1">
      <c r="A1841" s="75" t="str">
        <f t="shared" si="66"/>
        <v>KZSULPAKWIRELESS HEADSETTrue wireless earbudsTrue wireless Наушники</v>
      </c>
      <c r="B1841" s="94" t="str">
        <f t="shared" si="67"/>
        <v>KZ_SULPAK</v>
      </c>
      <c r="C1841" s="93" t="s">
        <v>410</v>
      </c>
      <c r="D1841" s="93" t="s">
        <v>411</v>
      </c>
      <c r="E1841" s="93" t="s">
        <v>2201</v>
      </c>
      <c r="F1841" s="93" t="s">
        <v>2374</v>
      </c>
      <c r="G1841" s="93" t="s">
        <v>3148</v>
      </c>
      <c r="H1841" s="93" t="e">
        <v>#N/A</v>
      </c>
      <c r="I1841" s="105" t="s">
        <v>2310</v>
      </c>
      <c r="J1841" s="93" t="s">
        <v>189</v>
      </c>
      <c r="K1841" s="93">
        <v>3338</v>
      </c>
      <c r="L1841" s="93" t="e">
        <v>#N/A</v>
      </c>
      <c r="M1841" s="93" t="s">
        <v>2311</v>
      </c>
      <c r="N1841" s="93" t="e">
        <f>VLOOKUP(B1841,'[16]01.수집 카테고리(List)'!$A$2:$H$64,8,FALSE)</f>
        <v>#N/A</v>
      </c>
      <c r="O1841" s="93"/>
    </row>
    <row r="1842" spans="1:15" hidden="1">
      <c r="A1842" s="75" t="str">
        <f t="shared" si="66"/>
        <v>KZSULPAKWIRELESS HEADSETWireless earbudsWireless Наушники</v>
      </c>
      <c r="B1842" s="94" t="str">
        <f t="shared" si="67"/>
        <v>KZ_SULPAK</v>
      </c>
      <c r="C1842" s="93" t="s">
        <v>410</v>
      </c>
      <c r="D1842" s="93" t="s">
        <v>411</v>
      </c>
      <c r="E1842" s="93" t="s">
        <v>2201</v>
      </c>
      <c r="F1842" s="93" t="s">
        <v>2376</v>
      </c>
      <c r="G1842" s="93" t="s">
        <v>3149</v>
      </c>
      <c r="H1842" s="93" t="e">
        <v>#N/A</v>
      </c>
      <c r="I1842" s="105" t="s">
        <v>2310</v>
      </c>
      <c r="J1842" s="93" t="s">
        <v>189</v>
      </c>
      <c r="K1842" s="93">
        <v>1955</v>
      </c>
      <c r="L1842" s="93" t="e">
        <v>#N/A</v>
      </c>
      <c r="M1842" s="93" t="s">
        <v>2311</v>
      </c>
      <c r="N1842" s="93" t="e">
        <f>VLOOKUP(B1842,'[16]01.수집 카테고리(List)'!$A$2:$H$64,8,FALSE)</f>
        <v>#N/A</v>
      </c>
      <c r="O1842" s="93"/>
    </row>
    <row r="1843" spans="1:15" hidden="1">
      <c r="A1843" s="75" t="str">
        <f t="shared" si="66"/>
        <v>KZSULPAKWIRELESS HEADSETEar budsНаушники</v>
      </c>
      <c r="B1843" s="94" t="str">
        <f t="shared" si="67"/>
        <v>KZ_SULPAK</v>
      </c>
      <c r="C1843" s="93" t="s">
        <v>410</v>
      </c>
      <c r="D1843" s="93" t="s">
        <v>411</v>
      </c>
      <c r="E1843" s="93" t="s">
        <v>2201</v>
      </c>
      <c r="F1843" s="93" t="s">
        <v>2380</v>
      </c>
      <c r="G1843" s="93" t="s">
        <v>3150</v>
      </c>
      <c r="H1843" s="93" t="e">
        <v>#N/A</v>
      </c>
      <c r="I1843" s="105" t="s">
        <v>2310</v>
      </c>
      <c r="J1843" s="93" t="s">
        <v>189</v>
      </c>
      <c r="K1843" s="93">
        <v>1126</v>
      </c>
      <c r="L1843" s="93" t="e">
        <v>#N/A</v>
      </c>
      <c r="M1843" s="93" t="s">
        <v>2311</v>
      </c>
      <c r="N1843" s="93" t="e">
        <f>VLOOKUP(B1843,'[16]01.수집 카테고리(List)'!$A$2:$H$64,8,FALSE)</f>
        <v>#N/A</v>
      </c>
      <c r="O1843" s="93"/>
    </row>
    <row r="1844" spans="1:15" hidden="1">
      <c r="A1844" s="75" t="str">
        <f t="shared" si="66"/>
        <v>KZSULPAKWIRELESS HEADSETBluetooth earbudsНаушники Вставные</v>
      </c>
      <c r="B1844" s="94" t="str">
        <f t="shared" si="67"/>
        <v>KZ_SULPAK</v>
      </c>
      <c r="C1844" s="93" t="s">
        <v>410</v>
      </c>
      <c r="D1844" s="93" t="s">
        <v>411</v>
      </c>
      <c r="E1844" s="93" t="s">
        <v>2201</v>
      </c>
      <c r="F1844" s="93" t="s">
        <v>2382</v>
      </c>
      <c r="G1844" s="93" t="s">
        <v>3151</v>
      </c>
      <c r="H1844" s="93" t="e">
        <v>#N/A</v>
      </c>
      <c r="I1844" s="105" t="s">
        <v>2310</v>
      </c>
      <c r="J1844" s="93" t="s">
        <v>189</v>
      </c>
      <c r="K1844" s="93">
        <v>303</v>
      </c>
      <c r="L1844" s="93" t="e">
        <v>#N/A</v>
      </c>
      <c r="M1844" s="93" t="s">
        <v>2311</v>
      </c>
      <c r="N1844" s="93" t="e">
        <f>VLOOKUP(B1844,'[16]01.수집 카테고리(List)'!$A$2:$H$64,8,FALSE)</f>
        <v>#N/A</v>
      </c>
      <c r="O1844" s="93"/>
    </row>
    <row r="1845" spans="1:15" hidden="1">
      <c r="A1845" s="75" t="str">
        <f t="shared" si="66"/>
        <v>KZSULPAKWIRELESS HEADSETNoise cancelling earbudsНаушники с шумоподавлением</v>
      </c>
      <c r="B1845" s="94" t="str">
        <f t="shared" si="67"/>
        <v>KZ_SULPAK</v>
      </c>
      <c r="C1845" s="93" t="s">
        <v>410</v>
      </c>
      <c r="D1845" s="93" t="s">
        <v>411</v>
      </c>
      <c r="E1845" s="93" t="s">
        <v>2201</v>
      </c>
      <c r="F1845" s="93" t="s">
        <v>2378</v>
      </c>
      <c r="G1845" s="93" t="s">
        <v>3152</v>
      </c>
      <c r="H1845" s="93" t="e">
        <v>#N/A</v>
      </c>
      <c r="I1845" s="105" t="s">
        <v>2310</v>
      </c>
      <c r="J1845" s="93" t="s">
        <v>189</v>
      </c>
      <c r="K1845" s="93">
        <v>416</v>
      </c>
      <c r="L1845" s="93" t="e">
        <v>#N/A</v>
      </c>
      <c r="M1845" s="93" t="s">
        <v>2311</v>
      </c>
      <c r="N1845" s="93" t="e">
        <f>VLOOKUP(B1845,'[16]01.수집 카테고리(List)'!$A$2:$H$64,8,FALSE)</f>
        <v>#N/A</v>
      </c>
      <c r="O1845" s="93"/>
    </row>
    <row r="1846" spans="1:15" hidden="1">
      <c r="A1846" s="75" t="str">
        <f t="shared" si="66"/>
        <v>KZTECHNODOMAir Conditionerinverter air conditionerинвертерный кондиционер</v>
      </c>
      <c r="B1846" s="94" t="str">
        <f t="shared" si="67"/>
        <v>KZ_TECHNODOM</v>
      </c>
      <c r="C1846" s="93" t="s">
        <v>410</v>
      </c>
      <c r="D1846" s="93" t="s">
        <v>413</v>
      </c>
      <c r="E1846" s="93" t="s">
        <v>2346</v>
      </c>
      <c r="F1846" s="93" t="s">
        <v>2348</v>
      </c>
      <c r="G1846" s="93" t="s">
        <v>3121</v>
      </c>
      <c r="H1846" s="93" t="e">
        <v>#N/A</v>
      </c>
      <c r="I1846" s="105" t="s">
        <v>2310</v>
      </c>
      <c r="J1846" s="93" t="s">
        <v>189</v>
      </c>
      <c r="K1846" s="93">
        <v>567</v>
      </c>
      <c r="L1846" s="93" t="e">
        <v>#N/A</v>
      </c>
      <c r="M1846" s="93" t="s">
        <v>2311</v>
      </c>
      <c r="N1846" s="93" t="e">
        <f>VLOOKUP(B1846,'[16]01.수집 카테고리(List)'!$A$2:$H$64,8,FALSE)</f>
        <v>#N/A</v>
      </c>
      <c r="O1846" s="93"/>
    </row>
    <row r="1847" spans="1:15" hidden="1">
      <c r="A1847" s="75" t="str">
        <f t="shared" si="66"/>
        <v>KZTECHNODOMAir Conditionerair conditionerкондиционер</v>
      </c>
      <c r="B1847" s="94" t="str">
        <f t="shared" si="67"/>
        <v>KZ_TECHNODOM</v>
      </c>
      <c r="C1847" s="93" t="s">
        <v>410</v>
      </c>
      <c r="D1847" s="93" t="s">
        <v>413</v>
      </c>
      <c r="E1847" s="93" t="s">
        <v>2346</v>
      </c>
      <c r="F1847" s="93" t="s">
        <v>2347</v>
      </c>
      <c r="G1847" s="93" t="s">
        <v>3122</v>
      </c>
      <c r="H1847" s="93" t="e">
        <v>#N/A</v>
      </c>
      <c r="I1847" s="105" t="s">
        <v>2310</v>
      </c>
      <c r="J1847" s="93" t="s">
        <v>189</v>
      </c>
      <c r="K1847" s="93">
        <v>1729</v>
      </c>
      <c r="L1847" s="93" t="e">
        <v>#N/A</v>
      </c>
      <c r="M1847" s="93" t="s">
        <v>2311</v>
      </c>
      <c r="N1847" s="93" t="e">
        <f>VLOOKUP(B1847,'[16]01.수집 카테고리(List)'!$A$2:$H$64,8,FALSE)</f>
        <v>#N/A</v>
      </c>
      <c r="O1847" s="93"/>
    </row>
    <row r="1848" spans="1:15" hidden="1">
      <c r="A1848" s="75" t="str">
        <f t="shared" si="66"/>
        <v>KZTECHNODOMBluetooth Speakerbluetooth speakerbluetooth колонка</v>
      </c>
      <c r="B1848" s="94" t="str">
        <f t="shared" si="67"/>
        <v>KZ_TECHNODOM</v>
      </c>
      <c r="C1848" s="93" t="s">
        <v>410</v>
      </c>
      <c r="D1848" s="93" t="s">
        <v>413</v>
      </c>
      <c r="E1848" s="93" t="s">
        <v>2307</v>
      </c>
      <c r="F1848" s="93" t="s">
        <v>2657</v>
      </c>
      <c r="G1848" s="93" t="s">
        <v>3123</v>
      </c>
      <c r="H1848" s="93" t="e">
        <v>#N/A</v>
      </c>
      <c r="I1848" s="105" t="s">
        <v>2310</v>
      </c>
      <c r="J1848" s="93" t="s">
        <v>189</v>
      </c>
      <c r="K1848" s="93">
        <v>64</v>
      </c>
      <c r="L1848" s="93" t="e">
        <v>#N/A</v>
      </c>
      <c r="M1848" s="93" t="s">
        <v>2311</v>
      </c>
      <c r="N1848" s="93" t="e">
        <f>VLOOKUP(B1848,'[16]01.수집 카테고리(List)'!$A$2:$H$64,8,FALSE)</f>
        <v>#N/A</v>
      </c>
      <c r="O1848" s="93"/>
    </row>
    <row r="1849" spans="1:15" hidden="1">
      <c r="A1849" s="75" t="str">
        <f t="shared" si="66"/>
        <v>KZTECHNODOMBluetooth Speakerbluetooth speaker portablebluetooth колонка портативті</v>
      </c>
      <c r="B1849" s="94" t="str">
        <f t="shared" si="67"/>
        <v>KZ_TECHNODOM</v>
      </c>
      <c r="C1849" s="93" t="s">
        <v>410</v>
      </c>
      <c r="D1849" s="93" t="s">
        <v>413</v>
      </c>
      <c r="E1849" s="93" t="s">
        <v>2307</v>
      </c>
      <c r="F1849" s="93" t="s">
        <v>2479</v>
      </c>
      <c r="G1849" s="93" t="s">
        <v>3124</v>
      </c>
      <c r="H1849" s="93" t="e">
        <v>#N/A</v>
      </c>
      <c r="I1849" s="105" t="s">
        <v>2310</v>
      </c>
      <c r="J1849" s="93" t="s">
        <v>189</v>
      </c>
      <c r="K1849" s="93">
        <v>1</v>
      </c>
      <c r="L1849" s="93" t="e">
        <v>#N/A</v>
      </c>
      <c r="M1849" s="93" t="s">
        <v>2311</v>
      </c>
      <c r="N1849" s="93" t="e">
        <f>VLOOKUP(B1849,'[16]01.수집 카테고리(List)'!$A$2:$H$64,8,FALSE)</f>
        <v>#N/A</v>
      </c>
      <c r="O1849" s="93"/>
    </row>
    <row r="1850" spans="1:15" hidden="1">
      <c r="A1850" s="75" t="str">
        <f t="shared" si="66"/>
        <v>KZTECHNODOMBluetooth Speakerspeakersколонка</v>
      </c>
      <c r="B1850" s="94" t="str">
        <f t="shared" si="67"/>
        <v>KZ_TECHNODOM</v>
      </c>
      <c r="C1850" s="93" t="s">
        <v>410</v>
      </c>
      <c r="D1850" s="93" t="s">
        <v>413</v>
      </c>
      <c r="E1850" s="93" t="s">
        <v>2307</v>
      </c>
      <c r="F1850" s="93" t="s">
        <v>2471</v>
      </c>
      <c r="G1850" s="93" t="s">
        <v>3125</v>
      </c>
      <c r="H1850" s="93" t="e">
        <v>#N/A</v>
      </c>
      <c r="I1850" s="105" t="s">
        <v>2310</v>
      </c>
      <c r="J1850" s="93" t="s">
        <v>189</v>
      </c>
      <c r="K1850" s="93">
        <v>372</v>
      </c>
      <c r="L1850" s="93" t="e">
        <v>#N/A</v>
      </c>
      <c r="M1850" s="93" t="s">
        <v>2311</v>
      </c>
      <c r="N1850" s="93" t="e">
        <f>VLOOKUP(B1850,'[16]01.수집 카테고리(List)'!$A$2:$H$64,8,FALSE)</f>
        <v>#N/A</v>
      </c>
      <c r="O1850" s="93"/>
    </row>
    <row r="1851" spans="1:15" hidden="1">
      <c r="A1851" s="75" t="str">
        <f t="shared" si="66"/>
        <v>KZTECHNODOMBluetooth Speakerwireless portable speakersколонка портативті</v>
      </c>
      <c r="B1851" s="94" t="str">
        <f t="shared" si="67"/>
        <v>KZ_TECHNODOM</v>
      </c>
      <c r="C1851" s="93" t="s">
        <v>410</v>
      </c>
      <c r="D1851" s="93" t="s">
        <v>413</v>
      </c>
      <c r="E1851" s="93" t="s">
        <v>2307</v>
      </c>
      <c r="F1851" s="93" t="s">
        <v>2475</v>
      </c>
      <c r="G1851" s="93" t="s">
        <v>3126</v>
      </c>
      <c r="H1851" s="93" t="e">
        <v>#N/A</v>
      </c>
      <c r="I1851" s="105" t="s">
        <v>2310</v>
      </c>
      <c r="J1851" s="93" t="s">
        <v>189</v>
      </c>
      <c r="K1851" s="93">
        <v>22</v>
      </c>
      <c r="L1851" s="93" t="e">
        <v>#N/A</v>
      </c>
      <c r="M1851" s="93" t="s">
        <v>2311</v>
      </c>
      <c r="N1851" s="93" t="e">
        <f>VLOOKUP(B1851,'[16]01.수집 카테고리(List)'!$A$2:$H$64,8,FALSE)</f>
        <v>#N/A</v>
      </c>
      <c r="O1851" s="93"/>
    </row>
    <row r="1852" spans="1:15" hidden="1">
      <c r="A1852" s="75" t="str">
        <f t="shared" si="66"/>
        <v>KZTECHNODOMBluetooth Speakerportable speakersпортативті колонка</v>
      </c>
      <c r="B1852" s="94" t="str">
        <f t="shared" si="67"/>
        <v>KZ_TECHNODOM</v>
      </c>
      <c r="C1852" s="93" t="s">
        <v>410</v>
      </c>
      <c r="D1852" s="93" t="s">
        <v>413</v>
      </c>
      <c r="E1852" s="93" t="s">
        <v>2307</v>
      </c>
      <c r="F1852" s="93" t="s">
        <v>2473</v>
      </c>
      <c r="G1852" s="93" t="s">
        <v>3127</v>
      </c>
      <c r="H1852" s="93" t="e">
        <v>#N/A</v>
      </c>
      <c r="I1852" s="105" t="s">
        <v>2310</v>
      </c>
      <c r="J1852" s="93" t="s">
        <v>189</v>
      </c>
      <c r="K1852" s="93">
        <v>24</v>
      </c>
      <c r="L1852" s="93" t="e">
        <v>#N/A</v>
      </c>
      <c r="M1852" s="93" t="s">
        <v>2311</v>
      </c>
      <c r="N1852" s="93" t="e">
        <f>VLOOKUP(B1852,'[16]01.수집 카테고리(List)'!$A$2:$H$64,8,FALSE)</f>
        <v>#N/A</v>
      </c>
      <c r="O1852" s="93"/>
    </row>
    <row r="1853" spans="1:15" hidden="1">
      <c r="A1853" s="75" t="str">
        <f t="shared" si="66"/>
        <v>KZTECHNODOMDISHWASHERBuilt in Dish washerВстроенная посудомоечная машина</v>
      </c>
      <c r="B1853" s="94" t="str">
        <f t="shared" si="67"/>
        <v>KZ_TECHNODOM</v>
      </c>
      <c r="C1853" s="93" t="s">
        <v>410</v>
      </c>
      <c r="D1853" s="93" t="s">
        <v>413</v>
      </c>
      <c r="E1853" s="93" t="s">
        <v>169</v>
      </c>
      <c r="F1853" s="93" t="s">
        <v>2356</v>
      </c>
      <c r="G1853" s="93" t="s">
        <v>3128</v>
      </c>
      <c r="H1853" s="93" t="e">
        <v>#N/A</v>
      </c>
      <c r="I1853" s="105" t="s">
        <v>2310</v>
      </c>
      <c r="J1853" s="93" t="s">
        <v>189</v>
      </c>
      <c r="K1853" s="93">
        <v>18</v>
      </c>
      <c r="L1853" s="93" t="e">
        <v>#N/A</v>
      </c>
      <c r="M1853" s="93" t="s">
        <v>2311</v>
      </c>
      <c r="N1853" s="93" t="e">
        <f>VLOOKUP(B1853,'[16]01.수집 카테고리(List)'!$A$2:$H$64,8,FALSE)</f>
        <v>#N/A</v>
      </c>
      <c r="O1853" s="93"/>
    </row>
    <row r="1854" spans="1:15" hidden="1">
      <c r="A1854" s="75" t="str">
        <f t="shared" si="66"/>
        <v>KZTECHNODOMDISHWASHERFreestanding Dishwasher Отдельностоящая посудомоечная машина</v>
      </c>
      <c r="B1854" s="94" t="str">
        <f t="shared" si="67"/>
        <v>KZ_TECHNODOM</v>
      </c>
      <c r="C1854" s="93" t="s">
        <v>410</v>
      </c>
      <c r="D1854" s="93" t="s">
        <v>413</v>
      </c>
      <c r="E1854" s="93" t="s">
        <v>169</v>
      </c>
      <c r="F1854" s="93" t="s">
        <v>2441</v>
      </c>
      <c r="G1854" s="93" t="s">
        <v>3129</v>
      </c>
      <c r="H1854" s="93" t="e">
        <v>#N/A</v>
      </c>
      <c r="I1854" s="105" t="s">
        <v>2310</v>
      </c>
      <c r="J1854" s="93" t="s">
        <v>189</v>
      </c>
      <c r="K1854" s="93">
        <v>4275</v>
      </c>
      <c r="L1854" s="93" t="e">
        <v>#N/A</v>
      </c>
      <c r="M1854" s="93" t="s">
        <v>2311</v>
      </c>
      <c r="N1854" s="93" t="e">
        <f>VLOOKUP(B1854,'[16]01.수집 카테고리(List)'!$A$2:$H$64,8,FALSE)</f>
        <v>#N/A</v>
      </c>
      <c r="O1854" s="93"/>
    </row>
    <row r="1855" spans="1:15" hidden="1">
      <c r="A1855" s="75" t="str">
        <f t="shared" ref="A1855:A1918" si="68">C1855&amp;D1855&amp;E1855&amp;F1855&amp;G1855</f>
        <v>KZTECHNODOMDISHWASHERdishwasherпосудомоечная машина</v>
      </c>
      <c r="B1855" s="94" t="str">
        <f t="shared" ref="B1855:B1918" si="69">C1855&amp;"_"&amp;D1855</f>
        <v>KZ_TECHNODOM</v>
      </c>
      <c r="C1855" s="93" t="s">
        <v>410</v>
      </c>
      <c r="D1855" s="93" t="s">
        <v>413</v>
      </c>
      <c r="E1855" s="93" t="s">
        <v>169</v>
      </c>
      <c r="F1855" s="93" t="s">
        <v>2354</v>
      </c>
      <c r="G1855" s="93" t="s">
        <v>3130</v>
      </c>
      <c r="H1855" s="93" t="e">
        <v>#N/A</v>
      </c>
      <c r="I1855" s="105" t="s">
        <v>2310</v>
      </c>
      <c r="J1855" s="93" t="s">
        <v>189</v>
      </c>
      <c r="K1855" s="93">
        <v>249</v>
      </c>
      <c r="L1855" s="93" t="e">
        <v>#N/A</v>
      </c>
      <c r="M1855" s="93" t="s">
        <v>2311</v>
      </c>
      <c r="N1855" s="93" t="e">
        <f>VLOOKUP(B1855,'[16]01.수집 카테고리(List)'!$A$2:$H$64,8,FALSE)</f>
        <v>#N/A</v>
      </c>
      <c r="O1855" s="93"/>
    </row>
    <row r="1856" spans="1:15" hidden="1">
      <c r="A1856" s="75" t="str">
        <f t="shared" si="68"/>
        <v>KZTECHNODOMRefrigeratorside by side refrigeratorмногодверный холодильник</v>
      </c>
      <c r="B1856" s="94" t="str">
        <f t="shared" si="69"/>
        <v>KZ_TECHNODOM</v>
      </c>
      <c r="C1856" s="93" t="s">
        <v>410</v>
      </c>
      <c r="D1856" s="93" t="s">
        <v>413</v>
      </c>
      <c r="E1856" s="93" t="s">
        <v>2326</v>
      </c>
      <c r="F1856" s="93" t="s">
        <v>2330</v>
      </c>
      <c r="G1856" s="93" t="s">
        <v>3131</v>
      </c>
      <c r="H1856" s="93" t="e">
        <v>#N/A</v>
      </c>
      <c r="I1856" s="105" t="s">
        <v>2310</v>
      </c>
      <c r="J1856" s="93" t="s">
        <v>189</v>
      </c>
      <c r="K1856" s="93">
        <v>609</v>
      </c>
      <c r="L1856" s="93" t="e">
        <v>#N/A</v>
      </c>
      <c r="M1856" s="93" t="s">
        <v>2311</v>
      </c>
      <c r="N1856" s="93" t="e">
        <f>VLOOKUP(B1856,'[16]01.수집 카테고리(List)'!$A$2:$H$64,8,FALSE)</f>
        <v>#N/A</v>
      </c>
      <c r="O1856" s="93"/>
    </row>
    <row r="1857" spans="1:15" hidden="1">
      <c r="A1857" s="75" t="str">
        <f t="shared" si="68"/>
        <v>KZTECHNODOMRefrigeratorrefrigeratorхолодильник</v>
      </c>
      <c r="B1857" s="94" t="str">
        <f t="shared" si="69"/>
        <v>KZ_TECHNODOM</v>
      </c>
      <c r="C1857" s="93" t="s">
        <v>410</v>
      </c>
      <c r="D1857" s="93" t="s">
        <v>413</v>
      </c>
      <c r="E1857" s="93" t="s">
        <v>2326</v>
      </c>
      <c r="F1857" s="93" t="s">
        <v>2329</v>
      </c>
      <c r="G1857" s="93" t="s">
        <v>3132</v>
      </c>
      <c r="H1857" s="93" t="e">
        <v>#N/A</v>
      </c>
      <c r="I1857" s="105" t="s">
        <v>2310</v>
      </c>
      <c r="J1857" s="93" t="s">
        <v>189</v>
      </c>
      <c r="K1857" s="93">
        <v>196</v>
      </c>
      <c r="L1857" s="93" t="e">
        <v>#N/A</v>
      </c>
      <c r="M1857" s="93" t="s">
        <v>2311</v>
      </c>
      <c r="N1857" s="93" t="e">
        <f>VLOOKUP(B1857,'[16]01.수집 카테고리(List)'!$A$2:$H$64,8,FALSE)</f>
        <v>#N/A</v>
      </c>
      <c r="O1857" s="93"/>
    </row>
    <row r="1858" spans="1:15" hidden="1">
      <c r="A1858" s="75" t="str">
        <f t="shared" si="68"/>
        <v>KZTECHNODOMRefrigeratortop freezer refrigeratorхолодильник с верхней морозильной камерой</v>
      </c>
      <c r="B1858" s="94" t="str">
        <f t="shared" si="69"/>
        <v>KZ_TECHNODOM</v>
      </c>
      <c r="C1858" s="93" t="s">
        <v>410</v>
      </c>
      <c r="D1858" s="93" t="s">
        <v>413</v>
      </c>
      <c r="E1858" s="93" t="s">
        <v>2326</v>
      </c>
      <c r="F1858" s="93" t="s">
        <v>2332</v>
      </c>
      <c r="G1858" s="93" t="s">
        <v>3133</v>
      </c>
      <c r="H1858" s="93" t="e">
        <v>#N/A</v>
      </c>
      <c r="I1858" s="105" t="s">
        <v>2310</v>
      </c>
      <c r="J1858" s="93" t="s">
        <v>189</v>
      </c>
      <c r="K1858" s="93">
        <v>2306</v>
      </c>
      <c r="L1858" s="93" t="e">
        <v>#N/A</v>
      </c>
      <c r="M1858" s="93" t="s">
        <v>2311</v>
      </c>
      <c r="N1858" s="93" t="e">
        <f>VLOOKUP(B1858,'[16]01.수집 카테고리(List)'!$A$2:$H$64,8,FALSE)</f>
        <v>#N/A</v>
      </c>
      <c r="O1858" s="93"/>
    </row>
    <row r="1859" spans="1:15" hidden="1">
      <c r="A1859" s="75" t="str">
        <f t="shared" si="68"/>
        <v>KZTECHNODOMRefrigeratorbottom freezer refrigeratorхолодильник с нижней морозильной камерой</v>
      </c>
      <c r="B1859" s="94" t="str">
        <f t="shared" si="69"/>
        <v>KZ_TECHNODOM</v>
      </c>
      <c r="C1859" s="93" t="s">
        <v>410</v>
      </c>
      <c r="D1859" s="93" t="s">
        <v>413</v>
      </c>
      <c r="E1859" s="93" t="s">
        <v>2326</v>
      </c>
      <c r="F1859" s="93" t="s">
        <v>2327</v>
      </c>
      <c r="G1859" s="93" t="s">
        <v>3134</v>
      </c>
      <c r="H1859" s="93" t="e">
        <v>#N/A</v>
      </c>
      <c r="I1859" s="105" t="s">
        <v>2310</v>
      </c>
      <c r="J1859" s="93" t="s">
        <v>189</v>
      </c>
      <c r="K1859" s="93">
        <v>2335</v>
      </c>
      <c r="L1859" s="93" t="e">
        <v>#N/A</v>
      </c>
      <c r="M1859" s="93" t="s">
        <v>2311</v>
      </c>
      <c r="N1859" s="93" t="e">
        <f>VLOOKUP(B1859,'[16]01.수집 카테고리(List)'!$A$2:$H$64,8,FALSE)</f>
        <v>#N/A</v>
      </c>
      <c r="O1859" s="93"/>
    </row>
    <row r="1860" spans="1:15" hidden="1">
      <c r="A1860" s="75" t="str">
        <f t="shared" si="68"/>
        <v>KZTECHNODOMSOUNDBARsoundbarsoundbar</v>
      </c>
      <c r="B1860" s="94" t="str">
        <f t="shared" si="69"/>
        <v>KZ_TECHNODOM</v>
      </c>
      <c r="C1860" s="93" t="s">
        <v>410</v>
      </c>
      <c r="D1860" s="93" t="s">
        <v>413</v>
      </c>
      <c r="E1860" s="93" t="s">
        <v>165</v>
      </c>
      <c r="F1860" s="93" t="s">
        <v>2987</v>
      </c>
      <c r="G1860" s="93" t="s">
        <v>2987</v>
      </c>
      <c r="H1860" s="93" t="e">
        <v>#N/A</v>
      </c>
      <c r="I1860" s="105" t="s">
        <v>2310</v>
      </c>
      <c r="J1860" s="93" t="s">
        <v>189</v>
      </c>
      <c r="K1860" s="93">
        <v>21</v>
      </c>
      <c r="L1860" s="93">
        <v>21</v>
      </c>
      <c r="M1860" s="93" t="s">
        <v>2311</v>
      </c>
      <c r="N1860" s="93" t="e">
        <f>VLOOKUP(B1860,'[16]01.수집 카테고리(List)'!$A$2:$H$64,8,FALSE)</f>
        <v>#N/A</v>
      </c>
      <c r="O1860" s="93"/>
    </row>
    <row r="1861" spans="1:15" hidden="1">
      <c r="A1861" s="75" t="str">
        <f t="shared" si="68"/>
        <v>KZTECHNODOMSOUNDBARaudioдыбыс</v>
      </c>
      <c r="B1861" s="94" t="str">
        <f t="shared" si="69"/>
        <v>KZ_TECHNODOM</v>
      </c>
      <c r="C1861" s="93" t="s">
        <v>410</v>
      </c>
      <c r="D1861" s="93" t="s">
        <v>413</v>
      </c>
      <c r="E1861" s="93" t="s">
        <v>165</v>
      </c>
      <c r="F1861" s="93" t="s">
        <v>2528</v>
      </c>
      <c r="G1861" s="93" t="s">
        <v>3135</v>
      </c>
      <c r="H1861" s="93" t="e">
        <v>#N/A</v>
      </c>
      <c r="I1861" s="105" t="s">
        <v>2310</v>
      </c>
      <c r="J1861" s="93" t="s">
        <v>189</v>
      </c>
      <c r="K1861" s="93">
        <v>8</v>
      </c>
      <c r="L1861" s="93" t="e">
        <v>#N/A</v>
      </c>
      <c r="M1861" s="93" t="s">
        <v>2311</v>
      </c>
      <c r="N1861" s="93" t="e">
        <f>VLOOKUP(B1861,'[16]01.수집 카테고리(List)'!$A$2:$H$64,8,FALSE)</f>
        <v>#N/A</v>
      </c>
      <c r="O1861" s="93"/>
    </row>
    <row r="1862" spans="1:15" hidden="1">
      <c r="A1862" s="75" t="str">
        <f t="shared" si="68"/>
        <v>KZTECHNODOMSOUNDBARsound barСаундбар</v>
      </c>
      <c r="B1862" s="94" t="str">
        <f t="shared" si="69"/>
        <v>KZ_TECHNODOM</v>
      </c>
      <c r="C1862" s="93" t="s">
        <v>410</v>
      </c>
      <c r="D1862" s="93" t="s">
        <v>413</v>
      </c>
      <c r="E1862" s="93" t="s">
        <v>165</v>
      </c>
      <c r="F1862" s="93" t="s">
        <v>2529</v>
      </c>
      <c r="G1862" s="93" t="s">
        <v>3136</v>
      </c>
      <c r="H1862" s="93" t="e">
        <v>#N/A</v>
      </c>
      <c r="I1862" s="105" t="s">
        <v>2310</v>
      </c>
      <c r="J1862" s="93" t="s">
        <v>189</v>
      </c>
      <c r="K1862" s="93">
        <v>24</v>
      </c>
      <c r="L1862" s="93" t="e">
        <v>#N/A</v>
      </c>
      <c r="M1862" s="93" t="s">
        <v>2311</v>
      </c>
      <c r="N1862" s="93" t="e">
        <f>VLOOKUP(B1862,'[16]01.수집 카테고리(List)'!$A$2:$H$64,8,FALSE)</f>
        <v>#N/A</v>
      </c>
      <c r="O1862" s="93"/>
    </row>
    <row r="1863" spans="1:15" hidden="1">
      <c r="A1863" s="75" t="str">
        <f t="shared" si="68"/>
        <v>KZTECHNODOMSOUNDBARsound systemсистема саундбара</v>
      </c>
      <c r="B1863" s="94" t="str">
        <f t="shared" si="69"/>
        <v>KZ_TECHNODOM</v>
      </c>
      <c r="C1863" s="93" t="s">
        <v>410</v>
      </c>
      <c r="D1863" s="93" t="s">
        <v>413</v>
      </c>
      <c r="E1863" s="93" t="s">
        <v>165</v>
      </c>
      <c r="F1863" s="93" t="s">
        <v>2530</v>
      </c>
      <c r="G1863" s="93" t="s">
        <v>3137</v>
      </c>
      <c r="H1863" s="93" t="e">
        <v>#N/A</v>
      </c>
      <c r="I1863" s="105" t="s">
        <v>2310</v>
      </c>
      <c r="J1863" s="93" t="s">
        <v>189</v>
      </c>
      <c r="K1863" s="93">
        <v>15</v>
      </c>
      <c r="L1863" s="93" t="e">
        <v>#N/A</v>
      </c>
      <c r="M1863" s="93" t="s">
        <v>2311</v>
      </c>
      <c r="N1863" s="93" t="e">
        <f>VLOOKUP(B1863,'[16]01.수집 카테고리(List)'!$A$2:$H$64,8,FALSE)</f>
        <v>#N/A</v>
      </c>
      <c r="O1863" s="93"/>
    </row>
    <row r="1864" spans="1:15" hidden="1">
      <c r="A1864" s="75" t="str">
        <f t="shared" si="68"/>
        <v>KZTECHNODOMTV4k TV4k телевизор</v>
      </c>
      <c r="B1864" s="94" t="str">
        <f t="shared" si="69"/>
        <v>KZ_TECHNODOM</v>
      </c>
      <c r="C1864" s="93" t="s">
        <v>410</v>
      </c>
      <c r="D1864" s="93" t="s">
        <v>413</v>
      </c>
      <c r="E1864" s="93" t="s">
        <v>161</v>
      </c>
      <c r="F1864" s="93" t="s">
        <v>2368</v>
      </c>
      <c r="G1864" s="93" t="s">
        <v>3139</v>
      </c>
      <c r="H1864" s="93" t="e">
        <v>#N/A</v>
      </c>
      <c r="I1864" s="105" t="s">
        <v>2310</v>
      </c>
      <c r="J1864" s="93" t="s">
        <v>189</v>
      </c>
      <c r="K1864" s="93">
        <v>57</v>
      </c>
      <c r="L1864" s="93" t="e">
        <v>#N/A</v>
      </c>
      <c r="M1864" s="93" t="s">
        <v>2311</v>
      </c>
      <c r="N1864" s="93" t="e">
        <f>VLOOKUP(B1864,'[16]01.수집 카테고리(List)'!$A$2:$H$64,8,FALSE)</f>
        <v>#N/A</v>
      </c>
      <c r="O1864" s="93"/>
    </row>
    <row r="1865" spans="1:15" hidden="1">
      <c r="A1865" s="75" t="str">
        <f t="shared" si="68"/>
        <v>KZTECHNODOMTVoled TVoled телевизор</v>
      </c>
      <c r="B1865" s="94" t="str">
        <f t="shared" si="69"/>
        <v>KZ_TECHNODOM</v>
      </c>
      <c r="C1865" s="93" t="s">
        <v>410</v>
      </c>
      <c r="D1865" s="93" t="s">
        <v>413</v>
      </c>
      <c r="E1865" s="93" t="s">
        <v>161</v>
      </c>
      <c r="F1865" s="93" t="s">
        <v>2369</v>
      </c>
      <c r="G1865" s="93" t="s">
        <v>3140</v>
      </c>
      <c r="H1865" s="93" t="e">
        <v>#N/A</v>
      </c>
      <c r="I1865" s="105" t="s">
        <v>2310</v>
      </c>
      <c r="J1865" s="93" t="s">
        <v>189</v>
      </c>
      <c r="K1865" s="93">
        <v>35</v>
      </c>
      <c r="L1865" s="93" t="e">
        <v>#N/A</v>
      </c>
      <c r="M1865" s="93" t="s">
        <v>2311</v>
      </c>
      <c r="N1865" s="93" t="e">
        <f>VLOOKUP(B1865,'[16]01.수집 카테고리(List)'!$A$2:$H$64,8,FALSE)</f>
        <v>#N/A</v>
      </c>
      <c r="O1865" s="93"/>
    </row>
    <row r="1866" spans="1:15" hidden="1">
      <c r="A1866" s="75" t="str">
        <f t="shared" si="68"/>
        <v>KZTECHNODOMTVuhd TVuhd телевизор</v>
      </c>
      <c r="B1866" s="94" t="str">
        <f t="shared" si="69"/>
        <v>KZ_TECHNODOM</v>
      </c>
      <c r="C1866" s="93" t="s">
        <v>410</v>
      </c>
      <c r="D1866" s="93" t="s">
        <v>413</v>
      </c>
      <c r="E1866" s="93" t="s">
        <v>161</v>
      </c>
      <c r="F1866" s="93" t="s">
        <v>2399</v>
      </c>
      <c r="G1866" s="93" t="s">
        <v>3141</v>
      </c>
      <c r="H1866" s="93" t="e">
        <v>#N/A</v>
      </c>
      <c r="I1866" s="105" t="s">
        <v>2310</v>
      </c>
      <c r="J1866" s="93" t="s">
        <v>189</v>
      </c>
      <c r="K1866" s="93">
        <v>12</v>
      </c>
      <c r="L1866" s="93" t="e">
        <v>#N/A</v>
      </c>
      <c r="M1866" s="93" t="s">
        <v>2311</v>
      </c>
      <c r="N1866" s="93" t="e">
        <f>VLOOKUP(B1866,'[16]01.수집 카테고리(List)'!$A$2:$H$64,8,FALSE)</f>
        <v>#N/A</v>
      </c>
      <c r="O1866" s="93"/>
    </row>
    <row r="1867" spans="1:15" hidden="1">
      <c r="A1867" s="75" t="str">
        <f t="shared" si="68"/>
        <v>KZTECHNODOMTVsmart TVсмарт тв</v>
      </c>
      <c r="B1867" s="94" t="str">
        <f t="shared" si="69"/>
        <v>KZ_TECHNODOM</v>
      </c>
      <c r="C1867" s="93" t="s">
        <v>410</v>
      </c>
      <c r="D1867" s="93" t="s">
        <v>413</v>
      </c>
      <c r="E1867" s="93" t="s">
        <v>161</v>
      </c>
      <c r="F1867" s="93" t="s">
        <v>2371</v>
      </c>
      <c r="G1867" s="93" t="s">
        <v>3142</v>
      </c>
      <c r="H1867" s="93" t="e">
        <v>#N/A</v>
      </c>
      <c r="I1867" s="105" t="s">
        <v>2310</v>
      </c>
      <c r="J1867" s="93" t="s">
        <v>189</v>
      </c>
      <c r="K1867" s="93">
        <v>226</v>
      </c>
      <c r="L1867" s="93" t="e">
        <v>#N/A</v>
      </c>
      <c r="M1867" s="93" t="s">
        <v>2311</v>
      </c>
      <c r="N1867" s="93" t="e">
        <f>VLOOKUP(B1867,'[16]01.수집 카테고리(List)'!$A$2:$H$64,8,FALSE)</f>
        <v>#N/A</v>
      </c>
      <c r="O1867" s="93"/>
    </row>
    <row r="1868" spans="1:15" hidden="1">
      <c r="A1868" s="75" t="str">
        <f t="shared" si="68"/>
        <v>KZTECHNODOMTVTVтелевизор</v>
      </c>
      <c r="B1868" s="94" t="str">
        <f t="shared" si="69"/>
        <v>KZ_TECHNODOM</v>
      </c>
      <c r="C1868" s="93" t="s">
        <v>410</v>
      </c>
      <c r="D1868" s="93" t="s">
        <v>413</v>
      </c>
      <c r="E1868" s="93" t="s">
        <v>161</v>
      </c>
      <c r="F1868" s="93" t="s">
        <v>161</v>
      </c>
      <c r="G1868" s="93" t="s">
        <v>3143</v>
      </c>
      <c r="H1868" s="93" t="e">
        <v>#N/A</v>
      </c>
      <c r="I1868" s="105" t="s">
        <v>2310</v>
      </c>
      <c r="J1868" s="93" t="s">
        <v>189</v>
      </c>
      <c r="K1868" s="93">
        <v>100076</v>
      </c>
      <c r="L1868" s="93" t="e">
        <v>#N/A</v>
      </c>
      <c r="M1868" s="93" t="s">
        <v>2311</v>
      </c>
      <c r="N1868" s="93" t="e">
        <f>VLOOKUP(B1868,'[16]01.수집 카테고리(List)'!$A$2:$H$64,8,FALSE)</f>
        <v>#N/A</v>
      </c>
      <c r="O1868" s="93"/>
    </row>
    <row r="1869" spans="1:15" hidden="1">
      <c r="A1869" s="75" t="str">
        <f t="shared" si="68"/>
        <v>KZTECHNODOMWashing Machinetop loaderверхняя загрузка</v>
      </c>
      <c r="B1869" s="94" t="str">
        <f t="shared" si="69"/>
        <v>KZ_TECHNODOM</v>
      </c>
      <c r="C1869" s="93" t="s">
        <v>410</v>
      </c>
      <c r="D1869" s="93" t="s">
        <v>413</v>
      </c>
      <c r="E1869" s="93" t="s">
        <v>2333</v>
      </c>
      <c r="F1869" s="93" t="s">
        <v>2336</v>
      </c>
      <c r="G1869" s="93" t="s">
        <v>3144</v>
      </c>
      <c r="H1869" s="93" t="e">
        <v>#N/A</v>
      </c>
      <c r="I1869" s="105" t="s">
        <v>2310</v>
      </c>
      <c r="J1869" s="93" t="s">
        <v>189</v>
      </c>
      <c r="K1869" s="93">
        <v>4</v>
      </c>
      <c r="L1869" s="93" t="e">
        <v>#N/A</v>
      </c>
      <c r="M1869" s="93" t="s">
        <v>2311</v>
      </c>
      <c r="N1869" s="93" t="e">
        <f>VLOOKUP(B1869,'[16]01.수집 카테고리(List)'!$A$2:$H$64,8,FALSE)</f>
        <v>#N/A</v>
      </c>
      <c r="O1869" s="93"/>
    </row>
    <row r="1870" spans="1:15" hidden="1">
      <c r="A1870" s="75" t="str">
        <f t="shared" si="68"/>
        <v>KZTECHNODOMWashing Machinefront loaderпередняя загрузка</v>
      </c>
      <c r="B1870" s="94" t="str">
        <f t="shared" si="69"/>
        <v>KZ_TECHNODOM</v>
      </c>
      <c r="C1870" s="93" t="s">
        <v>410</v>
      </c>
      <c r="D1870" s="93" t="s">
        <v>413</v>
      </c>
      <c r="E1870" s="93" t="s">
        <v>2333</v>
      </c>
      <c r="F1870" s="93" t="s">
        <v>2334</v>
      </c>
      <c r="G1870" s="93" t="s">
        <v>3145</v>
      </c>
      <c r="H1870" s="93" t="e">
        <v>#N/A</v>
      </c>
      <c r="I1870" s="105" t="s">
        <v>2310</v>
      </c>
      <c r="J1870" s="93" t="s">
        <v>189</v>
      </c>
      <c r="K1870" s="93">
        <v>6</v>
      </c>
      <c r="L1870" s="93" t="e">
        <v>#N/A</v>
      </c>
      <c r="M1870" s="93" t="s">
        <v>2311</v>
      </c>
      <c r="N1870" s="93" t="e">
        <f>VLOOKUP(B1870,'[16]01.수집 카테고리(List)'!$A$2:$H$64,8,FALSE)</f>
        <v>#N/A</v>
      </c>
      <c r="O1870" s="93"/>
    </row>
    <row r="1871" spans="1:15" hidden="1">
      <c r="A1871" s="75" t="str">
        <f t="shared" si="68"/>
        <v>KZTECHNODOMWashing Machinewashing machineстиральная машина</v>
      </c>
      <c r="B1871" s="94" t="str">
        <f t="shared" si="69"/>
        <v>KZ_TECHNODOM</v>
      </c>
      <c r="C1871" s="93" t="s">
        <v>410</v>
      </c>
      <c r="D1871" s="93" t="s">
        <v>413</v>
      </c>
      <c r="E1871" s="93" t="s">
        <v>2333</v>
      </c>
      <c r="F1871" s="93" t="s">
        <v>2340</v>
      </c>
      <c r="G1871" s="93" t="s">
        <v>3146</v>
      </c>
      <c r="H1871" s="93" t="e">
        <v>#N/A</v>
      </c>
      <c r="I1871" s="105" t="s">
        <v>2310</v>
      </c>
      <c r="J1871" s="93" t="s">
        <v>189</v>
      </c>
      <c r="K1871" s="93">
        <v>342</v>
      </c>
      <c r="L1871" s="93" t="e">
        <v>#N/A</v>
      </c>
      <c r="M1871" s="93" t="s">
        <v>2311</v>
      </c>
      <c r="N1871" s="93" t="e">
        <f>VLOOKUP(B1871,'[16]01.수집 카테고리(List)'!$A$2:$H$64,8,FALSE)</f>
        <v>#N/A</v>
      </c>
      <c r="O1871" s="93"/>
    </row>
    <row r="1872" spans="1:15" hidden="1">
      <c r="A1872" s="75" t="str">
        <f t="shared" si="68"/>
        <v>KZTECHNODOMWashing Machinewasher dryer comboСтиральная машина с сушкой</v>
      </c>
      <c r="B1872" s="94" t="str">
        <f t="shared" si="69"/>
        <v>KZ_TECHNODOM</v>
      </c>
      <c r="C1872" s="93" t="s">
        <v>410</v>
      </c>
      <c r="D1872" s="93" t="s">
        <v>413</v>
      </c>
      <c r="E1872" s="93" t="s">
        <v>2333</v>
      </c>
      <c r="F1872" s="93" t="s">
        <v>2338</v>
      </c>
      <c r="G1872" s="93" t="s">
        <v>3147</v>
      </c>
      <c r="H1872" s="93" t="e">
        <v>#N/A</v>
      </c>
      <c r="I1872" s="105" t="s">
        <v>2310</v>
      </c>
      <c r="J1872" s="93" t="s">
        <v>189</v>
      </c>
      <c r="K1872" s="93">
        <v>1</v>
      </c>
      <c r="L1872" s="93" t="e">
        <v>#N/A</v>
      </c>
      <c r="M1872" s="93" t="s">
        <v>2311</v>
      </c>
      <c r="N1872" s="93" t="e">
        <f>VLOOKUP(B1872,'[16]01.수집 카테고리(List)'!$A$2:$H$64,8,FALSE)</f>
        <v>#N/A</v>
      </c>
      <c r="O1872" s="93"/>
    </row>
    <row r="1873" spans="1:15" hidden="1">
      <c r="A1873" s="75" t="str">
        <f t="shared" si="68"/>
        <v>KZTECHNODOMWIRELESS HEADSETTrue wireless earbudsTrue wireless Наушники</v>
      </c>
      <c r="B1873" s="94" t="str">
        <f t="shared" si="69"/>
        <v>KZ_TECHNODOM</v>
      </c>
      <c r="C1873" s="93" t="s">
        <v>410</v>
      </c>
      <c r="D1873" s="93" t="s">
        <v>413</v>
      </c>
      <c r="E1873" s="93" t="s">
        <v>2201</v>
      </c>
      <c r="F1873" s="93" t="s">
        <v>2374</v>
      </c>
      <c r="G1873" s="93" t="s">
        <v>3148</v>
      </c>
      <c r="H1873" s="93" t="e">
        <v>#N/A</v>
      </c>
      <c r="I1873" s="105" t="s">
        <v>2310</v>
      </c>
      <c r="J1873" s="93" t="s">
        <v>189</v>
      </c>
      <c r="K1873" s="93">
        <v>2</v>
      </c>
      <c r="L1873" s="93" t="e">
        <v>#N/A</v>
      </c>
      <c r="M1873" s="93" t="s">
        <v>2311</v>
      </c>
      <c r="N1873" s="93" t="e">
        <f>VLOOKUP(B1873,'[16]01.수집 카테고리(List)'!$A$2:$H$64,8,FALSE)</f>
        <v>#N/A</v>
      </c>
      <c r="O1873" s="93"/>
    </row>
    <row r="1874" spans="1:15" hidden="1">
      <c r="A1874" s="75" t="str">
        <f t="shared" si="68"/>
        <v>KZTECHNODOMWIRELESS HEADSETWireless earbudsWireless Наушники</v>
      </c>
      <c r="B1874" s="94" t="str">
        <f t="shared" si="69"/>
        <v>KZ_TECHNODOM</v>
      </c>
      <c r="C1874" s="93" t="s">
        <v>410</v>
      </c>
      <c r="D1874" s="93" t="s">
        <v>413</v>
      </c>
      <c r="E1874" s="93" t="s">
        <v>2201</v>
      </c>
      <c r="F1874" s="93" t="s">
        <v>2376</v>
      </c>
      <c r="G1874" s="93" t="s">
        <v>3149</v>
      </c>
      <c r="H1874" s="93" t="e">
        <v>#N/A</v>
      </c>
      <c r="I1874" s="105" t="s">
        <v>2310</v>
      </c>
      <c r="J1874" s="93" t="s">
        <v>189</v>
      </c>
      <c r="K1874" s="93">
        <v>2</v>
      </c>
      <c r="L1874" s="93" t="e">
        <v>#N/A</v>
      </c>
      <c r="M1874" s="93" t="s">
        <v>2311</v>
      </c>
      <c r="N1874" s="93" t="e">
        <f>VLOOKUP(B1874,'[16]01.수집 카테고리(List)'!$A$2:$H$64,8,FALSE)</f>
        <v>#N/A</v>
      </c>
      <c r="O1874" s="93"/>
    </row>
    <row r="1875" spans="1:15" hidden="1">
      <c r="A1875" s="75" t="str">
        <f t="shared" si="68"/>
        <v>KZTECHNODOMWIRELESS HEADSETEar budsНаушники</v>
      </c>
      <c r="B1875" s="94" t="str">
        <f t="shared" si="69"/>
        <v>KZ_TECHNODOM</v>
      </c>
      <c r="C1875" s="93" t="s">
        <v>410</v>
      </c>
      <c r="D1875" s="93" t="s">
        <v>413</v>
      </c>
      <c r="E1875" s="93" t="s">
        <v>2201</v>
      </c>
      <c r="F1875" s="93" t="s">
        <v>2380</v>
      </c>
      <c r="G1875" s="93" t="s">
        <v>3150</v>
      </c>
      <c r="H1875" s="93" t="e">
        <v>#N/A</v>
      </c>
      <c r="I1875" s="105" t="s">
        <v>2310</v>
      </c>
      <c r="J1875" s="93" t="s">
        <v>189</v>
      </c>
      <c r="K1875" s="93">
        <v>101</v>
      </c>
      <c r="L1875" s="93" t="e">
        <v>#N/A</v>
      </c>
      <c r="M1875" s="93" t="s">
        <v>2311</v>
      </c>
      <c r="N1875" s="93" t="e">
        <f>VLOOKUP(B1875,'[16]01.수집 카테고리(List)'!$A$2:$H$64,8,FALSE)</f>
        <v>#N/A</v>
      </c>
      <c r="O1875" s="93"/>
    </row>
    <row r="1876" spans="1:15" hidden="1">
      <c r="A1876" s="75" t="str">
        <f t="shared" si="68"/>
        <v>KZTECHNODOMWIRELESS HEADSETBluetooth earbudsНаушники Вставные</v>
      </c>
      <c r="B1876" s="94" t="str">
        <f t="shared" si="69"/>
        <v>KZ_TECHNODOM</v>
      </c>
      <c r="C1876" s="93" t="s">
        <v>410</v>
      </c>
      <c r="D1876" s="93" t="s">
        <v>413</v>
      </c>
      <c r="E1876" s="93" t="s">
        <v>2201</v>
      </c>
      <c r="F1876" s="93" t="s">
        <v>2382</v>
      </c>
      <c r="G1876" s="93" t="s">
        <v>3151</v>
      </c>
      <c r="H1876" s="93" t="e">
        <v>#N/A</v>
      </c>
      <c r="I1876" s="105" t="s">
        <v>2310</v>
      </c>
      <c r="J1876" s="93" t="s">
        <v>189</v>
      </c>
      <c r="K1876" s="93">
        <v>26</v>
      </c>
      <c r="L1876" s="93" t="e">
        <v>#N/A</v>
      </c>
      <c r="M1876" s="93" t="s">
        <v>2311</v>
      </c>
      <c r="N1876" s="93" t="e">
        <f>VLOOKUP(B1876,'[16]01.수집 카테고리(List)'!$A$2:$H$64,8,FALSE)</f>
        <v>#N/A</v>
      </c>
      <c r="O1876" s="93"/>
    </row>
    <row r="1877" spans="1:15" hidden="1">
      <c r="A1877" s="75" t="str">
        <f t="shared" si="68"/>
        <v>KZTECHNODOMWIRELESS HEADSETNoise cancelling earbudsНаушники с шумоподавлением</v>
      </c>
      <c r="B1877" s="94" t="str">
        <f t="shared" si="69"/>
        <v>KZ_TECHNODOM</v>
      </c>
      <c r="C1877" s="93" t="s">
        <v>410</v>
      </c>
      <c r="D1877" s="93" t="s">
        <v>413</v>
      </c>
      <c r="E1877" s="93" t="s">
        <v>2201</v>
      </c>
      <c r="F1877" s="93" t="s">
        <v>2378</v>
      </c>
      <c r="G1877" s="93" t="s">
        <v>3152</v>
      </c>
      <c r="H1877" s="93" t="e">
        <v>#N/A</v>
      </c>
      <c r="I1877" s="105" t="s">
        <v>2310</v>
      </c>
      <c r="J1877" s="93" t="s">
        <v>189</v>
      </c>
      <c r="K1877" s="93">
        <v>100</v>
      </c>
      <c r="L1877" s="93" t="e">
        <v>#N/A</v>
      </c>
      <c r="M1877" s="93" t="s">
        <v>2311</v>
      </c>
      <c r="N1877" s="93" t="e">
        <f>VLOOKUP(B1877,'[16]01.수집 카테고리(List)'!$A$2:$H$64,8,FALSE)</f>
        <v>#N/A</v>
      </c>
      <c r="O1877" s="93"/>
    </row>
    <row r="1878" spans="1:15" hidden="1">
      <c r="A1878" s="75" t="str">
        <f t="shared" si="68"/>
        <v>MXLIVERPOOLMONITORultrawide monitormointor ultrawide</v>
      </c>
      <c r="B1878" s="94" t="str">
        <f t="shared" si="69"/>
        <v>MX_LIVERPOOL</v>
      </c>
      <c r="C1878" s="93" t="s">
        <v>331</v>
      </c>
      <c r="D1878" s="93" t="s">
        <v>332</v>
      </c>
      <c r="E1878" s="93" t="s">
        <v>2384</v>
      </c>
      <c r="F1878" s="93" t="s">
        <v>2325</v>
      </c>
      <c r="G1878" s="93" t="s">
        <v>3153</v>
      </c>
      <c r="H1878" s="93" t="s">
        <v>3154</v>
      </c>
      <c r="I1878" s="105" t="s">
        <v>2310</v>
      </c>
      <c r="J1878" s="93" t="s">
        <v>189</v>
      </c>
      <c r="K1878" s="93" t="e">
        <v>#N/A</v>
      </c>
      <c r="L1878" s="93">
        <v>19</v>
      </c>
      <c r="M1878" s="93" t="s">
        <v>2351</v>
      </c>
      <c r="N1878" s="93">
        <f>VLOOKUP(B1878,'[16]01.수집 카테고리(List)'!$A$2:$H$64,8,FALSE)</f>
        <v>99991231</v>
      </c>
      <c r="O1878" s="93" t="s">
        <v>646</v>
      </c>
    </row>
    <row r="1879" spans="1:15" hidden="1">
      <c r="A1879" s="75" t="str">
        <f t="shared" si="68"/>
        <v>MXLIVERPOOLMONITORmonitormonitor</v>
      </c>
      <c r="B1879" s="94" t="str">
        <f t="shared" si="69"/>
        <v>MX_LIVERPOOL</v>
      </c>
      <c r="C1879" s="93" t="s">
        <v>331</v>
      </c>
      <c r="D1879" s="93" t="s">
        <v>332</v>
      </c>
      <c r="E1879" s="93" t="s">
        <v>2384</v>
      </c>
      <c r="F1879" s="93" t="s">
        <v>2323</v>
      </c>
      <c r="G1879" s="93" t="s">
        <v>2323</v>
      </c>
      <c r="H1879" s="93" t="e">
        <v>#N/A</v>
      </c>
      <c r="I1879" s="105" t="s">
        <v>2310</v>
      </c>
      <c r="J1879" s="93" t="s">
        <v>189</v>
      </c>
      <c r="K1879" s="93">
        <v>3705</v>
      </c>
      <c r="L1879" s="93">
        <v>3705</v>
      </c>
      <c r="M1879" s="93" t="s">
        <v>2311</v>
      </c>
      <c r="N1879" s="93">
        <f>VLOOKUP(B1879,'[16]01.수집 카테고리(List)'!$A$2:$H$64,8,FALSE)</f>
        <v>99991231</v>
      </c>
      <c r="O1879" s="93" t="s">
        <v>646</v>
      </c>
    </row>
    <row r="1880" spans="1:15" hidden="1">
      <c r="A1880" s="75" t="str">
        <f t="shared" si="68"/>
        <v>MXLIVERPOOLMONITOR4k monitormonitor 4k</v>
      </c>
      <c r="B1880" s="94" t="str">
        <f t="shared" si="69"/>
        <v>MX_LIVERPOOL</v>
      </c>
      <c r="C1880" s="93" t="s">
        <v>331</v>
      </c>
      <c r="D1880" s="93" t="s">
        <v>332</v>
      </c>
      <c r="E1880" s="93" t="s">
        <v>2384</v>
      </c>
      <c r="F1880" s="93" t="s">
        <v>2321</v>
      </c>
      <c r="G1880" s="93" t="s">
        <v>2497</v>
      </c>
      <c r="H1880" s="93" t="s">
        <v>3155</v>
      </c>
      <c r="I1880" s="105" t="s">
        <v>2310</v>
      </c>
      <c r="J1880" s="93" t="s">
        <v>189</v>
      </c>
      <c r="K1880" s="93" t="e">
        <v>#N/A</v>
      </c>
      <c r="L1880" s="93">
        <v>276</v>
      </c>
      <c r="M1880" s="93" t="s">
        <v>2351</v>
      </c>
      <c r="N1880" s="93">
        <f>VLOOKUP(B1880,'[16]01.수집 카테고리(List)'!$A$2:$H$64,8,FALSE)</f>
        <v>99991231</v>
      </c>
      <c r="O1880" s="93" t="s">
        <v>646</v>
      </c>
    </row>
    <row r="1881" spans="1:15" hidden="1">
      <c r="A1881" s="75" t="str">
        <f t="shared" si="68"/>
        <v>MXLIVERPOOLMONITORgaming monitormonitor gamer</v>
      </c>
      <c r="B1881" s="94" t="str">
        <f t="shared" si="69"/>
        <v>MX_LIVERPOOL</v>
      </c>
      <c r="C1881" s="93" t="s">
        <v>331</v>
      </c>
      <c r="D1881" s="93" t="s">
        <v>332</v>
      </c>
      <c r="E1881" s="93" t="s">
        <v>2384</v>
      </c>
      <c r="F1881" s="93" t="s">
        <v>2322</v>
      </c>
      <c r="G1881" s="93" t="s">
        <v>2466</v>
      </c>
      <c r="H1881" s="93" t="e">
        <v>#N/A</v>
      </c>
      <c r="I1881" s="105" t="s">
        <v>2310</v>
      </c>
      <c r="J1881" s="93" t="s">
        <v>189</v>
      </c>
      <c r="K1881" s="93">
        <v>358</v>
      </c>
      <c r="L1881" s="93" t="e">
        <v>#N/A</v>
      </c>
      <c r="M1881" s="93" t="s">
        <v>2311</v>
      </c>
      <c r="N1881" s="93">
        <f>VLOOKUP(B1881,'[16]01.수집 카테고리(List)'!$A$2:$H$64,8,FALSE)</f>
        <v>99991231</v>
      </c>
      <c r="O1881" s="93" t="s">
        <v>646</v>
      </c>
    </row>
    <row r="1882" spans="1:15" hidden="1">
      <c r="A1882" s="75" t="str">
        <f t="shared" si="68"/>
        <v>MXLIVERPOOLMONITORuhd monitormonitor uhd</v>
      </c>
      <c r="B1882" s="94" t="str">
        <f t="shared" si="69"/>
        <v>MX_LIVERPOOL</v>
      </c>
      <c r="C1882" s="93" t="s">
        <v>331</v>
      </c>
      <c r="D1882" s="93" t="s">
        <v>332</v>
      </c>
      <c r="E1882" s="93" t="s">
        <v>2384</v>
      </c>
      <c r="F1882" s="93" t="s">
        <v>2324</v>
      </c>
      <c r="G1882" s="93" t="s">
        <v>2498</v>
      </c>
      <c r="H1882" s="93" t="s">
        <v>3156</v>
      </c>
      <c r="I1882" s="105" t="s">
        <v>2310</v>
      </c>
      <c r="J1882" s="93" t="s">
        <v>189</v>
      </c>
      <c r="K1882" s="93" t="e">
        <v>#N/A</v>
      </c>
      <c r="L1882" s="93">
        <v>301</v>
      </c>
      <c r="M1882" s="93" t="s">
        <v>2351</v>
      </c>
      <c r="N1882" s="93">
        <f>VLOOKUP(B1882,'[16]01.수집 카테고리(List)'!$A$2:$H$64,8,FALSE)</f>
        <v>99991231</v>
      </c>
      <c r="O1882" s="93" t="s">
        <v>646</v>
      </c>
    </row>
    <row r="1883" spans="1:15" hidden="1">
      <c r="A1883" s="75" t="str">
        <f t="shared" si="68"/>
        <v>MXLIVERPOOLRefrigeratorfrench door refrigeratorFrench door</v>
      </c>
      <c r="B1883" s="94" t="str">
        <f t="shared" si="69"/>
        <v>MX_LIVERPOOL</v>
      </c>
      <c r="C1883" s="93" t="s">
        <v>331</v>
      </c>
      <c r="D1883" s="93" t="s">
        <v>332</v>
      </c>
      <c r="E1883" s="93" t="s">
        <v>2326</v>
      </c>
      <c r="F1883" s="93" t="s">
        <v>2328</v>
      </c>
      <c r="G1883" s="93" t="s">
        <v>3157</v>
      </c>
      <c r="H1883" s="93" t="e">
        <v>#N/A</v>
      </c>
      <c r="I1883" s="105" t="s">
        <v>2310</v>
      </c>
      <c r="J1883" s="93" t="s">
        <v>189</v>
      </c>
      <c r="K1883" s="93">
        <v>48</v>
      </c>
      <c r="L1883" s="93" t="e">
        <v>#N/A</v>
      </c>
      <c r="M1883" s="93" t="s">
        <v>2311</v>
      </c>
      <c r="N1883" s="93">
        <f>VLOOKUP(B1883,'[16]01.수집 카테고리(List)'!$A$2:$H$64,8,FALSE)</f>
        <v>99991231</v>
      </c>
      <c r="O1883" s="93" t="s">
        <v>646</v>
      </c>
    </row>
    <row r="1884" spans="1:15" hidden="1">
      <c r="A1884" s="75" t="str">
        <f t="shared" si="68"/>
        <v>MXLIVERPOOLRefrigeratorInstaviewInstaview</v>
      </c>
      <c r="B1884" s="94" t="str">
        <f t="shared" si="69"/>
        <v>MX_LIVERPOOL</v>
      </c>
      <c r="C1884" s="93" t="s">
        <v>331</v>
      </c>
      <c r="D1884" s="93" t="s">
        <v>332</v>
      </c>
      <c r="E1884" s="93" t="s">
        <v>2326</v>
      </c>
      <c r="F1884" s="93" t="s">
        <v>3158</v>
      </c>
      <c r="G1884" s="93" t="s">
        <v>3158</v>
      </c>
      <c r="H1884" s="93" t="e">
        <v>#N/A</v>
      </c>
      <c r="I1884" s="105" t="s">
        <v>2310</v>
      </c>
      <c r="J1884" s="93" t="s">
        <v>189</v>
      </c>
      <c r="K1884" s="93">
        <v>3</v>
      </c>
      <c r="L1884" s="93">
        <v>3</v>
      </c>
      <c r="M1884" s="93" t="s">
        <v>2311</v>
      </c>
      <c r="N1884" s="93">
        <f>VLOOKUP(B1884,'[16]01.수집 카테고리(List)'!$A$2:$H$64,8,FALSE)</f>
        <v>99991231</v>
      </c>
      <c r="O1884" s="93" t="s">
        <v>646</v>
      </c>
    </row>
    <row r="1885" spans="1:15" hidden="1">
      <c r="A1885" s="75" t="str">
        <f t="shared" si="68"/>
        <v>MXLIVERPOOLRefrigeratorrefrigeratorRefrigerador</v>
      </c>
      <c r="B1885" s="94" t="str">
        <f t="shared" si="69"/>
        <v>MX_LIVERPOOL</v>
      </c>
      <c r="C1885" s="93" t="s">
        <v>331</v>
      </c>
      <c r="D1885" s="93" t="s">
        <v>332</v>
      </c>
      <c r="E1885" s="93" t="s">
        <v>2326</v>
      </c>
      <c r="F1885" s="93" t="s">
        <v>2329</v>
      </c>
      <c r="G1885" s="93" t="s">
        <v>3159</v>
      </c>
      <c r="H1885" s="93" t="e">
        <v>#N/A</v>
      </c>
      <c r="I1885" s="105" t="s">
        <v>2310</v>
      </c>
      <c r="J1885" s="93" t="s">
        <v>189</v>
      </c>
      <c r="K1885" s="93">
        <v>2248</v>
      </c>
      <c r="L1885" s="93" t="e">
        <v>#N/A</v>
      </c>
      <c r="M1885" s="93" t="s">
        <v>2311</v>
      </c>
      <c r="N1885" s="93">
        <f>VLOOKUP(B1885,'[16]01.수집 카테고리(List)'!$A$2:$H$64,8,FALSE)</f>
        <v>99991231</v>
      </c>
      <c r="O1885" s="93" t="s">
        <v>646</v>
      </c>
    </row>
    <row r="1886" spans="1:15" hidden="1">
      <c r="A1886" s="75" t="str">
        <f t="shared" si="68"/>
        <v>MXLIVERPOOLRefrigeratorbottom freezer refrigeratorrefrigerador congelador inferior</v>
      </c>
      <c r="B1886" s="94" t="str">
        <f t="shared" si="69"/>
        <v>MX_LIVERPOOL</v>
      </c>
      <c r="C1886" s="93" t="s">
        <v>331</v>
      </c>
      <c r="D1886" s="93" t="s">
        <v>332</v>
      </c>
      <c r="E1886" s="93" t="s">
        <v>2326</v>
      </c>
      <c r="F1886" s="93" t="s">
        <v>2327</v>
      </c>
      <c r="G1886" s="93" t="s">
        <v>3160</v>
      </c>
      <c r="H1886" s="93" t="e">
        <v>#N/A</v>
      </c>
      <c r="I1886" s="105" t="s">
        <v>2310</v>
      </c>
      <c r="J1886" s="93" t="s">
        <v>189</v>
      </c>
      <c r="K1886" s="93">
        <v>2323</v>
      </c>
      <c r="L1886" s="93" t="e">
        <v>#N/A</v>
      </c>
      <c r="M1886" s="93" t="s">
        <v>2311</v>
      </c>
      <c r="N1886" s="93">
        <f>VLOOKUP(B1886,'[16]01.수집 카테고리(List)'!$A$2:$H$64,8,FALSE)</f>
        <v>99991231</v>
      </c>
      <c r="O1886" s="93" t="s">
        <v>646</v>
      </c>
    </row>
    <row r="1887" spans="1:15" hidden="1">
      <c r="A1887" s="75" t="str">
        <f t="shared" si="68"/>
        <v>MXLIVERPOOLRefrigeratortop freezer refrigeratorrefrigerador congelador superior</v>
      </c>
      <c r="B1887" s="94" t="str">
        <f t="shared" si="69"/>
        <v>MX_LIVERPOOL</v>
      </c>
      <c r="C1887" s="93" t="s">
        <v>331</v>
      </c>
      <c r="D1887" s="93" t="s">
        <v>332</v>
      </c>
      <c r="E1887" s="93" t="s">
        <v>2326</v>
      </c>
      <c r="F1887" s="93" t="s">
        <v>2332</v>
      </c>
      <c r="G1887" s="93" t="s">
        <v>3161</v>
      </c>
      <c r="H1887" s="93" t="e">
        <v>#N/A</v>
      </c>
      <c r="I1887" s="105" t="s">
        <v>2310</v>
      </c>
      <c r="J1887" s="93" t="s">
        <v>189</v>
      </c>
      <c r="K1887" s="93">
        <v>4716</v>
      </c>
      <c r="L1887" s="93" t="e">
        <v>#N/A</v>
      </c>
      <c r="M1887" s="93" t="s">
        <v>2311</v>
      </c>
      <c r="N1887" s="93">
        <f>VLOOKUP(B1887,'[16]01.수집 카테고리(List)'!$A$2:$H$64,8,FALSE)</f>
        <v>99991231</v>
      </c>
      <c r="O1887" s="93" t="s">
        <v>646</v>
      </c>
    </row>
    <row r="1888" spans="1:15" hidden="1">
      <c r="A1888" s="75" t="str">
        <f t="shared" si="68"/>
        <v>MXLIVERPOOLRefrigeratorside by side refrigeratorrefrigerador duplex</v>
      </c>
      <c r="B1888" s="94" t="str">
        <f t="shared" si="69"/>
        <v>MX_LIVERPOOL</v>
      </c>
      <c r="C1888" s="93" t="s">
        <v>331</v>
      </c>
      <c r="D1888" s="93" t="s">
        <v>332</v>
      </c>
      <c r="E1888" s="93" t="s">
        <v>2326</v>
      </c>
      <c r="F1888" s="93" t="s">
        <v>2330</v>
      </c>
      <c r="G1888" s="93" t="s">
        <v>3162</v>
      </c>
      <c r="H1888" s="93" t="e">
        <v>#N/A</v>
      </c>
      <c r="I1888" s="105" t="s">
        <v>2310</v>
      </c>
      <c r="J1888" s="93" t="s">
        <v>189</v>
      </c>
      <c r="K1888" s="93">
        <v>56</v>
      </c>
      <c r="L1888" s="93" t="e">
        <v>#N/A</v>
      </c>
      <c r="M1888" s="93" t="s">
        <v>2311</v>
      </c>
      <c r="N1888" s="93">
        <f>VLOOKUP(B1888,'[16]01.수집 카테고리(List)'!$A$2:$H$64,8,FALSE)</f>
        <v>99991231</v>
      </c>
      <c r="O1888" s="93" t="s">
        <v>646</v>
      </c>
    </row>
    <row r="1889" spans="1:15" hidden="1">
      <c r="A1889" s="75" t="str">
        <f t="shared" si="68"/>
        <v>MXLIVERPOOLRefrigeratorfrench door refrigeratorrefrigerador french door</v>
      </c>
      <c r="B1889" s="94" t="str">
        <f t="shared" si="69"/>
        <v>MX_LIVERPOOL</v>
      </c>
      <c r="C1889" s="93" t="s">
        <v>331</v>
      </c>
      <c r="D1889" s="93" t="s">
        <v>332</v>
      </c>
      <c r="E1889" s="93" t="s">
        <v>2326</v>
      </c>
      <c r="F1889" s="93" t="s">
        <v>2328</v>
      </c>
      <c r="G1889" s="93" t="s">
        <v>2563</v>
      </c>
      <c r="H1889" s="93" t="e">
        <v>#N/A</v>
      </c>
      <c r="I1889" s="105" t="s">
        <v>2310</v>
      </c>
      <c r="J1889" s="93" t="s">
        <v>189</v>
      </c>
      <c r="K1889" s="93">
        <v>66</v>
      </c>
      <c r="L1889" s="93" t="e">
        <v>#N/A</v>
      </c>
      <c r="M1889" s="93" t="s">
        <v>2311</v>
      </c>
      <c r="N1889" s="93">
        <f>VLOOKUP(B1889,'[16]01.수집 카테고리(List)'!$A$2:$H$64,8,FALSE)</f>
        <v>99991231</v>
      </c>
      <c r="O1889" s="93" t="s">
        <v>646</v>
      </c>
    </row>
    <row r="1890" spans="1:15" hidden="1">
      <c r="A1890" s="75" t="str">
        <f t="shared" si="68"/>
        <v>MXLIVERPOOLRefrigeratorrefrigeratorRefrigeradores</v>
      </c>
      <c r="B1890" s="94" t="str">
        <f t="shared" si="69"/>
        <v>MX_LIVERPOOL</v>
      </c>
      <c r="C1890" s="93" t="s">
        <v>331</v>
      </c>
      <c r="D1890" s="93" t="s">
        <v>332</v>
      </c>
      <c r="E1890" s="93" t="s">
        <v>2326</v>
      </c>
      <c r="F1890" s="93" t="s">
        <v>2329</v>
      </c>
      <c r="G1890" s="93" t="s">
        <v>3163</v>
      </c>
      <c r="H1890" s="93" t="e">
        <v>#N/A</v>
      </c>
      <c r="I1890" s="105" t="s">
        <v>2310</v>
      </c>
      <c r="J1890" s="93" t="s">
        <v>189</v>
      </c>
      <c r="K1890" s="93">
        <v>812</v>
      </c>
      <c r="L1890" s="93" t="e">
        <v>#N/A</v>
      </c>
      <c r="M1890" s="93" t="s">
        <v>2311</v>
      </c>
      <c r="N1890" s="93">
        <f>VLOOKUP(B1890,'[16]01.수집 카테고리(List)'!$A$2:$H$64,8,FALSE)</f>
        <v>99991231</v>
      </c>
      <c r="O1890" s="93" t="s">
        <v>646</v>
      </c>
    </row>
    <row r="1891" spans="1:15" hidden="1">
      <c r="A1891" s="75" t="str">
        <f t="shared" si="68"/>
        <v>MXLIVERPOOLRefrigeratorrefrigeratorsrefrigerators</v>
      </c>
      <c r="B1891" s="94" t="str">
        <f t="shared" si="69"/>
        <v>MX_LIVERPOOL</v>
      </c>
      <c r="C1891" s="93" t="s">
        <v>331</v>
      </c>
      <c r="D1891" s="93" t="s">
        <v>332</v>
      </c>
      <c r="E1891" s="93" t="s">
        <v>2326</v>
      </c>
      <c r="F1891" s="93" t="s">
        <v>3164</v>
      </c>
      <c r="G1891" s="93" t="s">
        <v>3164</v>
      </c>
      <c r="H1891" s="93" t="e">
        <v>#N/A</v>
      </c>
      <c r="I1891" s="105" t="s">
        <v>2310</v>
      </c>
      <c r="J1891" s="93" t="s">
        <v>189</v>
      </c>
      <c r="K1891" s="93">
        <v>216</v>
      </c>
      <c r="L1891" s="93">
        <v>216</v>
      </c>
      <c r="M1891" s="93" t="s">
        <v>2311</v>
      </c>
      <c r="N1891" s="93">
        <f>VLOOKUP(B1891,'[16]01.수집 카테고리(List)'!$A$2:$H$64,8,FALSE)</f>
        <v>99991231</v>
      </c>
      <c r="O1891" s="93" t="s">
        <v>646</v>
      </c>
    </row>
    <row r="1892" spans="1:15" hidden="1">
      <c r="A1892" s="75" t="str">
        <f t="shared" si="68"/>
        <v>MXLIVERPOOLTV4k TV4k TV</v>
      </c>
      <c r="B1892" s="94" t="str">
        <f t="shared" si="69"/>
        <v>MX_LIVERPOOL</v>
      </c>
      <c r="C1892" s="93" t="s">
        <v>331</v>
      </c>
      <c r="D1892" s="93" t="s">
        <v>332</v>
      </c>
      <c r="E1892" s="93" t="s">
        <v>161</v>
      </c>
      <c r="F1892" s="93" t="s">
        <v>2368</v>
      </c>
      <c r="G1892" s="93" t="s">
        <v>2368</v>
      </c>
      <c r="H1892" s="93" t="e">
        <v>#N/A</v>
      </c>
      <c r="I1892" s="105" t="s">
        <v>2310</v>
      </c>
      <c r="J1892" s="93" t="s">
        <v>189</v>
      </c>
      <c r="K1892" s="93">
        <v>280</v>
      </c>
      <c r="L1892" s="93">
        <v>280</v>
      </c>
      <c r="M1892" s="93" t="s">
        <v>2311</v>
      </c>
      <c r="N1892" s="93">
        <f>VLOOKUP(B1892,'[16]01.수집 카테고리(List)'!$A$2:$H$64,8,FALSE)</f>
        <v>99991231</v>
      </c>
      <c r="O1892" s="93" t="s">
        <v>646</v>
      </c>
    </row>
    <row r="1893" spans="1:15" hidden="1">
      <c r="A1893" s="75" t="str">
        <f t="shared" si="68"/>
        <v>MXLIVERPOOLTVInstaviewInstaview</v>
      </c>
      <c r="B1893" s="94" t="str">
        <f t="shared" si="69"/>
        <v>MX_LIVERPOOL</v>
      </c>
      <c r="C1893" s="93" t="s">
        <v>331</v>
      </c>
      <c r="D1893" s="93" t="s">
        <v>332</v>
      </c>
      <c r="E1893" s="93" t="s">
        <v>161</v>
      </c>
      <c r="F1893" s="93" t="s">
        <v>3158</v>
      </c>
      <c r="G1893" s="93" t="s">
        <v>3158</v>
      </c>
      <c r="H1893" s="93" t="e">
        <v>#N/A</v>
      </c>
      <c r="I1893" s="105" t="s">
        <v>2310</v>
      </c>
      <c r="J1893" s="93" t="s">
        <v>189</v>
      </c>
      <c r="K1893" s="93">
        <v>3</v>
      </c>
      <c r="L1893" s="93">
        <v>3</v>
      </c>
      <c r="M1893" s="93" t="s">
        <v>2311</v>
      </c>
      <c r="N1893" s="93">
        <f>VLOOKUP(B1893,'[16]01.수집 카테고리(List)'!$A$2:$H$64,8,FALSE)</f>
        <v>99991231</v>
      </c>
      <c r="O1893" s="93" t="s">
        <v>646</v>
      </c>
    </row>
    <row r="1894" spans="1:15" hidden="1">
      <c r="A1894" s="75" t="str">
        <f t="shared" si="68"/>
        <v>MXLIVERPOOLTVoled TVoled TV</v>
      </c>
      <c r="B1894" s="94" t="str">
        <f t="shared" si="69"/>
        <v>MX_LIVERPOOL</v>
      </c>
      <c r="C1894" s="93" t="s">
        <v>331</v>
      </c>
      <c r="D1894" s="93" t="s">
        <v>332</v>
      </c>
      <c r="E1894" s="93" t="s">
        <v>161</v>
      </c>
      <c r="F1894" s="93" t="s">
        <v>2369</v>
      </c>
      <c r="G1894" s="93" t="s">
        <v>2369</v>
      </c>
      <c r="H1894" s="93" t="e">
        <v>#N/A</v>
      </c>
      <c r="I1894" s="105" t="s">
        <v>2310</v>
      </c>
      <c r="J1894" s="93" t="s">
        <v>189</v>
      </c>
      <c r="K1894" s="93">
        <v>57</v>
      </c>
      <c r="L1894" s="93">
        <v>57</v>
      </c>
      <c r="M1894" s="93" t="s">
        <v>2311</v>
      </c>
      <c r="N1894" s="93">
        <f>VLOOKUP(B1894,'[16]01.수집 카테고리(List)'!$A$2:$H$64,8,FALSE)</f>
        <v>99991231</v>
      </c>
      <c r="O1894" s="93" t="s">
        <v>646</v>
      </c>
    </row>
    <row r="1895" spans="1:15" hidden="1">
      <c r="A1895" s="75" t="str">
        <f t="shared" si="68"/>
        <v>MXLIVERPOOLTVsmart TVsmart TV</v>
      </c>
      <c r="B1895" s="94" t="str">
        <f t="shared" si="69"/>
        <v>MX_LIVERPOOL</v>
      </c>
      <c r="C1895" s="93" t="s">
        <v>331</v>
      </c>
      <c r="D1895" s="93" t="s">
        <v>332</v>
      </c>
      <c r="E1895" s="93" t="s">
        <v>161</v>
      </c>
      <c r="F1895" s="93" t="s">
        <v>2371</v>
      </c>
      <c r="G1895" s="93" t="s">
        <v>2371</v>
      </c>
      <c r="H1895" s="93" t="e">
        <v>#N/A</v>
      </c>
      <c r="I1895" s="105" t="s">
        <v>2310</v>
      </c>
      <c r="J1895" s="93" t="s">
        <v>189</v>
      </c>
      <c r="K1895" s="93">
        <v>352</v>
      </c>
      <c r="L1895" s="93">
        <v>352</v>
      </c>
      <c r="M1895" s="93" t="s">
        <v>2311</v>
      </c>
      <c r="N1895" s="93">
        <f>VLOOKUP(B1895,'[16]01.수집 카테고리(List)'!$A$2:$H$64,8,FALSE)</f>
        <v>99991231</v>
      </c>
      <c r="O1895" s="93" t="s">
        <v>646</v>
      </c>
    </row>
    <row r="1896" spans="1:15" hidden="1">
      <c r="A1896" s="75" t="str">
        <f t="shared" si="68"/>
        <v>MXLIVERPOOLTVTVTV, pantalla</v>
      </c>
      <c r="B1896" s="94" t="str">
        <f t="shared" si="69"/>
        <v>MX_LIVERPOOL</v>
      </c>
      <c r="C1896" s="93" t="s">
        <v>331</v>
      </c>
      <c r="D1896" s="93" t="s">
        <v>332</v>
      </c>
      <c r="E1896" s="93" t="s">
        <v>161</v>
      </c>
      <c r="F1896" s="93" t="s">
        <v>161</v>
      </c>
      <c r="G1896" s="93" t="s">
        <v>3165</v>
      </c>
      <c r="H1896" s="93" t="e">
        <v>#N/A</v>
      </c>
      <c r="I1896" s="105" t="s">
        <v>2310</v>
      </c>
      <c r="J1896" s="93" t="s">
        <v>189</v>
      </c>
      <c r="K1896" s="93">
        <v>593</v>
      </c>
      <c r="L1896" s="93" t="e">
        <v>#N/A</v>
      </c>
      <c r="M1896" s="93" t="s">
        <v>2311</v>
      </c>
      <c r="N1896" s="93">
        <f>VLOOKUP(B1896,'[16]01.수집 카테고리(List)'!$A$2:$H$64,8,FALSE)</f>
        <v>99991231</v>
      </c>
      <c r="O1896" s="93" t="s">
        <v>646</v>
      </c>
    </row>
    <row r="1897" spans="1:15" hidden="1">
      <c r="A1897" s="75" t="str">
        <f t="shared" si="68"/>
        <v>MXLIVERPOOLTVuhd TVuhd TV</v>
      </c>
      <c r="B1897" s="94" t="str">
        <f t="shared" si="69"/>
        <v>MX_LIVERPOOL</v>
      </c>
      <c r="C1897" s="93" t="s">
        <v>331</v>
      </c>
      <c r="D1897" s="93" t="s">
        <v>332</v>
      </c>
      <c r="E1897" s="93" t="s">
        <v>161</v>
      </c>
      <c r="F1897" s="93" t="s">
        <v>2399</v>
      </c>
      <c r="G1897" s="93" t="s">
        <v>2399</v>
      </c>
      <c r="H1897" s="93" t="e">
        <v>#N/A</v>
      </c>
      <c r="I1897" s="105" t="s">
        <v>2310</v>
      </c>
      <c r="J1897" s="93" t="s">
        <v>189</v>
      </c>
      <c r="K1897" s="93">
        <v>333</v>
      </c>
      <c r="L1897" s="93">
        <v>333</v>
      </c>
      <c r="M1897" s="93" t="s">
        <v>2311</v>
      </c>
      <c r="N1897" s="93">
        <f>VLOOKUP(B1897,'[16]01.수집 카테고리(List)'!$A$2:$H$64,8,FALSE)</f>
        <v>99991231</v>
      </c>
      <c r="O1897" s="93" t="s">
        <v>646</v>
      </c>
    </row>
    <row r="1898" spans="1:15" hidden="1">
      <c r="A1898" s="75" t="str">
        <f t="shared" si="68"/>
        <v>MXLIVERPOOLWashing Machinewashing machinelavadora</v>
      </c>
      <c r="B1898" s="94" t="str">
        <f t="shared" si="69"/>
        <v>MX_LIVERPOOL</v>
      </c>
      <c r="C1898" s="93" t="s">
        <v>331</v>
      </c>
      <c r="D1898" s="93" t="s">
        <v>332</v>
      </c>
      <c r="E1898" s="93" t="s">
        <v>2333</v>
      </c>
      <c r="F1898" s="93" t="s">
        <v>2340</v>
      </c>
      <c r="G1898" s="93" t="s">
        <v>2753</v>
      </c>
      <c r="H1898" s="93" t="e">
        <v>#N/A</v>
      </c>
      <c r="I1898" s="105" t="s">
        <v>2310</v>
      </c>
      <c r="J1898" s="93" t="s">
        <v>189</v>
      </c>
      <c r="K1898" s="93">
        <v>1086</v>
      </c>
      <c r="L1898" s="93">
        <v>14</v>
      </c>
      <c r="M1898" s="93" t="s">
        <v>2311</v>
      </c>
      <c r="N1898" s="93">
        <f>VLOOKUP(B1898,'[16]01.수집 카테고리(List)'!$A$2:$H$64,8,FALSE)</f>
        <v>99991231</v>
      </c>
      <c r="O1898" s="93" t="s">
        <v>646</v>
      </c>
    </row>
    <row r="1899" spans="1:15" hidden="1">
      <c r="A1899" s="75" t="str">
        <f t="shared" si="68"/>
        <v>MXLIVERPOOLWashing Machinetop loaderlavadora carga frontal</v>
      </c>
      <c r="B1899" s="94" t="str">
        <f t="shared" si="69"/>
        <v>MX_LIVERPOOL</v>
      </c>
      <c r="C1899" s="93" t="s">
        <v>331</v>
      </c>
      <c r="D1899" s="93" t="s">
        <v>332</v>
      </c>
      <c r="E1899" s="93" t="s">
        <v>2333</v>
      </c>
      <c r="F1899" s="93" t="s">
        <v>2336</v>
      </c>
      <c r="G1899" s="93" t="s">
        <v>3166</v>
      </c>
      <c r="H1899" s="93" t="e">
        <v>#N/A</v>
      </c>
      <c r="I1899" s="105" t="s">
        <v>2310</v>
      </c>
      <c r="J1899" s="93" t="s">
        <v>189</v>
      </c>
      <c r="K1899" s="93">
        <v>1</v>
      </c>
      <c r="L1899" s="93" t="e">
        <v>#N/A</v>
      </c>
      <c r="M1899" s="93" t="s">
        <v>2311</v>
      </c>
      <c r="N1899" s="93">
        <f>VLOOKUP(B1899,'[16]01.수집 카테고리(List)'!$A$2:$H$64,8,FALSE)</f>
        <v>99991231</v>
      </c>
      <c r="O1899" s="93" t="s">
        <v>646</v>
      </c>
    </row>
    <row r="1900" spans="1:15" hidden="1">
      <c r="A1900" s="75" t="str">
        <f t="shared" si="68"/>
        <v>MXLIVERPOOLWashing Machinefront loaderlavadora carga superior</v>
      </c>
      <c r="B1900" s="94" t="str">
        <f t="shared" si="69"/>
        <v>MX_LIVERPOOL</v>
      </c>
      <c r="C1900" s="93" t="s">
        <v>331</v>
      </c>
      <c r="D1900" s="93" t="s">
        <v>332</v>
      </c>
      <c r="E1900" s="93" t="s">
        <v>2333</v>
      </c>
      <c r="F1900" s="93" t="s">
        <v>2334</v>
      </c>
      <c r="G1900" s="93" t="s">
        <v>3167</v>
      </c>
      <c r="H1900" s="93" t="e">
        <v>#N/A</v>
      </c>
      <c r="I1900" s="105" t="s">
        <v>2310</v>
      </c>
      <c r="J1900" s="93" t="s">
        <v>189</v>
      </c>
      <c r="K1900" s="93">
        <v>9</v>
      </c>
      <c r="L1900" s="93" t="e">
        <v>#N/A</v>
      </c>
      <c r="M1900" s="93" t="s">
        <v>2311</v>
      </c>
      <c r="N1900" s="93">
        <f>VLOOKUP(B1900,'[16]01.수집 카테고리(List)'!$A$2:$H$64,8,FALSE)</f>
        <v>99991231</v>
      </c>
      <c r="O1900" s="93" t="s">
        <v>646</v>
      </c>
    </row>
    <row r="1901" spans="1:15" hidden="1">
      <c r="A1901" s="75" t="str">
        <f t="shared" si="68"/>
        <v>MXLIVERPOOLWashing Machinewasher dryer combolavasecadora</v>
      </c>
      <c r="B1901" s="94" t="str">
        <f t="shared" si="69"/>
        <v>MX_LIVERPOOL</v>
      </c>
      <c r="C1901" s="93" t="s">
        <v>331</v>
      </c>
      <c r="D1901" s="93" t="s">
        <v>332</v>
      </c>
      <c r="E1901" s="93" t="s">
        <v>2333</v>
      </c>
      <c r="F1901" s="93" t="s">
        <v>2338</v>
      </c>
      <c r="G1901" s="93" t="s">
        <v>2791</v>
      </c>
      <c r="H1901" s="93" t="e">
        <v>#N/A</v>
      </c>
      <c r="I1901" s="105" t="s">
        <v>2310</v>
      </c>
      <c r="J1901" s="93" t="s">
        <v>189</v>
      </c>
      <c r="K1901" s="93">
        <v>848</v>
      </c>
      <c r="L1901" s="93" t="e">
        <v>#N/A</v>
      </c>
      <c r="M1901" s="93" t="s">
        <v>2311</v>
      </c>
      <c r="N1901" s="93">
        <f>VLOOKUP(B1901,'[16]01.수집 카테고리(List)'!$A$2:$H$64,8,FALSE)</f>
        <v>99991231</v>
      </c>
      <c r="O1901" s="93" t="s">
        <v>646</v>
      </c>
    </row>
    <row r="1902" spans="1:15" hidden="1">
      <c r="A1902" s="75" t="str">
        <f t="shared" si="68"/>
        <v>MXLIVERPOOLWashing MachineDryersecadora</v>
      </c>
      <c r="B1902" s="94" t="str">
        <f t="shared" si="69"/>
        <v>MX_LIVERPOOL</v>
      </c>
      <c r="C1902" s="93" t="s">
        <v>331</v>
      </c>
      <c r="D1902" s="93" t="s">
        <v>332</v>
      </c>
      <c r="E1902" s="93" t="s">
        <v>2333</v>
      </c>
      <c r="F1902" s="93" t="s">
        <v>2431</v>
      </c>
      <c r="G1902" s="93" t="s">
        <v>3168</v>
      </c>
      <c r="H1902" s="93" t="e">
        <v>#N/A</v>
      </c>
      <c r="I1902" s="105" t="s">
        <v>2310</v>
      </c>
      <c r="J1902" s="93" t="s">
        <v>189</v>
      </c>
      <c r="K1902" s="93">
        <v>2056</v>
      </c>
      <c r="L1902" s="93" t="e">
        <v>#N/A</v>
      </c>
      <c r="M1902" s="93" t="s">
        <v>2311</v>
      </c>
      <c r="N1902" s="93">
        <f>VLOOKUP(B1902,'[16]01.수집 카테고리(List)'!$A$2:$H$64,8,FALSE)</f>
        <v>99991231</v>
      </c>
      <c r="O1902" s="93" t="s">
        <v>646</v>
      </c>
    </row>
    <row r="1903" spans="1:15" hidden="1">
      <c r="A1903" s="75" t="str">
        <f t="shared" si="68"/>
        <v>MXLIVERPOOLWashing Machinewashing machineWashing machine</v>
      </c>
      <c r="B1903" s="94" t="str">
        <f t="shared" si="69"/>
        <v>MX_LIVERPOOL</v>
      </c>
      <c r="C1903" s="93" t="s">
        <v>331</v>
      </c>
      <c r="D1903" s="93" t="s">
        <v>332</v>
      </c>
      <c r="E1903" s="93" t="s">
        <v>2333</v>
      </c>
      <c r="F1903" s="93" t="s">
        <v>2340</v>
      </c>
      <c r="G1903" s="93" t="s">
        <v>3169</v>
      </c>
      <c r="H1903" s="93" t="e">
        <v>#N/A</v>
      </c>
      <c r="I1903" s="105" t="s">
        <v>2310</v>
      </c>
      <c r="J1903" s="93" t="s">
        <v>189</v>
      </c>
      <c r="K1903" s="93">
        <v>14</v>
      </c>
      <c r="L1903" s="93">
        <v>14</v>
      </c>
      <c r="M1903" s="93" t="s">
        <v>2311</v>
      </c>
      <c r="N1903" s="93">
        <f>VLOOKUP(B1903,'[16]01.수집 카테고리(List)'!$A$2:$H$64,8,FALSE)</f>
        <v>99991231</v>
      </c>
      <c r="O1903" s="93" t="s">
        <v>646</v>
      </c>
    </row>
    <row r="1904" spans="1:15" hidden="1">
      <c r="A1904" s="75" t="str">
        <f t="shared" si="68"/>
        <v>MXLIVERPOOLWashing Machinefront loaderWashing machine carga frontal</v>
      </c>
      <c r="B1904" s="94" t="str">
        <f t="shared" si="69"/>
        <v>MX_LIVERPOOL</v>
      </c>
      <c r="C1904" s="93" t="s">
        <v>331</v>
      </c>
      <c r="D1904" s="93" t="s">
        <v>332</v>
      </c>
      <c r="E1904" s="93" t="s">
        <v>2333</v>
      </c>
      <c r="F1904" s="93" t="s">
        <v>2334</v>
      </c>
      <c r="G1904" s="93" t="s">
        <v>3170</v>
      </c>
      <c r="H1904" s="93" t="e">
        <v>#N/A</v>
      </c>
      <c r="I1904" s="105" t="s">
        <v>2310</v>
      </c>
      <c r="J1904" s="93" t="s">
        <v>189</v>
      </c>
      <c r="K1904" s="93">
        <v>6</v>
      </c>
      <c r="L1904" s="93" t="e">
        <v>#N/A</v>
      </c>
      <c r="M1904" s="93" t="s">
        <v>2311</v>
      </c>
      <c r="N1904" s="93">
        <f>VLOOKUP(B1904,'[16]01.수집 카테고리(List)'!$A$2:$H$64,8,FALSE)</f>
        <v>99991231</v>
      </c>
      <c r="O1904" s="93" t="s">
        <v>646</v>
      </c>
    </row>
    <row r="1905" spans="1:15" hidden="1">
      <c r="A1905" s="75" t="str">
        <f t="shared" si="68"/>
        <v>MXLIVERPOOLWashing Machinetop loaderWashing machine carga superior</v>
      </c>
      <c r="B1905" s="94" t="str">
        <f t="shared" si="69"/>
        <v>MX_LIVERPOOL</v>
      </c>
      <c r="C1905" s="93" t="s">
        <v>331</v>
      </c>
      <c r="D1905" s="93" t="s">
        <v>332</v>
      </c>
      <c r="E1905" s="93" t="s">
        <v>2333</v>
      </c>
      <c r="F1905" s="93" t="s">
        <v>2336</v>
      </c>
      <c r="G1905" s="93" t="s">
        <v>3171</v>
      </c>
      <c r="H1905" s="93" t="e">
        <v>#N/A</v>
      </c>
      <c r="I1905" s="105" t="s">
        <v>2310</v>
      </c>
      <c r="J1905" s="93" t="s">
        <v>189</v>
      </c>
      <c r="K1905" s="93">
        <v>6</v>
      </c>
      <c r="L1905" s="93" t="e">
        <v>#N/A</v>
      </c>
      <c r="M1905" s="93" t="s">
        <v>2311</v>
      </c>
      <c r="N1905" s="93">
        <f>VLOOKUP(B1905,'[16]01.수집 카테고리(List)'!$A$2:$H$64,8,FALSE)</f>
        <v>99991231</v>
      </c>
      <c r="O1905" s="93" t="s">
        <v>646</v>
      </c>
    </row>
    <row r="1906" spans="1:15" s="108" customFormat="1" hidden="1">
      <c r="A1906" s="108" t="str">
        <f t="shared" si="68"/>
        <v>MXLIVERPOOLBluetooth SpeakerPortable Speakeraltavoz portátil</v>
      </c>
      <c r="B1906" s="109" t="str">
        <f t="shared" si="69"/>
        <v>MX_LIVERPOOL</v>
      </c>
      <c r="C1906" s="110" t="s">
        <v>331</v>
      </c>
      <c r="D1906" s="110" t="s">
        <v>332</v>
      </c>
      <c r="E1906" s="110" t="s">
        <v>2307</v>
      </c>
      <c r="F1906" s="110" t="s">
        <v>3172</v>
      </c>
      <c r="G1906" s="110" t="s">
        <v>3173</v>
      </c>
      <c r="H1906" s="93" t="e">
        <v>#N/A</v>
      </c>
      <c r="I1906" s="99">
        <v>46076</v>
      </c>
      <c r="J1906" s="83" t="s">
        <v>189</v>
      </c>
      <c r="K1906" s="110"/>
      <c r="L1906" s="110"/>
      <c r="M1906" s="110"/>
      <c r="N1906" s="110"/>
      <c r="O1906" s="110"/>
    </row>
    <row r="1907" spans="1:15" s="108" customFormat="1" hidden="1">
      <c r="A1907" s="108" t="str">
        <f t="shared" si="68"/>
        <v>MXLIVERPOOLBluetooth SpeakerPortable bluetooth speakeraltavoz portátil bluetooth</v>
      </c>
      <c r="B1907" s="109" t="str">
        <f t="shared" si="69"/>
        <v>MX_LIVERPOOL</v>
      </c>
      <c r="C1907" s="110" t="s">
        <v>331</v>
      </c>
      <c r="D1907" s="110" t="s">
        <v>332</v>
      </c>
      <c r="E1907" s="110" t="s">
        <v>2307</v>
      </c>
      <c r="F1907" s="110" t="s">
        <v>3174</v>
      </c>
      <c r="G1907" s="110" t="s">
        <v>3175</v>
      </c>
      <c r="H1907" s="93" t="e">
        <v>#N/A</v>
      </c>
      <c r="I1907" s="99">
        <v>46076</v>
      </c>
      <c r="J1907" s="83" t="s">
        <v>189</v>
      </c>
      <c r="K1907" s="110"/>
      <c r="L1907" s="110"/>
      <c r="M1907" s="110"/>
      <c r="N1907" s="110"/>
      <c r="O1907" s="110"/>
    </row>
    <row r="1908" spans="1:15" s="108" customFormat="1" hidden="1">
      <c r="A1908" s="108" t="str">
        <f t="shared" si="68"/>
        <v>MXLIVERPOOLBluetooth SpeakerParty Speakerorador del partido</v>
      </c>
      <c r="B1908" s="109" t="str">
        <f t="shared" si="69"/>
        <v>MX_LIVERPOOL</v>
      </c>
      <c r="C1908" s="110" t="s">
        <v>331</v>
      </c>
      <c r="D1908" s="110" t="s">
        <v>332</v>
      </c>
      <c r="E1908" s="110" t="s">
        <v>2307</v>
      </c>
      <c r="F1908" s="110" t="s">
        <v>2707</v>
      </c>
      <c r="G1908" s="110" t="s">
        <v>3176</v>
      </c>
      <c r="H1908" s="93" t="e">
        <v>#N/A</v>
      </c>
      <c r="I1908" s="99">
        <v>46076</v>
      </c>
      <c r="J1908" s="83" t="s">
        <v>189</v>
      </c>
      <c r="K1908" s="110"/>
      <c r="L1908" s="110"/>
      <c r="M1908" s="110"/>
      <c r="N1908" s="110"/>
      <c r="O1908" s="110"/>
    </row>
    <row r="1909" spans="1:15" s="108" customFormat="1" hidden="1">
      <c r="A1909" s="108" t="str">
        <f t="shared" si="68"/>
        <v>MXLIVERPOOLBluetooth SpeakerWireless speakeraltavoz inalámbrico</v>
      </c>
      <c r="B1909" s="109" t="str">
        <f t="shared" si="69"/>
        <v>MX_LIVERPOOL</v>
      </c>
      <c r="C1909" s="110" t="s">
        <v>331</v>
      </c>
      <c r="D1909" s="110" t="s">
        <v>332</v>
      </c>
      <c r="E1909" s="110" t="s">
        <v>2307</v>
      </c>
      <c r="F1909" s="110" t="s">
        <v>2709</v>
      </c>
      <c r="G1909" s="110" t="s">
        <v>3177</v>
      </c>
      <c r="H1909" s="93" t="e">
        <v>#N/A</v>
      </c>
      <c r="I1909" s="99">
        <v>46076</v>
      </c>
      <c r="J1909" s="83" t="s">
        <v>189</v>
      </c>
      <c r="K1909" s="110"/>
      <c r="L1909" s="110"/>
      <c r="M1909" s="110"/>
      <c r="N1909" s="110"/>
      <c r="O1909" s="110"/>
    </row>
    <row r="1910" spans="1:15" s="108" customFormat="1" hidden="1">
      <c r="A1910" s="108" t="str">
        <f t="shared" si="68"/>
        <v>MXLIVERPOOLBluetooth SpeakerPortable Soundsonido portátil</v>
      </c>
      <c r="B1910" s="109" t="str">
        <f t="shared" si="69"/>
        <v>MX_LIVERPOOL</v>
      </c>
      <c r="C1910" s="110" t="s">
        <v>331</v>
      </c>
      <c r="D1910" s="110" t="s">
        <v>332</v>
      </c>
      <c r="E1910" s="110" t="s">
        <v>2307</v>
      </c>
      <c r="F1910" s="110" t="s">
        <v>3178</v>
      </c>
      <c r="G1910" s="110" t="s">
        <v>3179</v>
      </c>
      <c r="H1910" s="93" t="e">
        <v>#N/A</v>
      </c>
      <c r="I1910" s="99">
        <v>46076</v>
      </c>
      <c r="J1910" s="83" t="s">
        <v>189</v>
      </c>
      <c r="K1910" s="110"/>
      <c r="L1910" s="110"/>
      <c r="M1910" s="110"/>
      <c r="N1910" s="110"/>
      <c r="O1910" s="110"/>
    </row>
    <row r="1911" spans="1:15" s="108" customFormat="1" hidden="1">
      <c r="A1911" s="108" t="str">
        <f t="shared" si="68"/>
        <v>MXLIVERPOOLSOUNDBARSound systemsistema de sonido</v>
      </c>
      <c r="B1911" s="109" t="str">
        <f t="shared" si="69"/>
        <v>MX_LIVERPOOL</v>
      </c>
      <c r="C1911" s="110" t="s">
        <v>331</v>
      </c>
      <c r="D1911" s="110" t="s">
        <v>332</v>
      </c>
      <c r="E1911" s="110" t="s">
        <v>2527</v>
      </c>
      <c r="F1911" s="110" t="s">
        <v>3180</v>
      </c>
      <c r="G1911" s="110" t="s">
        <v>3181</v>
      </c>
      <c r="H1911" s="93" t="e">
        <v>#N/A</v>
      </c>
      <c r="I1911" s="99">
        <v>46076</v>
      </c>
      <c r="J1911" s="83" t="s">
        <v>189</v>
      </c>
      <c r="K1911" s="110"/>
      <c r="L1911" s="110"/>
      <c r="M1911" s="110"/>
      <c r="N1911" s="110"/>
      <c r="O1911" s="110"/>
    </row>
    <row r="1912" spans="1:15" s="108" customFormat="1" hidden="1">
      <c r="A1912" s="108" t="str">
        <f t="shared" si="68"/>
        <v>MXLIVERPOOLSOUNDBARSoundbarsbarrasdesonido</v>
      </c>
      <c r="B1912" s="109" t="str">
        <f t="shared" si="69"/>
        <v>MX_LIVERPOOL</v>
      </c>
      <c r="C1912" s="110" t="s">
        <v>331</v>
      </c>
      <c r="D1912" s="110" t="s">
        <v>332</v>
      </c>
      <c r="E1912" s="110" t="s">
        <v>2527</v>
      </c>
      <c r="F1912" s="110" t="s">
        <v>3182</v>
      </c>
      <c r="G1912" s="110" t="s">
        <v>3183</v>
      </c>
      <c r="H1912" s="93" t="e">
        <v>#N/A</v>
      </c>
      <c r="I1912" s="99">
        <v>46076</v>
      </c>
      <c r="J1912" s="83" t="s">
        <v>189</v>
      </c>
      <c r="K1912" s="110"/>
      <c r="L1912" s="110"/>
      <c r="M1912" s="110"/>
      <c r="N1912" s="110"/>
      <c r="O1912" s="110"/>
    </row>
    <row r="1913" spans="1:15" s="108" customFormat="1" hidden="1">
      <c r="A1913" s="108" t="str">
        <f t="shared" si="68"/>
        <v>MXLIVERPOOLSOUNDBARSoundbarbarradesonido</v>
      </c>
      <c r="B1913" s="109" t="str">
        <f t="shared" si="69"/>
        <v>MX_LIVERPOOL</v>
      </c>
      <c r="C1913" s="110" t="s">
        <v>331</v>
      </c>
      <c r="D1913" s="110" t="s">
        <v>332</v>
      </c>
      <c r="E1913" s="110" t="s">
        <v>2527</v>
      </c>
      <c r="F1913" s="110" t="s">
        <v>2546</v>
      </c>
      <c r="G1913" s="110" t="s">
        <v>3184</v>
      </c>
      <c r="H1913" s="93" t="e">
        <v>#N/A</v>
      </c>
      <c r="I1913" s="99">
        <v>46076</v>
      </c>
      <c r="J1913" s="83" t="s">
        <v>189</v>
      </c>
      <c r="K1913" s="110"/>
      <c r="L1913" s="110"/>
      <c r="M1913" s="110"/>
      <c r="N1913" s="110"/>
      <c r="O1913" s="110"/>
    </row>
    <row r="1914" spans="1:15" s="108" customFormat="1" hidden="1">
      <c r="A1914" s="108" t="str">
        <f t="shared" si="68"/>
        <v>MXLIVERPOOLSOUNDBARSound barbarra de sonido</v>
      </c>
      <c r="B1914" s="109" t="str">
        <f t="shared" si="69"/>
        <v>MX_LIVERPOOL</v>
      </c>
      <c r="C1914" s="110" t="s">
        <v>331</v>
      </c>
      <c r="D1914" s="110" t="s">
        <v>332</v>
      </c>
      <c r="E1914" s="110" t="s">
        <v>2527</v>
      </c>
      <c r="F1914" s="110" t="s">
        <v>2447</v>
      </c>
      <c r="G1914" s="110" t="s">
        <v>2769</v>
      </c>
      <c r="H1914" s="93" t="e">
        <v>#N/A</v>
      </c>
      <c r="I1914" s="99">
        <v>46076</v>
      </c>
      <c r="J1914" s="83" t="s">
        <v>189</v>
      </c>
      <c r="K1914" s="110"/>
      <c r="L1914" s="110"/>
      <c r="M1914" s="110"/>
      <c r="N1914" s="110"/>
      <c r="O1914" s="110"/>
    </row>
    <row r="1915" spans="1:15" s="108" customFormat="1" hidden="1">
      <c r="A1915" s="108" t="str">
        <f t="shared" si="68"/>
        <v>MXLIVERPOOLSOUNDBARSound barsbarras de sonido</v>
      </c>
      <c r="B1915" s="109" t="str">
        <f t="shared" si="69"/>
        <v>MX_LIVERPOOL</v>
      </c>
      <c r="C1915" s="110" t="s">
        <v>331</v>
      </c>
      <c r="D1915" s="110" t="s">
        <v>332</v>
      </c>
      <c r="E1915" s="110" t="s">
        <v>2527</v>
      </c>
      <c r="F1915" s="110" t="s">
        <v>2366</v>
      </c>
      <c r="G1915" s="110" t="s">
        <v>3185</v>
      </c>
      <c r="H1915" s="93" t="e">
        <v>#N/A</v>
      </c>
      <c r="I1915" s="99">
        <v>46076</v>
      </c>
      <c r="J1915" s="83" t="s">
        <v>189</v>
      </c>
      <c r="K1915" s="110"/>
      <c r="L1915" s="110"/>
      <c r="M1915" s="110"/>
      <c r="N1915" s="110"/>
      <c r="O1915" s="110"/>
    </row>
    <row r="1916" spans="1:15" s="108" customFormat="1" ht="14.4" hidden="1">
      <c r="A1916" s="108" t="str">
        <f t="shared" si="68"/>
        <v>MXLIVERPOOLWIRELESS HEADSETTrue wireless earbudsauriculares verdaderamente inalámbricos</v>
      </c>
      <c r="B1916" s="109" t="str">
        <f t="shared" si="69"/>
        <v>MX_LIVERPOOL</v>
      </c>
      <c r="C1916" s="110" t="s">
        <v>331</v>
      </c>
      <c r="D1916" s="110" t="s">
        <v>332</v>
      </c>
      <c r="E1916" s="110" t="s">
        <v>2532</v>
      </c>
      <c r="F1916" s="110" t="s">
        <v>3186</v>
      </c>
      <c r="G1916" s="110" t="s">
        <v>3187</v>
      </c>
      <c r="H1916" s="93" t="e">
        <v>#N/A</v>
      </c>
      <c r="I1916" s="99">
        <v>46076</v>
      </c>
      <c r="J1916" s="83" t="s">
        <v>189</v>
      </c>
      <c r="K1916" s="110"/>
      <c r="L1916" s="110"/>
      <c r="M1916" s="110"/>
      <c r="N1916" s="110"/>
      <c r="O1916" s="110"/>
    </row>
    <row r="1917" spans="1:15" s="108" customFormat="1" hidden="1">
      <c r="A1917" s="108" t="str">
        <f t="shared" si="68"/>
        <v>MXLIVERPOOLWIRELESS HEADSETWireless earbudsauriculares inalámbricos</v>
      </c>
      <c r="B1917" s="109" t="str">
        <f t="shared" si="69"/>
        <v>MX_LIVERPOOL</v>
      </c>
      <c r="C1917" s="110" t="s">
        <v>331</v>
      </c>
      <c r="D1917" s="110" t="s">
        <v>332</v>
      </c>
      <c r="E1917" s="110" t="s">
        <v>2532</v>
      </c>
      <c r="F1917" s="110" t="s">
        <v>3188</v>
      </c>
      <c r="G1917" s="110" t="s">
        <v>3189</v>
      </c>
      <c r="H1917" s="93" t="e">
        <v>#N/A</v>
      </c>
      <c r="I1917" s="99">
        <v>46076</v>
      </c>
      <c r="J1917" s="83" t="s">
        <v>189</v>
      </c>
      <c r="K1917" s="110"/>
      <c r="L1917" s="110"/>
      <c r="M1917" s="110"/>
      <c r="N1917" s="110"/>
      <c r="O1917" s="110"/>
    </row>
    <row r="1918" spans="1:15" s="108" customFormat="1" hidden="1">
      <c r="A1918" s="108" t="str">
        <f t="shared" si="68"/>
        <v>MXLIVERPOOLWIRELESS HEADSETNoise cancelling earbudsauriculares con cancelación de ruido</v>
      </c>
      <c r="B1918" s="109" t="str">
        <f t="shared" si="69"/>
        <v>MX_LIVERPOOL</v>
      </c>
      <c r="C1918" s="110" t="s">
        <v>331</v>
      </c>
      <c r="D1918" s="110" t="s">
        <v>332</v>
      </c>
      <c r="E1918" s="110" t="s">
        <v>2532</v>
      </c>
      <c r="F1918" s="110" t="s">
        <v>3190</v>
      </c>
      <c r="G1918" s="110" t="s">
        <v>3191</v>
      </c>
      <c r="H1918" s="93" t="e">
        <v>#N/A</v>
      </c>
      <c r="I1918" s="99">
        <v>46076</v>
      </c>
      <c r="J1918" s="83" t="s">
        <v>189</v>
      </c>
      <c r="K1918" s="110"/>
      <c r="L1918" s="110"/>
      <c r="M1918" s="110"/>
      <c r="N1918" s="110"/>
      <c r="O1918" s="110"/>
    </row>
    <row r="1919" spans="1:15" s="108" customFormat="1" hidden="1">
      <c r="A1919" s="108" t="str">
        <f t="shared" ref="A1919:A1956" si="70">C1919&amp;D1919&amp;E1919&amp;F1919&amp;G1919</f>
        <v>MXLIVERPOOLWIRELESS HEADSETEar budsauriculares</v>
      </c>
      <c r="B1919" s="109" t="str">
        <f t="shared" ref="B1919:B1956" si="71">C1919&amp;"_"&amp;D1919</f>
        <v>MX_LIVERPOOL</v>
      </c>
      <c r="C1919" s="110" t="s">
        <v>331</v>
      </c>
      <c r="D1919" s="110" t="s">
        <v>332</v>
      </c>
      <c r="E1919" s="110" t="s">
        <v>2532</v>
      </c>
      <c r="F1919" s="110" t="s">
        <v>3192</v>
      </c>
      <c r="G1919" s="110" t="s">
        <v>3193</v>
      </c>
      <c r="H1919" s="93" t="e">
        <v>#N/A</v>
      </c>
      <c r="I1919" s="99">
        <v>46076</v>
      </c>
      <c r="J1919" s="83" t="s">
        <v>189</v>
      </c>
      <c r="K1919" s="110"/>
      <c r="L1919" s="110"/>
      <c r="M1919" s="110"/>
      <c r="N1919" s="110"/>
      <c r="O1919" s="110"/>
    </row>
    <row r="1920" spans="1:15" s="108" customFormat="1" hidden="1">
      <c r="A1920" s="108" t="str">
        <f t="shared" si="70"/>
        <v>MXLIVERPOOLWIRELESS HEADSETBluetooth earbudsauriculares bluetooth</v>
      </c>
      <c r="B1920" s="109" t="str">
        <f t="shared" si="71"/>
        <v>MX_LIVERPOOL</v>
      </c>
      <c r="C1920" s="110" t="s">
        <v>331</v>
      </c>
      <c r="D1920" s="110" t="s">
        <v>332</v>
      </c>
      <c r="E1920" s="110" t="s">
        <v>2532</v>
      </c>
      <c r="F1920" s="110" t="s">
        <v>3194</v>
      </c>
      <c r="G1920" s="110" t="s">
        <v>3195</v>
      </c>
      <c r="H1920" s="93" t="e">
        <v>#N/A</v>
      </c>
      <c r="I1920" s="99">
        <v>46076</v>
      </c>
      <c r="J1920" s="83" t="s">
        <v>189</v>
      </c>
      <c r="K1920" s="110"/>
      <c r="L1920" s="110"/>
      <c r="M1920" s="110"/>
      <c r="N1920" s="110"/>
      <c r="O1920" s="110"/>
    </row>
    <row r="1921" spans="1:15" s="108" customFormat="1" hidden="1">
      <c r="A1921" s="108" t="str">
        <f t="shared" si="70"/>
        <v>MXLIVERPOOLDryerDryersecadora</v>
      </c>
      <c r="B1921" s="109" t="str">
        <f t="shared" si="71"/>
        <v>MX_LIVERPOOL</v>
      </c>
      <c r="C1921" s="110" t="s">
        <v>331</v>
      </c>
      <c r="D1921" s="110" t="s">
        <v>332</v>
      </c>
      <c r="E1921" s="110" t="s">
        <v>2535</v>
      </c>
      <c r="F1921" s="110" t="s">
        <v>2431</v>
      </c>
      <c r="G1921" s="110" t="s">
        <v>2620</v>
      </c>
      <c r="H1921" s="93" t="e">
        <v>#N/A</v>
      </c>
      <c r="I1921" s="99">
        <v>46076</v>
      </c>
      <c r="J1921" s="83" t="s">
        <v>189</v>
      </c>
      <c r="K1921" s="110"/>
      <c r="L1921" s="110"/>
      <c r="M1921" s="110"/>
      <c r="N1921" s="110"/>
      <c r="O1921" s="110"/>
    </row>
    <row r="1922" spans="1:15" s="108" customFormat="1" hidden="1">
      <c r="A1922" s="108" t="str">
        <f t="shared" si="70"/>
        <v>MXLIVERPOOLDryerheatpump  bomba de calor</v>
      </c>
      <c r="B1922" s="109" t="str">
        <f t="shared" si="71"/>
        <v>MX_LIVERPOOL</v>
      </c>
      <c r="C1922" s="110" t="s">
        <v>331</v>
      </c>
      <c r="D1922" s="110" t="s">
        <v>332</v>
      </c>
      <c r="E1922" s="110" t="s">
        <v>2535</v>
      </c>
      <c r="F1922" s="110" t="s">
        <v>2432</v>
      </c>
      <c r="G1922" s="110" t="s">
        <v>2622</v>
      </c>
      <c r="H1922" s="93" t="e">
        <v>#N/A</v>
      </c>
      <c r="I1922" s="99">
        <v>46076</v>
      </c>
      <c r="J1922" s="83" t="s">
        <v>189</v>
      </c>
      <c r="K1922" s="110"/>
      <c r="L1922" s="110"/>
      <c r="M1922" s="110"/>
      <c r="N1922" s="110"/>
      <c r="O1922" s="110"/>
    </row>
    <row r="1923" spans="1:15" s="108" customFormat="1" hidden="1">
      <c r="A1923" s="108" t="str">
        <f t="shared" si="70"/>
        <v>MXLIVERPOOLDryerLG Dryersecadora LG</v>
      </c>
      <c r="B1923" s="109" t="str">
        <f t="shared" si="71"/>
        <v>MX_LIVERPOOL</v>
      </c>
      <c r="C1923" s="110" t="s">
        <v>331</v>
      </c>
      <c r="D1923" s="110" t="s">
        <v>332</v>
      </c>
      <c r="E1923" s="110" t="s">
        <v>2535</v>
      </c>
      <c r="F1923" s="110" t="s">
        <v>2434</v>
      </c>
      <c r="G1923" s="110" t="s">
        <v>2624</v>
      </c>
      <c r="H1923" s="93" t="e">
        <v>#N/A</v>
      </c>
      <c r="I1923" s="99">
        <v>46076</v>
      </c>
      <c r="J1923" s="83" t="s">
        <v>189</v>
      </c>
      <c r="K1923" s="110"/>
      <c r="L1923" s="110"/>
      <c r="M1923" s="110"/>
      <c r="N1923" s="110"/>
      <c r="O1923" s="110"/>
    </row>
    <row r="1924" spans="1:15" hidden="1">
      <c r="A1924" s="75" t="str">
        <f t="shared" si="70"/>
        <v>MXSS.comAir Conditionerair conditioneraire acondicionado</v>
      </c>
      <c r="B1924" s="94" t="str">
        <f t="shared" si="71"/>
        <v>MX_SS.com</v>
      </c>
      <c r="C1924" s="93" t="s">
        <v>331</v>
      </c>
      <c r="D1924" s="93" t="s">
        <v>2443</v>
      </c>
      <c r="E1924" s="93" t="s">
        <v>2346</v>
      </c>
      <c r="F1924" s="93" t="s">
        <v>2347</v>
      </c>
      <c r="G1924" s="93" t="s">
        <v>2761</v>
      </c>
      <c r="H1924" s="93" t="e">
        <v>#N/A</v>
      </c>
      <c r="I1924" s="105" t="s">
        <v>2310</v>
      </c>
      <c r="J1924" s="93" t="s">
        <v>189</v>
      </c>
      <c r="K1924" s="93">
        <v>12</v>
      </c>
      <c r="L1924" s="93" t="e">
        <v>#N/A</v>
      </c>
      <c r="M1924" s="93" t="s">
        <v>2311</v>
      </c>
      <c r="N1924" s="93">
        <f>VLOOKUP(B1924,'[16]01.수집 카테고리(List)'!$A$2:$H$64,8,FALSE)</f>
        <v>99991231</v>
      </c>
      <c r="O1924" s="93" t="s">
        <v>646</v>
      </c>
    </row>
    <row r="1925" spans="1:15" hidden="1">
      <c r="A1925" s="75" t="str">
        <f t="shared" si="70"/>
        <v>MXSS.comMonitormonitormonitor</v>
      </c>
      <c r="B1925" s="94" t="str">
        <f t="shared" si="71"/>
        <v>MX_SS.com</v>
      </c>
      <c r="C1925" s="93" t="s">
        <v>331</v>
      </c>
      <c r="D1925" s="93" t="s">
        <v>184</v>
      </c>
      <c r="E1925" s="93" t="s">
        <v>2320</v>
      </c>
      <c r="F1925" s="93" t="s">
        <v>2323</v>
      </c>
      <c r="G1925" s="93" t="s">
        <v>2323</v>
      </c>
      <c r="H1925" s="93" t="e">
        <v>#N/A</v>
      </c>
      <c r="I1925" s="105" t="s">
        <v>2310</v>
      </c>
      <c r="J1925" s="93" t="s">
        <v>189</v>
      </c>
      <c r="K1925" s="93">
        <v>22</v>
      </c>
      <c r="L1925" s="93">
        <v>22</v>
      </c>
      <c r="M1925" s="93" t="s">
        <v>2311</v>
      </c>
      <c r="N1925" s="93">
        <f>VLOOKUP(B1925,'[16]01.수집 카테고리(List)'!$A$2:$H$64,8,FALSE)</f>
        <v>99991231</v>
      </c>
      <c r="O1925" s="93" t="s">
        <v>646</v>
      </c>
    </row>
    <row r="1926" spans="1:15" hidden="1">
      <c r="A1926" s="75" t="str">
        <f t="shared" si="70"/>
        <v>MXSS.comMonitorgaming monitormonitor gamer</v>
      </c>
      <c r="B1926" s="94" t="str">
        <f t="shared" si="71"/>
        <v>MX_SS.com</v>
      </c>
      <c r="C1926" s="93" t="s">
        <v>331</v>
      </c>
      <c r="D1926" s="93" t="s">
        <v>184</v>
      </c>
      <c r="E1926" s="93" t="s">
        <v>2320</v>
      </c>
      <c r="F1926" s="93" t="s">
        <v>2322</v>
      </c>
      <c r="G1926" s="93" t="s">
        <v>2466</v>
      </c>
      <c r="H1926" s="93" t="e">
        <v>#N/A</v>
      </c>
      <c r="I1926" s="105" t="s">
        <v>2310</v>
      </c>
      <c r="J1926" s="93" t="s">
        <v>189</v>
      </c>
      <c r="K1926" s="93">
        <v>6</v>
      </c>
      <c r="L1926" s="93" t="e">
        <v>#N/A</v>
      </c>
      <c r="M1926" s="93" t="s">
        <v>2311</v>
      </c>
      <c r="N1926" s="93">
        <f>VLOOKUP(B1926,'[16]01.수집 카테고리(List)'!$A$2:$H$64,8,FALSE)</f>
        <v>99991231</v>
      </c>
      <c r="O1926" s="93" t="s">
        <v>646</v>
      </c>
    </row>
    <row r="1927" spans="1:15" hidden="1">
      <c r="A1927" s="75" t="str">
        <f t="shared" si="70"/>
        <v>MXSS.comRefrigeratorfridgefrigo</v>
      </c>
      <c r="B1927" s="94" t="str">
        <f t="shared" si="71"/>
        <v>MX_SS.com</v>
      </c>
      <c r="C1927" s="93" t="s">
        <v>331</v>
      </c>
      <c r="D1927" s="93" t="s">
        <v>184</v>
      </c>
      <c r="E1927" s="93" t="s">
        <v>2326</v>
      </c>
      <c r="F1927" s="93" t="s">
        <v>2414</v>
      </c>
      <c r="G1927" s="93" t="s">
        <v>2865</v>
      </c>
      <c r="H1927" s="93" t="e">
        <v>#N/A</v>
      </c>
      <c r="I1927" s="105" t="s">
        <v>2310</v>
      </c>
      <c r="J1927" s="93" t="s">
        <v>189</v>
      </c>
      <c r="K1927" s="93">
        <v>60</v>
      </c>
      <c r="L1927" s="93" t="e">
        <v>#N/A</v>
      </c>
      <c r="M1927" s="93" t="s">
        <v>2311</v>
      </c>
      <c r="N1927" s="93">
        <f>VLOOKUP(B1927,'[16]01.수집 카테고리(List)'!$A$2:$H$64,8,FALSE)</f>
        <v>99991231</v>
      </c>
      <c r="O1927" s="93" t="s">
        <v>646</v>
      </c>
    </row>
    <row r="1928" spans="1:15" hidden="1">
      <c r="A1928" s="75" t="str">
        <f t="shared" si="70"/>
        <v>MXSS.comRefrigeratorrefrigeratorrefrigerador</v>
      </c>
      <c r="B1928" s="94" t="str">
        <f t="shared" si="71"/>
        <v>MX_SS.com</v>
      </c>
      <c r="C1928" s="93" t="s">
        <v>331</v>
      </c>
      <c r="D1928" s="93" t="s">
        <v>184</v>
      </c>
      <c r="E1928" s="93" t="s">
        <v>2326</v>
      </c>
      <c r="F1928" s="93" t="s">
        <v>2329</v>
      </c>
      <c r="G1928" s="93" t="s">
        <v>2561</v>
      </c>
      <c r="H1928" s="93" t="e">
        <v>#N/A</v>
      </c>
      <c r="I1928" s="105" t="s">
        <v>2310</v>
      </c>
      <c r="J1928" s="93" t="s">
        <v>189</v>
      </c>
      <c r="K1928" s="93">
        <v>60</v>
      </c>
      <c r="L1928" s="93" t="e">
        <v>#N/A</v>
      </c>
      <c r="M1928" s="93" t="s">
        <v>2311</v>
      </c>
      <c r="N1928" s="93">
        <f>VLOOKUP(B1928,'[16]01.수집 카테고리(List)'!$A$2:$H$64,8,FALSE)</f>
        <v>99991231</v>
      </c>
      <c r="O1928" s="93" t="s">
        <v>646</v>
      </c>
    </row>
    <row r="1929" spans="1:15" hidden="1">
      <c r="A1929" s="75" t="str">
        <f t="shared" si="70"/>
        <v>MXSS.comTVtvtelevisión</v>
      </c>
      <c r="B1929" s="94" t="str">
        <f t="shared" si="71"/>
        <v>MX_SS.com</v>
      </c>
      <c r="C1929" s="93" t="s">
        <v>331</v>
      </c>
      <c r="D1929" s="93" t="s">
        <v>184</v>
      </c>
      <c r="E1929" s="93" t="s">
        <v>161</v>
      </c>
      <c r="F1929" s="93" t="s">
        <v>2444</v>
      </c>
      <c r="G1929" s="93" t="s">
        <v>3196</v>
      </c>
      <c r="H1929" s="93" t="e">
        <v>#N/A</v>
      </c>
      <c r="I1929" s="105" t="s">
        <v>2310</v>
      </c>
      <c r="J1929" s="93" t="s">
        <v>189</v>
      </c>
      <c r="K1929" s="93">
        <v>198</v>
      </c>
      <c r="L1929" s="93" t="e">
        <v>#N/A</v>
      </c>
      <c r="M1929" s="93" t="s">
        <v>2311</v>
      </c>
      <c r="N1929" s="93">
        <f>VLOOKUP(B1929,'[16]01.수집 카테고리(List)'!$A$2:$H$64,8,FALSE)</f>
        <v>99991231</v>
      </c>
      <c r="O1929" s="93" t="s">
        <v>646</v>
      </c>
    </row>
    <row r="1930" spans="1:15" hidden="1">
      <c r="A1930" s="75" t="str">
        <f t="shared" si="70"/>
        <v>MXSS.comWashing Machinewasher dryercentro de lavado</v>
      </c>
      <c r="B1930" s="94" t="str">
        <f t="shared" si="71"/>
        <v>MX_SS.com</v>
      </c>
      <c r="C1930" s="93" t="s">
        <v>331</v>
      </c>
      <c r="D1930" s="93" t="s">
        <v>184</v>
      </c>
      <c r="E1930" s="93" t="s">
        <v>2333</v>
      </c>
      <c r="F1930" s="93" t="s">
        <v>2339</v>
      </c>
      <c r="G1930" s="93" t="s">
        <v>3197</v>
      </c>
      <c r="H1930" s="93" t="s">
        <v>3198</v>
      </c>
      <c r="I1930" s="105" t="s">
        <v>2310</v>
      </c>
      <c r="J1930" s="93" t="s">
        <v>189</v>
      </c>
      <c r="K1930" s="93" t="e">
        <v>#N/A</v>
      </c>
      <c r="L1930" s="93" t="e">
        <v>#N/A</v>
      </c>
      <c r="M1930" s="93" t="s">
        <v>2393</v>
      </c>
      <c r="N1930" s="93">
        <f>VLOOKUP(B1930,'[16]01.수집 카테고리(List)'!$A$2:$H$64,8,FALSE)</f>
        <v>99991231</v>
      </c>
      <c r="O1930" s="93" t="s">
        <v>646</v>
      </c>
    </row>
    <row r="1931" spans="1:15" hidden="1">
      <c r="A1931" s="75" t="str">
        <f t="shared" si="70"/>
        <v>MXSS.comWashing Machinewashing machinelavadora</v>
      </c>
      <c r="B1931" s="94" t="str">
        <f t="shared" si="71"/>
        <v>MX_SS.com</v>
      </c>
      <c r="C1931" s="93" t="s">
        <v>331</v>
      </c>
      <c r="D1931" s="93" t="s">
        <v>184</v>
      </c>
      <c r="E1931" s="93" t="s">
        <v>2333</v>
      </c>
      <c r="F1931" s="93" t="s">
        <v>2340</v>
      </c>
      <c r="G1931" s="93" t="s">
        <v>2753</v>
      </c>
      <c r="H1931" s="93" t="e">
        <v>#N/A</v>
      </c>
      <c r="I1931" s="105" t="s">
        <v>2310</v>
      </c>
      <c r="J1931" s="93" t="s">
        <v>189</v>
      </c>
      <c r="K1931" s="93">
        <v>43</v>
      </c>
      <c r="L1931" s="93" t="e">
        <v>#N/A</v>
      </c>
      <c r="M1931" s="93" t="s">
        <v>2311</v>
      </c>
      <c r="N1931" s="93">
        <f>VLOOKUP(B1931,'[16]01.수집 카테고리(List)'!$A$2:$H$64,8,FALSE)</f>
        <v>99991231</v>
      </c>
      <c r="O1931" s="93" t="s">
        <v>646</v>
      </c>
    </row>
    <row r="1932" spans="1:15" s="111" customFormat="1" hidden="1">
      <c r="A1932" s="111" t="str">
        <f t="shared" si="70"/>
        <v>MXSS.comBluetooth SpeakerPortable Speakeraltavoz portátil</v>
      </c>
      <c r="B1932" s="112" t="str">
        <f t="shared" si="71"/>
        <v>MX_SS.com</v>
      </c>
      <c r="C1932" s="113" t="s">
        <v>331</v>
      </c>
      <c r="D1932" s="113" t="s">
        <v>184</v>
      </c>
      <c r="E1932" s="113" t="s">
        <v>2470</v>
      </c>
      <c r="F1932" s="113" t="s">
        <v>2308</v>
      </c>
      <c r="G1932" s="113" t="s">
        <v>3199</v>
      </c>
      <c r="H1932" s="93" t="e">
        <v>#N/A</v>
      </c>
      <c r="I1932" s="99">
        <v>46076</v>
      </c>
      <c r="J1932" s="83" t="s">
        <v>189</v>
      </c>
      <c r="K1932" s="113"/>
      <c r="L1932" s="113"/>
      <c r="M1932" s="113"/>
      <c r="N1932" s="113"/>
      <c r="O1932" s="113"/>
    </row>
    <row r="1933" spans="1:15" s="111" customFormat="1" hidden="1">
      <c r="A1933" s="111" t="str">
        <f t="shared" si="70"/>
        <v>MXSS.comBluetooth SpeakerPortable bluetooth speakeraltavoz portátil bluetooth</v>
      </c>
      <c r="B1933" s="112" t="str">
        <f t="shared" si="71"/>
        <v>MX_SS.com</v>
      </c>
      <c r="C1933" s="113" t="s">
        <v>331</v>
      </c>
      <c r="D1933" s="113" t="s">
        <v>184</v>
      </c>
      <c r="E1933" s="113" t="s">
        <v>2470</v>
      </c>
      <c r="F1933" s="113" t="s">
        <v>2312</v>
      </c>
      <c r="G1933" s="113" t="s">
        <v>3200</v>
      </c>
      <c r="H1933" s="93" t="e">
        <v>#N/A</v>
      </c>
      <c r="I1933" s="99">
        <v>46076</v>
      </c>
      <c r="J1933" s="83" t="s">
        <v>189</v>
      </c>
      <c r="K1933" s="113"/>
      <c r="L1933" s="113"/>
      <c r="M1933" s="113"/>
      <c r="N1933" s="113"/>
      <c r="O1933" s="113"/>
    </row>
    <row r="1934" spans="1:15" s="111" customFormat="1" hidden="1">
      <c r="A1934" s="111" t="str">
        <f t="shared" si="70"/>
        <v>MXSS.comBluetooth SpeakerWireless speakeraltavoz inalámbrico</v>
      </c>
      <c r="B1934" s="112" t="str">
        <f t="shared" si="71"/>
        <v>MX_SS.com</v>
      </c>
      <c r="C1934" s="113" t="s">
        <v>331</v>
      </c>
      <c r="D1934" s="113" t="s">
        <v>184</v>
      </c>
      <c r="E1934" s="113" t="s">
        <v>2470</v>
      </c>
      <c r="F1934" s="113" t="s">
        <v>2316</v>
      </c>
      <c r="G1934" s="113" t="s">
        <v>3201</v>
      </c>
      <c r="H1934" s="93" t="e">
        <v>#N/A</v>
      </c>
      <c r="I1934" s="99">
        <v>46076</v>
      </c>
      <c r="J1934" s="83" t="s">
        <v>189</v>
      </c>
      <c r="K1934" s="113"/>
      <c r="L1934" s="113"/>
      <c r="M1934" s="113"/>
      <c r="N1934" s="113"/>
      <c r="O1934" s="113"/>
    </row>
    <row r="1935" spans="1:15" s="111" customFormat="1" hidden="1">
      <c r="A1935" s="111" t="str">
        <f t="shared" si="70"/>
        <v>MXSS.comBluetooth SpeakerPortable Soundsonido portátil</v>
      </c>
      <c r="B1935" s="112" t="str">
        <f t="shared" si="71"/>
        <v>MX_SS.com</v>
      </c>
      <c r="C1935" s="113" t="s">
        <v>331</v>
      </c>
      <c r="D1935" s="113" t="s">
        <v>184</v>
      </c>
      <c r="E1935" s="113" t="s">
        <v>2470</v>
      </c>
      <c r="F1935" s="113" t="s">
        <v>2318</v>
      </c>
      <c r="G1935" s="113" t="s">
        <v>3202</v>
      </c>
      <c r="H1935" s="93" t="e">
        <v>#N/A</v>
      </c>
      <c r="I1935" s="99">
        <v>46076</v>
      </c>
      <c r="J1935" s="83" t="s">
        <v>189</v>
      </c>
      <c r="K1935" s="113"/>
      <c r="L1935" s="113"/>
      <c r="M1935" s="113"/>
      <c r="N1935" s="113"/>
      <c r="O1935" s="113"/>
    </row>
    <row r="1936" spans="1:15" s="111" customFormat="1" hidden="1">
      <c r="A1936" s="111" t="str">
        <f t="shared" si="70"/>
        <v>MXSS.comSOUNDBARSound systemsistema de sonido</v>
      </c>
      <c r="B1936" s="112" t="str">
        <f t="shared" si="71"/>
        <v>MX_SS.com</v>
      </c>
      <c r="C1936" s="113" t="s">
        <v>331</v>
      </c>
      <c r="D1936" s="113" t="s">
        <v>184</v>
      </c>
      <c r="E1936" s="113" t="s">
        <v>165</v>
      </c>
      <c r="F1936" s="113" t="s">
        <v>2359</v>
      </c>
      <c r="G1936" s="113" t="s">
        <v>3203</v>
      </c>
      <c r="H1936" s="93" t="e">
        <v>#N/A</v>
      </c>
      <c r="I1936" s="99">
        <v>46076</v>
      </c>
      <c r="J1936" s="83" t="s">
        <v>189</v>
      </c>
      <c r="K1936" s="113"/>
      <c r="L1936" s="113"/>
      <c r="M1936" s="113"/>
      <c r="N1936" s="113"/>
      <c r="O1936" s="113"/>
    </row>
    <row r="1937" spans="1:15" s="111" customFormat="1" hidden="1">
      <c r="A1937" s="111" t="str">
        <f t="shared" si="70"/>
        <v>MXSS.comSOUNDBARSoundbarsbarrasdesonido</v>
      </c>
      <c r="B1937" s="112" t="str">
        <f t="shared" si="71"/>
        <v>MX_SS.com</v>
      </c>
      <c r="C1937" s="113" t="s">
        <v>331</v>
      </c>
      <c r="D1937" s="113" t="s">
        <v>184</v>
      </c>
      <c r="E1937" s="113" t="s">
        <v>165</v>
      </c>
      <c r="F1937" s="113" t="s">
        <v>2361</v>
      </c>
      <c r="G1937" s="113" t="s">
        <v>3204</v>
      </c>
      <c r="H1937" s="93" t="e">
        <v>#N/A</v>
      </c>
      <c r="I1937" s="99">
        <v>46076</v>
      </c>
      <c r="J1937" s="83" t="s">
        <v>189</v>
      </c>
      <c r="K1937" s="113"/>
      <c r="L1937" s="113"/>
      <c r="M1937" s="113"/>
      <c r="N1937" s="113"/>
      <c r="O1937" s="113"/>
    </row>
    <row r="1938" spans="1:15" s="111" customFormat="1" hidden="1">
      <c r="A1938" s="111" t="str">
        <f t="shared" si="70"/>
        <v>MXSS.comSOUNDBARSoundbarbarradesonido</v>
      </c>
      <c r="B1938" s="112" t="str">
        <f t="shared" si="71"/>
        <v>MX_SS.com</v>
      </c>
      <c r="C1938" s="113" t="s">
        <v>331</v>
      </c>
      <c r="D1938" s="113" t="s">
        <v>184</v>
      </c>
      <c r="E1938" s="113" t="s">
        <v>165</v>
      </c>
      <c r="F1938" s="113" t="s">
        <v>2363</v>
      </c>
      <c r="G1938" s="113" t="s">
        <v>3205</v>
      </c>
      <c r="H1938" s="93" t="e">
        <v>#N/A</v>
      </c>
      <c r="I1938" s="99">
        <v>46076</v>
      </c>
      <c r="J1938" s="83" t="s">
        <v>189</v>
      </c>
      <c r="K1938" s="113"/>
      <c r="L1938" s="113"/>
      <c r="M1938" s="113"/>
      <c r="N1938" s="113"/>
      <c r="O1938" s="113"/>
    </row>
    <row r="1939" spans="1:15" s="111" customFormat="1" hidden="1">
      <c r="A1939" s="111" t="str">
        <f t="shared" si="70"/>
        <v>MXSS.comSOUNDBARSound barbarra de sonido</v>
      </c>
      <c r="B1939" s="112" t="str">
        <f t="shared" si="71"/>
        <v>MX_SS.com</v>
      </c>
      <c r="C1939" s="113" t="s">
        <v>331</v>
      </c>
      <c r="D1939" s="113" t="s">
        <v>184</v>
      </c>
      <c r="E1939" s="113" t="s">
        <v>165</v>
      </c>
      <c r="F1939" s="113" t="s">
        <v>2365</v>
      </c>
      <c r="G1939" s="113" t="s">
        <v>3206</v>
      </c>
      <c r="H1939" s="93" t="e">
        <v>#N/A</v>
      </c>
      <c r="I1939" s="99">
        <v>46076</v>
      </c>
      <c r="J1939" s="83" t="s">
        <v>189</v>
      </c>
      <c r="K1939" s="113"/>
      <c r="L1939" s="113"/>
      <c r="M1939" s="113"/>
      <c r="N1939" s="113"/>
      <c r="O1939" s="113"/>
    </row>
    <row r="1940" spans="1:15" s="111" customFormat="1" hidden="1">
      <c r="A1940" s="111" t="str">
        <f t="shared" si="70"/>
        <v>MXSS.comSOUNDBARSound barsbarras de sonido</v>
      </c>
      <c r="B1940" s="112" t="str">
        <f t="shared" si="71"/>
        <v>MX_SS.com</v>
      </c>
      <c r="C1940" s="113" t="s">
        <v>331</v>
      </c>
      <c r="D1940" s="113" t="s">
        <v>184</v>
      </c>
      <c r="E1940" s="113" t="s">
        <v>165</v>
      </c>
      <c r="F1940" s="113" t="s">
        <v>2366</v>
      </c>
      <c r="G1940" s="113" t="s">
        <v>3207</v>
      </c>
      <c r="H1940" s="93" t="e">
        <v>#N/A</v>
      </c>
      <c r="I1940" s="99">
        <v>46076</v>
      </c>
      <c r="J1940" s="83" t="s">
        <v>189</v>
      </c>
      <c r="K1940" s="113"/>
      <c r="L1940" s="113"/>
      <c r="M1940" s="113"/>
      <c r="N1940" s="113"/>
      <c r="O1940" s="113"/>
    </row>
    <row r="1941" spans="1:15" s="111" customFormat="1" hidden="1">
      <c r="A1941" s="111" t="str">
        <f t="shared" si="70"/>
        <v>MXSS.comWIRELESS HEADSETTrue wireless earbudsauriculares verdaderamente inalámbricos</v>
      </c>
      <c r="B1941" s="112" t="str">
        <f t="shared" si="71"/>
        <v>MX_SS.com</v>
      </c>
      <c r="C1941" s="113" t="s">
        <v>331</v>
      </c>
      <c r="D1941" s="113" t="s">
        <v>184</v>
      </c>
      <c r="E1941" s="113" t="s">
        <v>2201</v>
      </c>
      <c r="F1941" s="113" t="s">
        <v>2374</v>
      </c>
      <c r="G1941" s="113" t="s">
        <v>3208</v>
      </c>
      <c r="H1941" s="93" t="e">
        <v>#N/A</v>
      </c>
      <c r="I1941" s="99">
        <v>46076</v>
      </c>
      <c r="J1941" s="83" t="s">
        <v>189</v>
      </c>
      <c r="K1941" s="113"/>
      <c r="L1941" s="113"/>
      <c r="M1941" s="113"/>
      <c r="N1941" s="113"/>
      <c r="O1941" s="113"/>
    </row>
    <row r="1942" spans="1:15" s="111" customFormat="1" hidden="1">
      <c r="A1942" s="111" t="str">
        <f t="shared" si="70"/>
        <v>MXSS.comWIRELESS HEADSETWireless earbudsauriculares inalámbricos</v>
      </c>
      <c r="B1942" s="112" t="str">
        <f t="shared" si="71"/>
        <v>MX_SS.com</v>
      </c>
      <c r="C1942" s="113" t="s">
        <v>331</v>
      </c>
      <c r="D1942" s="113" t="s">
        <v>184</v>
      </c>
      <c r="E1942" s="113" t="s">
        <v>2201</v>
      </c>
      <c r="F1942" s="113" t="s">
        <v>2376</v>
      </c>
      <c r="G1942" s="113" t="s">
        <v>3209</v>
      </c>
      <c r="H1942" s="93" t="e">
        <v>#N/A</v>
      </c>
      <c r="I1942" s="99">
        <v>46076</v>
      </c>
      <c r="J1942" s="83" t="s">
        <v>189</v>
      </c>
      <c r="K1942" s="113"/>
      <c r="L1942" s="113"/>
      <c r="M1942" s="113"/>
      <c r="N1942" s="113"/>
      <c r="O1942" s="113"/>
    </row>
    <row r="1943" spans="1:15" s="111" customFormat="1" hidden="1">
      <c r="A1943" s="111" t="str">
        <f t="shared" si="70"/>
        <v>MXSS.comWIRELESS HEADSETNoise cancelling earbudsauriculares con cancelación de ruido</v>
      </c>
      <c r="B1943" s="112" t="str">
        <f t="shared" si="71"/>
        <v>MX_SS.com</v>
      </c>
      <c r="C1943" s="113" t="s">
        <v>331</v>
      </c>
      <c r="D1943" s="113" t="s">
        <v>184</v>
      </c>
      <c r="E1943" s="113" t="s">
        <v>2201</v>
      </c>
      <c r="F1943" s="113" t="s">
        <v>2378</v>
      </c>
      <c r="G1943" s="113" t="s">
        <v>3210</v>
      </c>
      <c r="H1943" s="93" t="e">
        <v>#N/A</v>
      </c>
      <c r="I1943" s="99">
        <v>46076</v>
      </c>
      <c r="J1943" s="83" t="s">
        <v>189</v>
      </c>
      <c r="K1943" s="113"/>
      <c r="L1943" s="113"/>
      <c r="M1943" s="113"/>
      <c r="N1943" s="113"/>
      <c r="O1943" s="113"/>
    </row>
    <row r="1944" spans="1:15" s="111" customFormat="1" hidden="1">
      <c r="A1944" s="111" t="str">
        <f t="shared" si="70"/>
        <v>MXSS.comWIRELESS HEADSETEar budsauriculares</v>
      </c>
      <c r="B1944" s="112" t="str">
        <f t="shared" si="71"/>
        <v>MX_SS.com</v>
      </c>
      <c r="C1944" s="113" t="s">
        <v>331</v>
      </c>
      <c r="D1944" s="113" t="s">
        <v>184</v>
      </c>
      <c r="E1944" s="113" t="s">
        <v>2201</v>
      </c>
      <c r="F1944" s="113" t="s">
        <v>2380</v>
      </c>
      <c r="G1944" s="113" t="s">
        <v>3211</v>
      </c>
      <c r="H1944" s="93" t="e">
        <v>#N/A</v>
      </c>
      <c r="I1944" s="99">
        <v>46076</v>
      </c>
      <c r="J1944" s="83" t="s">
        <v>189</v>
      </c>
      <c r="K1944" s="113"/>
      <c r="L1944" s="113"/>
      <c r="M1944" s="113"/>
      <c r="N1944" s="113"/>
      <c r="O1944" s="113"/>
    </row>
    <row r="1945" spans="1:15" s="111" customFormat="1" hidden="1">
      <c r="A1945" s="111" t="str">
        <f t="shared" si="70"/>
        <v>MXSS.comWIRELESS HEADSETBluetooth earbudsauriculares bluetooth</v>
      </c>
      <c r="B1945" s="112" t="str">
        <f t="shared" si="71"/>
        <v>MX_SS.com</v>
      </c>
      <c r="C1945" s="113" t="s">
        <v>331</v>
      </c>
      <c r="D1945" s="113" t="s">
        <v>184</v>
      </c>
      <c r="E1945" s="113" t="s">
        <v>2201</v>
      </c>
      <c r="F1945" s="113" t="s">
        <v>2382</v>
      </c>
      <c r="G1945" s="113" t="s">
        <v>3212</v>
      </c>
      <c r="H1945" s="93" t="e">
        <v>#N/A</v>
      </c>
      <c r="I1945" s="99">
        <v>46076</v>
      </c>
      <c r="J1945" s="83" t="s">
        <v>189</v>
      </c>
      <c r="K1945" s="113"/>
      <c r="L1945" s="113"/>
      <c r="M1945" s="113"/>
      <c r="N1945" s="113"/>
      <c r="O1945" s="113"/>
    </row>
    <row r="1946" spans="1:15" s="111" customFormat="1" hidden="1">
      <c r="A1946" s="111" t="str">
        <f t="shared" si="70"/>
        <v>MXSS.comDryerDryersecadora</v>
      </c>
      <c r="B1946" s="112" t="str">
        <f t="shared" si="71"/>
        <v>MX_SS.com</v>
      </c>
      <c r="C1946" s="113" t="s">
        <v>331</v>
      </c>
      <c r="D1946" s="113" t="s">
        <v>184</v>
      </c>
      <c r="E1946" s="113" t="s">
        <v>2431</v>
      </c>
      <c r="F1946" s="113" t="s">
        <v>2431</v>
      </c>
      <c r="G1946" s="113" t="s">
        <v>3168</v>
      </c>
      <c r="H1946" s="93" t="e">
        <v>#N/A</v>
      </c>
      <c r="I1946" s="99">
        <v>46076</v>
      </c>
      <c r="J1946" s="83" t="s">
        <v>189</v>
      </c>
      <c r="K1946" s="113"/>
      <c r="L1946" s="113"/>
      <c r="M1946" s="113"/>
      <c r="N1946" s="113"/>
      <c r="O1946" s="113"/>
    </row>
    <row r="1947" spans="1:15" s="111" customFormat="1" hidden="1">
      <c r="A1947" s="111" t="str">
        <f t="shared" si="70"/>
        <v>MXSS.comDryerheatpump  bomba de calor</v>
      </c>
      <c r="B1947" s="112" t="str">
        <f t="shared" si="71"/>
        <v>MX_SS.com</v>
      </c>
      <c r="C1947" s="113" t="s">
        <v>331</v>
      </c>
      <c r="D1947" s="113" t="s">
        <v>184</v>
      </c>
      <c r="E1947" s="113" t="s">
        <v>2431</v>
      </c>
      <c r="F1947" s="113" t="s">
        <v>2432</v>
      </c>
      <c r="G1947" s="113" t="s">
        <v>3213</v>
      </c>
      <c r="H1947" s="93" t="e">
        <v>#N/A</v>
      </c>
      <c r="I1947" s="99">
        <v>46076</v>
      </c>
      <c r="J1947" s="83" t="s">
        <v>189</v>
      </c>
      <c r="K1947" s="113"/>
      <c r="L1947" s="113"/>
      <c r="M1947" s="113"/>
      <c r="N1947" s="113"/>
      <c r="O1947" s="113"/>
    </row>
    <row r="1948" spans="1:15" s="111" customFormat="1" hidden="1">
      <c r="A1948" s="111" t="str">
        <f t="shared" si="70"/>
        <v>MXSS.comDryerLG Dryersecadora LG</v>
      </c>
      <c r="B1948" s="112" t="str">
        <f t="shared" si="71"/>
        <v>MX_SS.com</v>
      </c>
      <c r="C1948" s="113" t="s">
        <v>331</v>
      </c>
      <c r="D1948" s="113" t="s">
        <v>184</v>
      </c>
      <c r="E1948" s="113" t="s">
        <v>2431</v>
      </c>
      <c r="F1948" s="113" t="s">
        <v>2434</v>
      </c>
      <c r="G1948" s="113" t="s">
        <v>3214</v>
      </c>
      <c r="H1948" s="93" t="e">
        <v>#N/A</v>
      </c>
      <c r="I1948" s="99">
        <v>46076</v>
      </c>
      <c r="J1948" s="83" t="s">
        <v>189</v>
      </c>
      <c r="K1948" s="113"/>
      <c r="L1948" s="113"/>
      <c r="M1948" s="113"/>
      <c r="N1948" s="113"/>
      <c r="O1948" s="113"/>
    </row>
    <row r="1949" spans="1:15" s="81" customFormat="1" hidden="1">
      <c r="A1949" s="81" t="str">
        <f t="shared" si="70"/>
        <v>MXLG.comAir Conditionerair conditioneraire acondicionado</v>
      </c>
      <c r="B1949" s="106" t="str">
        <f t="shared" si="71"/>
        <v>MX_LG.com</v>
      </c>
      <c r="C1949" s="107" t="s">
        <v>329</v>
      </c>
      <c r="D1949" s="107" t="s">
        <v>321</v>
      </c>
      <c r="E1949" s="107" t="s">
        <v>2346</v>
      </c>
      <c r="F1949" s="107" t="s">
        <v>2347</v>
      </c>
      <c r="G1949" s="107" t="s">
        <v>2761</v>
      </c>
      <c r="H1949" s="93" t="e">
        <v>#N/A</v>
      </c>
      <c r="I1949" s="99">
        <v>46076</v>
      </c>
      <c r="J1949" s="83" t="s">
        <v>189</v>
      </c>
      <c r="K1949" s="107"/>
      <c r="L1949" s="107"/>
      <c r="M1949" s="107"/>
      <c r="N1949" s="107"/>
      <c r="O1949" s="107"/>
    </row>
    <row r="1950" spans="1:15" s="81" customFormat="1" hidden="1">
      <c r="A1950" s="81" t="str">
        <f t="shared" si="70"/>
        <v>MXLG.comMonitormonitormonitor</v>
      </c>
      <c r="B1950" s="106" t="str">
        <f t="shared" si="71"/>
        <v>MX_LG.com</v>
      </c>
      <c r="C1950" s="107" t="s">
        <v>329</v>
      </c>
      <c r="D1950" s="107" t="s">
        <v>321</v>
      </c>
      <c r="E1950" s="107" t="s">
        <v>2320</v>
      </c>
      <c r="F1950" s="107" t="s">
        <v>2323</v>
      </c>
      <c r="G1950" s="107" t="s">
        <v>2323</v>
      </c>
      <c r="H1950" s="93" t="e">
        <v>#N/A</v>
      </c>
      <c r="I1950" s="99">
        <v>46076</v>
      </c>
      <c r="J1950" s="83" t="s">
        <v>189</v>
      </c>
      <c r="K1950" s="107"/>
      <c r="L1950" s="107"/>
      <c r="M1950" s="107"/>
      <c r="N1950" s="107"/>
      <c r="O1950" s="107"/>
    </row>
    <row r="1951" spans="1:15" s="81" customFormat="1" hidden="1">
      <c r="A1951" s="81" t="str">
        <f t="shared" si="70"/>
        <v>MXLG.comMonitorgaming monitormonitor gamer</v>
      </c>
      <c r="B1951" s="106" t="str">
        <f t="shared" si="71"/>
        <v>MX_LG.com</v>
      </c>
      <c r="C1951" s="107" t="s">
        <v>329</v>
      </c>
      <c r="D1951" s="107" t="s">
        <v>321</v>
      </c>
      <c r="E1951" s="107" t="s">
        <v>2320</v>
      </c>
      <c r="F1951" s="107" t="s">
        <v>2322</v>
      </c>
      <c r="G1951" s="107" t="s">
        <v>2466</v>
      </c>
      <c r="H1951" s="93" t="e">
        <v>#N/A</v>
      </c>
      <c r="I1951" s="99">
        <v>46076</v>
      </c>
      <c r="J1951" s="83" t="s">
        <v>189</v>
      </c>
      <c r="K1951" s="107"/>
      <c r="L1951" s="107"/>
      <c r="M1951" s="107"/>
      <c r="N1951" s="107"/>
      <c r="O1951" s="107"/>
    </row>
    <row r="1952" spans="1:15" s="81" customFormat="1" hidden="1">
      <c r="A1952" s="81" t="str">
        <f t="shared" si="70"/>
        <v>MXLG.comRefrigeratorfridgefrigo</v>
      </c>
      <c r="B1952" s="106" t="str">
        <f t="shared" si="71"/>
        <v>MX_LG.com</v>
      </c>
      <c r="C1952" s="107" t="s">
        <v>329</v>
      </c>
      <c r="D1952" s="107" t="s">
        <v>321</v>
      </c>
      <c r="E1952" s="107" t="s">
        <v>2326</v>
      </c>
      <c r="F1952" s="107" t="s">
        <v>2414</v>
      </c>
      <c r="G1952" s="107" t="s">
        <v>2865</v>
      </c>
      <c r="H1952" s="93" t="e">
        <v>#N/A</v>
      </c>
      <c r="I1952" s="99">
        <v>46076</v>
      </c>
      <c r="J1952" s="83" t="s">
        <v>189</v>
      </c>
      <c r="K1952" s="107"/>
      <c r="L1952" s="107"/>
      <c r="M1952" s="107"/>
      <c r="N1952" s="107"/>
      <c r="O1952" s="107"/>
    </row>
    <row r="1953" spans="1:15" s="81" customFormat="1" hidden="1">
      <c r="A1953" s="81" t="str">
        <f t="shared" si="70"/>
        <v>MXLG.comRefrigeratorrefrigeratorrefrigerador</v>
      </c>
      <c r="B1953" s="106" t="str">
        <f t="shared" si="71"/>
        <v>MX_LG.com</v>
      </c>
      <c r="C1953" s="107" t="s">
        <v>329</v>
      </c>
      <c r="D1953" s="107" t="s">
        <v>321</v>
      </c>
      <c r="E1953" s="107" t="s">
        <v>2326</v>
      </c>
      <c r="F1953" s="107" t="s">
        <v>2329</v>
      </c>
      <c r="G1953" s="107" t="s">
        <v>2561</v>
      </c>
      <c r="H1953" s="93" t="e">
        <v>#N/A</v>
      </c>
      <c r="I1953" s="99">
        <v>46076</v>
      </c>
      <c r="J1953" s="83" t="s">
        <v>189</v>
      </c>
      <c r="K1953" s="107"/>
      <c r="L1953" s="107"/>
      <c r="M1953" s="107"/>
      <c r="N1953" s="107"/>
      <c r="O1953" s="107"/>
    </row>
    <row r="1954" spans="1:15" s="81" customFormat="1" hidden="1">
      <c r="A1954" s="81" t="str">
        <f t="shared" si="70"/>
        <v>MXLG.comTVtvtelevisión</v>
      </c>
      <c r="B1954" s="106" t="str">
        <f t="shared" si="71"/>
        <v>MX_LG.com</v>
      </c>
      <c r="C1954" s="107" t="s">
        <v>329</v>
      </c>
      <c r="D1954" s="107" t="s">
        <v>321</v>
      </c>
      <c r="E1954" s="107" t="s">
        <v>161</v>
      </c>
      <c r="F1954" s="107" t="s">
        <v>2444</v>
      </c>
      <c r="G1954" s="107" t="s">
        <v>3196</v>
      </c>
      <c r="H1954" s="93" t="e">
        <v>#N/A</v>
      </c>
      <c r="I1954" s="99">
        <v>46076</v>
      </c>
      <c r="J1954" s="83" t="s">
        <v>189</v>
      </c>
      <c r="K1954" s="107"/>
      <c r="L1954" s="107"/>
      <c r="M1954" s="107"/>
      <c r="N1954" s="107"/>
      <c r="O1954" s="107"/>
    </row>
    <row r="1955" spans="1:15" s="197" customFormat="1" hidden="1">
      <c r="A1955" s="197" t="str">
        <f t="shared" ref="A1955" si="72">C1955&amp;D1955&amp;E1955&amp;F1955&amp;G1955</f>
        <v>MXLG.comWashing Machinewasher dryerlavadora secadora</v>
      </c>
      <c r="B1955" s="198" t="str">
        <f t="shared" ref="B1955" si="73">C1955&amp;"_"&amp;D1955</f>
        <v>MX_LG.com</v>
      </c>
      <c r="C1955" s="199" t="s">
        <v>329</v>
      </c>
      <c r="D1955" s="199" t="s">
        <v>321</v>
      </c>
      <c r="E1955" s="199" t="s">
        <v>2333</v>
      </c>
      <c r="F1955" s="199" t="s">
        <v>2339</v>
      </c>
      <c r="G1955" s="199" t="s">
        <v>3215</v>
      </c>
      <c r="H1955" s="199" t="s">
        <v>3216</v>
      </c>
      <c r="I1955" s="201">
        <v>46076</v>
      </c>
      <c r="J1955" s="202" t="s">
        <v>189</v>
      </c>
      <c r="K1955" s="199"/>
      <c r="L1955" s="199"/>
      <c r="M1955" s="199"/>
      <c r="N1955" s="199"/>
      <c r="O1955" s="199"/>
    </row>
    <row r="1956" spans="1:15" s="81" customFormat="1" hidden="1">
      <c r="A1956" s="81" t="str">
        <f t="shared" si="70"/>
        <v>MXLG.comWashing Machinewashing machinelavadora</v>
      </c>
      <c r="B1956" s="106" t="str">
        <f t="shared" si="71"/>
        <v>MX_LG.com</v>
      </c>
      <c r="C1956" s="107" t="s">
        <v>329</v>
      </c>
      <c r="D1956" s="107" t="s">
        <v>321</v>
      </c>
      <c r="E1956" s="107" t="s">
        <v>2333</v>
      </c>
      <c r="F1956" s="107" t="s">
        <v>2340</v>
      </c>
      <c r="G1956" s="107" t="s">
        <v>2753</v>
      </c>
      <c r="H1956" s="93" t="e">
        <v>#N/A</v>
      </c>
      <c r="I1956" s="99">
        <v>46076</v>
      </c>
      <c r="J1956" s="83" t="s">
        <v>189</v>
      </c>
      <c r="K1956" s="107"/>
      <c r="L1956" s="107"/>
      <c r="M1956" s="107"/>
      <c r="N1956" s="107"/>
      <c r="O1956" s="107"/>
    </row>
    <row r="1957" spans="1:15" s="111" customFormat="1" hidden="1">
      <c r="A1957" s="111" t="s">
        <v>3217</v>
      </c>
      <c r="B1957" s="112" t="s">
        <v>3218</v>
      </c>
      <c r="C1957" s="113" t="s">
        <v>331</v>
      </c>
      <c r="D1957" s="113" t="s">
        <v>567</v>
      </c>
      <c r="E1957" s="113" t="s">
        <v>2470</v>
      </c>
      <c r="F1957" s="113" t="s">
        <v>2308</v>
      </c>
      <c r="G1957" s="113" t="s">
        <v>3199</v>
      </c>
      <c r="H1957" s="93" t="e">
        <v>#N/A</v>
      </c>
      <c r="I1957" s="99">
        <v>46076</v>
      </c>
      <c r="J1957" s="83" t="s">
        <v>189</v>
      </c>
      <c r="K1957" s="113"/>
      <c r="L1957" s="113"/>
      <c r="M1957" s="113"/>
      <c r="N1957" s="113"/>
      <c r="O1957" s="113"/>
    </row>
    <row r="1958" spans="1:15" s="111" customFormat="1" hidden="1">
      <c r="A1958" s="111" t="s">
        <v>3217</v>
      </c>
      <c r="B1958" s="112" t="s">
        <v>3218</v>
      </c>
      <c r="C1958" s="113" t="s">
        <v>331</v>
      </c>
      <c r="D1958" s="113" t="s">
        <v>567</v>
      </c>
      <c r="E1958" s="113" t="s">
        <v>2470</v>
      </c>
      <c r="F1958" s="113" t="s">
        <v>2312</v>
      </c>
      <c r="G1958" s="113" t="s">
        <v>3200</v>
      </c>
      <c r="H1958" s="93" t="e">
        <v>#N/A</v>
      </c>
      <c r="I1958" s="99">
        <v>46076</v>
      </c>
      <c r="J1958" s="83" t="s">
        <v>189</v>
      </c>
      <c r="K1958" s="113"/>
      <c r="L1958" s="113"/>
      <c r="M1958" s="113"/>
      <c r="N1958" s="113"/>
      <c r="O1958" s="113"/>
    </row>
    <row r="1959" spans="1:15" s="111" customFormat="1" hidden="1">
      <c r="A1959" s="111" t="s">
        <v>3217</v>
      </c>
      <c r="B1959" s="112" t="s">
        <v>3218</v>
      </c>
      <c r="C1959" s="113" t="s">
        <v>331</v>
      </c>
      <c r="D1959" s="113" t="s">
        <v>567</v>
      </c>
      <c r="E1959" s="113" t="s">
        <v>2470</v>
      </c>
      <c r="F1959" s="113" t="s">
        <v>2316</v>
      </c>
      <c r="G1959" s="113" t="s">
        <v>3201</v>
      </c>
      <c r="H1959" s="93" t="e">
        <v>#N/A</v>
      </c>
      <c r="I1959" s="99">
        <v>46076</v>
      </c>
      <c r="J1959" s="83" t="s">
        <v>189</v>
      </c>
      <c r="K1959" s="113"/>
      <c r="L1959" s="113"/>
      <c r="M1959" s="113"/>
      <c r="N1959" s="113"/>
      <c r="O1959" s="113"/>
    </row>
    <row r="1960" spans="1:15" s="111" customFormat="1" hidden="1">
      <c r="A1960" s="111" t="s">
        <v>3217</v>
      </c>
      <c r="B1960" s="112" t="s">
        <v>3218</v>
      </c>
      <c r="C1960" s="113" t="s">
        <v>331</v>
      </c>
      <c r="D1960" s="113" t="s">
        <v>567</v>
      </c>
      <c r="E1960" s="113" t="s">
        <v>2470</v>
      </c>
      <c r="F1960" s="113" t="s">
        <v>2318</v>
      </c>
      <c r="G1960" s="113" t="s">
        <v>3202</v>
      </c>
      <c r="H1960" s="93" t="e">
        <v>#N/A</v>
      </c>
      <c r="I1960" s="99">
        <v>46076</v>
      </c>
      <c r="J1960" s="83" t="s">
        <v>189</v>
      </c>
      <c r="K1960" s="113"/>
      <c r="L1960" s="113"/>
      <c r="M1960" s="113"/>
      <c r="N1960" s="113"/>
      <c r="O1960" s="113"/>
    </row>
    <row r="1961" spans="1:15" s="111" customFormat="1" hidden="1">
      <c r="A1961" s="111" t="s">
        <v>3217</v>
      </c>
      <c r="B1961" s="112" t="s">
        <v>3218</v>
      </c>
      <c r="C1961" s="113" t="s">
        <v>331</v>
      </c>
      <c r="D1961" s="113" t="s">
        <v>567</v>
      </c>
      <c r="E1961" s="113" t="s">
        <v>165</v>
      </c>
      <c r="F1961" s="113" t="s">
        <v>2359</v>
      </c>
      <c r="G1961" s="113" t="s">
        <v>3203</v>
      </c>
      <c r="H1961" s="93" t="e">
        <v>#N/A</v>
      </c>
      <c r="I1961" s="99">
        <v>46076</v>
      </c>
      <c r="J1961" s="83" t="s">
        <v>189</v>
      </c>
      <c r="K1961" s="113"/>
      <c r="L1961" s="113"/>
      <c r="M1961" s="113"/>
      <c r="N1961" s="113"/>
      <c r="O1961" s="113"/>
    </row>
    <row r="1962" spans="1:15" s="111" customFormat="1" hidden="1">
      <c r="A1962" s="111" t="s">
        <v>3217</v>
      </c>
      <c r="B1962" s="112" t="s">
        <v>3218</v>
      </c>
      <c r="C1962" s="113" t="s">
        <v>331</v>
      </c>
      <c r="D1962" s="113" t="s">
        <v>567</v>
      </c>
      <c r="E1962" s="113" t="s">
        <v>165</v>
      </c>
      <c r="F1962" s="113" t="s">
        <v>2365</v>
      </c>
      <c r="G1962" s="113" t="s">
        <v>3206</v>
      </c>
      <c r="H1962" s="93" t="e">
        <v>#N/A</v>
      </c>
      <c r="I1962" s="99">
        <v>46076</v>
      </c>
      <c r="J1962" s="83" t="s">
        <v>189</v>
      </c>
      <c r="K1962" s="113"/>
      <c r="L1962" s="113"/>
      <c r="M1962" s="113"/>
      <c r="N1962" s="113"/>
      <c r="O1962" s="113"/>
    </row>
    <row r="1963" spans="1:15" s="111" customFormat="1" hidden="1">
      <c r="A1963" s="111" t="s">
        <v>3217</v>
      </c>
      <c r="B1963" s="112" t="s">
        <v>3218</v>
      </c>
      <c r="C1963" s="113" t="s">
        <v>331</v>
      </c>
      <c r="D1963" s="113" t="s">
        <v>567</v>
      </c>
      <c r="E1963" s="113" t="s">
        <v>165</v>
      </c>
      <c r="F1963" s="113" t="s">
        <v>2366</v>
      </c>
      <c r="G1963" s="113" t="s">
        <v>3207</v>
      </c>
      <c r="H1963" s="93" t="e">
        <v>#N/A</v>
      </c>
      <c r="I1963" s="99">
        <v>46076</v>
      </c>
      <c r="J1963" s="83" t="s">
        <v>189</v>
      </c>
      <c r="K1963" s="113"/>
      <c r="L1963" s="113"/>
      <c r="M1963" s="113"/>
      <c r="N1963" s="113"/>
      <c r="O1963" s="113"/>
    </row>
    <row r="1964" spans="1:15" s="111" customFormat="1" hidden="1">
      <c r="A1964" s="111" t="s">
        <v>3217</v>
      </c>
      <c r="B1964" s="112" t="s">
        <v>3218</v>
      </c>
      <c r="C1964" s="113" t="s">
        <v>331</v>
      </c>
      <c r="D1964" s="113" t="s">
        <v>567</v>
      </c>
      <c r="E1964" s="113" t="s">
        <v>2201</v>
      </c>
      <c r="F1964" s="113" t="s">
        <v>2376</v>
      </c>
      <c r="G1964" s="113" t="s">
        <v>3209</v>
      </c>
      <c r="H1964" s="93" t="e">
        <v>#N/A</v>
      </c>
      <c r="I1964" s="99">
        <v>46076</v>
      </c>
      <c r="J1964" s="83" t="s">
        <v>189</v>
      </c>
      <c r="K1964" s="113"/>
      <c r="L1964" s="113"/>
      <c r="M1964" s="113"/>
      <c r="N1964" s="113"/>
      <c r="O1964" s="113"/>
    </row>
    <row r="1965" spans="1:15" s="111" customFormat="1" hidden="1">
      <c r="A1965" s="111" t="s">
        <v>3217</v>
      </c>
      <c r="B1965" s="112" t="s">
        <v>3218</v>
      </c>
      <c r="C1965" s="113" t="s">
        <v>331</v>
      </c>
      <c r="D1965" s="113" t="s">
        <v>567</v>
      </c>
      <c r="E1965" s="113" t="s">
        <v>2201</v>
      </c>
      <c r="F1965" s="113" t="s">
        <v>2378</v>
      </c>
      <c r="G1965" s="113" t="s">
        <v>3210</v>
      </c>
      <c r="H1965" s="93" t="e">
        <v>#N/A</v>
      </c>
      <c r="I1965" s="99">
        <v>46076</v>
      </c>
      <c r="J1965" s="83" t="s">
        <v>189</v>
      </c>
      <c r="K1965" s="113"/>
      <c r="L1965" s="113"/>
      <c r="M1965" s="113"/>
      <c r="N1965" s="113"/>
      <c r="O1965" s="113"/>
    </row>
    <row r="1966" spans="1:15" s="111" customFormat="1" hidden="1">
      <c r="A1966" s="111" t="s">
        <v>3217</v>
      </c>
      <c r="B1966" s="112" t="s">
        <v>3218</v>
      </c>
      <c r="C1966" s="113" t="s">
        <v>331</v>
      </c>
      <c r="D1966" s="113" t="s">
        <v>567</v>
      </c>
      <c r="E1966" s="113" t="s">
        <v>2201</v>
      </c>
      <c r="F1966" s="113" t="s">
        <v>2380</v>
      </c>
      <c r="G1966" s="113" t="s">
        <v>3211</v>
      </c>
      <c r="H1966" s="93" t="e">
        <v>#N/A</v>
      </c>
      <c r="I1966" s="99">
        <v>46076</v>
      </c>
      <c r="J1966" s="83" t="s">
        <v>189</v>
      </c>
      <c r="K1966" s="113"/>
      <c r="L1966" s="113"/>
      <c r="M1966" s="113"/>
      <c r="N1966" s="113"/>
      <c r="O1966" s="113"/>
    </row>
    <row r="1967" spans="1:15" s="111" customFormat="1" hidden="1">
      <c r="A1967" s="111" t="s">
        <v>3217</v>
      </c>
      <c r="B1967" s="112" t="s">
        <v>3218</v>
      </c>
      <c r="C1967" s="113" t="s">
        <v>331</v>
      </c>
      <c r="D1967" s="113" t="s">
        <v>567</v>
      </c>
      <c r="E1967" s="113" t="s">
        <v>2201</v>
      </c>
      <c r="F1967" s="113" t="s">
        <v>2382</v>
      </c>
      <c r="G1967" s="113" t="s">
        <v>3212</v>
      </c>
      <c r="H1967" s="93" t="e">
        <v>#N/A</v>
      </c>
      <c r="I1967" s="99">
        <v>46076</v>
      </c>
      <c r="J1967" s="83" t="s">
        <v>189</v>
      </c>
      <c r="K1967" s="113"/>
      <c r="L1967" s="113"/>
      <c r="M1967" s="113"/>
      <c r="N1967" s="113"/>
      <c r="O1967" s="113"/>
    </row>
    <row r="1968" spans="1:15" s="111" customFormat="1" hidden="1">
      <c r="A1968" s="111" t="s">
        <v>3217</v>
      </c>
      <c r="B1968" s="112" t="s">
        <v>3218</v>
      </c>
      <c r="C1968" s="113" t="s">
        <v>331</v>
      </c>
      <c r="D1968" s="113" t="s">
        <v>567</v>
      </c>
      <c r="E1968" s="113" t="s">
        <v>2431</v>
      </c>
      <c r="F1968" s="113" t="s">
        <v>2431</v>
      </c>
      <c r="G1968" s="113" t="s">
        <v>3168</v>
      </c>
      <c r="H1968" s="93" t="e">
        <v>#N/A</v>
      </c>
      <c r="I1968" s="99">
        <v>46076</v>
      </c>
      <c r="J1968" s="83" t="s">
        <v>189</v>
      </c>
      <c r="K1968" s="113"/>
      <c r="L1968" s="113"/>
      <c r="M1968" s="113"/>
      <c r="N1968" s="113"/>
      <c r="O1968" s="113"/>
    </row>
    <row r="1969" spans="1:15" s="111" customFormat="1" hidden="1">
      <c r="A1969" s="111" t="s">
        <v>3217</v>
      </c>
      <c r="B1969" s="112" t="s">
        <v>3218</v>
      </c>
      <c r="C1969" s="113" t="s">
        <v>331</v>
      </c>
      <c r="D1969" s="113" t="s">
        <v>567</v>
      </c>
      <c r="E1969" s="113" t="s">
        <v>2431</v>
      </c>
      <c r="F1969" s="113" t="s">
        <v>2432</v>
      </c>
      <c r="G1969" s="113" t="s">
        <v>3213</v>
      </c>
      <c r="H1969" s="93" t="e">
        <v>#N/A</v>
      </c>
      <c r="I1969" s="99">
        <v>46076</v>
      </c>
      <c r="J1969" s="83" t="s">
        <v>189</v>
      </c>
      <c r="K1969" s="113"/>
      <c r="L1969" s="113"/>
      <c r="M1969" s="113"/>
      <c r="N1969" s="113"/>
      <c r="O1969" s="113"/>
    </row>
    <row r="1970" spans="1:15" s="111" customFormat="1" hidden="1">
      <c r="A1970" s="111" t="s">
        <v>3217</v>
      </c>
      <c r="B1970" s="112" t="s">
        <v>3218</v>
      </c>
      <c r="C1970" s="113" t="s">
        <v>331</v>
      </c>
      <c r="D1970" s="113" t="s">
        <v>567</v>
      </c>
      <c r="E1970" s="113" t="s">
        <v>2431</v>
      </c>
      <c r="F1970" s="113" t="s">
        <v>2434</v>
      </c>
      <c r="G1970" s="113" t="s">
        <v>3214</v>
      </c>
      <c r="H1970" s="93" t="e">
        <v>#N/A</v>
      </c>
      <c r="I1970" s="99">
        <v>46076</v>
      </c>
      <c r="J1970" s="83" t="s">
        <v>189</v>
      </c>
      <c r="K1970" s="113"/>
      <c r="L1970" s="113"/>
      <c r="M1970" s="113"/>
      <c r="N1970" s="113"/>
      <c r="O1970" s="113"/>
    </row>
    <row r="1971" spans="1:15" s="81" customFormat="1" hidden="1">
      <c r="A1971" s="81" t="str">
        <f t="shared" ref="A1971:A2034" si="74">C1971&amp;D1971&amp;E1971&amp;F1971&amp;G1971</f>
        <v>MXCOPPELMONITORultrawide monitormointor ultrawide</v>
      </c>
      <c r="B1971" s="106" t="str">
        <f t="shared" ref="B1971:B2034" si="75">C1971&amp;"_"&amp;D1971</f>
        <v>MX_COPPEL</v>
      </c>
      <c r="C1971" s="107" t="s">
        <v>329</v>
      </c>
      <c r="D1971" s="107" t="s">
        <v>3219</v>
      </c>
      <c r="E1971" s="107" t="s">
        <v>2384</v>
      </c>
      <c r="F1971" s="107" t="s">
        <v>2325</v>
      </c>
      <c r="G1971" s="107" t="s">
        <v>3153</v>
      </c>
      <c r="H1971" s="93" t="e">
        <v>#N/A</v>
      </c>
      <c r="I1971" s="99">
        <v>46076</v>
      </c>
      <c r="J1971" s="83" t="s">
        <v>189</v>
      </c>
      <c r="K1971" s="107"/>
      <c r="L1971" s="107"/>
      <c r="M1971" s="107"/>
      <c r="N1971" s="107"/>
      <c r="O1971" s="107"/>
    </row>
    <row r="1972" spans="1:15" s="81" customFormat="1" hidden="1">
      <c r="A1972" s="81" t="str">
        <f t="shared" si="74"/>
        <v>MXCOPPELMONITORmonitormonitor</v>
      </c>
      <c r="B1972" s="106" t="str">
        <f t="shared" si="75"/>
        <v>MX_COPPEL</v>
      </c>
      <c r="C1972" s="107" t="s">
        <v>329</v>
      </c>
      <c r="D1972" s="107" t="s">
        <v>3219</v>
      </c>
      <c r="E1972" s="107" t="s">
        <v>2384</v>
      </c>
      <c r="F1972" s="107" t="s">
        <v>2323</v>
      </c>
      <c r="G1972" s="107" t="s">
        <v>2323</v>
      </c>
      <c r="H1972" s="93" t="e">
        <v>#N/A</v>
      </c>
      <c r="I1972" s="99">
        <v>46076</v>
      </c>
      <c r="J1972" s="83" t="s">
        <v>189</v>
      </c>
      <c r="K1972" s="107"/>
      <c r="L1972" s="107"/>
      <c r="M1972" s="107"/>
      <c r="N1972" s="107"/>
      <c r="O1972" s="107"/>
    </row>
    <row r="1973" spans="1:15" s="81" customFormat="1" hidden="1">
      <c r="A1973" s="81" t="str">
        <f t="shared" si="74"/>
        <v>MXCOPPELMONITOR4k monitormonitor 4k</v>
      </c>
      <c r="B1973" s="106" t="str">
        <f t="shared" si="75"/>
        <v>MX_COPPEL</v>
      </c>
      <c r="C1973" s="107" t="s">
        <v>329</v>
      </c>
      <c r="D1973" s="107" t="s">
        <v>3219</v>
      </c>
      <c r="E1973" s="107" t="s">
        <v>2384</v>
      </c>
      <c r="F1973" s="107" t="s">
        <v>2321</v>
      </c>
      <c r="G1973" s="107" t="s">
        <v>2497</v>
      </c>
      <c r="H1973" s="93" t="e">
        <v>#N/A</v>
      </c>
      <c r="I1973" s="99">
        <v>46076</v>
      </c>
      <c r="J1973" s="83" t="s">
        <v>189</v>
      </c>
      <c r="K1973" s="107"/>
      <c r="L1973" s="107"/>
      <c r="M1973" s="107"/>
      <c r="N1973" s="107"/>
      <c r="O1973" s="107"/>
    </row>
    <row r="1974" spans="1:15" s="81" customFormat="1" hidden="1">
      <c r="A1974" s="81" t="str">
        <f t="shared" si="74"/>
        <v>MXCOPPELMONITORgaming monitormonitor gamer</v>
      </c>
      <c r="B1974" s="106" t="str">
        <f t="shared" si="75"/>
        <v>MX_COPPEL</v>
      </c>
      <c r="C1974" s="107" t="s">
        <v>329</v>
      </c>
      <c r="D1974" s="107" t="s">
        <v>3219</v>
      </c>
      <c r="E1974" s="107" t="s">
        <v>2384</v>
      </c>
      <c r="F1974" s="107" t="s">
        <v>2322</v>
      </c>
      <c r="G1974" s="107" t="s">
        <v>2466</v>
      </c>
      <c r="H1974" s="93" t="e">
        <v>#N/A</v>
      </c>
      <c r="I1974" s="99">
        <v>46076</v>
      </c>
      <c r="J1974" s="83" t="s">
        <v>189</v>
      </c>
      <c r="K1974" s="107"/>
      <c r="L1974" s="107"/>
      <c r="M1974" s="107"/>
      <c r="N1974" s="107"/>
      <c r="O1974" s="107"/>
    </row>
    <row r="1975" spans="1:15" s="81" customFormat="1" hidden="1">
      <c r="A1975" s="81" t="str">
        <f t="shared" si="74"/>
        <v>MXCOPPELMONITORuhd monitormonitor uhd</v>
      </c>
      <c r="B1975" s="106" t="str">
        <f t="shared" si="75"/>
        <v>MX_COPPEL</v>
      </c>
      <c r="C1975" s="107" t="s">
        <v>329</v>
      </c>
      <c r="D1975" s="107" t="s">
        <v>3219</v>
      </c>
      <c r="E1975" s="107" t="s">
        <v>2384</v>
      </c>
      <c r="F1975" s="107" t="s">
        <v>2324</v>
      </c>
      <c r="G1975" s="107" t="s">
        <v>2498</v>
      </c>
      <c r="H1975" s="93" t="e">
        <v>#N/A</v>
      </c>
      <c r="I1975" s="99">
        <v>46076</v>
      </c>
      <c r="J1975" s="83" t="s">
        <v>189</v>
      </c>
      <c r="K1975" s="107"/>
      <c r="L1975" s="107"/>
      <c r="M1975" s="107"/>
      <c r="N1975" s="107"/>
      <c r="O1975" s="107"/>
    </row>
    <row r="1976" spans="1:15" s="81" customFormat="1" hidden="1">
      <c r="A1976" s="81" t="str">
        <f t="shared" si="74"/>
        <v>MXCOPPELRefrigeratorfrench door refrigeratorFrench door</v>
      </c>
      <c r="B1976" s="106" t="str">
        <f t="shared" si="75"/>
        <v>MX_COPPEL</v>
      </c>
      <c r="C1976" s="107" t="s">
        <v>329</v>
      </c>
      <c r="D1976" s="107" t="s">
        <v>3219</v>
      </c>
      <c r="E1976" s="107" t="s">
        <v>2326</v>
      </c>
      <c r="F1976" s="107" t="s">
        <v>2328</v>
      </c>
      <c r="G1976" s="107" t="s">
        <v>3157</v>
      </c>
      <c r="H1976" s="93" t="e">
        <v>#N/A</v>
      </c>
      <c r="I1976" s="99">
        <v>46076</v>
      </c>
      <c r="J1976" s="83" t="s">
        <v>189</v>
      </c>
      <c r="K1976" s="107"/>
      <c r="L1976" s="107"/>
      <c r="M1976" s="107"/>
      <c r="N1976" s="107"/>
      <c r="O1976" s="107"/>
    </row>
    <row r="1977" spans="1:15" s="81" customFormat="1" hidden="1">
      <c r="A1977" s="81" t="str">
        <f t="shared" si="74"/>
        <v>MXCOPPELRefrigeratorInstaviewInstaview</v>
      </c>
      <c r="B1977" s="106" t="str">
        <f t="shared" si="75"/>
        <v>MX_COPPEL</v>
      </c>
      <c r="C1977" s="107" t="s">
        <v>329</v>
      </c>
      <c r="D1977" s="107" t="s">
        <v>3219</v>
      </c>
      <c r="E1977" s="107" t="s">
        <v>2326</v>
      </c>
      <c r="F1977" s="107" t="s">
        <v>3158</v>
      </c>
      <c r="G1977" s="107" t="s">
        <v>3158</v>
      </c>
      <c r="H1977" s="93" t="e">
        <v>#N/A</v>
      </c>
      <c r="I1977" s="99">
        <v>46076</v>
      </c>
      <c r="J1977" s="83" t="s">
        <v>189</v>
      </c>
      <c r="K1977" s="107"/>
      <c r="L1977" s="107"/>
      <c r="M1977" s="107"/>
      <c r="N1977" s="107"/>
      <c r="O1977" s="107"/>
    </row>
    <row r="1978" spans="1:15" s="81" customFormat="1" hidden="1">
      <c r="A1978" s="81" t="str">
        <f t="shared" si="74"/>
        <v>MXCOPPELRefrigeratorrefrigeratorRefrigerador</v>
      </c>
      <c r="B1978" s="106" t="str">
        <f t="shared" si="75"/>
        <v>MX_COPPEL</v>
      </c>
      <c r="C1978" s="107" t="s">
        <v>329</v>
      </c>
      <c r="D1978" s="107" t="s">
        <v>3219</v>
      </c>
      <c r="E1978" s="107" t="s">
        <v>2326</v>
      </c>
      <c r="F1978" s="107" t="s">
        <v>2329</v>
      </c>
      <c r="G1978" s="107" t="s">
        <v>3159</v>
      </c>
      <c r="H1978" s="93" t="e">
        <v>#N/A</v>
      </c>
      <c r="I1978" s="99">
        <v>46076</v>
      </c>
      <c r="J1978" s="83" t="s">
        <v>189</v>
      </c>
      <c r="K1978" s="107"/>
      <c r="L1978" s="107"/>
      <c r="M1978" s="107"/>
      <c r="N1978" s="107"/>
      <c r="O1978" s="107"/>
    </row>
    <row r="1979" spans="1:15" s="81" customFormat="1" hidden="1">
      <c r="A1979" s="81" t="str">
        <f t="shared" si="74"/>
        <v>MXCOPPELRefrigeratorbottom freezer refrigeratorrefrigerador congelador inferior</v>
      </c>
      <c r="B1979" s="106" t="str">
        <f t="shared" si="75"/>
        <v>MX_COPPEL</v>
      </c>
      <c r="C1979" s="107" t="s">
        <v>329</v>
      </c>
      <c r="D1979" s="107" t="s">
        <v>3219</v>
      </c>
      <c r="E1979" s="107" t="s">
        <v>2326</v>
      </c>
      <c r="F1979" s="107" t="s">
        <v>2327</v>
      </c>
      <c r="G1979" s="107" t="s">
        <v>3160</v>
      </c>
      <c r="H1979" s="93" t="e">
        <v>#N/A</v>
      </c>
      <c r="I1979" s="99">
        <v>46076</v>
      </c>
      <c r="J1979" s="83" t="s">
        <v>189</v>
      </c>
      <c r="K1979" s="107"/>
      <c r="L1979" s="107"/>
      <c r="M1979" s="107"/>
      <c r="N1979" s="107"/>
      <c r="O1979" s="107"/>
    </row>
    <row r="1980" spans="1:15" s="81" customFormat="1" hidden="1">
      <c r="A1980" s="81" t="str">
        <f t="shared" si="74"/>
        <v>MXCOPPELRefrigeratortop freezer refrigeratorrefrigerador congelador superior</v>
      </c>
      <c r="B1980" s="106" t="str">
        <f t="shared" si="75"/>
        <v>MX_COPPEL</v>
      </c>
      <c r="C1980" s="107" t="s">
        <v>329</v>
      </c>
      <c r="D1980" s="107" t="s">
        <v>3219</v>
      </c>
      <c r="E1980" s="107" t="s">
        <v>2326</v>
      </c>
      <c r="F1980" s="107" t="s">
        <v>2332</v>
      </c>
      <c r="G1980" s="107" t="s">
        <v>3161</v>
      </c>
      <c r="H1980" s="93" t="e">
        <v>#N/A</v>
      </c>
      <c r="I1980" s="99">
        <v>46076</v>
      </c>
      <c r="J1980" s="83" t="s">
        <v>189</v>
      </c>
      <c r="K1980" s="107"/>
      <c r="L1980" s="107"/>
      <c r="M1980" s="107"/>
      <c r="N1980" s="107"/>
      <c r="O1980" s="107"/>
    </row>
    <row r="1981" spans="1:15" s="81" customFormat="1" hidden="1">
      <c r="A1981" s="81" t="str">
        <f t="shared" si="74"/>
        <v>MXCOPPELRefrigeratorside by side refrigeratorrefrigerador duplex</v>
      </c>
      <c r="B1981" s="106" t="str">
        <f t="shared" si="75"/>
        <v>MX_COPPEL</v>
      </c>
      <c r="C1981" s="107" t="s">
        <v>329</v>
      </c>
      <c r="D1981" s="107" t="s">
        <v>3219</v>
      </c>
      <c r="E1981" s="107" t="s">
        <v>2326</v>
      </c>
      <c r="F1981" s="107" t="s">
        <v>2330</v>
      </c>
      <c r="G1981" s="107" t="s">
        <v>3162</v>
      </c>
      <c r="H1981" s="93" t="e">
        <v>#N/A</v>
      </c>
      <c r="I1981" s="99">
        <v>46076</v>
      </c>
      <c r="J1981" s="83" t="s">
        <v>189</v>
      </c>
      <c r="K1981" s="107"/>
      <c r="L1981" s="107"/>
      <c r="M1981" s="107"/>
      <c r="N1981" s="107"/>
      <c r="O1981" s="107"/>
    </row>
    <row r="1982" spans="1:15" s="81" customFormat="1" hidden="1">
      <c r="A1982" s="81" t="str">
        <f t="shared" si="74"/>
        <v>MXCOPPELRefrigeratorfrench door refrigeratorrefrigerador french door</v>
      </c>
      <c r="B1982" s="106" t="str">
        <f t="shared" si="75"/>
        <v>MX_COPPEL</v>
      </c>
      <c r="C1982" s="107" t="s">
        <v>329</v>
      </c>
      <c r="D1982" s="107" t="s">
        <v>3219</v>
      </c>
      <c r="E1982" s="107" t="s">
        <v>2326</v>
      </c>
      <c r="F1982" s="107" t="s">
        <v>2328</v>
      </c>
      <c r="G1982" s="107" t="s">
        <v>2563</v>
      </c>
      <c r="H1982" s="93" t="e">
        <v>#N/A</v>
      </c>
      <c r="I1982" s="99">
        <v>46076</v>
      </c>
      <c r="J1982" s="83" t="s">
        <v>189</v>
      </c>
      <c r="K1982" s="107"/>
      <c r="L1982" s="107"/>
      <c r="M1982" s="107"/>
      <c r="N1982" s="107"/>
      <c r="O1982" s="107"/>
    </row>
    <row r="1983" spans="1:15" s="81" customFormat="1" hidden="1">
      <c r="A1983" s="81" t="str">
        <f t="shared" si="74"/>
        <v>MXCOPPELRefrigeratorrefrigeratorRefrigeradores</v>
      </c>
      <c r="B1983" s="106" t="str">
        <f t="shared" si="75"/>
        <v>MX_COPPEL</v>
      </c>
      <c r="C1983" s="107" t="s">
        <v>329</v>
      </c>
      <c r="D1983" s="107" t="s">
        <v>3219</v>
      </c>
      <c r="E1983" s="107" t="s">
        <v>2326</v>
      </c>
      <c r="F1983" s="107" t="s">
        <v>2329</v>
      </c>
      <c r="G1983" s="107" t="s">
        <v>3163</v>
      </c>
      <c r="H1983" s="93" t="e">
        <v>#N/A</v>
      </c>
      <c r="I1983" s="99">
        <v>46076</v>
      </c>
      <c r="J1983" s="83" t="s">
        <v>189</v>
      </c>
      <c r="K1983" s="107"/>
      <c r="L1983" s="107"/>
      <c r="M1983" s="107"/>
      <c r="N1983" s="107"/>
      <c r="O1983" s="107"/>
    </row>
    <row r="1984" spans="1:15" s="81" customFormat="1" hidden="1">
      <c r="A1984" s="81" t="str">
        <f t="shared" si="74"/>
        <v>MXCOPPELRefrigeratorrefrigeratorsrefrigerators</v>
      </c>
      <c r="B1984" s="106" t="str">
        <f t="shared" si="75"/>
        <v>MX_COPPEL</v>
      </c>
      <c r="C1984" s="107" t="s">
        <v>329</v>
      </c>
      <c r="D1984" s="107" t="s">
        <v>3219</v>
      </c>
      <c r="E1984" s="107" t="s">
        <v>2326</v>
      </c>
      <c r="F1984" s="107" t="s">
        <v>3164</v>
      </c>
      <c r="G1984" s="107" t="s">
        <v>3164</v>
      </c>
      <c r="H1984" s="93" t="e">
        <v>#N/A</v>
      </c>
      <c r="I1984" s="99">
        <v>46076</v>
      </c>
      <c r="J1984" s="83" t="s">
        <v>189</v>
      </c>
      <c r="K1984" s="107"/>
      <c r="L1984" s="107"/>
      <c r="M1984" s="107"/>
      <c r="N1984" s="107"/>
      <c r="O1984" s="107"/>
    </row>
    <row r="1985" spans="1:15" s="81" customFormat="1" hidden="1">
      <c r="A1985" s="81" t="str">
        <f t="shared" si="74"/>
        <v>MXCOPPELTV4k TV4k TV</v>
      </c>
      <c r="B1985" s="106" t="str">
        <f t="shared" si="75"/>
        <v>MX_COPPEL</v>
      </c>
      <c r="C1985" s="107" t="s">
        <v>329</v>
      </c>
      <c r="D1985" s="107" t="s">
        <v>3219</v>
      </c>
      <c r="E1985" s="107" t="s">
        <v>161</v>
      </c>
      <c r="F1985" s="107" t="s">
        <v>2368</v>
      </c>
      <c r="G1985" s="107" t="s">
        <v>2368</v>
      </c>
      <c r="H1985" s="93" t="e">
        <v>#N/A</v>
      </c>
      <c r="I1985" s="99">
        <v>46076</v>
      </c>
      <c r="J1985" s="83" t="s">
        <v>189</v>
      </c>
      <c r="K1985" s="107"/>
      <c r="L1985" s="107"/>
      <c r="M1985" s="107"/>
      <c r="N1985" s="107"/>
      <c r="O1985" s="107"/>
    </row>
    <row r="1986" spans="1:15" s="81" customFormat="1" hidden="1">
      <c r="A1986" s="81" t="str">
        <f t="shared" si="74"/>
        <v>MXCOPPELTVInstaviewInstaview</v>
      </c>
      <c r="B1986" s="106" t="str">
        <f t="shared" si="75"/>
        <v>MX_COPPEL</v>
      </c>
      <c r="C1986" s="107" t="s">
        <v>329</v>
      </c>
      <c r="D1986" s="107" t="s">
        <v>3219</v>
      </c>
      <c r="E1986" s="107" t="s">
        <v>161</v>
      </c>
      <c r="F1986" s="107" t="s">
        <v>3158</v>
      </c>
      <c r="G1986" s="107" t="s">
        <v>3158</v>
      </c>
      <c r="H1986" s="93" t="e">
        <v>#N/A</v>
      </c>
      <c r="I1986" s="99">
        <v>46076</v>
      </c>
      <c r="J1986" s="83" t="s">
        <v>189</v>
      </c>
      <c r="K1986" s="107"/>
      <c r="L1986" s="107"/>
      <c r="M1986" s="107"/>
      <c r="N1986" s="107"/>
      <c r="O1986" s="107"/>
    </row>
    <row r="1987" spans="1:15" s="81" customFormat="1" hidden="1">
      <c r="A1987" s="81" t="str">
        <f t="shared" si="74"/>
        <v>MXCOPPELTVoled TVoled TV</v>
      </c>
      <c r="B1987" s="106" t="str">
        <f t="shared" si="75"/>
        <v>MX_COPPEL</v>
      </c>
      <c r="C1987" s="107" t="s">
        <v>329</v>
      </c>
      <c r="D1987" s="107" t="s">
        <v>3219</v>
      </c>
      <c r="E1987" s="107" t="s">
        <v>161</v>
      </c>
      <c r="F1987" s="107" t="s">
        <v>2369</v>
      </c>
      <c r="G1987" s="107" t="s">
        <v>2369</v>
      </c>
      <c r="H1987" s="93" t="e">
        <v>#N/A</v>
      </c>
      <c r="I1987" s="99">
        <v>46076</v>
      </c>
      <c r="J1987" s="83" t="s">
        <v>189</v>
      </c>
      <c r="K1987" s="107"/>
      <c r="L1987" s="107"/>
      <c r="M1987" s="107"/>
      <c r="N1987" s="107"/>
      <c r="O1987" s="107"/>
    </row>
    <row r="1988" spans="1:15" s="81" customFormat="1" hidden="1">
      <c r="A1988" s="81" t="str">
        <f t="shared" si="74"/>
        <v>MXCOPPELTVsmart TVsmart TV</v>
      </c>
      <c r="B1988" s="106" t="str">
        <f t="shared" si="75"/>
        <v>MX_COPPEL</v>
      </c>
      <c r="C1988" s="107" t="s">
        <v>329</v>
      </c>
      <c r="D1988" s="107" t="s">
        <v>3219</v>
      </c>
      <c r="E1988" s="107" t="s">
        <v>161</v>
      </c>
      <c r="F1988" s="107" t="s">
        <v>2371</v>
      </c>
      <c r="G1988" s="107" t="s">
        <v>2371</v>
      </c>
      <c r="H1988" s="93" t="e">
        <v>#N/A</v>
      </c>
      <c r="I1988" s="99">
        <v>46076</v>
      </c>
      <c r="J1988" s="83" t="s">
        <v>189</v>
      </c>
      <c r="K1988" s="107"/>
      <c r="L1988" s="107"/>
      <c r="M1988" s="107"/>
      <c r="N1988" s="107"/>
      <c r="O1988" s="107"/>
    </row>
    <row r="1989" spans="1:15" s="81" customFormat="1" hidden="1">
      <c r="A1989" s="81" t="str">
        <f t="shared" si="74"/>
        <v>MXCOPPELTVTVTV, pantalla</v>
      </c>
      <c r="B1989" s="106" t="str">
        <f t="shared" si="75"/>
        <v>MX_COPPEL</v>
      </c>
      <c r="C1989" s="107" t="s">
        <v>329</v>
      </c>
      <c r="D1989" s="107" t="s">
        <v>3219</v>
      </c>
      <c r="E1989" s="107" t="s">
        <v>161</v>
      </c>
      <c r="F1989" s="107" t="s">
        <v>161</v>
      </c>
      <c r="G1989" s="107" t="s">
        <v>3165</v>
      </c>
      <c r="H1989" s="93" t="e">
        <v>#N/A</v>
      </c>
      <c r="I1989" s="99">
        <v>46076</v>
      </c>
      <c r="J1989" s="83" t="s">
        <v>189</v>
      </c>
      <c r="K1989" s="107"/>
      <c r="L1989" s="107"/>
      <c r="M1989" s="107"/>
      <c r="N1989" s="107"/>
      <c r="O1989" s="107"/>
    </row>
    <row r="1990" spans="1:15" s="81" customFormat="1" hidden="1">
      <c r="A1990" s="81" t="str">
        <f t="shared" si="74"/>
        <v>MXCOPPELTVuhd TVuhd TV</v>
      </c>
      <c r="B1990" s="106" t="str">
        <f t="shared" si="75"/>
        <v>MX_COPPEL</v>
      </c>
      <c r="C1990" s="107" t="s">
        <v>329</v>
      </c>
      <c r="D1990" s="107" t="s">
        <v>3219</v>
      </c>
      <c r="E1990" s="107" t="s">
        <v>161</v>
      </c>
      <c r="F1990" s="107" t="s">
        <v>2399</v>
      </c>
      <c r="G1990" s="107" t="s">
        <v>2399</v>
      </c>
      <c r="H1990" s="93" t="e">
        <v>#N/A</v>
      </c>
      <c r="I1990" s="99">
        <v>46076</v>
      </c>
      <c r="J1990" s="83" t="s">
        <v>189</v>
      </c>
      <c r="K1990" s="107"/>
      <c r="L1990" s="107"/>
      <c r="M1990" s="107"/>
      <c r="N1990" s="107"/>
      <c r="O1990" s="107"/>
    </row>
    <row r="1991" spans="1:15" s="81" customFormat="1" hidden="1">
      <c r="A1991" s="81" t="str">
        <f t="shared" si="74"/>
        <v>MXCOPPELWashing Machinewashing machinelavadora</v>
      </c>
      <c r="B1991" s="106" t="str">
        <f t="shared" si="75"/>
        <v>MX_COPPEL</v>
      </c>
      <c r="C1991" s="107" t="s">
        <v>329</v>
      </c>
      <c r="D1991" s="107" t="s">
        <v>3219</v>
      </c>
      <c r="E1991" s="107" t="s">
        <v>2333</v>
      </c>
      <c r="F1991" s="107" t="s">
        <v>2340</v>
      </c>
      <c r="G1991" s="107" t="s">
        <v>2753</v>
      </c>
      <c r="H1991" s="93" t="e">
        <v>#N/A</v>
      </c>
      <c r="I1991" s="99">
        <v>46076</v>
      </c>
      <c r="J1991" s="83" t="s">
        <v>189</v>
      </c>
      <c r="K1991" s="107"/>
      <c r="L1991" s="107"/>
      <c r="M1991" s="107"/>
      <c r="N1991" s="107"/>
      <c r="O1991" s="107"/>
    </row>
    <row r="1992" spans="1:15" s="81" customFormat="1" hidden="1">
      <c r="A1992" s="81" t="str">
        <f t="shared" si="74"/>
        <v>MXCOPPELWashing Machinetop loaderlavadora carga frontal</v>
      </c>
      <c r="B1992" s="106" t="str">
        <f t="shared" si="75"/>
        <v>MX_COPPEL</v>
      </c>
      <c r="C1992" s="107" t="s">
        <v>329</v>
      </c>
      <c r="D1992" s="107" t="s">
        <v>3219</v>
      </c>
      <c r="E1992" s="107" t="s">
        <v>2333</v>
      </c>
      <c r="F1992" s="107" t="s">
        <v>2336</v>
      </c>
      <c r="G1992" s="107" t="s">
        <v>3166</v>
      </c>
      <c r="H1992" s="93" t="e">
        <v>#N/A</v>
      </c>
      <c r="I1992" s="99">
        <v>46076</v>
      </c>
      <c r="J1992" s="83" t="s">
        <v>189</v>
      </c>
      <c r="K1992" s="107"/>
      <c r="L1992" s="107"/>
      <c r="M1992" s="107"/>
      <c r="N1992" s="107"/>
      <c r="O1992" s="107"/>
    </row>
    <row r="1993" spans="1:15" s="81" customFormat="1" hidden="1">
      <c r="A1993" s="81" t="str">
        <f t="shared" si="74"/>
        <v>MXCOPPELWashing Machinefront loaderlavadora carga superior</v>
      </c>
      <c r="B1993" s="106" t="str">
        <f t="shared" si="75"/>
        <v>MX_COPPEL</v>
      </c>
      <c r="C1993" s="107" t="s">
        <v>329</v>
      </c>
      <c r="D1993" s="107" t="s">
        <v>3219</v>
      </c>
      <c r="E1993" s="107" t="s">
        <v>2333</v>
      </c>
      <c r="F1993" s="107" t="s">
        <v>2334</v>
      </c>
      <c r="G1993" s="107" t="s">
        <v>3167</v>
      </c>
      <c r="H1993" s="93" t="e">
        <v>#N/A</v>
      </c>
      <c r="I1993" s="99">
        <v>46076</v>
      </c>
      <c r="J1993" s="83" t="s">
        <v>189</v>
      </c>
      <c r="K1993" s="107"/>
      <c r="L1993" s="107"/>
      <c r="M1993" s="107"/>
      <c r="N1993" s="107"/>
      <c r="O1993" s="107"/>
    </row>
    <row r="1994" spans="1:15" s="81" customFormat="1" hidden="1">
      <c r="A1994" s="81" t="str">
        <f t="shared" si="74"/>
        <v>MXCOPPELWashing Machinewasher dryer combolavasecadora</v>
      </c>
      <c r="B1994" s="106" t="str">
        <f t="shared" si="75"/>
        <v>MX_COPPEL</v>
      </c>
      <c r="C1994" s="107" t="s">
        <v>329</v>
      </c>
      <c r="D1994" s="107" t="s">
        <v>3219</v>
      </c>
      <c r="E1994" s="107" t="s">
        <v>2333</v>
      </c>
      <c r="F1994" s="107" t="s">
        <v>2338</v>
      </c>
      <c r="G1994" s="107" t="s">
        <v>2791</v>
      </c>
      <c r="H1994" s="93" t="e">
        <v>#N/A</v>
      </c>
      <c r="I1994" s="99">
        <v>46076</v>
      </c>
      <c r="J1994" s="83" t="s">
        <v>189</v>
      </c>
      <c r="K1994" s="107"/>
      <c r="L1994" s="107"/>
      <c r="M1994" s="107"/>
      <c r="N1994" s="107"/>
      <c r="O1994" s="107"/>
    </row>
    <row r="1995" spans="1:15" s="81" customFormat="1" hidden="1">
      <c r="A1995" s="81" t="str">
        <f t="shared" si="74"/>
        <v>MXCOPPELWashing MachineDryersecadora</v>
      </c>
      <c r="B1995" s="106" t="str">
        <f t="shared" si="75"/>
        <v>MX_COPPEL</v>
      </c>
      <c r="C1995" s="107" t="s">
        <v>329</v>
      </c>
      <c r="D1995" s="107" t="s">
        <v>3219</v>
      </c>
      <c r="E1995" s="107" t="s">
        <v>2333</v>
      </c>
      <c r="F1995" s="107" t="s">
        <v>2431</v>
      </c>
      <c r="G1995" s="107" t="s">
        <v>3168</v>
      </c>
      <c r="H1995" s="93" t="e">
        <v>#N/A</v>
      </c>
      <c r="I1995" s="99">
        <v>46076</v>
      </c>
      <c r="J1995" s="83" t="s">
        <v>189</v>
      </c>
      <c r="K1995" s="107"/>
      <c r="L1995" s="107"/>
      <c r="M1995" s="107"/>
      <c r="N1995" s="107"/>
      <c r="O1995" s="107"/>
    </row>
    <row r="1996" spans="1:15" s="81" customFormat="1" hidden="1">
      <c r="A1996" s="81" t="str">
        <f t="shared" si="74"/>
        <v>MXCOPPELWashing Machinewashing machineWashing machine</v>
      </c>
      <c r="B1996" s="106" t="str">
        <f t="shared" si="75"/>
        <v>MX_COPPEL</v>
      </c>
      <c r="C1996" s="107" t="s">
        <v>329</v>
      </c>
      <c r="D1996" s="107" t="s">
        <v>3219</v>
      </c>
      <c r="E1996" s="107" t="s">
        <v>2333</v>
      </c>
      <c r="F1996" s="107" t="s">
        <v>2340</v>
      </c>
      <c r="G1996" s="107" t="s">
        <v>3169</v>
      </c>
      <c r="H1996" s="93" t="e">
        <v>#N/A</v>
      </c>
      <c r="I1996" s="99">
        <v>46076</v>
      </c>
      <c r="J1996" s="83" t="s">
        <v>189</v>
      </c>
      <c r="K1996" s="107"/>
      <c r="L1996" s="107"/>
      <c r="M1996" s="107"/>
      <c r="N1996" s="107"/>
      <c r="O1996" s="107"/>
    </row>
    <row r="1997" spans="1:15" s="81" customFormat="1" hidden="1">
      <c r="A1997" s="81" t="str">
        <f t="shared" si="74"/>
        <v>MXCOPPELWashing Machinefront loaderWashing machine carga frontal</v>
      </c>
      <c r="B1997" s="106" t="str">
        <f t="shared" si="75"/>
        <v>MX_COPPEL</v>
      </c>
      <c r="C1997" s="107" t="s">
        <v>329</v>
      </c>
      <c r="D1997" s="107" t="s">
        <v>3219</v>
      </c>
      <c r="E1997" s="107" t="s">
        <v>2333</v>
      </c>
      <c r="F1997" s="107" t="s">
        <v>2334</v>
      </c>
      <c r="G1997" s="107" t="s">
        <v>3170</v>
      </c>
      <c r="H1997" s="93" t="e">
        <v>#N/A</v>
      </c>
      <c r="I1997" s="99">
        <v>46076</v>
      </c>
      <c r="J1997" s="83" t="s">
        <v>189</v>
      </c>
      <c r="K1997" s="107"/>
      <c r="L1997" s="107"/>
      <c r="M1997" s="107"/>
      <c r="N1997" s="107"/>
      <c r="O1997" s="107"/>
    </row>
    <row r="1998" spans="1:15" s="81" customFormat="1" hidden="1">
      <c r="A1998" s="81" t="str">
        <f t="shared" si="74"/>
        <v>MXCOPPELWashing Machinetop loaderWashing machine carga superior</v>
      </c>
      <c r="B1998" s="106" t="str">
        <f t="shared" si="75"/>
        <v>MX_COPPEL</v>
      </c>
      <c r="C1998" s="107" t="s">
        <v>329</v>
      </c>
      <c r="D1998" s="107" t="s">
        <v>3219</v>
      </c>
      <c r="E1998" s="107" t="s">
        <v>2333</v>
      </c>
      <c r="F1998" s="107" t="s">
        <v>2336</v>
      </c>
      <c r="G1998" s="107" t="s">
        <v>3171</v>
      </c>
      <c r="H1998" s="93" t="e">
        <v>#N/A</v>
      </c>
      <c r="I1998" s="99">
        <v>46076</v>
      </c>
      <c r="J1998" s="83" t="s">
        <v>189</v>
      </c>
      <c r="K1998" s="107"/>
      <c r="L1998" s="107"/>
      <c r="M1998" s="107"/>
      <c r="N1998" s="107"/>
      <c r="O1998" s="107"/>
    </row>
    <row r="1999" spans="1:15" s="111" customFormat="1" hidden="1">
      <c r="A1999" s="111" t="str">
        <f t="shared" si="74"/>
        <v>MXCOPPELAir Conditionerair conditioneraire acondicionado</v>
      </c>
      <c r="B1999" s="112" t="str">
        <f t="shared" si="75"/>
        <v>MX_COPPEL</v>
      </c>
      <c r="C1999" s="113" t="s">
        <v>329</v>
      </c>
      <c r="D1999" s="113" t="s">
        <v>3219</v>
      </c>
      <c r="E1999" s="113" t="s">
        <v>2346</v>
      </c>
      <c r="F1999" s="113" t="s">
        <v>2347</v>
      </c>
      <c r="G1999" s="113" t="s">
        <v>2761</v>
      </c>
      <c r="H1999" s="93" t="e">
        <v>#N/A</v>
      </c>
      <c r="I1999" s="99">
        <v>46076</v>
      </c>
      <c r="J1999" s="83" t="s">
        <v>189</v>
      </c>
      <c r="K1999" s="113"/>
      <c r="L1999" s="113"/>
      <c r="M1999" s="113"/>
      <c r="N1999" s="113"/>
      <c r="O1999" s="113"/>
    </row>
    <row r="2000" spans="1:15" s="108" customFormat="1" hidden="1">
      <c r="A2000" s="108" t="str">
        <f t="shared" si="74"/>
        <v>MXCOPPELBluetooth SpeakerPortable Speakeraltavoz portátil</v>
      </c>
      <c r="B2000" s="109" t="str">
        <f t="shared" si="75"/>
        <v>MX_COPPEL</v>
      </c>
      <c r="C2000" s="110" t="s">
        <v>329</v>
      </c>
      <c r="D2000" s="110" t="s">
        <v>3219</v>
      </c>
      <c r="E2000" s="110" t="s">
        <v>2307</v>
      </c>
      <c r="F2000" s="110" t="s">
        <v>2308</v>
      </c>
      <c r="G2000" s="110" t="s">
        <v>3173</v>
      </c>
      <c r="H2000" s="93" t="e">
        <v>#N/A</v>
      </c>
      <c r="I2000" s="99">
        <v>46076</v>
      </c>
      <c r="J2000" s="83" t="s">
        <v>189</v>
      </c>
      <c r="K2000" s="110"/>
      <c r="L2000" s="110"/>
      <c r="M2000" s="110"/>
      <c r="N2000" s="110"/>
      <c r="O2000" s="110"/>
    </row>
    <row r="2001" spans="1:15" s="108" customFormat="1" hidden="1">
      <c r="A2001" s="108" t="str">
        <f t="shared" si="74"/>
        <v>MXCOPPELBluetooth SpeakerPortable bluetooth speakeraltavoz portátil bluetooth</v>
      </c>
      <c r="B2001" s="109" t="str">
        <f t="shared" si="75"/>
        <v>MX_COPPEL</v>
      </c>
      <c r="C2001" s="110" t="s">
        <v>329</v>
      </c>
      <c r="D2001" s="110" t="s">
        <v>3219</v>
      </c>
      <c r="E2001" s="110" t="s">
        <v>2307</v>
      </c>
      <c r="F2001" s="110" t="s">
        <v>2312</v>
      </c>
      <c r="G2001" s="110" t="s">
        <v>3175</v>
      </c>
      <c r="H2001" s="93" t="e">
        <v>#N/A</v>
      </c>
      <c r="I2001" s="99">
        <v>46076</v>
      </c>
      <c r="J2001" s="83" t="s">
        <v>189</v>
      </c>
      <c r="K2001" s="110"/>
      <c r="L2001" s="110"/>
      <c r="M2001" s="110"/>
      <c r="N2001" s="110"/>
      <c r="O2001" s="110"/>
    </row>
    <row r="2002" spans="1:15" s="108" customFormat="1" hidden="1">
      <c r="A2002" s="108" t="str">
        <f t="shared" si="74"/>
        <v>MXCOPPELBluetooth SpeakerParty Speakerorador del partido</v>
      </c>
      <c r="B2002" s="109" t="str">
        <f t="shared" si="75"/>
        <v>MX_COPPEL</v>
      </c>
      <c r="C2002" s="110" t="s">
        <v>329</v>
      </c>
      <c r="D2002" s="110" t="s">
        <v>3219</v>
      </c>
      <c r="E2002" s="110" t="s">
        <v>2307</v>
      </c>
      <c r="F2002" s="110" t="s">
        <v>2314</v>
      </c>
      <c r="G2002" s="110" t="s">
        <v>3176</v>
      </c>
      <c r="H2002" s="93" t="e">
        <v>#N/A</v>
      </c>
      <c r="I2002" s="99">
        <v>46076</v>
      </c>
      <c r="J2002" s="83" t="s">
        <v>189</v>
      </c>
      <c r="K2002" s="110"/>
      <c r="L2002" s="110"/>
      <c r="M2002" s="110"/>
      <c r="N2002" s="110"/>
      <c r="O2002" s="110"/>
    </row>
    <row r="2003" spans="1:15" s="108" customFormat="1" hidden="1">
      <c r="A2003" s="108" t="str">
        <f t="shared" si="74"/>
        <v>MXCOPPELBluetooth SpeakerWireless speakeraltavoz inalámbrico</v>
      </c>
      <c r="B2003" s="109" t="str">
        <f t="shared" si="75"/>
        <v>MX_COPPEL</v>
      </c>
      <c r="C2003" s="110" t="s">
        <v>329</v>
      </c>
      <c r="D2003" s="110" t="s">
        <v>3219</v>
      </c>
      <c r="E2003" s="110" t="s">
        <v>2307</v>
      </c>
      <c r="F2003" s="110" t="s">
        <v>2316</v>
      </c>
      <c r="G2003" s="110" t="s">
        <v>3177</v>
      </c>
      <c r="H2003" s="93" t="e">
        <v>#N/A</v>
      </c>
      <c r="I2003" s="99">
        <v>46076</v>
      </c>
      <c r="J2003" s="83" t="s">
        <v>189</v>
      </c>
      <c r="K2003" s="110"/>
      <c r="L2003" s="110"/>
      <c r="M2003" s="110"/>
      <c r="N2003" s="110"/>
      <c r="O2003" s="110"/>
    </row>
    <row r="2004" spans="1:15" s="108" customFormat="1" hidden="1">
      <c r="A2004" s="108" t="str">
        <f t="shared" si="74"/>
        <v>MXCOPPELBluetooth SpeakerPortable Soundsonido portátil</v>
      </c>
      <c r="B2004" s="109" t="str">
        <f t="shared" si="75"/>
        <v>MX_COPPEL</v>
      </c>
      <c r="C2004" s="110" t="s">
        <v>329</v>
      </c>
      <c r="D2004" s="110" t="s">
        <v>3219</v>
      </c>
      <c r="E2004" s="110" t="s">
        <v>2307</v>
      </c>
      <c r="F2004" s="110" t="s">
        <v>2318</v>
      </c>
      <c r="G2004" s="110" t="s">
        <v>3179</v>
      </c>
      <c r="H2004" s="93" t="e">
        <v>#N/A</v>
      </c>
      <c r="I2004" s="99">
        <v>46076</v>
      </c>
      <c r="J2004" s="83" t="s">
        <v>189</v>
      </c>
      <c r="K2004" s="110"/>
      <c r="L2004" s="110"/>
      <c r="M2004" s="110"/>
      <c r="N2004" s="110"/>
      <c r="O2004" s="110"/>
    </row>
    <row r="2005" spans="1:15" s="108" customFormat="1" hidden="1">
      <c r="A2005" s="108" t="str">
        <f t="shared" si="74"/>
        <v>MXCOPPELSOUNDBARSound systemsistema de sonido</v>
      </c>
      <c r="B2005" s="109" t="str">
        <f t="shared" si="75"/>
        <v>MX_COPPEL</v>
      </c>
      <c r="C2005" s="110" t="s">
        <v>329</v>
      </c>
      <c r="D2005" s="110" t="s">
        <v>3219</v>
      </c>
      <c r="E2005" s="110" t="s">
        <v>2527</v>
      </c>
      <c r="F2005" s="110" t="s">
        <v>2359</v>
      </c>
      <c r="G2005" s="110" t="s">
        <v>3181</v>
      </c>
      <c r="H2005" s="93" t="e">
        <v>#N/A</v>
      </c>
      <c r="I2005" s="99">
        <v>46076</v>
      </c>
      <c r="J2005" s="83" t="s">
        <v>189</v>
      </c>
      <c r="K2005" s="110"/>
      <c r="L2005" s="110"/>
      <c r="M2005" s="110"/>
      <c r="N2005" s="110"/>
      <c r="O2005" s="110"/>
    </row>
    <row r="2006" spans="1:15" s="108" customFormat="1" hidden="1">
      <c r="A2006" s="108" t="str">
        <f t="shared" si="74"/>
        <v>MXCOPPELSOUNDBARSoundbarsbarrasdesonido</v>
      </c>
      <c r="B2006" s="109" t="str">
        <f t="shared" si="75"/>
        <v>MX_COPPEL</v>
      </c>
      <c r="C2006" s="110" t="s">
        <v>329</v>
      </c>
      <c r="D2006" s="110" t="s">
        <v>3219</v>
      </c>
      <c r="E2006" s="110" t="s">
        <v>2527</v>
      </c>
      <c r="F2006" s="110" t="s">
        <v>2361</v>
      </c>
      <c r="G2006" s="110" t="s">
        <v>3183</v>
      </c>
      <c r="H2006" s="93" t="e">
        <v>#N/A</v>
      </c>
      <c r="I2006" s="99">
        <v>46076</v>
      </c>
      <c r="J2006" s="83" t="s">
        <v>189</v>
      </c>
      <c r="K2006" s="110"/>
      <c r="L2006" s="110"/>
      <c r="M2006" s="110"/>
      <c r="N2006" s="110"/>
      <c r="O2006" s="110"/>
    </row>
    <row r="2007" spans="1:15" s="108" customFormat="1" hidden="1">
      <c r="A2007" s="108" t="str">
        <f t="shared" si="74"/>
        <v>MXCOPPELSOUNDBARSoundbarbarradesonido</v>
      </c>
      <c r="B2007" s="109" t="str">
        <f t="shared" si="75"/>
        <v>MX_COPPEL</v>
      </c>
      <c r="C2007" s="110" t="s">
        <v>329</v>
      </c>
      <c r="D2007" s="110" t="s">
        <v>3219</v>
      </c>
      <c r="E2007" s="110" t="s">
        <v>2527</v>
      </c>
      <c r="F2007" s="110" t="s">
        <v>2363</v>
      </c>
      <c r="G2007" s="110" t="s">
        <v>3184</v>
      </c>
      <c r="H2007" s="93" t="e">
        <v>#N/A</v>
      </c>
      <c r="I2007" s="99">
        <v>46076</v>
      </c>
      <c r="J2007" s="83" t="s">
        <v>189</v>
      </c>
      <c r="K2007" s="110"/>
      <c r="L2007" s="110"/>
      <c r="M2007" s="110"/>
      <c r="N2007" s="110"/>
      <c r="O2007" s="110"/>
    </row>
    <row r="2008" spans="1:15" s="108" customFormat="1" hidden="1">
      <c r="A2008" s="108" t="str">
        <f t="shared" si="74"/>
        <v>MXCOPPELSOUNDBARSound barbarra de sonido</v>
      </c>
      <c r="B2008" s="109" t="str">
        <f t="shared" si="75"/>
        <v>MX_COPPEL</v>
      </c>
      <c r="C2008" s="110" t="s">
        <v>329</v>
      </c>
      <c r="D2008" s="110" t="s">
        <v>3219</v>
      </c>
      <c r="E2008" s="110" t="s">
        <v>2527</v>
      </c>
      <c r="F2008" s="110" t="s">
        <v>2365</v>
      </c>
      <c r="G2008" s="110" t="s">
        <v>2769</v>
      </c>
      <c r="H2008" s="93" t="e">
        <v>#N/A</v>
      </c>
      <c r="I2008" s="99">
        <v>46076</v>
      </c>
      <c r="J2008" s="83" t="s">
        <v>189</v>
      </c>
      <c r="K2008" s="110"/>
      <c r="L2008" s="110"/>
      <c r="M2008" s="110"/>
      <c r="N2008" s="110"/>
      <c r="O2008" s="110"/>
    </row>
    <row r="2009" spans="1:15" s="108" customFormat="1" hidden="1">
      <c r="A2009" s="108" t="str">
        <f t="shared" si="74"/>
        <v>MXCOPPELSOUNDBARSound barsbarras de sonido</v>
      </c>
      <c r="B2009" s="109" t="str">
        <f t="shared" si="75"/>
        <v>MX_COPPEL</v>
      </c>
      <c r="C2009" s="110" t="s">
        <v>329</v>
      </c>
      <c r="D2009" s="110" t="s">
        <v>3219</v>
      </c>
      <c r="E2009" s="110" t="s">
        <v>2527</v>
      </c>
      <c r="F2009" s="110" t="s">
        <v>2366</v>
      </c>
      <c r="G2009" s="110" t="s">
        <v>3185</v>
      </c>
      <c r="H2009" s="93" t="e">
        <v>#N/A</v>
      </c>
      <c r="I2009" s="99">
        <v>46076</v>
      </c>
      <c r="J2009" s="83" t="s">
        <v>189</v>
      </c>
      <c r="K2009" s="110"/>
      <c r="L2009" s="110"/>
      <c r="M2009" s="110"/>
      <c r="N2009" s="110"/>
      <c r="O2009" s="110"/>
    </row>
    <row r="2010" spans="1:15" s="108" customFormat="1" ht="14.4" hidden="1">
      <c r="A2010" s="108" t="str">
        <f t="shared" si="74"/>
        <v>MXCOPPELWIRELESS HEADSETTrue wireless earbudsauriculares verdaderamente inalámbricos</v>
      </c>
      <c r="B2010" s="109" t="str">
        <f t="shared" si="75"/>
        <v>MX_COPPEL</v>
      </c>
      <c r="C2010" s="110" t="s">
        <v>329</v>
      </c>
      <c r="D2010" s="110" t="s">
        <v>3219</v>
      </c>
      <c r="E2010" s="110" t="s">
        <v>2532</v>
      </c>
      <c r="F2010" s="110" t="s">
        <v>2374</v>
      </c>
      <c r="G2010" s="110" t="s">
        <v>3187</v>
      </c>
      <c r="H2010" s="93" t="e">
        <v>#N/A</v>
      </c>
      <c r="I2010" s="99">
        <v>46076</v>
      </c>
      <c r="J2010" s="83" t="s">
        <v>189</v>
      </c>
      <c r="K2010" s="110"/>
      <c r="L2010" s="110"/>
      <c r="M2010" s="110"/>
      <c r="N2010" s="110"/>
      <c r="O2010" s="110"/>
    </row>
    <row r="2011" spans="1:15" s="108" customFormat="1" hidden="1">
      <c r="A2011" s="108" t="str">
        <f t="shared" si="74"/>
        <v>MXCOPPELWIRELESS HEADSETWireless earbudsauriculares inalámbricos</v>
      </c>
      <c r="B2011" s="109" t="str">
        <f t="shared" si="75"/>
        <v>MX_COPPEL</v>
      </c>
      <c r="C2011" s="110" t="s">
        <v>329</v>
      </c>
      <c r="D2011" s="110" t="s">
        <v>3219</v>
      </c>
      <c r="E2011" s="110" t="s">
        <v>2532</v>
      </c>
      <c r="F2011" s="110" t="s">
        <v>2376</v>
      </c>
      <c r="G2011" s="110" t="s">
        <v>3189</v>
      </c>
      <c r="H2011" s="93" t="e">
        <v>#N/A</v>
      </c>
      <c r="I2011" s="99">
        <v>46076</v>
      </c>
      <c r="J2011" s="83" t="s">
        <v>189</v>
      </c>
      <c r="K2011" s="110"/>
      <c r="L2011" s="110"/>
      <c r="M2011" s="110"/>
      <c r="N2011" s="110"/>
      <c r="O2011" s="110"/>
    </row>
    <row r="2012" spans="1:15" s="108" customFormat="1" hidden="1">
      <c r="A2012" s="108" t="str">
        <f t="shared" si="74"/>
        <v>MXCOPPELWIRELESS HEADSETNoise cancelling earbudsauriculares con cancelación de ruido</v>
      </c>
      <c r="B2012" s="109" t="str">
        <f t="shared" si="75"/>
        <v>MX_COPPEL</v>
      </c>
      <c r="C2012" s="110" t="s">
        <v>329</v>
      </c>
      <c r="D2012" s="110" t="s">
        <v>3219</v>
      </c>
      <c r="E2012" s="110" t="s">
        <v>2532</v>
      </c>
      <c r="F2012" s="110" t="s">
        <v>2378</v>
      </c>
      <c r="G2012" s="110" t="s">
        <v>3191</v>
      </c>
      <c r="H2012" s="93" t="e">
        <v>#N/A</v>
      </c>
      <c r="I2012" s="99">
        <v>46076</v>
      </c>
      <c r="J2012" s="83" t="s">
        <v>189</v>
      </c>
      <c r="K2012" s="110"/>
      <c r="L2012" s="110"/>
      <c r="M2012" s="110"/>
      <c r="N2012" s="110"/>
      <c r="O2012" s="110"/>
    </row>
    <row r="2013" spans="1:15" s="108" customFormat="1" hidden="1">
      <c r="A2013" s="108" t="str">
        <f t="shared" si="74"/>
        <v>MXCOPPELWIRELESS HEADSETEar budsauriculares</v>
      </c>
      <c r="B2013" s="109" t="str">
        <f t="shared" si="75"/>
        <v>MX_COPPEL</v>
      </c>
      <c r="C2013" s="110" t="s">
        <v>329</v>
      </c>
      <c r="D2013" s="110" t="s">
        <v>3219</v>
      </c>
      <c r="E2013" s="110" t="s">
        <v>2532</v>
      </c>
      <c r="F2013" s="110" t="s">
        <v>2380</v>
      </c>
      <c r="G2013" s="110" t="s">
        <v>3193</v>
      </c>
      <c r="H2013" s="93" t="e">
        <v>#N/A</v>
      </c>
      <c r="I2013" s="99">
        <v>46076</v>
      </c>
      <c r="J2013" s="83" t="s">
        <v>189</v>
      </c>
      <c r="K2013" s="110"/>
      <c r="L2013" s="110"/>
      <c r="M2013" s="110"/>
      <c r="N2013" s="110"/>
      <c r="O2013" s="110"/>
    </row>
    <row r="2014" spans="1:15" s="108" customFormat="1" hidden="1">
      <c r="A2014" s="108" t="str">
        <f t="shared" si="74"/>
        <v>MXCOPPELWIRELESS HEADSETBluetooth earbudsauriculares bluetooth</v>
      </c>
      <c r="B2014" s="109" t="str">
        <f t="shared" si="75"/>
        <v>MX_COPPEL</v>
      </c>
      <c r="C2014" s="110" t="s">
        <v>329</v>
      </c>
      <c r="D2014" s="110" t="s">
        <v>3219</v>
      </c>
      <c r="E2014" s="110" t="s">
        <v>2532</v>
      </c>
      <c r="F2014" s="110" t="s">
        <v>2382</v>
      </c>
      <c r="G2014" s="110" t="s">
        <v>3195</v>
      </c>
      <c r="H2014" s="93" t="e">
        <v>#N/A</v>
      </c>
      <c r="I2014" s="99">
        <v>46076</v>
      </c>
      <c r="J2014" s="83" t="s">
        <v>189</v>
      </c>
      <c r="K2014" s="110"/>
      <c r="L2014" s="110"/>
      <c r="M2014" s="110"/>
      <c r="N2014" s="110"/>
      <c r="O2014" s="110"/>
    </row>
    <row r="2015" spans="1:15" s="108" customFormat="1" hidden="1">
      <c r="A2015" s="108" t="str">
        <f t="shared" si="74"/>
        <v>MXCOPPELDryerDryersecadora</v>
      </c>
      <c r="B2015" s="109" t="str">
        <f t="shared" si="75"/>
        <v>MX_COPPEL</v>
      </c>
      <c r="C2015" s="110" t="s">
        <v>329</v>
      </c>
      <c r="D2015" s="110" t="s">
        <v>3219</v>
      </c>
      <c r="E2015" s="110" t="s">
        <v>2535</v>
      </c>
      <c r="F2015" s="110" t="s">
        <v>2431</v>
      </c>
      <c r="G2015" s="110" t="s">
        <v>2620</v>
      </c>
      <c r="H2015" s="93" t="e">
        <v>#N/A</v>
      </c>
      <c r="I2015" s="99">
        <v>46076</v>
      </c>
      <c r="J2015" s="83" t="s">
        <v>189</v>
      </c>
      <c r="K2015" s="110"/>
      <c r="L2015" s="110"/>
      <c r="M2015" s="110"/>
      <c r="N2015" s="110"/>
      <c r="O2015" s="110"/>
    </row>
    <row r="2016" spans="1:15" s="108" customFormat="1" hidden="1">
      <c r="A2016" s="108" t="str">
        <f t="shared" si="74"/>
        <v>MXCOPPELDryerheatpump  bomba de calor</v>
      </c>
      <c r="B2016" s="109" t="str">
        <f t="shared" si="75"/>
        <v>MX_COPPEL</v>
      </c>
      <c r="C2016" s="110" t="s">
        <v>329</v>
      </c>
      <c r="D2016" s="110" t="s">
        <v>3219</v>
      </c>
      <c r="E2016" s="110" t="s">
        <v>2535</v>
      </c>
      <c r="F2016" s="110" t="s">
        <v>2432</v>
      </c>
      <c r="G2016" s="110" t="s">
        <v>2622</v>
      </c>
      <c r="H2016" s="93" t="e">
        <v>#N/A</v>
      </c>
      <c r="I2016" s="99">
        <v>46076</v>
      </c>
      <c r="J2016" s="83" t="s">
        <v>189</v>
      </c>
      <c r="K2016" s="110"/>
      <c r="L2016" s="110"/>
      <c r="M2016" s="110"/>
      <c r="N2016" s="110"/>
      <c r="O2016" s="110"/>
    </row>
    <row r="2017" spans="1:15" s="108" customFormat="1" hidden="1">
      <c r="A2017" s="108" t="str">
        <f t="shared" si="74"/>
        <v>MXCOPPELDryerLG Dryersecadora LG</v>
      </c>
      <c r="B2017" s="109" t="str">
        <f t="shared" si="75"/>
        <v>MX_COPPEL</v>
      </c>
      <c r="C2017" s="110" t="s">
        <v>329</v>
      </c>
      <c r="D2017" s="110" t="s">
        <v>3219</v>
      </c>
      <c r="E2017" s="110" t="s">
        <v>2535</v>
      </c>
      <c r="F2017" s="110" t="s">
        <v>2434</v>
      </c>
      <c r="G2017" s="110" t="s">
        <v>2624</v>
      </c>
      <c r="H2017" s="93" t="e">
        <v>#N/A</v>
      </c>
      <c r="I2017" s="99">
        <v>46076</v>
      </c>
      <c r="J2017" s="83" t="s">
        <v>189</v>
      </c>
      <c r="K2017" s="110"/>
      <c r="L2017" s="110"/>
      <c r="M2017" s="110"/>
      <c r="N2017" s="110"/>
      <c r="O2017" s="110"/>
    </row>
    <row r="2018" spans="1:15" s="81" customFormat="1" hidden="1">
      <c r="A2018" s="81" t="str">
        <f t="shared" si="74"/>
        <v>MXSEARSMONITORultrawide monitormointor ultrawide</v>
      </c>
      <c r="B2018" s="106" t="str">
        <f t="shared" si="75"/>
        <v>MX_SEARS</v>
      </c>
      <c r="C2018" s="107" t="s">
        <v>329</v>
      </c>
      <c r="D2018" s="107" t="s">
        <v>718</v>
      </c>
      <c r="E2018" s="107" t="s">
        <v>2384</v>
      </c>
      <c r="F2018" s="107" t="s">
        <v>2325</v>
      </c>
      <c r="G2018" s="107" t="s">
        <v>3153</v>
      </c>
      <c r="H2018" s="93" t="e">
        <v>#N/A</v>
      </c>
      <c r="I2018" s="99">
        <v>46076</v>
      </c>
      <c r="J2018" s="83" t="s">
        <v>189</v>
      </c>
      <c r="K2018" s="107"/>
      <c r="L2018" s="107"/>
      <c r="M2018" s="107"/>
      <c r="N2018" s="107"/>
      <c r="O2018" s="107"/>
    </row>
    <row r="2019" spans="1:15" s="81" customFormat="1" hidden="1">
      <c r="A2019" s="81" t="str">
        <f t="shared" si="74"/>
        <v>MXSEARSMONITORmonitormonitor</v>
      </c>
      <c r="B2019" s="106" t="str">
        <f t="shared" si="75"/>
        <v>MX_SEARS</v>
      </c>
      <c r="C2019" s="107" t="s">
        <v>329</v>
      </c>
      <c r="D2019" s="107" t="s">
        <v>718</v>
      </c>
      <c r="E2019" s="107" t="s">
        <v>2384</v>
      </c>
      <c r="F2019" s="107" t="s">
        <v>2323</v>
      </c>
      <c r="G2019" s="107" t="s">
        <v>2323</v>
      </c>
      <c r="H2019" s="93" t="e">
        <v>#N/A</v>
      </c>
      <c r="I2019" s="99">
        <v>46076</v>
      </c>
      <c r="J2019" s="83" t="s">
        <v>189</v>
      </c>
      <c r="K2019" s="107"/>
      <c r="L2019" s="107"/>
      <c r="M2019" s="107"/>
      <c r="N2019" s="107"/>
      <c r="O2019" s="107"/>
    </row>
    <row r="2020" spans="1:15" s="81" customFormat="1" hidden="1">
      <c r="A2020" s="81" t="str">
        <f t="shared" si="74"/>
        <v>MXSEARSMONITOR4k monitormonitor 4k</v>
      </c>
      <c r="B2020" s="106" t="str">
        <f t="shared" si="75"/>
        <v>MX_SEARS</v>
      </c>
      <c r="C2020" s="107" t="s">
        <v>329</v>
      </c>
      <c r="D2020" s="107" t="s">
        <v>718</v>
      </c>
      <c r="E2020" s="107" t="s">
        <v>2384</v>
      </c>
      <c r="F2020" s="107" t="s">
        <v>2321</v>
      </c>
      <c r="G2020" s="107" t="s">
        <v>2497</v>
      </c>
      <c r="H2020" s="93" t="e">
        <v>#N/A</v>
      </c>
      <c r="I2020" s="99">
        <v>46076</v>
      </c>
      <c r="J2020" s="83" t="s">
        <v>189</v>
      </c>
      <c r="K2020" s="107"/>
      <c r="L2020" s="107"/>
      <c r="M2020" s="107"/>
      <c r="N2020" s="107"/>
      <c r="O2020" s="107"/>
    </row>
    <row r="2021" spans="1:15" s="81" customFormat="1" hidden="1">
      <c r="A2021" s="81" t="str">
        <f t="shared" si="74"/>
        <v>MXSEARSMONITORgaming monitormonitor gamer</v>
      </c>
      <c r="B2021" s="106" t="str">
        <f t="shared" si="75"/>
        <v>MX_SEARS</v>
      </c>
      <c r="C2021" s="107" t="s">
        <v>329</v>
      </c>
      <c r="D2021" s="107" t="s">
        <v>718</v>
      </c>
      <c r="E2021" s="107" t="s">
        <v>2384</v>
      </c>
      <c r="F2021" s="107" t="s">
        <v>2322</v>
      </c>
      <c r="G2021" s="107" t="s">
        <v>2466</v>
      </c>
      <c r="H2021" s="93" t="e">
        <v>#N/A</v>
      </c>
      <c r="I2021" s="99">
        <v>46076</v>
      </c>
      <c r="J2021" s="83" t="s">
        <v>189</v>
      </c>
      <c r="K2021" s="107"/>
      <c r="L2021" s="107"/>
      <c r="M2021" s="107"/>
      <c r="N2021" s="107"/>
      <c r="O2021" s="107"/>
    </row>
    <row r="2022" spans="1:15" s="81" customFormat="1" hidden="1">
      <c r="A2022" s="81" t="str">
        <f t="shared" si="74"/>
        <v>MXSEARSMONITORuhd monitormonitor uhd</v>
      </c>
      <c r="B2022" s="106" t="str">
        <f t="shared" si="75"/>
        <v>MX_SEARS</v>
      </c>
      <c r="C2022" s="107" t="s">
        <v>329</v>
      </c>
      <c r="D2022" s="107" t="s">
        <v>718</v>
      </c>
      <c r="E2022" s="107" t="s">
        <v>2384</v>
      </c>
      <c r="F2022" s="107" t="s">
        <v>2324</v>
      </c>
      <c r="G2022" s="107" t="s">
        <v>2498</v>
      </c>
      <c r="H2022" s="93" t="e">
        <v>#N/A</v>
      </c>
      <c r="I2022" s="99">
        <v>46076</v>
      </c>
      <c r="J2022" s="83" t="s">
        <v>189</v>
      </c>
      <c r="K2022" s="107"/>
      <c r="L2022" s="107"/>
      <c r="M2022" s="107"/>
      <c r="N2022" s="107"/>
      <c r="O2022" s="107"/>
    </row>
    <row r="2023" spans="1:15" s="81" customFormat="1" hidden="1">
      <c r="A2023" s="81" t="str">
        <f t="shared" si="74"/>
        <v>MXSEARSRefrigeratorfrench door refrigeratorFrench door</v>
      </c>
      <c r="B2023" s="106" t="str">
        <f t="shared" si="75"/>
        <v>MX_SEARS</v>
      </c>
      <c r="C2023" s="107" t="s">
        <v>329</v>
      </c>
      <c r="D2023" s="107" t="s">
        <v>718</v>
      </c>
      <c r="E2023" s="107" t="s">
        <v>2326</v>
      </c>
      <c r="F2023" s="107" t="s">
        <v>2328</v>
      </c>
      <c r="G2023" s="107" t="s">
        <v>3157</v>
      </c>
      <c r="H2023" s="93" t="e">
        <v>#N/A</v>
      </c>
      <c r="I2023" s="99">
        <v>46076</v>
      </c>
      <c r="J2023" s="83" t="s">
        <v>189</v>
      </c>
      <c r="K2023" s="107"/>
      <c r="L2023" s="107"/>
      <c r="M2023" s="107"/>
      <c r="N2023" s="107"/>
      <c r="O2023" s="107"/>
    </row>
    <row r="2024" spans="1:15" s="81" customFormat="1" hidden="1">
      <c r="A2024" s="81" t="str">
        <f t="shared" si="74"/>
        <v>MXSEARSRefrigeratorInstaviewInstaview</v>
      </c>
      <c r="B2024" s="106" t="str">
        <f t="shared" si="75"/>
        <v>MX_SEARS</v>
      </c>
      <c r="C2024" s="107" t="s">
        <v>329</v>
      </c>
      <c r="D2024" s="107" t="s">
        <v>718</v>
      </c>
      <c r="E2024" s="107" t="s">
        <v>2326</v>
      </c>
      <c r="F2024" s="107" t="s">
        <v>3158</v>
      </c>
      <c r="G2024" s="107" t="s">
        <v>3158</v>
      </c>
      <c r="H2024" s="93" t="e">
        <v>#N/A</v>
      </c>
      <c r="I2024" s="99">
        <v>46076</v>
      </c>
      <c r="J2024" s="83" t="s">
        <v>189</v>
      </c>
      <c r="K2024" s="107"/>
      <c r="L2024" s="107"/>
      <c r="M2024" s="107"/>
      <c r="N2024" s="107"/>
      <c r="O2024" s="107"/>
    </row>
    <row r="2025" spans="1:15" s="81" customFormat="1" hidden="1">
      <c r="A2025" s="81" t="str">
        <f t="shared" si="74"/>
        <v>MXSEARSRefrigeratorrefrigeratorRefrigerador</v>
      </c>
      <c r="B2025" s="106" t="str">
        <f t="shared" si="75"/>
        <v>MX_SEARS</v>
      </c>
      <c r="C2025" s="107" t="s">
        <v>329</v>
      </c>
      <c r="D2025" s="107" t="s">
        <v>718</v>
      </c>
      <c r="E2025" s="107" t="s">
        <v>2326</v>
      </c>
      <c r="F2025" s="107" t="s">
        <v>2329</v>
      </c>
      <c r="G2025" s="107" t="s">
        <v>3159</v>
      </c>
      <c r="H2025" s="93" t="e">
        <v>#N/A</v>
      </c>
      <c r="I2025" s="99">
        <v>46076</v>
      </c>
      <c r="J2025" s="83" t="s">
        <v>189</v>
      </c>
      <c r="K2025" s="107"/>
      <c r="L2025" s="107"/>
      <c r="M2025" s="107"/>
      <c r="N2025" s="107"/>
      <c r="O2025" s="107"/>
    </row>
    <row r="2026" spans="1:15" s="81" customFormat="1" hidden="1">
      <c r="A2026" s="81" t="str">
        <f t="shared" si="74"/>
        <v>MXSEARSRefrigeratorbottom freezer refrigeratorrefrigerador congelador inferior</v>
      </c>
      <c r="B2026" s="106" t="str">
        <f t="shared" si="75"/>
        <v>MX_SEARS</v>
      </c>
      <c r="C2026" s="107" t="s">
        <v>329</v>
      </c>
      <c r="D2026" s="107" t="s">
        <v>718</v>
      </c>
      <c r="E2026" s="107" t="s">
        <v>2326</v>
      </c>
      <c r="F2026" s="107" t="s">
        <v>2327</v>
      </c>
      <c r="G2026" s="107" t="s">
        <v>3160</v>
      </c>
      <c r="H2026" s="93" t="e">
        <v>#N/A</v>
      </c>
      <c r="I2026" s="99">
        <v>46076</v>
      </c>
      <c r="J2026" s="83" t="s">
        <v>189</v>
      </c>
      <c r="K2026" s="107"/>
      <c r="L2026" s="107"/>
      <c r="M2026" s="107"/>
      <c r="N2026" s="107"/>
      <c r="O2026" s="107"/>
    </row>
    <row r="2027" spans="1:15" s="81" customFormat="1" hidden="1">
      <c r="A2027" s="81" t="str">
        <f t="shared" si="74"/>
        <v>MXSEARSRefrigeratortop freezer refrigeratorrefrigerador congelador superior</v>
      </c>
      <c r="B2027" s="106" t="str">
        <f t="shared" si="75"/>
        <v>MX_SEARS</v>
      </c>
      <c r="C2027" s="107" t="s">
        <v>329</v>
      </c>
      <c r="D2027" s="107" t="s">
        <v>718</v>
      </c>
      <c r="E2027" s="107" t="s">
        <v>2326</v>
      </c>
      <c r="F2027" s="107" t="s">
        <v>2332</v>
      </c>
      <c r="G2027" s="107" t="s">
        <v>3161</v>
      </c>
      <c r="H2027" s="93" t="e">
        <v>#N/A</v>
      </c>
      <c r="I2027" s="99">
        <v>46076</v>
      </c>
      <c r="J2027" s="83" t="s">
        <v>189</v>
      </c>
      <c r="K2027" s="107"/>
      <c r="L2027" s="107"/>
      <c r="M2027" s="107"/>
      <c r="N2027" s="107"/>
      <c r="O2027" s="107"/>
    </row>
    <row r="2028" spans="1:15" s="81" customFormat="1" hidden="1">
      <c r="A2028" s="81" t="str">
        <f t="shared" si="74"/>
        <v>MXSEARSRefrigeratorside by side refrigeratorrefrigerador duplex</v>
      </c>
      <c r="B2028" s="106" t="str">
        <f t="shared" si="75"/>
        <v>MX_SEARS</v>
      </c>
      <c r="C2028" s="107" t="s">
        <v>329</v>
      </c>
      <c r="D2028" s="107" t="s">
        <v>718</v>
      </c>
      <c r="E2028" s="107" t="s">
        <v>2326</v>
      </c>
      <c r="F2028" s="107" t="s">
        <v>2330</v>
      </c>
      <c r="G2028" s="107" t="s">
        <v>3162</v>
      </c>
      <c r="H2028" s="93" t="e">
        <v>#N/A</v>
      </c>
      <c r="I2028" s="99">
        <v>46076</v>
      </c>
      <c r="J2028" s="83" t="s">
        <v>189</v>
      </c>
      <c r="K2028" s="107"/>
      <c r="L2028" s="107"/>
      <c r="M2028" s="107"/>
      <c r="N2028" s="107"/>
      <c r="O2028" s="107"/>
    </row>
    <row r="2029" spans="1:15" s="81" customFormat="1" hidden="1">
      <c r="A2029" s="81" t="str">
        <f t="shared" si="74"/>
        <v>MXSEARSRefrigeratorfrench door refrigeratorrefrigerador french door</v>
      </c>
      <c r="B2029" s="106" t="str">
        <f t="shared" si="75"/>
        <v>MX_SEARS</v>
      </c>
      <c r="C2029" s="107" t="s">
        <v>329</v>
      </c>
      <c r="D2029" s="107" t="s">
        <v>718</v>
      </c>
      <c r="E2029" s="107" t="s">
        <v>2326</v>
      </c>
      <c r="F2029" s="107" t="s">
        <v>2328</v>
      </c>
      <c r="G2029" s="107" t="s">
        <v>2563</v>
      </c>
      <c r="H2029" s="93" t="e">
        <v>#N/A</v>
      </c>
      <c r="I2029" s="99">
        <v>46076</v>
      </c>
      <c r="J2029" s="83" t="s">
        <v>189</v>
      </c>
      <c r="K2029" s="107"/>
      <c r="L2029" s="107"/>
      <c r="M2029" s="107"/>
      <c r="N2029" s="107"/>
      <c r="O2029" s="107"/>
    </row>
    <row r="2030" spans="1:15" s="81" customFormat="1" hidden="1">
      <c r="A2030" s="81" t="str">
        <f t="shared" si="74"/>
        <v>MXSEARSRefrigeratorrefrigeratorRefrigeradores</v>
      </c>
      <c r="B2030" s="106" t="str">
        <f t="shared" si="75"/>
        <v>MX_SEARS</v>
      </c>
      <c r="C2030" s="107" t="s">
        <v>329</v>
      </c>
      <c r="D2030" s="107" t="s">
        <v>718</v>
      </c>
      <c r="E2030" s="107" t="s">
        <v>2326</v>
      </c>
      <c r="F2030" s="107" t="s">
        <v>2329</v>
      </c>
      <c r="G2030" s="107" t="s">
        <v>3163</v>
      </c>
      <c r="H2030" s="93" t="e">
        <v>#N/A</v>
      </c>
      <c r="I2030" s="99">
        <v>46076</v>
      </c>
      <c r="J2030" s="83" t="s">
        <v>189</v>
      </c>
      <c r="K2030" s="107"/>
      <c r="L2030" s="107"/>
      <c r="M2030" s="107"/>
      <c r="N2030" s="107"/>
      <c r="O2030" s="107"/>
    </row>
    <row r="2031" spans="1:15" s="81" customFormat="1" hidden="1">
      <c r="A2031" s="81" t="str">
        <f t="shared" si="74"/>
        <v>MXSEARSRefrigeratorrefrigeratorsrefrigerators</v>
      </c>
      <c r="B2031" s="106" t="str">
        <f t="shared" si="75"/>
        <v>MX_SEARS</v>
      </c>
      <c r="C2031" s="107" t="s">
        <v>329</v>
      </c>
      <c r="D2031" s="107" t="s">
        <v>718</v>
      </c>
      <c r="E2031" s="107" t="s">
        <v>2326</v>
      </c>
      <c r="F2031" s="107" t="s">
        <v>3164</v>
      </c>
      <c r="G2031" s="107" t="s">
        <v>3164</v>
      </c>
      <c r="H2031" s="93" t="e">
        <v>#N/A</v>
      </c>
      <c r="I2031" s="99">
        <v>46076</v>
      </c>
      <c r="J2031" s="83" t="s">
        <v>189</v>
      </c>
      <c r="K2031" s="107"/>
      <c r="L2031" s="107"/>
      <c r="M2031" s="107"/>
      <c r="N2031" s="107"/>
      <c r="O2031" s="107"/>
    </row>
    <row r="2032" spans="1:15" s="81" customFormat="1" hidden="1">
      <c r="A2032" s="81" t="str">
        <f t="shared" si="74"/>
        <v>MXSEARSTV4k TV4k TV</v>
      </c>
      <c r="B2032" s="106" t="str">
        <f t="shared" si="75"/>
        <v>MX_SEARS</v>
      </c>
      <c r="C2032" s="107" t="s">
        <v>329</v>
      </c>
      <c r="D2032" s="107" t="s">
        <v>718</v>
      </c>
      <c r="E2032" s="107" t="s">
        <v>161</v>
      </c>
      <c r="F2032" s="107" t="s">
        <v>2368</v>
      </c>
      <c r="G2032" s="107" t="s">
        <v>2368</v>
      </c>
      <c r="H2032" s="93" t="e">
        <v>#N/A</v>
      </c>
      <c r="I2032" s="99">
        <v>46076</v>
      </c>
      <c r="J2032" s="83" t="s">
        <v>189</v>
      </c>
      <c r="K2032" s="107"/>
      <c r="L2032" s="107"/>
      <c r="M2032" s="107"/>
      <c r="N2032" s="107"/>
      <c r="O2032" s="107"/>
    </row>
    <row r="2033" spans="1:15" s="81" customFormat="1" hidden="1">
      <c r="A2033" s="81" t="str">
        <f t="shared" si="74"/>
        <v>MXSEARSTVInstaviewInstaview</v>
      </c>
      <c r="B2033" s="106" t="str">
        <f t="shared" si="75"/>
        <v>MX_SEARS</v>
      </c>
      <c r="C2033" s="107" t="s">
        <v>329</v>
      </c>
      <c r="D2033" s="107" t="s">
        <v>718</v>
      </c>
      <c r="E2033" s="107" t="s">
        <v>161</v>
      </c>
      <c r="F2033" s="107" t="s">
        <v>3158</v>
      </c>
      <c r="G2033" s="107" t="s">
        <v>3158</v>
      </c>
      <c r="H2033" s="93" t="e">
        <v>#N/A</v>
      </c>
      <c r="I2033" s="99">
        <v>46076</v>
      </c>
      <c r="J2033" s="83" t="s">
        <v>189</v>
      </c>
      <c r="K2033" s="107"/>
      <c r="L2033" s="107"/>
      <c r="M2033" s="107"/>
      <c r="N2033" s="107"/>
      <c r="O2033" s="107"/>
    </row>
    <row r="2034" spans="1:15" s="81" customFormat="1" hidden="1">
      <c r="A2034" s="81" t="str">
        <f t="shared" si="74"/>
        <v>MXSEARSTVoled TVoled TV</v>
      </c>
      <c r="B2034" s="106" t="str">
        <f t="shared" si="75"/>
        <v>MX_SEARS</v>
      </c>
      <c r="C2034" s="107" t="s">
        <v>329</v>
      </c>
      <c r="D2034" s="107" t="s">
        <v>718</v>
      </c>
      <c r="E2034" s="107" t="s">
        <v>161</v>
      </c>
      <c r="F2034" s="107" t="s">
        <v>2369</v>
      </c>
      <c r="G2034" s="107" t="s">
        <v>2369</v>
      </c>
      <c r="H2034" s="93" t="e">
        <v>#N/A</v>
      </c>
      <c r="I2034" s="99">
        <v>46076</v>
      </c>
      <c r="J2034" s="83" t="s">
        <v>189</v>
      </c>
      <c r="K2034" s="107"/>
      <c r="L2034" s="107"/>
      <c r="M2034" s="107"/>
      <c r="N2034" s="107"/>
      <c r="O2034" s="107"/>
    </row>
    <row r="2035" spans="1:15" s="81" customFormat="1" hidden="1">
      <c r="A2035" s="81" t="str">
        <f t="shared" ref="A2035:A2093" si="76">C2035&amp;D2035&amp;E2035&amp;F2035&amp;G2035</f>
        <v>MXSEARSTVsmart TVsmart TV</v>
      </c>
      <c r="B2035" s="106" t="str">
        <f t="shared" ref="B2035:B2093" si="77">C2035&amp;"_"&amp;D2035</f>
        <v>MX_SEARS</v>
      </c>
      <c r="C2035" s="107" t="s">
        <v>329</v>
      </c>
      <c r="D2035" s="107" t="s">
        <v>718</v>
      </c>
      <c r="E2035" s="107" t="s">
        <v>161</v>
      </c>
      <c r="F2035" s="107" t="s">
        <v>2371</v>
      </c>
      <c r="G2035" s="107" t="s">
        <v>2371</v>
      </c>
      <c r="H2035" s="93" t="e">
        <v>#N/A</v>
      </c>
      <c r="I2035" s="99">
        <v>46076</v>
      </c>
      <c r="J2035" s="83" t="s">
        <v>189</v>
      </c>
      <c r="K2035" s="107"/>
      <c r="L2035" s="107"/>
      <c r="M2035" s="107"/>
      <c r="N2035" s="107"/>
      <c r="O2035" s="107"/>
    </row>
    <row r="2036" spans="1:15" s="81" customFormat="1" hidden="1">
      <c r="A2036" s="81" t="str">
        <f t="shared" si="76"/>
        <v>MXSEARSTVTVTV, pantalla</v>
      </c>
      <c r="B2036" s="106" t="str">
        <f t="shared" si="77"/>
        <v>MX_SEARS</v>
      </c>
      <c r="C2036" s="107" t="s">
        <v>329</v>
      </c>
      <c r="D2036" s="107" t="s">
        <v>718</v>
      </c>
      <c r="E2036" s="107" t="s">
        <v>161</v>
      </c>
      <c r="F2036" s="107" t="s">
        <v>161</v>
      </c>
      <c r="G2036" s="107" t="s">
        <v>3165</v>
      </c>
      <c r="H2036" s="93" t="e">
        <v>#N/A</v>
      </c>
      <c r="I2036" s="99">
        <v>46076</v>
      </c>
      <c r="J2036" s="83" t="s">
        <v>189</v>
      </c>
      <c r="K2036" s="107"/>
      <c r="L2036" s="107"/>
      <c r="M2036" s="107"/>
      <c r="N2036" s="107"/>
      <c r="O2036" s="107"/>
    </row>
    <row r="2037" spans="1:15" s="81" customFormat="1" hidden="1">
      <c r="A2037" s="81" t="str">
        <f t="shared" si="76"/>
        <v>MXSEARSTVuhd TVuhd TV</v>
      </c>
      <c r="B2037" s="106" t="str">
        <f t="shared" si="77"/>
        <v>MX_SEARS</v>
      </c>
      <c r="C2037" s="107" t="s">
        <v>329</v>
      </c>
      <c r="D2037" s="107" t="s">
        <v>718</v>
      </c>
      <c r="E2037" s="107" t="s">
        <v>161</v>
      </c>
      <c r="F2037" s="107" t="s">
        <v>2399</v>
      </c>
      <c r="G2037" s="107" t="s">
        <v>2399</v>
      </c>
      <c r="H2037" s="93" t="e">
        <v>#N/A</v>
      </c>
      <c r="I2037" s="99">
        <v>46076</v>
      </c>
      <c r="J2037" s="83" t="s">
        <v>189</v>
      </c>
      <c r="K2037" s="107"/>
      <c r="L2037" s="107"/>
      <c r="M2037" s="107"/>
      <c r="N2037" s="107"/>
      <c r="O2037" s="107"/>
    </row>
    <row r="2038" spans="1:15" s="81" customFormat="1" hidden="1">
      <c r="A2038" s="81" t="str">
        <f t="shared" si="76"/>
        <v>MXSEARSWashing Machinewashing machinelavadora</v>
      </c>
      <c r="B2038" s="106" t="str">
        <f t="shared" si="77"/>
        <v>MX_SEARS</v>
      </c>
      <c r="C2038" s="107" t="s">
        <v>329</v>
      </c>
      <c r="D2038" s="107" t="s">
        <v>718</v>
      </c>
      <c r="E2038" s="107" t="s">
        <v>2333</v>
      </c>
      <c r="F2038" s="107" t="s">
        <v>2340</v>
      </c>
      <c r="G2038" s="107" t="s">
        <v>2753</v>
      </c>
      <c r="H2038" s="93" t="e">
        <v>#N/A</v>
      </c>
      <c r="I2038" s="99">
        <v>46076</v>
      </c>
      <c r="J2038" s="83" t="s">
        <v>189</v>
      </c>
      <c r="K2038" s="107"/>
      <c r="L2038" s="107"/>
      <c r="M2038" s="107"/>
      <c r="N2038" s="107"/>
      <c r="O2038" s="107"/>
    </row>
    <row r="2039" spans="1:15" s="81" customFormat="1" hidden="1">
      <c r="A2039" s="81" t="str">
        <f t="shared" si="76"/>
        <v>MXSEARSWashing Machinetop loaderlavadora carga frontal</v>
      </c>
      <c r="B2039" s="106" t="str">
        <f t="shared" si="77"/>
        <v>MX_SEARS</v>
      </c>
      <c r="C2039" s="107" t="s">
        <v>329</v>
      </c>
      <c r="D2039" s="107" t="s">
        <v>718</v>
      </c>
      <c r="E2039" s="107" t="s">
        <v>2333</v>
      </c>
      <c r="F2039" s="107" t="s">
        <v>2336</v>
      </c>
      <c r="G2039" s="107" t="s">
        <v>3166</v>
      </c>
      <c r="H2039" s="93" t="e">
        <v>#N/A</v>
      </c>
      <c r="I2039" s="99">
        <v>46076</v>
      </c>
      <c r="J2039" s="83" t="s">
        <v>189</v>
      </c>
      <c r="K2039" s="107"/>
      <c r="L2039" s="107"/>
      <c r="M2039" s="107"/>
      <c r="N2039" s="107"/>
      <c r="O2039" s="107"/>
    </row>
    <row r="2040" spans="1:15" s="81" customFormat="1" hidden="1">
      <c r="A2040" s="81" t="str">
        <f t="shared" si="76"/>
        <v>MXSEARSWashing Machinefront loaderlavadora carga superior</v>
      </c>
      <c r="B2040" s="106" t="str">
        <f t="shared" si="77"/>
        <v>MX_SEARS</v>
      </c>
      <c r="C2040" s="107" t="s">
        <v>329</v>
      </c>
      <c r="D2040" s="107" t="s">
        <v>718</v>
      </c>
      <c r="E2040" s="107" t="s">
        <v>2333</v>
      </c>
      <c r="F2040" s="107" t="s">
        <v>2334</v>
      </c>
      <c r="G2040" s="107" t="s">
        <v>3167</v>
      </c>
      <c r="H2040" s="93" t="e">
        <v>#N/A</v>
      </c>
      <c r="I2040" s="99">
        <v>46076</v>
      </c>
      <c r="J2040" s="83" t="s">
        <v>189</v>
      </c>
      <c r="K2040" s="107"/>
      <c r="L2040" s="107"/>
      <c r="M2040" s="107"/>
      <c r="N2040" s="107"/>
      <c r="O2040" s="107"/>
    </row>
    <row r="2041" spans="1:15" s="81" customFormat="1" hidden="1">
      <c r="A2041" s="81" t="str">
        <f t="shared" si="76"/>
        <v>MXSEARSWashing Machinewasher dryer combolavasecadora</v>
      </c>
      <c r="B2041" s="106" t="str">
        <f t="shared" si="77"/>
        <v>MX_SEARS</v>
      </c>
      <c r="C2041" s="107" t="s">
        <v>329</v>
      </c>
      <c r="D2041" s="107" t="s">
        <v>718</v>
      </c>
      <c r="E2041" s="107" t="s">
        <v>2333</v>
      </c>
      <c r="F2041" s="107" t="s">
        <v>2338</v>
      </c>
      <c r="G2041" s="107" t="s">
        <v>2791</v>
      </c>
      <c r="H2041" s="93" t="e">
        <v>#N/A</v>
      </c>
      <c r="I2041" s="99">
        <v>46076</v>
      </c>
      <c r="J2041" s="83" t="s">
        <v>189</v>
      </c>
      <c r="K2041" s="107"/>
      <c r="L2041" s="107"/>
      <c r="M2041" s="107"/>
      <c r="N2041" s="107"/>
      <c r="O2041" s="107"/>
    </row>
    <row r="2042" spans="1:15" s="81" customFormat="1" hidden="1">
      <c r="A2042" s="81" t="str">
        <f t="shared" si="76"/>
        <v>MXSEARSWashing MachineDryersecadora</v>
      </c>
      <c r="B2042" s="106" t="str">
        <f t="shared" si="77"/>
        <v>MX_SEARS</v>
      </c>
      <c r="C2042" s="107" t="s">
        <v>329</v>
      </c>
      <c r="D2042" s="107" t="s">
        <v>718</v>
      </c>
      <c r="E2042" s="107" t="s">
        <v>2333</v>
      </c>
      <c r="F2042" s="107" t="s">
        <v>2431</v>
      </c>
      <c r="G2042" s="107" t="s">
        <v>3168</v>
      </c>
      <c r="H2042" s="93" t="e">
        <v>#N/A</v>
      </c>
      <c r="I2042" s="99">
        <v>46076</v>
      </c>
      <c r="J2042" s="83" t="s">
        <v>189</v>
      </c>
      <c r="K2042" s="107"/>
      <c r="L2042" s="107"/>
      <c r="M2042" s="107"/>
      <c r="N2042" s="107"/>
      <c r="O2042" s="107"/>
    </row>
    <row r="2043" spans="1:15" s="81" customFormat="1" hidden="1">
      <c r="A2043" s="81" t="str">
        <f t="shared" si="76"/>
        <v>MXSEARSWashing Machinewashing machineWashing machine</v>
      </c>
      <c r="B2043" s="106" t="str">
        <f t="shared" si="77"/>
        <v>MX_SEARS</v>
      </c>
      <c r="C2043" s="107" t="s">
        <v>329</v>
      </c>
      <c r="D2043" s="107" t="s">
        <v>718</v>
      </c>
      <c r="E2043" s="107" t="s">
        <v>2333</v>
      </c>
      <c r="F2043" s="107" t="s">
        <v>2340</v>
      </c>
      <c r="G2043" s="107" t="s">
        <v>3169</v>
      </c>
      <c r="H2043" s="93" t="e">
        <v>#N/A</v>
      </c>
      <c r="I2043" s="99">
        <v>46076</v>
      </c>
      <c r="J2043" s="83" t="s">
        <v>189</v>
      </c>
      <c r="K2043" s="107"/>
      <c r="L2043" s="107"/>
      <c r="M2043" s="107"/>
      <c r="N2043" s="107"/>
      <c r="O2043" s="107"/>
    </row>
    <row r="2044" spans="1:15" s="111" customFormat="1" hidden="1">
      <c r="A2044" s="111" t="str">
        <f t="shared" si="76"/>
        <v>MXSEARSAir Conditionerair conditioneraire acondicionado</v>
      </c>
      <c r="B2044" s="112" t="str">
        <f t="shared" si="77"/>
        <v>MX_SEARS</v>
      </c>
      <c r="C2044" s="113" t="s">
        <v>329</v>
      </c>
      <c r="D2044" s="113" t="s">
        <v>718</v>
      </c>
      <c r="E2044" s="113" t="s">
        <v>2346</v>
      </c>
      <c r="F2044" s="113" t="s">
        <v>2347</v>
      </c>
      <c r="G2044" s="113" t="s">
        <v>2761</v>
      </c>
      <c r="H2044" s="93" t="e">
        <v>#N/A</v>
      </c>
      <c r="I2044" s="99">
        <v>46076</v>
      </c>
      <c r="J2044" s="83" t="s">
        <v>189</v>
      </c>
      <c r="K2044" s="113"/>
      <c r="L2044" s="113"/>
      <c r="M2044" s="113"/>
      <c r="N2044" s="113"/>
      <c r="O2044" s="113"/>
    </row>
    <row r="2045" spans="1:15" s="108" customFormat="1" hidden="1">
      <c r="A2045" s="108" t="str">
        <f t="shared" si="76"/>
        <v>MXSEARSBluetooth SpeakerPortable Speakeraltavoz portátil</v>
      </c>
      <c r="B2045" s="109" t="str">
        <f t="shared" si="77"/>
        <v>MX_SEARS</v>
      </c>
      <c r="C2045" s="110" t="s">
        <v>329</v>
      </c>
      <c r="D2045" s="110" t="s">
        <v>718</v>
      </c>
      <c r="E2045" s="110" t="s">
        <v>2307</v>
      </c>
      <c r="F2045" s="110" t="s">
        <v>2308</v>
      </c>
      <c r="G2045" s="110" t="s">
        <v>3173</v>
      </c>
      <c r="H2045" s="93" t="e">
        <v>#N/A</v>
      </c>
      <c r="I2045" s="99">
        <v>46076</v>
      </c>
      <c r="J2045" s="83" t="s">
        <v>189</v>
      </c>
      <c r="K2045" s="110"/>
      <c r="L2045" s="110"/>
      <c r="M2045" s="110"/>
      <c r="N2045" s="110"/>
      <c r="O2045" s="110"/>
    </row>
    <row r="2046" spans="1:15" s="108" customFormat="1" hidden="1">
      <c r="A2046" s="108" t="str">
        <f t="shared" si="76"/>
        <v>MXSEARSBluetooth SpeakerPortable bluetooth speakeraltavoz portátil bluetooth</v>
      </c>
      <c r="B2046" s="109" t="str">
        <f t="shared" si="77"/>
        <v>MX_SEARS</v>
      </c>
      <c r="C2046" s="110" t="s">
        <v>329</v>
      </c>
      <c r="D2046" s="110" t="s">
        <v>718</v>
      </c>
      <c r="E2046" s="110" t="s">
        <v>2307</v>
      </c>
      <c r="F2046" s="110" t="s">
        <v>2312</v>
      </c>
      <c r="G2046" s="110" t="s">
        <v>3175</v>
      </c>
      <c r="H2046" s="93" t="e">
        <v>#N/A</v>
      </c>
      <c r="I2046" s="99">
        <v>46076</v>
      </c>
      <c r="J2046" s="83" t="s">
        <v>189</v>
      </c>
      <c r="K2046" s="110"/>
      <c r="L2046" s="110"/>
      <c r="M2046" s="110"/>
      <c r="N2046" s="110"/>
      <c r="O2046" s="110"/>
    </row>
    <row r="2047" spans="1:15" s="108" customFormat="1" hidden="1">
      <c r="A2047" s="108" t="str">
        <f t="shared" si="76"/>
        <v>MXSEARSBluetooth SpeakerWireless speakeraltavoz inalámbrico</v>
      </c>
      <c r="B2047" s="109" t="str">
        <f t="shared" si="77"/>
        <v>MX_SEARS</v>
      </c>
      <c r="C2047" s="110" t="s">
        <v>329</v>
      </c>
      <c r="D2047" s="110" t="s">
        <v>718</v>
      </c>
      <c r="E2047" s="110" t="s">
        <v>2307</v>
      </c>
      <c r="F2047" s="110" t="s">
        <v>2316</v>
      </c>
      <c r="G2047" s="110" t="s">
        <v>3177</v>
      </c>
      <c r="H2047" s="93" t="e">
        <v>#N/A</v>
      </c>
      <c r="I2047" s="99">
        <v>46076</v>
      </c>
      <c r="J2047" s="83" t="s">
        <v>189</v>
      </c>
      <c r="K2047" s="110"/>
      <c r="L2047" s="110"/>
      <c r="M2047" s="110"/>
      <c r="N2047" s="110"/>
      <c r="O2047" s="110"/>
    </row>
    <row r="2048" spans="1:15" s="108" customFormat="1" hidden="1">
      <c r="A2048" s="108" t="str">
        <f t="shared" si="76"/>
        <v>MXSEARSBluetooth SpeakerPortable Soundsonido portátil</v>
      </c>
      <c r="B2048" s="109" t="str">
        <f t="shared" si="77"/>
        <v>MX_SEARS</v>
      </c>
      <c r="C2048" s="110" t="s">
        <v>329</v>
      </c>
      <c r="D2048" s="110" t="s">
        <v>718</v>
      </c>
      <c r="E2048" s="110" t="s">
        <v>2307</v>
      </c>
      <c r="F2048" s="110" t="s">
        <v>2318</v>
      </c>
      <c r="G2048" s="110" t="s">
        <v>3179</v>
      </c>
      <c r="H2048" s="93" t="e">
        <v>#N/A</v>
      </c>
      <c r="I2048" s="99">
        <v>46076</v>
      </c>
      <c r="J2048" s="83" t="s">
        <v>189</v>
      </c>
      <c r="K2048" s="110"/>
      <c r="L2048" s="110"/>
      <c r="M2048" s="110"/>
      <c r="N2048" s="110"/>
      <c r="O2048" s="110"/>
    </row>
    <row r="2049" spans="1:15" s="108" customFormat="1" hidden="1">
      <c r="A2049" s="108" t="str">
        <f t="shared" si="76"/>
        <v>MXSEARSSOUNDBARSound systemsistema de sonido</v>
      </c>
      <c r="B2049" s="109" t="str">
        <f t="shared" si="77"/>
        <v>MX_SEARS</v>
      </c>
      <c r="C2049" s="110" t="s">
        <v>329</v>
      </c>
      <c r="D2049" s="110" t="s">
        <v>718</v>
      </c>
      <c r="E2049" s="110" t="s">
        <v>2527</v>
      </c>
      <c r="F2049" s="110" t="s">
        <v>2359</v>
      </c>
      <c r="G2049" s="110" t="s">
        <v>3181</v>
      </c>
      <c r="H2049" s="93" t="e">
        <v>#N/A</v>
      </c>
      <c r="I2049" s="99">
        <v>46076</v>
      </c>
      <c r="J2049" s="83" t="s">
        <v>189</v>
      </c>
      <c r="K2049" s="110"/>
      <c r="L2049" s="110"/>
      <c r="M2049" s="110"/>
      <c r="N2049" s="110"/>
      <c r="O2049" s="110"/>
    </row>
    <row r="2050" spans="1:15" s="108" customFormat="1" hidden="1">
      <c r="A2050" s="108" t="str">
        <f t="shared" si="76"/>
        <v>MXSEARSSOUNDBARSound barbarra de sonido</v>
      </c>
      <c r="B2050" s="109" t="str">
        <f t="shared" si="77"/>
        <v>MX_SEARS</v>
      </c>
      <c r="C2050" s="110" t="s">
        <v>329</v>
      </c>
      <c r="D2050" s="110" t="s">
        <v>718</v>
      </c>
      <c r="E2050" s="110" t="s">
        <v>2527</v>
      </c>
      <c r="F2050" s="110" t="s">
        <v>2365</v>
      </c>
      <c r="G2050" s="110" t="s">
        <v>2769</v>
      </c>
      <c r="H2050" s="93" t="e">
        <v>#N/A</v>
      </c>
      <c r="I2050" s="99">
        <v>46076</v>
      </c>
      <c r="J2050" s="83" t="s">
        <v>189</v>
      </c>
      <c r="K2050" s="110"/>
      <c r="L2050" s="110"/>
      <c r="M2050" s="110"/>
      <c r="N2050" s="110"/>
      <c r="O2050" s="110"/>
    </row>
    <row r="2051" spans="1:15" s="108" customFormat="1" hidden="1">
      <c r="A2051" s="108" t="str">
        <f t="shared" si="76"/>
        <v>MXSEARSSOUNDBARSound barsbarras de sonido</v>
      </c>
      <c r="B2051" s="109" t="str">
        <f t="shared" si="77"/>
        <v>MX_SEARS</v>
      </c>
      <c r="C2051" s="110" t="s">
        <v>329</v>
      </c>
      <c r="D2051" s="110" t="s">
        <v>718</v>
      </c>
      <c r="E2051" s="110" t="s">
        <v>2527</v>
      </c>
      <c r="F2051" s="110" t="s">
        <v>2366</v>
      </c>
      <c r="G2051" s="110" t="s">
        <v>3185</v>
      </c>
      <c r="H2051" s="93" t="e">
        <v>#N/A</v>
      </c>
      <c r="I2051" s="99">
        <v>46076</v>
      </c>
      <c r="J2051" s="83" t="s">
        <v>189</v>
      </c>
      <c r="K2051" s="110"/>
      <c r="L2051" s="110"/>
      <c r="M2051" s="110"/>
      <c r="N2051" s="110"/>
      <c r="O2051" s="110"/>
    </row>
    <row r="2052" spans="1:15" s="108" customFormat="1" ht="14.4" hidden="1">
      <c r="A2052" s="108" t="str">
        <f t="shared" si="76"/>
        <v>MXSEARSWIRELESS HEADSETTrue wireless earbudsauriculares verdaderamente inalámbricos</v>
      </c>
      <c r="B2052" s="109" t="str">
        <f t="shared" si="77"/>
        <v>MX_SEARS</v>
      </c>
      <c r="C2052" s="110" t="s">
        <v>329</v>
      </c>
      <c r="D2052" s="110" t="s">
        <v>718</v>
      </c>
      <c r="E2052" s="110" t="s">
        <v>2532</v>
      </c>
      <c r="F2052" s="110" t="s">
        <v>2374</v>
      </c>
      <c r="G2052" s="110" t="s">
        <v>3187</v>
      </c>
      <c r="H2052" s="93" t="e">
        <v>#N/A</v>
      </c>
      <c r="I2052" s="99">
        <v>46076</v>
      </c>
      <c r="J2052" s="83" t="s">
        <v>189</v>
      </c>
      <c r="K2052" s="110"/>
      <c r="L2052" s="110"/>
      <c r="M2052" s="110"/>
      <c r="N2052" s="110"/>
      <c r="O2052" s="110"/>
    </row>
    <row r="2053" spans="1:15" s="108" customFormat="1" hidden="1">
      <c r="A2053" s="108" t="str">
        <f t="shared" si="76"/>
        <v>MXSEARSWIRELESS HEADSETWireless earbudsauriculares inalámbricos</v>
      </c>
      <c r="B2053" s="109" t="str">
        <f t="shared" si="77"/>
        <v>MX_SEARS</v>
      </c>
      <c r="C2053" s="110" t="s">
        <v>329</v>
      </c>
      <c r="D2053" s="110" t="s">
        <v>718</v>
      </c>
      <c r="E2053" s="110" t="s">
        <v>2532</v>
      </c>
      <c r="F2053" s="110" t="s">
        <v>2376</v>
      </c>
      <c r="G2053" s="110" t="s">
        <v>3189</v>
      </c>
      <c r="H2053" s="93" t="e">
        <v>#N/A</v>
      </c>
      <c r="I2053" s="99">
        <v>46076</v>
      </c>
      <c r="J2053" s="83" t="s">
        <v>189</v>
      </c>
      <c r="K2053" s="110"/>
      <c r="L2053" s="110"/>
      <c r="M2053" s="110"/>
      <c r="N2053" s="110"/>
      <c r="O2053" s="110"/>
    </row>
    <row r="2054" spans="1:15" s="108" customFormat="1" hidden="1">
      <c r="A2054" s="108" t="str">
        <f t="shared" si="76"/>
        <v>MXSEARSWIRELESS HEADSETNoise cancelling earbudsauriculares con cancelación de ruido</v>
      </c>
      <c r="B2054" s="109" t="str">
        <f t="shared" si="77"/>
        <v>MX_SEARS</v>
      </c>
      <c r="C2054" s="110" t="s">
        <v>329</v>
      </c>
      <c r="D2054" s="110" t="s">
        <v>718</v>
      </c>
      <c r="E2054" s="110" t="s">
        <v>2532</v>
      </c>
      <c r="F2054" s="110" t="s">
        <v>2378</v>
      </c>
      <c r="G2054" s="110" t="s">
        <v>3191</v>
      </c>
      <c r="H2054" s="93" t="e">
        <v>#N/A</v>
      </c>
      <c r="I2054" s="99">
        <v>46076</v>
      </c>
      <c r="J2054" s="83" t="s">
        <v>189</v>
      </c>
      <c r="K2054" s="110"/>
      <c r="L2054" s="110"/>
      <c r="M2054" s="110"/>
      <c r="N2054" s="110"/>
      <c r="O2054" s="110"/>
    </row>
    <row r="2055" spans="1:15" s="108" customFormat="1" hidden="1">
      <c r="A2055" s="108" t="str">
        <f t="shared" si="76"/>
        <v>MXSEARSWIRELESS HEADSETEar budsauriculares</v>
      </c>
      <c r="B2055" s="109" t="str">
        <f t="shared" si="77"/>
        <v>MX_SEARS</v>
      </c>
      <c r="C2055" s="110" t="s">
        <v>329</v>
      </c>
      <c r="D2055" s="110" t="s">
        <v>718</v>
      </c>
      <c r="E2055" s="110" t="s">
        <v>2532</v>
      </c>
      <c r="F2055" s="110" t="s">
        <v>2380</v>
      </c>
      <c r="G2055" s="110" t="s">
        <v>3193</v>
      </c>
      <c r="H2055" s="93" t="e">
        <v>#N/A</v>
      </c>
      <c r="I2055" s="99">
        <v>46076</v>
      </c>
      <c r="J2055" s="83" t="s">
        <v>189</v>
      </c>
      <c r="K2055" s="110"/>
      <c r="L2055" s="110"/>
      <c r="M2055" s="110"/>
      <c r="N2055" s="110"/>
      <c r="O2055" s="110"/>
    </row>
    <row r="2056" spans="1:15" s="108" customFormat="1" hidden="1">
      <c r="A2056" s="108" t="str">
        <f t="shared" si="76"/>
        <v>MXSEARSWIRELESS HEADSETBluetooth earbudsauriculares bluetooth</v>
      </c>
      <c r="B2056" s="109" t="str">
        <f t="shared" si="77"/>
        <v>MX_SEARS</v>
      </c>
      <c r="C2056" s="110" t="s">
        <v>329</v>
      </c>
      <c r="D2056" s="110" t="s">
        <v>718</v>
      </c>
      <c r="E2056" s="110" t="s">
        <v>2532</v>
      </c>
      <c r="F2056" s="110" t="s">
        <v>2382</v>
      </c>
      <c r="G2056" s="110" t="s">
        <v>3195</v>
      </c>
      <c r="H2056" s="93" t="e">
        <v>#N/A</v>
      </c>
      <c r="I2056" s="99">
        <v>46076</v>
      </c>
      <c r="J2056" s="83" t="s">
        <v>189</v>
      </c>
      <c r="K2056" s="110"/>
      <c r="L2056" s="110"/>
      <c r="M2056" s="110"/>
      <c r="N2056" s="110"/>
      <c r="O2056" s="110"/>
    </row>
    <row r="2057" spans="1:15" s="108" customFormat="1" hidden="1">
      <c r="A2057" s="108" t="str">
        <f t="shared" si="76"/>
        <v>MXSEARSDryerDryersecadora</v>
      </c>
      <c r="B2057" s="109" t="str">
        <f t="shared" si="77"/>
        <v>MX_SEARS</v>
      </c>
      <c r="C2057" s="110" t="s">
        <v>329</v>
      </c>
      <c r="D2057" s="110" t="s">
        <v>718</v>
      </c>
      <c r="E2057" s="110" t="s">
        <v>2535</v>
      </c>
      <c r="F2057" s="110" t="s">
        <v>2431</v>
      </c>
      <c r="G2057" s="110" t="s">
        <v>2620</v>
      </c>
      <c r="H2057" s="93" t="e">
        <v>#N/A</v>
      </c>
      <c r="I2057" s="99">
        <v>46076</v>
      </c>
      <c r="J2057" s="83" t="s">
        <v>189</v>
      </c>
      <c r="K2057" s="110"/>
      <c r="L2057" s="110"/>
      <c r="M2057" s="110"/>
      <c r="N2057" s="110"/>
      <c r="O2057" s="110"/>
    </row>
    <row r="2058" spans="1:15" s="108" customFormat="1" hidden="1">
      <c r="A2058" s="108" t="str">
        <f t="shared" si="76"/>
        <v>MXSEARSDryerheatpump  bomba de calor</v>
      </c>
      <c r="B2058" s="109" t="str">
        <f t="shared" si="77"/>
        <v>MX_SEARS</v>
      </c>
      <c r="C2058" s="110" t="s">
        <v>329</v>
      </c>
      <c r="D2058" s="110" t="s">
        <v>718</v>
      </c>
      <c r="E2058" s="110" t="s">
        <v>2535</v>
      </c>
      <c r="F2058" s="110" t="s">
        <v>2432</v>
      </c>
      <c r="G2058" s="110" t="s">
        <v>2622</v>
      </c>
      <c r="H2058" s="93" t="e">
        <v>#N/A</v>
      </c>
      <c r="I2058" s="99">
        <v>46076</v>
      </c>
      <c r="J2058" s="83" t="s">
        <v>189</v>
      </c>
      <c r="K2058" s="110"/>
      <c r="L2058" s="110"/>
      <c r="M2058" s="110"/>
      <c r="N2058" s="110"/>
      <c r="O2058" s="110"/>
    </row>
    <row r="2059" spans="1:15" s="108" customFormat="1" hidden="1">
      <c r="A2059" s="108" t="str">
        <f t="shared" si="76"/>
        <v>MXSEARSDryerLG Dryersecadora LG</v>
      </c>
      <c r="B2059" s="109" t="str">
        <f t="shared" si="77"/>
        <v>MX_SEARS</v>
      </c>
      <c r="C2059" s="110" t="s">
        <v>329</v>
      </c>
      <c r="D2059" s="110" t="s">
        <v>718</v>
      </c>
      <c r="E2059" s="110" t="s">
        <v>2535</v>
      </c>
      <c r="F2059" s="110" t="s">
        <v>2434</v>
      </c>
      <c r="G2059" s="110" t="s">
        <v>2624</v>
      </c>
      <c r="H2059" s="93" t="e">
        <v>#N/A</v>
      </c>
      <c r="I2059" s="99">
        <v>46076</v>
      </c>
      <c r="J2059" s="83" t="s">
        <v>189</v>
      </c>
      <c r="K2059" s="110"/>
      <c r="L2059" s="110"/>
      <c r="M2059" s="110"/>
      <c r="N2059" s="110"/>
      <c r="O2059" s="110"/>
    </row>
    <row r="2060" spans="1:15" s="121" customFormat="1" hidden="1">
      <c r="A2060" s="75" t="str">
        <f t="shared" si="76"/>
        <v>MYSENHENGAIR CLEANERAir purifierAir purifier</v>
      </c>
      <c r="B2060" s="94" t="str">
        <f t="shared" si="77"/>
        <v>MY_SENHENG</v>
      </c>
      <c r="C2060" s="93" t="s">
        <v>386</v>
      </c>
      <c r="D2060" s="93" t="s">
        <v>387</v>
      </c>
      <c r="E2060" s="93" t="s">
        <v>167</v>
      </c>
      <c r="F2060" s="93" t="s">
        <v>3220</v>
      </c>
      <c r="G2060" s="93" t="s">
        <v>3220</v>
      </c>
      <c r="H2060" s="93" t="e">
        <v>#N/A</v>
      </c>
      <c r="I2060" s="105" t="s">
        <v>2310</v>
      </c>
      <c r="J2060" s="93" t="s">
        <v>189</v>
      </c>
      <c r="K2060" s="93">
        <v>875</v>
      </c>
      <c r="L2060" s="93">
        <v>875</v>
      </c>
      <c r="M2060" s="93" t="s">
        <v>2311</v>
      </c>
      <c r="N2060" s="93" t="e">
        <f>VLOOKUP(B2060,'[16]01.수집 카테고리(List)'!$A$2:$H$64,8,FALSE)</f>
        <v>#N/A</v>
      </c>
      <c r="O2060" s="93"/>
    </row>
    <row r="2061" spans="1:15" s="121" customFormat="1" hidden="1">
      <c r="A2061" s="75" t="str">
        <f t="shared" si="76"/>
        <v>MYSENHENGBLUETOOTH SPEAKERbluetooth earbudsBluetooth earbuds</v>
      </c>
      <c r="B2061" s="94" t="str">
        <f t="shared" si="77"/>
        <v>MY_SENHENG</v>
      </c>
      <c r="C2061" s="93" t="s">
        <v>386</v>
      </c>
      <c r="D2061" s="93" t="s">
        <v>387</v>
      </c>
      <c r="E2061" s="93" t="s">
        <v>3221</v>
      </c>
      <c r="F2061" s="93" t="s">
        <v>2909</v>
      </c>
      <c r="G2061" s="93" t="s">
        <v>2382</v>
      </c>
      <c r="H2061" s="93" t="e">
        <v>#N/A</v>
      </c>
      <c r="I2061" s="105" t="s">
        <v>2310</v>
      </c>
      <c r="J2061" s="93" t="s">
        <v>189</v>
      </c>
      <c r="K2061" s="93">
        <v>57</v>
      </c>
      <c r="L2061" s="93">
        <v>57</v>
      </c>
      <c r="M2061" s="93" t="s">
        <v>2311</v>
      </c>
      <c r="N2061" s="93" t="e">
        <f>VLOOKUP(B2061,'[16]01.수집 카테고리(List)'!$A$2:$H$64,8,FALSE)</f>
        <v>#N/A</v>
      </c>
      <c r="O2061" s="93"/>
    </row>
    <row r="2062" spans="1:15" s="121" customFormat="1" hidden="1">
      <c r="A2062" s="75" t="str">
        <f t="shared" si="76"/>
        <v>MYSENHENGBLUETOOTH SPEAKERBluetooth speakersBluetooth speakers</v>
      </c>
      <c r="B2062" s="94" t="str">
        <f t="shared" si="77"/>
        <v>MY_SENHENG</v>
      </c>
      <c r="C2062" s="93" t="s">
        <v>386</v>
      </c>
      <c r="D2062" s="93" t="s">
        <v>387</v>
      </c>
      <c r="E2062" s="93" t="s">
        <v>3221</v>
      </c>
      <c r="F2062" s="93" t="s">
        <v>2425</v>
      </c>
      <c r="G2062" s="93" t="s">
        <v>2425</v>
      </c>
      <c r="H2062" s="93" t="e">
        <v>#N/A</v>
      </c>
      <c r="I2062" s="105" t="s">
        <v>2310</v>
      </c>
      <c r="J2062" s="93" t="s">
        <v>189</v>
      </c>
      <c r="K2062" s="93">
        <v>2</v>
      </c>
      <c r="L2062" s="93">
        <v>2</v>
      </c>
      <c r="M2062" s="93" t="s">
        <v>2311</v>
      </c>
      <c r="N2062" s="93" t="e">
        <f>VLOOKUP(B2062,'[16]01.수집 카테고리(List)'!$A$2:$H$64,8,FALSE)</f>
        <v>#N/A</v>
      </c>
      <c r="O2062" s="93"/>
    </row>
    <row r="2063" spans="1:15" s="121" customFormat="1" hidden="1">
      <c r="A2063" s="75" t="str">
        <f t="shared" si="76"/>
        <v>MYSENHENGBLUETOOTH SPEAKERHome speakersHome speakers</v>
      </c>
      <c r="B2063" s="94" t="str">
        <f t="shared" si="77"/>
        <v>MY_SENHENG</v>
      </c>
      <c r="C2063" s="93" t="s">
        <v>386</v>
      </c>
      <c r="D2063" s="93" t="s">
        <v>387</v>
      </c>
      <c r="E2063" s="93" t="s">
        <v>3221</v>
      </c>
      <c r="F2063" s="93" t="s">
        <v>3222</v>
      </c>
      <c r="G2063" s="93" t="s">
        <v>3222</v>
      </c>
      <c r="H2063" s="93" t="e">
        <v>#N/A</v>
      </c>
      <c r="I2063" s="105" t="s">
        <v>2310</v>
      </c>
      <c r="J2063" s="93" t="s">
        <v>189</v>
      </c>
      <c r="K2063" s="93">
        <v>497</v>
      </c>
      <c r="L2063" s="93">
        <v>497</v>
      </c>
      <c r="M2063" s="93" t="s">
        <v>2311</v>
      </c>
      <c r="N2063" s="93" t="e">
        <f>VLOOKUP(B2063,'[16]01.수집 카테고리(List)'!$A$2:$H$64,8,FALSE)</f>
        <v>#N/A</v>
      </c>
      <c r="O2063" s="93"/>
    </row>
    <row r="2064" spans="1:15" s="121" customFormat="1" hidden="1">
      <c r="A2064" s="75" t="str">
        <f t="shared" si="76"/>
        <v>MYSENHENGBLUETOOTH SPEAKERPortable speakersPortable speakers</v>
      </c>
      <c r="B2064" s="94" t="str">
        <f t="shared" si="77"/>
        <v>MY_SENHENG</v>
      </c>
      <c r="C2064" s="93" t="s">
        <v>386</v>
      </c>
      <c r="D2064" s="93" t="s">
        <v>387</v>
      </c>
      <c r="E2064" s="93" t="s">
        <v>3221</v>
      </c>
      <c r="F2064" s="93" t="s">
        <v>2427</v>
      </c>
      <c r="G2064" s="93" t="s">
        <v>2427</v>
      </c>
      <c r="H2064" s="93" t="e">
        <v>#N/A</v>
      </c>
      <c r="I2064" s="105" t="s">
        <v>2310</v>
      </c>
      <c r="J2064" s="93" t="s">
        <v>189</v>
      </c>
      <c r="K2064" s="93">
        <v>4</v>
      </c>
      <c r="L2064" s="93">
        <v>4</v>
      </c>
      <c r="M2064" s="93" t="s">
        <v>2311</v>
      </c>
      <c r="N2064" s="93" t="e">
        <f>VLOOKUP(B2064,'[16]01.수집 카테고리(List)'!$A$2:$H$64,8,FALSE)</f>
        <v>#N/A</v>
      </c>
      <c r="O2064" s="93"/>
    </row>
    <row r="2065" spans="1:15" s="121" customFormat="1" hidden="1">
      <c r="A2065" s="75" t="str">
        <f t="shared" si="76"/>
        <v>MYSENHENGBLUETOOTH SPEAKERWireless &amp; Bluetooth SpeakersWireless &amp; Bluetooth Speakers</v>
      </c>
      <c r="B2065" s="94" t="str">
        <f t="shared" si="77"/>
        <v>MY_SENHENG</v>
      </c>
      <c r="C2065" s="93" t="s">
        <v>386</v>
      </c>
      <c r="D2065" s="93" t="s">
        <v>387</v>
      </c>
      <c r="E2065" s="93" t="s">
        <v>3221</v>
      </c>
      <c r="F2065" s="93" t="s">
        <v>3223</v>
      </c>
      <c r="G2065" s="93" t="s">
        <v>3223</v>
      </c>
      <c r="H2065" s="93" t="e">
        <v>#N/A</v>
      </c>
      <c r="I2065" s="105" t="s">
        <v>2310</v>
      </c>
      <c r="J2065" s="93" t="s">
        <v>189</v>
      </c>
      <c r="K2065" s="93">
        <v>3484</v>
      </c>
      <c r="L2065" s="93">
        <v>3484</v>
      </c>
      <c r="M2065" s="93" t="s">
        <v>2311</v>
      </c>
      <c r="N2065" s="93" t="e">
        <f>VLOOKUP(B2065,'[16]01.수집 카테고리(List)'!$A$2:$H$64,8,FALSE)</f>
        <v>#N/A</v>
      </c>
      <c r="O2065" s="93"/>
    </row>
    <row r="2066" spans="1:15" s="121" customFormat="1" hidden="1">
      <c r="A2066" s="75" t="str">
        <f t="shared" si="76"/>
        <v>MYSENHENGRefrigeratorbottom freezer refrigeratorbottom freezer refrigerator</v>
      </c>
      <c r="B2066" s="94" t="str">
        <f t="shared" si="77"/>
        <v>MY_SENHENG</v>
      </c>
      <c r="C2066" s="93" t="s">
        <v>386</v>
      </c>
      <c r="D2066" s="93" t="s">
        <v>387</v>
      </c>
      <c r="E2066" s="93" t="s">
        <v>2326</v>
      </c>
      <c r="F2066" s="93" t="s">
        <v>2327</v>
      </c>
      <c r="G2066" s="93" t="s">
        <v>2327</v>
      </c>
      <c r="H2066" s="93" t="e">
        <v>#N/A</v>
      </c>
      <c r="I2066" s="105" t="s">
        <v>2310</v>
      </c>
      <c r="J2066" s="93" t="s">
        <v>189</v>
      </c>
      <c r="K2066" s="93">
        <v>4</v>
      </c>
      <c r="L2066" s="93">
        <v>4</v>
      </c>
      <c r="M2066" s="93" t="s">
        <v>2311</v>
      </c>
      <c r="N2066" s="93" t="e">
        <f>VLOOKUP(B2066,'[16]01.수집 카테고리(List)'!$A$2:$H$64,8,FALSE)</f>
        <v>#N/A</v>
      </c>
      <c r="O2066" s="93"/>
    </row>
    <row r="2067" spans="1:15" s="121" customFormat="1" hidden="1">
      <c r="A2067" s="75" t="str">
        <f t="shared" si="76"/>
        <v>MYSENHENGRefrigeratorfrench door refrigeratorfrench door refrigerator</v>
      </c>
      <c r="B2067" s="94" t="str">
        <f t="shared" si="77"/>
        <v>MY_SENHENG</v>
      </c>
      <c r="C2067" s="93" t="s">
        <v>386</v>
      </c>
      <c r="D2067" s="93" t="s">
        <v>387</v>
      </c>
      <c r="E2067" s="93" t="s">
        <v>2326</v>
      </c>
      <c r="F2067" s="93" t="s">
        <v>2328</v>
      </c>
      <c r="G2067" s="93" t="s">
        <v>2328</v>
      </c>
      <c r="H2067" s="93" t="e">
        <v>#N/A</v>
      </c>
      <c r="I2067" s="105" t="s">
        <v>2310</v>
      </c>
      <c r="J2067" s="93" t="s">
        <v>189</v>
      </c>
      <c r="K2067" s="93">
        <v>15</v>
      </c>
      <c r="L2067" s="93">
        <v>15</v>
      </c>
      <c r="M2067" s="93" t="s">
        <v>2311</v>
      </c>
      <c r="N2067" s="93" t="e">
        <f>VLOOKUP(B2067,'[16]01.수집 카테고리(List)'!$A$2:$H$64,8,FALSE)</f>
        <v>#N/A</v>
      </c>
      <c r="O2067" s="93"/>
    </row>
    <row r="2068" spans="1:15" s="121" customFormat="1" hidden="1">
      <c r="A2068" s="75" t="str">
        <f t="shared" si="76"/>
        <v>MYSENHENGRefrigeratorrefrigeratorrefrigerator</v>
      </c>
      <c r="B2068" s="94" t="str">
        <f t="shared" si="77"/>
        <v>MY_SENHENG</v>
      </c>
      <c r="C2068" s="93" t="s">
        <v>386</v>
      </c>
      <c r="D2068" s="93" t="s">
        <v>387</v>
      </c>
      <c r="E2068" s="93" t="s">
        <v>2326</v>
      </c>
      <c r="F2068" s="93" t="s">
        <v>2329</v>
      </c>
      <c r="G2068" s="93" t="s">
        <v>2329</v>
      </c>
      <c r="H2068" s="93" t="e">
        <v>#N/A</v>
      </c>
      <c r="I2068" s="105" t="s">
        <v>2310</v>
      </c>
      <c r="J2068" s="93" t="s">
        <v>189</v>
      </c>
      <c r="K2068" s="93">
        <v>228</v>
      </c>
      <c r="L2068" s="93">
        <v>228</v>
      </c>
      <c r="M2068" s="93" t="s">
        <v>2311</v>
      </c>
      <c r="N2068" s="93" t="e">
        <f>VLOOKUP(B2068,'[16]01.수집 카테고리(List)'!$A$2:$H$64,8,FALSE)</f>
        <v>#N/A</v>
      </c>
      <c r="O2068" s="93"/>
    </row>
    <row r="2069" spans="1:15" s="121" customFormat="1" hidden="1">
      <c r="A2069" s="75" t="str">
        <f t="shared" si="76"/>
        <v>MYSENHENGRefrigeratorside by side refrigeratorside by side refrigerator</v>
      </c>
      <c r="B2069" s="94" t="str">
        <f t="shared" si="77"/>
        <v>MY_SENHENG</v>
      </c>
      <c r="C2069" s="93" t="s">
        <v>386</v>
      </c>
      <c r="D2069" s="93" t="s">
        <v>387</v>
      </c>
      <c r="E2069" s="93" t="s">
        <v>2326</v>
      </c>
      <c r="F2069" s="93" t="s">
        <v>2330</v>
      </c>
      <c r="G2069" s="93" t="s">
        <v>2330</v>
      </c>
      <c r="H2069" s="93" t="e">
        <v>#N/A</v>
      </c>
      <c r="I2069" s="105" t="s">
        <v>2310</v>
      </c>
      <c r="J2069" s="93" t="s">
        <v>189</v>
      </c>
      <c r="K2069" s="93">
        <v>39</v>
      </c>
      <c r="L2069" s="93">
        <v>39</v>
      </c>
      <c r="M2069" s="93" t="s">
        <v>2311</v>
      </c>
      <c r="N2069" s="93" t="e">
        <f>VLOOKUP(B2069,'[16]01.수집 카테고리(List)'!$A$2:$H$64,8,FALSE)</f>
        <v>#N/A</v>
      </c>
      <c r="O2069" s="93"/>
    </row>
    <row r="2070" spans="1:15" s="121" customFormat="1" hidden="1">
      <c r="A2070" s="75" t="str">
        <f t="shared" si="76"/>
        <v>MYSENHENGRefrigeratortop freezer refrigeratortop freezer refrigerator</v>
      </c>
      <c r="B2070" s="94" t="str">
        <f t="shared" si="77"/>
        <v>MY_SENHENG</v>
      </c>
      <c r="C2070" s="93" t="s">
        <v>386</v>
      </c>
      <c r="D2070" s="93" t="s">
        <v>387</v>
      </c>
      <c r="E2070" s="93" t="s">
        <v>2326</v>
      </c>
      <c r="F2070" s="93" t="s">
        <v>2332</v>
      </c>
      <c r="G2070" s="93" t="s">
        <v>2332</v>
      </c>
      <c r="H2070" s="93" t="e">
        <v>#N/A</v>
      </c>
      <c r="I2070" s="105" t="s">
        <v>2310</v>
      </c>
      <c r="J2070" s="93" t="s">
        <v>189</v>
      </c>
      <c r="K2070" s="93">
        <v>22</v>
      </c>
      <c r="L2070" s="93">
        <v>22</v>
      </c>
      <c r="M2070" s="93" t="s">
        <v>2311</v>
      </c>
      <c r="N2070" s="93" t="e">
        <f>VLOOKUP(B2070,'[16]01.수집 카테고리(List)'!$A$2:$H$64,8,FALSE)</f>
        <v>#N/A</v>
      </c>
      <c r="O2070" s="93"/>
    </row>
    <row r="2071" spans="1:15" s="121" customFormat="1" hidden="1">
      <c r="A2071" s="75" t="str">
        <f t="shared" si="76"/>
        <v>MYSENHENGSOUNDBARAudio systemAudio system</v>
      </c>
      <c r="B2071" s="94" t="str">
        <f t="shared" si="77"/>
        <v>MY_SENHENG</v>
      </c>
      <c r="C2071" s="93" t="s">
        <v>386</v>
      </c>
      <c r="D2071" s="93" t="s">
        <v>387</v>
      </c>
      <c r="E2071" s="93" t="s">
        <v>165</v>
      </c>
      <c r="F2071" s="93" t="s">
        <v>3224</v>
      </c>
      <c r="G2071" s="93" t="s">
        <v>3224</v>
      </c>
      <c r="H2071" s="93" t="e">
        <v>#N/A</v>
      </c>
      <c r="I2071" s="105" t="s">
        <v>2310</v>
      </c>
      <c r="J2071" s="93" t="s">
        <v>189</v>
      </c>
      <c r="K2071" s="93">
        <v>544</v>
      </c>
      <c r="L2071" s="93">
        <v>544</v>
      </c>
      <c r="M2071" s="93" t="s">
        <v>2311</v>
      </c>
      <c r="N2071" s="93" t="e">
        <f>VLOOKUP(B2071,'[16]01.수집 카테고리(List)'!$A$2:$H$64,8,FALSE)</f>
        <v>#N/A</v>
      </c>
      <c r="O2071" s="93"/>
    </row>
    <row r="2072" spans="1:15" s="121" customFormat="1" hidden="1">
      <c r="A2072" s="75" t="str">
        <f t="shared" si="76"/>
        <v>MYSENHENGSOUNDBARsound barbar bunyi</v>
      </c>
      <c r="B2072" s="94" t="str">
        <f t="shared" si="77"/>
        <v>MY_SENHENG</v>
      </c>
      <c r="C2072" s="93" t="s">
        <v>386</v>
      </c>
      <c r="D2072" s="93" t="s">
        <v>387</v>
      </c>
      <c r="E2072" s="93" t="s">
        <v>165</v>
      </c>
      <c r="F2072" s="93" t="s">
        <v>2529</v>
      </c>
      <c r="G2072" s="93" t="s">
        <v>3225</v>
      </c>
      <c r="H2072" s="93" t="e">
        <v>#N/A</v>
      </c>
      <c r="I2072" s="105" t="s">
        <v>2310</v>
      </c>
      <c r="J2072" s="93" t="s">
        <v>189</v>
      </c>
      <c r="K2072" s="93">
        <v>1</v>
      </c>
      <c r="L2072" s="93">
        <v>15</v>
      </c>
      <c r="M2072" s="93" t="s">
        <v>2311</v>
      </c>
      <c r="N2072" s="93" t="e">
        <f>VLOOKUP(B2072,'[16]01.수집 카테고리(List)'!$A$2:$H$64,8,FALSE)</f>
        <v>#N/A</v>
      </c>
      <c r="O2072" s="93"/>
    </row>
    <row r="2073" spans="1:15" s="121" customFormat="1" hidden="1">
      <c r="A2073" s="75" t="str">
        <f t="shared" si="76"/>
        <v>MYSENHENGSOUNDBARHi-fiHi-fi</v>
      </c>
      <c r="B2073" s="94" t="str">
        <f t="shared" si="77"/>
        <v>MY_SENHENG</v>
      </c>
      <c r="C2073" s="93" t="s">
        <v>386</v>
      </c>
      <c r="D2073" s="93" t="s">
        <v>387</v>
      </c>
      <c r="E2073" s="93" t="s">
        <v>165</v>
      </c>
      <c r="F2073" s="93" t="s">
        <v>3226</v>
      </c>
      <c r="G2073" s="93" t="s">
        <v>3226</v>
      </c>
      <c r="H2073" s="93" t="e">
        <v>#N/A</v>
      </c>
      <c r="I2073" s="105" t="s">
        <v>2310</v>
      </c>
      <c r="J2073" s="93" t="s">
        <v>189</v>
      </c>
      <c r="K2073" s="93">
        <v>57</v>
      </c>
      <c r="L2073" s="93">
        <v>57</v>
      </c>
      <c r="M2073" s="93" t="s">
        <v>2311</v>
      </c>
      <c r="N2073" s="93" t="e">
        <f>VLOOKUP(B2073,'[16]01.수집 카테고리(List)'!$A$2:$H$64,8,FALSE)</f>
        <v>#N/A</v>
      </c>
      <c r="O2073" s="93"/>
    </row>
    <row r="2074" spans="1:15" s="121" customFormat="1" hidden="1">
      <c r="A2074" s="75" t="str">
        <f t="shared" si="76"/>
        <v>MYSENHENGSOUNDBARhome theaterkit teater rumah</v>
      </c>
      <c r="B2074" s="94" t="str">
        <f t="shared" si="77"/>
        <v>MY_SENHENG</v>
      </c>
      <c r="C2074" s="93" t="s">
        <v>386</v>
      </c>
      <c r="D2074" s="93" t="s">
        <v>387</v>
      </c>
      <c r="E2074" s="93" t="s">
        <v>165</v>
      </c>
      <c r="F2074" s="93" t="s">
        <v>3227</v>
      </c>
      <c r="G2074" s="93" t="s">
        <v>3228</v>
      </c>
      <c r="H2074" s="93" t="e">
        <v>#N/A</v>
      </c>
      <c r="I2074" s="105" t="s">
        <v>2310</v>
      </c>
      <c r="J2074" s="93" t="s">
        <v>189</v>
      </c>
      <c r="K2074" s="93">
        <v>1</v>
      </c>
      <c r="L2074" s="93" t="e">
        <v>#N/A</v>
      </c>
      <c r="M2074" s="93" t="s">
        <v>2311</v>
      </c>
      <c r="N2074" s="93" t="e">
        <f>VLOOKUP(B2074,'[16]01.수집 카테고리(List)'!$A$2:$H$64,8,FALSE)</f>
        <v>#N/A</v>
      </c>
      <c r="O2074" s="93"/>
    </row>
    <row r="2075" spans="1:15" s="121" customFormat="1" hidden="1">
      <c r="A2075" s="75" t="str">
        <f t="shared" si="76"/>
        <v>MYSENHENGSOUNDBARSound systemSound system</v>
      </c>
      <c r="B2075" s="94" t="str">
        <f t="shared" si="77"/>
        <v>MY_SENHENG</v>
      </c>
      <c r="C2075" s="93" t="s">
        <v>386</v>
      </c>
      <c r="D2075" s="93" t="s">
        <v>387</v>
      </c>
      <c r="E2075" s="93" t="s">
        <v>165</v>
      </c>
      <c r="F2075" s="93" t="s">
        <v>2359</v>
      </c>
      <c r="G2075" s="93" t="s">
        <v>2359</v>
      </c>
      <c r="H2075" s="93" t="e">
        <v>#N/A</v>
      </c>
      <c r="I2075" s="105" t="s">
        <v>2310</v>
      </c>
      <c r="J2075" s="93" t="s">
        <v>189</v>
      </c>
      <c r="K2075" s="93">
        <v>2</v>
      </c>
      <c r="L2075" s="93">
        <v>2</v>
      </c>
      <c r="M2075" s="93" t="s">
        <v>2311</v>
      </c>
      <c r="N2075" s="93" t="e">
        <f>VLOOKUP(B2075,'[16]01.수집 카테고리(List)'!$A$2:$H$64,8,FALSE)</f>
        <v>#N/A</v>
      </c>
      <c r="O2075" s="93"/>
    </row>
    <row r="2076" spans="1:15" s="121" customFormat="1" hidden="1">
      <c r="A2076" s="75" t="str">
        <f t="shared" si="76"/>
        <v>MYSENHENGTV4k TV4k TV</v>
      </c>
      <c r="B2076" s="94" t="str">
        <f t="shared" si="77"/>
        <v>MY_SENHENG</v>
      </c>
      <c r="C2076" s="93" t="s">
        <v>386</v>
      </c>
      <c r="D2076" s="93" t="s">
        <v>387</v>
      </c>
      <c r="E2076" s="93" t="s">
        <v>161</v>
      </c>
      <c r="F2076" s="93" t="s">
        <v>2368</v>
      </c>
      <c r="G2076" s="93" t="s">
        <v>2368</v>
      </c>
      <c r="H2076" s="93" t="e">
        <v>#N/A</v>
      </c>
      <c r="I2076" s="105" t="s">
        <v>2310</v>
      </c>
      <c r="J2076" s="93" t="s">
        <v>189</v>
      </c>
      <c r="K2076" s="93">
        <v>157</v>
      </c>
      <c r="L2076" s="93">
        <v>157</v>
      </c>
      <c r="M2076" s="93" t="s">
        <v>2311</v>
      </c>
      <c r="N2076" s="93" t="e">
        <f>VLOOKUP(B2076,'[16]01.수집 카테고리(List)'!$A$2:$H$64,8,FALSE)</f>
        <v>#N/A</v>
      </c>
      <c r="O2076" s="93"/>
    </row>
    <row r="2077" spans="1:15" s="121" customFormat="1" hidden="1">
      <c r="A2077" s="75" t="str">
        <f t="shared" si="76"/>
        <v>MYSENHENGTVoled TVoled TV</v>
      </c>
      <c r="B2077" s="94" t="str">
        <f t="shared" si="77"/>
        <v>MY_SENHENG</v>
      </c>
      <c r="C2077" s="93" t="s">
        <v>386</v>
      </c>
      <c r="D2077" s="93" t="s">
        <v>387</v>
      </c>
      <c r="E2077" s="93" t="s">
        <v>161</v>
      </c>
      <c r="F2077" s="93" t="s">
        <v>2369</v>
      </c>
      <c r="G2077" s="93" t="s">
        <v>2369</v>
      </c>
      <c r="H2077" s="93" t="e">
        <v>#N/A</v>
      </c>
      <c r="I2077" s="105" t="s">
        <v>2310</v>
      </c>
      <c r="J2077" s="93" t="s">
        <v>189</v>
      </c>
      <c r="K2077" s="93">
        <v>18</v>
      </c>
      <c r="L2077" s="93">
        <v>18</v>
      </c>
      <c r="M2077" s="93" t="s">
        <v>2311</v>
      </c>
      <c r="N2077" s="93" t="e">
        <f>VLOOKUP(B2077,'[16]01.수집 카테고리(List)'!$A$2:$H$64,8,FALSE)</f>
        <v>#N/A</v>
      </c>
      <c r="O2077" s="93"/>
    </row>
    <row r="2078" spans="1:15" s="121" customFormat="1" hidden="1">
      <c r="A2078" s="75" t="str">
        <f t="shared" si="76"/>
        <v>MYSENHENGTVsmart TVsmart TV</v>
      </c>
      <c r="B2078" s="94" t="str">
        <f t="shared" si="77"/>
        <v>MY_SENHENG</v>
      </c>
      <c r="C2078" s="93" t="s">
        <v>386</v>
      </c>
      <c r="D2078" s="93" t="s">
        <v>387</v>
      </c>
      <c r="E2078" s="93" t="s">
        <v>161</v>
      </c>
      <c r="F2078" s="93" t="s">
        <v>2371</v>
      </c>
      <c r="G2078" s="93" t="s">
        <v>2371</v>
      </c>
      <c r="H2078" s="93" t="e">
        <v>#N/A</v>
      </c>
      <c r="I2078" s="105" t="s">
        <v>2310</v>
      </c>
      <c r="J2078" s="93" t="s">
        <v>189</v>
      </c>
      <c r="K2078" s="93">
        <v>156</v>
      </c>
      <c r="L2078" s="93">
        <v>156</v>
      </c>
      <c r="M2078" s="93" t="s">
        <v>2311</v>
      </c>
      <c r="N2078" s="93" t="e">
        <f>VLOOKUP(B2078,'[16]01.수집 카테고리(List)'!$A$2:$H$64,8,FALSE)</f>
        <v>#N/A</v>
      </c>
      <c r="O2078" s="93"/>
    </row>
    <row r="2079" spans="1:15" s="121" customFormat="1" hidden="1">
      <c r="A2079" s="75" t="str">
        <f t="shared" si="76"/>
        <v>MYSENHENGTVTVTV</v>
      </c>
      <c r="B2079" s="94" t="str">
        <f t="shared" si="77"/>
        <v>MY_SENHENG</v>
      </c>
      <c r="C2079" s="93" t="s">
        <v>386</v>
      </c>
      <c r="D2079" s="93" t="s">
        <v>387</v>
      </c>
      <c r="E2079" s="93" t="s">
        <v>161</v>
      </c>
      <c r="F2079" s="93" t="s">
        <v>161</v>
      </c>
      <c r="G2079" s="93" t="s">
        <v>161</v>
      </c>
      <c r="H2079" s="93" t="e">
        <v>#N/A</v>
      </c>
      <c r="I2079" s="105" t="s">
        <v>2310</v>
      </c>
      <c r="J2079" s="93" t="s">
        <v>189</v>
      </c>
      <c r="K2079" s="93">
        <v>1183</v>
      </c>
      <c r="L2079" s="93">
        <v>1183</v>
      </c>
      <c r="M2079" s="93" t="s">
        <v>2311</v>
      </c>
      <c r="N2079" s="93" t="e">
        <f>VLOOKUP(B2079,'[16]01.수집 카테고리(List)'!$A$2:$H$64,8,FALSE)</f>
        <v>#N/A</v>
      </c>
      <c r="O2079" s="93"/>
    </row>
    <row r="2080" spans="1:15" s="121" customFormat="1" hidden="1">
      <c r="A2080" s="75" t="str">
        <f t="shared" si="76"/>
        <v>MYSENHENGTVuhd TVuhd TV</v>
      </c>
      <c r="B2080" s="94" t="str">
        <f t="shared" si="77"/>
        <v>MY_SENHENG</v>
      </c>
      <c r="C2080" s="93" t="s">
        <v>386</v>
      </c>
      <c r="D2080" s="93" t="s">
        <v>387</v>
      </c>
      <c r="E2080" s="93" t="s">
        <v>161</v>
      </c>
      <c r="F2080" s="93" t="s">
        <v>2399</v>
      </c>
      <c r="G2080" s="93" t="s">
        <v>2399</v>
      </c>
      <c r="H2080" s="93" t="e">
        <v>#N/A</v>
      </c>
      <c r="I2080" s="105" t="s">
        <v>2310</v>
      </c>
      <c r="J2080" s="93" t="s">
        <v>189</v>
      </c>
      <c r="K2080" s="93">
        <v>79</v>
      </c>
      <c r="L2080" s="93">
        <v>79</v>
      </c>
      <c r="M2080" s="93" t="s">
        <v>2311</v>
      </c>
      <c r="N2080" s="93" t="e">
        <f>VLOOKUP(B2080,'[16]01.수집 카테고리(List)'!$A$2:$H$64,8,FALSE)</f>
        <v>#N/A</v>
      </c>
      <c r="O2080" s="93"/>
    </row>
    <row r="2081" spans="1:15" s="121" customFormat="1" hidden="1">
      <c r="A2081" s="75" t="str">
        <f t="shared" si="76"/>
        <v>MYSENHENGWashing Machinefront loaderfront load</v>
      </c>
      <c r="B2081" s="94" t="str">
        <f t="shared" si="77"/>
        <v>MY_SENHENG</v>
      </c>
      <c r="C2081" s="93" t="s">
        <v>386</v>
      </c>
      <c r="D2081" s="93" t="s">
        <v>387</v>
      </c>
      <c r="E2081" s="93" t="s">
        <v>2333</v>
      </c>
      <c r="F2081" s="93" t="s">
        <v>2334</v>
      </c>
      <c r="G2081" s="93" t="s">
        <v>2991</v>
      </c>
      <c r="H2081" s="93" t="e">
        <v>#N/A</v>
      </c>
      <c r="I2081" s="105" t="s">
        <v>2310</v>
      </c>
      <c r="J2081" s="93" t="s">
        <v>189</v>
      </c>
      <c r="K2081" s="93">
        <v>1013</v>
      </c>
      <c r="L2081" s="93" t="e">
        <v>#N/A</v>
      </c>
      <c r="M2081" s="93" t="s">
        <v>2311</v>
      </c>
      <c r="N2081" s="93" t="e">
        <f>VLOOKUP(B2081,'[16]01.수집 카테고리(List)'!$A$2:$H$64,8,FALSE)</f>
        <v>#N/A</v>
      </c>
      <c r="O2081" s="93"/>
    </row>
    <row r="2082" spans="1:15" s="121" customFormat="1" hidden="1">
      <c r="A2082" s="75" t="str">
        <f t="shared" si="76"/>
        <v>MYSENHENGWashing Machinetop loadertop load</v>
      </c>
      <c r="B2082" s="94" t="str">
        <f t="shared" si="77"/>
        <v>MY_SENHENG</v>
      </c>
      <c r="C2082" s="93" t="s">
        <v>386</v>
      </c>
      <c r="D2082" s="93" t="s">
        <v>387</v>
      </c>
      <c r="E2082" s="93" t="s">
        <v>2333</v>
      </c>
      <c r="F2082" s="93" t="s">
        <v>2336</v>
      </c>
      <c r="G2082" s="93" t="s">
        <v>2993</v>
      </c>
      <c r="H2082" s="93" t="e">
        <v>#N/A</v>
      </c>
      <c r="I2082" s="105" t="s">
        <v>2310</v>
      </c>
      <c r="J2082" s="93" t="s">
        <v>189</v>
      </c>
      <c r="K2082" s="93">
        <v>1720</v>
      </c>
      <c r="L2082" s="93" t="e">
        <v>#N/A</v>
      </c>
      <c r="M2082" s="93" t="s">
        <v>2311</v>
      </c>
      <c r="N2082" s="93" t="e">
        <f>VLOOKUP(B2082,'[16]01.수집 카테고리(List)'!$A$2:$H$64,8,FALSE)</f>
        <v>#N/A</v>
      </c>
      <c r="O2082" s="93"/>
    </row>
    <row r="2083" spans="1:15" s="121" customFormat="1" hidden="1">
      <c r="A2083" s="75" t="str">
        <f t="shared" si="76"/>
        <v>MYSENHENGWashing Machinewasher dryer combowasher dryer</v>
      </c>
      <c r="B2083" s="94" t="str">
        <f t="shared" si="77"/>
        <v>MY_SENHENG</v>
      </c>
      <c r="C2083" s="93" t="s">
        <v>386</v>
      </c>
      <c r="D2083" s="93" t="s">
        <v>387</v>
      </c>
      <c r="E2083" s="93" t="s">
        <v>2333</v>
      </c>
      <c r="F2083" s="93" t="s">
        <v>2338</v>
      </c>
      <c r="G2083" s="93" t="s">
        <v>2339</v>
      </c>
      <c r="H2083" s="93" t="e">
        <v>#N/A</v>
      </c>
      <c r="I2083" s="105" t="s">
        <v>2310</v>
      </c>
      <c r="J2083" s="93" t="s">
        <v>189</v>
      </c>
      <c r="K2083" s="93">
        <v>866</v>
      </c>
      <c r="L2083" s="93">
        <v>15</v>
      </c>
      <c r="M2083" s="93" t="s">
        <v>2311</v>
      </c>
      <c r="N2083" s="93" t="e">
        <f>VLOOKUP(B2083,'[16]01.수집 카테고리(List)'!$A$2:$H$64,8,FALSE)</f>
        <v>#N/A</v>
      </c>
      <c r="O2083" s="93"/>
    </row>
    <row r="2084" spans="1:15" s="121" customFormat="1" hidden="1">
      <c r="A2084" s="75" t="str">
        <f t="shared" si="76"/>
        <v>MYSENHENGWashing Machinewashing machinewashing machine</v>
      </c>
      <c r="B2084" s="94" t="str">
        <f t="shared" si="77"/>
        <v>MY_SENHENG</v>
      </c>
      <c r="C2084" s="93" t="s">
        <v>386</v>
      </c>
      <c r="D2084" s="93" t="s">
        <v>387</v>
      </c>
      <c r="E2084" s="93" t="s">
        <v>2333</v>
      </c>
      <c r="F2084" s="93" t="s">
        <v>2340</v>
      </c>
      <c r="G2084" s="93" t="s">
        <v>2340</v>
      </c>
      <c r="H2084" s="93" t="e">
        <v>#N/A</v>
      </c>
      <c r="I2084" s="105" t="s">
        <v>2310</v>
      </c>
      <c r="J2084" s="93" t="s">
        <v>189</v>
      </c>
      <c r="K2084" s="93">
        <v>2351</v>
      </c>
      <c r="L2084" s="93">
        <v>2351</v>
      </c>
      <c r="M2084" s="93" t="s">
        <v>2311</v>
      </c>
      <c r="N2084" s="93" t="e">
        <f>VLOOKUP(B2084,'[16]01.수집 카테고리(List)'!$A$2:$H$64,8,FALSE)</f>
        <v>#N/A</v>
      </c>
      <c r="O2084" s="93"/>
    </row>
    <row r="2085" spans="1:15" s="121" customFormat="1" hidden="1">
      <c r="A2085" s="75" t="str">
        <f t="shared" si="76"/>
        <v>MYSENHENGWater PurifierTankless Water PurifierTankless Water Purifier</v>
      </c>
      <c r="B2085" s="94" t="str">
        <f t="shared" si="77"/>
        <v>MY_SENHENG</v>
      </c>
      <c r="C2085" s="93" t="s">
        <v>386</v>
      </c>
      <c r="D2085" s="93" t="s">
        <v>387</v>
      </c>
      <c r="E2085" s="93" t="s">
        <v>3014</v>
      </c>
      <c r="F2085" s="93" t="s">
        <v>3229</v>
      </c>
      <c r="G2085" s="93" t="s">
        <v>3229</v>
      </c>
      <c r="H2085" s="93" t="e">
        <v>#N/A</v>
      </c>
      <c r="I2085" s="105" t="s">
        <v>2310</v>
      </c>
      <c r="J2085" s="93" t="s">
        <v>189</v>
      </c>
      <c r="K2085" s="93">
        <v>92</v>
      </c>
      <c r="L2085" s="93">
        <v>92</v>
      </c>
      <c r="M2085" s="93" t="s">
        <v>2311</v>
      </c>
      <c r="N2085" s="93" t="e">
        <f>VLOOKUP(B2085,'[16]01.수집 카테고리(List)'!$A$2:$H$64,8,FALSE)</f>
        <v>#N/A</v>
      </c>
      <c r="O2085" s="93"/>
    </row>
    <row r="2086" spans="1:15" s="121" customFormat="1" hidden="1">
      <c r="A2086" s="75" t="str">
        <f t="shared" si="76"/>
        <v>MYSENHENGWater PurifierWater PurifierWater Purifier</v>
      </c>
      <c r="B2086" s="94" t="str">
        <f t="shared" si="77"/>
        <v>MY_SENHENG</v>
      </c>
      <c r="C2086" s="93" t="s">
        <v>386</v>
      </c>
      <c r="D2086" s="93" t="s">
        <v>387</v>
      </c>
      <c r="E2086" s="93" t="s">
        <v>3014</v>
      </c>
      <c r="F2086" s="93" t="s">
        <v>3014</v>
      </c>
      <c r="G2086" s="93" t="s">
        <v>3014</v>
      </c>
      <c r="H2086" s="93" t="e">
        <v>#N/A</v>
      </c>
      <c r="I2086" s="105" t="s">
        <v>2310</v>
      </c>
      <c r="J2086" s="93" t="s">
        <v>189</v>
      </c>
      <c r="K2086" s="93">
        <v>1054</v>
      </c>
      <c r="L2086" s="93">
        <v>1054</v>
      </c>
      <c r="M2086" s="93" t="s">
        <v>2311</v>
      </c>
      <c r="N2086" s="93" t="e">
        <f>VLOOKUP(B2086,'[16]01.수집 카테고리(List)'!$A$2:$H$64,8,FALSE)</f>
        <v>#N/A</v>
      </c>
      <c r="O2086" s="93"/>
    </row>
    <row r="2087" spans="1:15" s="121" customFormat="1" hidden="1">
      <c r="A2087" s="75" t="str">
        <f t="shared" si="76"/>
        <v>MYSENHENGWIRELESS HEADSETearbudsEarbuds</v>
      </c>
      <c r="B2087" s="94" t="str">
        <f t="shared" si="77"/>
        <v>MY_SENHENG</v>
      </c>
      <c r="C2087" s="93" t="s">
        <v>386</v>
      </c>
      <c r="D2087" s="93" t="s">
        <v>387</v>
      </c>
      <c r="E2087" s="93" t="s">
        <v>2201</v>
      </c>
      <c r="F2087" s="93" t="s">
        <v>2913</v>
      </c>
      <c r="G2087" s="93" t="s">
        <v>2534</v>
      </c>
      <c r="H2087" s="93" t="e">
        <v>#N/A</v>
      </c>
      <c r="I2087" s="105" t="s">
        <v>2310</v>
      </c>
      <c r="J2087" s="93" t="s">
        <v>189</v>
      </c>
      <c r="K2087" s="93">
        <v>295</v>
      </c>
      <c r="L2087" s="93">
        <v>295</v>
      </c>
      <c r="M2087" s="93" t="s">
        <v>2311</v>
      </c>
      <c r="N2087" s="93" t="e">
        <f>VLOOKUP(B2087,'[16]01.수집 카테고리(List)'!$A$2:$H$64,8,FALSE)</f>
        <v>#N/A</v>
      </c>
      <c r="O2087" s="93"/>
    </row>
    <row r="2088" spans="1:15" s="121" customFormat="1" hidden="1">
      <c r="A2088" s="75" t="str">
        <f t="shared" si="76"/>
        <v>MYSENHENGWIRELESS HEADSETNoise cancelling earbudsNoise cancelling earbuds</v>
      </c>
      <c r="B2088" s="94" t="str">
        <f t="shared" si="77"/>
        <v>MY_SENHENG</v>
      </c>
      <c r="C2088" s="93" t="s">
        <v>386</v>
      </c>
      <c r="D2088" s="93" t="s">
        <v>387</v>
      </c>
      <c r="E2088" s="93" t="s">
        <v>2201</v>
      </c>
      <c r="F2088" s="93" t="s">
        <v>2378</v>
      </c>
      <c r="G2088" s="93" t="s">
        <v>2378</v>
      </c>
      <c r="H2088" s="93" t="e">
        <v>#N/A</v>
      </c>
      <c r="I2088" s="105" t="s">
        <v>2310</v>
      </c>
      <c r="J2088" s="93" t="s">
        <v>189</v>
      </c>
      <c r="K2088" s="93">
        <v>829</v>
      </c>
      <c r="L2088" s="93">
        <v>829</v>
      </c>
      <c r="M2088" s="93" t="s">
        <v>2311</v>
      </c>
      <c r="N2088" s="93" t="e">
        <f>VLOOKUP(B2088,'[16]01.수집 카테고리(List)'!$A$2:$H$64,8,FALSE)</f>
        <v>#N/A</v>
      </c>
      <c r="O2088" s="93"/>
    </row>
    <row r="2089" spans="1:15" s="121" customFormat="1" hidden="1">
      <c r="A2089" s="75" t="str">
        <f t="shared" si="76"/>
        <v>MYSENHENGWIRELESS HEADSETTrue wireless headphonesTrue wireless earbuds</v>
      </c>
      <c r="B2089" s="94" t="str">
        <f t="shared" si="77"/>
        <v>MY_SENHENG</v>
      </c>
      <c r="C2089" s="93" t="s">
        <v>386</v>
      </c>
      <c r="D2089" s="93" t="s">
        <v>387</v>
      </c>
      <c r="E2089" s="93" t="s">
        <v>2201</v>
      </c>
      <c r="F2089" s="93" t="s">
        <v>3230</v>
      </c>
      <c r="G2089" s="93" t="s">
        <v>2374</v>
      </c>
      <c r="H2089" s="93" t="e">
        <v>#N/A</v>
      </c>
      <c r="I2089" s="105" t="s">
        <v>2310</v>
      </c>
      <c r="J2089" s="93" t="s">
        <v>189</v>
      </c>
      <c r="K2089" s="93">
        <v>120</v>
      </c>
      <c r="L2089" s="93" t="e">
        <v>#N/A</v>
      </c>
      <c r="M2089" s="93" t="s">
        <v>2311</v>
      </c>
      <c r="N2089" s="93" t="e">
        <f>VLOOKUP(B2089,'[16]01.수집 카테고리(List)'!$A$2:$H$64,8,FALSE)</f>
        <v>#N/A</v>
      </c>
      <c r="O2089" s="93"/>
    </row>
    <row r="2090" spans="1:15" s="121" customFormat="1" hidden="1">
      <c r="A2090" s="75" t="str">
        <f t="shared" si="76"/>
        <v>MYSENHENGWIRELESS HEADSETWireless EarbudsWireless earbuds</v>
      </c>
      <c r="B2090" s="94" t="str">
        <f t="shared" si="77"/>
        <v>MY_SENHENG</v>
      </c>
      <c r="C2090" s="93" t="s">
        <v>386</v>
      </c>
      <c r="D2090" s="93" t="s">
        <v>387</v>
      </c>
      <c r="E2090" s="93" t="s">
        <v>2201</v>
      </c>
      <c r="F2090" s="93" t="s">
        <v>2760</v>
      </c>
      <c r="G2090" s="93" t="s">
        <v>2376</v>
      </c>
      <c r="H2090" s="93" t="e">
        <v>#N/A</v>
      </c>
      <c r="I2090" s="105" t="s">
        <v>2310</v>
      </c>
      <c r="J2090" s="93" t="s">
        <v>189</v>
      </c>
      <c r="K2090" s="93">
        <v>124</v>
      </c>
      <c r="L2090" s="93">
        <v>124</v>
      </c>
      <c r="M2090" s="93" t="s">
        <v>2311</v>
      </c>
      <c r="N2090" s="93" t="e">
        <f>VLOOKUP(B2090,'[16]01.수집 카테고리(List)'!$A$2:$H$64,8,FALSE)</f>
        <v>#N/A</v>
      </c>
      <c r="O2090" s="93"/>
    </row>
    <row r="2091" spans="1:15" hidden="1">
      <c r="A2091" s="75" t="str">
        <f t="shared" si="76"/>
        <v>NLCOOLBLUEMonitor4k monitor4k monitor</v>
      </c>
      <c r="B2091" s="94" t="str">
        <f t="shared" si="77"/>
        <v>NL_COOLBLUE</v>
      </c>
      <c r="C2091" s="93" t="s">
        <v>278</v>
      </c>
      <c r="D2091" s="93" t="s">
        <v>280</v>
      </c>
      <c r="E2091" s="93" t="s">
        <v>2320</v>
      </c>
      <c r="F2091" s="93" t="s">
        <v>2321</v>
      </c>
      <c r="G2091" s="93" t="s">
        <v>2321</v>
      </c>
      <c r="H2091" s="93" t="e">
        <v>#N/A</v>
      </c>
      <c r="I2091" s="105" t="s">
        <v>2310</v>
      </c>
      <c r="J2091" s="93" t="s">
        <v>189</v>
      </c>
      <c r="K2091" s="93">
        <v>1143</v>
      </c>
      <c r="L2091" s="93">
        <v>1143</v>
      </c>
      <c r="M2091" s="93" t="s">
        <v>2311</v>
      </c>
      <c r="N2091" s="93">
        <f>VLOOKUP(B2091,'[16]01.수집 카테고리(List)'!$A$2:$H$64,8,FALSE)</f>
        <v>99991231</v>
      </c>
      <c r="O2091" s="93" t="s">
        <v>646</v>
      </c>
    </row>
    <row r="2092" spans="1:15" hidden="1">
      <c r="A2092" s="75" t="str">
        <f t="shared" si="76"/>
        <v>NLCOOLBLUEMonitorgaming monitorgaming monitor</v>
      </c>
      <c r="B2092" s="94" t="str">
        <f t="shared" si="77"/>
        <v>NL_COOLBLUE</v>
      </c>
      <c r="C2092" s="93" t="s">
        <v>278</v>
      </c>
      <c r="D2092" s="93" t="s">
        <v>280</v>
      </c>
      <c r="E2092" s="93" t="s">
        <v>2320</v>
      </c>
      <c r="F2092" s="93" t="s">
        <v>2322</v>
      </c>
      <c r="G2092" s="93" t="s">
        <v>2322</v>
      </c>
      <c r="H2092" s="93" t="e">
        <v>#N/A</v>
      </c>
      <c r="I2092" s="105" t="s">
        <v>2310</v>
      </c>
      <c r="J2092" s="93" t="s">
        <v>189</v>
      </c>
      <c r="K2092" s="93">
        <v>857</v>
      </c>
      <c r="L2092" s="93">
        <v>857</v>
      </c>
      <c r="M2092" s="93" t="s">
        <v>2311</v>
      </c>
      <c r="N2092" s="93">
        <f>VLOOKUP(B2092,'[16]01.수집 카테고리(List)'!$A$2:$H$64,8,FALSE)</f>
        <v>99991231</v>
      </c>
      <c r="O2092" s="93" t="s">
        <v>646</v>
      </c>
    </row>
    <row r="2093" spans="1:15" hidden="1">
      <c r="A2093" s="75" t="str">
        <f t="shared" si="76"/>
        <v>NLCOOLBLUEMonitormonitormonitor</v>
      </c>
      <c r="B2093" s="94" t="str">
        <f t="shared" si="77"/>
        <v>NL_COOLBLUE</v>
      </c>
      <c r="C2093" s="93" t="s">
        <v>278</v>
      </c>
      <c r="D2093" s="93" t="s">
        <v>280</v>
      </c>
      <c r="E2093" s="93" t="s">
        <v>2320</v>
      </c>
      <c r="F2093" s="93" t="s">
        <v>2323</v>
      </c>
      <c r="G2093" s="93" t="s">
        <v>2323</v>
      </c>
      <c r="H2093" s="93" t="e">
        <v>#N/A</v>
      </c>
      <c r="I2093" s="105" t="s">
        <v>2310</v>
      </c>
      <c r="J2093" s="93" t="s">
        <v>189</v>
      </c>
      <c r="K2093" s="93">
        <v>3253</v>
      </c>
      <c r="L2093" s="93">
        <v>3253</v>
      </c>
      <c r="M2093" s="93" t="s">
        <v>2311</v>
      </c>
      <c r="N2093" s="93">
        <f>VLOOKUP(B2093,'[16]01.수집 카테고리(List)'!$A$2:$H$64,8,FALSE)</f>
        <v>99991231</v>
      </c>
      <c r="O2093" s="93" t="s">
        <v>646</v>
      </c>
    </row>
    <row r="2094" spans="1:15" hidden="1">
      <c r="A2094" s="75" t="str">
        <f t="shared" ref="A2094:A2153" si="78">C2094&amp;D2094&amp;E2094&amp;F2094&amp;G2094</f>
        <v>NLCOOLBLUEMonitoruhd monitoruhd monitor</v>
      </c>
      <c r="B2094" s="94" t="str">
        <f t="shared" ref="B2094:B2153" si="79">C2094&amp;"_"&amp;D2094</f>
        <v>NL_COOLBLUE</v>
      </c>
      <c r="C2094" s="93" t="s">
        <v>278</v>
      </c>
      <c r="D2094" s="93" t="s">
        <v>280</v>
      </c>
      <c r="E2094" s="93" t="s">
        <v>2320</v>
      </c>
      <c r="F2094" s="93" t="s">
        <v>2324</v>
      </c>
      <c r="G2094" s="93" t="s">
        <v>2324</v>
      </c>
      <c r="H2094" s="93" t="e">
        <v>#N/A</v>
      </c>
      <c r="I2094" s="105" t="s">
        <v>2310</v>
      </c>
      <c r="J2094" s="93" t="s">
        <v>189</v>
      </c>
      <c r="K2094" s="93">
        <v>4309</v>
      </c>
      <c r="L2094" s="93">
        <v>4309</v>
      </c>
      <c r="M2094" s="93" t="s">
        <v>2311</v>
      </c>
      <c r="N2094" s="93">
        <f>VLOOKUP(B2094,'[16]01.수집 카테고리(List)'!$A$2:$H$64,8,FALSE)</f>
        <v>99991231</v>
      </c>
      <c r="O2094" s="93" t="s">
        <v>646</v>
      </c>
    </row>
    <row r="2095" spans="1:15" hidden="1">
      <c r="A2095" s="75" t="str">
        <f t="shared" si="78"/>
        <v>NLCOOLBLUEMonitorultrawide monitorultrawide monitor</v>
      </c>
      <c r="B2095" s="94" t="str">
        <f t="shared" si="79"/>
        <v>NL_COOLBLUE</v>
      </c>
      <c r="C2095" s="93" t="s">
        <v>278</v>
      </c>
      <c r="D2095" s="93" t="s">
        <v>280</v>
      </c>
      <c r="E2095" s="93" t="s">
        <v>2320</v>
      </c>
      <c r="F2095" s="93" t="s">
        <v>2325</v>
      </c>
      <c r="G2095" s="93" t="s">
        <v>2325</v>
      </c>
      <c r="H2095" s="93" t="e">
        <v>#N/A</v>
      </c>
      <c r="I2095" s="105" t="s">
        <v>2310</v>
      </c>
      <c r="J2095" s="93" t="s">
        <v>189</v>
      </c>
      <c r="K2095" s="93">
        <v>165</v>
      </c>
      <c r="L2095" s="93">
        <v>165</v>
      </c>
      <c r="M2095" s="93" t="s">
        <v>2311</v>
      </c>
      <c r="N2095" s="93">
        <f>VLOOKUP(B2095,'[16]01.수집 카테고리(List)'!$A$2:$H$64,8,FALSE)</f>
        <v>99991231</v>
      </c>
      <c r="O2095" s="93" t="s">
        <v>646</v>
      </c>
    </row>
    <row r="2096" spans="1:15" hidden="1">
      <c r="A2096" s="75" t="str">
        <f t="shared" si="78"/>
        <v>NLCOOLBLUERefrigeratorside by side refrigeratorAmerikaanse koelkasten</v>
      </c>
      <c r="B2096" s="94" t="str">
        <f t="shared" si="79"/>
        <v>NL_COOLBLUE</v>
      </c>
      <c r="C2096" s="93" t="s">
        <v>278</v>
      </c>
      <c r="D2096" s="93" t="s">
        <v>280</v>
      </c>
      <c r="E2096" s="93" t="s">
        <v>2326</v>
      </c>
      <c r="F2096" s="93" t="s">
        <v>2330</v>
      </c>
      <c r="G2096" s="93" t="s">
        <v>3231</v>
      </c>
      <c r="H2096" s="93" t="s">
        <v>3232</v>
      </c>
      <c r="I2096" s="105" t="s">
        <v>2310</v>
      </c>
      <c r="J2096" s="93" t="s">
        <v>189</v>
      </c>
      <c r="K2096" s="93">
        <v>209</v>
      </c>
      <c r="L2096" s="93" t="e">
        <v>#N/A</v>
      </c>
      <c r="M2096" s="93" t="s">
        <v>2311</v>
      </c>
      <c r="N2096" s="93">
        <f>VLOOKUP(B2096,'[16]01.수집 카테고리(List)'!$A$2:$H$64,8,FALSE)</f>
        <v>99991231</v>
      </c>
      <c r="O2096" s="93" t="s">
        <v>646</v>
      </c>
    </row>
    <row r="2097" spans="1:15" hidden="1">
      <c r="A2097" s="75" t="str">
        <f t="shared" si="78"/>
        <v>NLCOOLBLUERefrigeratorbottom freezer refrigeratorKoel- vriescombinaties</v>
      </c>
      <c r="B2097" s="94" t="str">
        <f t="shared" si="79"/>
        <v>NL_COOLBLUE</v>
      </c>
      <c r="C2097" s="93" t="s">
        <v>278</v>
      </c>
      <c r="D2097" s="93" t="s">
        <v>280</v>
      </c>
      <c r="E2097" s="93" t="s">
        <v>2326</v>
      </c>
      <c r="F2097" s="93" t="s">
        <v>2327</v>
      </c>
      <c r="G2097" s="93" t="s">
        <v>3233</v>
      </c>
      <c r="H2097" s="93" t="e">
        <v>#N/A</v>
      </c>
      <c r="I2097" s="105" t="s">
        <v>2310</v>
      </c>
      <c r="J2097" s="93" t="s">
        <v>189</v>
      </c>
      <c r="K2097" s="93">
        <v>362</v>
      </c>
      <c r="L2097" s="93" t="e">
        <v>#N/A</v>
      </c>
      <c r="M2097" s="93" t="s">
        <v>2311</v>
      </c>
      <c r="N2097" s="93">
        <f>VLOOKUP(B2097,'[16]01.수집 카테고리(List)'!$A$2:$H$64,8,FALSE)</f>
        <v>99991231</v>
      </c>
      <c r="O2097" s="93" t="s">
        <v>646</v>
      </c>
    </row>
    <row r="2098" spans="1:15" hidden="1">
      <c r="A2098" s="75" t="str">
        <f t="shared" si="78"/>
        <v>NLCOOLBLUERefrigeratorrefrigeratorkoelkast</v>
      </c>
      <c r="B2098" s="94" t="str">
        <f t="shared" si="79"/>
        <v>NL_COOLBLUE</v>
      </c>
      <c r="C2098" s="93" t="s">
        <v>278</v>
      </c>
      <c r="D2098" s="93" t="s">
        <v>280</v>
      </c>
      <c r="E2098" s="93" t="s">
        <v>2326</v>
      </c>
      <c r="F2098" s="93" t="s">
        <v>2329</v>
      </c>
      <c r="G2098" s="93" t="s">
        <v>3234</v>
      </c>
      <c r="H2098" s="93" t="e">
        <v>#N/A</v>
      </c>
      <c r="I2098" s="105" t="s">
        <v>2310</v>
      </c>
      <c r="J2098" s="93" t="s">
        <v>189</v>
      </c>
      <c r="K2098" s="93">
        <v>5814</v>
      </c>
      <c r="L2098" s="93" t="e">
        <v>#N/A</v>
      </c>
      <c r="M2098" s="93" t="s">
        <v>2311</v>
      </c>
      <c r="N2098" s="93">
        <f>VLOOKUP(B2098,'[16]01.수집 카테고리(List)'!$A$2:$H$64,8,FALSE)</f>
        <v>99991231</v>
      </c>
      <c r="O2098" s="93" t="s">
        <v>646</v>
      </c>
    </row>
    <row r="2099" spans="1:15" hidden="1">
      <c r="A2099" s="75" t="str">
        <f t="shared" si="78"/>
        <v>NLCOOLBLUESOUNDBARSoundbar offersSoundbar aanbiedingen</v>
      </c>
      <c r="B2099" s="94" t="str">
        <f t="shared" si="79"/>
        <v>NL_COOLBLUE</v>
      </c>
      <c r="C2099" s="93" t="s">
        <v>278</v>
      </c>
      <c r="D2099" s="93" t="s">
        <v>280</v>
      </c>
      <c r="E2099" s="93" t="s">
        <v>165</v>
      </c>
      <c r="F2099" s="93" t="s">
        <v>3235</v>
      </c>
      <c r="G2099" s="93" t="s">
        <v>3236</v>
      </c>
      <c r="H2099" s="93" t="s">
        <v>3237</v>
      </c>
      <c r="I2099" s="105" t="s">
        <v>2310</v>
      </c>
      <c r="J2099" s="93" t="s">
        <v>189</v>
      </c>
      <c r="K2099" s="93" t="e">
        <v>#N/A</v>
      </c>
      <c r="L2099" s="93" t="e">
        <v>#N/A</v>
      </c>
      <c r="M2099" s="93" t="s">
        <v>2393</v>
      </c>
      <c r="N2099" s="93">
        <f>VLOOKUP(B2099,'[16]01.수집 카테고리(List)'!$A$2:$H$64,8,FALSE)</f>
        <v>99991231</v>
      </c>
      <c r="O2099" s="93" t="s">
        <v>646</v>
      </c>
    </row>
    <row r="2100" spans="1:15" hidden="1">
      <c r="A2100" s="75" t="str">
        <f t="shared" si="78"/>
        <v>NLCOOLBLUESOUNDBARSoundbars with rear speakersSoundbars met achterspeakers</v>
      </c>
      <c r="B2100" s="94" t="str">
        <f t="shared" si="79"/>
        <v>NL_COOLBLUE</v>
      </c>
      <c r="C2100" s="93" t="s">
        <v>278</v>
      </c>
      <c r="D2100" s="93" t="s">
        <v>280</v>
      </c>
      <c r="E2100" s="93" t="s">
        <v>165</v>
      </c>
      <c r="F2100" s="93" t="s">
        <v>3238</v>
      </c>
      <c r="G2100" s="93" t="s">
        <v>3239</v>
      </c>
      <c r="H2100" s="93" t="s">
        <v>3237</v>
      </c>
      <c r="I2100" s="105" t="s">
        <v>2310</v>
      </c>
      <c r="J2100" s="93" t="s">
        <v>189</v>
      </c>
      <c r="K2100" s="93" t="e">
        <v>#N/A</v>
      </c>
      <c r="L2100" s="93" t="e">
        <v>#N/A</v>
      </c>
      <c r="M2100" s="93" t="s">
        <v>2393</v>
      </c>
      <c r="N2100" s="93">
        <f>VLOOKUP(B2100,'[16]01.수집 카테고리(List)'!$A$2:$H$64,8,FALSE)</f>
        <v>99991231</v>
      </c>
      <c r="O2100" s="93" t="s">
        <v>646</v>
      </c>
    </row>
    <row r="2101" spans="1:15" hidden="1">
      <c r="A2101" s="75" t="str">
        <f t="shared" si="78"/>
        <v>NLCOOLBLUESOUNDBARSoundbars with subwooferSoundbars met subwoofer</v>
      </c>
      <c r="B2101" s="94" t="str">
        <f t="shared" si="79"/>
        <v>NL_COOLBLUE</v>
      </c>
      <c r="C2101" s="93" t="s">
        <v>278</v>
      </c>
      <c r="D2101" s="93" t="s">
        <v>280</v>
      </c>
      <c r="E2101" s="93" t="s">
        <v>165</v>
      </c>
      <c r="F2101" s="93" t="s">
        <v>3240</v>
      </c>
      <c r="G2101" s="93" t="s">
        <v>3241</v>
      </c>
      <c r="H2101" s="93" t="s">
        <v>3237</v>
      </c>
      <c r="I2101" s="105" t="s">
        <v>2310</v>
      </c>
      <c r="J2101" s="93" t="s">
        <v>189</v>
      </c>
      <c r="K2101" s="93" t="e">
        <v>#N/A</v>
      </c>
      <c r="L2101" s="93" t="e">
        <v>#N/A</v>
      </c>
      <c r="M2101" s="93" t="s">
        <v>2393</v>
      </c>
      <c r="N2101" s="93">
        <f>VLOOKUP(B2101,'[16]01.수집 카테고리(List)'!$A$2:$H$64,8,FALSE)</f>
        <v>99991231</v>
      </c>
      <c r="O2101" s="93" t="s">
        <v>646</v>
      </c>
    </row>
    <row r="2102" spans="1:15" hidden="1">
      <c r="A2102" s="75" t="str">
        <f t="shared" si="78"/>
        <v>NLCOOLBLUETV4K TV4k TV</v>
      </c>
      <c r="B2102" s="94" t="str">
        <f t="shared" si="79"/>
        <v>NL_COOLBLUE</v>
      </c>
      <c r="C2102" s="93" t="s">
        <v>3242</v>
      </c>
      <c r="D2102" s="93" t="s">
        <v>280</v>
      </c>
      <c r="E2102" s="93" t="s">
        <v>161</v>
      </c>
      <c r="F2102" s="93" t="s">
        <v>2893</v>
      </c>
      <c r="G2102" s="93" t="s">
        <v>2368</v>
      </c>
      <c r="H2102" s="93" t="e">
        <v>#N/A</v>
      </c>
      <c r="I2102" s="105" t="s">
        <v>2310</v>
      </c>
      <c r="J2102" s="93" t="s">
        <v>189</v>
      </c>
      <c r="K2102" s="93">
        <v>134037</v>
      </c>
      <c r="L2102" s="93">
        <v>134037</v>
      </c>
      <c r="M2102" s="93" t="s">
        <v>2311</v>
      </c>
      <c r="N2102" s="93">
        <f>VLOOKUP(B2102,'[16]01.수집 카테고리(List)'!$A$2:$H$64,8,FALSE)</f>
        <v>99991231</v>
      </c>
      <c r="O2102" s="93" t="s">
        <v>646</v>
      </c>
    </row>
    <row r="2103" spans="1:15" hidden="1">
      <c r="A2103" s="75" t="str">
        <f t="shared" si="78"/>
        <v>NLCOOLBLUETVOLED TVoled TV</v>
      </c>
      <c r="B2103" s="94" t="str">
        <f t="shared" si="79"/>
        <v>NL_COOLBLUE</v>
      </c>
      <c r="C2103" s="93" t="s">
        <v>278</v>
      </c>
      <c r="D2103" s="93" t="s">
        <v>280</v>
      </c>
      <c r="E2103" s="93" t="s">
        <v>161</v>
      </c>
      <c r="F2103" s="93" t="s">
        <v>3243</v>
      </c>
      <c r="G2103" s="93" t="s">
        <v>2369</v>
      </c>
      <c r="H2103" s="93" t="e">
        <v>#N/A</v>
      </c>
      <c r="I2103" s="105" t="s">
        <v>2310</v>
      </c>
      <c r="J2103" s="93" t="s">
        <v>189</v>
      </c>
      <c r="K2103" s="93">
        <v>35617</v>
      </c>
      <c r="L2103" s="93">
        <v>35617</v>
      </c>
      <c r="M2103" s="93" t="s">
        <v>2311</v>
      </c>
      <c r="N2103" s="93">
        <f>VLOOKUP(B2103,'[16]01.수집 카테고리(List)'!$A$2:$H$64,8,FALSE)</f>
        <v>99991231</v>
      </c>
      <c r="O2103" s="93" t="s">
        <v>646</v>
      </c>
    </row>
    <row r="2104" spans="1:15" hidden="1">
      <c r="A2104" s="75" t="str">
        <f t="shared" si="78"/>
        <v>NLCOOLBLUETVsmart TVsmart TV</v>
      </c>
      <c r="B2104" s="94" t="str">
        <f t="shared" si="79"/>
        <v>NL_COOLBLUE</v>
      </c>
      <c r="C2104" s="93" t="s">
        <v>278</v>
      </c>
      <c r="D2104" s="93" t="s">
        <v>3244</v>
      </c>
      <c r="E2104" s="93" t="s">
        <v>161</v>
      </c>
      <c r="F2104" s="93" t="s">
        <v>2371</v>
      </c>
      <c r="G2104" s="93" t="s">
        <v>2371</v>
      </c>
      <c r="H2104" s="93" t="e">
        <v>#N/A</v>
      </c>
      <c r="I2104" s="105" t="s">
        <v>2310</v>
      </c>
      <c r="J2104" s="93" t="s">
        <v>189</v>
      </c>
      <c r="K2104" s="93">
        <v>132370</v>
      </c>
      <c r="L2104" s="93">
        <v>132370</v>
      </c>
      <c r="M2104" s="93" t="s">
        <v>2311</v>
      </c>
      <c r="N2104" s="93">
        <f>VLOOKUP(B2104,'[16]01.수집 카테고리(List)'!$A$2:$H$64,8,FALSE)</f>
        <v>99991231</v>
      </c>
      <c r="O2104" s="93" t="s">
        <v>646</v>
      </c>
    </row>
    <row r="2105" spans="1:15" hidden="1">
      <c r="A2105" s="75" t="str">
        <f t="shared" si="78"/>
        <v>NLCOOLBLUETVTVTV</v>
      </c>
      <c r="B2105" s="94" t="str">
        <f t="shared" si="79"/>
        <v>NL_COOLBLUE</v>
      </c>
      <c r="C2105" s="93" t="s">
        <v>278</v>
      </c>
      <c r="D2105" s="93" t="s">
        <v>280</v>
      </c>
      <c r="E2105" s="93" t="s">
        <v>161</v>
      </c>
      <c r="F2105" s="93" t="s">
        <v>161</v>
      </c>
      <c r="G2105" s="93" t="s">
        <v>161</v>
      </c>
      <c r="H2105" s="93" t="e">
        <v>#N/A</v>
      </c>
      <c r="I2105" s="105" t="s">
        <v>2310</v>
      </c>
      <c r="J2105" s="93" t="s">
        <v>189</v>
      </c>
      <c r="K2105" s="93">
        <v>132143</v>
      </c>
      <c r="L2105" s="93">
        <v>132143</v>
      </c>
      <c r="M2105" s="93" t="s">
        <v>2311</v>
      </c>
      <c r="N2105" s="93">
        <f>VLOOKUP(B2105,'[16]01.수집 카테고리(List)'!$A$2:$H$64,8,FALSE)</f>
        <v>99991231</v>
      </c>
      <c r="O2105" s="93" t="s">
        <v>646</v>
      </c>
    </row>
    <row r="2106" spans="1:15" hidden="1">
      <c r="A2106" s="75" t="str">
        <f t="shared" si="78"/>
        <v>NLCOOLBLUETVUHD TVuhd TV</v>
      </c>
      <c r="B2106" s="94" t="str">
        <f t="shared" si="79"/>
        <v>NL_COOLBLUE</v>
      </c>
      <c r="C2106" s="93" t="s">
        <v>278</v>
      </c>
      <c r="D2106" s="93" t="s">
        <v>280</v>
      </c>
      <c r="E2106" s="93" t="s">
        <v>161</v>
      </c>
      <c r="F2106" s="93" t="s">
        <v>2990</v>
      </c>
      <c r="G2106" s="93" t="s">
        <v>2399</v>
      </c>
      <c r="H2106" s="93" t="e">
        <v>#N/A</v>
      </c>
      <c r="I2106" s="105" t="s">
        <v>2310</v>
      </c>
      <c r="J2106" s="93" t="s">
        <v>189</v>
      </c>
      <c r="K2106" s="93">
        <v>133811</v>
      </c>
      <c r="L2106" s="93">
        <v>133811</v>
      </c>
      <c r="M2106" s="93" t="s">
        <v>2311</v>
      </c>
      <c r="N2106" s="93">
        <f>VLOOKUP(B2106,'[16]01.수집 카테고리(List)'!$A$2:$H$64,8,FALSE)</f>
        <v>99991231</v>
      </c>
      <c r="O2106" s="93" t="s">
        <v>646</v>
      </c>
    </row>
    <row r="2107" spans="1:15" hidden="1">
      <c r="A2107" s="75" t="str">
        <f t="shared" si="78"/>
        <v>NLCOOLBLUEWashing Machinewasher dryer comboWas-droogcombinaties</v>
      </c>
      <c r="B2107" s="94" t="str">
        <f t="shared" si="79"/>
        <v>NL_COOLBLUE</v>
      </c>
      <c r="C2107" s="93" t="s">
        <v>278</v>
      </c>
      <c r="D2107" s="93" t="s">
        <v>280</v>
      </c>
      <c r="E2107" s="93" t="s">
        <v>2333</v>
      </c>
      <c r="F2107" s="93" t="s">
        <v>2338</v>
      </c>
      <c r="G2107" s="93" t="s">
        <v>3245</v>
      </c>
      <c r="H2107" s="93" t="e">
        <v>#N/A</v>
      </c>
      <c r="I2107" s="105" t="s">
        <v>2310</v>
      </c>
      <c r="J2107" s="93" t="s">
        <v>189</v>
      </c>
      <c r="K2107" s="93">
        <v>422</v>
      </c>
      <c r="L2107" s="93" t="e">
        <v>#N/A</v>
      </c>
      <c r="M2107" s="93" t="s">
        <v>2311</v>
      </c>
      <c r="N2107" s="93">
        <f>VLOOKUP(B2107,'[16]01.수집 카테고리(List)'!$A$2:$H$64,8,FALSE)</f>
        <v>99991231</v>
      </c>
      <c r="O2107" s="93" t="s">
        <v>646</v>
      </c>
    </row>
    <row r="2108" spans="1:15" hidden="1">
      <c r="A2108" s="75" t="str">
        <f t="shared" si="78"/>
        <v>NLCOOLBLUEWashing Machinewashing machinewasmachine</v>
      </c>
      <c r="B2108" s="94" t="str">
        <f t="shared" si="79"/>
        <v>NL_COOLBLUE</v>
      </c>
      <c r="C2108" s="93" t="s">
        <v>278</v>
      </c>
      <c r="D2108" s="93" t="s">
        <v>280</v>
      </c>
      <c r="E2108" s="93" t="s">
        <v>2333</v>
      </c>
      <c r="F2108" s="93" t="s">
        <v>2340</v>
      </c>
      <c r="G2108" s="93" t="s">
        <v>3246</v>
      </c>
      <c r="H2108" s="93" t="e">
        <v>#N/A</v>
      </c>
      <c r="I2108" s="105" t="s">
        <v>2310</v>
      </c>
      <c r="J2108" s="93" t="s">
        <v>189</v>
      </c>
      <c r="K2108" s="93">
        <v>1126</v>
      </c>
      <c r="L2108" s="93" t="e">
        <v>#N/A</v>
      </c>
      <c r="M2108" s="93" t="s">
        <v>2311</v>
      </c>
      <c r="N2108" s="93">
        <f>VLOOKUP(B2108,'[16]01.수집 카테고리(List)'!$A$2:$H$64,8,FALSE)</f>
        <v>99991231</v>
      </c>
      <c r="O2108" s="93" t="s">
        <v>646</v>
      </c>
    </row>
    <row r="2109" spans="1:15" hidden="1">
      <c r="A2109" s="75" t="str">
        <f t="shared" si="78"/>
        <v>NLCOOLBLUEWashing Machinefront loaderwasmachine / Voorlader</v>
      </c>
      <c r="B2109" s="94" t="str">
        <f t="shared" si="79"/>
        <v>NL_COOLBLUE</v>
      </c>
      <c r="C2109" s="93" t="s">
        <v>278</v>
      </c>
      <c r="D2109" s="93" t="s">
        <v>280</v>
      </c>
      <c r="E2109" s="93" t="s">
        <v>2333</v>
      </c>
      <c r="F2109" s="93" t="s">
        <v>2334</v>
      </c>
      <c r="G2109" s="93" t="s">
        <v>3247</v>
      </c>
      <c r="H2109" s="93" t="e">
        <v>#N/A</v>
      </c>
      <c r="I2109" s="105" t="s">
        <v>2310</v>
      </c>
      <c r="J2109" s="93" t="s">
        <v>189</v>
      </c>
      <c r="K2109" s="93">
        <v>34413</v>
      </c>
      <c r="L2109" s="93" t="e">
        <v>#N/A</v>
      </c>
      <c r="M2109" s="93" t="s">
        <v>2311</v>
      </c>
      <c r="N2109" s="93">
        <f>VLOOKUP(B2109,'[16]01.수집 카테고리(List)'!$A$2:$H$64,8,FALSE)</f>
        <v>99991231</v>
      </c>
      <c r="O2109" s="93" t="s">
        <v>646</v>
      </c>
    </row>
    <row r="2110" spans="1:15" hidden="1">
      <c r="A2110" s="75" t="str">
        <f t="shared" si="78"/>
        <v>NLCOOLBLUEWireless Headsetbluetooth headsetbluetooth headset</v>
      </c>
      <c r="B2110" s="94" t="str">
        <f t="shared" si="79"/>
        <v>NL_COOLBLUE</v>
      </c>
      <c r="C2110" s="93" t="s">
        <v>278</v>
      </c>
      <c r="D2110" s="93" t="s">
        <v>280</v>
      </c>
      <c r="E2110" s="93" t="s">
        <v>2373</v>
      </c>
      <c r="F2110" s="93" t="s">
        <v>2756</v>
      </c>
      <c r="G2110" s="93" t="s">
        <v>2756</v>
      </c>
      <c r="H2110" s="93" t="e">
        <v>#N/A</v>
      </c>
      <c r="I2110" s="105" t="s">
        <v>2310</v>
      </c>
      <c r="J2110" s="93" t="s">
        <v>189</v>
      </c>
      <c r="K2110" s="93">
        <v>121731</v>
      </c>
      <c r="L2110" s="93">
        <v>121731</v>
      </c>
      <c r="M2110" s="93" t="s">
        <v>2311</v>
      </c>
      <c r="N2110" s="93">
        <f>VLOOKUP(B2110,'[16]01.수집 카테고리(List)'!$A$2:$H$64,8,FALSE)</f>
        <v>99991231</v>
      </c>
      <c r="O2110" s="93" t="s">
        <v>646</v>
      </c>
    </row>
    <row r="2111" spans="1:15" hidden="1">
      <c r="A2111" s="75" t="str">
        <f t="shared" si="78"/>
        <v>NLCOOLBLUEWireless HeadsetEarbudsEarbuds</v>
      </c>
      <c r="B2111" s="94" t="str">
        <f t="shared" si="79"/>
        <v>NL_COOLBLUE</v>
      </c>
      <c r="C2111" s="93" t="s">
        <v>278</v>
      </c>
      <c r="D2111" s="93" t="s">
        <v>280</v>
      </c>
      <c r="E2111" s="93" t="s">
        <v>2373</v>
      </c>
      <c r="F2111" s="93" t="s">
        <v>2534</v>
      </c>
      <c r="G2111" s="93" t="s">
        <v>2534</v>
      </c>
      <c r="H2111" s="93" t="e">
        <v>#N/A</v>
      </c>
      <c r="I2111" s="105" t="s">
        <v>2310</v>
      </c>
      <c r="J2111" s="93" t="s">
        <v>189</v>
      </c>
      <c r="K2111" s="93">
        <v>75</v>
      </c>
      <c r="L2111" s="93">
        <v>75</v>
      </c>
      <c r="M2111" s="93" t="s">
        <v>2311</v>
      </c>
      <c r="N2111" s="93">
        <f>VLOOKUP(B2111,'[16]01.수집 카테고리(List)'!$A$2:$H$64,8,FALSE)</f>
        <v>99991231</v>
      </c>
      <c r="O2111" s="93" t="s">
        <v>646</v>
      </c>
    </row>
    <row r="2112" spans="1:15" hidden="1">
      <c r="A2112" s="75" t="str">
        <f t="shared" si="78"/>
        <v>NLCOOLBLUEWireless HeadsetHeadphonesHeadphones</v>
      </c>
      <c r="B2112" s="94" t="str">
        <f t="shared" si="79"/>
        <v>NL_COOLBLUE</v>
      </c>
      <c r="C2112" s="93" t="s">
        <v>278</v>
      </c>
      <c r="D2112" s="93" t="s">
        <v>280</v>
      </c>
      <c r="E2112" s="93" t="s">
        <v>2373</v>
      </c>
      <c r="F2112" s="93" t="s">
        <v>2754</v>
      </c>
      <c r="G2112" s="93" t="s">
        <v>2754</v>
      </c>
      <c r="H2112" s="93" t="e">
        <v>#N/A</v>
      </c>
      <c r="I2112" s="105" t="s">
        <v>2310</v>
      </c>
      <c r="J2112" s="93" t="s">
        <v>189</v>
      </c>
      <c r="K2112" s="93">
        <v>113565</v>
      </c>
      <c r="L2112" s="93">
        <v>113565</v>
      </c>
      <c r="M2112" s="93" t="s">
        <v>2311</v>
      </c>
      <c r="N2112" s="93">
        <f>VLOOKUP(B2112,'[16]01.수집 카테고리(List)'!$A$2:$H$64,8,FALSE)</f>
        <v>99991231</v>
      </c>
      <c r="O2112" s="93" t="s">
        <v>646</v>
      </c>
    </row>
    <row r="2113" spans="1:15" hidden="1">
      <c r="A2113" s="75" t="str">
        <f t="shared" si="78"/>
        <v>NLCOOLBLUEWireless HeadsetWireless EarbudsWireless Earbuds</v>
      </c>
      <c r="B2113" s="94" t="str">
        <f t="shared" si="79"/>
        <v>NL_COOLBLUE</v>
      </c>
      <c r="C2113" s="93" t="s">
        <v>278</v>
      </c>
      <c r="D2113" s="93" t="s">
        <v>280</v>
      </c>
      <c r="E2113" s="93" t="s">
        <v>2373</v>
      </c>
      <c r="F2113" s="93" t="s">
        <v>2760</v>
      </c>
      <c r="G2113" s="93" t="s">
        <v>2760</v>
      </c>
      <c r="H2113" s="93" t="e">
        <v>#N/A</v>
      </c>
      <c r="I2113" s="105" t="s">
        <v>2310</v>
      </c>
      <c r="J2113" s="93" t="s">
        <v>189</v>
      </c>
      <c r="K2113" s="93">
        <v>54954</v>
      </c>
      <c r="L2113" s="93">
        <v>54954</v>
      </c>
      <c r="M2113" s="93" t="s">
        <v>2311</v>
      </c>
      <c r="N2113" s="93">
        <f>VLOOKUP(B2113,'[16]01.수집 카테고리(List)'!$A$2:$H$64,8,FALSE)</f>
        <v>99991231</v>
      </c>
      <c r="O2113" s="93" t="s">
        <v>646</v>
      </c>
    </row>
    <row r="2114" spans="1:15" ht="14.25" hidden="1" customHeight="1">
      <c r="A2114" s="75" t="str">
        <f t="shared" si="78"/>
        <v>NLCOOLBLUEWireless HeadsetWireless HeadsetWireless Headset</v>
      </c>
      <c r="B2114" s="94" t="str">
        <f t="shared" si="79"/>
        <v>NL_COOLBLUE</v>
      </c>
      <c r="C2114" s="93" t="s">
        <v>278</v>
      </c>
      <c r="D2114" s="93" t="s">
        <v>280</v>
      </c>
      <c r="E2114" s="93" t="s">
        <v>2373</v>
      </c>
      <c r="F2114" s="93" t="s">
        <v>2373</v>
      </c>
      <c r="G2114" s="93" t="s">
        <v>2373</v>
      </c>
      <c r="H2114" s="93" t="e">
        <v>#N/A</v>
      </c>
      <c r="I2114" s="105" t="s">
        <v>2310</v>
      </c>
      <c r="J2114" s="93" t="s">
        <v>189</v>
      </c>
      <c r="K2114" s="93">
        <v>43778</v>
      </c>
      <c r="L2114" s="93">
        <v>43778</v>
      </c>
      <c r="M2114" s="93" t="s">
        <v>2311</v>
      </c>
      <c r="N2114" s="93">
        <f>VLOOKUP(B2114,'[16]01.수집 카테고리(List)'!$A$2:$H$64,8,FALSE)</f>
        <v>99991231</v>
      </c>
      <c r="O2114" s="93" t="s">
        <v>646</v>
      </c>
    </row>
    <row r="2115" spans="1:15" s="197" customFormat="1" ht="14.25" hidden="1" customHeight="1">
      <c r="A2115" s="197" t="str">
        <f t="shared" ref="A2115" si="80">C2115&amp;D2115&amp;E2115&amp;F2115&amp;G2115</f>
        <v>NLCOOLBLUEDryerheatpump  Warmtepompdrogers</v>
      </c>
      <c r="B2115" s="198" t="str">
        <f t="shared" ref="B2115" si="81">C2115&amp;"_"&amp;D2115</f>
        <v>NL_COOLBLUE</v>
      </c>
      <c r="C2115" s="199" t="s">
        <v>278</v>
      </c>
      <c r="D2115" s="199" t="s">
        <v>280</v>
      </c>
      <c r="E2115" s="199" t="s">
        <v>2535</v>
      </c>
      <c r="F2115" s="199" t="s">
        <v>2621</v>
      </c>
      <c r="G2115" s="199" t="s">
        <v>3248</v>
      </c>
      <c r="H2115" s="199" t="s">
        <v>3249</v>
      </c>
      <c r="I2115" s="201">
        <v>46076</v>
      </c>
      <c r="J2115" s="202" t="s">
        <v>189</v>
      </c>
      <c r="K2115" s="199"/>
      <c r="L2115" s="199"/>
      <c r="M2115" s="199"/>
      <c r="N2115" s="199"/>
      <c r="O2115" s="199"/>
    </row>
    <row r="2116" spans="1:15" hidden="1">
      <c r="A2116" s="75" t="str">
        <f t="shared" si="78"/>
        <v>NOELKJOPBluetooth Speakerbluetooth speaker portablebærbar Bluetooth-høyttaler</v>
      </c>
      <c r="B2116" s="94" t="str">
        <f t="shared" si="79"/>
        <v>NO_ELKJOP</v>
      </c>
      <c r="C2116" s="93" t="s">
        <v>446</v>
      </c>
      <c r="D2116" s="93" t="s">
        <v>447</v>
      </c>
      <c r="E2116" s="93" t="s">
        <v>2307</v>
      </c>
      <c r="F2116" s="93" t="s">
        <v>2479</v>
      </c>
      <c r="G2116" s="93" t="s">
        <v>3250</v>
      </c>
      <c r="H2116" s="93" t="e">
        <v>#N/A</v>
      </c>
      <c r="I2116" s="105" t="s">
        <v>2310</v>
      </c>
      <c r="J2116" s="93" t="s">
        <v>189</v>
      </c>
      <c r="K2116" s="93">
        <v>774</v>
      </c>
      <c r="L2116" s="93" t="e">
        <v>#N/A</v>
      </c>
      <c r="M2116" s="93" t="s">
        <v>2311</v>
      </c>
      <c r="N2116" s="93" t="e">
        <f>VLOOKUP(B2116,'[16]01.수집 카테고리(List)'!$A$2:$H$64,8,FALSE)</f>
        <v>#N/A</v>
      </c>
      <c r="O2116" s="93"/>
    </row>
    <row r="2117" spans="1:15" hidden="1">
      <c r="A2117" s="75" t="str">
        <f t="shared" si="78"/>
        <v>NOELKJOPBluetooth Speakerportable speakersbærbare høyttalere</v>
      </c>
      <c r="B2117" s="94" t="str">
        <f t="shared" si="79"/>
        <v>NO_ELKJOP</v>
      </c>
      <c r="C2117" s="93" t="s">
        <v>446</v>
      </c>
      <c r="D2117" s="93" t="s">
        <v>447</v>
      </c>
      <c r="E2117" s="93" t="s">
        <v>2307</v>
      </c>
      <c r="F2117" s="93" t="s">
        <v>2473</v>
      </c>
      <c r="G2117" s="93" t="s">
        <v>3251</v>
      </c>
      <c r="H2117" s="93" t="e">
        <v>#N/A</v>
      </c>
      <c r="I2117" s="105" t="s">
        <v>2310</v>
      </c>
      <c r="J2117" s="93" t="s">
        <v>189</v>
      </c>
      <c r="K2117" s="93">
        <v>3353</v>
      </c>
      <c r="L2117" s="93" t="e">
        <v>#N/A</v>
      </c>
      <c r="M2117" s="93" t="s">
        <v>2311</v>
      </c>
      <c r="N2117" s="93" t="e">
        <f>VLOOKUP(B2117,'[16]01.수집 카테고리(List)'!$A$2:$H$64,8,FALSE)</f>
        <v>#N/A</v>
      </c>
      <c r="O2117" s="93"/>
    </row>
    <row r="2118" spans="1:15" hidden="1">
      <c r="A2118" s="75" t="str">
        <f t="shared" si="78"/>
        <v>NOELKJOPBluetooth Speakerbluetooth speakerbluetooth høyttaler</v>
      </c>
      <c r="B2118" s="94" t="str">
        <f t="shared" si="79"/>
        <v>NO_ELKJOP</v>
      </c>
      <c r="C2118" s="93" t="s">
        <v>446</v>
      </c>
      <c r="D2118" s="93" t="s">
        <v>447</v>
      </c>
      <c r="E2118" s="93" t="s">
        <v>2307</v>
      </c>
      <c r="F2118" s="93" t="s">
        <v>2657</v>
      </c>
      <c r="G2118" s="93" t="s">
        <v>3252</v>
      </c>
      <c r="H2118" s="93" t="e">
        <v>#N/A</v>
      </c>
      <c r="I2118" s="105" t="s">
        <v>2310</v>
      </c>
      <c r="J2118" s="93" t="s">
        <v>189</v>
      </c>
      <c r="K2118" s="93">
        <v>3802</v>
      </c>
      <c r="L2118" s="93" t="e">
        <v>#N/A</v>
      </c>
      <c r="M2118" s="93" t="s">
        <v>2311</v>
      </c>
      <c r="N2118" s="93" t="e">
        <f>VLOOKUP(B2118,'[16]01.수집 카테고리(List)'!$A$2:$H$64,8,FALSE)</f>
        <v>#N/A</v>
      </c>
      <c r="O2118" s="93"/>
    </row>
    <row r="2119" spans="1:15" hidden="1">
      <c r="A2119" s="75" t="str">
        <f t="shared" si="78"/>
        <v>NOELKJOPBluetooth Speakerspeakershøyttalere</v>
      </c>
      <c r="B2119" s="94" t="str">
        <f t="shared" si="79"/>
        <v>NO_ELKJOP</v>
      </c>
      <c r="C2119" s="93" t="s">
        <v>446</v>
      </c>
      <c r="D2119" s="93" t="s">
        <v>447</v>
      </c>
      <c r="E2119" s="93" t="s">
        <v>2307</v>
      </c>
      <c r="F2119" s="93" t="s">
        <v>2471</v>
      </c>
      <c r="G2119" s="93" t="s">
        <v>3253</v>
      </c>
      <c r="H2119" s="93" t="e">
        <v>#N/A</v>
      </c>
      <c r="I2119" s="105" t="s">
        <v>2310</v>
      </c>
      <c r="J2119" s="93" t="s">
        <v>189</v>
      </c>
      <c r="K2119" s="93">
        <v>22093</v>
      </c>
      <c r="L2119" s="93" t="e">
        <v>#N/A</v>
      </c>
      <c r="M2119" s="93" t="s">
        <v>2311</v>
      </c>
      <c r="N2119" s="93" t="e">
        <f>VLOOKUP(B2119,'[16]01.수집 카테고리(List)'!$A$2:$H$64,8,FALSE)</f>
        <v>#N/A</v>
      </c>
      <c r="O2119" s="93"/>
    </row>
    <row r="2120" spans="1:15" hidden="1">
      <c r="A2120" s="75" t="str">
        <f t="shared" si="78"/>
        <v>NOELKJOPDISHWASHERFreestanding Dishwasher Frittstående oppvaskmaskin</v>
      </c>
      <c r="B2120" s="94" t="str">
        <f t="shared" si="79"/>
        <v>NO_ELKJOP</v>
      </c>
      <c r="C2120" s="93" t="s">
        <v>446</v>
      </c>
      <c r="D2120" s="93" t="s">
        <v>447</v>
      </c>
      <c r="E2120" s="93" t="s">
        <v>169</v>
      </c>
      <c r="F2120" s="93" t="s">
        <v>2441</v>
      </c>
      <c r="G2120" s="93" t="s">
        <v>3254</v>
      </c>
      <c r="H2120" s="93" t="e">
        <v>#N/A</v>
      </c>
      <c r="I2120" s="105" t="s">
        <v>2310</v>
      </c>
      <c r="J2120" s="93" t="s">
        <v>189</v>
      </c>
      <c r="K2120" s="93">
        <v>37</v>
      </c>
      <c r="L2120" s="93" t="e">
        <v>#N/A</v>
      </c>
      <c r="M2120" s="93" t="s">
        <v>2311</v>
      </c>
      <c r="N2120" s="93" t="e">
        <f>VLOOKUP(B2120,'[16]01.수집 카테고리(List)'!$A$2:$H$64,8,FALSE)</f>
        <v>#N/A</v>
      </c>
      <c r="O2120" s="93"/>
    </row>
    <row r="2121" spans="1:15" hidden="1">
      <c r="A2121" s="75" t="str">
        <f t="shared" si="78"/>
        <v>NOELKJOPDISHWASHERdishwasheroppvaskmaskin</v>
      </c>
      <c r="B2121" s="94" t="str">
        <f t="shared" si="79"/>
        <v>NO_ELKJOP</v>
      </c>
      <c r="C2121" s="93" t="s">
        <v>446</v>
      </c>
      <c r="D2121" s="93" t="s">
        <v>447</v>
      </c>
      <c r="E2121" s="93" t="s">
        <v>169</v>
      </c>
      <c r="F2121" s="93" t="s">
        <v>2354</v>
      </c>
      <c r="G2121" s="93" t="s">
        <v>3255</v>
      </c>
      <c r="H2121" s="93" t="e">
        <v>#N/A</v>
      </c>
      <c r="I2121" s="105" t="s">
        <v>2310</v>
      </c>
      <c r="J2121" s="93" t="s">
        <v>189</v>
      </c>
      <c r="K2121" s="93">
        <v>3685</v>
      </c>
      <c r="L2121" s="93" t="e">
        <v>#N/A</v>
      </c>
      <c r="M2121" s="93" t="s">
        <v>2311</v>
      </c>
      <c r="N2121" s="93" t="e">
        <f>VLOOKUP(B2121,'[16]01.수집 카테고리(List)'!$A$2:$H$64,8,FALSE)</f>
        <v>#N/A</v>
      </c>
      <c r="O2121" s="93"/>
    </row>
    <row r="2122" spans="1:15" hidden="1">
      <c r="A2122" s="75" t="str">
        <f t="shared" si="78"/>
        <v>NOELKJOPDISHWASHERBuilt in Dish washerunderbygd oppvaskmaskin</v>
      </c>
      <c r="B2122" s="94" t="str">
        <f t="shared" si="79"/>
        <v>NO_ELKJOP</v>
      </c>
      <c r="C2122" s="93" t="s">
        <v>446</v>
      </c>
      <c r="D2122" s="93" t="s">
        <v>447</v>
      </c>
      <c r="E2122" s="93" t="s">
        <v>169</v>
      </c>
      <c r="F2122" s="93" t="s">
        <v>2356</v>
      </c>
      <c r="G2122" s="93" t="s">
        <v>3256</v>
      </c>
      <c r="H2122" s="93" t="e">
        <v>#N/A</v>
      </c>
      <c r="I2122" s="105" t="s">
        <v>2310</v>
      </c>
      <c r="J2122" s="93" t="s">
        <v>189</v>
      </c>
      <c r="K2122" s="93">
        <v>347</v>
      </c>
      <c r="L2122" s="93" t="e">
        <v>#N/A</v>
      </c>
      <c r="M2122" s="93" t="s">
        <v>2311</v>
      </c>
      <c r="N2122" s="93" t="e">
        <f>VLOOKUP(B2122,'[16]01.수집 카테고리(List)'!$A$2:$H$64,8,FALSE)</f>
        <v>#N/A</v>
      </c>
      <c r="O2122" s="93"/>
    </row>
    <row r="2123" spans="1:15" hidden="1">
      <c r="A2123" s="75" t="str">
        <f t="shared" si="78"/>
        <v>NOELKJOPMONITOR4k monitor4k-skjerm</v>
      </c>
      <c r="B2123" s="94" t="str">
        <f t="shared" si="79"/>
        <v>NO_ELKJOP</v>
      </c>
      <c r="C2123" s="93" t="s">
        <v>446</v>
      </c>
      <c r="D2123" s="93" t="s">
        <v>447</v>
      </c>
      <c r="E2123" s="93" t="s">
        <v>2384</v>
      </c>
      <c r="F2123" s="93" t="s">
        <v>2321</v>
      </c>
      <c r="G2123" s="93" t="s">
        <v>3257</v>
      </c>
      <c r="H2123" s="93" t="e">
        <v>#N/A</v>
      </c>
      <c r="I2123" s="105" t="s">
        <v>2310</v>
      </c>
      <c r="J2123" s="93" t="s">
        <v>189</v>
      </c>
      <c r="K2123" s="93">
        <v>1238</v>
      </c>
      <c r="L2123" s="93" t="e">
        <v>#N/A</v>
      </c>
      <c r="M2123" s="93" t="s">
        <v>2311</v>
      </c>
      <c r="N2123" s="93" t="e">
        <f>VLOOKUP(B2123,'[16]01.수집 카테고리(List)'!$A$2:$H$64,8,FALSE)</f>
        <v>#N/A</v>
      </c>
      <c r="O2123" s="93"/>
    </row>
    <row r="2124" spans="1:15" hidden="1">
      <c r="A2124" s="75" t="str">
        <f t="shared" si="78"/>
        <v>NOELKJOPMONITORmonitormonitor</v>
      </c>
      <c r="B2124" s="94" t="str">
        <f t="shared" si="79"/>
        <v>NO_ELKJOP</v>
      </c>
      <c r="C2124" s="93" t="s">
        <v>446</v>
      </c>
      <c r="D2124" s="93" t="s">
        <v>447</v>
      </c>
      <c r="E2124" s="93" t="s">
        <v>2384</v>
      </c>
      <c r="F2124" s="93" t="s">
        <v>2323</v>
      </c>
      <c r="G2124" s="93" t="s">
        <v>2323</v>
      </c>
      <c r="H2124" s="93" t="e">
        <v>#N/A</v>
      </c>
      <c r="I2124" s="105" t="s">
        <v>2310</v>
      </c>
      <c r="J2124" s="93" t="s">
        <v>189</v>
      </c>
      <c r="K2124" s="93">
        <v>5210</v>
      </c>
      <c r="L2124" s="93">
        <v>5210</v>
      </c>
      <c r="M2124" s="93" t="s">
        <v>2311</v>
      </c>
      <c r="N2124" s="93" t="e">
        <f>VLOOKUP(B2124,'[16]01.수집 카테고리(List)'!$A$2:$H$64,8,FALSE)</f>
        <v>#N/A</v>
      </c>
      <c r="O2124" s="93"/>
    </row>
    <row r="2125" spans="1:15" hidden="1">
      <c r="A2125" s="75" t="str">
        <f t="shared" si="78"/>
        <v>NOELKJOPMONITORgaming monitorspill skjerm</v>
      </c>
      <c r="B2125" s="94" t="str">
        <f t="shared" si="79"/>
        <v>NO_ELKJOP</v>
      </c>
      <c r="C2125" s="93" t="s">
        <v>446</v>
      </c>
      <c r="D2125" s="93" t="s">
        <v>447</v>
      </c>
      <c r="E2125" s="93" t="s">
        <v>2384</v>
      </c>
      <c r="F2125" s="93" t="s">
        <v>2322</v>
      </c>
      <c r="G2125" s="93" t="s">
        <v>3258</v>
      </c>
      <c r="H2125" s="93" t="e">
        <v>#N/A</v>
      </c>
      <c r="I2125" s="105" t="s">
        <v>2310</v>
      </c>
      <c r="J2125" s="93" t="s">
        <v>189</v>
      </c>
      <c r="K2125" s="93">
        <v>626</v>
      </c>
      <c r="L2125" s="93" t="e">
        <v>#N/A</v>
      </c>
      <c r="M2125" s="93" t="s">
        <v>2311</v>
      </c>
      <c r="N2125" s="93" t="e">
        <f>VLOOKUP(B2125,'[16]01.수집 카테고리(List)'!$A$2:$H$64,8,FALSE)</f>
        <v>#N/A</v>
      </c>
      <c r="O2125" s="93"/>
    </row>
    <row r="2126" spans="1:15" hidden="1">
      <c r="A2126" s="75" t="str">
        <f t="shared" si="78"/>
        <v>NOELKJOPMONITORuhd monitorUHD-skjerm</v>
      </c>
      <c r="B2126" s="94" t="str">
        <f t="shared" si="79"/>
        <v>NO_ELKJOP</v>
      </c>
      <c r="C2126" s="93" t="s">
        <v>446</v>
      </c>
      <c r="D2126" s="93" t="s">
        <v>447</v>
      </c>
      <c r="E2126" s="93" t="s">
        <v>2384</v>
      </c>
      <c r="F2126" s="93" t="s">
        <v>2324</v>
      </c>
      <c r="G2126" s="93" t="s">
        <v>3259</v>
      </c>
      <c r="H2126" s="93" t="e">
        <v>#N/A</v>
      </c>
      <c r="I2126" s="105" t="s">
        <v>2310</v>
      </c>
      <c r="J2126" s="93" t="s">
        <v>189</v>
      </c>
      <c r="K2126" s="93">
        <v>112</v>
      </c>
      <c r="L2126" s="93" t="e">
        <v>#N/A</v>
      </c>
      <c r="M2126" s="93" t="s">
        <v>2311</v>
      </c>
      <c r="N2126" s="93" t="e">
        <f>VLOOKUP(B2126,'[16]01.수집 카테고리(List)'!$A$2:$H$64,8,FALSE)</f>
        <v>#N/A</v>
      </c>
      <c r="O2126" s="93"/>
    </row>
    <row r="2127" spans="1:15" hidden="1">
      <c r="A2127" s="75" t="str">
        <f t="shared" si="78"/>
        <v>NOELKJOPMONITORultrawide monitorUltrabred skjerm</v>
      </c>
      <c r="B2127" s="94" t="str">
        <f t="shared" si="79"/>
        <v>NO_ELKJOP</v>
      </c>
      <c r="C2127" s="93" t="s">
        <v>446</v>
      </c>
      <c r="D2127" s="93" t="s">
        <v>447</v>
      </c>
      <c r="E2127" s="93" t="s">
        <v>2384</v>
      </c>
      <c r="F2127" s="93" t="s">
        <v>2325</v>
      </c>
      <c r="G2127" s="93" t="s">
        <v>3260</v>
      </c>
      <c r="H2127" s="93" t="e">
        <v>#N/A</v>
      </c>
      <c r="I2127" s="105" t="s">
        <v>2310</v>
      </c>
      <c r="J2127" s="93" t="s">
        <v>189</v>
      </c>
      <c r="K2127" s="93">
        <v>40</v>
      </c>
      <c r="L2127" s="93" t="e">
        <v>#N/A</v>
      </c>
      <c r="M2127" s="93" t="s">
        <v>2311</v>
      </c>
      <c r="N2127" s="93" t="e">
        <f>VLOOKUP(B2127,'[16]01.수집 카테고리(List)'!$A$2:$H$64,8,FALSE)</f>
        <v>#N/A</v>
      </c>
      <c r="O2127" s="93"/>
    </row>
    <row r="2128" spans="1:15" hidden="1">
      <c r="A2128" s="75" t="str">
        <f t="shared" si="78"/>
        <v>NOELKJOPRefrigeratorbottom freezer refrigeratorbunn fryseskap kjøleskap</v>
      </c>
      <c r="B2128" s="94" t="str">
        <f t="shared" si="79"/>
        <v>NO_ELKJOP</v>
      </c>
      <c r="C2128" s="93" t="s">
        <v>446</v>
      </c>
      <c r="D2128" s="93" t="s">
        <v>447</v>
      </c>
      <c r="E2128" s="93" t="s">
        <v>2326</v>
      </c>
      <c r="F2128" s="93" t="s">
        <v>2327</v>
      </c>
      <c r="G2128" s="93" t="s">
        <v>3261</v>
      </c>
      <c r="H2128" s="93" t="e">
        <v>#N/A</v>
      </c>
      <c r="I2128" s="105" t="s">
        <v>2310</v>
      </c>
      <c r="J2128" s="93" t="s">
        <v>189</v>
      </c>
      <c r="K2128" s="93">
        <v>682</v>
      </c>
      <c r="L2128" s="93" t="e">
        <v>#N/A</v>
      </c>
      <c r="M2128" s="93" t="s">
        <v>2311</v>
      </c>
      <c r="N2128" s="93" t="e">
        <f>VLOOKUP(B2128,'[16]01.수집 카테고리(List)'!$A$2:$H$64,8,FALSE)</f>
        <v>#N/A</v>
      </c>
      <c r="O2128" s="93"/>
    </row>
    <row r="2129" spans="1:15" hidden="1">
      <c r="A2129" s="75" t="str">
        <f t="shared" si="78"/>
        <v>NOELKJOPRefrigeratorfrench door refrigeratorFrench Door kjøleskap</v>
      </c>
      <c r="B2129" s="94" t="str">
        <f t="shared" si="79"/>
        <v>NO_ELKJOP</v>
      </c>
      <c r="C2129" s="93" t="s">
        <v>446</v>
      </c>
      <c r="D2129" s="93" t="s">
        <v>447</v>
      </c>
      <c r="E2129" s="93" t="s">
        <v>2326</v>
      </c>
      <c r="F2129" s="93" t="s">
        <v>2328</v>
      </c>
      <c r="G2129" s="93" t="s">
        <v>3262</v>
      </c>
      <c r="H2129" s="93" t="e">
        <v>#N/A</v>
      </c>
      <c r="I2129" s="105" t="s">
        <v>2310</v>
      </c>
      <c r="J2129" s="93" t="s">
        <v>189</v>
      </c>
      <c r="K2129" s="93">
        <v>124</v>
      </c>
      <c r="L2129" s="93" t="e">
        <v>#N/A</v>
      </c>
      <c r="M2129" s="93" t="s">
        <v>2311</v>
      </c>
      <c r="N2129" s="93" t="e">
        <f>VLOOKUP(B2129,'[16]01.수집 카테고리(List)'!$A$2:$H$64,8,FALSE)</f>
        <v>#N/A</v>
      </c>
      <c r="O2129" s="93"/>
    </row>
    <row r="2130" spans="1:15" hidden="1">
      <c r="A2130" s="75" t="str">
        <f t="shared" si="78"/>
        <v>NOELKJOPRefrigeratorrefrigeratorkjøleskap</v>
      </c>
      <c r="B2130" s="94" t="str">
        <f t="shared" si="79"/>
        <v>NO_ELKJOP</v>
      </c>
      <c r="C2130" s="93" t="s">
        <v>446</v>
      </c>
      <c r="D2130" s="93" t="s">
        <v>447</v>
      </c>
      <c r="E2130" s="93" t="s">
        <v>2326</v>
      </c>
      <c r="F2130" s="93" t="s">
        <v>2329</v>
      </c>
      <c r="G2130" s="93" t="s">
        <v>3263</v>
      </c>
      <c r="H2130" s="93" t="e">
        <v>#N/A</v>
      </c>
      <c r="I2130" s="105" t="s">
        <v>2310</v>
      </c>
      <c r="J2130" s="93" t="s">
        <v>189</v>
      </c>
      <c r="K2130" s="93">
        <v>16787</v>
      </c>
      <c r="L2130" s="93" t="e">
        <v>#N/A</v>
      </c>
      <c r="M2130" s="93" t="s">
        <v>2311</v>
      </c>
      <c r="N2130" s="93" t="e">
        <f>VLOOKUP(B2130,'[16]01.수집 카테고리(List)'!$A$2:$H$64,8,FALSE)</f>
        <v>#N/A</v>
      </c>
      <c r="O2130" s="93"/>
    </row>
    <row r="2131" spans="1:15" hidden="1">
      <c r="A2131" s="75" t="str">
        <f t="shared" si="78"/>
        <v>NOELKJOPRefrigeratorside by side refrigeratorSide by side kjøleskap</v>
      </c>
      <c r="B2131" s="94" t="str">
        <f t="shared" si="79"/>
        <v>NO_ELKJOP</v>
      </c>
      <c r="C2131" s="93" t="s">
        <v>446</v>
      </c>
      <c r="D2131" s="93" t="s">
        <v>447</v>
      </c>
      <c r="E2131" s="93" t="s">
        <v>2326</v>
      </c>
      <c r="F2131" s="93" t="s">
        <v>2330</v>
      </c>
      <c r="G2131" s="93" t="s">
        <v>3264</v>
      </c>
      <c r="H2131" s="93" t="e">
        <v>#N/A</v>
      </c>
      <c r="I2131" s="105" t="s">
        <v>2310</v>
      </c>
      <c r="J2131" s="93" t="s">
        <v>189</v>
      </c>
      <c r="K2131" s="93">
        <v>448</v>
      </c>
      <c r="L2131" s="93" t="e">
        <v>#N/A</v>
      </c>
      <c r="M2131" s="93" t="s">
        <v>2311</v>
      </c>
      <c r="N2131" s="93" t="e">
        <f>VLOOKUP(B2131,'[16]01.수집 카테고리(List)'!$A$2:$H$64,8,FALSE)</f>
        <v>#N/A</v>
      </c>
      <c r="O2131" s="93"/>
    </row>
    <row r="2132" spans="1:15" hidden="1">
      <c r="A2132" s="75" t="str">
        <f t="shared" si="78"/>
        <v>NOELKJOPSOUNDBARsoundbar for tvlydplanke for tv</v>
      </c>
      <c r="B2132" s="94" t="str">
        <f t="shared" si="79"/>
        <v>NO_ELKJOP</v>
      </c>
      <c r="C2132" s="93" t="s">
        <v>446</v>
      </c>
      <c r="D2132" s="93" t="s">
        <v>447</v>
      </c>
      <c r="E2132" s="93" t="s">
        <v>165</v>
      </c>
      <c r="F2132" s="93" t="s">
        <v>2573</v>
      </c>
      <c r="G2132" s="93" t="s">
        <v>3265</v>
      </c>
      <c r="H2132" s="93" t="e">
        <v>#N/A</v>
      </c>
      <c r="I2132" s="105" t="s">
        <v>2310</v>
      </c>
      <c r="J2132" s="93" t="s">
        <v>189</v>
      </c>
      <c r="K2132" s="93">
        <v>74</v>
      </c>
      <c r="L2132" s="93" t="e">
        <v>#N/A</v>
      </c>
      <c r="M2132" s="93" t="s">
        <v>2311</v>
      </c>
      <c r="N2132" s="93" t="e">
        <f>VLOOKUP(B2132,'[16]01.수집 카테고리(List)'!$A$2:$H$64,8,FALSE)</f>
        <v>#N/A</v>
      </c>
      <c r="O2132" s="93"/>
    </row>
    <row r="2133" spans="1:15" hidden="1">
      <c r="A2133" s="75" t="str">
        <f t="shared" si="78"/>
        <v>NOELKJOPSOUNDBARSoundbarSoundbar</v>
      </c>
      <c r="B2133" s="94" t="str">
        <f t="shared" si="79"/>
        <v>NO_ELKJOP</v>
      </c>
      <c r="C2133" s="93" t="s">
        <v>446</v>
      </c>
      <c r="D2133" s="93" t="s">
        <v>447</v>
      </c>
      <c r="E2133" s="93" t="s">
        <v>165</v>
      </c>
      <c r="F2133" s="93" t="s">
        <v>2363</v>
      </c>
      <c r="G2133" s="93" t="s">
        <v>2363</v>
      </c>
      <c r="H2133" s="93" t="e">
        <v>#N/A</v>
      </c>
      <c r="I2133" s="105" t="s">
        <v>2310</v>
      </c>
      <c r="J2133" s="93" t="s">
        <v>189</v>
      </c>
      <c r="K2133" s="93">
        <v>524</v>
      </c>
      <c r="L2133" s="93">
        <v>524</v>
      </c>
      <c r="M2133" s="93" t="s">
        <v>2311</v>
      </c>
      <c r="N2133" s="93" t="e">
        <f>VLOOKUP(B2133,'[16]01.수집 카테고리(List)'!$A$2:$H$64,8,FALSE)</f>
        <v>#N/A</v>
      </c>
      <c r="O2133" s="93"/>
    </row>
    <row r="2134" spans="1:15" hidden="1">
      <c r="A2134" s="75" t="str">
        <f t="shared" si="78"/>
        <v>NOELKJOPSOUNDBARSurround sound systemSurround lydsystem</v>
      </c>
      <c r="B2134" s="94" t="str">
        <f t="shared" si="79"/>
        <v>NO_ELKJOP</v>
      </c>
      <c r="C2134" s="93" t="s">
        <v>446</v>
      </c>
      <c r="D2134" s="93" t="s">
        <v>447</v>
      </c>
      <c r="E2134" s="93" t="s">
        <v>165</v>
      </c>
      <c r="F2134" s="93" t="s">
        <v>2772</v>
      </c>
      <c r="G2134" s="93" t="s">
        <v>3266</v>
      </c>
      <c r="H2134" s="93" t="e">
        <v>#N/A</v>
      </c>
      <c r="I2134" s="105" t="s">
        <v>2310</v>
      </c>
      <c r="J2134" s="93" t="s">
        <v>189</v>
      </c>
      <c r="K2134" s="93">
        <v>2</v>
      </c>
      <c r="L2134" s="93" t="e">
        <v>#N/A</v>
      </c>
      <c r="M2134" s="93" t="s">
        <v>2311</v>
      </c>
      <c r="N2134" s="93" t="e">
        <f>VLOOKUP(B2134,'[16]01.수집 카테고리(List)'!$A$2:$H$64,8,FALSE)</f>
        <v>#N/A</v>
      </c>
      <c r="O2134" s="93"/>
    </row>
    <row r="2135" spans="1:15" hidden="1">
      <c r="A2135" s="75" t="str">
        <f t="shared" si="78"/>
        <v>NOELKJOPSOUNDBARtv soundbarTV lydplanke</v>
      </c>
      <c r="B2135" s="94" t="str">
        <f t="shared" si="79"/>
        <v>NO_ELKJOP</v>
      </c>
      <c r="C2135" s="93" t="s">
        <v>446</v>
      </c>
      <c r="D2135" s="93" t="s">
        <v>447</v>
      </c>
      <c r="E2135" s="93" t="s">
        <v>165</v>
      </c>
      <c r="F2135" s="93" t="s">
        <v>2686</v>
      </c>
      <c r="G2135" s="93" t="s">
        <v>3267</v>
      </c>
      <c r="H2135" s="93" t="e">
        <v>#N/A</v>
      </c>
      <c r="I2135" s="105" t="s">
        <v>2310</v>
      </c>
      <c r="J2135" s="93" t="s">
        <v>189</v>
      </c>
      <c r="K2135" s="93">
        <v>191</v>
      </c>
      <c r="L2135" s="93" t="e">
        <v>#N/A</v>
      </c>
      <c r="M2135" s="93" t="s">
        <v>2311</v>
      </c>
      <c r="N2135" s="93" t="e">
        <f>VLOOKUP(B2135,'[16]01.수집 카테고리(List)'!$A$2:$H$64,8,FALSE)</f>
        <v>#N/A</v>
      </c>
      <c r="O2135" s="93"/>
    </row>
    <row r="2136" spans="1:15" hidden="1">
      <c r="A2136" s="75" t="str">
        <f t="shared" si="78"/>
        <v>NOELKJOPSOUNDBARtv soundTV-lyd</v>
      </c>
      <c r="B2136" s="94" t="str">
        <f t="shared" si="79"/>
        <v>NO_ELKJOP</v>
      </c>
      <c r="C2136" s="93" t="s">
        <v>446</v>
      </c>
      <c r="D2136" s="93" t="s">
        <v>447</v>
      </c>
      <c r="E2136" s="93" t="s">
        <v>165</v>
      </c>
      <c r="F2136" s="93" t="s">
        <v>2774</v>
      </c>
      <c r="G2136" s="93" t="s">
        <v>3268</v>
      </c>
      <c r="H2136" s="93" t="s">
        <v>3138</v>
      </c>
      <c r="I2136" s="105" t="s">
        <v>2310</v>
      </c>
      <c r="J2136" s="93" t="s">
        <v>189</v>
      </c>
      <c r="K2136" s="93" t="e">
        <v>#N/A</v>
      </c>
      <c r="L2136" s="93" t="e">
        <v>#N/A</v>
      </c>
      <c r="M2136" s="93" t="s">
        <v>2393</v>
      </c>
      <c r="N2136" s="93" t="e">
        <f>VLOOKUP(B2136,'[16]01.수집 카테고리(List)'!$A$2:$H$64,8,FALSE)</f>
        <v>#N/A</v>
      </c>
      <c r="O2136" s="93"/>
    </row>
    <row r="2137" spans="1:15" hidden="1">
      <c r="A2137" s="75" t="str">
        <f t="shared" si="78"/>
        <v>NOELKJOPTV4k TV4k TV</v>
      </c>
      <c r="B2137" s="94" t="str">
        <f t="shared" si="79"/>
        <v>NO_ELKJOP</v>
      </c>
      <c r="C2137" s="93" t="s">
        <v>446</v>
      </c>
      <c r="D2137" s="93" t="s">
        <v>447</v>
      </c>
      <c r="E2137" s="93" t="s">
        <v>161</v>
      </c>
      <c r="F2137" s="93" t="s">
        <v>2368</v>
      </c>
      <c r="G2137" s="93" t="s">
        <v>2368</v>
      </c>
      <c r="H2137" s="93" t="e">
        <v>#N/A</v>
      </c>
      <c r="I2137" s="105" t="s">
        <v>2310</v>
      </c>
      <c r="J2137" s="93" t="s">
        <v>189</v>
      </c>
      <c r="K2137" s="93">
        <v>13644</v>
      </c>
      <c r="L2137" s="93">
        <v>13644</v>
      </c>
      <c r="M2137" s="93" t="s">
        <v>2311</v>
      </c>
      <c r="N2137" s="93" t="e">
        <f>VLOOKUP(B2137,'[16]01.수집 카테고리(List)'!$A$2:$H$64,8,FALSE)</f>
        <v>#N/A</v>
      </c>
      <c r="O2137" s="93"/>
    </row>
    <row r="2138" spans="1:15" hidden="1">
      <c r="A2138" s="75" t="str">
        <f t="shared" si="78"/>
        <v>NOELKJOPTVoled TVoled TV</v>
      </c>
      <c r="B2138" s="94" t="str">
        <f t="shared" si="79"/>
        <v>NO_ELKJOP</v>
      </c>
      <c r="C2138" s="93" t="s">
        <v>446</v>
      </c>
      <c r="D2138" s="93" t="s">
        <v>447</v>
      </c>
      <c r="E2138" s="93" t="s">
        <v>161</v>
      </c>
      <c r="F2138" s="93" t="s">
        <v>2369</v>
      </c>
      <c r="G2138" s="93" t="s">
        <v>2369</v>
      </c>
      <c r="H2138" s="93" t="e">
        <v>#N/A</v>
      </c>
      <c r="I2138" s="105" t="s">
        <v>2310</v>
      </c>
      <c r="J2138" s="93" t="s">
        <v>189</v>
      </c>
      <c r="K2138" s="93">
        <v>2203</v>
      </c>
      <c r="L2138" s="93">
        <v>2203</v>
      </c>
      <c r="M2138" s="93" t="s">
        <v>2311</v>
      </c>
      <c r="N2138" s="93" t="e">
        <f>VLOOKUP(B2138,'[16]01.수집 카테고리(List)'!$A$2:$H$64,8,FALSE)</f>
        <v>#N/A</v>
      </c>
      <c r="O2138" s="93"/>
    </row>
    <row r="2139" spans="1:15" hidden="1">
      <c r="A2139" s="75" t="str">
        <f t="shared" si="78"/>
        <v>NOELKJOPTVsmart TVsmart TV</v>
      </c>
      <c r="B2139" s="94" t="str">
        <f t="shared" si="79"/>
        <v>NO_ELKJOP</v>
      </c>
      <c r="C2139" s="93" t="s">
        <v>446</v>
      </c>
      <c r="D2139" s="93" t="s">
        <v>447</v>
      </c>
      <c r="E2139" s="93" t="s">
        <v>161</v>
      </c>
      <c r="F2139" s="93" t="s">
        <v>2371</v>
      </c>
      <c r="G2139" s="93" t="s">
        <v>2371</v>
      </c>
      <c r="H2139" s="93" t="e">
        <v>#N/A</v>
      </c>
      <c r="I2139" s="105" t="s">
        <v>2310</v>
      </c>
      <c r="J2139" s="93" t="s">
        <v>189</v>
      </c>
      <c r="K2139" s="93">
        <v>18602</v>
      </c>
      <c r="L2139" s="93">
        <v>18602</v>
      </c>
      <c r="M2139" s="93" t="s">
        <v>2311</v>
      </c>
      <c r="N2139" s="93" t="e">
        <f>VLOOKUP(B2139,'[16]01.수집 카테고리(List)'!$A$2:$H$64,8,FALSE)</f>
        <v>#N/A</v>
      </c>
      <c r="O2139" s="93"/>
    </row>
    <row r="2140" spans="1:15" hidden="1">
      <c r="A2140" s="75" t="str">
        <f t="shared" si="78"/>
        <v>NOELKJOPTVTVTV</v>
      </c>
      <c r="B2140" s="94" t="str">
        <f t="shared" si="79"/>
        <v>NO_ELKJOP</v>
      </c>
      <c r="C2140" s="93" t="s">
        <v>446</v>
      </c>
      <c r="D2140" s="93" t="s">
        <v>447</v>
      </c>
      <c r="E2140" s="93" t="s">
        <v>161</v>
      </c>
      <c r="F2140" s="93" t="s">
        <v>161</v>
      </c>
      <c r="G2140" s="93" t="s">
        <v>161</v>
      </c>
      <c r="H2140" s="93" t="e">
        <v>#N/A</v>
      </c>
      <c r="I2140" s="105" t="s">
        <v>2310</v>
      </c>
      <c r="J2140" s="93" t="s">
        <v>189</v>
      </c>
      <c r="K2140" s="93">
        <v>1777</v>
      </c>
      <c r="L2140" s="93">
        <v>1777</v>
      </c>
      <c r="M2140" s="93" t="s">
        <v>2311</v>
      </c>
      <c r="N2140" s="93" t="e">
        <f>VLOOKUP(B2140,'[16]01.수집 카테고리(List)'!$A$2:$H$64,8,FALSE)</f>
        <v>#N/A</v>
      </c>
      <c r="O2140" s="93"/>
    </row>
    <row r="2141" spans="1:15" hidden="1">
      <c r="A2141" s="75" t="str">
        <f t="shared" si="78"/>
        <v>NOELKJOPTVuhd TVuhd TV</v>
      </c>
      <c r="B2141" s="94" t="str">
        <f t="shared" si="79"/>
        <v>NO_ELKJOP</v>
      </c>
      <c r="C2141" s="93" t="s">
        <v>446</v>
      </c>
      <c r="D2141" s="93" t="s">
        <v>447</v>
      </c>
      <c r="E2141" s="93" t="s">
        <v>161</v>
      </c>
      <c r="F2141" s="93" t="s">
        <v>2399</v>
      </c>
      <c r="G2141" s="93" t="s">
        <v>2399</v>
      </c>
      <c r="H2141" s="93" t="e">
        <v>#N/A</v>
      </c>
      <c r="I2141" s="105" t="s">
        <v>2310</v>
      </c>
      <c r="J2141" s="93" t="s">
        <v>189</v>
      </c>
      <c r="K2141" s="93">
        <v>2933</v>
      </c>
      <c r="L2141" s="93">
        <v>2933</v>
      </c>
      <c r="M2141" s="93" t="s">
        <v>2311</v>
      </c>
      <c r="N2141" s="93" t="e">
        <f>VLOOKUP(B2141,'[16]01.수집 카테고리(List)'!$A$2:$H$64,8,FALSE)</f>
        <v>#N/A</v>
      </c>
      <c r="O2141" s="93"/>
    </row>
    <row r="2142" spans="1:15" hidden="1">
      <c r="A2142" s="75" t="str">
        <f t="shared" si="78"/>
        <v>NOELKJOPWashing Machinefront loaderFrontmatet</v>
      </c>
      <c r="B2142" s="94" t="str">
        <f t="shared" si="79"/>
        <v>NO_ELKJOP</v>
      </c>
      <c r="C2142" s="93" t="s">
        <v>446</v>
      </c>
      <c r="D2142" s="93" t="s">
        <v>447</v>
      </c>
      <c r="E2142" s="93" t="s">
        <v>2333</v>
      </c>
      <c r="F2142" s="93" t="s">
        <v>2334</v>
      </c>
      <c r="G2142" s="93" t="s">
        <v>3269</v>
      </c>
      <c r="H2142" s="93" t="e">
        <v>#N/A</v>
      </c>
      <c r="I2142" s="105" t="s">
        <v>2310</v>
      </c>
      <c r="J2142" s="93" t="s">
        <v>189</v>
      </c>
      <c r="K2142" s="93">
        <v>847</v>
      </c>
      <c r="L2142" s="93" t="e">
        <v>#N/A</v>
      </c>
      <c r="M2142" s="93" t="s">
        <v>2311</v>
      </c>
      <c r="N2142" s="93" t="e">
        <f>VLOOKUP(B2142,'[16]01.수집 카테고리(List)'!$A$2:$H$64,8,FALSE)</f>
        <v>#N/A</v>
      </c>
      <c r="O2142" s="93"/>
    </row>
    <row r="2143" spans="1:15" hidden="1">
      <c r="A2143" s="75" t="str">
        <f t="shared" si="78"/>
        <v>NOELKJOPWashing Machinewashing machinevaskemaskin</v>
      </c>
      <c r="B2143" s="94" t="str">
        <f t="shared" si="79"/>
        <v>NO_ELKJOP</v>
      </c>
      <c r="C2143" s="93" t="s">
        <v>446</v>
      </c>
      <c r="D2143" s="93" t="s">
        <v>447</v>
      </c>
      <c r="E2143" s="93" t="s">
        <v>2333</v>
      </c>
      <c r="F2143" s="93" t="s">
        <v>2340</v>
      </c>
      <c r="G2143" s="93" t="s">
        <v>3270</v>
      </c>
      <c r="H2143" s="93" t="e">
        <v>#N/A</v>
      </c>
      <c r="I2143" s="105" t="s">
        <v>2310</v>
      </c>
      <c r="J2143" s="93" t="s">
        <v>189</v>
      </c>
      <c r="K2143" s="93">
        <v>12405</v>
      </c>
      <c r="L2143" s="93" t="e">
        <v>#N/A</v>
      </c>
      <c r="M2143" s="93" t="s">
        <v>2311</v>
      </c>
      <c r="N2143" s="93" t="e">
        <f>VLOOKUP(B2143,'[16]01.수집 카테고리(List)'!$A$2:$H$64,8,FALSE)</f>
        <v>#N/A</v>
      </c>
      <c r="O2143" s="93"/>
    </row>
    <row r="2144" spans="1:15" hidden="1">
      <c r="A2144" s="75" t="str">
        <f t="shared" si="78"/>
        <v>NOELKJOPWashing Machinewasher dryer combovaskemaskin og tørketrommel</v>
      </c>
      <c r="B2144" s="94" t="str">
        <f t="shared" si="79"/>
        <v>NO_ELKJOP</v>
      </c>
      <c r="C2144" s="93" t="s">
        <v>446</v>
      </c>
      <c r="D2144" s="93" t="s">
        <v>447</v>
      </c>
      <c r="E2144" s="93" t="s">
        <v>2333</v>
      </c>
      <c r="F2144" s="93" t="s">
        <v>2338</v>
      </c>
      <c r="G2144" s="93" t="s">
        <v>3271</v>
      </c>
      <c r="H2144" s="93" t="e">
        <v>#N/A</v>
      </c>
      <c r="I2144" s="105" t="s">
        <v>2310</v>
      </c>
      <c r="J2144" s="93" t="s">
        <v>189</v>
      </c>
      <c r="K2144" s="93">
        <v>4591</v>
      </c>
      <c r="L2144" s="93" t="e">
        <v>#N/A</v>
      </c>
      <c r="M2144" s="93" t="s">
        <v>2311</v>
      </c>
      <c r="N2144" s="93" t="e">
        <f>VLOOKUP(B2144,'[16]01.수집 카테고리(List)'!$A$2:$H$64,8,FALSE)</f>
        <v>#N/A</v>
      </c>
      <c r="O2144" s="93"/>
    </row>
    <row r="2145" spans="1:15" hidden="1">
      <c r="A2145" s="75" t="str">
        <f t="shared" si="78"/>
        <v>NOELKJOPWIRELESS HEADSETBluetooth HeadphonesBluetooth-hodetelefoner</v>
      </c>
      <c r="B2145" s="94" t="str">
        <f t="shared" si="79"/>
        <v>NO_ELKJOP</v>
      </c>
      <c r="C2145" s="93" t="s">
        <v>446</v>
      </c>
      <c r="D2145" s="93" t="s">
        <v>447</v>
      </c>
      <c r="E2145" s="93" t="s">
        <v>2201</v>
      </c>
      <c r="F2145" s="93" t="s">
        <v>2533</v>
      </c>
      <c r="G2145" s="93" t="s">
        <v>3272</v>
      </c>
      <c r="H2145" s="93" t="e">
        <v>#N/A</v>
      </c>
      <c r="I2145" s="105" t="s">
        <v>2310</v>
      </c>
      <c r="J2145" s="93" t="s">
        <v>189</v>
      </c>
      <c r="K2145" s="93">
        <v>377</v>
      </c>
      <c r="L2145" s="93" t="e">
        <v>#N/A</v>
      </c>
      <c r="M2145" s="93" t="s">
        <v>2311</v>
      </c>
      <c r="N2145" s="93" t="e">
        <f>VLOOKUP(B2145,'[16]01.수집 카테고리(List)'!$A$2:$H$64,8,FALSE)</f>
        <v>#N/A</v>
      </c>
      <c r="O2145" s="93"/>
    </row>
    <row r="2146" spans="1:15" hidden="1">
      <c r="A2146" s="75" t="str">
        <f t="shared" si="78"/>
        <v>NOELKJOPWIRELESS HEADSETBluetooth earbudsBluetooth-øreplugger</v>
      </c>
      <c r="B2146" s="94" t="str">
        <f t="shared" si="79"/>
        <v>NO_ELKJOP</v>
      </c>
      <c r="C2146" s="93" t="s">
        <v>446</v>
      </c>
      <c r="D2146" s="93" t="s">
        <v>447</v>
      </c>
      <c r="E2146" s="93" t="s">
        <v>2201</v>
      </c>
      <c r="F2146" s="93" t="s">
        <v>2382</v>
      </c>
      <c r="G2146" s="93" t="s">
        <v>3273</v>
      </c>
      <c r="H2146" s="93" t="e">
        <v>#N/A</v>
      </c>
      <c r="I2146" s="105" t="s">
        <v>2310</v>
      </c>
      <c r="J2146" s="93" t="s">
        <v>189</v>
      </c>
      <c r="K2146" s="93">
        <v>110</v>
      </c>
      <c r="L2146" s="93" t="e">
        <v>#N/A</v>
      </c>
      <c r="M2146" s="93" t="s">
        <v>2311</v>
      </c>
      <c r="N2146" s="93" t="e">
        <f>VLOOKUP(B2146,'[16]01.수집 카테고리(List)'!$A$2:$H$64,8,FALSE)</f>
        <v>#N/A</v>
      </c>
      <c r="O2146" s="93"/>
    </row>
    <row r="2147" spans="1:15" hidden="1">
      <c r="A2147" s="75" t="str">
        <f t="shared" si="78"/>
        <v>NOELKJOPWIRELESS HEADSETEarbudsØrepropper</v>
      </c>
      <c r="B2147" s="94" t="str">
        <f t="shared" si="79"/>
        <v>NO_ELKJOP</v>
      </c>
      <c r="C2147" s="93" t="s">
        <v>446</v>
      </c>
      <c r="D2147" s="93" t="s">
        <v>447</v>
      </c>
      <c r="E2147" s="93" t="s">
        <v>2201</v>
      </c>
      <c r="F2147" s="93" t="s">
        <v>2534</v>
      </c>
      <c r="G2147" s="93" t="s">
        <v>3274</v>
      </c>
      <c r="H2147" s="93" t="e">
        <v>#N/A</v>
      </c>
      <c r="I2147" s="105" t="s">
        <v>2310</v>
      </c>
      <c r="J2147" s="93" t="s">
        <v>189</v>
      </c>
      <c r="K2147" s="93">
        <v>1158</v>
      </c>
      <c r="L2147" s="93" t="e">
        <v>#N/A</v>
      </c>
      <c r="M2147" s="93" t="s">
        <v>2311</v>
      </c>
      <c r="N2147" s="93" t="e">
        <f>VLOOKUP(B2147,'[16]01.수집 카테고리(List)'!$A$2:$H$64,8,FALSE)</f>
        <v>#N/A</v>
      </c>
      <c r="O2147" s="93"/>
    </row>
    <row r="2148" spans="1:15" hidden="1">
      <c r="A2148" s="75" t="str">
        <f t="shared" si="78"/>
        <v>NOELKJOPWIRELESS HEADSETEar budsØrepropper</v>
      </c>
      <c r="B2148" s="94" t="str">
        <f t="shared" si="79"/>
        <v>NO_ELKJOP</v>
      </c>
      <c r="C2148" s="93" t="s">
        <v>446</v>
      </c>
      <c r="D2148" s="93" t="s">
        <v>447</v>
      </c>
      <c r="E2148" s="93" t="s">
        <v>2201</v>
      </c>
      <c r="F2148" s="93" t="s">
        <v>2380</v>
      </c>
      <c r="G2148" s="93" t="s">
        <v>3274</v>
      </c>
      <c r="H2148" s="93" t="e">
        <v>#N/A</v>
      </c>
      <c r="I2148" s="105" t="s">
        <v>2310</v>
      </c>
      <c r="J2148" s="93" t="s">
        <v>189</v>
      </c>
      <c r="K2148" s="93">
        <v>1158</v>
      </c>
      <c r="L2148" s="93" t="e">
        <v>#N/A</v>
      </c>
      <c r="M2148" s="93" t="s">
        <v>2311</v>
      </c>
      <c r="N2148" s="93" t="e">
        <f>VLOOKUP(B2148,'[16]01.수집 카테고리(List)'!$A$2:$H$64,8,FALSE)</f>
        <v>#N/A</v>
      </c>
      <c r="O2148" s="93"/>
    </row>
    <row r="2149" spans="1:15" hidden="1">
      <c r="A2149" s="75" t="str">
        <f t="shared" si="78"/>
        <v>NOELKJOPWIRELESS HEADSETWireless earbudsTrådløse ørepropper</v>
      </c>
      <c r="B2149" s="94" t="str">
        <f t="shared" si="79"/>
        <v>NO_ELKJOP</v>
      </c>
      <c r="C2149" s="93" t="s">
        <v>446</v>
      </c>
      <c r="D2149" s="93" t="s">
        <v>447</v>
      </c>
      <c r="E2149" s="93" t="s">
        <v>2201</v>
      </c>
      <c r="F2149" s="93" t="s">
        <v>2376</v>
      </c>
      <c r="G2149" s="93" t="s">
        <v>3275</v>
      </c>
      <c r="H2149" s="93" t="e">
        <v>#N/A</v>
      </c>
      <c r="I2149" s="105" t="s">
        <v>2310</v>
      </c>
      <c r="J2149" s="93" t="s">
        <v>189</v>
      </c>
      <c r="K2149" s="93">
        <v>717</v>
      </c>
      <c r="L2149" s="93" t="e">
        <v>#N/A</v>
      </c>
      <c r="M2149" s="93" t="s">
        <v>2311</v>
      </c>
      <c r="N2149" s="93" t="e">
        <f>VLOOKUP(B2149,'[16]01.수집 카테고리(List)'!$A$2:$H$64,8,FALSE)</f>
        <v>#N/A</v>
      </c>
      <c r="O2149" s="93"/>
    </row>
    <row r="2150" spans="1:15" hidden="1">
      <c r="A2150" s="75" t="str">
        <f t="shared" si="78"/>
        <v>NZHARVEYNORMANBluetooth Speakerbluetooth speakerbluetooth speaker</v>
      </c>
      <c r="B2150" s="94" t="str">
        <f t="shared" si="79"/>
        <v>NZ_HARVEYNORMAN</v>
      </c>
      <c r="C2150" s="93" t="s">
        <v>390</v>
      </c>
      <c r="D2150" s="93" t="s">
        <v>202</v>
      </c>
      <c r="E2150" s="93" t="s">
        <v>2307</v>
      </c>
      <c r="F2150" s="93" t="s">
        <v>2657</v>
      </c>
      <c r="G2150" s="93" t="s">
        <v>2657</v>
      </c>
      <c r="H2150" s="93" t="e">
        <v>#N/A</v>
      </c>
      <c r="I2150" s="105" t="s">
        <v>2310</v>
      </c>
      <c r="J2150" s="93" t="s">
        <v>189</v>
      </c>
      <c r="K2150" s="93">
        <v>58314</v>
      </c>
      <c r="L2150" s="93">
        <v>58314</v>
      </c>
      <c r="M2150" s="93" t="s">
        <v>2311</v>
      </c>
      <c r="N2150" s="93" t="e">
        <f>VLOOKUP(B2150,'[16]01.수집 카테고리(List)'!$A$2:$H$64,8,FALSE)</f>
        <v>#N/A</v>
      </c>
      <c r="O2150" s="93"/>
    </row>
    <row r="2151" spans="1:15" hidden="1">
      <c r="A2151" s="75" t="str">
        <f t="shared" si="78"/>
        <v>NZHARVEYNORMANBluetooth Speakerbluetooth speaker portablebluetooth speaker portable</v>
      </c>
      <c r="B2151" s="94" t="str">
        <f t="shared" si="79"/>
        <v>NZ_HARVEYNORMAN</v>
      </c>
      <c r="C2151" s="93" t="s">
        <v>390</v>
      </c>
      <c r="D2151" s="93" t="s">
        <v>202</v>
      </c>
      <c r="E2151" s="93" t="s">
        <v>2307</v>
      </c>
      <c r="F2151" s="93" t="s">
        <v>2479</v>
      </c>
      <c r="G2151" s="93" t="s">
        <v>2479</v>
      </c>
      <c r="H2151" s="93" t="e">
        <v>#N/A</v>
      </c>
      <c r="I2151" s="105" t="s">
        <v>2310</v>
      </c>
      <c r="J2151" s="93" t="s">
        <v>189</v>
      </c>
      <c r="K2151" s="93">
        <v>14737</v>
      </c>
      <c r="L2151" s="93">
        <v>14737</v>
      </c>
      <c r="M2151" s="93" t="s">
        <v>2311</v>
      </c>
      <c r="N2151" s="93" t="e">
        <f>VLOOKUP(B2151,'[16]01.수집 카테고리(List)'!$A$2:$H$64,8,FALSE)</f>
        <v>#N/A</v>
      </c>
      <c r="O2151" s="93"/>
    </row>
    <row r="2152" spans="1:15" hidden="1">
      <c r="A2152" s="75" t="str">
        <f t="shared" si="78"/>
        <v>NZHARVEYNORMANBluetooth Speakerportable speakersportable speakers</v>
      </c>
      <c r="B2152" s="94" t="str">
        <f t="shared" si="79"/>
        <v>NZ_HARVEYNORMAN</v>
      </c>
      <c r="C2152" s="93" t="s">
        <v>390</v>
      </c>
      <c r="D2152" s="93" t="s">
        <v>202</v>
      </c>
      <c r="E2152" s="93" t="s">
        <v>2307</v>
      </c>
      <c r="F2152" s="93" t="s">
        <v>2473</v>
      </c>
      <c r="G2152" s="93" t="s">
        <v>2473</v>
      </c>
      <c r="H2152" s="93" t="e">
        <v>#N/A</v>
      </c>
      <c r="I2152" s="105" t="s">
        <v>2310</v>
      </c>
      <c r="J2152" s="93" t="s">
        <v>189</v>
      </c>
      <c r="K2152" s="93">
        <v>17664</v>
      </c>
      <c r="L2152" s="93">
        <v>17664</v>
      </c>
      <c r="M2152" s="93" t="s">
        <v>2311</v>
      </c>
      <c r="N2152" s="93" t="e">
        <f>VLOOKUP(B2152,'[16]01.수집 카테고리(List)'!$A$2:$H$64,8,FALSE)</f>
        <v>#N/A</v>
      </c>
      <c r="O2152" s="93"/>
    </row>
    <row r="2153" spans="1:15" hidden="1">
      <c r="A2153" s="75" t="str">
        <f t="shared" si="78"/>
        <v>NZHARVEYNORMANBluetooth Speakerspeakersspeakers</v>
      </c>
      <c r="B2153" s="94" t="str">
        <f t="shared" si="79"/>
        <v>NZ_HARVEYNORMAN</v>
      </c>
      <c r="C2153" s="93" t="s">
        <v>390</v>
      </c>
      <c r="D2153" s="93" t="s">
        <v>202</v>
      </c>
      <c r="E2153" s="93" t="s">
        <v>2307</v>
      </c>
      <c r="F2153" s="93" t="s">
        <v>2471</v>
      </c>
      <c r="G2153" s="93" t="s">
        <v>2471</v>
      </c>
      <c r="H2153" s="93" t="e">
        <v>#N/A</v>
      </c>
      <c r="I2153" s="105" t="s">
        <v>2310</v>
      </c>
      <c r="J2153" s="93" t="s">
        <v>189</v>
      </c>
      <c r="K2153" s="93">
        <v>88116</v>
      </c>
      <c r="L2153" s="93">
        <v>88116</v>
      </c>
      <c r="M2153" s="93" t="s">
        <v>2311</v>
      </c>
      <c r="N2153" s="93" t="e">
        <f>VLOOKUP(B2153,'[16]01.수집 카테고리(List)'!$A$2:$H$64,8,FALSE)</f>
        <v>#N/A</v>
      </c>
      <c r="O2153" s="93"/>
    </row>
    <row r="2154" spans="1:15" hidden="1">
      <c r="A2154" s="75" t="str">
        <f t="shared" ref="A2154:A2217" si="82">C2154&amp;D2154&amp;E2154&amp;F2154&amp;G2154</f>
        <v>NZHARVEYNORMANBluetooth Speakerwireless portable speakerswireless portable speakers</v>
      </c>
      <c r="B2154" s="94" t="str">
        <f t="shared" ref="B2154:B2217" si="83">C2154&amp;"_"&amp;D2154</f>
        <v>NZ_HARVEYNORMAN</v>
      </c>
      <c r="C2154" s="93" t="s">
        <v>390</v>
      </c>
      <c r="D2154" s="93" t="s">
        <v>202</v>
      </c>
      <c r="E2154" s="93" t="s">
        <v>2307</v>
      </c>
      <c r="F2154" s="93" t="s">
        <v>2475</v>
      </c>
      <c r="G2154" s="93" t="s">
        <v>2475</v>
      </c>
      <c r="H2154" s="93" t="e">
        <v>#N/A</v>
      </c>
      <c r="I2154" s="105" t="s">
        <v>2310</v>
      </c>
      <c r="J2154" s="93" t="s">
        <v>189</v>
      </c>
      <c r="K2154" s="93">
        <v>5820</v>
      </c>
      <c r="L2154" s="93">
        <v>5820</v>
      </c>
      <c r="M2154" s="93" t="s">
        <v>2311</v>
      </c>
      <c r="N2154" s="93" t="e">
        <f>VLOOKUP(B2154,'[16]01.수집 카테고리(List)'!$A$2:$H$64,8,FALSE)</f>
        <v>#N/A</v>
      </c>
      <c r="O2154" s="93"/>
    </row>
    <row r="2155" spans="1:15" hidden="1">
      <c r="A2155" s="75" t="str">
        <f t="shared" si="82"/>
        <v>NZHARVEYNORMANDishwasherDishwasherDishwasher</v>
      </c>
      <c r="B2155" s="94" t="str">
        <f t="shared" si="83"/>
        <v>NZ_HARVEYNORMAN</v>
      </c>
      <c r="C2155" s="93" t="s">
        <v>390</v>
      </c>
      <c r="D2155" s="93" t="s">
        <v>202</v>
      </c>
      <c r="E2155" s="93" t="s">
        <v>2440</v>
      </c>
      <c r="F2155" s="93" t="s">
        <v>2440</v>
      </c>
      <c r="G2155" s="93" t="s">
        <v>2440</v>
      </c>
      <c r="H2155" s="93" t="e">
        <v>#N/A</v>
      </c>
      <c r="I2155" s="105" t="s">
        <v>2310</v>
      </c>
      <c r="J2155" s="93" t="s">
        <v>189</v>
      </c>
      <c r="K2155" s="93">
        <v>18012</v>
      </c>
      <c r="L2155" s="93">
        <v>18012</v>
      </c>
      <c r="M2155" s="93" t="s">
        <v>2311</v>
      </c>
      <c r="N2155" s="93" t="e">
        <f>VLOOKUP(B2155,'[16]01.수집 카테고리(List)'!$A$2:$H$64,8,FALSE)</f>
        <v>#N/A</v>
      </c>
      <c r="O2155" s="93"/>
    </row>
    <row r="2156" spans="1:15" hidden="1">
      <c r="A2156" s="75" t="str">
        <f t="shared" si="82"/>
        <v>NZHARVEYNORMANDishwasherStainless DishwasherStainless Dishwasher</v>
      </c>
      <c r="B2156" s="94" t="str">
        <f t="shared" si="83"/>
        <v>NZ_HARVEYNORMAN</v>
      </c>
      <c r="C2156" s="93" t="s">
        <v>390</v>
      </c>
      <c r="D2156" s="93" t="s">
        <v>202</v>
      </c>
      <c r="E2156" s="93" t="s">
        <v>2440</v>
      </c>
      <c r="F2156" s="93" t="s">
        <v>3276</v>
      </c>
      <c r="G2156" s="93" t="s">
        <v>3276</v>
      </c>
      <c r="H2156" s="93" t="e">
        <v>#N/A</v>
      </c>
      <c r="I2156" s="105" t="s">
        <v>2310</v>
      </c>
      <c r="J2156" s="93" t="s">
        <v>189</v>
      </c>
      <c r="K2156" s="93">
        <v>5142</v>
      </c>
      <c r="L2156" s="93">
        <v>5142</v>
      </c>
      <c r="M2156" s="93" t="s">
        <v>2311</v>
      </c>
      <c r="N2156" s="93" t="e">
        <f>VLOOKUP(B2156,'[16]01.수집 카테고리(List)'!$A$2:$H$64,8,FALSE)</f>
        <v>#N/A</v>
      </c>
      <c r="O2156" s="93"/>
    </row>
    <row r="2157" spans="1:15" hidden="1">
      <c r="A2157" s="75" t="str">
        <f t="shared" si="82"/>
        <v>NZHARVEYNORMANDryercondensor dryercondensor dryer</v>
      </c>
      <c r="B2157" s="94" t="str">
        <f t="shared" si="83"/>
        <v>NZ_HARVEYNORMAN</v>
      </c>
      <c r="C2157" s="93" t="s">
        <v>390</v>
      </c>
      <c r="D2157" s="93" t="s">
        <v>202</v>
      </c>
      <c r="E2157" s="93" t="s">
        <v>2431</v>
      </c>
      <c r="F2157" s="93" t="s">
        <v>3277</v>
      </c>
      <c r="G2157" s="93" t="s">
        <v>3277</v>
      </c>
      <c r="H2157" s="93" t="e">
        <v>#N/A</v>
      </c>
      <c r="I2157" s="105" t="s">
        <v>2310</v>
      </c>
      <c r="J2157" s="93" t="s">
        <v>189</v>
      </c>
      <c r="K2157" s="93">
        <v>26728</v>
      </c>
      <c r="L2157" s="93">
        <v>26728</v>
      </c>
      <c r="M2157" s="93" t="s">
        <v>2311</v>
      </c>
      <c r="N2157" s="93" t="e">
        <f>VLOOKUP(B2157,'[16]01.수집 카테고리(List)'!$A$2:$H$64,8,FALSE)</f>
        <v>#N/A</v>
      </c>
      <c r="O2157" s="93"/>
    </row>
    <row r="2158" spans="1:15" hidden="1">
      <c r="A2158" s="75" t="str">
        <f t="shared" si="82"/>
        <v>NZHARVEYNORMANDryerDryerDryer</v>
      </c>
      <c r="B2158" s="94" t="str">
        <f t="shared" si="83"/>
        <v>NZ_HARVEYNORMAN</v>
      </c>
      <c r="C2158" s="93" t="s">
        <v>390</v>
      </c>
      <c r="D2158" s="93" t="s">
        <v>202</v>
      </c>
      <c r="E2158" s="93" t="s">
        <v>2431</v>
      </c>
      <c r="F2158" s="93" t="s">
        <v>2431</v>
      </c>
      <c r="G2158" s="93" t="s">
        <v>2431</v>
      </c>
      <c r="H2158" s="93" t="e">
        <v>#N/A</v>
      </c>
      <c r="I2158" s="105" t="s">
        <v>2310</v>
      </c>
      <c r="J2158" s="93" t="s">
        <v>189</v>
      </c>
      <c r="K2158" s="93">
        <v>18314</v>
      </c>
      <c r="L2158" s="93">
        <v>18314</v>
      </c>
      <c r="M2158" s="93" t="s">
        <v>2311</v>
      </c>
      <c r="N2158" s="93" t="e">
        <f>VLOOKUP(B2158,'[16]01.수집 카테고리(List)'!$A$2:$H$64,8,FALSE)</f>
        <v>#N/A</v>
      </c>
      <c r="O2158" s="93"/>
    </row>
    <row r="2159" spans="1:15" hidden="1">
      <c r="A2159" s="75" t="str">
        <f t="shared" si="82"/>
        <v>NZHARVEYNORMANDryerheat pump Dryerheat pump Dryer</v>
      </c>
      <c r="B2159" s="94" t="str">
        <f t="shared" si="83"/>
        <v>NZ_HARVEYNORMAN</v>
      </c>
      <c r="C2159" s="93" t="s">
        <v>390</v>
      </c>
      <c r="D2159" s="93" t="s">
        <v>202</v>
      </c>
      <c r="E2159" s="93" t="s">
        <v>2431</v>
      </c>
      <c r="F2159" s="93" t="s">
        <v>3278</v>
      </c>
      <c r="G2159" s="93" t="s">
        <v>3278</v>
      </c>
      <c r="H2159" s="93" t="e">
        <v>#N/A</v>
      </c>
      <c r="I2159" s="105" t="s">
        <v>2310</v>
      </c>
      <c r="J2159" s="93" t="s">
        <v>189</v>
      </c>
      <c r="K2159" s="93">
        <v>15911</v>
      </c>
      <c r="L2159" s="93">
        <v>15911</v>
      </c>
      <c r="M2159" s="93" t="s">
        <v>2311</v>
      </c>
      <c r="N2159" s="93" t="e">
        <f>VLOOKUP(B2159,'[16]01.수집 카테고리(List)'!$A$2:$H$64,8,FALSE)</f>
        <v>#N/A</v>
      </c>
      <c r="O2159" s="93"/>
    </row>
    <row r="2160" spans="1:15" hidden="1">
      <c r="A2160" s="75" t="str">
        <f t="shared" si="82"/>
        <v>NZHARVEYNORMANRefrigeratorfrench door refrigeratorfrench door refrigerator</v>
      </c>
      <c r="B2160" s="94" t="str">
        <f t="shared" si="83"/>
        <v>NZ_HARVEYNORMAN</v>
      </c>
      <c r="C2160" s="93" t="s">
        <v>390</v>
      </c>
      <c r="D2160" s="93" t="s">
        <v>202</v>
      </c>
      <c r="E2160" s="93" t="s">
        <v>2326</v>
      </c>
      <c r="F2160" s="93" t="s">
        <v>2328</v>
      </c>
      <c r="G2160" s="93" t="s">
        <v>2328</v>
      </c>
      <c r="H2160" s="93" t="e">
        <v>#N/A</v>
      </c>
      <c r="I2160" s="105" t="s">
        <v>2310</v>
      </c>
      <c r="J2160" s="93" t="s">
        <v>189</v>
      </c>
      <c r="K2160" s="93">
        <v>398</v>
      </c>
      <c r="L2160" s="93">
        <v>398</v>
      </c>
      <c r="M2160" s="93" t="s">
        <v>2311</v>
      </c>
      <c r="N2160" s="93" t="e">
        <f>VLOOKUP(B2160,'[16]01.수집 카테고리(List)'!$A$2:$H$64,8,FALSE)</f>
        <v>#N/A</v>
      </c>
      <c r="O2160" s="93"/>
    </row>
    <row r="2161" spans="1:15" hidden="1">
      <c r="A2161" s="75" t="str">
        <f t="shared" si="82"/>
        <v>NZHARVEYNORMANRefrigeratorice &amp; water refrigeratorice &amp; water refrigerator</v>
      </c>
      <c r="B2161" s="94" t="str">
        <f t="shared" si="83"/>
        <v>NZ_HARVEYNORMAN</v>
      </c>
      <c r="C2161" s="93" t="s">
        <v>390</v>
      </c>
      <c r="D2161" s="93" t="s">
        <v>202</v>
      </c>
      <c r="E2161" s="93" t="s">
        <v>2326</v>
      </c>
      <c r="F2161" s="93" t="s">
        <v>3279</v>
      </c>
      <c r="G2161" s="93" t="s">
        <v>3279</v>
      </c>
      <c r="H2161" s="93" t="e">
        <v>#N/A</v>
      </c>
      <c r="I2161" s="105" t="s">
        <v>2310</v>
      </c>
      <c r="J2161" s="93" t="s">
        <v>189</v>
      </c>
      <c r="K2161" s="93">
        <v>376</v>
      </c>
      <c r="L2161" s="93">
        <v>376</v>
      </c>
      <c r="M2161" s="93" t="s">
        <v>2311</v>
      </c>
      <c r="N2161" s="93" t="e">
        <f>VLOOKUP(B2161,'[16]01.수집 카테고리(List)'!$A$2:$H$64,8,FALSE)</f>
        <v>#N/A</v>
      </c>
      <c r="O2161" s="93"/>
    </row>
    <row r="2162" spans="1:15" hidden="1">
      <c r="A2162" s="75" t="str">
        <f t="shared" si="82"/>
        <v>NZHARVEYNORMANRefrigeratorMatte Black RefrigeratorMatte Black Refrigerator</v>
      </c>
      <c r="B2162" s="94" t="str">
        <f t="shared" si="83"/>
        <v>NZ_HARVEYNORMAN</v>
      </c>
      <c r="C2162" s="93" t="s">
        <v>390</v>
      </c>
      <c r="D2162" s="93" t="s">
        <v>202</v>
      </c>
      <c r="E2162" s="93" t="s">
        <v>2326</v>
      </c>
      <c r="F2162" s="93" t="s">
        <v>3280</v>
      </c>
      <c r="G2162" s="93" t="s">
        <v>3280</v>
      </c>
      <c r="H2162" s="93" t="e">
        <v>#N/A</v>
      </c>
      <c r="I2162" s="105" t="s">
        <v>2310</v>
      </c>
      <c r="J2162" s="93" t="s">
        <v>189</v>
      </c>
      <c r="K2162" s="93">
        <v>3</v>
      </c>
      <c r="L2162" s="93">
        <v>3</v>
      </c>
      <c r="M2162" s="93" t="s">
        <v>2311</v>
      </c>
      <c r="N2162" s="93" t="e">
        <f>VLOOKUP(B2162,'[16]01.수집 카테고리(List)'!$A$2:$H$64,8,FALSE)</f>
        <v>#N/A</v>
      </c>
      <c r="O2162" s="93"/>
    </row>
    <row r="2163" spans="1:15" hidden="1">
      <c r="A2163" s="75" t="str">
        <f t="shared" si="82"/>
        <v>NZHARVEYNORMANRefrigeratorrefrigeratorrefrigerator</v>
      </c>
      <c r="B2163" s="94" t="str">
        <f t="shared" si="83"/>
        <v>NZ_HARVEYNORMAN</v>
      </c>
      <c r="C2163" s="93" t="s">
        <v>390</v>
      </c>
      <c r="D2163" s="93" t="s">
        <v>202</v>
      </c>
      <c r="E2163" s="93" t="s">
        <v>2326</v>
      </c>
      <c r="F2163" s="93" t="s">
        <v>2329</v>
      </c>
      <c r="G2163" s="93" t="s">
        <v>2329</v>
      </c>
      <c r="H2163" s="93" t="e">
        <v>#N/A</v>
      </c>
      <c r="I2163" s="105" t="s">
        <v>2310</v>
      </c>
      <c r="J2163" s="93" t="s">
        <v>189</v>
      </c>
      <c r="K2163" s="93">
        <v>11929</v>
      </c>
      <c r="L2163" s="93">
        <v>11929</v>
      </c>
      <c r="M2163" s="93" t="s">
        <v>2311</v>
      </c>
      <c r="N2163" s="93" t="e">
        <f>VLOOKUP(B2163,'[16]01.수집 카테고리(List)'!$A$2:$H$64,8,FALSE)</f>
        <v>#N/A</v>
      </c>
      <c r="O2163" s="93"/>
    </row>
    <row r="2164" spans="1:15" hidden="1">
      <c r="A2164" s="75" t="str">
        <f t="shared" si="82"/>
        <v>NZHARVEYNORMANRefrigeratorside by side refrigeratorside by side refrigerator</v>
      </c>
      <c r="B2164" s="94" t="str">
        <f t="shared" si="83"/>
        <v>NZ_HARVEYNORMAN</v>
      </c>
      <c r="C2164" s="93" t="s">
        <v>390</v>
      </c>
      <c r="D2164" s="93" t="s">
        <v>202</v>
      </c>
      <c r="E2164" s="93" t="s">
        <v>2326</v>
      </c>
      <c r="F2164" s="93" t="s">
        <v>2330</v>
      </c>
      <c r="G2164" s="93" t="s">
        <v>2330</v>
      </c>
      <c r="H2164" s="93" t="e">
        <v>#N/A</v>
      </c>
      <c r="I2164" s="105" t="s">
        <v>2310</v>
      </c>
      <c r="J2164" s="93" t="s">
        <v>189</v>
      </c>
      <c r="K2164" s="93">
        <v>6</v>
      </c>
      <c r="L2164" s="93">
        <v>6</v>
      </c>
      <c r="M2164" s="93" t="s">
        <v>2311</v>
      </c>
      <c r="N2164" s="93" t="e">
        <f>VLOOKUP(B2164,'[16]01.수집 카테고리(List)'!$A$2:$H$64,8,FALSE)</f>
        <v>#N/A</v>
      </c>
      <c r="O2164" s="93"/>
    </row>
    <row r="2165" spans="1:15" hidden="1">
      <c r="A2165" s="75" t="str">
        <f t="shared" si="82"/>
        <v>NZHARVEYNORMANSOUNDBARsoundbarsoundbar</v>
      </c>
      <c r="B2165" s="94" t="str">
        <f t="shared" si="83"/>
        <v>NZ_HARVEYNORMAN</v>
      </c>
      <c r="C2165" s="93" t="s">
        <v>390</v>
      </c>
      <c r="D2165" s="93" t="s">
        <v>202</v>
      </c>
      <c r="E2165" s="93" t="s">
        <v>165</v>
      </c>
      <c r="F2165" s="93" t="s">
        <v>2987</v>
      </c>
      <c r="G2165" s="93" t="s">
        <v>2987</v>
      </c>
      <c r="H2165" s="93" t="e">
        <v>#N/A</v>
      </c>
      <c r="I2165" s="105" t="s">
        <v>2310</v>
      </c>
      <c r="J2165" s="93" t="s">
        <v>189</v>
      </c>
      <c r="K2165" s="93">
        <v>555</v>
      </c>
      <c r="L2165" s="93">
        <v>555</v>
      </c>
      <c r="M2165" s="93" t="s">
        <v>2311</v>
      </c>
      <c r="N2165" s="93" t="e">
        <f>VLOOKUP(B2165,'[16]01.수집 카테고리(List)'!$A$2:$H$64,8,FALSE)</f>
        <v>#N/A</v>
      </c>
      <c r="O2165" s="93"/>
    </row>
    <row r="2166" spans="1:15" hidden="1">
      <c r="A2166" s="75" t="str">
        <f t="shared" si="82"/>
        <v>NZHARVEYNORMANStylerclothing care systemclothing care system</v>
      </c>
      <c r="B2166" s="94" t="str">
        <f t="shared" si="83"/>
        <v>NZ_HARVEYNORMAN</v>
      </c>
      <c r="C2166" s="93" t="s">
        <v>390</v>
      </c>
      <c r="D2166" s="93" t="s">
        <v>202</v>
      </c>
      <c r="E2166" s="93" t="s">
        <v>3281</v>
      </c>
      <c r="F2166" s="93" t="s">
        <v>3282</v>
      </c>
      <c r="G2166" s="93" t="s">
        <v>3282</v>
      </c>
      <c r="H2166" s="93" t="e">
        <v>#N/A</v>
      </c>
      <c r="I2166" s="105" t="s">
        <v>2310</v>
      </c>
      <c r="J2166" s="93" t="s">
        <v>189</v>
      </c>
      <c r="K2166" s="93">
        <v>418</v>
      </c>
      <c r="L2166" s="93">
        <v>418</v>
      </c>
      <c r="M2166" s="93" t="s">
        <v>2311</v>
      </c>
      <c r="N2166" s="93" t="e">
        <f>VLOOKUP(B2166,'[16]01.수집 카테고리(List)'!$A$2:$H$64,8,FALSE)</f>
        <v>#N/A</v>
      </c>
      <c r="O2166" s="93"/>
    </row>
    <row r="2167" spans="1:15" hidden="1">
      <c r="A2167" s="75" t="str">
        <f t="shared" si="82"/>
        <v>NZHARVEYNORMANTV4K TV4K TV</v>
      </c>
      <c r="B2167" s="94" t="str">
        <f t="shared" si="83"/>
        <v>NZ_HARVEYNORMAN</v>
      </c>
      <c r="C2167" s="93" t="s">
        <v>390</v>
      </c>
      <c r="D2167" s="93" t="s">
        <v>202</v>
      </c>
      <c r="E2167" s="93" t="s">
        <v>161</v>
      </c>
      <c r="F2167" s="93" t="s">
        <v>2893</v>
      </c>
      <c r="G2167" s="93" t="s">
        <v>2893</v>
      </c>
      <c r="H2167" s="93" t="e">
        <v>#N/A</v>
      </c>
      <c r="I2167" s="105" t="s">
        <v>2310</v>
      </c>
      <c r="J2167" s="93" t="s">
        <v>189</v>
      </c>
      <c r="K2167" s="93">
        <v>41</v>
      </c>
      <c r="L2167" s="93">
        <v>41</v>
      </c>
      <c r="M2167" s="93" t="s">
        <v>2311</v>
      </c>
      <c r="N2167" s="93" t="e">
        <f>VLOOKUP(B2167,'[16]01.수집 카테고리(List)'!$A$2:$H$64,8,FALSE)</f>
        <v>#N/A</v>
      </c>
      <c r="O2167" s="93"/>
    </row>
    <row r="2168" spans="1:15" hidden="1">
      <c r="A2168" s="75" t="str">
        <f t="shared" si="82"/>
        <v>NZHARVEYNORMANTV8K TV8K TV</v>
      </c>
      <c r="B2168" s="94" t="str">
        <f t="shared" si="83"/>
        <v>NZ_HARVEYNORMAN</v>
      </c>
      <c r="C2168" s="93" t="s">
        <v>390</v>
      </c>
      <c r="D2168" s="93" t="s">
        <v>202</v>
      </c>
      <c r="E2168" s="93" t="s">
        <v>161</v>
      </c>
      <c r="F2168" s="93" t="s">
        <v>2836</v>
      </c>
      <c r="G2168" s="93" t="s">
        <v>2836</v>
      </c>
      <c r="H2168" s="93" t="e">
        <v>#N/A</v>
      </c>
      <c r="I2168" s="105" t="s">
        <v>2310</v>
      </c>
      <c r="J2168" s="93" t="s">
        <v>189</v>
      </c>
      <c r="K2168" s="93">
        <v>1971</v>
      </c>
      <c r="L2168" s="93">
        <v>1971</v>
      </c>
      <c r="M2168" s="93" t="s">
        <v>2311</v>
      </c>
      <c r="N2168" s="93" t="e">
        <f>VLOOKUP(B2168,'[16]01.수집 카테고리(List)'!$A$2:$H$64,8,FALSE)</f>
        <v>#N/A</v>
      </c>
      <c r="O2168" s="93"/>
    </row>
    <row r="2169" spans="1:15" hidden="1">
      <c r="A2169" s="75" t="str">
        <f t="shared" si="82"/>
        <v>NZHARVEYNORMANTVOLED TVOLED TV</v>
      </c>
      <c r="B2169" s="94" t="str">
        <f t="shared" si="83"/>
        <v>NZ_HARVEYNORMAN</v>
      </c>
      <c r="C2169" s="93" t="s">
        <v>390</v>
      </c>
      <c r="D2169" s="93" t="s">
        <v>202</v>
      </c>
      <c r="E2169" s="93" t="s">
        <v>161</v>
      </c>
      <c r="F2169" s="93" t="s">
        <v>3243</v>
      </c>
      <c r="G2169" s="93" t="s">
        <v>3243</v>
      </c>
      <c r="H2169" s="93" t="e">
        <v>#N/A</v>
      </c>
      <c r="I2169" s="105" t="s">
        <v>2310</v>
      </c>
      <c r="J2169" s="93" t="s">
        <v>189</v>
      </c>
      <c r="K2169" s="93">
        <v>13</v>
      </c>
      <c r="L2169" s="93">
        <v>13</v>
      </c>
      <c r="M2169" s="93" t="s">
        <v>2311</v>
      </c>
      <c r="N2169" s="93" t="e">
        <f>VLOOKUP(B2169,'[16]01.수집 카테고리(List)'!$A$2:$H$64,8,FALSE)</f>
        <v>#N/A</v>
      </c>
      <c r="O2169" s="93"/>
    </row>
    <row r="2170" spans="1:15" hidden="1">
      <c r="A2170" s="75" t="str">
        <f t="shared" si="82"/>
        <v>NZHARVEYNORMANTVsmart TVsmart TV</v>
      </c>
      <c r="B2170" s="94" t="str">
        <f t="shared" si="83"/>
        <v>NZ_HARVEYNORMAN</v>
      </c>
      <c r="C2170" s="93" t="s">
        <v>390</v>
      </c>
      <c r="D2170" s="93" t="s">
        <v>202</v>
      </c>
      <c r="E2170" s="93" t="s">
        <v>161</v>
      </c>
      <c r="F2170" s="93" t="s">
        <v>2371</v>
      </c>
      <c r="G2170" s="93" t="s">
        <v>2371</v>
      </c>
      <c r="H2170" s="93" t="e">
        <v>#N/A</v>
      </c>
      <c r="I2170" s="105" t="s">
        <v>2310</v>
      </c>
      <c r="J2170" s="93" t="s">
        <v>189</v>
      </c>
      <c r="K2170" s="93">
        <v>41</v>
      </c>
      <c r="L2170" s="93">
        <v>41</v>
      </c>
      <c r="M2170" s="93" t="s">
        <v>2311</v>
      </c>
      <c r="N2170" s="93" t="e">
        <f>VLOOKUP(B2170,'[16]01.수집 카테고리(List)'!$A$2:$H$64,8,FALSE)</f>
        <v>#N/A</v>
      </c>
      <c r="O2170" s="93"/>
    </row>
    <row r="2171" spans="1:15" hidden="1">
      <c r="A2171" s="75" t="str">
        <f t="shared" si="82"/>
        <v>NZHARVEYNORMANTVTVTV</v>
      </c>
      <c r="B2171" s="94" t="str">
        <f t="shared" si="83"/>
        <v>NZ_HARVEYNORMAN</v>
      </c>
      <c r="C2171" s="93" t="s">
        <v>390</v>
      </c>
      <c r="D2171" s="93" t="s">
        <v>202</v>
      </c>
      <c r="E2171" s="93" t="s">
        <v>161</v>
      </c>
      <c r="F2171" s="93" t="s">
        <v>161</v>
      </c>
      <c r="G2171" s="93" t="s">
        <v>161</v>
      </c>
      <c r="H2171" s="93" t="e">
        <v>#N/A</v>
      </c>
      <c r="I2171" s="105" t="s">
        <v>2310</v>
      </c>
      <c r="J2171" s="93" t="s">
        <v>189</v>
      </c>
      <c r="K2171" s="93">
        <v>433</v>
      </c>
      <c r="L2171" s="93">
        <v>433</v>
      </c>
      <c r="M2171" s="93" t="s">
        <v>2311</v>
      </c>
      <c r="N2171" s="93" t="e">
        <f>VLOOKUP(B2171,'[16]01.수집 카테고리(List)'!$A$2:$H$64,8,FALSE)</f>
        <v>#N/A</v>
      </c>
      <c r="O2171" s="93"/>
    </row>
    <row r="2172" spans="1:15" hidden="1">
      <c r="A2172" s="75" t="str">
        <f t="shared" si="82"/>
        <v>NZHARVEYNORMANTVUHD TVUHD TV</v>
      </c>
      <c r="B2172" s="94" t="str">
        <f t="shared" si="83"/>
        <v>NZ_HARVEYNORMAN</v>
      </c>
      <c r="C2172" s="93" t="s">
        <v>390</v>
      </c>
      <c r="D2172" s="93" t="s">
        <v>202</v>
      </c>
      <c r="E2172" s="93" t="s">
        <v>161</v>
      </c>
      <c r="F2172" s="93" t="s">
        <v>2990</v>
      </c>
      <c r="G2172" s="93" t="s">
        <v>2990</v>
      </c>
      <c r="H2172" s="93" t="e">
        <v>#N/A</v>
      </c>
      <c r="I2172" s="105" t="s">
        <v>2310</v>
      </c>
      <c r="J2172" s="93" t="s">
        <v>189</v>
      </c>
      <c r="K2172" s="93">
        <v>15</v>
      </c>
      <c r="L2172" s="93">
        <v>15</v>
      </c>
      <c r="M2172" s="93" t="s">
        <v>2311</v>
      </c>
      <c r="N2172" s="93" t="e">
        <f>VLOOKUP(B2172,'[16]01.수집 카테고리(List)'!$A$2:$H$64,8,FALSE)</f>
        <v>#N/A</v>
      </c>
      <c r="O2172" s="93"/>
    </row>
    <row r="2173" spans="1:15" hidden="1">
      <c r="A2173" s="75" t="str">
        <f t="shared" si="82"/>
        <v>NZHARVEYNORMANWashing Machinefront load washing machinefront load washing machine</v>
      </c>
      <c r="B2173" s="94" t="str">
        <f t="shared" si="83"/>
        <v>NZ_HARVEYNORMAN</v>
      </c>
      <c r="C2173" s="93" t="s">
        <v>390</v>
      </c>
      <c r="D2173" s="93" t="s">
        <v>202</v>
      </c>
      <c r="E2173" s="93" t="s">
        <v>2333</v>
      </c>
      <c r="F2173" s="93" t="s">
        <v>3011</v>
      </c>
      <c r="G2173" s="93" t="s">
        <v>3011</v>
      </c>
      <c r="H2173" s="93" t="e">
        <v>#N/A</v>
      </c>
      <c r="I2173" s="105" t="s">
        <v>2310</v>
      </c>
      <c r="J2173" s="93" t="s">
        <v>189</v>
      </c>
      <c r="K2173" s="93">
        <v>18127</v>
      </c>
      <c r="L2173" s="93">
        <v>18127</v>
      </c>
      <c r="M2173" s="93" t="s">
        <v>2311</v>
      </c>
      <c r="N2173" s="93" t="e">
        <f>VLOOKUP(B2173,'[16]01.수집 카테고리(List)'!$A$2:$H$64,8,FALSE)</f>
        <v>#N/A</v>
      </c>
      <c r="O2173" s="93"/>
    </row>
    <row r="2174" spans="1:15" hidden="1">
      <c r="A2174" s="75" t="str">
        <f t="shared" si="82"/>
        <v>NZHARVEYNORMANWashing Machinetop load washing machinetop load washing machine</v>
      </c>
      <c r="B2174" s="94" t="str">
        <f t="shared" si="83"/>
        <v>NZ_HARVEYNORMAN</v>
      </c>
      <c r="C2174" s="93" t="s">
        <v>390</v>
      </c>
      <c r="D2174" s="93" t="s">
        <v>202</v>
      </c>
      <c r="E2174" s="93" t="s">
        <v>2333</v>
      </c>
      <c r="F2174" s="93" t="s">
        <v>3013</v>
      </c>
      <c r="G2174" s="93" t="s">
        <v>3013</v>
      </c>
      <c r="H2174" s="93" t="e">
        <v>#N/A</v>
      </c>
      <c r="I2174" s="105" t="s">
        <v>2310</v>
      </c>
      <c r="J2174" s="93" t="s">
        <v>189</v>
      </c>
      <c r="K2174" s="93">
        <v>1225</v>
      </c>
      <c r="L2174" s="93">
        <v>1225</v>
      </c>
      <c r="M2174" s="93" t="s">
        <v>2311</v>
      </c>
      <c r="N2174" s="93" t="e">
        <f>VLOOKUP(B2174,'[16]01.수집 카테고리(List)'!$A$2:$H$64,8,FALSE)</f>
        <v>#N/A</v>
      </c>
      <c r="O2174" s="93"/>
    </row>
    <row r="2175" spans="1:15" hidden="1">
      <c r="A2175" s="75" t="str">
        <f t="shared" si="82"/>
        <v>NZHARVEYNORMANWashing Machinewasher dryer combowasher dryer combo</v>
      </c>
      <c r="B2175" s="94" t="str">
        <f t="shared" si="83"/>
        <v>NZ_HARVEYNORMAN</v>
      </c>
      <c r="C2175" s="93" t="s">
        <v>390</v>
      </c>
      <c r="D2175" s="93" t="s">
        <v>202</v>
      </c>
      <c r="E2175" s="93" t="s">
        <v>2333</v>
      </c>
      <c r="F2175" s="93" t="s">
        <v>2338</v>
      </c>
      <c r="G2175" s="93" t="s">
        <v>2338</v>
      </c>
      <c r="H2175" s="93" t="e">
        <v>#N/A</v>
      </c>
      <c r="I2175" s="105" t="s">
        <v>2310</v>
      </c>
      <c r="J2175" s="93" t="s">
        <v>189</v>
      </c>
      <c r="K2175" s="93">
        <v>3510</v>
      </c>
      <c r="L2175" s="93">
        <v>3510</v>
      </c>
      <c r="M2175" s="93" t="s">
        <v>2311</v>
      </c>
      <c r="N2175" s="93" t="e">
        <f>VLOOKUP(B2175,'[16]01.수집 카테고리(List)'!$A$2:$H$64,8,FALSE)</f>
        <v>#N/A</v>
      </c>
      <c r="O2175" s="93"/>
    </row>
    <row r="2176" spans="1:15" hidden="1">
      <c r="A2176" s="75" t="str">
        <f t="shared" si="82"/>
        <v>NZHARVEYNORMANWashing Machinewashing machinewashing machine</v>
      </c>
      <c r="B2176" s="94" t="str">
        <f t="shared" si="83"/>
        <v>NZ_HARVEYNORMAN</v>
      </c>
      <c r="C2176" s="93" t="s">
        <v>390</v>
      </c>
      <c r="D2176" s="93" t="s">
        <v>202</v>
      </c>
      <c r="E2176" s="93" t="s">
        <v>2333</v>
      </c>
      <c r="F2176" s="93" t="s">
        <v>2340</v>
      </c>
      <c r="G2176" s="93" t="s">
        <v>2340</v>
      </c>
      <c r="H2176" s="93" t="e">
        <v>#N/A</v>
      </c>
      <c r="I2176" s="105" t="s">
        <v>2310</v>
      </c>
      <c r="J2176" s="93" t="s">
        <v>189</v>
      </c>
      <c r="K2176" s="93">
        <v>18831</v>
      </c>
      <c r="L2176" s="93">
        <v>18831</v>
      </c>
      <c r="M2176" s="93" t="s">
        <v>2311</v>
      </c>
      <c r="N2176" s="93" t="e">
        <f>VLOOKUP(B2176,'[16]01.수집 카테고리(List)'!$A$2:$H$64,8,FALSE)</f>
        <v>#N/A</v>
      </c>
      <c r="O2176" s="93"/>
    </row>
    <row r="2177" spans="1:15" hidden="1">
      <c r="A2177" s="75" t="str">
        <f t="shared" si="82"/>
        <v>NZHARVEYNORMANWIRELESS HEADSETBluetooth earbudsBluetooth earbuds</v>
      </c>
      <c r="B2177" s="94" t="str">
        <f t="shared" si="83"/>
        <v>NZ_HARVEYNORMAN</v>
      </c>
      <c r="C2177" s="93" t="s">
        <v>390</v>
      </c>
      <c r="D2177" s="93" t="s">
        <v>202</v>
      </c>
      <c r="E2177" s="93" t="s">
        <v>2201</v>
      </c>
      <c r="F2177" s="93" t="s">
        <v>2382</v>
      </c>
      <c r="G2177" s="93" t="s">
        <v>2382</v>
      </c>
      <c r="H2177" s="93" t="e">
        <v>#N/A</v>
      </c>
      <c r="I2177" s="105" t="s">
        <v>2310</v>
      </c>
      <c r="J2177" s="93" t="s">
        <v>189</v>
      </c>
      <c r="K2177" s="93">
        <v>979</v>
      </c>
      <c r="L2177" s="93">
        <v>979</v>
      </c>
      <c r="M2177" s="93" t="s">
        <v>2311</v>
      </c>
      <c r="N2177" s="93" t="e">
        <f>VLOOKUP(B2177,'[16]01.수집 카테고리(List)'!$A$2:$H$64,8,FALSE)</f>
        <v>#N/A</v>
      </c>
      <c r="O2177" s="93"/>
    </row>
    <row r="2178" spans="1:15" hidden="1">
      <c r="A2178" s="75" t="str">
        <f t="shared" si="82"/>
        <v>NZHARVEYNORMANWIRELESS HEADSETEar budsEar buds</v>
      </c>
      <c r="B2178" s="94" t="str">
        <f t="shared" si="83"/>
        <v>NZ_HARVEYNORMAN</v>
      </c>
      <c r="C2178" s="93" t="s">
        <v>390</v>
      </c>
      <c r="D2178" s="93" t="s">
        <v>202</v>
      </c>
      <c r="E2178" s="93" t="s">
        <v>2201</v>
      </c>
      <c r="F2178" s="93" t="s">
        <v>2380</v>
      </c>
      <c r="G2178" s="93" t="s">
        <v>2380</v>
      </c>
      <c r="H2178" s="93" t="e">
        <v>#N/A</v>
      </c>
      <c r="I2178" s="105" t="s">
        <v>2310</v>
      </c>
      <c r="J2178" s="93" t="s">
        <v>189</v>
      </c>
      <c r="K2178" s="93">
        <v>527</v>
      </c>
      <c r="L2178" s="93">
        <v>527</v>
      </c>
      <c r="M2178" s="93" t="s">
        <v>2311</v>
      </c>
      <c r="N2178" s="93" t="e">
        <f>VLOOKUP(B2178,'[16]01.수집 카테고리(List)'!$A$2:$H$64,8,FALSE)</f>
        <v>#N/A</v>
      </c>
      <c r="O2178" s="93"/>
    </row>
    <row r="2179" spans="1:15" hidden="1">
      <c r="A2179" s="75" t="str">
        <f t="shared" si="82"/>
        <v>NZHARVEYNORMANWIRELESS HEADSETNoise cancelling earbudsNoise cancelling earbuds</v>
      </c>
      <c r="B2179" s="94" t="str">
        <f t="shared" si="83"/>
        <v>NZ_HARVEYNORMAN</v>
      </c>
      <c r="C2179" s="93" t="s">
        <v>390</v>
      </c>
      <c r="D2179" s="93" t="s">
        <v>202</v>
      </c>
      <c r="E2179" s="93" t="s">
        <v>2201</v>
      </c>
      <c r="F2179" s="93" t="s">
        <v>2378</v>
      </c>
      <c r="G2179" s="93" t="s">
        <v>2378</v>
      </c>
      <c r="H2179" s="93" t="e">
        <v>#N/A</v>
      </c>
      <c r="I2179" s="105" t="s">
        <v>2310</v>
      </c>
      <c r="J2179" s="93" t="s">
        <v>189</v>
      </c>
      <c r="K2179" s="93">
        <v>385</v>
      </c>
      <c r="L2179" s="93">
        <v>385</v>
      </c>
      <c r="M2179" s="93" t="s">
        <v>2311</v>
      </c>
      <c r="N2179" s="93" t="e">
        <f>VLOOKUP(B2179,'[16]01.수집 카테고리(List)'!$A$2:$H$64,8,FALSE)</f>
        <v>#N/A</v>
      </c>
      <c r="O2179" s="93"/>
    </row>
    <row r="2180" spans="1:15" hidden="1">
      <c r="A2180" s="75" t="str">
        <f t="shared" si="82"/>
        <v>NZHARVEYNORMANWIRELESS HEADSETTrue wireless earbudsTrue wireless earbuds</v>
      </c>
      <c r="B2180" s="94" t="str">
        <f t="shared" si="83"/>
        <v>NZ_HARVEYNORMAN</v>
      </c>
      <c r="C2180" s="93" t="s">
        <v>390</v>
      </c>
      <c r="D2180" s="93" t="s">
        <v>202</v>
      </c>
      <c r="E2180" s="93" t="s">
        <v>2201</v>
      </c>
      <c r="F2180" s="93" t="s">
        <v>2374</v>
      </c>
      <c r="G2180" s="93" t="s">
        <v>2374</v>
      </c>
      <c r="H2180" s="93" t="e">
        <v>#N/A</v>
      </c>
      <c r="I2180" s="105" t="s">
        <v>2310</v>
      </c>
      <c r="J2180" s="93" t="s">
        <v>189</v>
      </c>
      <c r="K2180" s="93">
        <v>739</v>
      </c>
      <c r="L2180" s="93">
        <v>739</v>
      </c>
      <c r="M2180" s="93" t="s">
        <v>2311</v>
      </c>
      <c r="N2180" s="93" t="e">
        <f>VLOOKUP(B2180,'[16]01.수집 카테고리(List)'!$A$2:$H$64,8,FALSE)</f>
        <v>#N/A</v>
      </c>
      <c r="O2180" s="93"/>
    </row>
    <row r="2181" spans="1:15" hidden="1">
      <c r="A2181" s="75" t="str">
        <f t="shared" si="82"/>
        <v>NZHARVEYNORMANWIRELESS HEADSETWireless earbudsWireless earbuds</v>
      </c>
      <c r="B2181" s="94" t="str">
        <f t="shared" si="83"/>
        <v>NZ_HARVEYNORMAN</v>
      </c>
      <c r="C2181" s="93" t="s">
        <v>390</v>
      </c>
      <c r="D2181" s="93" t="s">
        <v>202</v>
      </c>
      <c r="E2181" s="93" t="s">
        <v>2201</v>
      </c>
      <c r="F2181" s="93" t="s">
        <v>2376</v>
      </c>
      <c r="G2181" s="93" t="s">
        <v>2376</v>
      </c>
      <c r="H2181" s="93" t="e">
        <v>#N/A</v>
      </c>
      <c r="I2181" s="105" t="s">
        <v>2310</v>
      </c>
      <c r="J2181" s="93" t="s">
        <v>189</v>
      </c>
      <c r="K2181" s="93">
        <v>4295</v>
      </c>
      <c r="L2181" s="93">
        <v>4295</v>
      </c>
      <c r="M2181" s="93" t="s">
        <v>2311</v>
      </c>
      <c r="N2181" s="93" t="e">
        <f>VLOOKUP(B2181,'[16]01.수집 카테고리(List)'!$A$2:$H$64,8,FALSE)</f>
        <v>#N/A</v>
      </c>
      <c r="O2181" s="93"/>
    </row>
    <row r="2182" spans="1:15" hidden="1">
      <c r="A2182" s="75" t="str">
        <f t="shared" si="82"/>
        <v>PHABENSONAir Conditionerair conditioneraircon</v>
      </c>
      <c r="B2182" s="94" t="str">
        <f t="shared" si="83"/>
        <v>PH_ABENSON</v>
      </c>
      <c r="C2182" s="93" t="s">
        <v>393</v>
      </c>
      <c r="D2182" s="93" t="s">
        <v>394</v>
      </c>
      <c r="E2182" s="93" t="s">
        <v>2346</v>
      </c>
      <c r="F2182" s="93" t="s">
        <v>2347</v>
      </c>
      <c r="G2182" s="93" t="s">
        <v>3283</v>
      </c>
      <c r="H2182" s="93" t="e">
        <v>#N/A</v>
      </c>
      <c r="I2182" s="105" t="s">
        <v>2310</v>
      </c>
      <c r="J2182" s="93" t="s">
        <v>189</v>
      </c>
      <c r="K2182" s="93">
        <v>731</v>
      </c>
      <c r="L2182" s="93" t="e">
        <v>#N/A</v>
      </c>
      <c r="M2182" s="93" t="s">
        <v>2311</v>
      </c>
      <c r="N2182" s="93" t="e">
        <f>VLOOKUP(B2182,'[16]01.수집 카테고리(List)'!$A$2:$H$64,8,FALSE)</f>
        <v>#N/A</v>
      </c>
      <c r="O2182" s="93"/>
    </row>
    <row r="2183" spans="1:15" hidden="1">
      <c r="A2183" s="75" t="str">
        <f t="shared" si="82"/>
        <v>PHABENSONAir Conditionerinverter air conditionerinverter aircon</v>
      </c>
      <c r="B2183" s="94" t="str">
        <f t="shared" si="83"/>
        <v>PH_ABENSON</v>
      </c>
      <c r="C2183" s="93" t="s">
        <v>393</v>
      </c>
      <c r="D2183" s="93" t="s">
        <v>394</v>
      </c>
      <c r="E2183" s="93" t="s">
        <v>2346</v>
      </c>
      <c r="F2183" s="93" t="s">
        <v>2348</v>
      </c>
      <c r="G2183" s="93" t="s">
        <v>3284</v>
      </c>
      <c r="H2183" s="93" t="e">
        <v>#N/A</v>
      </c>
      <c r="I2183" s="105" t="s">
        <v>2310</v>
      </c>
      <c r="J2183" s="93" t="s">
        <v>189</v>
      </c>
      <c r="K2183" s="93">
        <v>415</v>
      </c>
      <c r="L2183" s="93" t="e">
        <v>#N/A</v>
      </c>
      <c r="M2183" s="93" t="s">
        <v>2311</v>
      </c>
      <c r="N2183" s="93" t="e">
        <f>VLOOKUP(B2183,'[16]01.수집 카테고리(List)'!$A$2:$H$64,8,FALSE)</f>
        <v>#N/A</v>
      </c>
      <c r="O2183" s="93"/>
    </row>
    <row r="2184" spans="1:15" hidden="1">
      <c r="A2184" s="75" t="str">
        <f t="shared" si="82"/>
        <v>PHABENSONAir Conditionersplit air conditionersplit type aircon</v>
      </c>
      <c r="B2184" s="94" t="str">
        <f t="shared" si="83"/>
        <v>PH_ABENSON</v>
      </c>
      <c r="C2184" s="93" t="s">
        <v>393</v>
      </c>
      <c r="D2184" s="93" t="s">
        <v>394</v>
      </c>
      <c r="E2184" s="93" t="s">
        <v>2346</v>
      </c>
      <c r="F2184" s="93" t="s">
        <v>2422</v>
      </c>
      <c r="G2184" s="93" t="s">
        <v>3285</v>
      </c>
      <c r="H2184" s="93" t="e">
        <v>#N/A</v>
      </c>
      <c r="I2184" s="105" t="s">
        <v>2310</v>
      </c>
      <c r="J2184" s="93" t="s">
        <v>189</v>
      </c>
      <c r="K2184" s="93">
        <v>264</v>
      </c>
      <c r="L2184" s="93" t="e">
        <v>#N/A</v>
      </c>
      <c r="M2184" s="93" t="s">
        <v>2311</v>
      </c>
      <c r="N2184" s="93" t="e">
        <f>VLOOKUP(B2184,'[16]01.수집 카테고리(List)'!$A$2:$H$64,8,FALSE)</f>
        <v>#N/A</v>
      </c>
      <c r="O2184" s="93"/>
    </row>
    <row r="2185" spans="1:15" hidden="1">
      <c r="A2185" s="75" t="str">
        <f t="shared" si="82"/>
        <v>PHABENSONAir Conditionersplit inverter air conditionersplit type inverter aircon</v>
      </c>
      <c r="B2185" s="94" t="str">
        <f t="shared" si="83"/>
        <v>PH_ABENSON</v>
      </c>
      <c r="C2185" s="93" t="s">
        <v>393</v>
      </c>
      <c r="D2185" s="93" t="s">
        <v>394</v>
      </c>
      <c r="E2185" s="93" t="s">
        <v>2346</v>
      </c>
      <c r="F2185" s="93" t="s">
        <v>2423</v>
      </c>
      <c r="G2185" s="93" t="s">
        <v>3286</v>
      </c>
      <c r="H2185" s="93" t="e">
        <v>#N/A</v>
      </c>
      <c r="I2185" s="105" t="s">
        <v>2310</v>
      </c>
      <c r="J2185" s="93" t="s">
        <v>189</v>
      </c>
      <c r="K2185" s="93">
        <v>144</v>
      </c>
      <c r="L2185" s="93" t="e">
        <v>#N/A</v>
      </c>
      <c r="M2185" s="93" t="s">
        <v>2311</v>
      </c>
      <c r="N2185" s="93" t="e">
        <f>VLOOKUP(B2185,'[16]01.수집 카테고리(List)'!$A$2:$H$64,8,FALSE)</f>
        <v>#N/A</v>
      </c>
      <c r="O2185" s="93"/>
    </row>
    <row r="2186" spans="1:15" hidden="1">
      <c r="A2186" s="75" t="str">
        <f t="shared" si="82"/>
        <v>PHABENSONAir Conditionerwindow air conditionerwindow type aircon</v>
      </c>
      <c r="B2186" s="94" t="str">
        <f t="shared" si="83"/>
        <v>PH_ABENSON</v>
      </c>
      <c r="C2186" s="93" t="s">
        <v>393</v>
      </c>
      <c r="D2186" s="93" t="s">
        <v>394</v>
      </c>
      <c r="E2186" s="93" t="s">
        <v>2346</v>
      </c>
      <c r="F2186" s="93" t="s">
        <v>2350</v>
      </c>
      <c r="G2186" s="93" t="s">
        <v>3287</v>
      </c>
      <c r="H2186" s="93" t="e">
        <v>#N/A</v>
      </c>
      <c r="I2186" s="105" t="s">
        <v>2310</v>
      </c>
      <c r="J2186" s="93" t="s">
        <v>189</v>
      </c>
      <c r="K2186" s="93">
        <v>176</v>
      </c>
      <c r="L2186" s="93" t="e">
        <v>#N/A</v>
      </c>
      <c r="M2186" s="93" t="s">
        <v>2311</v>
      </c>
      <c r="N2186" s="93" t="e">
        <f>VLOOKUP(B2186,'[16]01.수집 카테고리(List)'!$A$2:$H$64,8,FALSE)</f>
        <v>#N/A</v>
      </c>
      <c r="O2186" s="93"/>
    </row>
    <row r="2187" spans="1:15" hidden="1">
      <c r="A2187" s="75" t="str">
        <f t="shared" si="82"/>
        <v>PHABENSONAir Conditionerwindow inverter air conditionerwindow type inverter aircon</v>
      </c>
      <c r="B2187" s="94" t="str">
        <f t="shared" si="83"/>
        <v>PH_ABENSON</v>
      </c>
      <c r="C2187" s="93" t="s">
        <v>393</v>
      </c>
      <c r="D2187" s="93" t="s">
        <v>394</v>
      </c>
      <c r="E2187" s="93" t="s">
        <v>2346</v>
      </c>
      <c r="F2187" s="93" t="s">
        <v>2424</v>
      </c>
      <c r="G2187" s="93" t="s">
        <v>3288</v>
      </c>
      <c r="H2187" s="93" t="e">
        <v>#N/A</v>
      </c>
      <c r="I2187" s="105" t="s">
        <v>2310</v>
      </c>
      <c r="J2187" s="93" t="s">
        <v>189</v>
      </c>
      <c r="K2187" s="93">
        <v>2</v>
      </c>
      <c r="L2187" s="93" t="e">
        <v>#N/A</v>
      </c>
      <c r="M2187" s="93" t="s">
        <v>2311</v>
      </c>
      <c r="N2187" s="93" t="e">
        <f>VLOOKUP(B2187,'[16]01.수집 카테고리(List)'!$A$2:$H$64,8,FALSE)</f>
        <v>#N/A</v>
      </c>
      <c r="O2187" s="93"/>
    </row>
    <row r="2188" spans="1:15" hidden="1">
      <c r="A2188" s="75" t="str">
        <f t="shared" si="82"/>
        <v>PHABENSONBluetooth Speakerbluetooth speakerbluetooth speaker</v>
      </c>
      <c r="B2188" s="94" t="str">
        <f t="shared" si="83"/>
        <v>PH_ABENSON</v>
      </c>
      <c r="C2188" s="93" t="s">
        <v>393</v>
      </c>
      <c r="D2188" s="93" t="s">
        <v>394</v>
      </c>
      <c r="E2188" s="93" t="s">
        <v>2307</v>
      </c>
      <c r="F2188" s="93" t="s">
        <v>2657</v>
      </c>
      <c r="G2188" s="93" t="s">
        <v>2657</v>
      </c>
      <c r="H2188" s="93" t="e">
        <v>#N/A</v>
      </c>
      <c r="I2188" s="105" t="s">
        <v>2310</v>
      </c>
      <c r="J2188" s="93" t="s">
        <v>189</v>
      </c>
      <c r="K2188" s="93">
        <v>110</v>
      </c>
      <c r="L2188" s="93">
        <v>110</v>
      </c>
      <c r="M2188" s="93" t="s">
        <v>2311</v>
      </c>
      <c r="N2188" s="93" t="e">
        <f>VLOOKUP(B2188,'[16]01.수집 카테고리(List)'!$A$2:$H$64,8,FALSE)</f>
        <v>#N/A</v>
      </c>
      <c r="O2188" s="93"/>
    </row>
    <row r="2189" spans="1:15" hidden="1">
      <c r="A2189" s="75" t="str">
        <f t="shared" si="82"/>
        <v>PHABENSONBluetooth Speakerbluetooth speaker portablebluetooth speaker portable</v>
      </c>
      <c r="B2189" s="94" t="str">
        <f t="shared" si="83"/>
        <v>PH_ABENSON</v>
      </c>
      <c r="C2189" s="93" t="s">
        <v>393</v>
      </c>
      <c r="D2189" s="93" t="s">
        <v>394</v>
      </c>
      <c r="E2189" s="93" t="s">
        <v>2307</v>
      </c>
      <c r="F2189" s="93" t="s">
        <v>2479</v>
      </c>
      <c r="G2189" s="93" t="s">
        <v>2479</v>
      </c>
      <c r="H2189" s="93" t="e">
        <v>#N/A</v>
      </c>
      <c r="I2189" s="105" t="s">
        <v>2310</v>
      </c>
      <c r="J2189" s="93" t="s">
        <v>189</v>
      </c>
      <c r="K2189" s="93">
        <v>85464</v>
      </c>
      <c r="L2189" s="93">
        <v>85464</v>
      </c>
      <c r="M2189" s="93" t="s">
        <v>2311</v>
      </c>
      <c r="N2189" s="93" t="e">
        <f>VLOOKUP(B2189,'[16]01.수집 카테고리(List)'!$A$2:$H$64,8,FALSE)</f>
        <v>#N/A</v>
      </c>
      <c r="O2189" s="93"/>
    </row>
    <row r="2190" spans="1:15" hidden="1">
      <c r="A2190" s="75" t="str">
        <f t="shared" si="82"/>
        <v>PHABENSONBluetooth Speakerportable speakersportable speakers</v>
      </c>
      <c r="B2190" s="94" t="str">
        <f t="shared" si="83"/>
        <v>PH_ABENSON</v>
      </c>
      <c r="C2190" s="93" t="s">
        <v>393</v>
      </c>
      <c r="D2190" s="93" t="s">
        <v>394</v>
      </c>
      <c r="E2190" s="93" t="s">
        <v>2307</v>
      </c>
      <c r="F2190" s="93" t="s">
        <v>2473</v>
      </c>
      <c r="G2190" s="93" t="s">
        <v>2473</v>
      </c>
      <c r="H2190" s="93" t="e">
        <v>#N/A</v>
      </c>
      <c r="I2190" s="105" t="s">
        <v>2310</v>
      </c>
      <c r="J2190" s="93" t="s">
        <v>189</v>
      </c>
      <c r="K2190" s="93">
        <v>52580</v>
      </c>
      <c r="L2190" s="93">
        <v>52580</v>
      </c>
      <c r="M2190" s="93" t="s">
        <v>2311</v>
      </c>
      <c r="N2190" s="93" t="e">
        <f>VLOOKUP(B2190,'[16]01.수집 카테고리(List)'!$A$2:$H$64,8,FALSE)</f>
        <v>#N/A</v>
      </c>
      <c r="O2190" s="93"/>
    </row>
    <row r="2191" spans="1:15" hidden="1">
      <c r="A2191" s="75" t="str">
        <f t="shared" si="82"/>
        <v>PHABENSONBluetooth Speakerspeakersspeakers</v>
      </c>
      <c r="B2191" s="94" t="str">
        <f t="shared" si="83"/>
        <v>PH_ABENSON</v>
      </c>
      <c r="C2191" s="93" t="s">
        <v>393</v>
      </c>
      <c r="D2191" s="93" t="s">
        <v>394</v>
      </c>
      <c r="E2191" s="93" t="s">
        <v>2307</v>
      </c>
      <c r="F2191" s="93" t="s">
        <v>2471</v>
      </c>
      <c r="G2191" s="93" t="s">
        <v>2471</v>
      </c>
      <c r="H2191" s="93" t="e">
        <v>#N/A</v>
      </c>
      <c r="I2191" s="105" t="s">
        <v>2310</v>
      </c>
      <c r="J2191" s="93" t="s">
        <v>189</v>
      </c>
      <c r="K2191" s="93">
        <v>85</v>
      </c>
      <c r="L2191" s="93">
        <v>85</v>
      </c>
      <c r="M2191" s="93" t="s">
        <v>2311</v>
      </c>
      <c r="N2191" s="93" t="e">
        <f>VLOOKUP(B2191,'[16]01.수집 카테고리(List)'!$A$2:$H$64,8,FALSE)</f>
        <v>#N/A</v>
      </c>
      <c r="O2191" s="93"/>
    </row>
    <row r="2192" spans="1:15" hidden="1">
      <c r="A2192" s="75" t="str">
        <f t="shared" si="82"/>
        <v>PHABENSONBluetooth Speakerwireless portable speakerswireless portable speakers</v>
      </c>
      <c r="B2192" s="94" t="str">
        <f t="shared" si="83"/>
        <v>PH_ABENSON</v>
      </c>
      <c r="C2192" s="93" t="s">
        <v>393</v>
      </c>
      <c r="D2192" s="93" t="s">
        <v>394</v>
      </c>
      <c r="E2192" s="93" t="s">
        <v>2307</v>
      </c>
      <c r="F2192" s="93" t="s">
        <v>2475</v>
      </c>
      <c r="G2192" s="93" t="s">
        <v>2475</v>
      </c>
      <c r="H2192" s="93" t="e">
        <v>#N/A</v>
      </c>
      <c r="I2192" s="105" t="s">
        <v>2310</v>
      </c>
      <c r="J2192" s="93" t="s">
        <v>189</v>
      </c>
      <c r="K2192" s="93">
        <v>53060</v>
      </c>
      <c r="L2192" s="93">
        <v>53060</v>
      </c>
      <c r="M2192" s="93" t="s">
        <v>2311</v>
      </c>
      <c r="N2192" s="93" t="e">
        <f>VLOOKUP(B2192,'[16]01.수집 카테고리(List)'!$A$2:$H$64,8,FALSE)</f>
        <v>#N/A</v>
      </c>
      <c r="O2192" s="93"/>
    </row>
    <row r="2193" spans="1:15" hidden="1">
      <c r="A2193" s="75" t="str">
        <f t="shared" si="82"/>
        <v>PHABENSONRefrigeratorbottom freezer refrigeratorbottom freezer ref</v>
      </c>
      <c r="B2193" s="94" t="str">
        <f t="shared" si="83"/>
        <v>PH_ABENSON</v>
      </c>
      <c r="C2193" s="93" t="s">
        <v>393</v>
      </c>
      <c r="D2193" s="93" t="s">
        <v>394</v>
      </c>
      <c r="E2193" s="93" t="s">
        <v>2326</v>
      </c>
      <c r="F2193" s="93" t="s">
        <v>2327</v>
      </c>
      <c r="G2193" s="93" t="s">
        <v>3289</v>
      </c>
      <c r="H2193" s="93" t="e">
        <v>#N/A</v>
      </c>
      <c r="I2193" s="105" t="s">
        <v>2310</v>
      </c>
      <c r="J2193" s="93" t="s">
        <v>189</v>
      </c>
      <c r="K2193" s="93">
        <v>743</v>
      </c>
      <c r="L2193" s="93" t="e">
        <v>#N/A</v>
      </c>
      <c r="M2193" s="93" t="s">
        <v>2311</v>
      </c>
      <c r="N2193" s="93" t="e">
        <f>VLOOKUP(B2193,'[16]01.수집 카테고리(List)'!$A$2:$H$64,8,FALSE)</f>
        <v>#N/A</v>
      </c>
      <c r="O2193" s="93"/>
    </row>
    <row r="2194" spans="1:15" hidden="1">
      <c r="A2194" s="75" t="str">
        <f t="shared" si="82"/>
        <v>PHABENSONRefrigeratorfrench door refrigeratorfrench door ref</v>
      </c>
      <c r="B2194" s="94" t="str">
        <f t="shared" si="83"/>
        <v>PH_ABENSON</v>
      </c>
      <c r="C2194" s="93" t="s">
        <v>393</v>
      </c>
      <c r="D2194" s="93" t="s">
        <v>394</v>
      </c>
      <c r="E2194" s="93" t="s">
        <v>2326</v>
      </c>
      <c r="F2194" s="93" t="s">
        <v>2328</v>
      </c>
      <c r="G2194" s="93" t="s">
        <v>3290</v>
      </c>
      <c r="H2194" s="93" t="e">
        <v>#N/A</v>
      </c>
      <c r="I2194" s="105" t="s">
        <v>2310</v>
      </c>
      <c r="J2194" s="93" t="s">
        <v>189</v>
      </c>
      <c r="K2194" s="93">
        <v>33466</v>
      </c>
      <c r="L2194" s="93" t="e">
        <v>#N/A</v>
      </c>
      <c r="M2194" s="93" t="s">
        <v>2311</v>
      </c>
      <c r="N2194" s="93" t="e">
        <f>VLOOKUP(B2194,'[16]01.수집 카테고리(List)'!$A$2:$H$64,8,FALSE)</f>
        <v>#N/A</v>
      </c>
      <c r="O2194" s="93"/>
    </row>
    <row r="2195" spans="1:15" hidden="1">
      <c r="A2195" s="75" t="str">
        <f t="shared" si="82"/>
        <v>PHABENSONRefrigeratorinstaviewinstaview</v>
      </c>
      <c r="B2195" s="94" t="str">
        <f t="shared" si="83"/>
        <v>PH_ABENSON</v>
      </c>
      <c r="C2195" s="93" t="s">
        <v>393</v>
      </c>
      <c r="D2195" s="93" t="s">
        <v>394</v>
      </c>
      <c r="E2195" s="93" t="s">
        <v>2326</v>
      </c>
      <c r="F2195" s="93" t="s">
        <v>3291</v>
      </c>
      <c r="G2195" s="93" t="s">
        <v>3291</v>
      </c>
      <c r="H2195" s="93" t="e">
        <v>#N/A</v>
      </c>
      <c r="I2195" s="105" t="s">
        <v>2310</v>
      </c>
      <c r="J2195" s="93" t="s">
        <v>189</v>
      </c>
      <c r="K2195" s="93">
        <v>1567</v>
      </c>
      <c r="L2195" s="93">
        <v>1567</v>
      </c>
      <c r="M2195" s="93" t="s">
        <v>2311</v>
      </c>
      <c r="N2195" s="93" t="e">
        <f>VLOOKUP(B2195,'[16]01.수집 카테고리(List)'!$A$2:$H$64,8,FALSE)</f>
        <v>#N/A</v>
      </c>
      <c r="O2195" s="93"/>
    </row>
    <row r="2196" spans="1:15" hidden="1">
      <c r="A2196" s="75" t="str">
        <f t="shared" si="82"/>
        <v>PHABENSONRefrigeratorinverter refrigeratorinverter ref</v>
      </c>
      <c r="B2196" s="94" t="str">
        <f t="shared" si="83"/>
        <v>PH_ABENSON</v>
      </c>
      <c r="C2196" s="93" t="s">
        <v>393</v>
      </c>
      <c r="D2196" s="93" t="s">
        <v>394</v>
      </c>
      <c r="E2196" s="93" t="s">
        <v>2326</v>
      </c>
      <c r="F2196" s="93" t="s">
        <v>3292</v>
      </c>
      <c r="G2196" s="93" t="s">
        <v>3293</v>
      </c>
      <c r="H2196" s="93" t="e">
        <v>#N/A</v>
      </c>
      <c r="I2196" s="105" t="s">
        <v>2310</v>
      </c>
      <c r="J2196" s="93" t="s">
        <v>189</v>
      </c>
      <c r="K2196" s="93">
        <v>499</v>
      </c>
      <c r="L2196" s="93" t="e">
        <v>#N/A</v>
      </c>
      <c r="M2196" s="93" t="s">
        <v>2311</v>
      </c>
      <c r="N2196" s="93" t="e">
        <f>VLOOKUP(B2196,'[16]01.수집 카테고리(List)'!$A$2:$H$64,8,FALSE)</f>
        <v>#N/A</v>
      </c>
      <c r="O2196" s="93"/>
    </row>
    <row r="2197" spans="1:15" hidden="1">
      <c r="A2197" s="75" t="str">
        <f t="shared" si="82"/>
        <v>PHABENSONRefrigeratorrefrigeratorrefrigerator</v>
      </c>
      <c r="B2197" s="94" t="str">
        <f t="shared" si="83"/>
        <v>PH_ABENSON</v>
      </c>
      <c r="C2197" s="93" t="s">
        <v>393</v>
      </c>
      <c r="D2197" s="93" t="s">
        <v>394</v>
      </c>
      <c r="E2197" s="93" t="s">
        <v>2326</v>
      </c>
      <c r="F2197" s="93" t="s">
        <v>2329</v>
      </c>
      <c r="G2197" s="93" t="s">
        <v>2329</v>
      </c>
      <c r="H2197" s="93" t="e">
        <v>#N/A</v>
      </c>
      <c r="I2197" s="105" t="s">
        <v>2310</v>
      </c>
      <c r="J2197" s="93" t="s">
        <v>189</v>
      </c>
      <c r="K2197" s="93">
        <v>200</v>
      </c>
      <c r="L2197" s="93">
        <v>200</v>
      </c>
      <c r="M2197" s="93" t="s">
        <v>2311</v>
      </c>
      <c r="N2197" s="93" t="e">
        <f>VLOOKUP(B2197,'[16]01.수집 카테고리(List)'!$A$2:$H$64,8,FALSE)</f>
        <v>#N/A</v>
      </c>
      <c r="O2197" s="93"/>
    </row>
    <row r="2198" spans="1:15" hidden="1">
      <c r="A2198" s="75" t="str">
        <f t="shared" si="82"/>
        <v>PHABENSONRefrigeratorside by side refrigeratorside by side ref</v>
      </c>
      <c r="B2198" s="94" t="str">
        <f t="shared" si="83"/>
        <v>PH_ABENSON</v>
      </c>
      <c r="C2198" s="93" t="s">
        <v>393</v>
      </c>
      <c r="D2198" s="93" t="s">
        <v>394</v>
      </c>
      <c r="E2198" s="93" t="s">
        <v>2326</v>
      </c>
      <c r="F2198" s="93" t="s">
        <v>2330</v>
      </c>
      <c r="G2198" s="93" t="s">
        <v>3294</v>
      </c>
      <c r="H2198" s="93" t="e">
        <v>#N/A</v>
      </c>
      <c r="I2198" s="105" t="s">
        <v>2310</v>
      </c>
      <c r="J2198" s="93" t="s">
        <v>189</v>
      </c>
      <c r="K2198" s="93">
        <v>24</v>
      </c>
      <c r="L2198" s="93" t="e">
        <v>#N/A</v>
      </c>
      <c r="M2198" s="93" t="s">
        <v>2311</v>
      </c>
      <c r="N2198" s="93" t="e">
        <f>VLOOKUP(B2198,'[16]01.수집 카테고리(List)'!$A$2:$H$64,8,FALSE)</f>
        <v>#N/A</v>
      </c>
      <c r="O2198" s="93"/>
    </row>
    <row r="2199" spans="1:15" hidden="1">
      <c r="A2199" s="75" t="str">
        <f t="shared" si="82"/>
        <v>PHABENSONRefrigeratortop freezer refrigeratortop freezer ref</v>
      </c>
      <c r="B2199" s="94" t="str">
        <f t="shared" si="83"/>
        <v>PH_ABENSON</v>
      </c>
      <c r="C2199" s="93" t="s">
        <v>393</v>
      </c>
      <c r="D2199" s="93" t="s">
        <v>394</v>
      </c>
      <c r="E2199" s="93" t="s">
        <v>2326</v>
      </c>
      <c r="F2199" s="93" t="s">
        <v>2332</v>
      </c>
      <c r="G2199" s="93" t="s">
        <v>3295</v>
      </c>
      <c r="H2199" s="93" t="e">
        <v>#N/A</v>
      </c>
      <c r="I2199" s="105" t="s">
        <v>2310</v>
      </c>
      <c r="J2199" s="93" t="s">
        <v>189</v>
      </c>
      <c r="K2199" s="93">
        <v>80576</v>
      </c>
      <c r="L2199" s="93" t="e">
        <v>#N/A</v>
      </c>
      <c r="M2199" s="93" t="s">
        <v>2311</v>
      </c>
      <c r="N2199" s="93" t="e">
        <f>VLOOKUP(B2199,'[16]01.수집 카테고리(List)'!$A$2:$H$64,8,FALSE)</f>
        <v>#N/A</v>
      </c>
      <c r="O2199" s="93"/>
    </row>
    <row r="2200" spans="1:15" hidden="1">
      <c r="A2200" s="75" t="str">
        <f t="shared" si="82"/>
        <v>PHABENSONSOUNDBARsoundbarsoundbar</v>
      </c>
      <c r="B2200" s="94" t="str">
        <f t="shared" si="83"/>
        <v>PH_ABENSON</v>
      </c>
      <c r="C2200" s="93" t="s">
        <v>393</v>
      </c>
      <c r="D2200" s="93" t="s">
        <v>394</v>
      </c>
      <c r="E2200" s="93" t="s">
        <v>165</v>
      </c>
      <c r="F2200" s="93" t="s">
        <v>2987</v>
      </c>
      <c r="G2200" s="93" t="s">
        <v>2987</v>
      </c>
      <c r="H2200" s="93" t="e">
        <v>#N/A</v>
      </c>
      <c r="I2200" s="105" t="s">
        <v>2310</v>
      </c>
      <c r="J2200" s="93" t="s">
        <v>189</v>
      </c>
      <c r="K2200" s="93">
        <v>978</v>
      </c>
      <c r="L2200" s="93">
        <v>978</v>
      </c>
      <c r="M2200" s="93" t="s">
        <v>2311</v>
      </c>
      <c r="N2200" s="93" t="e">
        <f>VLOOKUP(B2200,'[16]01.수집 카테고리(List)'!$A$2:$H$64,8,FALSE)</f>
        <v>#N/A</v>
      </c>
      <c r="O2200" s="93"/>
    </row>
    <row r="2201" spans="1:15" hidden="1">
      <c r="A2201" s="75" t="str">
        <f t="shared" si="82"/>
        <v>PHABENSONTV4k TV4k TV</v>
      </c>
      <c r="B2201" s="94" t="str">
        <f t="shared" si="83"/>
        <v>PH_ABENSON</v>
      </c>
      <c r="C2201" s="93" t="s">
        <v>393</v>
      </c>
      <c r="D2201" s="93" t="s">
        <v>394</v>
      </c>
      <c r="E2201" s="93" t="s">
        <v>161</v>
      </c>
      <c r="F2201" s="93" t="s">
        <v>2368</v>
      </c>
      <c r="G2201" s="93" t="s">
        <v>2368</v>
      </c>
      <c r="H2201" s="93" t="e">
        <v>#N/A</v>
      </c>
      <c r="I2201" s="105" t="s">
        <v>2310</v>
      </c>
      <c r="J2201" s="93" t="s">
        <v>189</v>
      </c>
      <c r="K2201" s="93">
        <v>463</v>
      </c>
      <c r="L2201" s="93">
        <v>463</v>
      </c>
      <c r="M2201" s="93" t="s">
        <v>2311</v>
      </c>
      <c r="N2201" s="93" t="e">
        <f>VLOOKUP(B2201,'[16]01.수집 카테고리(List)'!$A$2:$H$64,8,FALSE)</f>
        <v>#N/A</v>
      </c>
      <c r="O2201" s="93"/>
    </row>
    <row r="2202" spans="1:15" hidden="1">
      <c r="A2202" s="75" t="str">
        <f t="shared" si="82"/>
        <v>PHABENSONTVoled TVoled TV</v>
      </c>
      <c r="B2202" s="94" t="str">
        <f t="shared" si="83"/>
        <v>PH_ABENSON</v>
      </c>
      <c r="C2202" s="93" t="s">
        <v>393</v>
      </c>
      <c r="D2202" s="93" t="s">
        <v>394</v>
      </c>
      <c r="E2202" s="93" t="s">
        <v>161</v>
      </c>
      <c r="F2202" s="93" t="s">
        <v>2369</v>
      </c>
      <c r="G2202" s="93" t="s">
        <v>2369</v>
      </c>
      <c r="H2202" s="93" t="e">
        <v>#N/A</v>
      </c>
      <c r="I2202" s="105" t="s">
        <v>2310</v>
      </c>
      <c r="J2202" s="93" t="s">
        <v>189</v>
      </c>
      <c r="K2202" s="93">
        <v>44</v>
      </c>
      <c r="L2202" s="93">
        <v>44</v>
      </c>
      <c r="M2202" s="93" t="s">
        <v>2311</v>
      </c>
      <c r="N2202" s="93" t="e">
        <f>VLOOKUP(B2202,'[16]01.수집 카테고리(List)'!$A$2:$H$64,8,FALSE)</f>
        <v>#N/A</v>
      </c>
      <c r="O2202" s="93"/>
    </row>
    <row r="2203" spans="1:15" hidden="1">
      <c r="A2203" s="75" t="str">
        <f t="shared" si="82"/>
        <v>PHABENSONTVsmart TVsmart TV</v>
      </c>
      <c r="B2203" s="94" t="str">
        <f t="shared" si="83"/>
        <v>PH_ABENSON</v>
      </c>
      <c r="C2203" s="93" t="s">
        <v>393</v>
      </c>
      <c r="D2203" s="93" t="s">
        <v>394</v>
      </c>
      <c r="E2203" s="93" t="s">
        <v>161</v>
      </c>
      <c r="F2203" s="93" t="s">
        <v>2371</v>
      </c>
      <c r="G2203" s="93" t="s">
        <v>2371</v>
      </c>
      <c r="H2203" s="93" t="e">
        <v>#N/A</v>
      </c>
      <c r="I2203" s="105" t="s">
        <v>2310</v>
      </c>
      <c r="J2203" s="93" t="s">
        <v>189</v>
      </c>
      <c r="K2203" s="93">
        <v>411</v>
      </c>
      <c r="L2203" s="93">
        <v>411</v>
      </c>
      <c r="M2203" s="93" t="s">
        <v>2311</v>
      </c>
      <c r="N2203" s="93" t="e">
        <f>VLOOKUP(B2203,'[16]01.수집 카테고리(List)'!$A$2:$H$64,8,FALSE)</f>
        <v>#N/A</v>
      </c>
      <c r="O2203" s="93"/>
    </row>
    <row r="2204" spans="1:15" hidden="1">
      <c r="A2204" s="75" t="str">
        <f t="shared" si="82"/>
        <v>PHABENSONTVTVTV</v>
      </c>
      <c r="B2204" s="94" t="str">
        <f t="shared" si="83"/>
        <v>PH_ABENSON</v>
      </c>
      <c r="C2204" s="93" t="s">
        <v>393</v>
      </c>
      <c r="D2204" s="93" t="s">
        <v>394</v>
      </c>
      <c r="E2204" s="93" t="s">
        <v>161</v>
      </c>
      <c r="F2204" s="93" t="s">
        <v>161</v>
      </c>
      <c r="G2204" s="93" t="s">
        <v>161</v>
      </c>
      <c r="H2204" s="93" t="e">
        <v>#N/A</v>
      </c>
      <c r="I2204" s="105" t="s">
        <v>2310</v>
      </c>
      <c r="J2204" s="93" t="s">
        <v>189</v>
      </c>
      <c r="K2204" s="93">
        <v>779</v>
      </c>
      <c r="L2204" s="93">
        <v>779</v>
      </c>
      <c r="M2204" s="93" t="s">
        <v>2311</v>
      </c>
      <c r="N2204" s="93" t="e">
        <f>VLOOKUP(B2204,'[16]01.수집 카테고리(List)'!$A$2:$H$64,8,FALSE)</f>
        <v>#N/A</v>
      </c>
      <c r="O2204" s="93"/>
    </row>
    <row r="2205" spans="1:15" hidden="1">
      <c r="A2205" s="75" t="str">
        <f t="shared" si="82"/>
        <v>PHABENSONTVuhd TVuhd TV</v>
      </c>
      <c r="B2205" s="94" t="str">
        <f t="shared" si="83"/>
        <v>PH_ABENSON</v>
      </c>
      <c r="C2205" s="93" t="s">
        <v>393</v>
      </c>
      <c r="D2205" s="93" t="s">
        <v>394</v>
      </c>
      <c r="E2205" s="93" t="s">
        <v>161</v>
      </c>
      <c r="F2205" s="93" t="s">
        <v>2399</v>
      </c>
      <c r="G2205" s="93" t="s">
        <v>2399</v>
      </c>
      <c r="H2205" s="93" t="e">
        <v>#N/A</v>
      </c>
      <c r="I2205" s="105" t="s">
        <v>2310</v>
      </c>
      <c r="J2205" s="93" t="s">
        <v>189</v>
      </c>
      <c r="K2205" s="93">
        <v>332</v>
      </c>
      <c r="L2205" s="93">
        <v>332</v>
      </c>
      <c r="M2205" s="93" t="s">
        <v>2311</v>
      </c>
      <c r="N2205" s="93" t="e">
        <f>VLOOKUP(B2205,'[16]01.수집 카테고리(List)'!$A$2:$H$64,8,FALSE)</f>
        <v>#N/A</v>
      </c>
      <c r="O2205" s="93"/>
    </row>
    <row r="2206" spans="1:15" hidden="1">
      <c r="A2206" s="75" t="str">
        <f t="shared" si="82"/>
        <v>PHABENSONWashing Machinefront loaderfront load washing machine</v>
      </c>
      <c r="B2206" s="94" t="str">
        <f t="shared" si="83"/>
        <v>PH_ABENSON</v>
      </c>
      <c r="C2206" s="93" t="s">
        <v>393</v>
      </c>
      <c r="D2206" s="93" t="s">
        <v>394</v>
      </c>
      <c r="E2206" s="93" t="s">
        <v>2333</v>
      </c>
      <c r="F2206" s="93" t="s">
        <v>2334</v>
      </c>
      <c r="G2206" s="93" t="s">
        <v>3011</v>
      </c>
      <c r="H2206" s="93" t="e">
        <v>#N/A</v>
      </c>
      <c r="I2206" s="105" t="s">
        <v>2310</v>
      </c>
      <c r="J2206" s="93" t="s">
        <v>189</v>
      </c>
      <c r="K2206" s="93">
        <v>1182</v>
      </c>
      <c r="L2206" s="93" t="e">
        <v>#N/A</v>
      </c>
      <c r="M2206" s="93" t="s">
        <v>2311</v>
      </c>
      <c r="N2206" s="93" t="e">
        <f>VLOOKUP(B2206,'[16]01.수집 카테고리(List)'!$A$2:$H$64,8,FALSE)</f>
        <v>#N/A</v>
      </c>
      <c r="O2206" s="93"/>
    </row>
    <row r="2207" spans="1:15" hidden="1">
      <c r="A2207" s="75" t="str">
        <f t="shared" si="82"/>
        <v>PHABENSONWashing Machineinverter washing machineinverter washing machine</v>
      </c>
      <c r="B2207" s="94" t="str">
        <f t="shared" si="83"/>
        <v>PH_ABENSON</v>
      </c>
      <c r="C2207" s="93" t="s">
        <v>393</v>
      </c>
      <c r="D2207" s="93" t="s">
        <v>394</v>
      </c>
      <c r="E2207" s="93" t="s">
        <v>2333</v>
      </c>
      <c r="F2207" s="93" t="s">
        <v>3296</v>
      </c>
      <c r="G2207" s="93" t="s">
        <v>3296</v>
      </c>
      <c r="H2207" s="93" t="e">
        <v>#N/A</v>
      </c>
      <c r="I2207" s="105" t="s">
        <v>2310</v>
      </c>
      <c r="J2207" s="93" t="s">
        <v>189</v>
      </c>
      <c r="K2207" s="93">
        <v>1338</v>
      </c>
      <c r="L2207" s="93">
        <v>1338</v>
      </c>
      <c r="M2207" s="93" t="s">
        <v>2311</v>
      </c>
      <c r="N2207" s="93" t="e">
        <f>VLOOKUP(B2207,'[16]01.수집 카테고리(List)'!$A$2:$H$64,8,FALSE)</f>
        <v>#N/A</v>
      </c>
      <c r="O2207" s="93"/>
    </row>
    <row r="2208" spans="1:15" hidden="1">
      <c r="A2208" s="75" t="str">
        <f t="shared" si="82"/>
        <v>PHABENSONWashing Machinetop loadertop load washing machine</v>
      </c>
      <c r="B2208" s="94" t="str">
        <f t="shared" si="83"/>
        <v>PH_ABENSON</v>
      </c>
      <c r="C2208" s="93" t="s">
        <v>393</v>
      </c>
      <c r="D2208" s="93" t="s">
        <v>394</v>
      </c>
      <c r="E2208" s="93" t="s">
        <v>2333</v>
      </c>
      <c r="F2208" s="93" t="s">
        <v>2336</v>
      </c>
      <c r="G2208" s="93" t="s">
        <v>3013</v>
      </c>
      <c r="H2208" s="93" t="e">
        <v>#N/A</v>
      </c>
      <c r="I2208" s="105" t="s">
        <v>2310</v>
      </c>
      <c r="J2208" s="93" t="s">
        <v>189</v>
      </c>
      <c r="K2208" s="93">
        <v>140</v>
      </c>
      <c r="L2208" s="93" t="e">
        <v>#N/A</v>
      </c>
      <c r="M2208" s="93" t="s">
        <v>2311</v>
      </c>
      <c r="N2208" s="93" t="e">
        <f>VLOOKUP(B2208,'[16]01.수집 카테고리(List)'!$A$2:$H$64,8,FALSE)</f>
        <v>#N/A</v>
      </c>
      <c r="O2208" s="93"/>
    </row>
    <row r="2209" spans="1:15" hidden="1">
      <c r="A2209" s="75" t="str">
        <f t="shared" si="82"/>
        <v>PHABENSONWashing Machinewasher dryer combowasher dryer combo</v>
      </c>
      <c r="B2209" s="94" t="str">
        <f t="shared" si="83"/>
        <v>PH_ABENSON</v>
      </c>
      <c r="C2209" s="93" t="s">
        <v>393</v>
      </c>
      <c r="D2209" s="93" t="s">
        <v>394</v>
      </c>
      <c r="E2209" s="93" t="s">
        <v>2333</v>
      </c>
      <c r="F2209" s="93" t="s">
        <v>2338</v>
      </c>
      <c r="G2209" s="93" t="s">
        <v>2338</v>
      </c>
      <c r="H2209" s="93" t="e">
        <v>#N/A</v>
      </c>
      <c r="I2209" s="105" t="s">
        <v>2310</v>
      </c>
      <c r="J2209" s="93" t="s">
        <v>189</v>
      </c>
      <c r="K2209" s="93">
        <v>4</v>
      </c>
      <c r="L2209" s="93">
        <v>4</v>
      </c>
      <c r="M2209" s="93" t="s">
        <v>2311</v>
      </c>
      <c r="N2209" s="93" t="e">
        <f>VLOOKUP(B2209,'[16]01.수집 카테고리(List)'!$A$2:$H$64,8,FALSE)</f>
        <v>#N/A</v>
      </c>
      <c r="O2209" s="93"/>
    </row>
    <row r="2210" spans="1:15" hidden="1">
      <c r="A2210" s="75" t="str">
        <f t="shared" si="82"/>
        <v>PHABENSONWashing Machinewashing machinewashing machine</v>
      </c>
      <c r="B2210" s="94" t="str">
        <f t="shared" si="83"/>
        <v>PH_ABENSON</v>
      </c>
      <c r="C2210" s="93" t="s">
        <v>393</v>
      </c>
      <c r="D2210" s="93" t="s">
        <v>394</v>
      </c>
      <c r="E2210" s="93" t="s">
        <v>2333</v>
      </c>
      <c r="F2210" s="93" t="s">
        <v>2340</v>
      </c>
      <c r="G2210" s="93" t="s">
        <v>2340</v>
      </c>
      <c r="H2210" s="93" t="e">
        <v>#N/A</v>
      </c>
      <c r="I2210" s="105" t="s">
        <v>2310</v>
      </c>
      <c r="J2210" s="93" t="s">
        <v>189</v>
      </c>
      <c r="K2210" s="93">
        <v>1473</v>
      </c>
      <c r="L2210" s="93">
        <v>1473</v>
      </c>
      <c r="M2210" s="93" t="s">
        <v>2311</v>
      </c>
      <c r="N2210" s="93" t="e">
        <f>VLOOKUP(B2210,'[16]01.수집 카테고리(List)'!$A$2:$H$64,8,FALSE)</f>
        <v>#N/A</v>
      </c>
      <c r="O2210" s="93"/>
    </row>
    <row r="2211" spans="1:15" hidden="1">
      <c r="A2211" s="75" t="str">
        <f t="shared" si="82"/>
        <v>PHABENSONWIRELESS HEADSETEarbudsEarbuds</v>
      </c>
      <c r="B2211" s="94" t="str">
        <f t="shared" si="83"/>
        <v>PH_ABENSON</v>
      </c>
      <c r="C2211" s="93" t="s">
        <v>393</v>
      </c>
      <c r="D2211" s="93" t="s">
        <v>394</v>
      </c>
      <c r="E2211" s="93" t="s">
        <v>2201</v>
      </c>
      <c r="F2211" s="93" t="s">
        <v>2534</v>
      </c>
      <c r="G2211" s="93" t="s">
        <v>2534</v>
      </c>
      <c r="H2211" s="93" t="e">
        <v>#N/A</v>
      </c>
      <c r="I2211" s="105" t="s">
        <v>2310</v>
      </c>
      <c r="J2211" s="93" t="s">
        <v>189</v>
      </c>
      <c r="K2211" s="93">
        <v>150</v>
      </c>
      <c r="L2211" s="93">
        <v>150</v>
      </c>
      <c r="M2211" s="93" t="s">
        <v>2311</v>
      </c>
      <c r="N2211" s="93" t="e">
        <f>VLOOKUP(B2211,'[16]01.수집 카테고리(List)'!$A$2:$H$64,8,FALSE)</f>
        <v>#N/A</v>
      </c>
      <c r="O2211" s="93"/>
    </row>
    <row r="2212" spans="1:15" hidden="1">
      <c r="A2212" s="75" t="str">
        <f t="shared" si="82"/>
        <v>PHABENSONWIRELESS HEADSETEarphonesEarphones</v>
      </c>
      <c r="B2212" s="94" t="str">
        <f t="shared" si="83"/>
        <v>PH_ABENSON</v>
      </c>
      <c r="C2212" s="93" t="s">
        <v>393</v>
      </c>
      <c r="D2212" s="93" t="s">
        <v>394</v>
      </c>
      <c r="E2212" s="93" t="s">
        <v>2201</v>
      </c>
      <c r="F2212" s="93" t="s">
        <v>3297</v>
      </c>
      <c r="G2212" s="93" t="s">
        <v>3297</v>
      </c>
      <c r="H2212" s="93" t="e">
        <v>#N/A</v>
      </c>
      <c r="I2212" s="105" t="s">
        <v>2310</v>
      </c>
      <c r="J2212" s="93" t="s">
        <v>189</v>
      </c>
      <c r="K2212" s="93">
        <v>1976</v>
      </c>
      <c r="L2212" s="93">
        <v>1976</v>
      </c>
      <c r="M2212" s="93" t="s">
        <v>2311</v>
      </c>
      <c r="N2212" s="93" t="e">
        <f>VLOOKUP(B2212,'[16]01.수집 카테고리(List)'!$A$2:$H$64,8,FALSE)</f>
        <v>#N/A</v>
      </c>
      <c r="O2212" s="93"/>
    </row>
    <row r="2213" spans="1:15" hidden="1">
      <c r="A2213" s="75" t="str">
        <f t="shared" si="82"/>
        <v>PHABENSONWIRELESS HEADSETHeadphoneHeadphone</v>
      </c>
      <c r="B2213" s="94" t="str">
        <f t="shared" si="83"/>
        <v>PH_ABENSON</v>
      </c>
      <c r="C2213" s="93" t="s">
        <v>393</v>
      </c>
      <c r="D2213" s="93" t="s">
        <v>394</v>
      </c>
      <c r="E2213" s="93" t="s">
        <v>2201</v>
      </c>
      <c r="F2213" s="93" t="s">
        <v>3298</v>
      </c>
      <c r="G2213" s="93" t="s">
        <v>3298</v>
      </c>
      <c r="H2213" s="93" t="e">
        <v>#N/A</v>
      </c>
      <c r="I2213" s="105" t="s">
        <v>2310</v>
      </c>
      <c r="J2213" s="93" t="s">
        <v>189</v>
      </c>
      <c r="K2213" s="93">
        <v>1057</v>
      </c>
      <c r="L2213" s="93">
        <v>1057</v>
      </c>
      <c r="M2213" s="93" t="s">
        <v>2311</v>
      </c>
      <c r="N2213" s="93" t="e">
        <f>VLOOKUP(B2213,'[16]01.수집 카테고리(List)'!$A$2:$H$64,8,FALSE)</f>
        <v>#N/A</v>
      </c>
      <c r="O2213" s="93"/>
    </row>
    <row r="2214" spans="1:15" hidden="1">
      <c r="A2214" s="75" t="str">
        <f t="shared" si="82"/>
        <v>PHABENSONWIRELESS HEADSETtws earbudstws earbuds</v>
      </c>
      <c r="B2214" s="94" t="str">
        <f t="shared" si="83"/>
        <v>PH_ABENSON</v>
      </c>
      <c r="C2214" s="93" t="s">
        <v>393</v>
      </c>
      <c r="D2214" s="93" t="s">
        <v>394</v>
      </c>
      <c r="E2214" s="93" t="s">
        <v>2201</v>
      </c>
      <c r="F2214" s="93" t="s">
        <v>3299</v>
      </c>
      <c r="G2214" s="93" t="s">
        <v>3299</v>
      </c>
      <c r="H2214" s="93" t="e">
        <v>#N/A</v>
      </c>
      <c r="I2214" s="105" t="s">
        <v>2310</v>
      </c>
      <c r="J2214" s="93" t="s">
        <v>189</v>
      </c>
      <c r="K2214" s="93">
        <v>125</v>
      </c>
      <c r="L2214" s="93">
        <v>125</v>
      </c>
      <c r="M2214" s="93" t="s">
        <v>2311</v>
      </c>
      <c r="N2214" s="93" t="e">
        <f>VLOOKUP(B2214,'[16]01.수집 카테고리(List)'!$A$2:$H$64,8,FALSE)</f>
        <v>#N/A</v>
      </c>
      <c r="O2214" s="93"/>
    </row>
    <row r="2215" spans="1:15" hidden="1">
      <c r="A2215" s="75" t="str">
        <f t="shared" si="82"/>
        <v>PHABENSONWIRELESS HEADSETWireless EarbudsWireless Earbuds</v>
      </c>
      <c r="B2215" s="94" t="str">
        <f t="shared" si="83"/>
        <v>PH_ABENSON</v>
      </c>
      <c r="C2215" s="93" t="s">
        <v>393</v>
      </c>
      <c r="D2215" s="93" t="s">
        <v>394</v>
      </c>
      <c r="E2215" s="93" t="s">
        <v>2201</v>
      </c>
      <c r="F2215" s="93" t="s">
        <v>2760</v>
      </c>
      <c r="G2215" s="93" t="s">
        <v>2760</v>
      </c>
      <c r="H2215" s="93" t="e">
        <v>#N/A</v>
      </c>
      <c r="I2215" s="105" t="s">
        <v>2310</v>
      </c>
      <c r="J2215" s="93" t="s">
        <v>189</v>
      </c>
      <c r="K2215" s="93">
        <v>78</v>
      </c>
      <c r="L2215" s="93">
        <v>78</v>
      </c>
      <c r="M2215" s="93" t="s">
        <v>2311</v>
      </c>
      <c r="N2215" s="93" t="e">
        <f>VLOOKUP(B2215,'[16]01.수집 카테고리(List)'!$A$2:$H$64,8,FALSE)</f>
        <v>#N/A</v>
      </c>
      <c r="O2215" s="93"/>
    </row>
    <row r="2216" spans="1:15" hidden="1">
      <c r="A2216" s="75" t="str">
        <f t="shared" si="82"/>
        <v>PHANSONAir Conditionerair conditioneraircon</v>
      </c>
      <c r="B2216" s="94" t="str">
        <f t="shared" si="83"/>
        <v>PH_ANSON</v>
      </c>
      <c r="C2216" s="93" t="s">
        <v>393</v>
      </c>
      <c r="D2216" s="93" t="s">
        <v>396</v>
      </c>
      <c r="E2216" s="93" t="s">
        <v>2346</v>
      </c>
      <c r="F2216" s="93" t="s">
        <v>2347</v>
      </c>
      <c r="G2216" s="93" t="s">
        <v>3283</v>
      </c>
      <c r="H2216" s="93" t="e">
        <v>#N/A</v>
      </c>
      <c r="I2216" s="105" t="s">
        <v>2310</v>
      </c>
      <c r="J2216" s="93" t="s">
        <v>189</v>
      </c>
      <c r="K2216" s="93">
        <v>134</v>
      </c>
      <c r="L2216" s="93" t="e">
        <v>#N/A</v>
      </c>
      <c r="M2216" s="93" t="s">
        <v>2311</v>
      </c>
      <c r="N2216" s="93" t="e">
        <f>VLOOKUP(B2216,'[16]01.수집 카테고리(List)'!$A$2:$H$64,8,FALSE)</f>
        <v>#N/A</v>
      </c>
      <c r="O2216" s="93"/>
    </row>
    <row r="2217" spans="1:15" hidden="1">
      <c r="A2217" s="75" t="str">
        <f t="shared" si="82"/>
        <v>PHANSONAir Conditionerinverter air conditionerinverter aircon</v>
      </c>
      <c r="B2217" s="94" t="str">
        <f t="shared" si="83"/>
        <v>PH_ANSON</v>
      </c>
      <c r="C2217" s="93" t="s">
        <v>393</v>
      </c>
      <c r="D2217" s="93" t="s">
        <v>396</v>
      </c>
      <c r="E2217" s="93" t="s">
        <v>2346</v>
      </c>
      <c r="F2217" s="93" t="s">
        <v>2348</v>
      </c>
      <c r="G2217" s="93" t="s">
        <v>3284</v>
      </c>
      <c r="H2217" s="93" t="e">
        <v>#N/A</v>
      </c>
      <c r="I2217" s="105" t="s">
        <v>2310</v>
      </c>
      <c r="J2217" s="93" t="s">
        <v>189</v>
      </c>
      <c r="K2217" s="93">
        <v>112</v>
      </c>
      <c r="L2217" s="93" t="e">
        <v>#N/A</v>
      </c>
      <c r="M2217" s="93" t="s">
        <v>2311</v>
      </c>
      <c r="N2217" s="93" t="e">
        <f>VLOOKUP(B2217,'[16]01.수집 카테고리(List)'!$A$2:$H$64,8,FALSE)</f>
        <v>#N/A</v>
      </c>
      <c r="O2217" s="93"/>
    </row>
    <row r="2218" spans="1:15" hidden="1">
      <c r="A2218" s="75" t="str">
        <f t="shared" ref="A2218:A2281" si="84">C2218&amp;D2218&amp;E2218&amp;F2218&amp;G2218</f>
        <v>PHANSONAir Conditionersplit air conditionersplit type aircon</v>
      </c>
      <c r="B2218" s="94" t="str">
        <f t="shared" ref="B2218:B2281" si="85">C2218&amp;"_"&amp;D2218</f>
        <v>PH_ANSON</v>
      </c>
      <c r="C2218" s="93" t="s">
        <v>393</v>
      </c>
      <c r="D2218" s="93" t="s">
        <v>396</v>
      </c>
      <c r="E2218" s="93" t="s">
        <v>2346</v>
      </c>
      <c r="F2218" s="93" t="s">
        <v>2422</v>
      </c>
      <c r="G2218" s="93" t="s">
        <v>3285</v>
      </c>
      <c r="H2218" s="93" t="e">
        <v>#N/A</v>
      </c>
      <c r="I2218" s="105" t="s">
        <v>2310</v>
      </c>
      <c r="J2218" s="93" t="s">
        <v>189</v>
      </c>
      <c r="K2218" s="93">
        <v>83</v>
      </c>
      <c r="L2218" s="93" t="e">
        <v>#N/A</v>
      </c>
      <c r="M2218" s="93" t="s">
        <v>2311</v>
      </c>
      <c r="N2218" s="93" t="e">
        <f>VLOOKUP(B2218,'[16]01.수집 카테고리(List)'!$A$2:$H$64,8,FALSE)</f>
        <v>#N/A</v>
      </c>
      <c r="O2218" s="93"/>
    </row>
    <row r="2219" spans="1:15" hidden="1">
      <c r="A2219" s="75" t="str">
        <f t="shared" si="84"/>
        <v>PHANSONAir Conditionersplit inverter air conditionersplit type inverter aircon</v>
      </c>
      <c r="B2219" s="94" t="str">
        <f t="shared" si="85"/>
        <v>PH_ANSON</v>
      </c>
      <c r="C2219" s="93" t="s">
        <v>393</v>
      </c>
      <c r="D2219" s="93" t="s">
        <v>396</v>
      </c>
      <c r="E2219" s="93" t="s">
        <v>2346</v>
      </c>
      <c r="F2219" s="93" t="s">
        <v>2423</v>
      </c>
      <c r="G2219" s="93" t="s">
        <v>3286</v>
      </c>
      <c r="H2219" s="93" t="e">
        <v>#N/A</v>
      </c>
      <c r="I2219" s="105" t="s">
        <v>2310</v>
      </c>
      <c r="J2219" s="93" t="s">
        <v>189</v>
      </c>
      <c r="K2219" s="93">
        <v>83</v>
      </c>
      <c r="L2219" s="93" t="e">
        <v>#N/A</v>
      </c>
      <c r="M2219" s="93" t="s">
        <v>2311</v>
      </c>
      <c r="N2219" s="93" t="e">
        <f>VLOOKUP(B2219,'[16]01.수집 카테고리(List)'!$A$2:$H$64,8,FALSE)</f>
        <v>#N/A</v>
      </c>
      <c r="O2219" s="93"/>
    </row>
    <row r="2220" spans="1:15" hidden="1">
      <c r="A2220" s="75" t="str">
        <f t="shared" si="84"/>
        <v>PHANSONAir Conditionerwindow air conditionerwindow type aircon</v>
      </c>
      <c r="B2220" s="94" t="str">
        <f t="shared" si="85"/>
        <v>PH_ANSON</v>
      </c>
      <c r="C2220" s="93" t="s">
        <v>393</v>
      </c>
      <c r="D2220" s="93" t="s">
        <v>396</v>
      </c>
      <c r="E2220" s="93" t="s">
        <v>2346</v>
      </c>
      <c r="F2220" s="93" t="s">
        <v>2350</v>
      </c>
      <c r="G2220" s="93" t="s">
        <v>3287</v>
      </c>
      <c r="H2220" s="93" t="e">
        <v>#N/A</v>
      </c>
      <c r="I2220" s="105" t="s">
        <v>2310</v>
      </c>
      <c r="J2220" s="93" t="s">
        <v>189</v>
      </c>
      <c r="K2220" s="93">
        <v>53</v>
      </c>
      <c r="L2220" s="93" t="e">
        <v>#N/A</v>
      </c>
      <c r="M2220" s="93" t="s">
        <v>2311</v>
      </c>
      <c r="N2220" s="93" t="e">
        <f>VLOOKUP(B2220,'[16]01.수집 카테고리(List)'!$A$2:$H$64,8,FALSE)</f>
        <v>#N/A</v>
      </c>
      <c r="O2220" s="93"/>
    </row>
    <row r="2221" spans="1:15" hidden="1">
      <c r="A2221" s="75" t="str">
        <f t="shared" si="84"/>
        <v>PHANSONAir Conditionerwindow inverter air conditionerwindow type inverter aircon</v>
      </c>
      <c r="B2221" s="94" t="str">
        <f t="shared" si="85"/>
        <v>PH_ANSON</v>
      </c>
      <c r="C2221" s="93" t="s">
        <v>393</v>
      </c>
      <c r="D2221" s="93" t="s">
        <v>396</v>
      </c>
      <c r="E2221" s="93" t="s">
        <v>2346</v>
      </c>
      <c r="F2221" s="93" t="s">
        <v>2424</v>
      </c>
      <c r="G2221" s="93" t="s">
        <v>3288</v>
      </c>
      <c r="H2221" s="93" t="e">
        <v>#N/A</v>
      </c>
      <c r="I2221" s="105" t="s">
        <v>2310</v>
      </c>
      <c r="J2221" s="93" t="s">
        <v>189</v>
      </c>
      <c r="K2221" s="93">
        <v>31</v>
      </c>
      <c r="L2221" s="93" t="e">
        <v>#N/A</v>
      </c>
      <c r="M2221" s="93" t="s">
        <v>2311</v>
      </c>
      <c r="N2221" s="93" t="e">
        <f>VLOOKUP(B2221,'[16]01.수집 카테고리(List)'!$A$2:$H$64,8,FALSE)</f>
        <v>#N/A</v>
      </c>
      <c r="O2221" s="93"/>
    </row>
    <row r="2222" spans="1:15" hidden="1">
      <c r="A2222" s="75" t="str">
        <f t="shared" si="84"/>
        <v>PHANSONBluetooth Speakerbluetooth speakerbluetooth speaker</v>
      </c>
      <c r="B2222" s="94" t="str">
        <f t="shared" si="85"/>
        <v>PH_ANSON</v>
      </c>
      <c r="C2222" s="93" t="s">
        <v>393</v>
      </c>
      <c r="D2222" s="93" t="s">
        <v>396</v>
      </c>
      <c r="E2222" s="93" t="s">
        <v>2307</v>
      </c>
      <c r="F2222" s="93" t="s">
        <v>2657</v>
      </c>
      <c r="G2222" s="93" t="s">
        <v>2657</v>
      </c>
      <c r="H2222" s="93" t="e">
        <v>#N/A</v>
      </c>
      <c r="I2222" s="105" t="s">
        <v>2310</v>
      </c>
      <c r="J2222" s="93" t="s">
        <v>189</v>
      </c>
      <c r="K2222" s="93">
        <v>207</v>
      </c>
      <c r="L2222" s="93">
        <v>207</v>
      </c>
      <c r="M2222" s="93" t="s">
        <v>2311</v>
      </c>
      <c r="N2222" s="93" t="e">
        <f>VLOOKUP(B2222,'[16]01.수집 카테고리(List)'!$A$2:$H$64,8,FALSE)</f>
        <v>#N/A</v>
      </c>
      <c r="O2222" s="93"/>
    </row>
    <row r="2223" spans="1:15" hidden="1">
      <c r="A2223" s="75" t="str">
        <f t="shared" si="84"/>
        <v>PHANSONBluetooth Speakerbluetooth speaker portablebluetooth speaker portable</v>
      </c>
      <c r="B2223" s="94" t="str">
        <f t="shared" si="85"/>
        <v>PH_ANSON</v>
      </c>
      <c r="C2223" s="93" t="s">
        <v>393</v>
      </c>
      <c r="D2223" s="93" t="s">
        <v>396</v>
      </c>
      <c r="E2223" s="93" t="s">
        <v>2307</v>
      </c>
      <c r="F2223" s="93" t="s">
        <v>2479</v>
      </c>
      <c r="G2223" s="93" t="s">
        <v>2479</v>
      </c>
      <c r="H2223" s="93" t="e">
        <v>#N/A</v>
      </c>
      <c r="I2223" s="105" t="s">
        <v>2310</v>
      </c>
      <c r="J2223" s="93" t="s">
        <v>189</v>
      </c>
      <c r="K2223" s="93">
        <v>153</v>
      </c>
      <c r="L2223" s="93">
        <v>153</v>
      </c>
      <c r="M2223" s="93" t="s">
        <v>2311</v>
      </c>
      <c r="N2223" s="93" t="e">
        <f>VLOOKUP(B2223,'[16]01.수집 카테고리(List)'!$A$2:$H$64,8,FALSE)</f>
        <v>#N/A</v>
      </c>
      <c r="O2223" s="93"/>
    </row>
    <row r="2224" spans="1:15" hidden="1">
      <c r="A2224" s="75" t="str">
        <f t="shared" si="84"/>
        <v>PHANSONBluetooth Speakerportable speakersportable speakers</v>
      </c>
      <c r="B2224" s="94" t="str">
        <f t="shared" si="85"/>
        <v>PH_ANSON</v>
      </c>
      <c r="C2224" s="93" t="s">
        <v>393</v>
      </c>
      <c r="D2224" s="93" t="s">
        <v>396</v>
      </c>
      <c r="E2224" s="93" t="s">
        <v>2307</v>
      </c>
      <c r="F2224" s="93" t="s">
        <v>2473</v>
      </c>
      <c r="G2224" s="93" t="s">
        <v>2473</v>
      </c>
      <c r="H2224" s="93" t="e">
        <v>#N/A</v>
      </c>
      <c r="I2224" s="105" t="s">
        <v>2310</v>
      </c>
      <c r="J2224" s="93" t="s">
        <v>189</v>
      </c>
      <c r="K2224" s="93">
        <v>114</v>
      </c>
      <c r="L2224" s="93">
        <v>114</v>
      </c>
      <c r="M2224" s="93" t="s">
        <v>2311</v>
      </c>
      <c r="N2224" s="93" t="e">
        <f>VLOOKUP(B2224,'[16]01.수집 카테고리(List)'!$A$2:$H$64,8,FALSE)</f>
        <v>#N/A</v>
      </c>
      <c r="O2224" s="93"/>
    </row>
    <row r="2225" spans="1:15" hidden="1">
      <c r="A2225" s="75" t="str">
        <f t="shared" si="84"/>
        <v>PHANSONBluetooth Speakerspeakersspeakers</v>
      </c>
      <c r="B2225" s="94" t="str">
        <f t="shared" si="85"/>
        <v>PH_ANSON</v>
      </c>
      <c r="C2225" s="93" t="s">
        <v>393</v>
      </c>
      <c r="D2225" s="93" t="s">
        <v>396</v>
      </c>
      <c r="E2225" s="93" t="s">
        <v>2307</v>
      </c>
      <c r="F2225" s="93" t="s">
        <v>2471</v>
      </c>
      <c r="G2225" s="93" t="s">
        <v>2471</v>
      </c>
      <c r="H2225" s="93" t="e">
        <v>#N/A</v>
      </c>
      <c r="I2225" s="105" t="s">
        <v>2310</v>
      </c>
      <c r="J2225" s="93" t="s">
        <v>189</v>
      </c>
      <c r="K2225" s="93">
        <v>402</v>
      </c>
      <c r="L2225" s="93">
        <v>402</v>
      </c>
      <c r="M2225" s="93" t="s">
        <v>2311</v>
      </c>
      <c r="N2225" s="93" t="e">
        <f>VLOOKUP(B2225,'[16]01.수집 카테고리(List)'!$A$2:$H$64,8,FALSE)</f>
        <v>#N/A</v>
      </c>
      <c r="O2225" s="93"/>
    </row>
    <row r="2226" spans="1:15" hidden="1">
      <c r="A2226" s="75" t="str">
        <f t="shared" si="84"/>
        <v>PHANSONBluetooth Speakerwireless portable speakerswireless portable speakers</v>
      </c>
      <c r="B2226" s="94" t="str">
        <f t="shared" si="85"/>
        <v>PH_ANSON</v>
      </c>
      <c r="C2226" s="93" t="s">
        <v>393</v>
      </c>
      <c r="D2226" s="93" t="s">
        <v>396</v>
      </c>
      <c r="E2226" s="93" t="s">
        <v>2307</v>
      </c>
      <c r="F2226" s="93" t="s">
        <v>2475</v>
      </c>
      <c r="G2226" s="93" t="s">
        <v>2475</v>
      </c>
      <c r="H2226" s="93" t="e">
        <v>#N/A</v>
      </c>
      <c r="I2226" s="105" t="s">
        <v>2310</v>
      </c>
      <c r="J2226" s="93" t="s">
        <v>189</v>
      </c>
      <c r="K2226" s="93">
        <v>75</v>
      </c>
      <c r="L2226" s="93">
        <v>75</v>
      </c>
      <c r="M2226" s="93" t="s">
        <v>2311</v>
      </c>
      <c r="N2226" s="93" t="e">
        <f>VLOOKUP(B2226,'[16]01.수집 카테고리(List)'!$A$2:$H$64,8,FALSE)</f>
        <v>#N/A</v>
      </c>
      <c r="O2226" s="93"/>
    </row>
    <row r="2227" spans="1:15" hidden="1">
      <c r="A2227" s="75" t="str">
        <f t="shared" si="84"/>
        <v>PHANSONRefrigeratorbottom freezer refrigeratorbottom freezer ref</v>
      </c>
      <c r="B2227" s="94" t="str">
        <f t="shared" si="85"/>
        <v>PH_ANSON</v>
      </c>
      <c r="C2227" s="93" t="s">
        <v>393</v>
      </c>
      <c r="D2227" s="93" t="s">
        <v>396</v>
      </c>
      <c r="E2227" s="93" t="s">
        <v>2326</v>
      </c>
      <c r="F2227" s="93" t="s">
        <v>2327</v>
      </c>
      <c r="G2227" s="93" t="s">
        <v>3289</v>
      </c>
      <c r="H2227" s="93" t="e">
        <v>#N/A</v>
      </c>
      <c r="I2227" s="105" t="s">
        <v>2310</v>
      </c>
      <c r="J2227" s="93" t="s">
        <v>189</v>
      </c>
      <c r="K2227" s="93">
        <v>7184</v>
      </c>
      <c r="L2227" s="93" t="e">
        <v>#N/A</v>
      </c>
      <c r="M2227" s="93" t="s">
        <v>2311</v>
      </c>
      <c r="N2227" s="93" t="e">
        <f>VLOOKUP(B2227,'[16]01.수집 카테고리(List)'!$A$2:$H$64,8,FALSE)</f>
        <v>#N/A</v>
      </c>
      <c r="O2227" s="93"/>
    </row>
    <row r="2228" spans="1:15" hidden="1">
      <c r="A2228" s="75" t="str">
        <f t="shared" si="84"/>
        <v>PHANSONRefrigeratorfrench door refrigeratorfrench door ref</v>
      </c>
      <c r="B2228" s="94" t="str">
        <f t="shared" si="85"/>
        <v>PH_ANSON</v>
      </c>
      <c r="C2228" s="93" t="s">
        <v>393</v>
      </c>
      <c r="D2228" s="93" t="s">
        <v>396</v>
      </c>
      <c r="E2228" s="93" t="s">
        <v>2326</v>
      </c>
      <c r="F2228" s="93" t="s">
        <v>2328</v>
      </c>
      <c r="G2228" s="93" t="s">
        <v>3290</v>
      </c>
      <c r="H2228" s="93" t="e">
        <v>#N/A</v>
      </c>
      <c r="I2228" s="105" t="s">
        <v>2310</v>
      </c>
      <c r="J2228" s="93" t="s">
        <v>189</v>
      </c>
      <c r="K2228" s="93">
        <v>16</v>
      </c>
      <c r="L2228" s="93" t="e">
        <v>#N/A</v>
      </c>
      <c r="M2228" s="93" t="s">
        <v>2311</v>
      </c>
      <c r="N2228" s="93" t="e">
        <f>VLOOKUP(B2228,'[16]01.수집 카테고리(List)'!$A$2:$H$64,8,FALSE)</f>
        <v>#N/A</v>
      </c>
      <c r="O2228" s="93"/>
    </row>
    <row r="2229" spans="1:15" hidden="1">
      <c r="A2229" s="75" t="str">
        <f t="shared" si="84"/>
        <v>PHANSONRefrigeratorinstaviewinstaview</v>
      </c>
      <c r="B2229" s="94" t="str">
        <f t="shared" si="85"/>
        <v>PH_ANSON</v>
      </c>
      <c r="C2229" s="93" t="s">
        <v>393</v>
      </c>
      <c r="D2229" s="93" t="s">
        <v>396</v>
      </c>
      <c r="E2229" s="93" t="s">
        <v>2326</v>
      </c>
      <c r="F2229" s="93" t="s">
        <v>3291</v>
      </c>
      <c r="G2229" s="93" t="s">
        <v>3291</v>
      </c>
      <c r="H2229" s="93" t="e">
        <v>#N/A</v>
      </c>
      <c r="I2229" s="105" t="s">
        <v>2310</v>
      </c>
      <c r="J2229" s="93" t="s">
        <v>189</v>
      </c>
      <c r="K2229" s="93">
        <v>2140</v>
      </c>
      <c r="L2229" s="93">
        <v>2140</v>
      </c>
      <c r="M2229" s="93" t="s">
        <v>2311</v>
      </c>
      <c r="N2229" s="93" t="e">
        <f>VLOOKUP(B2229,'[16]01.수집 카테고리(List)'!$A$2:$H$64,8,FALSE)</f>
        <v>#N/A</v>
      </c>
      <c r="O2229" s="93"/>
    </row>
    <row r="2230" spans="1:15" hidden="1">
      <c r="A2230" s="75" t="str">
        <f t="shared" si="84"/>
        <v>PHANSONRefrigeratorinverter refrigeratorinverter ref</v>
      </c>
      <c r="B2230" s="94" t="str">
        <f t="shared" si="85"/>
        <v>PH_ANSON</v>
      </c>
      <c r="C2230" s="93" t="s">
        <v>393</v>
      </c>
      <c r="D2230" s="93" t="s">
        <v>396</v>
      </c>
      <c r="E2230" s="93" t="s">
        <v>2326</v>
      </c>
      <c r="F2230" s="93" t="s">
        <v>3292</v>
      </c>
      <c r="G2230" s="93" t="s">
        <v>3293</v>
      </c>
      <c r="H2230" s="93" t="e">
        <v>#N/A</v>
      </c>
      <c r="I2230" s="105" t="s">
        <v>2310</v>
      </c>
      <c r="J2230" s="93" t="s">
        <v>189</v>
      </c>
      <c r="K2230" s="93">
        <v>260</v>
      </c>
      <c r="L2230" s="93" t="e">
        <v>#N/A</v>
      </c>
      <c r="M2230" s="93" t="s">
        <v>2311</v>
      </c>
      <c r="N2230" s="93" t="e">
        <f>VLOOKUP(B2230,'[16]01.수집 카테고리(List)'!$A$2:$H$64,8,FALSE)</f>
        <v>#N/A</v>
      </c>
      <c r="O2230" s="93"/>
    </row>
    <row r="2231" spans="1:15" hidden="1">
      <c r="A2231" s="75" t="str">
        <f t="shared" si="84"/>
        <v>PHANSONRefrigeratorrefrigeratorrefrigerator</v>
      </c>
      <c r="B2231" s="94" t="str">
        <f t="shared" si="85"/>
        <v>PH_ANSON</v>
      </c>
      <c r="C2231" s="93" t="s">
        <v>393</v>
      </c>
      <c r="D2231" s="93" t="s">
        <v>396</v>
      </c>
      <c r="E2231" s="93" t="s">
        <v>2326</v>
      </c>
      <c r="F2231" s="93" t="s">
        <v>2329</v>
      </c>
      <c r="G2231" s="93" t="s">
        <v>2329</v>
      </c>
      <c r="H2231" s="93" t="e">
        <v>#N/A</v>
      </c>
      <c r="I2231" s="105" t="s">
        <v>2310</v>
      </c>
      <c r="J2231" s="93" t="s">
        <v>189</v>
      </c>
      <c r="K2231" s="93">
        <v>295</v>
      </c>
      <c r="L2231" s="93">
        <v>295</v>
      </c>
      <c r="M2231" s="93" t="s">
        <v>2311</v>
      </c>
      <c r="N2231" s="93" t="e">
        <f>VLOOKUP(B2231,'[16]01.수집 카테고리(List)'!$A$2:$H$64,8,FALSE)</f>
        <v>#N/A</v>
      </c>
      <c r="O2231" s="93"/>
    </row>
    <row r="2232" spans="1:15" hidden="1">
      <c r="A2232" s="75" t="str">
        <f t="shared" si="84"/>
        <v>PHANSONRefrigeratorside by side refrigeratorside by side ref</v>
      </c>
      <c r="B2232" s="94" t="str">
        <f t="shared" si="85"/>
        <v>PH_ANSON</v>
      </c>
      <c r="C2232" s="93" t="s">
        <v>393</v>
      </c>
      <c r="D2232" s="93" t="s">
        <v>396</v>
      </c>
      <c r="E2232" s="93" t="s">
        <v>2326</v>
      </c>
      <c r="F2232" s="93" t="s">
        <v>2330</v>
      </c>
      <c r="G2232" s="93" t="s">
        <v>3294</v>
      </c>
      <c r="H2232" s="93" t="e">
        <v>#N/A</v>
      </c>
      <c r="I2232" s="105" t="s">
        <v>2310</v>
      </c>
      <c r="J2232" s="93" t="s">
        <v>189</v>
      </c>
      <c r="K2232" s="93">
        <v>72</v>
      </c>
      <c r="L2232" s="93" t="e">
        <v>#N/A</v>
      </c>
      <c r="M2232" s="93" t="s">
        <v>2311</v>
      </c>
      <c r="N2232" s="93" t="e">
        <f>VLOOKUP(B2232,'[16]01.수집 카테고리(List)'!$A$2:$H$64,8,FALSE)</f>
        <v>#N/A</v>
      </c>
      <c r="O2232" s="93"/>
    </row>
    <row r="2233" spans="1:15" hidden="1">
      <c r="A2233" s="75" t="str">
        <f t="shared" si="84"/>
        <v>PHANSONRefrigeratortop freezer refrigeratortop freezer ref</v>
      </c>
      <c r="B2233" s="94" t="str">
        <f t="shared" si="85"/>
        <v>PH_ANSON</v>
      </c>
      <c r="C2233" s="93" t="s">
        <v>393</v>
      </c>
      <c r="D2233" s="93" t="s">
        <v>396</v>
      </c>
      <c r="E2233" s="93" t="s">
        <v>2326</v>
      </c>
      <c r="F2233" s="93" t="s">
        <v>2332</v>
      </c>
      <c r="G2233" s="93" t="s">
        <v>3295</v>
      </c>
      <c r="H2233" s="93" t="e">
        <v>#N/A</v>
      </c>
      <c r="I2233" s="105" t="s">
        <v>2310</v>
      </c>
      <c r="J2233" s="93" t="s">
        <v>189</v>
      </c>
      <c r="K2233" s="93">
        <v>1164</v>
      </c>
      <c r="L2233" s="93" t="e">
        <v>#N/A</v>
      </c>
      <c r="M2233" s="93" t="s">
        <v>2311</v>
      </c>
      <c r="N2233" s="93" t="e">
        <f>VLOOKUP(B2233,'[16]01.수집 카테고리(List)'!$A$2:$H$64,8,FALSE)</f>
        <v>#N/A</v>
      </c>
      <c r="O2233" s="93"/>
    </row>
    <row r="2234" spans="1:15" hidden="1">
      <c r="A2234" s="75" t="str">
        <f t="shared" si="84"/>
        <v>PHANSONSOUNDBARsoundbarsoundbar</v>
      </c>
      <c r="B2234" s="94" t="str">
        <f t="shared" si="85"/>
        <v>PH_ANSON</v>
      </c>
      <c r="C2234" s="93" t="s">
        <v>393</v>
      </c>
      <c r="D2234" s="93" t="s">
        <v>396</v>
      </c>
      <c r="E2234" s="93" t="s">
        <v>165</v>
      </c>
      <c r="F2234" s="93" t="s">
        <v>2987</v>
      </c>
      <c r="G2234" s="93" t="s">
        <v>2987</v>
      </c>
      <c r="H2234" s="93" t="e">
        <v>#N/A</v>
      </c>
      <c r="I2234" s="105" t="s">
        <v>2310</v>
      </c>
      <c r="J2234" s="93" t="s">
        <v>189</v>
      </c>
      <c r="K2234" s="93">
        <v>127</v>
      </c>
      <c r="L2234" s="93">
        <v>127</v>
      </c>
      <c r="M2234" s="93" t="s">
        <v>2311</v>
      </c>
      <c r="N2234" s="93" t="e">
        <f>VLOOKUP(B2234,'[16]01.수집 카테고리(List)'!$A$2:$H$64,8,FALSE)</f>
        <v>#N/A</v>
      </c>
      <c r="O2234" s="93"/>
    </row>
    <row r="2235" spans="1:15" hidden="1">
      <c r="A2235" s="75" t="str">
        <f t="shared" si="84"/>
        <v>PHANSONTV4k TV4k TV</v>
      </c>
      <c r="B2235" s="94" t="str">
        <f t="shared" si="85"/>
        <v>PH_ANSON</v>
      </c>
      <c r="C2235" s="93" t="s">
        <v>393</v>
      </c>
      <c r="D2235" s="93" t="s">
        <v>396</v>
      </c>
      <c r="E2235" s="93" t="s">
        <v>161</v>
      </c>
      <c r="F2235" s="93" t="s">
        <v>2368</v>
      </c>
      <c r="G2235" s="93" t="s">
        <v>2368</v>
      </c>
      <c r="H2235" s="93" t="e">
        <v>#N/A</v>
      </c>
      <c r="I2235" s="105" t="s">
        <v>2310</v>
      </c>
      <c r="J2235" s="93" t="s">
        <v>189</v>
      </c>
      <c r="K2235" s="93">
        <v>695</v>
      </c>
      <c r="L2235" s="93">
        <v>695</v>
      </c>
      <c r="M2235" s="93" t="s">
        <v>2311</v>
      </c>
      <c r="N2235" s="93" t="e">
        <f>VLOOKUP(B2235,'[16]01.수집 카테고리(List)'!$A$2:$H$64,8,FALSE)</f>
        <v>#N/A</v>
      </c>
      <c r="O2235" s="93"/>
    </row>
    <row r="2236" spans="1:15" hidden="1">
      <c r="A2236" s="75" t="str">
        <f t="shared" si="84"/>
        <v>PHANSONTVoled TVoled TV</v>
      </c>
      <c r="B2236" s="94" t="str">
        <f t="shared" si="85"/>
        <v>PH_ANSON</v>
      </c>
      <c r="C2236" s="93" t="s">
        <v>393</v>
      </c>
      <c r="D2236" s="93" t="s">
        <v>396</v>
      </c>
      <c r="E2236" s="93" t="s">
        <v>161</v>
      </c>
      <c r="F2236" s="93" t="s">
        <v>2369</v>
      </c>
      <c r="G2236" s="93" t="s">
        <v>2369</v>
      </c>
      <c r="H2236" s="93" t="e">
        <v>#N/A</v>
      </c>
      <c r="I2236" s="105" t="s">
        <v>2310</v>
      </c>
      <c r="J2236" s="93" t="s">
        <v>189</v>
      </c>
      <c r="K2236" s="93">
        <v>206</v>
      </c>
      <c r="L2236" s="93">
        <v>206</v>
      </c>
      <c r="M2236" s="93" t="s">
        <v>2311</v>
      </c>
      <c r="N2236" s="93" t="e">
        <f>VLOOKUP(B2236,'[16]01.수집 카테고리(List)'!$A$2:$H$64,8,FALSE)</f>
        <v>#N/A</v>
      </c>
      <c r="O2236" s="93"/>
    </row>
    <row r="2237" spans="1:15" hidden="1">
      <c r="A2237" s="75" t="str">
        <f t="shared" si="84"/>
        <v>PHANSONTVsmart TVsmart TV</v>
      </c>
      <c r="B2237" s="94" t="str">
        <f t="shared" si="85"/>
        <v>PH_ANSON</v>
      </c>
      <c r="C2237" s="93" t="s">
        <v>393</v>
      </c>
      <c r="D2237" s="93" t="s">
        <v>396</v>
      </c>
      <c r="E2237" s="93" t="s">
        <v>161</v>
      </c>
      <c r="F2237" s="93" t="s">
        <v>2371</v>
      </c>
      <c r="G2237" s="93" t="s">
        <v>2371</v>
      </c>
      <c r="H2237" s="93" t="e">
        <v>#N/A</v>
      </c>
      <c r="I2237" s="105" t="s">
        <v>2310</v>
      </c>
      <c r="J2237" s="93" t="s">
        <v>189</v>
      </c>
      <c r="K2237" s="93">
        <v>385</v>
      </c>
      <c r="L2237" s="93">
        <v>385</v>
      </c>
      <c r="M2237" s="93" t="s">
        <v>2311</v>
      </c>
      <c r="N2237" s="93" t="e">
        <f>VLOOKUP(B2237,'[16]01.수집 카테고리(List)'!$A$2:$H$64,8,FALSE)</f>
        <v>#N/A</v>
      </c>
      <c r="O2237" s="93"/>
    </row>
    <row r="2238" spans="1:15" hidden="1">
      <c r="A2238" s="75" t="str">
        <f t="shared" si="84"/>
        <v>PHANSONTVTVTV</v>
      </c>
      <c r="B2238" s="94" t="str">
        <f t="shared" si="85"/>
        <v>PH_ANSON</v>
      </c>
      <c r="C2238" s="93" t="s">
        <v>393</v>
      </c>
      <c r="D2238" s="93" t="s">
        <v>396</v>
      </c>
      <c r="E2238" s="93" t="s">
        <v>161</v>
      </c>
      <c r="F2238" s="93" t="s">
        <v>161</v>
      </c>
      <c r="G2238" s="93" t="s">
        <v>161</v>
      </c>
      <c r="H2238" s="93" t="e">
        <v>#N/A</v>
      </c>
      <c r="I2238" s="105" t="s">
        <v>2310</v>
      </c>
      <c r="J2238" s="93" t="s">
        <v>189</v>
      </c>
      <c r="K2238" s="93">
        <v>925</v>
      </c>
      <c r="L2238" s="93">
        <v>925</v>
      </c>
      <c r="M2238" s="93" t="s">
        <v>2311</v>
      </c>
      <c r="N2238" s="93" t="e">
        <f>VLOOKUP(B2238,'[16]01.수집 카테고리(List)'!$A$2:$H$64,8,FALSE)</f>
        <v>#N/A</v>
      </c>
      <c r="O2238" s="93"/>
    </row>
    <row r="2239" spans="1:15" hidden="1">
      <c r="A2239" s="75" t="str">
        <f t="shared" si="84"/>
        <v>PHANSONTVuhd TVuhd TV</v>
      </c>
      <c r="B2239" s="94" t="str">
        <f t="shared" si="85"/>
        <v>PH_ANSON</v>
      </c>
      <c r="C2239" s="93" t="s">
        <v>393</v>
      </c>
      <c r="D2239" s="93" t="s">
        <v>396</v>
      </c>
      <c r="E2239" s="93" t="s">
        <v>161</v>
      </c>
      <c r="F2239" s="93" t="s">
        <v>2399</v>
      </c>
      <c r="G2239" s="93" t="s">
        <v>2399</v>
      </c>
      <c r="H2239" s="93" t="e">
        <v>#N/A</v>
      </c>
      <c r="I2239" s="105" t="s">
        <v>2310</v>
      </c>
      <c r="J2239" s="93" t="s">
        <v>189</v>
      </c>
      <c r="K2239" s="93">
        <v>513</v>
      </c>
      <c r="L2239" s="93">
        <v>513</v>
      </c>
      <c r="M2239" s="93" t="s">
        <v>2311</v>
      </c>
      <c r="N2239" s="93" t="e">
        <f>VLOOKUP(B2239,'[16]01.수집 카테고리(List)'!$A$2:$H$64,8,FALSE)</f>
        <v>#N/A</v>
      </c>
      <c r="O2239" s="93"/>
    </row>
    <row r="2240" spans="1:15" hidden="1">
      <c r="A2240" s="75" t="str">
        <f t="shared" si="84"/>
        <v>PHANSONWashing Machinefront loaderfront load washing machine</v>
      </c>
      <c r="B2240" s="94" t="str">
        <f t="shared" si="85"/>
        <v>PH_ANSON</v>
      </c>
      <c r="C2240" s="93" t="s">
        <v>393</v>
      </c>
      <c r="D2240" s="93" t="s">
        <v>396</v>
      </c>
      <c r="E2240" s="93" t="s">
        <v>2333</v>
      </c>
      <c r="F2240" s="93" t="s">
        <v>2334</v>
      </c>
      <c r="G2240" s="93" t="s">
        <v>3011</v>
      </c>
      <c r="H2240" s="93" t="e">
        <v>#N/A</v>
      </c>
      <c r="I2240" s="105" t="s">
        <v>2310</v>
      </c>
      <c r="J2240" s="93" t="s">
        <v>189</v>
      </c>
      <c r="K2240" s="93">
        <v>47</v>
      </c>
      <c r="L2240" s="93" t="e">
        <v>#N/A</v>
      </c>
      <c r="M2240" s="93" t="s">
        <v>2311</v>
      </c>
      <c r="N2240" s="93" t="e">
        <f>VLOOKUP(B2240,'[16]01.수집 카테고리(List)'!$A$2:$H$64,8,FALSE)</f>
        <v>#N/A</v>
      </c>
      <c r="O2240" s="93"/>
    </row>
    <row r="2241" spans="1:15" hidden="1">
      <c r="A2241" s="75" t="str">
        <f t="shared" si="84"/>
        <v>PHANSONWashing Machineinverter washing machineinverter washing machine</v>
      </c>
      <c r="B2241" s="94" t="str">
        <f t="shared" si="85"/>
        <v>PH_ANSON</v>
      </c>
      <c r="C2241" s="93" t="s">
        <v>393</v>
      </c>
      <c r="D2241" s="93" t="s">
        <v>396</v>
      </c>
      <c r="E2241" s="93" t="s">
        <v>2333</v>
      </c>
      <c r="F2241" s="93" t="s">
        <v>3296</v>
      </c>
      <c r="G2241" s="93" t="s">
        <v>3296</v>
      </c>
      <c r="H2241" s="93" t="e">
        <v>#N/A</v>
      </c>
      <c r="I2241" s="105" t="s">
        <v>2310</v>
      </c>
      <c r="J2241" s="93" t="s">
        <v>189</v>
      </c>
      <c r="K2241" s="93">
        <v>88</v>
      </c>
      <c r="L2241" s="93">
        <v>88</v>
      </c>
      <c r="M2241" s="93" t="s">
        <v>2311</v>
      </c>
      <c r="N2241" s="93" t="e">
        <f>VLOOKUP(B2241,'[16]01.수집 카테고리(List)'!$A$2:$H$64,8,FALSE)</f>
        <v>#N/A</v>
      </c>
      <c r="O2241" s="93"/>
    </row>
    <row r="2242" spans="1:15" hidden="1">
      <c r="A2242" s="75" t="str">
        <f t="shared" si="84"/>
        <v>PHANSONWashing Machinetop loadertop load washing machine</v>
      </c>
      <c r="B2242" s="94" t="str">
        <f t="shared" si="85"/>
        <v>PH_ANSON</v>
      </c>
      <c r="C2242" s="93" t="s">
        <v>393</v>
      </c>
      <c r="D2242" s="93" t="s">
        <v>396</v>
      </c>
      <c r="E2242" s="93" t="s">
        <v>2333</v>
      </c>
      <c r="F2242" s="93" t="s">
        <v>2336</v>
      </c>
      <c r="G2242" s="93" t="s">
        <v>3013</v>
      </c>
      <c r="H2242" s="93" t="e">
        <v>#N/A</v>
      </c>
      <c r="I2242" s="105" t="s">
        <v>2310</v>
      </c>
      <c r="J2242" s="93" t="s">
        <v>189</v>
      </c>
      <c r="K2242" s="93">
        <v>60</v>
      </c>
      <c r="L2242" s="93" t="e">
        <v>#N/A</v>
      </c>
      <c r="M2242" s="93" t="s">
        <v>2311</v>
      </c>
      <c r="N2242" s="93" t="e">
        <f>VLOOKUP(B2242,'[16]01.수집 카테고리(List)'!$A$2:$H$64,8,FALSE)</f>
        <v>#N/A</v>
      </c>
      <c r="O2242" s="93"/>
    </row>
    <row r="2243" spans="1:15" hidden="1">
      <c r="A2243" s="75" t="str">
        <f t="shared" si="84"/>
        <v>PHANSONWashing Machinewasher dryer combowasher dryer combo</v>
      </c>
      <c r="B2243" s="94" t="str">
        <f t="shared" si="85"/>
        <v>PH_ANSON</v>
      </c>
      <c r="C2243" s="93" t="s">
        <v>393</v>
      </c>
      <c r="D2243" s="93" t="s">
        <v>396</v>
      </c>
      <c r="E2243" s="93" t="s">
        <v>2333</v>
      </c>
      <c r="F2243" s="93" t="s">
        <v>2338</v>
      </c>
      <c r="G2243" s="93" t="s">
        <v>2338</v>
      </c>
      <c r="H2243" s="93" t="e">
        <v>#N/A</v>
      </c>
      <c r="I2243" s="105" t="s">
        <v>2310</v>
      </c>
      <c r="J2243" s="93" t="s">
        <v>189</v>
      </c>
      <c r="K2243" s="93">
        <v>483</v>
      </c>
      <c r="L2243" s="93">
        <v>483</v>
      </c>
      <c r="M2243" s="93" t="s">
        <v>2311</v>
      </c>
      <c r="N2243" s="93" t="e">
        <f>VLOOKUP(B2243,'[16]01.수집 카테고리(List)'!$A$2:$H$64,8,FALSE)</f>
        <v>#N/A</v>
      </c>
      <c r="O2243" s="93"/>
    </row>
    <row r="2244" spans="1:15" hidden="1">
      <c r="A2244" s="75" t="str">
        <f t="shared" si="84"/>
        <v>PHANSONWashing Machinewashing machinewashing machine</v>
      </c>
      <c r="B2244" s="94" t="str">
        <f t="shared" si="85"/>
        <v>PH_ANSON</v>
      </c>
      <c r="C2244" s="93" t="s">
        <v>393</v>
      </c>
      <c r="D2244" s="93" t="s">
        <v>396</v>
      </c>
      <c r="E2244" s="93" t="s">
        <v>2333</v>
      </c>
      <c r="F2244" s="93" t="s">
        <v>2340</v>
      </c>
      <c r="G2244" s="93" t="s">
        <v>2340</v>
      </c>
      <c r="H2244" s="93" t="e">
        <v>#N/A</v>
      </c>
      <c r="I2244" s="105" t="s">
        <v>2310</v>
      </c>
      <c r="J2244" s="93" t="s">
        <v>189</v>
      </c>
      <c r="K2244" s="93">
        <v>157</v>
      </c>
      <c r="L2244" s="93">
        <v>157</v>
      </c>
      <c r="M2244" s="93" t="s">
        <v>2311</v>
      </c>
      <c r="N2244" s="93" t="e">
        <f>VLOOKUP(B2244,'[16]01.수집 카테고리(List)'!$A$2:$H$64,8,FALSE)</f>
        <v>#N/A</v>
      </c>
      <c r="O2244" s="93"/>
    </row>
    <row r="2245" spans="1:15" hidden="1">
      <c r="A2245" s="75" t="str">
        <f t="shared" si="84"/>
        <v>PHANSONWIRELESS HEADSETEarbudsEarbuds</v>
      </c>
      <c r="B2245" s="94" t="str">
        <f t="shared" si="85"/>
        <v>PH_ANSON</v>
      </c>
      <c r="C2245" s="93" t="s">
        <v>393</v>
      </c>
      <c r="D2245" s="93" t="s">
        <v>396</v>
      </c>
      <c r="E2245" s="93" t="s">
        <v>2201</v>
      </c>
      <c r="F2245" s="93" t="s">
        <v>2534</v>
      </c>
      <c r="G2245" s="93" t="s">
        <v>2534</v>
      </c>
      <c r="H2245" s="93" t="e">
        <v>#N/A</v>
      </c>
      <c r="I2245" s="105" t="s">
        <v>2310</v>
      </c>
      <c r="J2245" s="93" t="s">
        <v>189</v>
      </c>
      <c r="K2245" s="93">
        <v>392</v>
      </c>
      <c r="L2245" s="93">
        <v>392</v>
      </c>
      <c r="M2245" s="93" t="s">
        <v>2311</v>
      </c>
      <c r="N2245" s="93" t="e">
        <f>VLOOKUP(B2245,'[16]01.수집 카테고리(List)'!$A$2:$H$64,8,FALSE)</f>
        <v>#N/A</v>
      </c>
      <c r="O2245" s="93"/>
    </row>
    <row r="2246" spans="1:15" hidden="1">
      <c r="A2246" s="75" t="str">
        <f t="shared" si="84"/>
        <v>PHANSONWIRELESS HEADSETEarphonesEarphones</v>
      </c>
      <c r="B2246" s="94" t="str">
        <f t="shared" si="85"/>
        <v>PH_ANSON</v>
      </c>
      <c r="C2246" s="93" t="s">
        <v>393</v>
      </c>
      <c r="D2246" s="93" t="s">
        <v>396</v>
      </c>
      <c r="E2246" s="93" t="s">
        <v>2201</v>
      </c>
      <c r="F2246" s="93" t="s">
        <v>3297</v>
      </c>
      <c r="G2246" s="93" t="s">
        <v>3297</v>
      </c>
      <c r="H2246" s="93" t="e">
        <v>#N/A</v>
      </c>
      <c r="I2246" s="105" t="s">
        <v>2310</v>
      </c>
      <c r="J2246" s="93" t="s">
        <v>189</v>
      </c>
      <c r="K2246" s="93">
        <v>568</v>
      </c>
      <c r="L2246" s="93">
        <v>568</v>
      </c>
      <c r="M2246" s="93" t="s">
        <v>2311</v>
      </c>
      <c r="N2246" s="93" t="e">
        <f>VLOOKUP(B2246,'[16]01.수집 카테고리(List)'!$A$2:$H$64,8,FALSE)</f>
        <v>#N/A</v>
      </c>
      <c r="O2246" s="93"/>
    </row>
    <row r="2247" spans="1:15" hidden="1">
      <c r="A2247" s="75" t="str">
        <f t="shared" si="84"/>
        <v>PHANSONWIRELESS HEADSETHeadphoneHeadphone</v>
      </c>
      <c r="B2247" s="94" t="str">
        <f t="shared" si="85"/>
        <v>PH_ANSON</v>
      </c>
      <c r="C2247" s="93" t="s">
        <v>393</v>
      </c>
      <c r="D2247" s="93" t="s">
        <v>396</v>
      </c>
      <c r="E2247" s="93" t="s">
        <v>2201</v>
      </c>
      <c r="F2247" s="93" t="s">
        <v>3298</v>
      </c>
      <c r="G2247" s="93" t="s">
        <v>3298</v>
      </c>
      <c r="H2247" s="93" t="e">
        <v>#N/A</v>
      </c>
      <c r="I2247" s="105" t="s">
        <v>2310</v>
      </c>
      <c r="J2247" s="93" t="s">
        <v>189</v>
      </c>
      <c r="K2247" s="93">
        <v>61</v>
      </c>
      <c r="L2247" s="93">
        <v>61</v>
      </c>
      <c r="M2247" s="93" t="s">
        <v>2311</v>
      </c>
      <c r="N2247" s="93" t="e">
        <f>VLOOKUP(B2247,'[16]01.수집 카테고리(List)'!$A$2:$H$64,8,FALSE)</f>
        <v>#N/A</v>
      </c>
      <c r="O2247" s="93"/>
    </row>
    <row r="2248" spans="1:15" hidden="1">
      <c r="A2248" s="75" t="str">
        <f t="shared" si="84"/>
        <v>PHANSONWIRELESS HEADSETtws earbudstws earbuds</v>
      </c>
      <c r="B2248" s="94" t="str">
        <f t="shared" si="85"/>
        <v>PH_ANSON</v>
      </c>
      <c r="C2248" s="93" t="s">
        <v>393</v>
      </c>
      <c r="D2248" s="93" t="s">
        <v>396</v>
      </c>
      <c r="E2248" s="93" t="s">
        <v>2201</v>
      </c>
      <c r="F2248" s="93" t="s">
        <v>3299</v>
      </c>
      <c r="G2248" s="93" t="s">
        <v>3299</v>
      </c>
      <c r="H2248" s="93" t="e">
        <v>#N/A</v>
      </c>
      <c r="I2248" s="105" t="s">
        <v>2310</v>
      </c>
      <c r="J2248" s="93" t="s">
        <v>189</v>
      </c>
      <c r="K2248" s="93">
        <v>1105</v>
      </c>
      <c r="L2248" s="93">
        <v>1105</v>
      </c>
      <c r="M2248" s="93" t="s">
        <v>2311</v>
      </c>
      <c r="N2248" s="93" t="e">
        <f>VLOOKUP(B2248,'[16]01.수집 카테고리(List)'!$A$2:$H$64,8,FALSE)</f>
        <v>#N/A</v>
      </c>
      <c r="O2248" s="93"/>
    </row>
    <row r="2249" spans="1:15" hidden="1">
      <c r="A2249" s="75" t="str">
        <f t="shared" si="84"/>
        <v>PHANSONWIRELESS HEADSETWireless EarbudsWireless Earbuds</v>
      </c>
      <c r="B2249" s="94" t="str">
        <f t="shared" si="85"/>
        <v>PH_ANSON</v>
      </c>
      <c r="C2249" s="93" t="s">
        <v>393</v>
      </c>
      <c r="D2249" s="93" t="s">
        <v>396</v>
      </c>
      <c r="E2249" s="93" t="s">
        <v>2201</v>
      </c>
      <c r="F2249" s="93" t="s">
        <v>2760</v>
      </c>
      <c r="G2249" s="93" t="s">
        <v>2760</v>
      </c>
      <c r="H2249" s="93" t="e">
        <v>#N/A</v>
      </c>
      <c r="I2249" s="105" t="s">
        <v>2310</v>
      </c>
      <c r="J2249" s="93" t="s">
        <v>189</v>
      </c>
      <c r="K2249" s="93">
        <v>313</v>
      </c>
      <c r="L2249" s="93">
        <v>313</v>
      </c>
      <c r="M2249" s="93" t="s">
        <v>2311</v>
      </c>
      <c r="N2249" s="93" t="e">
        <f>VLOOKUP(B2249,'[16]01.수집 카테고리(List)'!$A$2:$H$64,8,FALSE)</f>
        <v>#N/A</v>
      </c>
      <c r="O2249" s="93"/>
    </row>
    <row r="2250" spans="1:15" hidden="1">
      <c r="A2250" s="75" t="str">
        <f t="shared" si="84"/>
        <v>PLEURO-NETBluetooth Speakerwireless portable speakersbezprzewodowe przenośne głośniki</v>
      </c>
      <c r="B2250" s="94" t="str">
        <f t="shared" si="85"/>
        <v>PL_EURO-NET</v>
      </c>
      <c r="C2250" s="93" t="s">
        <v>450</v>
      </c>
      <c r="D2250" s="93" t="s">
        <v>451</v>
      </c>
      <c r="E2250" s="93" t="s">
        <v>2307</v>
      </c>
      <c r="F2250" s="93" t="s">
        <v>2475</v>
      </c>
      <c r="G2250" s="93" t="s">
        <v>3300</v>
      </c>
      <c r="H2250" s="93" t="e">
        <v>#N/A</v>
      </c>
      <c r="I2250" s="105" t="s">
        <v>2310</v>
      </c>
      <c r="J2250" s="93" t="s">
        <v>189</v>
      </c>
      <c r="K2250" s="93">
        <v>9681</v>
      </c>
      <c r="L2250" s="93" t="e">
        <v>#N/A</v>
      </c>
      <c r="M2250" s="93" t="s">
        <v>2311</v>
      </c>
      <c r="N2250" s="93" t="e">
        <f>VLOOKUP(B2250,'[16]01.수집 카테고리(List)'!$A$2:$H$64,8,FALSE)</f>
        <v>#N/A</v>
      </c>
      <c r="O2250" s="93"/>
    </row>
    <row r="2251" spans="1:15" hidden="1">
      <c r="A2251" s="75" t="str">
        <f t="shared" si="84"/>
        <v>PLEURO-NETBluetooth Speakerbluetooth speakergłośnik Bluetooth</v>
      </c>
      <c r="B2251" s="94" t="str">
        <f t="shared" si="85"/>
        <v>PL_EURO-NET</v>
      </c>
      <c r="C2251" s="93" t="s">
        <v>450</v>
      </c>
      <c r="D2251" s="93" t="s">
        <v>451</v>
      </c>
      <c r="E2251" s="93" t="s">
        <v>2307</v>
      </c>
      <c r="F2251" s="93" t="s">
        <v>2657</v>
      </c>
      <c r="G2251" s="93" t="s">
        <v>3301</v>
      </c>
      <c r="H2251" s="93" t="e">
        <v>#N/A</v>
      </c>
      <c r="I2251" s="105" t="s">
        <v>2310</v>
      </c>
      <c r="J2251" s="93" t="s">
        <v>189</v>
      </c>
      <c r="K2251" s="93">
        <v>26526</v>
      </c>
      <c r="L2251" s="93" t="e">
        <v>#N/A</v>
      </c>
      <c r="M2251" s="93" t="s">
        <v>2311</v>
      </c>
      <c r="N2251" s="93" t="e">
        <f>VLOOKUP(B2251,'[16]01.수집 카테고리(List)'!$A$2:$H$64,8,FALSE)</f>
        <v>#N/A</v>
      </c>
      <c r="O2251" s="93"/>
    </row>
    <row r="2252" spans="1:15" hidden="1">
      <c r="A2252" s="75" t="str">
        <f t="shared" si="84"/>
        <v>PLEURO-NETBluetooth Speakerspeakersgłośniki</v>
      </c>
      <c r="B2252" s="94" t="str">
        <f t="shared" si="85"/>
        <v>PL_EURO-NET</v>
      </c>
      <c r="C2252" s="93" t="s">
        <v>450</v>
      </c>
      <c r="D2252" s="93" t="s">
        <v>451</v>
      </c>
      <c r="E2252" s="93" t="s">
        <v>2307</v>
      </c>
      <c r="F2252" s="93" t="s">
        <v>2471</v>
      </c>
      <c r="G2252" s="93" t="s">
        <v>3302</v>
      </c>
      <c r="H2252" s="93" t="e">
        <v>#N/A</v>
      </c>
      <c r="I2252" s="105" t="s">
        <v>2310</v>
      </c>
      <c r="J2252" s="93" t="s">
        <v>189</v>
      </c>
      <c r="K2252" s="93">
        <v>46634</v>
      </c>
      <c r="L2252" s="93" t="e">
        <v>#N/A</v>
      </c>
      <c r="M2252" s="93" t="s">
        <v>2311</v>
      </c>
      <c r="N2252" s="93" t="e">
        <f>VLOOKUP(B2252,'[16]01.수집 카테고리(List)'!$A$2:$H$64,8,FALSE)</f>
        <v>#N/A</v>
      </c>
      <c r="O2252" s="93"/>
    </row>
    <row r="2253" spans="1:15" hidden="1">
      <c r="A2253" s="75" t="str">
        <f t="shared" si="84"/>
        <v>PLEURO-NETBluetooth Speakerportable speakersprzenośne głośniki</v>
      </c>
      <c r="B2253" s="94" t="str">
        <f t="shared" si="85"/>
        <v>PL_EURO-NET</v>
      </c>
      <c r="C2253" s="93" t="s">
        <v>450</v>
      </c>
      <c r="D2253" s="93" t="s">
        <v>451</v>
      </c>
      <c r="E2253" s="93" t="s">
        <v>2307</v>
      </c>
      <c r="F2253" s="93" t="s">
        <v>2473</v>
      </c>
      <c r="G2253" s="93" t="s">
        <v>3303</v>
      </c>
      <c r="H2253" s="93" t="e">
        <v>#N/A</v>
      </c>
      <c r="I2253" s="105" t="s">
        <v>2310</v>
      </c>
      <c r="J2253" s="93" t="s">
        <v>189</v>
      </c>
      <c r="K2253" s="93">
        <v>25662</v>
      </c>
      <c r="L2253" s="93" t="e">
        <v>#N/A</v>
      </c>
      <c r="M2253" s="93" t="s">
        <v>2311</v>
      </c>
      <c r="N2253" s="93" t="e">
        <f>VLOOKUP(B2253,'[16]01.수집 카테고리(List)'!$A$2:$H$64,8,FALSE)</f>
        <v>#N/A</v>
      </c>
      <c r="O2253" s="93"/>
    </row>
    <row r="2254" spans="1:15" hidden="1">
      <c r="A2254" s="75" t="str">
        <f t="shared" si="84"/>
        <v>PLEURO-NETBluetooth Speakerbluetooth speaker portableprzenośny głośnik bluetooth</v>
      </c>
      <c r="B2254" s="94" t="str">
        <f t="shared" si="85"/>
        <v>PL_EURO-NET</v>
      </c>
      <c r="C2254" s="93" t="s">
        <v>450</v>
      </c>
      <c r="D2254" s="93" t="s">
        <v>451</v>
      </c>
      <c r="E2254" s="93" t="s">
        <v>2307</v>
      </c>
      <c r="F2254" s="93" t="s">
        <v>2479</v>
      </c>
      <c r="G2254" s="93" t="s">
        <v>3304</v>
      </c>
      <c r="H2254" s="93" t="e">
        <v>#N/A</v>
      </c>
      <c r="I2254" s="105" t="s">
        <v>2310</v>
      </c>
      <c r="J2254" s="93" t="s">
        <v>189</v>
      </c>
      <c r="K2254" s="93">
        <v>26950</v>
      </c>
      <c r="L2254" s="93" t="e">
        <v>#N/A</v>
      </c>
      <c r="M2254" s="93" t="s">
        <v>2311</v>
      </c>
      <c r="N2254" s="93" t="e">
        <f>VLOOKUP(B2254,'[16]01.수집 카테고리(List)'!$A$2:$H$64,8,FALSE)</f>
        <v>#N/A</v>
      </c>
      <c r="O2254" s="93"/>
    </row>
    <row r="2255" spans="1:15" hidden="1">
      <c r="A2255" s="75" t="str">
        <f t="shared" si="84"/>
        <v>PLEURO-NETLAPTOP15 inch Laptop15-calowy laptop</v>
      </c>
      <c r="B2255" s="94" t="str">
        <f t="shared" si="85"/>
        <v>PL_EURO-NET</v>
      </c>
      <c r="C2255" s="93" t="s">
        <v>450</v>
      </c>
      <c r="D2255" s="93" t="s">
        <v>451</v>
      </c>
      <c r="E2255" s="93" t="s">
        <v>171</v>
      </c>
      <c r="F2255" s="93" t="s">
        <v>2806</v>
      </c>
      <c r="G2255" s="93" t="s">
        <v>3305</v>
      </c>
      <c r="H2255" s="93" t="e">
        <v>#N/A</v>
      </c>
      <c r="I2255" s="105" t="s">
        <v>2310</v>
      </c>
      <c r="J2255" s="93" t="s">
        <v>189</v>
      </c>
      <c r="K2255" s="93">
        <v>1910</v>
      </c>
      <c r="L2255" s="93" t="e">
        <v>#N/A</v>
      </c>
      <c r="M2255" s="93" t="s">
        <v>2311</v>
      </c>
      <c r="N2255" s="93" t="e">
        <f>VLOOKUP(B2255,'[16]01.수집 카테고리(List)'!$A$2:$H$64,8,FALSE)</f>
        <v>#N/A</v>
      </c>
      <c r="O2255" s="93"/>
    </row>
    <row r="2256" spans="1:15" hidden="1">
      <c r="A2256" s="75" t="str">
        <f t="shared" si="84"/>
        <v>PLEURO-NETLAPTOP17 inch Laptop17-calowy laptop</v>
      </c>
      <c r="B2256" s="94" t="str">
        <f t="shared" si="85"/>
        <v>PL_EURO-NET</v>
      </c>
      <c r="C2256" s="93" t="s">
        <v>450</v>
      </c>
      <c r="D2256" s="93" t="s">
        <v>451</v>
      </c>
      <c r="E2256" s="93" t="s">
        <v>171</v>
      </c>
      <c r="F2256" s="93" t="s">
        <v>2808</v>
      </c>
      <c r="G2256" s="93" t="s">
        <v>3306</v>
      </c>
      <c r="H2256" s="93" t="e">
        <v>#N/A</v>
      </c>
      <c r="I2256" s="105" t="s">
        <v>2310</v>
      </c>
      <c r="J2256" s="93" t="s">
        <v>189</v>
      </c>
      <c r="K2256" s="93">
        <v>15</v>
      </c>
      <c r="L2256" s="93" t="e">
        <v>#N/A</v>
      </c>
      <c r="M2256" s="93" t="s">
        <v>2311</v>
      </c>
      <c r="N2256" s="93" t="e">
        <f>VLOOKUP(B2256,'[16]01.수집 카테고리(List)'!$A$2:$H$64,8,FALSE)</f>
        <v>#N/A</v>
      </c>
      <c r="O2256" s="93"/>
    </row>
    <row r="2257" spans="1:15" hidden="1">
      <c r="A2257" s="75" t="str">
        <f t="shared" si="84"/>
        <v>PLEURO-NETLAPTOPLaptopLaptop</v>
      </c>
      <c r="B2257" s="94" t="str">
        <f t="shared" si="85"/>
        <v>PL_EURO-NET</v>
      </c>
      <c r="C2257" s="93" t="s">
        <v>450</v>
      </c>
      <c r="D2257" s="93" t="s">
        <v>451</v>
      </c>
      <c r="E2257" s="93" t="s">
        <v>171</v>
      </c>
      <c r="F2257" s="93" t="s">
        <v>2407</v>
      </c>
      <c r="G2257" s="93" t="s">
        <v>2407</v>
      </c>
      <c r="H2257" s="93" t="e">
        <v>#N/A</v>
      </c>
      <c r="I2257" s="105" t="s">
        <v>2310</v>
      </c>
      <c r="J2257" s="93" t="s">
        <v>189</v>
      </c>
      <c r="K2257" s="93">
        <v>1919</v>
      </c>
      <c r="L2257" s="93">
        <v>1919</v>
      </c>
      <c r="M2257" s="93" t="s">
        <v>2311</v>
      </c>
      <c r="N2257" s="93" t="e">
        <f>VLOOKUP(B2257,'[16]01.수집 카테고리(List)'!$A$2:$H$64,8,FALSE)</f>
        <v>#N/A</v>
      </c>
      <c r="O2257" s="93"/>
    </row>
    <row r="2258" spans="1:15" hidden="1">
      <c r="A2258" s="75" t="str">
        <f t="shared" si="84"/>
        <v>PLEURO-NETLAPTOPi7 laptopLaptop i7</v>
      </c>
      <c r="B2258" s="94" t="str">
        <f t="shared" si="85"/>
        <v>PL_EURO-NET</v>
      </c>
      <c r="C2258" s="93" t="s">
        <v>450</v>
      </c>
      <c r="D2258" s="93" t="s">
        <v>451</v>
      </c>
      <c r="E2258" s="93" t="s">
        <v>171</v>
      </c>
      <c r="F2258" s="93" t="s">
        <v>2410</v>
      </c>
      <c r="G2258" s="93" t="s">
        <v>3307</v>
      </c>
      <c r="H2258" s="93" t="e">
        <v>#N/A</v>
      </c>
      <c r="I2258" s="105" t="s">
        <v>2310</v>
      </c>
      <c r="J2258" s="93" t="s">
        <v>189</v>
      </c>
      <c r="K2258" s="93">
        <v>1903</v>
      </c>
      <c r="L2258" s="93" t="e">
        <v>#N/A</v>
      </c>
      <c r="M2258" s="93" t="s">
        <v>2311</v>
      </c>
      <c r="N2258" s="93" t="e">
        <f>VLOOKUP(B2258,'[16]01.수집 카테고리(List)'!$A$2:$H$64,8,FALSE)</f>
        <v>#N/A</v>
      </c>
      <c r="O2258" s="93"/>
    </row>
    <row r="2259" spans="1:15" hidden="1">
      <c r="A2259" s="75" t="str">
        <f t="shared" si="84"/>
        <v>PLEURO-NETLAPTOPLightweight LaptopLekki laptop</v>
      </c>
      <c r="B2259" s="94" t="str">
        <f t="shared" si="85"/>
        <v>PL_EURO-NET</v>
      </c>
      <c r="C2259" s="93" t="s">
        <v>450</v>
      </c>
      <c r="D2259" s="93" t="s">
        <v>451</v>
      </c>
      <c r="E2259" s="93" t="s">
        <v>171</v>
      </c>
      <c r="F2259" s="93" t="s">
        <v>2411</v>
      </c>
      <c r="G2259" s="93" t="s">
        <v>3308</v>
      </c>
      <c r="H2259" s="93" t="e">
        <v>#N/A</v>
      </c>
      <c r="I2259" s="105" t="s">
        <v>2310</v>
      </c>
      <c r="J2259" s="93" t="s">
        <v>189</v>
      </c>
      <c r="K2259" s="93">
        <v>99</v>
      </c>
      <c r="L2259" s="93" t="e">
        <v>#N/A</v>
      </c>
      <c r="M2259" s="93" t="s">
        <v>2311</v>
      </c>
      <c r="N2259" s="93" t="e">
        <f>VLOOKUP(B2259,'[16]01.수집 카테고리(List)'!$A$2:$H$64,8,FALSE)</f>
        <v>#N/A</v>
      </c>
      <c r="O2259" s="93"/>
    </row>
    <row r="2260" spans="1:15" hidden="1">
      <c r="A2260" s="75" t="str">
        <f t="shared" si="84"/>
        <v>PLEURO-NETMonitormonitormonitor</v>
      </c>
      <c r="B2260" s="94" t="str">
        <f t="shared" si="85"/>
        <v>PL_EURO-NET</v>
      </c>
      <c r="C2260" s="93" t="s">
        <v>450</v>
      </c>
      <c r="D2260" s="93" t="s">
        <v>451</v>
      </c>
      <c r="E2260" s="93" t="s">
        <v>2320</v>
      </c>
      <c r="F2260" s="93" t="s">
        <v>2323</v>
      </c>
      <c r="G2260" s="93" t="s">
        <v>2323</v>
      </c>
      <c r="H2260" s="93" t="e">
        <v>#N/A</v>
      </c>
      <c r="I2260" s="105" t="s">
        <v>2310</v>
      </c>
      <c r="J2260" s="93" t="s">
        <v>189</v>
      </c>
      <c r="K2260" s="93">
        <v>7</v>
      </c>
      <c r="L2260" s="93">
        <v>7</v>
      </c>
      <c r="M2260" s="93" t="s">
        <v>2311</v>
      </c>
      <c r="N2260" s="93" t="e">
        <f>VLOOKUP(B2260,'[16]01.수집 카테고리(List)'!$A$2:$H$64,8,FALSE)</f>
        <v>#N/A</v>
      </c>
      <c r="O2260" s="93"/>
    </row>
    <row r="2261" spans="1:15" hidden="1">
      <c r="A2261" s="75" t="str">
        <f t="shared" si="84"/>
        <v>PLEURO-NETMonitor4k monitormonitor 4K</v>
      </c>
      <c r="B2261" s="94" t="str">
        <f t="shared" si="85"/>
        <v>PL_EURO-NET</v>
      </c>
      <c r="C2261" s="93" t="s">
        <v>450</v>
      </c>
      <c r="D2261" s="93" t="s">
        <v>451</v>
      </c>
      <c r="E2261" s="93" t="s">
        <v>2320</v>
      </c>
      <c r="F2261" s="93" t="s">
        <v>2321</v>
      </c>
      <c r="G2261" s="93" t="s">
        <v>3309</v>
      </c>
      <c r="H2261" s="93" t="e">
        <v>#N/A</v>
      </c>
      <c r="I2261" s="105" t="s">
        <v>2310</v>
      </c>
      <c r="J2261" s="93" t="s">
        <v>189</v>
      </c>
      <c r="K2261" s="93">
        <v>5</v>
      </c>
      <c r="L2261" s="93" t="e">
        <v>#N/A</v>
      </c>
      <c r="M2261" s="93" t="s">
        <v>2311</v>
      </c>
      <c r="N2261" s="93" t="e">
        <f>VLOOKUP(B2261,'[16]01.수집 카테고리(List)'!$A$2:$H$64,8,FALSE)</f>
        <v>#N/A</v>
      </c>
      <c r="O2261" s="93"/>
    </row>
    <row r="2262" spans="1:15" hidden="1">
      <c r="A2262" s="75" t="str">
        <f t="shared" si="84"/>
        <v>PLEURO-NETMonitorgaming monitormonitor gamingowy</v>
      </c>
      <c r="B2262" s="94" t="str">
        <f t="shared" si="85"/>
        <v>PL_EURO-NET</v>
      </c>
      <c r="C2262" s="93" t="s">
        <v>450</v>
      </c>
      <c r="D2262" s="93" t="s">
        <v>451</v>
      </c>
      <c r="E2262" s="93" t="s">
        <v>2320</v>
      </c>
      <c r="F2262" s="93" t="s">
        <v>2322</v>
      </c>
      <c r="G2262" s="93" t="s">
        <v>3310</v>
      </c>
      <c r="H2262" s="93" t="e">
        <v>#N/A</v>
      </c>
      <c r="I2262" s="105" t="s">
        <v>2310</v>
      </c>
      <c r="J2262" s="93" t="s">
        <v>189</v>
      </c>
      <c r="K2262" s="93">
        <v>1</v>
      </c>
      <c r="L2262" s="93" t="e">
        <v>#N/A</v>
      </c>
      <c r="M2262" s="93" t="s">
        <v>2311</v>
      </c>
      <c r="N2262" s="93" t="e">
        <f>VLOOKUP(B2262,'[16]01.수집 카테고리(List)'!$A$2:$H$64,8,FALSE)</f>
        <v>#N/A</v>
      </c>
      <c r="O2262" s="93"/>
    </row>
    <row r="2263" spans="1:15" hidden="1">
      <c r="A2263" s="75" t="str">
        <f t="shared" si="84"/>
        <v>PLEURO-NETMonitoruhd monitormonitor UHD</v>
      </c>
      <c r="B2263" s="94" t="str">
        <f t="shared" si="85"/>
        <v>PL_EURO-NET</v>
      </c>
      <c r="C2263" s="93" t="s">
        <v>450</v>
      </c>
      <c r="D2263" s="93" t="s">
        <v>451</v>
      </c>
      <c r="E2263" s="93" t="s">
        <v>2320</v>
      </c>
      <c r="F2263" s="93" t="s">
        <v>2324</v>
      </c>
      <c r="G2263" s="93" t="s">
        <v>3311</v>
      </c>
      <c r="H2263" s="93" t="e">
        <v>#N/A</v>
      </c>
      <c r="I2263" s="105" t="s">
        <v>2310</v>
      </c>
      <c r="J2263" s="93" t="s">
        <v>189</v>
      </c>
      <c r="K2263" s="93">
        <v>396</v>
      </c>
      <c r="L2263" s="93" t="e">
        <v>#N/A</v>
      </c>
      <c r="M2263" s="93" t="s">
        <v>2311</v>
      </c>
      <c r="N2263" s="93" t="e">
        <f>VLOOKUP(B2263,'[16]01.수집 카테고리(List)'!$A$2:$H$64,8,FALSE)</f>
        <v>#N/A</v>
      </c>
      <c r="O2263" s="93"/>
    </row>
    <row r="2264" spans="1:15" hidden="1">
      <c r="A2264" s="75" t="str">
        <f t="shared" si="84"/>
        <v>PLEURO-NETMonitorultrawide monitormonitor ultrawide</v>
      </c>
      <c r="B2264" s="94" t="str">
        <f t="shared" si="85"/>
        <v>PL_EURO-NET</v>
      </c>
      <c r="C2264" s="93" t="s">
        <v>450</v>
      </c>
      <c r="D2264" s="93" t="s">
        <v>451</v>
      </c>
      <c r="E2264" s="93" t="s">
        <v>2320</v>
      </c>
      <c r="F2264" s="93" t="s">
        <v>2325</v>
      </c>
      <c r="G2264" s="93" t="s">
        <v>2499</v>
      </c>
      <c r="H2264" s="93" t="e">
        <v>#N/A</v>
      </c>
      <c r="I2264" s="105" t="s">
        <v>2310</v>
      </c>
      <c r="J2264" s="93" t="s">
        <v>189</v>
      </c>
      <c r="K2264" s="93">
        <v>9720</v>
      </c>
      <c r="L2264" s="93" t="e">
        <v>#N/A</v>
      </c>
      <c r="M2264" s="93" t="s">
        <v>2311</v>
      </c>
      <c r="N2264" s="93" t="e">
        <f>VLOOKUP(B2264,'[16]01.수집 카테고리(List)'!$A$2:$H$64,8,FALSE)</f>
        <v>#N/A</v>
      </c>
      <c r="O2264" s="93"/>
    </row>
    <row r="2265" spans="1:15" hidden="1">
      <c r="A2265" s="75" t="str">
        <f t="shared" si="84"/>
        <v>PLEURO-NETRefrigeratorrefrigeratorlodówka</v>
      </c>
      <c r="B2265" s="94" t="str">
        <f t="shared" si="85"/>
        <v>PL_EURO-NET</v>
      </c>
      <c r="C2265" s="93" t="s">
        <v>450</v>
      </c>
      <c r="D2265" s="93" t="s">
        <v>451</v>
      </c>
      <c r="E2265" s="93" t="s">
        <v>2326</v>
      </c>
      <c r="F2265" s="93" t="s">
        <v>2329</v>
      </c>
      <c r="G2265" s="93" t="s">
        <v>3312</v>
      </c>
      <c r="H2265" s="93" t="e">
        <v>#N/A</v>
      </c>
      <c r="I2265" s="105" t="s">
        <v>2310</v>
      </c>
      <c r="J2265" s="93" t="s">
        <v>189</v>
      </c>
      <c r="K2265" s="93">
        <v>37949</v>
      </c>
      <c r="L2265" s="93" t="e">
        <v>#N/A</v>
      </c>
      <c r="M2265" s="93" t="s">
        <v>2311</v>
      </c>
      <c r="N2265" s="93" t="e">
        <f>VLOOKUP(B2265,'[16]01.수집 카테고리(List)'!$A$2:$H$64,8,FALSE)</f>
        <v>#N/A</v>
      </c>
      <c r="O2265" s="93"/>
    </row>
    <row r="2266" spans="1:15" hidden="1">
      <c r="A2266" s="75" t="str">
        <f t="shared" si="84"/>
        <v>PLEURO-NETSOUNDBARSoundbarSoundbar</v>
      </c>
      <c r="B2266" s="94" t="str">
        <f t="shared" si="85"/>
        <v>PL_EURO-NET</v>
      </c>
      <c r="C2266" s="93" t="s">
        <v>450</v>
      </c>
      <c r="D2266" s="93" t="s">
        <v>451</v>
      </c>
      <c r="E2266" s="93" t="s">
        <v>165</v>
      </c>
      <c r="F2266" s="93" t="s">
        <v>2363</v>
      </c>
      <c r="G2266" s="93" t="s">
        <v>2363</v>
      </c>
      <c r="H2266" s="93" t="e">
        <v>#N/A</v>
      </c>
      <c r="I2266" s="105" t="s">
        <v>2310</v>
      </c>
      <c r="J2266" s="93" t="s">
        <v>189</v>
      </c>
      <c r="K2266" s="93">
        <v>9856</v>
      </c>
      <c r="L2266" s="93">
        <v>9856</v>
      </c>
      <c r="M2266" s="93" t="s">
        <v>2311</v>
      </c>
      <c r="N2266" s="93" t="e">
        <f>VLOOKUP(B2266,'[16]01.수집 카테고리(List)'!$A$2:$H$64,8,FALSE)</f>
        <v>#N/A</v>
      </c>
      <c r="O2266" s="93"/>
    </row>
    <row r="2267" spans="1:15" hidden="1">
      <c r="A2267" s="75" t="str">
        <f t="shared" si="84"/>
        <v>PLEURO-NETSOUNDBARSound barSoundbar</v>
      </c>
      <c r="B2267" s="94" t="str">
        <f t="shared" si="85"/>
        <v>PL_EURO-NET</v>
      </c>
      <c r="C2267" s="93" t="s">
        <v>450</v>
      </c>
      <c r="D2267" s="93" t="s">
        <v>451</v>
      </c>
      <c r="E2267" s="93" t="s">
        <v>165</v>
      </c>
      <c r="F2267" s="93" t="s">
        <v>2365</v>
      </c>
      <c r="G2267" s="93" t="s">
        <v>2363</v>
      </c>
      <c r="H2267" s="93" t="e">
        <v>#N/A</v>
      </c>
      <c r="I2267" s="105" t="s">
        <v>2310</v>
      </c>
      <c r="J2267" s="93" t="s">
        <v>189</v>
      </c>
      <c r="K2267" s="93">
        <v>9856</v>
      </c>
      <c r="L2267" s="93" t="e">
        <v>#N/A</v>
      </c>
      <c r="M2267" s="93" t="s">
        <v>2311</v>
      </c>
      <c r="N2267" s="93" t="e">
        <f>VLOOKUP(B2267,'[16]01.수집 카테고리(List)'!$A$2:$H$64,8,FALSE)</f>
        <v>#N/A</v>
      </c>
      <c r="O2267" s="93"/>
    </row>
    <row r="2268" spans="1:15" hidden="1">
      <c r="A2268" s="75" t="str">
        <f t="shared" si="84"/>
        <v>PLEURO-NETSOUNDBARSoundbarsSoundbary</v>
      </c>
      <c r="B2268" s="94" t="str">
        <f t="shared" si="85"/>
        <v>PL_EURO-NET</v>
      </c>
      <c r="C2268" s="93" t="s">
        <v>450</v>
      </c>
      <c r="D2268" s="93" t="s">
        <v>451</v>
      </c>
      <c r="E2268" s="93" t="s">
        <v>165</v>
      </c>
      <c r="F2268" s="93" t="s">
        <v>2361</v>
      </c>
      <c r="G2268" s="93" t="s">
        <v>2642</v>
      </c>
      <c r="H2268" s="93" t="e">
        <v>#N/A</v>
      </c>
      <c r="I2268" s="105" t="s">
        <v>2310</v>
      </c>
      <c r="J2268" s="93" t="s">
        <v>189</v>
      </c>
      <c r="K2268" s="93">
        <v>10139</v>
      </c>
      <c r="L2268" s="93" t="e">
        <v>#N/A</v>
      </c>
      <c r="M2268" s="93" t="s">
        <v>2311</v>
      </c>
      <c r="N2268" s="93" t="e">
        <f>VLOOKUP(B2268,'[16]01.수집 카테고리(List)'!$A$2:$H$64,8,FALSE)</f>
        <v>#N/A</v>
      </c>
      <c r="O2268" s="93"/>
    </row>
    <row r="2269" spans="1:15" hidden="1">
      <c r="A2269" s="75" t="str">
        <f t="shared" si="84"/>
        <v>PLEURO-NETSOUNDBARSound barsSoundbary</v>
      </c>
      <c r="B2269" s="94" t="str">
        <f t="shared" si="85"/>
        <v>PL_EURO-NET</v>
      </c>
      <c r="C2269" s="93" t="s">
        <v>450</v>
      </c>
      <c r="D2269" s="93" t="s">
        <v>451</v>
      </c>
      <c r="E2269" s="93" t="s">
        <v>165</v>
      </c>
      <c r="F2269" s="93" t="s">
        <v>2366</v>
      </c>
      <c r="G2269" s="93" t="s">
        <v>2642</v>
      </c>
      <c r="H2269" s="93" t="e">
        <v>#N/A</v>
      </c>
      <c r="I2269" s="105" t="s">
        <v>2310</v>
      </c>
      <c r="J2269" s="93" t="s">
        <v>189</v>
      </c>
      <c r="K2269" s="93">
        <v>10139</v>
      </c>
      <c r="L2269" s="93" t="e">
        <v>#N/A</v>
      </c>
      <c r="M2269" s="93" t="s">
        <v>2311</v>
      </c>
      <c r="N2269" s="93" t="e">
        <f>VLOOKUP(B2269,'[16]01.수집 카테고리(List)'!$A$2:$H$64,8,FALSE)</f>
        <v>#N/A</v>
      </c>
      <c r="O2269" s="93"/>
    </row>
    <row r="2270" spans="1:15" hidden="1">
      <c r="A2270" s="75" t="str">
        <f t="shared" si="84"/>
        <v>PLEURO-NETSOUNDBARSound systemSystem dźwiękowy</v>
      </c>
      <c r="B2270" s="94" t="str">
        <f t="shared" si="85"/>
        <v>PL_EURO-NET</v>
      </c>
      <c r="C2270" s="93" t="s">
        <v>450</v>
      </c>
      <c r="D2270" s="93" t="s">
        <v>451</v>
      </c>
      <c r="E2270" s="93" t="s">
        <v>165</v>
      </c>
      <c r="F2270" s="93" t="s">
        <v>2359</v>
      </c>
      <c r="G2270" s="93" t="s">
        <v>3313</v>
      </c>
      <c r="H2270" s="93" t="e">
        <v>#N/A</v>
      </c>
      <c r="I2270" s="105" t="s">
        <v>2310</v>
      </c>
      <c r="J2270" s="93" t="s">
        <v>189</v>
      </c>
      <c r="K2270" s="93">
        <v>3000</v>
      </c>
      <c r="L2270" s="93" t="e">
        <v>#N/A</v>
      </c>
      <c r="M2270" s="93" t="s">
        <v>2311</v>
      </c>
      <c r="N2270" s="93" t="e">
        <f>VLOOKUP(B2270,'[16]01.수집 카테고리(List)'!$A$2:$H$64,8,FALSE)</f>
        <v>#N/A</v>
      </c>
      <c r="O2270" s="93"/>
    </row>
    <row r="2271" spans="1:15" hidden="1">
      <c r="A2271" s="75" t="str">
        <f t="shared" si="84"/>
        <v>PLEURO-NETTV4k TV4k TV</v>
      </c>
      <c r="B2271" s="94" t="str">
        <f t="shared" si="85"/>
        <v>PL_EURO-NET</v>
      </c>
      <c r="C2271" s="93" t="s">
        <v>450</v>
      </c>
      <c r="D2271" s="93" t="s">
        <v>451</v>
      </c>
      <c r="E2271" s="93" t="s">
        <v>161</v>
      </c>
      <c r="F2271" s="93" t="s">
        <v>2368</v>
      </c>
      <c r="G2271" s="93" t="s">
        <v>2368</v>
      </c>
      <c r="H2271" s="93" t="e">
        <v>#N/A</v>
      </c>
      <c r="I2271" s="105" t="s">
        <v>2310</v>
      </c>
      <c r="J2271" s="93" t="s">
        <v>189</v>
      </c>
      <c r="K2271" s="93">
        <v>19146</v>
      </c>
      <c r="L2271" s="93">
        <v>19146</v>
      </c>
      <c r="M2271" s="93" t="s">
        <v>2311</v>
      </c>
      <c r="N2271" s="93" t="e">
        <f>VLOOKUP(B2271,'[16]01.수집 카테고리(List)'!$A$2:$H$64,8,FALSE)</f>
        <v>#N/A</v>
      </c>
      <c r="O2271" s="93"/>
    </row>
    <row r="2272" spans="1:15" hidden="1">
      <c r="A2272" s="75" t="str">
        <f t="shared" si="84"/>
        <v>PLEURO-NETTVoled TVoled TV</v>
      </c>
      <c r="B2272" s="94" t="str">
        <f t="shared" si="85"/>
        <v>PL_EURO-NET</v>
      </c>
      <c r="C2272" s="93" t="s">
        <v>450</v>
      </c>
      <c r="D2272" s="93" t="s">
        <v>451</v>
      </c>
      <c r="E2272" s="93" t="s">
        <v>161</v>
      </c>
      <c r="F2272" s="93" t="s">
        <v>2369</v>
      </c>
      <c r="G2272" s="93" t="s">
        <v>2369</v>
      </c>
      <c r="H2272" s="93" t="e">
        <v>#N/A</v>
      </c>
      <c r="I2272" s="105" t="s">
        <v>2310</v>
      </c>
      <c r="J2272" s="93" t="s">
        <v>189</v>
      </c>
      <c r="K2272" s="93">
        <v>4674</v>
      </c>
      <c r="L2272" s="93">
        <v>4674</v>
      </c>
      <c r="M2272" s="93" t="s">
        <v>2311</v>
      </c>
      <c r="N2272" s="93" t="e">
        <f>VLOOKUP(B2272,'[16]01.수집 카테고리(List)'!$A$2:$H$64,8,FALSE)</f>
        <v>#N/A</v>
      </c>
      <c r="O2272" s="93"/>
    </row>
    <row r="2273" spans="1:15" hidden="1">
      <c r="A2273" s="75" t="str">
        <f t="shared" si="84"/>
        <v>PLEURO-NETTVsmart TVSmart TV</v>
      </c>
      <c r="B2273" s="94" t="str">
        <f t="shared" si="85"/>
        <v>PL_EURO-NET</v>
      </c>
      <c r="C2273" s="93" t="s">
        <v>450</v>
      </c>
      <c r="D2273" s="93" t="s">
        <v>451</v>
      </c>
      <c r="E2273" s="93" t="s">
        <v>161</v>
      </c>
      <c r="F2273" s="93" t="s">
        <v>2371</v>
      </c>
      <c r="G2273" s="93" t="s">
        <v>2835</v>
      </c>
      <c r="H2273" s="93" t="e">
        <v>#N/A</v>
      </c>
      <c r="I2273" s="105" t="s">
        <v>2310</v>
      </c>
      <c r="J2273" s="93" t="s">
        <v>189</v>
      </c>
      <c r="K2273" s="93">
        <v>24582</v>
      </c>
      <c r="L2273" s="93">
        <v>24582</v>
      </c>
      <c r="M2273" s="93" t="s">
        <v>2311</v>
      </c>
      <c r="N2273" s="93" t="e">
        <f>VLOOKUP(B2273,'[16]01.수집 카테고리(List)'!$A$2:$H$64,8,FALSE)</f>
        <v>#N/A</v>
      </c>
      <c r="O2273" s="93"/>
    </row>
    <row r="2274" spans="1:15" hidden="1">
      <c r="A2274" s="75" t="str">
        <f t="shared" si="84"/>
        <v>PLEURO-NETTVTVtelewizor</v>
      </c>
      <c r="B2274" s="94" t="str">
        <f t="shared" si="85"/>
        <v>PL_EURO-NET</v>
      </c>
      <c r="C2274" s="93" t="s">
        <v>450</v>
      </c>
      <c r="D2274" s="93" t="s">
        <v>451</v>
      </c>
      <c r="E2274" s="93" t="s">
        <v>161</v>
      </c>
      <c r="F2274" s="93" t="s">
        <v>161</v>
      </c>
      <c r="G2274" s="93" t="s">
        <v>3314</v>
      </c>
      <c r="H2274" s="93" t="e">
        <v>#N/A</v>
      </c>
      <c r="I2274" s="105" t="s">
        <v>2310</v>
      </c>
      <c r="J2274" s="93" t="s">
        <v>189</v>
      </c>
      <c r="K2274" s="93">
        <v>28534</v>
      </c>
      <c r="L2274" s="93" t="e">
        <v>#N/A</v>
      </c>
      <c r="M2274" s="93" t="s">
        <v>2311</v>
      </c>
      <c r="N2274" s="93" t="e">
        <f>VLOOKUP(B2274,'[16]01.수집 카테고리(List)'!$A$2:$H$64,8,FALSE)</f>
        <v>#N/A</v>
      </c>
      <c r="O2274" s="93"/>
    </row>
    <row r="2275" spans="1:15" hidden="1">
      <c r="A2275" s="75" t="str">
        <f t="shared" si="84"/>
        <v>PLEURO-NETTVuhd TVtelewizor UHD</v>
      </c>
      <c r="B2275" s="94" t="str">
        <f t="shared" si="85"/>
        <v>PL_EURO-NET</v>
      </c>
      <c r="C2275" s="93" t="s">
        <v>450</v>
      </c>
      <c r="D2275" s="93" t="s">
        <v>451</v>
      </c>
      <c r="E2275" s="93" t="s">
        <v>161</v>
      </c>
      <c r="F2275" s="93" t="s">
        <v>2399</v>
      </c>
      <c r="G2275" s="93" t="s">
        <v>3315</v>
      </c>
      <c r="H2275" s="93" t="e">
        <v>#N/A</v>
      </c>
      <c r="I2275" s="105" t="s">
        <v>2310</v>
      </c>
      <c r="J2275" s="93" t="s">
        <v>189</v>
      </c>
      <c r="K2275" s="93">
        <v>20649</v>
      </c>
      <c r="L2275" s="93" t="e">
        <v>#N/A</v>
      </c>
      <c r="M2275" s="93" t="s">
        <v>2311</v>
      </c>
      <c r="N2275" s="93" t="e">
        <f>VLOOKUP(B2275,'[16]01.수집 카테고리(List)'!$A$2:$H$64,8,FALSE)</f>
        <v>#N/A</v>
      </c>
      <c r="O2275" s="93"/>
    </row>
    <row r="2276" spans="1:15" hidden="1">
      <c r="A2276" s="75" t="str">
        <f t="shared" si="84"/>
        <v>PLEURO-NETWashing Machinewashing machinepralka</v>
      </c>
      <c r="B2276" s="94" t="str">
        <f t="shared" si="85"/>
        <v>PL_EURO-NET</v>
      </c>
      <c r="C2276" s="93" t="s">
        <v>450</v>
      </c>
      <c r="D2276" s="93" t="s">
        <v>451</v>
      </c>
      <c r="E2276" s="93" t="s">
        <v>2333</v>
      </c>
      <c r="F2276" s="93" t="s">
        <v>2340</v>
      </c>
      <c r="G2276" s="93" t="s">
        <v>3316</v>
      </c>
      <c r="H2276" s="93" t="e">
        <v>#N/A</v>
      </c>
      <c r="I2276" s="105" t="s">
        <v>2310</v>
      </c>
      <c r="J2276" s="93" t="s">
        <v>189</v>
      </c>
      <c r="K2276" s="93">
        <v>21398</v>
      </c>
      <c r="L2276" s="93" t="e">
        <v>#N/A</v>
      </c>
      <c r="M2276" s="93" t="s">
        <v>2311</v>
      </c>
      <c r="N2276" s="93" t="e">
        <f>VLOOKUP(B2276,'[16]01.수집 카테고리(List)'!$A$2:$H$64,8,FALSE)</f>
        <v>#N/A</v>
      </c>
      <c r="O2276" s="93"/>
    </row>
    <row r="2277" spans="1:15" hidden="1">
      <c r="A2277" s="75" t="str">
        <f t="shared" si="84"/>
        <v>PLEURO-NETWashing Machinewasher dryer combopralko-suszarka</v>
      </c>
      <c r="B2277" s="94" t="str">
        <f t="shared" si="85"/>
        <v>PL_EURO-NET</v>
      </c>
      <c r="C2277" s="93" t="s">
        <v>450</v>
      </c>
      <c r="D2277" s="93" t="s">
        <v>451</v>
      </c>
      <c r="E2277" s="93" t="s">
        <v>2333</v>
      </c>
      <c r="F2277" s="93" t="s">
        <v>2338</v>
      </c>
      <c r="G2277" s="93" t="s">
        <v>3317</v>
      </c>
      <c r="H2277" s="93" t="e">
        <v>#N/A</v>
      </c>
      <c r="I2277" s="105" t="s">
        <v>2310</v>
      </c>
      <c r="J2277" s="93" t="s">
        <v>189</v>
      </c>
      <c r="K2277" s="93">
        <v>4080</v>
      </c>
      <c r="L2277" s="93" t="e">
        <v>#N/A</v>
      </c>
      <c r="M2277" s="93" t="s">
        <v>2311</v>
      </c>
      <c r="N2277" s="93" t="e">
        <f>VLOOKUP(B2277,'[16]01.수집 카테고리(List)'!$A$2:$H$64,8,FALSE)</f>
        <v>#N/A</v>
      </c>
      <c r="O2277" s="93"/>
    </row>
    <row r="2278" spans="1:15" hidden="1">
      <c r="A2278" s="75" t="str">
        <f t="shared" si="84"/>
        <v>PLEURO-NETWIRELESS HEADSETWireless earbudsBezprzewodowe słuchawki</v>
      </c>
      <c r="B2278" s="94" t="str">
        <f t="shared" si="85"/>
        <v>PL_EURO-NET</v>
      </c>
      <c r="C2278" s="93" t="s">
        <v>450</v>
      </c>
      <c r="D2278" s="93" t="s">
        <v>451</v>
      </c>
      <c r="E2278" s="93" t="s">
        <v>2201</v>
      </c>
      <c r="F2278" s="93" t="s">
        <v>2376</v>
      </c>
      <c r="G2278" s="93" t="s">
        <v>3318</v>
      </c>
      <c r="H2278" s="93" t="e">
        <v>#N/A</v>
      </c>
      <c r="I2278" s="105" t="s">
        <v>2310</v>
      </c>
      <c r="J2278" s="93" t="s">
        <v>189</v>
      </c>
      <c r="K2278" s="93">
        <v>63894</v>
      </c>
      <c r="L2278" s="93" t="e">
        <v>#N/A</v>
      </c>
      <c r="M2278" s="93" t="s">
        <v>2311</v>
      </c>
      <c r="N2278" s="93" t="e">
        <f>VLOOKUP(B2278,'[16]01.수집 카테고리(List)'!$A$2:$H$64,8,FALSE)</f>
        <v>#N/A</v>
      </c>
      <c r="O2278" s="93"/>
    </row>
    <row r="2279" spans="1:15" hidden="1">
      <c r="A2279" s="75" t="str">
        <f t="shared" si="84"/>
        <v>PLEURO-NETWIRELESS HEADSETTrue wireless earbudsPrawdziwie bezprzewodowe słuchawki</v>
      </c>
      <c r="B2279" s="94" t="str">
        <f t="shared" si="85"/>
        <v>PL_EURO-NET</v>
      </c>
      <c r="C2279" s="93" t="s">
        <v>450</v>
      </c>
      <c r="D2279" s="93" t="s">
        <v>451</v>
      </c>
      <c r="E2279" s="93" t="s">
        <v>2201</v>
      </c>
      <c r="F2279" s="93" t="s">
        <v>2374</v>
      </c>
      <c r="G2279" s="93" t="s">
        <v>3319</v>
      </c>
      <c r="H2279" s="93" t="e">
        <v>#N/A</v>
      </c>
      <c r="I2279" s="105" t="s">
        <v>2310</v>
      </c>
      <c r="J2279" s="93" t="s">
        <v>189</v>
      </c>
      <c r="K2279" s="93">
        <v>568</v>
      </c>
      <c r="L2279" s="93" t="e">
        <v>#N/A</v>
      </c>
      <c r="M2279" s="93" t="s">
        <v>2311</v>
      </c>
      <c r="N2279" s="93" t="e">
        <f>VLOOKUP(B2279,'[16]01.수집 카테고리(List)'!$A$2:$H$64,8,FALSE)</f>
        <v>#N/A</v>
      </c>
      <c r="O2279" s="93"/>
    </row>
    <row r="2280" spans="1:15" hidden="1">
      <c r="A2280" s="75" t="str">
        <f t="shared" si="84"/>
        <v>PLEURO-NETWIRELESS HEADSETEar budsSłuchawki bezprzewodowe</v>
      </c>
      <c r="B2280" s="94" t="str">
        <f t="shared" si="85"/>
        <v>PL_EURO-NET</v>
      </c>
      <c r="C2280" s="93" t="s">
        <v>450</v>
      </c>
      <c r="D2280" s="93" t="s">
        <v>451</v>
      </c>
      <c r="E2280" s="93" t="s">
        <v>2201</v>
      </c>
      <c r="F2280" s="93" t="s">
        <v>2380</v>
      </c>
      <c r="G2280" s="93" t="s">
        <v>3320</v>
      </c>
      <c r="H2280" s="93" t="e">
        <v>#N/A</v>
      </c>
      <c r="I2280" s="105" t="s">
        <v>2310</v>
      </c>
      <c r="J2280" s="93" t="s">
        <v>189</v>
      </c>
      <c r="K2280" s="93">
        <v>70234</v>
      </c>
      <c r="L2280" s="93" t="e">
        <v>#N/A</v>
      </c>
      <c r="M2280" s="93" t="s">
        <v>2311</v>
      </c>
      <c r="N2280" s="93" t="e">
        <f>VLOOKUP(B2280,'[16]01.수집 카테고리(List)'!$A$2:$H$64,8,FALSE)</f>
        <v>#N/A</v>
      </c>
      <c r="O2280" s="93"/>
    </row>
    <row r="2281" spans="1:15" hidden="1">
      <c r="A2281" s="75" t="str">
        <f t="shared" si="84"/>
        <v>PLEURO-NETWIRELESS HEADSETBluetooth earbudsSłuchawki bezprzewodowe Bluetooth</v>
      </c>
      <c r="B2281" s="94" t="str">
        <f t="shared" si="85"/>
        <v>PL_EURO-NET</v>
      </c>
      <c r="C2281" s="93" t="s">
        <v>450</v>
      </c>
      <c r="D2281" s="93" t="s">
        <v>451</v>
      </c>
      <c r="E2281" s="93" t="s">
        <v>2201</v>
      </c>
      <c r="F2281" s="93" t="s">
        <v>2382</v>
      </c>
      <c r="G2281" s="93" t="s">
        <v>3321</v>
      </c>
      <c r="H2281" s="93" t="e">
        <v>#N/A</v>
      </c>
      <c r="I2281" s="105" t="s">
        <v>2310</v>
      </c>
      <c r="J2281" s="93" t="s">
        <v>189</v>
      </c>
      <c r="K2281" s="93">
        <v>71520</v>
      </c>
      <c r="L2281" s="93" t="e">
        <v>#N/A</v>
      </c>
      <c r="M2281" s="93" t="s">
        <v>2311</v>
      </c>
      <c r="N2281" s="93" t="e">
        <f>VLOOKUP(B2281,'[16]01.수집 카테고리(List)'!$A$2:$H$64,8,FALSE)</f>
        <v>#N/A</v>
      </c>
      <c r="O2281" s="93"/>
    </row>
    <row r="2282" spans="1:15" hidden="1">
      <c r="A2282" s="75" t="str">
        <f t="shared" ref="A2282:A2345" si="86">C2282&amp;D2282&amp;E2282&amp;F2282&amp;G2282</f>
        <v>PLEURO-NETWIRELESS HEADSETNoise cancelling earbudsSłuchawki bezprzewodowe z redukcją szumów</v>
      </c>
      <c r="B2282" s="94" t="str">
        <f t="shared" ref="B2282:B2345" si="87">C2282&amp;"_"&amp;D2282</f>
        <v>PL_EURO-NET</v>
      </c>
      <c r="C2282" s="93" t="s">
        <v>450</v>
      </c>
      <c r="D2282" s="93" t="s">
        <v>451</v>
      </c>
      <c r="E2282" s="93" t="s">
        <v>2201</v>
      </c>
      <c r="F2282" s="93" t="s">
        <v>2378</v>
      </c>
      <c r="G2282" s="93" t="s">
        <v>3322</v>
      </c>
      <c r="H2282" s="93" t="e">
        <v>#N/A</v>
      </c>
      <c r="I2282" s="105" t="s">
        <v>2310</v>
      </c>
      <c r="J2282" s="93" t="s">
        <v>189</v>
      </c>
      <c r="K2282" s="93">
        <v>1044</v>
      </c>
      <c r="L2282" s="93" t="e">
        <v>#N/A</v>
      </c>
      <c r="M2282" s="93" t="s">
        <v>2311</v>
      </c>
      <c r="N2282" s="93" t="e">
        <f>VLOOKUP(B2282,'[16]01.수집 카테고리(List)'!$A$2:$H$64,8,FALSE)</f>
        <v>#N/A</v>
      </c>
      <c r="O2282" s="93"/>
    </row>
    <row r="2283" spans="1:15" hidden="1">
      <c r="A2283" s="75" t="str">
        <f t="shared" si="86"/>
        <v>PLMEDIAMARKTLAPTOP15 inch Laptop15-calowy laptop</v>
      </c>
      <c r="B2283" s="94" t="str">
        <f t="shared" si="87"/>
        <v>PL_MEDIAMARKT</v>
      </c>
      <c r="C2283" s="93" t="s">
        <v>450</v>
      </c>
      <c r="D2283" s="93" t="s">
        <v>264</v>
      </c>
      <c r="E2283" s="93" t="s">
        <v>171</v>
      </c>
      <c r="F2283" s="93" t="s">
        <v>2806</v>
      </c>
      <c r="G2283" s="93" t="s">
        <v>3305</v>
      </c>
      <c r="H2283" s="93" t="e">
        <v>#N/A</v>
      </c>
      <c r="I2283" s="105" t="s">
        <v>2310</v>
      </c>
      <c r="J2283" s="93" t="s">
        <v>189</v>
      </c>
      <c r="K2283" s="93">
        <v>340600</v>
      </c>
      <c r="L2283" s="93" t="e">
        <v>#N/A</v>
      </c>
      <c r="M2283" s="93" t="s">
        <v>2311</v>
      </c>
      <c r="N2283" s="93" t="e">
        <f>VLOOKUP(B2283,'[16]01.수집 카테고리(List)'!$A$2:$H$64,8,FALSE)</f>
        <v>#N/A</v>
      </c>
      <c r="O2283" s="93"/>
    </row>
    <row r="2284" spans="1:15" hidden="1">
      <c r="A2284" s="75" t="str">
        <f t="shared" si="86"/>
        <v>PLMEDIAMARKTLAPTOP17 inch Laptop17-calowy laptop</v>
      </c>
      <c r="B2284" s="94" t="str">
        <f t="shared" si="87"/>
        <v>PL_MEDIAMARKT</v>
      </c>
      <c r="C2284" s="93" t="s">
        <v>450</v>
      </c>
      <c r="D2284" s="93" t="s">
        <v>264</v>
      </c>
      <c r="E2284" s="93" t="s">
        <v>171</v>
      </c>
      <c r="F2284" s="93" t="s">
        <v>2808</v>
      </c>
      <c r="G2284" s="93" t="s">
        <v>3306</v>
      </c>
      <c r="H2284" s="93" t="e">
        <v>#N/A</v>
      </c>
      <c r="I2284" s="105" t="s">
        <v>2310</v>
      </c>
      <c r="J2284" s="93" t="s">
        <v>189</v>
      </c>
      <c r="K2284" s="93">
        <v>342240</v>
      </c>
      <c r="L2284" s="93" t="e">
        <v>#N/A</v>
      </c>
      <c r="M2284" s="93" t="s">
        <v>2311</v>
      </c>
      <c r="N2284" s="93" t="e">
        <f>VLOOKUP(B2284,'[16]01.수집 카테고리(List)'!$A$2:$H$64,8,FALSE)</f>
        <v>#N/A</v>
      </c>
      <c r="O2284" s="93"/>
    </row>
    <row r="2285" spans="1:15" hidden="1">
      <c r="A2285" s="75" t="str">
        <f t="shared" si="86"/>
        <v>PLMEDIAMARKTLAPTOPLaptopLaptop</v>
      </c>
      <c r="B2285" s="94" t="str">
        <f t="shared" si="87"/>
        <v>PL_MEDIAMARKT</v>
      </c>
      <c r="C2285" s="93" t="s">
        <v>450</v>
      </c>
      <c r="D2285" s="93" t="s">
        <v>264</v>
      </c>
      <c r="E2285" s="93" t="s">
        <v>171</v>
      </c>
      <c r="F2285" s="93" t="s">
        <v>2407</v>
      </c>
      <c r="G2285" s="93" t="s">
        <v>2407</v>
      </c>
      <c r="H2285" s="93" t="e">
        <v>#N/A</v>
      </c>
      <c r="I2285" s="105" t="s">
        <v>2310</v>
      </c>
      <c r="J2285" s="93" t="s">
        <v>189</v>
      </c>
      <c r="K2285" s="93">
        <v>31</v>
      </c>
      <c r="L2285" s="93">
        <v>31</v>
      </c>
      <c r="M2285" s="93" t="s">
        <v>2311</v>
      </c>
      <c r="N2285" s="93" t="e">
        <f>VLOOKUP(B2285,'[16]01.수집 카테고리(List)'!$A$2:$H$64,8,FALSE)</f>
        <v>#N/A</v>
      </c>
      <c r="O2285" s="93"/>
    </row>
    <row r="2286" spans="1:15" hidden="1">
      <c r="A2286" s="75" t="str">
        <f t="shared" si="86"/>
        <v>PLMEDIAMARKTLAPTOPi7 laptopLaptop i7</v>
      </c>
      <c r="B2286" s="94" t="str">
        <f t="shared" si="87"/>
        <v>PL_MEDIAMARKT</v>
      </c>
      <c r="C2286" s="93" t="s">
        <v>450</v>
      </c>
      <c r="D2286" s="93" t="s">
        <v>264</v>
      </c>
      <c r="E2286" s="93" t="s">
        <v>171</v>
      </c>
      <c r="F2286" s="93" t="s">
        <v>2410</v>
      </c>
      <c r="G2286" s="93" t="s">
        <v>3307</v>
      </c>
      <c r="H2286" s="93" t="e">
        <v>#N/A</v>
      </c>
      <c r="I2286" s="105" t="s">
        <v>2310</v>
      </c>
      <c r="J2286" s="93" t="s">
        <v>189</v>
      </c>
      <c r="K2286" s="93">
        <v>20</v>
      </c>
      <c r="L2286" s="93" t="e">
        <v>#N/A</v>
      </c>
      <c r="M2286" s="93" t="s">
        <v>2311</v>
      </c>
      <c r="N2286" s="93" t="e">
        <f>VLOOKUP(B2286,'[16]01.수집 카테고리(List)'!$A$2:$H$64,8,FALSE)</f>
        <v>#N/A</v>
      </c>
      <c r="O2286" s="93"/>
    </row>
    <row r="2287" spans="1:15" hidden="1">
      <c r="A2287" s="75" t="str">
        <f t="shared" si="86"/>
        <v>PLMEDIAMARKTLAPTOPLightweight LaptopLekki laptop</v>
      </c>
      <c r="B2287" s="94" t="str">
        <f t="shared" si="87"/>
        <v>PL_MEDIAMARKT</v>
      </c>
      <c r="C2287" s="93" t="s">
        <v>450</v>
      </c>
      <c r="D2287" s="93" t="s">
        <v>264</v>
      </c>
      <c r="E2287" s="93" t="s">
        <v>171</v>
      </c>
      <c r="F2287" s="93" t="s">
        <v>2411</v>
      </c>
      <c r="G2287" s="93" t="s">
        <v>3308</v>
      </c>
      <c r="H2287" s="93" t="e">
        <v>#N/A</v>
      </c>
      <c r="I2287" s="105" t="s">
        <v>2310</v>
      </c>
      <c r="J2287" s="93" t="s">
        <v>189</v>
      </c>
      <c r="K2287" s="93">
        <v>4</v>
      </c>
      <c r="L2287" s="93" t="e">
        <v>#N/A</v>
      </c>
      <c r="M2287" s="93" t="s">
        <v>2311</v>
      </c>
      <c r="N2287" s="93" t="e">
        <f>VLOOKUP(B2287,'[16]01.수집 카테고리(List)'!$A$2:$H$64,8,FALSE)</f>
        <v>#N/A</v>
      </c>
      <c r="O2287" s="93"/>
    </row>
    <row r="2288" spans="1:15" hidden="1">
      <c r="A2288" s="75" t="str">
        <f t="shared" si="86"/>
        <v>PLMEDIAMARKTMonitormonitormonitor</v>
      </c>
      <c r="B2288" s="94" t="str">
        <f t="shared" si="87"/>
        <v>PL_MEDIAMARKT</v>
      </c>
      <c r="C2288" s="93" t="s">
        <v>450</v>
      </c>
      <c r="D2288" s="93" t="s">
        <v>264</v>
      </c>
      <c r="E2288" s="93" t="s">
        <v>2320</v>
      </c>
      <c r="F2288" s="93" t="s">
        <v>2323</v>
      </c>
      <c r="G2288" s="93" t="s">
        <v>2323</v>
      </c>
      <c r="H2288" s="93" t="e">
        <v>#N/A</v>
      </c>
      <c r="I2288" s="105" t="s">
        <v>2310</v>
      </c>
      <c r="J2288" s="93" t="s">
        <v>189</v>
      </c>
      <c r="K2288" s="93">
        <v>8</v>
      </c>
      <c r="L2288" s="93">
        <v>8</v>
      </c>
      <c r="M2288" s="93" t="s">
        <v>2311</v>
      </c>
      <c r="N2288" s="93" t="e">
        <f>VLOOKUP(B2288,'[16]01.수집 카테고리(List)'!$A$2:$H$64,8,FALSE)</f>
        <v>#N/A</v>
      </c>
      <c r="O2288" s="93"/>
    </row>
    <row r="2289" spans="1:15" hidden="1">
      <c r="A2289" s="75" t="str">
        <f t="shared" si="86"/>
        <v>PLMEDIAMARKTMonitor4k monitormonitor 4K</v>
      </c>
      <c r="B2289" s="94" t="str">
        <f t="shared" si="87"/>
        <v>PL_MEDIAMARKT</v>
      </c>
      <c r="C2289" s="93" t="s">
        <v>450</v>
      </c>
      <c r="D2289" s="93" t="s">
        <v>264</v>
      </c>
      <c r="E2289" s="93" t="s">
        <v>2320</v>
      </c>
      <c r="F2289" s="93" t="s">
        <v>2321</v>
      </c>
      <c r="G2289" s="93" t="s">
        <v>3309</v>
      </c>
      <c r="H2289" s="93" t="e">
        <v>#N/A</v>
      </c>
      <c r="I2289" s="105" t="s">
        <v>2310</v>
      </c>
      <c r="J2289" s="93" t="s">
        <v>189</v>
      </c>
      <c r="K2289" s="93">
        <v>9</v>
      </c>
      <c r="L2289" s="93" t="e">
        <v>#N/A</v>
      </c>
      <c r="M2289" s="93" t="s">
        <v>2311</v>
      </c>
      <c r="N2289" s="93" t="e">
        <f>VLOOKUP(B2289,'[16]01.수집 카테고리(List)'!$A$2:$H$64,8,FALSE)</f>
        <v>#N/A</v>
      </c>
      <c r="O2289" s="93"/>
    </row>
    <row r="2290" spans="1:15" hidden="1">
      <c r="A2290" s="75" t="str">
        <f t="shared" si="86"/>
        <v>PLMEDIAMARKTMonitorgaming monitormonitor gamingowy</v>
      </c>
      <c r="B2290" s="94" t="str">
        <f t="shared" si="87"/>
        <v>PL_MEDIAMARKT</v>
      </c>
      <c r="C2290" s="93" t="s">
        <v>450</v>
      </c>
      <c r="D2290" s="93" t="s">
        <v>264</v>
      </c>
      <c r="E2290" s="93" t="s">
        <v>2320</v>
      </c>
      <c r="F2290" s="93" t="s">
        <v>2322</v>
      </c>
      <c r="G2290" s="93" t="s">
        <v>3310</v>
      </c>
      <c r="H2290" s="93" t="e">
        <v>#N/A</v>
      </c>
      <c r="I2290" s="105" t="s">
        <v>2310</v>
      </c>
      <c r="J2290" s="93" t="s">
        <v>189</v>
      </c>
      <c r="K2290" s="93">
        <v>4</v>
      </c>
      <c r="L2290" s="93" t="e">
        <v>#N/A</v>
      </c>
      <c r="M2290" s="93" t="s">
        <v>2311</v>
      </c>
      <c r="N2290" s="93" t="e">
        <f>VLOOKUP(B2290,'[16]01.수집 카테고리(List)'!$A$2:$H$64,8,FALSE)</f>
        <v>#N/A</v>
      </c>
      <c r="O2290" s="93"/>
    </row>
    <row r="2291" spans="1:15" hidden="1">
      <c r="A2291" s="75" t="str">
        <f t="shared" si="86"/>
        <v>PLMEDIAMARKTMonitoruhd monitormonitor UHD</v>
      </c>
      <c r="B2291" s="94" t="str">
        <f t="shared" si="87"/>
        <v>PL_MEDIAMARKT</v>
      </c>
      <c r="C2291" s="93" t="s">
        <v>450</v>
      </c>
      <c r="D2291" s="93" t="s">
        <v>264</v>
      </c>
      <c r="E2291" s="93" t="s">
        <v>2320</v>
      </c>
      <c r="F2291" s="93" t="s">
        <v>2324</v>
      </c>
      <c r="G2291" s="93" t="s">
        <v>3311</v>
      </c>
      <c r="H2291" s="93" t="e">
        <v>#N/A</v>
      </c>
      <c r="I2291" s="105" t="s">
        <v>2310</v>
      </c>
      <c r="J2291" s="93" t="s">
        <v>189</v>
      </c>
      <c r="K2291" s="93">
        <v>8</v>
      </c>
      <c r="L2291" s="93" t="e">
        <v>#N/A</v>
      </c>
      <c r="M2291" s="93" t="s">
        <v>2311</v>
      </c>
      <c r="N2291" s="93" t="e">
        <f>VLOOKUP(B2291,'[16]01.수집 카테고리(List)'!$A$2:$H$64,8,FALSE)</f>
        <v>#N/A</v>
      </c>
      <c r="O2291" s="93"/>
    </row>
    <row r="2292" spans="1:15" hidden="1">
      <c r="A2292" s="75" t="str">
        <f t="shared" si="86"/>
        <v>PLMEDIAMARKTMonitorultrawide monitormonitor ultrawide</v>
      </c>
      <c r="B2292" s="94" t="str">
        <f t="shared" si="87"/>
        <v>PL_MEDIAMARKT</v>
      </c>
      <c r="C2292" s="93" t="s">
        <v>450</v>
      </c>
      <c r="D2292" s="93" t="s">
        <v>264</v>
      </c>
      <c r="E2292" s="93" t="s">
        <v>2320</v>
      </c>
      <c r="F2292" s="93" t="s">
        <v>2325</v>
      </c>
      <c r="G2292" s="93" t="s">
        <v>2499</v>
      </c>
      <c r="H2292" s="93" t="e">
        <v>#N/A</v>
      </c>
      <c r="I2292" s="105" t="s">
        <v>2310</v>
      </c>
      <c r="J2292" s="93" t="s">
        <v>189</v>
      </c>
      <c r="K2292" s="93">
        <v>13</v>
      </c>
      <c r="L2292" s="93" t="e">
        <v>#N/A</v>
      </c>
      <c r="M2292" s="93" t="s">
        <v>2311</v>
      </c>
      <c r="N2292" s="93" t="e">
        <f>VLOOKUP(B2292,'[16]01.수집 카테고리(List)'!$A$2:$H$64,8,FALSE)</f>
        <v>#N/A</v>
      </c>
      <c r="O2292" s="93"/>
    </row>
    <row r="2293" spans="1:15" hidden="1">
      <c r="A2293" s="75" t="str">
        <f t="shared" si="86"/>
        <v>PLMEDIAMARKTRefrigeratorrefrigeratorlodówka</v>
      </c>
      <c r="B2293" s="94" t="str">
        <f t="shared" si="87"/>
        <v>PL_MEDIAMARKT</v>
      </c>
      <c r="C2293" s="93" t="s">
        <v>450</v>
      </c>
      <c r="D2293" s="93" t="s">
        <v>264</v>
      </c>
      <c r="E2293" s="93" t="s">
        <v>2326</v>
      </c>
      <c r="F2293" s="93" t="s">
        <v>2329</v>
      </c>
      <c r="G2293" s="93" t="s">
        <v>3312</v>
      </c>
      <c r="H2293" s="93" t="e">
        <v>#N/A</v>
      </c>
      <c r="I2293" s="105" t="s">
        <v>2310</v>
      </c>
      <c r="J2293" s="93" t="s">
        <v>189</v>
      </c>
      <c r="K2293" s="93">
        <v>16</v>
      </c>
      <c r="L2293" s="93" t="e">
        <v>#N/A</v>
      </c>
      <c r="M2293" s="93" t="s">
        <v>2311</v>
      </c>
      <c r="N2293" s="93" t="e">
        <f>VLOOKUP(B2293,'[16]01.수집 카테고리(List)'!$A$2:$H$64,8,FALSE)</f>
        <v>#N/A</v>
      </c>
      <c r="O2293" s="93"/>
    </row>
    <row r="2294" spans="1:15" hidden="1">
      <c r="A2294" s="75" t="str">
        <f t="shared" si="86"/>
        <v>PLMEDIAMARKTTV4k TV4k TV</v>
      </c>
      <c r="B2294" s="94" t="str">
        <f t="shared" si="87"/>
        <v>PL_MEDIAMARKT</v>
      </c>
      <c r="C2294" s="93" t="s">
        <v>450</v>
      </c>
      <c r="D2294" s="93" t="s">
        <v>264</v>
      </c>
      <c r="E2294" s="93" t="s">
        <v>161</v>
      </c>
      <c r="F2294" s="93" t="s">
        <v>2368</v>
      </c>
      <c r="G2294" s="93" t="s">
        <v>2368</v>
      </c>
      <c r="H2294" s="93" t="e">
        <v>#N/A</v>
      </c>
      <c r="I2294" s="105" t="s">
        <v>2310</v>
      </c>
      <c r="J2294" s="93" t="s">
        <v>189</v>
      </c>
      <c r="K2294" s="93">
        <v>2347</v>
      </c>
      <c r="L2294" s="93">
        <v>2347</v>
      </c>
      <c r="M2294" s="93" t="s">
        <v>2311</v>
      </c>
      <c r="N2294" s="93" t="e">
        <f>VLOOKUP(B2294,'[16]01.수집 카테고리(List)'!$A$2:$H$64,8,FALSE)</f>
        <v>#N/A</v>
      </c>
      <c r="O2294" s="93"/>
    </row>
    <row r="2295" spans="1:15" hidden="1">
      <c r="A2295" s="75" t="str">
        <f t="shared" si="86"/>
        <v>PLMEDIAMARKTTVoled TVoled TV</v>
      </c>
      <c r="B2295" s="94" t="str">
        <f t="shared" si="87"/>
        <v>PL_MEDIAMARKT</v>
      </c>
      <c r="C2295" s="93" t="s">
        <v>450</v>
      </c>
      <c r="D2295" s="93" t="s">
        <v>264</v>
      </c>
      <c r="E2295" s="93" t="s">
        <v>161</v>
      </c>
      <c r="F2295" s="93" t="s">
        <v>2369</v>
      </c>
      <c r="G2295" s="93" t="s">
        <v>2369</v>
      </c>
      <c r="H2295" s="93" t="e">
        <v>#N/A</v>
      </c>
      <c r="I2295" s="105" t="s">
        <v>2310</v>
      </c>
      <c r="J2295" s="93" t="s">
        <v>189</v>
      </c>
      <c r="K2295" s="93">
        <v>5</v>
      </c>
      <c r="L2295" s="93">
        <v>5</v>
      </c>
      <c r="M2295" s="93" t="s">
        <v>2311</v>
      </c>
      <c r="N2295" s="93" t="e">
        <f>VLOOKUP(B2295,'[16]01.수집 카테고리(List)'!$A$2:$H$64,8,FALSE)</f>
        <v>#N/A</v>
      </c>
      <c r="O2295" s="93"/>
    </row>
    <row r="2296" spans="1:15" hidden="1">
      <c r="A2296" s="75" t="str">
        <f t="shared" si="86"/>
        <v>PLMEDIAMARKTTVsmart TVSmart TV</v>
      </c>
      <c r="B2296" s="94" t="str">
        <f t="shared" si="87"/>
        <v>PL_MEDIAMARKT</v>
      </c>
      <c r="C2296" s="93" t="s">
        <v>450</v>
      </c>
      <c r="D2296" s="93" t="s">
        <v>264</v>
      </c>
      <c r="E2296" s="93" t="s">
        <v>161</v>
      </c>
      <c r="F2296" s="93" t="s">
        <v>2371</v>
      </c>
      <c r="G2296" s="93" t="s">
        <v>2835</v>
      </c>
      <c r="H2296" s="93" t="e">
        <v>#N/A</v>
      </c>
      <c r="I2296" s="105" t="s">
        <v>2310</v>
      </c>
      <c r="J2296" s="93" t="s">
        <v>189</v>
      </c>
      <c r="K2296" s="93">
        <v>71714</v>
      </c>
      <c r="L2296" s="93">
        <v>71714</v>
      </c>
      <c r="M2296" s="93" t="s">
        <v>2311</v>
      </c>
      <c r="N2296" s="93" t="e">
        <f>VLOOKUP(B2296,'[16]01.수집 카테고리(List)'!$A$2:$H$64,8,FALSE)</f>
        <v>#N/A</v>
      </c>
      <c r="O2296" s="93"/>
    </row>
    <row r="2297" spans="1:15" hidden="1">
      <c r="A2297" s="75" t="str">
        <f t="shared" si="86"/>
        <v>PLMEDIAMARKTTVTVtelewizor</v>
      </c>
      <c r="B2297" s="94" t="str">
        <f t="shared" si="87"/>
        <v>PL_MEDIAMARKT</v>
      </c>
      <c r="C2297" s="93" t="s">
        <v>450</v>
      </c>
      <c r="D2297" s="93" t="s">
        <v>264</v>
      </c>
      <c r="E2297" s="93" t="s">
        <v>161</v>
      </c>
      <c r="F2297" s="93" t="s">
        <v>161</v>
      </c>
      <c r="G2297" s="93" t="s">
        <v>3314</v>
      </c>
      <c r="H2297" s="93" t="e">
        <v>#N/A</v>
      </c>
      <c r="I2297" s="105" t="s">
        <v>2310</v>
      </c>
      <c r="J2297" s="93" t="s">
        <v>189</v>
      </c>
      <c r="K2297" s="93">
        <v>6</v>
      </c>
      <c r="L2297" s="93" t="e">
        <v>#N/A</v>
      </c>
      <c r="M2297" s="93" t="s">
        <v>2311</v>
      </c>
      <c r="N2297" s="93" t="e">
        <f>VLOOKUP(B2297,'[16]01.수집 카테고리(List)'!$A$2:$H$64,8,FALSE)</f>
        <v>#N/A</v>
      </c>
      <c r="O2297" s="93"/>
    </row>
    <row r="2298" spans="1:15" hidden="1">
      <c r="A2298" s="75" t="str">
        <f t="shared" si="86"/>
        <v>PLMEDIAMARKTTVuhd TVtelewizor UHD</v>
      </c>
      <c r="B2298" s="94" t="str">
        <f t="shared" si="87"/>
        <v>PL_MEDIAMARKT</v>
      </c>
      <c r="C2298" s="93" t="s">
        <v>450</v>
      </c>
      <c r="D2298" s="93" t="s">
        <v>264</v>
      </c>
      <c r="E2298" s="93" t="s">
        <v>161</v>
      </c>
      <c r="F2298" s="93" t="s">
        <v>2399</v>
      </c>
      <c r="G2298" s="93" t="s">
        <v>3315</v>
      </c>
      <c r="H2298" s="93" t="e">
        <v>#N/A</v>
      </c>
      <c r="I2298" s="105" t="s">
        <v>2310</v>
      </c>
      <c r="J2298" s="93" t="s">
        <v>189</v>
      </c>
      <c r="K2298" s="93">
        <v>6</v>
      </c>
      <c r="L2298" s="93" t="e">
        <v>#N/A</v>
      </c>
      <c r="M2298" s="93" t="s">
        <v>2311</v>
      </c>
      <c r="N2298" s="93" t="e">
        <f>VLOOKUP(B2298,'[16]01.수집 카테고리(List)'!$A$2:$H$64,8,FALSE)</f>
        <v>#N/A</v>
      </c>
      <c r="O2298" s="93"/>
    </row>
    <row r="2299" spans="1:15" hidden="1">
      <c r="A2299" s="75" t="str">
        <f t="shared" si="86"/>
        <v>PLMEDIAMARKTWashing Machinewashing machinepralka</v>
      </c>
      <c r="B2299" s="94" t="str">
        <f t="shared" si="87"/>
        <v>PL_MEDIAMARKT</v>
      </c>
      <c r="C2299" s="93" t="s">
        <v>450</v>
      </c>
      <c r="D2299" s="93" t="s">
        <v>264</v>
      </c>
      <c r="E2299" s="93" t="s">
        <v>2333</v>
      </c>
      <c r="F2299" s="93" t="s">
        <v>2340</v>
      </c>
      <c r="G2299" s="93" t="s">
        <v>3316</v>
      </c>
      <c r="H2299" s="93" t="e">
        <v>#N/A</v>
      </c>
      <c r="I2299" s="105" t="s">
        <v>2310</v>
      </c>
      <c r="J2299" s="93" t="s">
        <v>189</v>
      </c>
      <c r="K2299" s="93">
        <v>7</v>
      </c>
      <c r="L2299" s="93" t="e">
        <v>#N/A</v>
      </c>
      <c r="M2299" s="93" t="s">
        <v>2311</v>
      </c>
      <c r="N2299" s="93" t="e">
        <f>VLOOKUP(B2299,'[16]01.수집 카테고리(List)'!$A$2:$H$64,8,FALSE)</f>
        <v>#N/A</v>
      </c>
      <c r="O2299" s="93"/>
    </row>
    <row r="2300" spans="1:15" hidden="1">
      <c r="A2300" s="75" t="str">
        <f t="shared" si="86"/>
        <v>PLMEDIAMARKTWashing Machinewasher dryer combopralko-suszarka</v>
      </c>
      <c r="B2300" s="94" t="str">
        <f t="shared" si="87"/>
        <v>PL_MEDIAMARKT</v>
      </c>
      <c r="C2300" s="93" t="s">
        <v>450</v>
      </c>
      <c r="D2300" s="93" t="s">
        <v>264</v>
      </c>
      <c r="E2300" s="93" t="s">
        <v>2333</v>
      </c>
      <c r="F2300" s="93" t="s">
        <v>2338</v>
      </c>
      <c r="G2300" s="93" t="s">
        <v>3317</v>
      </c>
      <c r="H2300" s="93" t="e">
        <v>#N/A</v>
      </c>
      <c r="I2300" s="105" t="s">
        <v>2310</v>
      </c>
      <c r="J2300" s="93" t="s">
        <v>189</v>
      </c>
      <c r="K2300" s="93">
        <v>1</v>
      </c>
      <c r="L2300" s="93" t="e">
        <v>#N/A</v>
      </c>
      <c r="M2300" s="93" t="s">
        <v>2311</v>
      </c>
      <c r="N2300" s="93" t="e">
        <f>VLOOKUP(B2300,'[16]01.수집 카테고리(List)'!$A$2:$H$64,8,FALSE)</f>
        <v>#N/A</v>
      </c>
      <c r="O2300" s="93"/>
    </row>
    <row r="2301" spans="1:15" hidden="1">
      <c r="A2301" s="75" t="str">
        <f t="shared" si="86"/>
        <v>PTRADIO POPULARBluetooth Speakerbluetooth speakercoluna bluetooth</v>
      </c>
      <c r="B2301" s="94" t="str">
        <f t="shared" si="87"/>
        <v>PT_RADIO POPULAR</v>
      </c>
      <c r="C2301" s="93" t="s">
        <v>457</v>
      </c>
      <c r="D2301" s="93" t="s">
        <v>458</v>
      </c>
      <c r="E2301" s="93" t="s">
        <v>2307</v>
      </c>
      <c r="F2301" s="93" t="s">
        <v>2657</v>
      </c>
      <c r="G2301" s="93" t="s">
        <v>3323</v>
      </c>
      <c r="H2301" s="93" t="e">
        <v>#N/A</v>
      </c>
      <c r="I2301" s="105" t="s">
        <v>2310</v>
      </c>
      <c r="J2301" s="93" t="s">
        <v>189</v>
      </c>
      <c r="K2301" s="93">
        <v>54875</v>
      </c>
      <c r="L2301" s="93" t="e">
        <v>#N/A</v>
      </c>
      <c r="M2301" s="93" t="s">
        <v>2311</v>
      </c>
      <c r="N2301" s="93" t="e">
        <f>VLOOKUP(B2301,'[16]01.수집 카테고리(List)'!$A$2:$H$64,8,FALSE)</f>
        <v>#N/A</v>
      </c>
      <c r="O2301" s="93"/>
    </row>
    <row r="2302" spans="1:15" hidden="1">
      <c r="A2302" s="75" t="str">
        <f t="shared" si="86"/>
        <v>PTRADIO POPULARBluetooth Speakerbluetooth speaker portablecoluna bluetooth portatil</v>
      </c>
      <c r="B2302" s="94" t="str">
        <f t="shared" si="87"/>
        <v>PT_RADIO POPULAR</v>
      </c>
      <c r="C2302" s="93" t="s">
        <v>457</v>
      </c>
      <c r="D2302" s="93" t="s">
        <v>458</v>
      </c>
      <c r="E2302" s="93" t="s">
        <v>2307</v>
      </c>
      <c r="F2302" s="93" t="s">
        <v>2479</v>
      </c>
      <c r="G2302" s="93" t="s">
        <v>3324</v>
      </c>
      <c r="H2302" s="93" t="e">
        <v>#N/A</v>
      </c>
      <c r="I2302" s="105" t="s">
        <v>2310</v>
      </c>
      <c r="J2302" s="93" t="s">
        <v>189</v>
      </c>
      <c r="K2302" s="93">
        <v>41362</v>
      </c>
      <c r="L2302" s="93" t="e">
        <v>#N/A</v>
      </c>
      <c r="M2302" s="93" t="s">
        <v>2311</v>
      </c>
      <c r="N2302" s="93" t="e">
        <f>VLOOKUP(B2302,'[16]01.수집 카테고리(List)'!$A$2:$H$64,8,FALSE)</f>
        <v>#N/A</v>
      </c>
      <c r="O2302" s="93"/>
    </row>
    <row r="2303" spans="1:15" hidden="1">
      <c r="A2303" s="75" t="str">
        <f t="shared" si="86"/>
        <v>PTRADIO POPULARBluetooth Speakerspeakerscolunas</v>
      </c>
      <c r="B2303" s="94" t="str">
        <f t="shared" si="87"/>
        <v>PT_RADIO POPULAR</v>
      </c>
      <c r="C2303" s="93" t="s">
        <v>457</v>
      </c>
      <c r="D2303" s="93" t="s">
        <v>458</v>
      </c>
      <c r="E2303" s="93" t="s">
        <v>2307</v>
      </c>
      <c r="F2303" s="93" t="s">
        <v>2471</v>
      </c>
      <c r="G2303" s="93" t="s">
        <v>3325</v>
      </c>
      <c r="H2303" s="93" t="e">
        <v>#N/A</v>
      </c>
      <c r="I2303" s="105" t="s">
        <v>2310</v>
      </c>
      <c r="J2303" s="93" t="s">
        <v>189</v>
      </c>
      <c r="K2303" s="93">
        <v>120196</v>
      </c>
      <c r="L2303" s="93" t="e">
        <v>#N/A</v>
      </c>
      <c r="M2303" s="93" t="s">
        <v>2311</v>
      </c>
      <c r="N2303" s="93" t="e">
        <f>VLOOKUP(B2303,'[16]01.수집 카테고리(List)'!$A$2:$H$64,8,FALSE)</f>
        <v>#N/A</v>
      </c>
      <c r="O2303" s="93"/>
    </row>
    <row r="2304" spans="1:15" hidden="1">
      <c r="A2304" s="75" t="str">
        <f t="shared" si="86"/>
        <v>PTRADIO POPULARBluetooth Speakerportable speakerscolunas portáteis</v>
      </c>
      <c r="B2304" s="94" t="str">
        <f t="shared" si="87"/>
        <v>PT_RADIO POPULAR</v>
      </c>
      <c r="C2304" s="93" t="s">
        <v>457</v>
      </c>
      <c r="D2304" s="93" t="s">
        <v>458</v>
      </c>
      <c r="E2304" s="93" t="s">
        <v>2307</v>
      </c>
      <c r="F2304" s="93" t="s">
        <v>2473</v>
      </c>
      <c r="G2304" s="93" t="s">
        <v>3326</v>
      </c>
      <c r="H2304" s="93" t="e">
        <v>#N/A</v>
      </c>
      <c r="I2304" s="105" t="s">
        <v>2310</v>
      </c>
      <c r="J2304" s="93" t="s">
        <v>189</v>
      </c>
      <c r="K2304" s="93">
        <v>46856</v>
      </c>
      <c r="L2304" s="93" t="e">
        <v>#N/A</v>
      </c>
      <c r="M2304" s="93" t="s">
        <v>2311</v>
      </c>
      <c r="N2304" s="93" t="e">
        <f>VLOOKUP(B2304,'[16]01.수집 카테고리(List)'!$A$2:$H$64,8,FALSE)</f>
        <v>#N/A</v>
      </c>
      <c r="O2304" s="93"/>
    </row>
    <row r="2305" spans="1:15" hidden="1">
      <c r="A2305" s="75" t="str">
        <f t="shared" si="86"/>
        <v>PTRADIO POPULARBluetooth Speakerwireless portable speakerscolunas sem fios</v>
      </c>
      <c r="B2305" s="94" t="str">
        <f t="shared" si="87"/>
        <v>PT_RADIO POPULAR</v>
      </c>
      <c r="C2305" s="93" t="s">
        <v>457</v>
      </c>
      <c r="D2305" s="93" t="s">
        <v>458</v>
      </c>
      <c r="E2305" s="93" t="s">
        <v>2307</v>
      </c>
      <c r="F2305" s="93" t="s">
        <v>2475</v>
      </c>
      <c r="G2305" s="93" t="s">
        <v>3327</v>
      </c>
      <c r="H2305" s="93" t="e">
        <v>#N/A</v>
      </c>
      <c r="I2305" s="105" t="s">
        <v>2310</v>
      </c>
      <c r="J2305" s="93" t="s">
        <v>189</v>
      </c>
      <c r="K2305" s="93">
        <v>33789</v>
      </c>
      <c r="L2305" s="93" t="e">
        <v>#N/A</v>
      </c>
      <c r="M2305" s="93" t="s">
        <v>2311</v>
      </c>
      <c r="N2305" s="93" t="e">
        <f>VLOOKUP(B2305,'[16]01.수집 카테고리(List)'!$A$2:$H$64,8,FALSE)</f>
        <v>#N/A</v>
      </c>
      <c r="O2305" s="93"/>
    </row>
    <row r="2306" spans="1:15" hidden="1">
      <c r="A2306" s="75" t="str">
        <f t="shared" si="86"/>
        <v>PTRADIO POPULARDISHWASHERdishwasherMáquina de lavar louça</v>
      </c>
      <c r="B2306" s="94" t="str">
        <f t="shared" si="87"/>
        <v>PT_RADIO POPULAR</v>
      </c>
      <c r="C2306" s="93" t="s">
        <v>457</v>
      </c>
      <c r="D2306" s="93" t="s">
        <v>458</v>
      </c>
      <c r="E2306" s="93" t="s">
        <v>169</v>
      </c>
      <c r="F2306" s="93" t="s">
        <v>2354</v>
      </c>
      <c r="G2306" s="93" t="s">
        <v>3328</v>
      </c>
      <c r="H2306" s="93" t="e">
        <v>#N/A</v>
      </c>
      <c r="I2306" s="105" t="s">
        <v>2310</v>
      </c>
      <c r="J2306" s="93" t="s">
        <v>189</v>
      </c>
      <c r="K2306" s="93">
        <v>2369</v>
      </c>
      <c r="L2306" s="93" t="e">
        <v>#N/A</v>
      </c>
      <c r="M2306" s="93" t="s">
        <v>2311</v>
      </c>
      <c r="N2306" s="93" t="e">
        <f>VLOOKUP(B2306,'[16]01.수집 카테고리(List)'!$A$2:$H$64,8,FALSE)</f>
        <v>#N/A</v>
      </c>
      <c r="O2306" s="93"/>
    </row>
    <row r="2307" spans="1:15" hidden="1">
      <c r="A2307" s="75" t="str">
        <f t="shared" si="86"/>
        <v>PTRADIO POPULARDISHWASHERBuilt in Dish washerMáquina de lavar louça encastre</v>
      </c>
      <c r="B2307" s="94" t="str">
        <f t="shared" si="87"/>
        <v>PT_RADIO POPULAR</v>
      </c>
      <c r="C2307" s="93" t="s">
        <v>457</v>
      </c>
      <c r="D2307" s="93" t="s">
        <v>458</v>
      </c>
      <c r="E2307" s="93" t="s">
        <v>169</v>
      </c>
      <c r="F2307" s="93" t="s">
        <v>2356</v>
      </c>
      <c r="G2307" s="93" t="s">
        <v>3329</v>
      </c>
      <c r="H2307" s="93" t="e">
        <v>#N/A</v>
      </c>
      <c r="I2307" s="105" t="s">
        <v>2310</v>
      </c>
      <c r="J2307" s="93" t="s">
        <v>189</v>
      </c>
      <c r="K2307" s="93">
        <v>778</v>
      </c>
      <c r="L2307" s="93" t="e">
        <v>#N/A</v>
      </c>
      <c r="M2307" s="93" t="s">
        <v>2311</v>
      </c>
      <c r="N2307" s="93" t="e">
        <f>VLOOKUP(B2307,'[16]01.수집 카테고리(List)'!$A$2:$H$64,8,FALSE)</f>
        <v>#N/A</v>
      </c>
      <c r="O2307" s="93"/>
    </row>
    <row r="2308" spans="1:15" hidden="1">
      <c r="A2308" s="75" t="str">
        <f t="shared" si="86"/>
        <v>PTRADIO POPULARDISHWASHERFreestanding Dishwasher máquina de lavar louça independente</v>
      </c>
      <c r="B2308" s="94" t="str">
        <f t="shared" si="87"/>
        <v>PT_RADIO POPULAR</v>
      </c>
      <c r="C2308" s="93" t="s">
        <v>457</v>
      </c>
      <c r="D2308" s="93" t="s">
        <v>458</v>
      </c>
      <c r="E2308" s="93" t="s">
        <v>169</v>
      </c>
      <c r="F2308" s="93" t="s">
        <v>2441</v>
      </c>
      <c r="G2308" s="93" t="s">
        <v>3330</v>
      </c>
      <c r="H2308" s="93" t="e">
        <v>#N/A</v>
      </c>
      <c r="I2308" s="105" t="s">
        <v>2310</v>
      </c>
      <c r="J2308" s="93" t="s">
        <v>189</v>
      </c>
      <c r="K2308" s="93">
        <v>949</v>
      </c>
      <c r="L2308" s="93" t="e">
        <v>#N/A</v>
      </c>
      <c r="M2308" s="93" t="s">
        <v>2311</v>
      </c>
      <c r="N2308" s="93" t="e">
        <f>VLOOKUP(B2308,'[16]01.수집 카테고리(List)'!$A$2:$H$64,8,FALSE)</f>
        <v>#N/A</v>
      </c>
      <c r="O2308" s="93"/>
    </row>
    <row r="2309" spans="1:15" hidden="1">
      <c r="A2309" s="75" t="str">
        <f t="shared" si="86"/>
        <v>PTRADIO POPULAROVENCooktopFogão</v>
      </c>
      <c r="B2309" s="94" t="str">
        <f t="shared" si="87"/>
        <v>PT_RADIO POPULAR</v>
      </c>
      <c r="C2309" s="93" t="s">
        <v>457</v>
      </c>
      <c r="D2309" s="93" t="s">
        <v>458</v>
      </c>
      <c r="E2309" s="93" t="s">
        <v>173</v>
      </c>
      <c r="F2309" s="93" t="s">
        <v>2541</v>
      </c>
      <c r="G2309" s="93" t="s">
        <v>3331</v>
      </c>
      <c r="H2309" s="93" t="e">
        <v>#N/A</v>
      </c>
      <c r="I2309" s="105" t="s">
        <v>2310</v>
      </c>
      <c r="J2309" s="93" t="s">
        <v>189</v>
      </c>
      <c r="K2309" s="93">
        <v>1379</v>
      </c>
      <c r="L2309" s="93" t="e">
        <v>#N/A</v>
      </c>
      <c r="M2309" s="93" t="s">
        <v>2311</v>
      </c>
      <c r="N2309" s="93" t="e">
        <f>VLOOKUP(B2309,'[16]01.수집 카테고리(List)'!$A$2:$H$64,8,FALSE)</f>
        <v>#N/A</v>
      </c>
      <c r="O2309" s="93"/>
    </row>
    <row r="2310" spans="1:15" hidden="1">
      <c r="A2310" s="75" t="str">
        <f t="shared" si="86"/>
        <v>PTRADIO POPULAROVENSlide-in RangeForno deslizante</v>
      </c>
      <c r="B2310" s="94" t="str">
        <f t="shared" si="87"/>
        <v>PT_RADIO POPULAR</v>
      </c>
      <c r="C2310" s="93" t="s">
        <v>457</v>
      </c>
      <c r="D2310" s="93" t="s">
        <v>458</v>
      </c>
      <c r="E2310" s="93" t="s">
        <v>173</v>
      </c>
      <c r="F2310" s="93" t="s">
        <v>2676</v>
      </c>
      <c r="G2310" s="93" t="s">
        <v>3332</v>
      </c>
      <c r="H2310" s="93" t="e">
        <v>#N/A</v>
      </c>
      <c r="I2310" s="105" t="s">
        <v>2310</v>
      </c>
      <c r="J2310" s="93" t="s">
        <v>189</v>
      </c>
      <c r="K2310" s="93">
        <v>77</v>
      </c>
      <c r="L2310" s="93" t="e">
        <v>#N/A</v>
      </c>
      <c r="M2310" s="93" t="s">
        <v>2311</v>
      </c>
      <c r="N2310" s="93" t="e">
        <f>VLOOKUP(B2310,'[16]01.수집 카테고리(List)'!$A$2:$H$64,8,FALSE)</f>
        <v>#N/A</v>
      </c>
      <c r="O2310" s="93"/>
    </row>
    <row r="2311" spans="1:15" hidden="1">
      <c r="A2311" s="75" t="str">
        <f t="shared" si="86"/>
        <v>PTRADIO POPULAROVENWall OvenForno embutir</v>
      </c>
      <c r="B2311" s="94" t="str">
        <f t="shared" si="87"/>
        <v>PT_RADIO POPULAR</v>
      </c>
      <c r="C2311" s="93" t="s">
        <v>457</v>
      </c>
      <c r="D2311" s="93" t="s">
        <v>458</v>
      </c>
      <c r="E2311" s="93" t="s">
        <v>173</v>
      </c>
      <c r="F2311" s="93" t="s">
        <v>2544</v>
      </c>
      <c r="G2311" s="93" t="s">
        <v>3333</v>
      </c>
      <c r="H2311" s="93" t="e">
        <v>#N/A</v>
      </c>
      <c r="I2311" s="105" t="s">
        <v>2310</v>
      </c>
      <c r="J2311" s="93" t="s">
        <v>189</v>
      </c>
      <c r="K2311" s="93">
        <v>2043</v>
      </c>
      <c r="L2311" s="93" t="e">
        <v>#N/A</v>
      </c>
      <c r="M2311" s="93" t="s">
        <v>2311</v>
      </c>
      <c r="N2311" s="93" t="e">
        <f>VLOOKUP(B2311,'[16]01.수집 카테고리(List)'!$A$2:$H$64,8,FALSE)</f>
        <v>#N/A</v>
      </c>
      <c r="O2311" s="93"/>
    </row>
    <row r="2312" spans="1:15" hidden="1">
      <c r="A2312" s="75" t="str">
        <f t="shared" si="86"/>
        <v>PTRADIO POPULAROVENFreestanding OvenForno independente</v>
      </c>
      <c r="B2312" s="94" t="str">
        <f t="shared" si="87"/>
        <v>PT_RADIO POPULAR</v>
      </c>
      <c r="C2312" s="93" t="s">
        <v>457</v>
      </c>
      <c r="D2312" s="93" t="s">
        <v>458</v>
      </c>
      <c r="E2312" s="93" t="s">
        <v>173</v>
      </c>
      <c r="F2312" s="93" t="s">
        <v>2678</v>
      </c>
      <c r="G2312" s="93" t="s">
        <v>3334</v>
      </c>
      <c r="H2312" s="93" t="e">
        <v>#N/A</v>
      </c>
      <c r="I2312" s="105" t="s">
        <v>2310</v>
      </c>
      <c r="J2312" s="93" t="s">
        <v>189</v>
      </c>
      <c r="K2312" s="93">
        <v>704</v>
      </c>
      <c r="L2312" s="93" t="e">
        <v>#N/A</v>
      </c>
      <c r="M2312" s="93" t="s">
        <v>2311</v>
      </c>
      <c r="N2312" s="93" t="e">
        <f>VLOOKUP(B2312,'[16]01.수집 카테고리(List)'!$A$2:$H$64,8,FALSE)</f>
        <v>#N/A</v>
      </c>
      <c r="O2312" s="93"/>
    </row>
    <row r="2313" spans="1:15" hidden="1">
      <c r="A2313" s="75" t="str">
        <f t="shared" si="86"/>
        <v>PTRADIO POPULARRefrigeratorrefrigeratorfrigorífico</v>
      </c>
      <c r="B2313" s="94" t="str">
        <f t="shared" si="87"/>
        <v>PT_RADIO POPULAR</v>
      </c>
      <c r="C2313" s="93" t="s">
        <v>457</v>
      </c>
      <c r="D2313" s="93" t="s">
        <v>458</v>
      </c>
      <c r="E2313" s="93" t="s">
        <v>2326</v>
      </c>
      <c r="F2313" s="93" t="s">
        <v>2329</v>
      </c>
      <c r="G2313" s="93" t="s">
        <v>2790</v>
      </c>
      <c r="H2313" s="93" t="e">
        <v>#N/A</v>
      </c>
      <c r="I2313" s="105" t="s">
        <v>2310</v>
      </c>
      <c r="J2313" s="93" t="s">
        <v>189</v>
      </c>
      <c r="K2313" s="93">
        <v>111498</v>
      </c>
      <c r="L2313" s="93" t="e">
        <v>#N/A</v>
      </c>
      <c r="M2313" s="93" t="s">
        <v>2311</v>
      </c>
      <c r="N2313" s="93" t="e">
        <f>VLOOKUP(B2313,'[16]01.수집 카테고리(List)'!$A$2:$H$64,8,FALSE)</f>
        <v>#N/A</v>
      </c>
      <c r="O2313" s="93"/>
    </row>
    <row r="2314" spans="1:15" hidden="1">
      <c r="A2314" s="75" t="str">
        <f t="shared" si="86"/>
        <v>PTRADIO POPULARRefrigeratoramerican refrigeratorfrigorifico americano</v>
      </c>
      <c r="B2314" s="94" t="str">
        <f t="shared" si="87"/>
        <v>PT_RADIO POPULAR</v>
      </c>
      <c r="C2314" s="93" t="s">
        <v>457</v>
      </c>
      <c r="D2314" s="93" t="s">
        <v>458</v>
      </c>
      <c r="E2314" s="93" t="s">
        <v>2326</v>
      </c>
      <c r="F2314" s="93" t="s">
        <v>2634</v>
      </c>
      <c r="G2314" s="93" t="s">
        <v>3335</v>
      </c>
      <c r="H2314" s="93" t="e">
        <v>#N/A</v>
      </c>
      <c r="I2314" s="105" t="s">
        <v>2310</v>
      </c>
      <c r="J2314" s="93" t="s">
        <v>189</v>
      </c>
      <c r="K2314" s="93">
        <v>9268</v>
      </c>
      <c r="L2314" s="93" t="e">
        <v>#N/A</v>
      </c>
      <c r="M2314" s="93" t="s">
        <v>2311</v>
      </c>
      <c r="N2314" s="93" t="e">
        <f>VLOOKUP(B2314,'[16]01.수집 카테고리(List)'!$A$2:$H$64,8,FALSE)</f>
        <v>#N/A</v>
      </c>
      <c r="O2314" s="93"/>
    </row>
    <row r="2315" spans="1:15" hidden="1">
      <c r="A2315" s="75" t="str">
        <f t="shared" si="86"/>
        <v>PTRADIO POPULARRefrigeratorbottom freezer refrigeratorfrigorifico com congelador inferior</v>
      </c>
      <c r="B2315" s="94" t="str">
        <f t="shared" si="87"/>
        <v>PT_RADIO POPULAR</v>
      </c>
      <c r="C2315" s="93" t="s">
        <v>457</v>
      </c>
      <c r="D2315" s="93" t="s">
        <v>458</v>
      </c>
      <c r="E2315" s="93" t="s">
        <v>2326</v>
      </c>
      <c r="F2315" s="93" t="s">
        <v>2327</v>
      </c>
      <c r="G2315" s="93" t="s">
        <v>3336</v>
      </c>
      <c r="H2315" s="93" t="e">
        <v>#N/A</v>
      </c>
      <c r="I2315" s="105" t="s">
        <v>2310</v>
      </c>
      <c r="J2315" s="93" t="s">
        <v>189</v>
      </c>
      <c r="K2315" s="93">
        <v>9812</v>
      </c>
      <c r="L2315" s="93" t="e">
        <v>#N/A</v>
      </c>
      <c r="M2315" s="93" t="s">
        <v>2311</v>
      </c>
      <c r="N2315" s="93" t="e">
        <f>VLOOKUP(B2315,'[16]01.수집 카테고리(List)'!$A$2:$H$64,8,FALSE)</f>
        <v>#N/A</v>
      </c>
      <c r="O2315" s="93"/>
    </row>
    <row r="2316" spans="1:15" hidden="1">
      <c r="A2316" s="75" t="str">
        <f t="shared" si="86"/>
        <v>PTRADIO POPULARRefrigeratortop freezer refrigeratorfrigorifico com congelador superior</v>
      </c>
      <c r="B2316" s="94" t="str">
        <f t="shared" si="87"/>
        <v>PT_RADIO POPULAR</v>
      </c>
      <c r="C2316" s="93" t="s">
        <v>457</v>
      </c>
      <c r="D2316" s="93" t="s">
        <v>458</v>
      </c>
      <c r="E2316" s="93" t="s">
        <v>2326</v>
      </c>
      <c r="F2316" s="93" t="s">
        <v>2332</v>
      </c>
      <c r="G2316" s="93" t="s">
        <v>3337</v>
      </c>
      <c r="H2316" s="93" t="e">
        <v>#N/A</v>
      </c>
      <c r="I2316" s="105" t="s">
        <v>2310</v>
      </c>
      <c r="J2316" s="93" t="s">
        <v>189</v>
      </c>
      <c r="K2316" s="93">
        <v>26775</v>
      </c>
      <c r="L2316" s="93" t="e">
        <v>#N/A</v>
      </c>
      <c r="M2316" s="93" t="s">
        <v>2311</v>
      </c>
      <c r="N2316" s="93" t="e">
        <f>VLOOKUP(B2316,'[16]01.수집 카테고리(List)'!$A$2:$H$64,8,FALSE)</f>
        <v>#N/A</v>
      </c>
      <c r="O2316" s="93"/>
    </row>
    <row r="2317" spans="1:15" hidden="1">
      <c r="A2317" s="75" t="str">
        <f t="shared" si="86"/>
        <v>PTRADIO POPULARRefrigeratormulti door refrigeratorfrigorifico multidoor</v>
      </c>
      <c r="B2317" s="94" t="str">
        <f t="shared" si="87"/>
        <v>PT_RADIO POPULAR</v>
      </c>
      <c r="C2317" s="93" t="s">
        <v>457</v>
      </c>
      <c r="D2317" s="93" t="s">
        <v>458</v>
      </c>
      <c r="E2317" s="93" t="s">
        <v>2326</v>
      </c>
      <c r="F2317" s="93" t="s">
        <v>2740</v>
      </c>
      <c r="G2317" s="93" t="s">
        <v>3338</v>
      </c>
      <c r="H2317" s="93" t="e">
        <v>#N/A</v>
      </c>
      <c r="I2317" s="105" t="s">
        <v>2310</v>
      </c>
      <c r="J2317" s="93" t="s">
        <v>189</v>
      </c>
      <c r="K2317" s="93">
        <v>322</v>
      </c>
      <c r="L2317" s="93" t="e">
        <v>#N/A</v>
      </c>
      <c r="M2317" s="93" t="s">
        <v>2311</v>
      </c>
      <c r="N2317" s="93" t="e">
        <f>VLOOKUP(B2317,'[16]01.수집 카테고리(List)'!$A$2:$H$64,8,FALSE)</f>
        <v>#N/A</v>
      </c>
      <c r="O2317" s="93"/>
    </row>
    <row r="2318" spans="1:15" hidden="1">
      <c r="A2318" s="75" t="str">
        <f t="shared" si="86"/>
        <v>PTRADIO POPULARRefrigeratorside by side refrigeratorfrigorifico side by side</v>
      </c>
      <c r="B2318" s="94" t="str">
        <f t="shared" si="87"/>
        <v>PT_RADIO POPULAR</v>
      </c>
      <c r="C2318" s="93" t="s">
        <v>457</v>
      </c>
      <c r="D2318" s="93" t="s">
        <v>458</v>
      </c>
      <c r="E2318" s="93" t="s">
        <v>2326</v>
      </c>
      <c r="F2318" s="93" t="s">
        <v>2744</v>
      </c>
      <c r="G2318" s="93" t="s">
        <v>3339</v>
      </c>
      <c r="H2318" s="93" t="e">
        <v>#N/A</v>
      </c>
      <c r="I2318" s="105" t="s">
        <v>2310</v>
      </c>
      <c r="J2318" s="93" t="s">
        <v>189</v>
      </c>
      <c r="K2318" s="93">
        <v>123</v>
      </c>
      <c r="L2318" s="93" t="e">
        <v>#N/A</v>
      </c>
      <c r="M2318" s="93" t="s">
        <v>2311</v>
      </c>
      <c r="N2318" s="93" t="e">
        <f>VLOOKUP(B2318,'[16]01.수집 카테고리(List)'!$A$2:$H$64,8,FALSE)</f>
        <v>#N/A</v>
      </c>
      <c r="O2318" s="93"/>
    </row>
    <row r="2319" spans="1:15" hidden="1">
      <c r="A2319" s="75" t="str">
        <f t="shared" si="86"/>
        <v>PTRADIO POPULARSOUNDBARtv soundbarbarra de som da tv</v>
      </c>
      <c r="B2319" s="94" t="str">
        <f t="shared" si="87"/>
        <v>PT_RADIO POPULAR</v>
      </c>
      <c r="C2319" s="93" t="s">
        <v>457</v>
      </c>
      <c r="D2319" s="93" t="s">
        <v>458</v>
      </c>
      <c r="E2319" s="93" t="s">
        <v>165</v>
      </c>
      <c r="F2319" s="93" t="s">
        <v>2686</v>
      </c>
      <c r="G2319" s="93" t="s">
        <v>3340</v>
      </c>
      <c r="H2319" s="93" t="e">
        <v>#N/A</v>
      </c>
      <c r="I2319" s="105" t="s">
        <v>2310</v>
      </c>
      <c r="J2319" s="93" t="s">
        <v>189</v>
      </c>
      <c r="K2319" s="93">
        <v>526</v>
      </c>
      <c r="L2319" s="93" t="e">
        <v>#N/A</v>
      </c>
      <c r="M2319" s="93" t="s">
        <v>2311</v>
      </c>
      <c r="N2319" s="93" t="e">
        <f>VLOOKUP(B2319,'[16]01.수집 카테고리(List)'!$A$2:$H$64,8,FALSE)</f>
        <v>#N/A</v>
      </c>
      <c r="O2319" s="93"/>
    </row>
    <row r="2320" spans="1:15" hidden="1">
      <c r="A2320" s="75" t="str">
        <f t="shared" si="86"/>
        <v>PTRADIO POPULARSOUNDBARsoundbar for tvbarra de som para tv</v>
      </c>
      <c r="B2320" s="94" t="str">
        <f t="shared" si="87"/>
        <v>PT_RADIO POPULAR</v>
      </c>
      <c r="C2320" s="93" t="s">
        <v>457</v>
      </c>
      <c r="D2320" s="93" t="s">
        <v>458</v>
      </c>
      <c r="E2320" s="93" t="s">
        <v>165</v>
      </c>
      <c r="F2320" s="93" t="s">
        <v>2573</v>
      </c>
      <c r="G2320" s="93" t="s">
        <v>3341</v>
      </c>
      <c r="H2320" s="93" t="e">
        <v>#N/A</v>
      </c>
      <c r="I2320" s="105" t="s">
        <v>2310</v>
      </c>
      <c r="J2320" s="93" t="s">
        <v>189</v>
      </c>
      <c r="K2320" s="93">
        <v>549</v>
      </c>
      <c r="L2320" s="93" t="e">
        <v>#N/A</v>
      </c>
      <c r="M2320" s="93" t="s">
        <v>2311</v>
      </c>
      <c r="N2320" s="93" t="e">
        <f>VLOOKUP(B2320,'[16]01.수집 카테고리(List)'!$A$2:$H$64,8,FALSE)</f>
        <v>#N/A</v>
      </c>
      <c r="O2320" s="93"/>
    </row>
    <row r="2321" spans="1:15" hidden="1">
      <c r="A2321" s="75" t="str">
        <f t="shared" si="86"/>
        <v>PTRADIO POPULARSOUNDBARSurround sound systemSistema de som surround</v>
      </c>
      <c r="B2321" s="94" t="str">
        <f t="shared" si="87"/>
        <v>PT_RADIO POPULAR</v>
      </c>
      <c r="C2321" s="93" t="s">
        <v>457</v>
      </c>
      <c r="D2321" s="93" t="s">
        <v>458</v>
      </c>
      <c r="E2321" s="93" t="s">
        <v>165</v>
      </c>
      <c r="F2321" s="93" t="s">
        <v>2772</v>
      </c>
      <c r="G2321" s="93" t="s">
        <v>3342</v>
      </c>
      <c r="H2321" s="93" t="e">
        <v>#N/A</v>
      </c>
      <c r="I2321" s="105" t="s">
        <v>2310</v>
      </c>
      <c r="J2321" s="93" t="s">
        <v>189</v>
      </c>
      <c r="K2321" s="93">
        <v>4971</v>
      </c>
      <c r="L2321" s="93" t="e">
        <v>#N/A</v>
      </c>
      <c r="M2321" s="93" t="s">
        <v>2311</v>
      </c>
      <c r="N2321" s="93" t="e">
        <f>VLOOKUP(B2321,'[16]01.수집 카테고리(List)'!$A$2:$H$64,8,FALSE)</f>
        <v>#N/A</v>
      </c>
      <c r="O2321" s="93"/>
    </row>
    <row r="2322" spans="1:15" hidden="1">
      <c r="A2322" s="75" t="str">
        <f t="shared" si="86"/>
        <v>PTRADIO POPULARSOUNDBARtv soundsom da tv</v>
      </c>
      <c r="B2322" s="94" t="str">
        <f t="shared" si="87"/>
        <v>PT_RADIO POPULAR</v>
      </c>
      <c r="C2322" s="93" t="s">
        <v>457</v>
      </c>
      <c r="D2322" s="93" t="s">
        <v>458</v>
      </c>
      <c r="E2322" s="93" t="s">
        <v>165</v>
      </c>
      <c r="F2322" s="93" t="s">
        <v>2774</v>
      </c>
      <c r="G2322" s="93" t="s">
        <v>3343</v>
      </c>
      <c r="H2322" s="93" t="e">
        <v>#N/A</v>
      </c>
      <c r="I2322" s="105" t="s">
        <v>2310</v>
      </c>
      <c r="J2322" s="93" t="s">
        <v>189</v>
      </c>
      <c r="K2322" s="93">
        <v>148626</v>
      </c>
      <c r="L2322" s="93" t="e">
        <v>#N/A</v>
      </c>
      <c r="M2322" s="93" t="s">
        <v>2311</v>
      </c>
      <c r="N2322" s="93" t="e">
        <f>VLOOKUP(B2322,'[16]01.수집 카테고리(List)'!$A$2:$H$64,8,FALSE)</f>
        <v>#N/A</v>
      </c>
      <c r="O2322" s="93"/>
    </row>
    <row r="2323" spans="1:15" hidden="1">
      <c r="A2323" s="75" t="str">
        <f t="shared" si="86"/>
        <v>PTRADIO POPULARSOUNDBARSoundbarSoundbar</v>
      </c>
      <c r="B2323" s="94" t="str">
        <f t="shared" si="87"/>
        <v>PT_RADIO POPULAR</v>
      </c>
      <c r="C2323" s="93" t="s">
        <v>457</v>
      </c>
      <c r="D2323" s="93" t="s">
        <v>458</v>
      </c>
      <c r="E2323" s="93" t="s">
        <v>165</v>
      </c>
      <c r="F2323" s="93" t="s">
        <v>2363</v>
      </c>
      <c r="G2323" s="93" t="s">
        <v>2363</v>
      </c>
      <c r="H2323" s="93" t="e">
        <v>#N/A</v>
      </c>
      <c r="I2323" s="105" t="s">
        <v>2310</v>
      </c>
      <c r="J2323" s="93" t="s">
        <v>189</v>
      </c>
      <c r="K2323" s="93">
        <v>10917</v>
      </c>
      <c r="L2323" s="93">
        <v>10917</v>
      </c>
      <c r="M2323" s="93" t="s">
        <v>2311</v>
      </c>
      <c r="N2323" s="93" t="e">
        <f>VLOOKUP(B2323,'[16]01.수집 카테고리(List)'!$A$2:$H$64,8,FALSE)</f>
        <v>#N/A</v>
      </c>
      <c r="O2323" s="93"/>
    </row>
    <row r="2324" spans="1:15" hidden="1">
      <c r="A2324" s="75" t="str">
        <f t="shared" si="86"/>
        <v>PTRADIO POPULARTVTVTV</v>
      </c>
      <c r="B2324" s="94" t="str">
        <f t="shared" si="87"/>
        <v>PT_RADIO POPULAR</v>
      </c>
      <c r="C2324" s="93" t="s">
        <v>457</v>
      </c>
      <c r="D2324" s="93" t="s">
        <v>458</v>
      </c>
      <c r="E2324" s="93" t="s">
        <v>161</v>
      </c>
      <c r="F2324" s="93" t="s">
        <v>161</v>
      </c>
      <c r="G2324" s="93" t="s">
        <v>161</v>
      </c>
      <c r="H2324" s="93" t="e">
        <v>#N/A</v>
      </c>
      <c r="I2324" s="105" t="s">
        <v>2310</v>
      </c>
      <c r="J2324" s="93" t="s">
        <v>189</v>
      </c>
      <c r="K2324" s="93">
        <v>151969</v>
      </c>
      <c r="L2324" s="93">
        <v>151969</v>
      </c>
      <c r="M2324" s="93" t="s">
        <v>2311</v>
      </c>
      <c r="N2324" s="93" t="e">
        <f>VLOOKUP(B2324,'[16]01.수집 카테고리(List)'!$A$2:$H$64,8,FALSE)</f>
        <v>#N/A</v>
      </c>
      <c r="O2324" s="93"/>
    </row>
    <row r="2325" spans="1:15" hidden="1">
      <c r="A2325" s="75" t="str">
        <f t="shared" si="86"/>
        <v>PTRADIO POPULARTVoled TVTV OLED</v>
      </c>
      <c r="B2325" s="94" t="str">
        <f t="shared" si="87"/>
        <v>PT_RADIO POPULAR</v>
      </c>
      <c r="C2325" s="93" t="s">
        <v>457</v>
      </c>
      <c r="D2325" s="93" t="s">
        <v>458</v>
      </c>
      <c r="E2325" s="93" t="s">
        <v>161</v>
      </c>
      <c r="F2325" s="93" t="s">
        <v>2369</v>
      </c>
      <c r="G2325" s="93" t="s">
        <v>2840</v>
      </c>
      <c r="H2325" s="93" t="e">
        <v>#N/A</v>
      </c>
      <c r="I2325" s="105" t="s">
        <v>2310</v>
      </c>
      <c r="J2325" s="93" t="s">
        <v>189</v>
      </c>
      <c r="K2325" s="93">
        <v>46101</v>
      </c>
      <c r="L2325" s="93">
        <v>8442</v>
      </c>
      <c r="M2325" s="93" t="s">
        <v>2311</v>
      </c>
      <c r="N2325" s="93" t="e">
        <f>VLOOKUP(B2325,'[16]01.수집 카테고리(List)'!$A$2:$H$64,8,FALSE)</f>
        <v>#N/A</v>
      </c>
      <c r="O2325" s="93"/>
    </row>
    <row r="2326" spans="1:15" hidden="1">
      <c r="A2326" s="75" t="str">
        <f t="shared" si="86"/>
        <v>PTRADIO POPULARTVuhd TVTV UHD</v>
      </c>
      <c r="B2326" s="94" t="str">
        <f t="shared" si="87"/>
        <v>PT_RADIO POPULAR</v>
      </c>
      <c r="C2326" s="93" t="s">
        <v>457</v>
      </c>
      <c r="D2326" s="93" t="s">
        <v>458</v>
      </c>
      <c r="E2326" s="93" t="s">
        <v>161</v>
      </c>
      <c r="F2326" s="93" t="s">
        <v>2399</v>
      </c>
      <c r="G2326" s="93" t="s">
        <v>2841</v>
      </c>
      <c r="H2326" s="93" t="e">
        <v>#N/A</v>
      </c>
      <c r="I2326" s="105" t="s">
        <v>2310</v>
      </c>
      <c r="J2326" s="93" t="s">
        <v>189</v>
      </c>
      <c r="K2326" s="93">
        <v>19084</v>
      </c>
      <c r="L2326" s="93" t="e">
        <v>#N/A</v>
      </c>
      <c r="M2326" s="93" t="s">
        <v>2311</v>
      </c>
      <c r="N2326" s="93" t="e">
        <f>VLOOKUP(B2326,'[16]01.수집 카테고리(List)'!$A$2:$H$64,8,FALSE)</f>
        <v>#N/A</v>
      </c>
      <c r="O2326" s="93"/>
    </row>
    <row r="2327" spans="1:15" hidden="1">
      <c r="A2327" s="75" t="str">
        <f t="shared" si="86"/>
        <v>PTRADIO POPULARWashing Machinefront loadercarga frontal</v>
      </c>
      <c r="B2327" s="94" t="str">
        <f t="shared" si="87"/>
        <v>PT_RADIO POPULAR</v>
      </c>
      <c r="C2327" s="93" t="s">
        <v>457</v>
      </c>
      <c r="D2327" s="93" t="s">
        <v>458</v>
      </c>
      <c r="E2327" s="93" t="s">
        <v>2333</v>
      </c>
      <c r="F2327" s="93" t="s">
        <v>2334</v>
      </c>
      <c r="G2327" s="93" t="s">
        <v>3344</v>
      </c>
      <c r="H2327" s="93" t="e">
        <v>#N/A</v>
      </c>
      <c r="I2327" s="105" t="s">
        <v>2310</v>
      </c>
      <c r="J2327" s="93" t="s">
        <v>189</v>
      </c>
      <c r="K2327" s="93">
        <v>44020</v>
      </c>
      <c r="L2327" s="93" t="e">
        <v>#N/A</v>
      </c>
      <c r="M2327" s="93" t="s">
        <v>2311</v>
      </c>
      <c r="N2327" s="93" t="e">
        <f>VLOOKUP(B2327,'[16]01.수집 카테고리(List)'!$A$2:$H$64,8,FALSE)</f>
        <v>#N/A</v>
      </c>
      <c r="O2327" s="93"/>
    </row>
    <row r="2328" spans="1:15" hidden="1">
      <c r="A2328" s="75" t="str">
        <f t="shared" si="86"/>
        <v>PTRADIO POPULARWashing Machinewashing machinemáquina de lavar</v>
      </c>
      <c r="B2328" s="94" t="str">
        <f t="shared" si="87"/>
        <v>PT_RADIO POPULAR</v>
      </c>
      <c r="C2328" s="93" t="s">
        <v>457</v>
      </c>
      <c r="D2328" s="93" t="s">
        <v>458</v>
      </c>
      <c r="E2328" s="93" t="s">
        <v>2333</v>
      </c>
      <c r="F2328" s="93" t="s">
        <v>2340</v>
      </c>
      <c r="G2328" s="93" t="s">
        <v>2469</v>
      </c>
      <c r="H2328" s="93" t="e">
        <v>#N/A</v>
      </c>
      <c r="I2328" s="105" t="s">
        <v>2310</v>
      </c>
      <c r="J2328" s="93" t="s">
        <v>189</v>
      </c>
      <c r="K2328" s="93">
        <v>125797</v>
      </c>
      <c r="L2328" s="93" t="e">
        <v>#N/A</v>
      </c>
      <c r="M2328" s="93" t="s">
        <v>2311</v>
      </c>
      <c r="N2328" s="93" t="e">
        <f>VLOOKUP(B2328,'[16]01.수집 카테고리(List)'!$A$2:$H$64,8,FALSE)</f>
        <v>#N/A</v>
      </c>
      <c r="O2328" s="93"/>
    </row>
    <row r="2329" spans="1:15" hidden="1">
      <c r="A2329" s="75" t="str">
        <f t="shared" si="86"/>
        <v>PTRADIO POPULARWashing Machinewasher dryer combomáquina de lavar e secar</v>
      </c>
      <c r="B2329" s="94" t="str">
        <f t="shared" si="87"/>
        <v>PT_RADIO POPULAR</v>
      </c>
      <c r="C2329" s="93" t="s">
        <v>457</v>
      </c>
      <c r="D2329" s="93" t="s">
        <v>458</v>
      </c>
      <c r="E2329" s="93" t="s">
        <v>2333</v>
      </c>
      <c r="F2329" s="93" t="s">
        <v>2338</v>
      </c>
      <c r="G2329" s="93" t="s">
        <v>3345</v>
      </c>
      <c r="H2329" s="93" t="e">
        <v>#N/A</v>
      </c>
      <c r="I2329" s="105" t="s">
        <v>2310</v>
      </c>
      <c r="J2329" s="93" t="s">
        <v>189</v>
      </c>
      <c r="K2329" s="93">
        <v>14170</v>
      </c>
      <c r="L2329" s="93" t="e">
        <v>#N/A</v>
      </c>
      <c r="M2329" s="93" t="s">
        <v>2311</v>
      </c>
      <c r="N2329" s="93" t="e">
        <f>VLOOKUP(B2329,'[16]01.수집 카테고리(List)'!$A$2:$H$64,8,FALSE)</f>
        <v>#N/A</v>
      </c>
      <c r="O2329" s="93"/>
    </row>
    <row r="2330" spans="1:15" hidden="1">
      <c r="A2330" s="75" t="str">
        <f t="shared" si="86"/>
        <v>PTRADIO POPULARWIRELESS HEADSETEarbudsFones de ouvido</v>
      </c>
      <c r="B2330" s="94" t="str">
        <f t="shared" si="87"/>
        <v>PT_RADIO POPULAR</v>
      </c>
      <c r="C2330" s="93" t="s">
        <v>457</v>
      </c>
      <c r="D2330" s="93" t="s">
        <v>458</v>
      </c>
      <c r="E2330" s="93" t="s">
        <v>2201</v>
      </c>
      <c r="F2330" s="93" t="s">
        <v>2534</v>
      </c>
      <c r="G2330" s="93" t="s">
        <v>3346</v>
      </c>
      <c r="H2330" s="93" t="e">
        <v>#N/A</v>
      </c>
      <c r="I2330" s="105" t="s">
        <v>2310</v>
      </c>
      <c r="J2330" s="93" t="s">
        <v>189</v>
      </c>
      <c r="K2330" s="93">
        <v>4427</v>
      </c>
      <c r="L2330" s="93" t="e">
        <v>#N/A</v>
      </c>
      <c r="M2330" s="93" t="s">
        <v>2311</v>
      </c>
      <c r="N2330" s="93" t="e">
        <f>VLOOKUP(B2330,'[16]01.수집 카테고리(List)'!$A$2:$H$64,8,FALSE)</f>
        <v>#N/A</v>
      </c>
      <c r="O2330" s="93"/>
    </row>
    <row r="2331" spans="1:15" hidden="1">
      <c r="A2331" s="75" t="str">
        <f t="shared" si="86"/>
        <v>PTRADIO POPULARWIRELESS HEADSETEar budsFones de ouvido</v>
      </c>
      <c r="B2331" s="94" t="str">
        <f t="shared" si="87"/>
        <v>PT_RADIO POPULAR</v>
      </c>
      <c r="C2331" s="93" t="s">
        <v>457</v>
      </c>
      <c r="D2331" s="93" t="s">
        <v>458</v>
      </c>
      <c r="E2331" s="93" t="s">
        <v>2201</v>
      </c>
      <c r="F2331" s="93" t="s">
        <v>2380</v>
      </c>
      <c r="G2331" s="93" t="s">
        <v>3346</v>
      </c>
      <c r="H2331" s="93" t="e">
        <v>#N/A</v>
      </c>
      <c r="I2331" s="105" t="s">
        <v>2310</v>
      </c>
      <c r="J2331" s="93" t="s">
        <v>189</v>
      </c>
      <c r="K2331" s="93">
        <v>4427</v>
      </c>
      <c r="L2331" s="93" t="e">
        <v>#N/A</v>
      </c>
      <c r="M2331" s="93" t="s">
        <v>2311</v>
      </c>
      <c r="N2331" s="93" t="e">
        <f>VLOOKUP(B2331,'[16]01.수집 카테고리(List)'!$A$2:$H$64,8,FALSE)</f>
        <v>#N/A</v>
      </c>
      <c r="O2331" s="93"/>
    </row>
    <row r="2332" spans="1:15" hidden="1">
      <c r="A2332" s="75" t="str">
        <f t="shared" si="86"/>
        <v>PTRADIO POPULARWIRELESS HEADSETBluetooth HeadphonesFones de ouvido bluetooth</v>
      </c>
      <c r="B2332" s="94" t="str">
        <f t="shared" si="87"/>
        <v>PT_RADIO POPULAR</v>
      </c>
      <c r="C2332" s="93" t="s">
        <v>457</v>
      </c>
      <c r="D2332" s="93" t="s">
        <v>458</v>
      </c>
      <c r="E2332" s="93" t="s">
        <v>2201</v>
      </c>
      <c r="F2332" s="93" t="s">
        <v>2533</v>
      </c>
      <c r="G2332" s="93" t="s">
        <v>3347</v>
      </c>
      <c r="H2332" s="93" t="e">
        <v>#N/A</v>
      </c>
      <c r="I2332" s="105" t="s">
        <v>2310</v>
      </c>
      <c r="J2332" s="93" t="s">
        <v>189</v>
      </c>
      <c r="K2332" s="93">
        <v>1494</v>
      </c>
      <c r="L2332" s="93" t="e">
        <v>#N/A</v>
      </c>
      <c r="M2332" s="93" t="s">
        <v>2311</v>
      </c>
      <c r="N2332" s="93" t="e">
        <f>VLOOKUP(B2332,'[16]01.수집 카테고리(List)'!$A$2:$H$64,8,FALSE)</f>
        <v>#N/A</v>
      </c>
      <c r="O2332" s="93"/>
    </row>
    <row r="2333" spans="1:15" hidden="1">
      <c r="A2333" s="75" t="str">
        <f t="shared" si="86"/>
        <v>PTRADIO POPULARWIRELESS HEADSETBluetooth earbudsFones de ouvido bluetooth</v>
      </c>
      <c r="B2333" s="94" t="str">
        <f t="shared" si="87"/>
        <v>PT_RADIO POPULAR</v>
      </c>
      <c r="C2333" s="93" t="s">
        <v>457</v>
      </c>
      <c r="D2333" s="93" t="s">
        <v>458</v>
      </c>
      <c r="E2333" s="93" t="s">
        <v>2201</v>
      </c>
      <c r="F2333" s="93" t="s">
        <v>2382</v>
      </c>
      <c r="G2333" s="93" t="s">
        <v>3347</v>
      </c>
      <c r="H2333" s="93" t="e">
        <v>#N/A</v>
      </c>
      <c r="I2333" s="105" t="s">
        <v>2310</v>
      </c>
      <c r="J2333" s="93" t="s">
        <v>189</v>
      </c>
      <c r="K2333" s="93">
        <v>1494</v>
      </c>
      <c r="L2333" s="93" t="e">
        <v>#N/A</v>
      </c>
      <c r="M2333" s="93" t="s">
        <v>2311</v>
      </c>
      <c r="N2333" s="93" t="e">
        <f>VLOOKUP(B2333,'[16]01.수집 카테고리(List)'!$A$2:$H$64,8,FALSE)</f>
        <v>#N/A</v>
      </c>
      <c r="O2333" s="93"/>
    </row>
    <row r="2334" spans="1:15" hidden="1">
      <c r="A2334" s="75" t="str">
        <f t="shared" si="86"/>
        <v>PTRADIO POPULARWIRELESS HEADSETWireless earbudsFones de ouvido sem fio</v>
      </c>
      <c r="B2334" s="94" t="str">
        <f t="shared" si="87"/>
        <v>PT_RADIO POPULAR</v>
      </c>
      <c r="C2334" s="93" t="s">
        <v>457</v>
      </c>
      <c r="D2334" s="93" t="s">
        <v>458</v>
      </c>
      <c r="E2334" s="93" t="s">
        <v>2201</v>
      </c>
      <c r="F2334" s="93" t="s">
        <v>2376</v>
      </c>
      <c r="G2334" s="93" t="s">
        <v>3348</v>
      </c>
      <c r="H2334" s="93" t="e">
        <v>#N/A</v>
      </c>
      <c r="I2334" s="105" t="s">
        <v>2310</v>
      </c>
      <c r="J2334" s="93" t="s">
        <v>189</v>
      </c>
      <c r="K2334" s="93">
        <v>2868</v>
      </c>
      <c r="L2334" s="93" t="e">
        <v>#N/A</v>
      </c>
      <c r="M2334" s="93" t="s">
        <v>2311</v>
      </c>
      <c r="N2334" s="93" t="e">
        <f>VLOOKUP(B2334,'[16]01.수집 카테고리(List)'!$A$2:$H$64,8,FALSE)</f>
        <v>#N/A</v>
      </c>
      <c r="O2334" s="93"/>
    </row>
    <row r="2335" spans="1:15" hidden="1">
      <c r="A2335" s="75" t="str">
        <f t="shared" si="86"/>
        <v>PTWORTENBluetooth Speakerbluetooth speakercoluna bluetooth</v>
      </c>
      <c r="B2335" s="94" t="str">
        <f t="shared" si="87"/>
        <v>PT_WORTEN</v>
      </c>
      <c r="C2335" s="93" t="s">
        <v>457</v>
      </c>
      <c r="D2335" s="93" t="s">
        <v>460</v>
      </c>
      <c r="E2335" s="93" t="s">
        <v>2307</v>
      </c>
      <c r="F2335" s="93" t="s">
        <v>2657</v>
      </c>
      <c r="G2335" s="93" t="s">
        <v>3323</v>
      </c>
      <c r="H2335" s="93" t="e">
        <v>#N/A</v>
      </c>
      <c r="I2335" s="105" t="s">
        <v>2310</v>
      </c>
      <c r="J2335" s="93" t="s">
        <v>189</v>
      </c>
      <c r="K2335" s="93">
        <v>3955</v>
      </c>
      <c r="L2335" s="93" t="e">
        <v>#N/A</v>
      </c>
      <c r="M2335" s="93" t="s">
        <v>2311</v>
      </c>
      <c r="N2335" s="93" t="e">
        <f>VLOOKUP(B2335,'[16]01.수집 카테고리(List)'!$A$2:$H$64,8,FALSE)</f>
        <v>#N/A</v>
      </c>
      <c r="O2335" s="93"/>
    </row>
    <row r="2336" spans="1:15" hidden="1">
      <c r="A2336" s="75" t="str">
        <f t="shared" si="86"/>
        <v>PTWORTENBluetooth Speakerbluetooth speaker portablecoluna bluetooth portatil</v>
      </c>
      <c r="B2336" s="94" t="str">
        <f t="shared" si="87"/>
        <v>PT_WORTEN</v>
      </c>
      <c r="C2336" s="93" t="s">
        <v>457</v>
      </c>
      <c r="D2336" s="93" t="s">
        <v>460</v>
      </c>
      <c r="E2336" s="93" t="s">
        <v>2307</v>
      </c>
      <c r="F2336" s="93" t="s">
        <v>2479</v>
      </c>
      <c r="G2336" s="93" t="s">
        <v>3324</v>
      </c>
      <c r="H2336" s="93" t="e">
        <v>#N/A</v>
      </c>
      <c r="I2336" s="105" t="s">
        <v>2310</v>
      </c>
      <c r="J2336" s="93" t="s">
        <v>189</v>
      </c>
      <c r="K2336" s="93">
        <v>3243</v>
      </c>
      <c r="L2336" s="93" t="e">
        <v>#N/A</v>
      </c>
      <c r="M2336" s="93" t="s">
        <v>2311</v>
      </c>
      <c r="N2336" s="93" t="e">
        <f>VLOOKUP(B2336,'[16]01.수집 카테고리(List)'!$A$2:$H$64,8,FALSE)</f>
        <v>#N/A</v>
      </c>
      <c r="O2336" s="93"/>
    </row>
    <row r="2337" spans="1:15" hidden="1">
      <c r="A2337" s="75" t="str">
        <f t="shared" si="86"/>
        <v>PTWORTENBluetooth Speakerspeakerscolunas</v>
      </c>
      <c r="B2337" s="94" t="str">
        <f t="shared" si="87"/>
        <v>PT_WORTEN</v>
      </c>
      <c r="C2337" s="93" t="s">
        <v>457</v>
      </c>
      <c r="D2337" s="93" t="s">
        <v>460</v>
      </c>
      <c r="E2337" s="93" t="s">
        <v>2307</v>
      </c>
      <c r="F2337" s="93" t="s">
        <v>2471</v>
      </c>
      <c r="G2337" s="93" t="s">
        <v>3325</v>
      </c>
      <c r="H2337" s="93" t="e">
        <v>#N/A</v>
      </c>
      <c r="I2337" s="105" t="s">
        <v>2310</v>
      </c>
      <c r="J2337" s="93" t="s">
        <v>189</v>
      </c>
      <c r="K2337" s="93">
        <v>4174</v>
      </c>
      <c r="L2337" s="93" t="e">
        <v>#N/A</v>
      </c>
      <c r="M2337" s="93" t="s">
        <v>2311</v>
      </c>
      <c r="N2337" s="93" t="e">
        <f>VLOOKUP(B2337,'[16]01.수집 카테고리(List)'!$A$2:$H$64,8,FALSE)</f>
        <v>#N/A</v>
      </c>
      <c r="O2337" s="93"/>
    </row>
    <row r="2338" spans="1:15" hidden="1">
      <c r="A2338" s="75" t="str">
        <f t="shared" si="86"/>
        <v>PTWORTENBluetooth Speakerportable speakerscolunas portáteis</v>
      </c>
      <c r="B2338" s="94" t="str">
        <f t="shared" si="87"/>
        <v>PT_WORTEN</v>
      </c>
      <c r="C2338" s="93" t="s">
        <v>457</v>
      </c>
      <c r="D2338" s="93" t="s">
        <v>460</v>
      </c>
      <c r="E2338" s="93" t="s">
        <v>2307</v>
      </c>
      <c r="F2338" s="93" t="s">
        <v>2473</v>
      </c>
      <c r="G2338" s="93" t="s">
        <v>3326</v>
      </c>
      <c r="H2338" s="93" t="e">
        <v>#N/A</v>
      </c>
      <c r="I2338" s="105" t="s">
        <v>2310</v>
      </c>
      <c r="J2338" s="93" t="s">
        <v>189</v>
      </c>
      <c r="K2338" s="93">
        <v>2589</v>
      </c>
      <c r="L2338" s="93" t="e">
        <v>#N/A</v>
      </c>
      <c r="M2338" s="93" t="s">
        <v>2311</v>
      </c>
      <c r="N2338" s="93" t="e">
        <f>VLOOKUP(B2338,'[16]01.수집 카테고리(List)'!$A$2:$H$64,8,FALSE)</f>
        <v>#N/A</v>
      </c>
      <c r="O2338" s="93"/>
    </row>
    <row r="2339" spans="1:15" hidden="1">
      <c r="A2339" s="75" t="str">
        <f t="shared" si="86"/>
        <v>PTWORTENBluetooth Speakerwireless portable speakerscolunas sem fios</v>
      </c>
      <c r="B2339" s="94" t="str">
        <f t="shared" si="87"/>
        <v>PT_WORTEN</v>
      </c>
      <c r="C2339" s="93" t="s">
        <v>457</v>
      </c>
      <c r="D2339" s="93" t="s">
        <v>460</v>
      </c>
      <c r="E2339" s="93" t="s">
        <v>2307</v>
      </c>
      <c r="F2339" s="93" t="s">
        <v>2475</v>
      </c>
      <c r="G2339" s="93" t="s">
        <v>3327</v>
      </c>
      <c r="H2339" s="93" t="e">
        <v>#N/A</v>
      </c>
      <c r="I2339" s="105" t="s">
        <v>2310</v>
      </c>
      <c r="J2339" s="93" t="s">
        <v>189</v>
      </c>
      <c r="K2339" s="93">
        <v>3526</v>
      </c>
      <c r="L2339" s="93" t="e">
        <v>#N/A</v>
      </c>
      <c r="M2339" s="93" t="s">
        <v>2311</v>
      </c>
      <c r="N2339" s="93" t="e">
        <f>VLOOKUP(B2339,'[16]01.수집 카테고리(List)'!$A$2:$H$64,8,FALSE)</f>
        <v>#N/A</v>
      </c>
      <c r="O2339" s="93"/>
    </row>
    <row r="2340" spans="1:15" hidden="1">
      <c r="A2340" s="75" t="str">
        <f t="shared" si="86"/>
        <v>PTWORTENDISHWASHERdishwasherMáquina de lavar louça</v>
      </c>
      <c r="B2340" s="94" t="str">
        <f t="shared" si="87"/>
        <v>PT_WORTEN</v>
      </c>
      <c r="C2340" s="93" t="s">
        <v>457</v>
      </c>
      <c r="D2340" s="93" t="s">
        <v>460</v>
      </c>
      <c r="E2340" s="93" t="s">
        <v>169</v>
      </c>
      <c r="F2340" s="93" t="s">
        <v>2354</v>
      </c>
      <c r="G2340" s="93" t="s">
        <v>3328</v>
      </c>
      <c r="H2340" s="93" t="e">
        <v>#N/A</v>
      </c>
      <c r="I2340" s="105" t="s">
        <v>2310</v>
      </c>
      <c r="J2340" s="93" t="s">
        <v>189</v>
      </c>
      <c r="K2340" s="93">
        <v>522</v>
      </c>
      <c r="L2340" s="93" t="e">
        <v>#N/A</v>
      </c>
      <c r="M2340" s="93" t="s">
        <v>2311</v>
      </c>
      <c r="N2340" s="93" t="e">
        <f>VLOOKUP(B2340,'[16]01.수집 카테고리(List)'!$A$2:$H$64,8,FALSE)</f>
        <v>#N/A</v>
      </c>
      <c r="O2340" s="93"/>
    </row>
    <row r="2341" spans="1:15" hidden="1">
      <c r="A2341" s="75" t="str">
        <f t="shared" si="86"/>
        <v>PTWORTENDISHWASHERBuilt in Dish washerMáquina de lavar louça encastre</v>
      </c>
      <c r="B2341" s="94" t="str">
        <f t="shared" si="87"/>
        <v>PT_WORTEN</v>
      </c>
      <c r="C2341" s="93" t="s">
        <v>457</v>
      </c>
      <c r="D2341" s="93" t="s">
        <v>460</v>
      </c>
      <c r="E2341" s="93" t="s">
        <v>169</v>
      </c>
      <c r="F2341" s="93" t="s">
        <v>2356</v>
      </c>
      <c r="G2341" s="93" t="s">
        <v>3329</v>
      </c>
      <c r="H2341" s="93" t="e">
        <v>#N/A</v>
      </c>
      <c r="I2341" s="105" t="s">
        <v>2310</v>
      </c>
      <c r="J2341" s="93" t="s">
        <v>189</v>
      </c>
      <c r="K2341" s="93">
        <v>129</v>
      </c>
      <c r="L2341" s="93" t="e">
        <v>#N/A</v>
      </c>
      <c r="M2341" s="93" t="s">
        <v>2311</v>
      </c>
      <c r="N2341" s="93" t="e">
        <f>VLOOKUP(B2341,'[16]01.수집 카테고리(List)'!$A$2:$H$64,8,FALSE)</f>
        <v>#N/A</v>
      </c>
      <c r="O2341" s="93"/>
    </row>
    <row r="2342" spans="1:15" hidden="1">
      <c r="A2342" s="75" t="str">
        <f t="shared" si="86"/>
        <v>PTWORTENDISHWASHERFreestanding Dishwasher máquina de lavar louça independente</v>
      </c>
      <c r="B2342" s="94" t="str">
        <f t="shared" si="87"/>
        <v>PT_WORTEN</v>
      </c>
      <c r="C2342" s="93" t="s">
        <v>457</v>
      </c>
      <c r="D2342" s="93" t="s">
        <v>460</v>
      </c>
      <c r="E2342" s="93" t="s">
        <v>169</v>
      </c>
      <c r="F2342" s="93" t="s">
        <v>2441</v>
      </c>
      <c r="G2342" s="93" t="s">
        <v>3330</v>
      </c>
      <c r="H2342" s="93" t="e">
        <v>#N/A</v>
      </c>
      <c r="I2342" s="105" t="s">
        <v>2310</v>
      </c>
      <c r="J2342" s="93" t="s">
        <v>189</v>
      </c>
      <c r="K2342" s="93">
        <v>2228</v>
      </c>
      <c r="L2342" s="93" t="e">
        <v>#N/A</v>
      </c>
      <c r="M2342" s="93" t="s">
        <v>2311</v>
      </c>
      <c r="N2342" s="93" t="e">
        <f>VLOOKUP(B2342,'[16]01.수집 카테고리(List)'!$A$2:$H$64,8,FALSE)</f>
        <v>#N/A</v>
      </c>
      <c r="O2342" s="93"/>
    </row>
    <row r="2343" spans="1:15" hidden="1">
      <c r="A2343" s="75" t="str">
        <f t="shared" si="86"/>
        <v>PTWORTENLaptopLaptopportátil</v>
      </c>
      <c r="B2343" s="94" t="str">
        <f t="shared" si="87"/>
        <v>PT_WORTEN</v>
      </c>
      <c r="C2343" s="93" t="s">
        <v>457</v>
      </c>
      <c r="D2343" s="93" t="s">
        <v>460</v>
      </c>
      <c r="E2343" s="93" t="s">
        <v>2407</v>
      </c>
      <c r="F2343" s="93" t="s">
        <v>2407</v>
      </c>
      <c r="G2343" s="93" t="s">
        <v>3349</v>
      </c>
      <c r="H2343" s="93" t="e">
        <v>#N/A</v>
      </c>
      <c r="I2343" s="105" t="s">
        <v>2310</v>
      </c>
      <c r="J2343" s="93" t="s">
        <v>189</v>
      </c>
      <c r="K2343" s="93">
        <v>5684</v>
      </c>
      <c r="L2343" s="93" t="e">
        <v>#N/A</v>
      </c>
      <c r="M2343" s="93" t="s">
        <v>2311</v>
      </c>
      <c r="N2343" s="93" t="e">
        <f>VLOOKUP(B2343,'[16]01.수집 카테고리(List)'!$A$2:$H$64,8,FALSE)</f>
        <v>#N/A</v>
      </c>
      <c r="O2343" s="93"/>
    </row>
    <row r="2344" spans="1:15" hidden="1">
      <c r="A2344" s="75" t="str">
        <f t="shared" si="86"/>
        <v>PTWORTENLaptop15inch Laptopportátil de 15</v>
      </c>
      <c r="B2344" s="94" t="str">
        <f t="shared" si="87"/>
        <v>PT_WORTEN</v>
      </c>
      <c r="C2344" s="93" t="s">
        <v>457</v>
      </c>
      <c r="D2344" s="93" t="s">
        <v>460</v>
      </c>
      <c r="E2344" s="93" t="s">
        <v>2407</v>
      </c>
      <c r="F2344" s="93" t="s">
        <v>2408</v>
      </c>
      <c r="G2344" s="93" t="s">
        <v>3350</v>
      </c>
      <c r="H2344" s="93" t="e">
        <v>#N/A</v>
      </c>
      <c r="I2344" s="105" t="s">
        <v>2310</v>
      </c>
      <c r="J2344" s="93" t="s">
        <v>189</v>
      </c>
      <c r="K2344" s="93">
        <v>4250</v>
      </c>
      <c r="L2344" s="93" t="e">
        <v>#N/A</v>
      </c>
      <c r="M2344" s="93" t="s">
        <v>2311</v>
      </c>
      <c r="N2344" s="93" t="e">
        <f>VLOOKUP(B2344,'[16]01.수집 카테고리(List)'!$A$2:$H$64,8,FALSE)</f>
        <v>#N/A</v>
      </c>
      <c r="O2344" s="93"/>
    </row>
    <row r="2345" spans="1:15" hidden="1">
      <c r="A2345" s="75" t="str">
        <f t="shared" si="86"/>
        <v>PTWORTENLaptop17inch Laptopportátil de 17</v>
      </c>
      <c r="B2345" s="94" t="str">
        <f t="shared" si="87"/>
        <v>PT_WORTEN</v>
      </c>
      <c r="C2345" s="93" t="s">
        <v>457</v>
      </c>
      <c r="D2345" s="93" t="s">
        <v>460</v>
      </c>
      <c r="E2345" s="93" t="s">
        <v>2407</v>
      </c>
      <c r="F2345" s="93" t="s">
        <v>2409</v>
      </c>
      <c r="G2345" s="93" t="s">
        <v>3351</v>
      </c>
      <c r="H2345" s="93" t="e">
        <v>#N/A</v>
      </c>
      <c r="I2345" s="105" t="s">
        <v>2310</v>
      </c>
      <c r="J2345" s="93" t="s">
        <v>189</v>
      </c>
      <c r="K2345" s="93">
        <v>1927</v>
      </c>
      <c r="L2345" s="93" t="e">
        <v>#N/A</v>
      </c>
      <c r="M2345" s="93" t="s">
        <v>2311</v>
      </c>
      <c r="N2345" s="93" t="e">
        <f>VLOOKUP(B2345,'[16]01.수집 카테고리(List)'!$A$2:$H$64,8,FALSE)</f>
        <v>#N/A</v>
      </c>
      <c r="O2345" s="93"/>
    </row>
    <row r="2346" spans="1:15" hidden="1">
      <c r="A2346" s="75" t="str">
        <f t="shared" ref="A2346:A2409" si="88">C2346&amp;D2346&amp;E2346&amp;F2346&amp;G2346</f>
        <v>PTWORTENLaptopLightweight Laptopportátil ultra leve</v>
      </c>
      <c r="B2346" s="94" t="str">
        <f t="shared" ref="B2346:B2409" si="89">C2346&amp;"_"&amp;D2346</f>
        <v>PT_WORTEN</v>
      </c>
      <c r="C2346" s="93" t="s">
        <v>457</v>
      </c>
      <c r="D2346" s="93" t="s">
        <v>460</v>
      </c>
      <c r="E2346" s="93" t="s">
        <v>2407</v>
      </c>
      <c r="F2346" s="93" t="s">
        <v>2411</v>
      </c>
      <c r="G2346" s="93" t="s">
        <v>3352</v>
      </c>
      <c r="H2346" s="93" t="e">
        <v>#N/A</v>
      </c>
      <c r="I2346" s="105" t="s">
        <v>2310</v>
      </c>
      <c r="J2346" s="93" t="s">
        <v>189</v>
      </c>
      <c r="K2346" s="93">
        <v>412</v>
      </c>
      <c r="L2346" s="93" t="e">
        <v>#N/A</v>
      </c>
      <c r="M2346" s="93" t="s">
        <v>2311</v>
      </c>
      <c r="N2346" s="93" t="e">
        <f>VLOOKUP(B2346,'[16]01.수집 카테고리(List)'!$A$2:$H$64,8,FALSE)</f>
        <v>#N/A</v>
      </c>
      <c r="O2346" s="93"/>
    </row>
    <row r="2347" spans="1:15" hidden="1">
      <c r="A2347" s="75" t="str">
        <f t="shared" si="88"/>
        <v>PTWORTENMonitoruhd monitormonito UHD</v>
      </c>
      <c r="B2347" s="94" t="str">
        <f t="shared" si="89"/>
        <v>PT_WORTEN</v>
      </c>
      <c r="C2347" s="93" t="s">
        <v>457</v>
      </c>
      <c r="D2347" s="93" t="s">
        <v>460</v>
      </c>
      <c r="E2347" s="93" t="s">
        <v>2320</v>
      </c>
      <c r="F2347" s="93" t="s">
        <v>2324</v>
      </c>
      <c r="G2347" s="93" t="s">
        <v>3353</v>
      </c>
      <c r="H2347" s="93" t="e">
        <v>#N/A</v>
      </c>
      <c r="I2347" s="105" t="s">
        <v>2310</v>
      </c>
      <c r="J2347" s="93" t="s">
        <v>189</v>
      </c>
      <c r="K2347" s="93">
        <v>80</v>
      </c>
      <c r="L2347" s="93" t="e">
        <v>#N/A</v>
      </c>
      <c r="M2347" s="93" t="s">
        <v>2311</v>
      </c>
      <c r="N2347" s="93" t="e">
        <f>VLOOKUP(B2347,'[16]01.수집 카테고리(List)'!$A$2:$H$64,8,FALSE)</f>
        <v>#N/A</v>
      </c>
      <c r="O2347" s="93"/>
    </row>
    <row r="2348" spans="1:15" hidden="1">
      <c r="A2348" s="75" t="str">
        <f t="shared" si="88"/>
        <v>PTWORTENMonitormonitorMonitor</v>
      </c>
      <c r="B2348" s="94" t="str">
        <f t="shared" si="89"/>
        <v>PT_WORTEN</v>
      </c>
      <c r="C2348" s="93" t="s">
        <v>457</v>
      </c>
      <c r="D2348" s="93" t="s">
        <v>460</v>
      </c>
      <c r="E2348" s="93" t="s">
        <v>2320</v>
      </c>
      <c r="F2348" s="93" t="s">
        <v>2323</v>
      </c>
      <c r="G2348" s="93" t="s">
        <v>2320</v>
      </c>
      <c r="H2348" s="93" t="e">
        <v>#N/A</v>
      </c>
      <c r="I2348" s="105" t="s">
        <v>2310</v>
      </c>
      <c r="J2348" s="93" t="s">
        <v>189</v>
      </c>
      <c r="K2348" s="93">
        <v>1805</v>
      </c>
      <c r="L2348" s="93">
        <v>1805</v>
      </c>
      <c r="M2348" s="93" t="s">
        <v>2311</v>
      </c>
      <c r="N2348" s="93" t="e">
        <f>VLOOKUP(B2348,'[16]01.수집 카테고리(List)'!$A$2:$H$64,8,FALSE)</f>
        <v>#N/A</v>
      </c>
      <c r="O2348" s="93"/>
    </row>
    <row r="2349" spans="1:15" hidden="1">
      <c r="A2349" s="75" t="str">
        <f t="shared" si="88"/>
        <v>PTWORTENMonitor4k monitorMonitor 4K</v>
      </c>
      <c r="B2349" s="94" t="str">
        <f t="shared" si="89"/>
        <v>PT_WORTEN</v>
      </c>
      <c r="C2349" s="93" t="s">
        <v>457</v>
      </c>
      <c r="D2349" s="93" t="s">
        <v>460</v>
      </c>
      <c r="E2349" s="93" t="s">
        <v>2320</v>
      </c>
      <c r="F2349" s="93" t="s">
        <v>2321</v>
      </c>
      <c r="G2349" s="93" t="s">
        <v>3354</v>
      </c>
      <c r="H2349" s="93" t="e">
        <v>#N/A</v>
      </c>
      <c r="I2349" s="105" t="s">
        <v>2310</v>
      </c>
      <c r="J2349" s="93" t="s">
        <v>189</v>
      </c>
      <c r="K2349" s="93">
        <v>588</v>
      </c>
      <c r="L2349" s="93" t="e">
        <v>#N/A</v>
      </c>
      <c r="M2349" s="93" t="s">
        <v>2311</v>
      </c>
      <c r="N2349" s="93" t="e">
        <f>VLOOKUP(B2349,'[16]01.수집 카테고리(List)'!$A$2:$H$64,8,FALSE)</f>
        <v>#N/A</v>
      </c>
      <c r="O2349" s="93"/>
    </row>
    <row r="2350" spans="1:15" hidden="1">
      <c r="A2350" s="75" t="str">
        <f t="shared" si="88"/>
        <v>PTWORTENMonitorgaming monitormonitor gaming</v>
      </c>
      <c r="B2350" s="94" t="str">
        <f t="shared" si="89"/>
        <v>PT_WORTEN</v>
      </c>
      <c r="C2350" s="93" t="s">
        <v>457</v>
      </c>
      <c r="D2350" s="93" t="s">
        <v>460</v>
      </c>
      <c r="E2350" s="93" t="s">
        <v>2320</v>
      </c>
      <c r="F2350" s="93" t="s">
        <v>2322</v>
      </c>
      <c r="G2350" s="93" t="s">
        <v>3355</v>
      </c>
      <c r="H2350" s="93" t="e">
        <v>#N/A</v>
      </c>
      <c r="I2350" s="105" t="s">
        <v>2310</v>
      </c>
      <c r="J2350" s="93" t="s">
        <v>189</v>
      </c>
      <c r="K2350" s="93">
        <v>937</v>
      </c>
      <c r="L2350" s="93" t="e">
        <v>#N/A</v>
      </c>
      <c r="M2350" s="93" t="s">
        <v>2311</v>
      </c>
      <c r="N2350" s="93" t="e">
        <f>VLOOKUP(B2350,'[16]01.수집 카테고리(List)'!$A$2:$H$64,8,FALSE)</f>
        <v>#N/A</v>
      </c>
      <c r="O2350" s="93"/>
    </row>
    <row r="2351" spans="1:15" hidden="1">
      <c r="A2351" s="75" t="str">
        <f t="shared" si="88"/>
        <v>PTWORTENMonitorultrawide monitormonitor ultrawide</v>
      </c>
      <c r="B2351" s="94" t="str">
        <f t="shared" si="89"/>
        <v>PT_WORTEN</v>
      </c>
      <c r="C2351" s="93" t="s">
        <v>457</v>
      </c>
      <c r="D2351" s="93" t="s">
        <v>460</v>
      </c>
      <c r="E2351" s="93" t="s">
        <v>2320</v>
      </c>
      <c r="F2351" s="93" t="s">
        <v>2325</v>
      </c>
      <c r="G2351" s="93" t="s">
        <v>2499</v>
      </c>
      <c r="H2351" s="93" t="e">
        <v>#N/A</v>
      </c>
      <c r="I2351" s="105" t="s">
        <v>2310</v>
      </c>
      <c r="J2351" s="93" t="s">
        <v>189</v>
      </c>
      <c r="K2351" s="93">
        <v>86</v>
      </c>
      <c r="L2351" s="93" t="e">
        <v>#N/A</v>
      </c>
      <c r="M2351" s="93" t="s">
        <v>2311</v>
      </c>
      <c r="N2351" s="93" t="e">
        <f>VLOOKUP(B2351,'[16]01.수집 카테고리(List)'!$A$2:$H$64,8,FALSE)</f>
        <v>#N/A</v>
      </c>
      <c r="O2351" s="93"/>
    </row>
    <row r="2352" spans="1:15" hidden="1">
      <c r="A2352" s="75" t="str">
        <f t="shared" si="88"/>
        <v>PTWORTENOVENCooktopFogão</v>
      </c>
      <c r="B2352" s="94" t="str">
        <f t="shared" si="89"/>
        <v>PT_WORTEN</v>
      </c>
      <c r="C2352" s="93" t="s">
        <v>457</v>
      </c>
      <c r="D2352" s="93" t="s">
        <v>460</v>
      </c>
      <c r="E2352" s="93" t="s">
        <v>173</v>
      </c>
      <c r="F2352" s="93" t="s">
        <v>2541</v>
      </c>
      <c r="G2352" s="93" t="s">
        <v>3331</v>
      </c>
      <c r="H2352" s="93" t="e">
        <v>#N/A</v>
      </c>
      <c r="I2352" s="105" t="s">
        <v>2310</v>
      </c>
      <c r="J2352" s="93" t="s">
        <v>189</v>
      </c>
      <c r="K2352" s="93">
        <v>142</v>
      </c>
      <c r="L2352" s="93" t="e">
        <v>#N/A</v>
      </c>
      <c r="M2352" s="93" t="s">
        <v>2311</v>
      </c>
      <c r="N2352" s="93" t="e">
        <f>VLOOKUP(B2352,'[16]01.수집 카테고리(List)'!$A$2:$H$64,8,FALSE)</f>
        <v>#N/A</v>
      </c>
      <c r="O2352" s="93"/>
    </row>
    <row r="2353" spans="1:15" hidden="1">
      <c r="A2353" s="75" t="str">
        <f t="shared" si="88"/>
        <v>PTWORTENOVENSlide-in RangeForno deslizante</v>
      </c>
      <c r="B2353" s="94" t="str">
        <f t="shared" si="89"/>
        <v>PT_WORTEN</v>
      </c>
      <c r="C2353" s="93" t="s">
        <v>457</v>
      </c>
      <c r="D2353" s="93" t="s">
        <v>460</v>
      </c>
      <c r="E2353" s="93" t="s">
        <v>173</v>
      </c>
      <c r="F2353" s="93" t="s">
        <v>2676</v>
      </c>
      <c r="G2353" s="93" t="s">
        <v>3332</v>
      </c>
      <c r="H2353" s="93" t="e">
        <v>#N/A</v>
      </c>
      <c r="I2353" s="105" t="s">
        <v>2310</v>
      </c>
      <c r="J2353" s="93" t="s">
        <v>189</v>
      </c>
      <c r="K2353" s="93">
        <v>47</v>
      </c>
      <c r="L2353" s="93" t="e">
        <v>#N/A</v>
      </c>
      <c r="M2353" s="93" t="s">
        <v>2311</v>
      </c>
      <c r="N2353" s="93" t="e">
        <f>VLOOKUP(B2353,'[16]01.수집 카테고리(List)'!$A$2:$H$64,8,FALSE)</f>
        <v>#N/A</v>
      </c>
      <c r="O2353" s="93"/>
    </row>
    <row r="2354" spans="1:15" hidden="1">
      <c r="A2354" s="75" t="str">
        <f t="shared" si="88"/>
        <v>PTWORTENOVENWall OvenForno embutir</v>
      </c>
      <c r="B2354" s="94" t="str">
        <f t="shared" si="89"/>
        <v>PT_WORTEN</v>
      </c>
      <c r="C2354" s="93" t="s">
        <v>457</v>
      </c>
      <c r="D2354" s="93" t="s">
        <v>460</v>
      </c>
      <c r="E2354" s="93" t="s">
        <v>173</v>
      </c>
      <c r="F2354" s="93" t="s">
        <v>2544</v>
      </c>
      <c r="G2354" s="93" t="s">
        <v>3333</v>
      </c>
      <c r="H2354" s="93" t="e">
        <v>#N/A</v>
      </c>
      <c r="I2354" s="105" t="s">
        <v>2310</v>
      </c>
      <c r="J2354" s="93" t="s">
        <v>189</v>
      </c>
      <c r="K2354" s="93">
        <v>50</v>
      </c>
      <c r="L2354" s="93" t="e">
        <v>#N/A</v>
      </c>
      <c r="M2354" s="93" t="s">
        <v>2311</v>
      </c>
      <c r="N2354" s="93" t="e">
        <f>VLOOKUP(B2354,'[16]01.수집 카테고리(List)'!$A$2:$H$64,8,FALSE)</f>
        <v>#N/A</v>
      </c>
      <c r="O2354" s="93"/>
    </row>
    <row r="2355" spans="1:15" hidden="1">
      <c r="A2355" s="75" t="str">
        <f t="shared" si="88"/>
        <v>PTWORTENOVENFreestanding OvenForno independente</v>
      </c>
      <c r="B2355" s="94" t="str">
        <f t="shared" si="89"/>
        <v>PT_WORTEN</v>
      </c>
      <c r="C2355" s="93" t="s">
        <v>457</v>
      </c>
      <c r="D2355" s="93" t="s">
        <v>460</v>
      </c>
      <c r="E2355" s="93" t="s">
        <v>173</v>
      </c>
      <c r="F2355" s="93" t="s">
        <v>2678</v>
      </c>
      <c r="G2355" s="93" t="s">
        <v>3334</v>
      </c>
      <c r="H2355" s="93" t="e">
        <v>#N/A</v>
      </c>
      <c r="I2355" s="105" t="s">
        <v>2310</v>
      </c>
      <c r="J2355" s="93" t="s">
        <v>189</v>
      </c>
      <c r="K2355" s="93">
        <v>33</v>
      </c>
      <c r="L2355" s="93" t="e">
        <v>#N/A</v>
      </c>
      <c r="M2355" s="93" t="s">
        <v>2311</v>
      </c>
      <c r="N2355" s="93" t="e">
        <f>VLOOKUP(B2355,'[16]01.수집 카테고리(List)'!$A$2:$H$64,8,FALSE)</f>
        <v>#N/A</v>
      </c>
      <c r="O2355" s="93"/>
    </row>
    <row r="2356" spans="1:15" hidden="1">
      <c r="A2356" s="75" t="str">
        <f t="shared" si="88"/>
        <v>PTWORTENRefrigeratorrefrigeratorfrigorífico</v>
      </c>
      <c r="B2356" s="94" t="str">
        <f t="shared" si="89"/>
        <v>PT_WORTEN</v>
      </c>
      <c r="C2356" s="93" t="s">
        <v>457</v>
      </c>
      <c r="D2356" s="93" t="s">
        <v>460</v>
      </c>
      <c r="E2356" s="93" t="s">
        <v>2326</v>
      </c>
      <c r="F2356" s="93" t="s">
        <v>2329</v>
      </c>
      <c r="G2356" s="93" t="s">
        <v>2790</v>
      </c>
      <c r="H2356" s="93" t="e">
        <v>#N/A</v>
      </c>
      <c r="I2356" s="105" t="s">
        <v>2310</v>
      </c>
      <c r="J2356" s="93" t="s">
        <v>189</v>
      </c>
      <c r="K2356" s="93">
        <v>2227</v>
      </c>
      <c r="L2356" s="93" t="e">
        <v>#N/A</v>
      </c>
      <c r="M2356" s="93" t="s">
        <v>2311</v>
      </c>
      <c r="N2356" s="93" t="e">
        <f>VLOOKUP(B2356,'[16]01.수집 카테고리(List)'!$A$2:$H$64,8,FALSE)</f>
        <v>#N/A</v>
      </c>
      <c r="O2356" s="93"/>
    </row>
    <row r="2357" spans="1:15" hidden="1">
      <c r="A2357" s="75" t="str">
        <f t="shared" si="88"/>
        <v>PTWORTENRefrigeratoramerican refrigeratorfrigorifico americano</v>
      </c>
      <c r="B2357" s="94" t="str">
        <f t="shared" si="89"/>
        <v>PT_WORTEN</v>
      </c>
      <c r="C2357" s="93" t="s">
        <v>457</v>
      </c>
      <c r="D2357" s="93" t="s">
        <v>460</v>
      </c>
      <c r="E2357" s="93" t="s">
        <v>2326</v>
      </c>
      <c r="F2357" s="93" t="s">
        <v>2634</v>
      </c>
      <c r="G2357" s="93" t="s">
        <v>3335</v>
      </c>
      <c r="H2357" s="93" t="e">
        <v>#N/A</v>
      </c>
      <c r="I2357" s="105" t="s">
        <v>2310</v>
      </c>
      <c r="J2357" s="93" t="s">
        <v>189</v>
      </c>
      <c r="K2357" s="93">
        <v>886</v>
      </c>
      <c r="L2357" s="93" t="e">
        <v>#N/A</v>
      </c>
      <c r="M2357" s="93" t="s">
        <v>2311</v>
      </c>
      <c r="N2357" s="93" t="e">
        <f>VLOOKUP(B2357,'[16]01.수집 카테고리(List)'!$A$2:$H$64,8,FALSE)</f>
        <v>#N/A</v>
      </c>
      <c r="O2357" s="93"/>
    </row>
    <row r="2358" spans="1:15" hidden="1">
      <c r="A2358" s="75" t="str">
        <f t="shared" si="88"/>
        <v>PTWORTENRefrigeratorbottom freezer refrigeratorfrigorifico com congelador inferior</v>
      </c>
      <c r="B2358" s="94" t="str">
        <f t="shared" si="89"/>
        <v>PT_WORTEN</v>
      </c>
      <c r="C2358" s="93" t="s">
        <v>457</v>
      </c>
      <c r="D2358" s="93" t="s">
        <v>460</v>
      </c>
      <c r="E2358" s="93" t="s">
        <v>2326</v>
      </c>
      <c r="F2358" s="93" t="s">
        <v>2327</v>
      </c>
      <c r="G2358" s="93" t="s">
        <v>3336</v>
      </c>
      <c r="H2358" s="93" t="e">
        <v>#N/A</v>
      </c>
      <c r="I2358" s="105" t="s">
        <v>2310</v>
      </c>
      <c r="J2358" s="93" t="s">
        <v>189</v>
      </c>
      <c r="K2358" s="93">
        <v>4939</v>
      </c>
      <c r="L2358" s="93" t="e">
        <v>#N/A</v>
      </c>
      <c r="M2358" s="93" t="s">
        <v>2311</v>
      </c>
      <c r="N2358" s="93" t="e">
        <f>VLOOKUP(B2358,'[16]01.수집 카테고리(List)'!$A$2:$H$64,8,FALSE)</f>
        <v>#N/A</v>
      </c>
      <c r="O2358" s="93"/>
    </row>
    <row r="2359" spans="1:15" hidden="1">
      <c r="A2359" s="75" t="str">
        <f t="shared" si="88"/>
        <v>PTWORTENRefrigeratortop freezer refrigeratorfrigorifico com congelador superior</v>
      </c>
      <c r="B2359" s="94" t="str">
        <f t="shared" si="89"/>
        <v>PT_WORTEN</v>
      </c>
      <c r="C2359" s="93" t="s">
        <v>457</v>
      </c>
      <c r="D2359" s="93" t="s">
        <v>460</v>
      </c>
      <c r="E2359" s="93" t="s">
        <v>2326</v>
      </c>
      <c r="F2359" s="93" t="s">
        <v>2332</v>
      </c>
      <c r="G2359" s="93" t="s">
        <v>3337</v>
      </c>
      <c r="H2359" s="93" t="e">
        <v>#N/A</v>
      </c>
      <c r="I2359" s="105" t="s">
        <v>2310</v>
      </c>
      <c r="J2359" s="93" t="s">
        <v>189</v>
      </c>
      <c r="K2359" s="93">
        <v>5507</v>
      </c>
      <c r="L2359" s="93" t="e">
        <v>#N/A</v>
      </c>
      <c r="M2359" s="93" t="s">
        <v>2311</v>
      </c>
      <c r="N2359" s="93" t="e">
        <f>VLOOKUP(B2359,'[16]01.수집 카테고리(List)'!$A$2:$H$64,8,FALSE)</f>
        <v>#N/A</v>
      </c>
      <c r="O2359" s="93"/>
    </row>
    <row r="2360" spans="1:15" hidden="1">
      <c r="A2360" s="75" t="str">
        <f t="shared" si="88"/>
        <v>PTWORTENRefrigeratormulti door refrigeratorfrigorifico multidoor</v>
      </c>
      <c r="B2360" s="94" t="str">
        <f t="shared" si="89"/>
        <v>PT_WORTEN</v>
      </c>
      <c r="C2360" s="93" t="s">
        <v>457</v>
      </c>
      <c r="D2360" s="93" t="s">
        <v>460</v>
      </c>
      <c r="E2360" s="93" t="s">
        <v>2326</v>
      </c>
      <c r="F2360" s="93" t="s">
        <v>2740</v>
      </c>
      <c r="G2360" s="93" t="s">
        <v>3338</v>
      </c>
      <c r="H2360" s="93" t="e">
        <v>#N/A</v>
      </c>
      <c r="I2360" s="105" t="s">
        <v>2310</v>
      </c>
      <c r="J2360" s="93" t="s">
        <v>189</v>
      </c>
      <c r="K2360" s="93">
        <v>3356</v>
      </c>
      <c r="L2360" s="93" t="e">
        <v>#N/A</v>
      </c>
      <c r="M2360" s="93" t="s">
        <v>2311</v>
      </c>
      <c r="N2360" s="93" t="e">
        <f>VLOOKUP(B2360,'[16]01.수집 카테고리(List)'!$A$2:$H$64,8,FALSE)</f>
        <v>#N/A</v>
      </c>
      <c r="O2360" s="93"/>
    </row>
    <row r="2361" spans="1:15" hidden="1">
      <c r="A2361" s="75" t="str">
        <f t="shared" si="88"/>
        <v>PTWORTENRefrigeratorside by side refrigeratorfrigorifico side by side</v>
      </c>
      <c r="B2361" s="94" t="str">
        <f t="shared" si="89"/>
        <v>PT_WORTEN</v>
      </c>
      <c r="C2361" s="93" t="s">
        <v>457</v>
      </c>
      <c r="D2361" s="93" t="s">
        <v>460</v>
      </c>
      <c r="E2361" s="93" t="s">
        <v>2326</v>
      </c>
      <c r="F2361" s="93" t="s">
        <v>2744</v>
      </c>
      <c r="G2361" s="93" t="s">
        <v>3339</v>
      </c>
      <c r="H2361" s="93" t="e">
        <v>#N/A</v>
      </c>
      <c r="I2361" s="105" t="s">
        <v>2310</v>
      </c>
      <c r="J2361" s="93" t="s">
        <v>189</v>
      </c>
      <c r="K2361" s="93">
        <v>5197</v>
      </c>
      <c r="L2361" s="93" t="e">
        <v>#N/A</v>
      </c>
      <c r="M2361" s="93" t="s">
        <v>2311</v>
      </c>
      <c r="N2361" s="93" t="e">
        <f>VLOOKUP(B2361,'[16]01.수집 카테고리(List)'!$A$2:$H$64,8,FALSE)</f>
        <v>#N/A</v>
      </c>
      <c r="O2361" s="93"/>
    </row>
    <row r="2362" spans="1:15" hidden="1">
      <c r="A2362" s="75" t="str">
        <f t="shared" si="88"/>
        <v>PTWORTENSOUNDBARtv soundbarbarra de som da tv</v>
      </c>
      <c r="B2362" s="94" t="str">
        <f t="shared" si="89"/>
        <v>PT_WORTEN</v>
      </c>
      <c r="C2362" s="93" t="s">
        <v>457</v>
      </c>
      <c r="D2362" s="93" t="s">
        <v>460</v>
      </c>
      <c r="E2362" s="93" t="s">
        <v>165</v>
      </c>
      <c r="F2362" s="93" t="s">
        <v>2686</v>
      </c>
      <c r="G2362" s="93" t="s">
        <v>3340</v>
      </c>
      <c r="H2362" s="93" t="e">
        <v>#N/A</v>
      </c>
      <c r="I2362" s="105" t="s">
        <v>2310</v>
      </c>
      <c r="J2362" s="93" t="s">
        <v>189</v>
      </c>
      <c r="K2362" s="93">
        <v>542</v>
      </c>
      <c r="L2362" s="93" t="e">
        <v>#N/A</v>
      </c>
      <c r="M2362" s="93" t="s">
        <v>2311</v>
      </c>
      <c r="N2362" s="93" t="e">
        <f>VLOOKUP(B2362,'[16]01.수집 카테고리(List)'!$A$2:$H$64,8,FALSE)</f>
        <v>#N/A</v>
      </c>
      <c r="O2362" s="93"/>
    </row>
    <row r="2363" spans="1:15" hidden="1">
      <c r="A2363" s="75" t="str">
        <f t="shared" si="88"/>
        <v>PTWORTENSOUNDBARsoundbar for tvbarra de som para tv</v>
      </c>
      <c r="B2363" s="94" t="str">
        <f t="shared" si="89"/>
        <v>PT_WORTEN</v>
      </c>
      <c r="C2363" s="93" t="s">
        <v>457</v>
      </c>
      <c r="D2363" s="93" t="s">
        <v>460</v>
      </c>
      <c r="E2363" s="93" t="s">
        <v>165</v>
      </c>
      <c r="F2363" s="93" t="s">
        <v>2573</v>
      </c>
      <c r="G2363" s="93" t="s">
        <v>3341</v>
      </c>
      <c r="H2363" s="93" t="e">
        <v>#N/A</v>
      </c>
      <c r="I2363" s="105" t="s">
        <v>2310</v>
      </c>
      <c r="J2363" s="93" t="s">
        <v>189</v>
      </c>
      <c r="K2363" s="93">
        <v>463</v>
      </c>
      <c r="L2363" s="93" t="e">
        <v>#N/A</v>
      </c>
      <c r="M2363" s="93" t="s">
        <v>2311</v>
      </c>
      <c r="N2363" s="93" t="e">
        <f>VLOOKUP(B2363,'[16]01.수집 카테고리(List)'!$A$2:$H$64,8,FALSE)</f>
        <v>#N/A</v>
      </c>
      <c r="O2363" s="93"/>
    </row>
    <row r="2364" spans="1:15" hidden="1">
      <c r="A2364" s="75" t="str">
        <f t="shared" si="88"/>
        <v>PTWORTENSOUNDBARSurround sound systemSistema de som surround</v>
      </c>
      <c r="B2364" s="94" t="str">
        <f t="shared" si="89"/>
        <v>PT_WORTEN</v>
      </c>
      <c r="C2364" s="93" t="s">
        <v>457</v>
      </c>
      <c r="D2364" s="93" t="s">
        <v>460</v>
      </c>
      <c r="E2364" s="93" t="s">
        <v>165</v>
      </c>
      <c r="F2364" s="93" t="s">
        <v>2772</v>
      </c>
      <c r="G2364" s="93" t="s">
        <v>3342</v>
      </c>
      <c r="H2364" s="93" t="e">
        <v>#N/A</v>
      </c>
      <c r="I2364" s="105" t="s">
        <v>2310</v>
      </c>
      <c r="J2364" s="93" t="s">
        <v>189</v>
      </c>
      <c r="K2364" s="93">
        <v>73</v>
      </c>
      <c r="L2364" s="93" t="e">
        <v>#N/A</v>
      </c>
      <c r="M2364" s="93" t="s">
        <v>2311</v>
      </c>
      <c r="N2364" s="93" t="e">
        <f>VLOOKUP(B2364,'[16]01.수집 카테고리(List)'!$A$2:$H$64,8,FALSE)</f>
        <v>#N/A</v>
      </c>
      <c r="O2364" s="93"/>
    </row>
    <row r="2365" spans="1:15" hidden="1">
      <c r="A2365" s="75" t="str">
        <f t="shared" si="88"/>
        <v>PTWORTENSOUNDBARtv soundsom da tv</v>
      </c>
      <c r="B2365" s="94" t="str">
        <f t="shared" si="89"/>
        <v>PT_WORTEN</v>
      </c>
      <c r="C2365" s="93" t="s">
        <v>457</v>
      </c>
      <c r="D2365" s="93" t="s">
        <v>460</v>
      </c>
      <c r="E2365" s="93" t="s">
        <v>165</v>
      </c>
      <c r="F2365" s="93" t="s">
        <v>2774</v>
      </c>
      <c r="G2365" s="93" t="s">
        <v>3343</v>
      </c>
      <c r="H2365" s="93" t="e">
        <v>#N/A</v>
      </c>
      <c r="I2365" s="105" t="s">
        <v>2310</v>
      </c>
      <c r="J2365" s="93" t="s">
        <v>189</v>
      </c>
      <c r="K2365" s="93">
        <v>4995</v>
      </c>
      <c r="L2365" s="93" t="e">
        <v>#N/A</v>
      </c>
      <c r="M2365" s="93" t="s">
        <v>2311</v>
      </c>
      <c r="N2365" s="93" t="e">
        <f>VLOOKUP(B2365,'[16]01.수집 카테고리(List)'!$A$2:$H$64,8,FALSE)</f>
        <v>#N/A</v>
      </c>
      <c r="O2365" s="93"/>
    </row>
    <row r="2366" spans="1:15" hidden="1">
      <c r="A2366" s="75" t="str">
        <f t="shared" si="88"/>
        <v>PTWORTENSOUNDBARSoundbarSoundbar</v>
      </c>
      <c r="B2366" s="94" t="str">
        <f t="shared" si="89"/>
        <v>PT_WORTEN</v>
      </c>
      <c r="C2366" s="93" t="s">
        <v>457</v>
      </c>
      <c r="D2366" s="93" t="s">
        <v>460</v>
      </c>
      <c r="E2366" s="93" t="s">
        <v>165</v>
      </c>
      <c r="F2366" s="93" t="s">
        <v>2363</v>
      </c>
      <c r="G2366" s="93" t="s">
        <v>2363</v>
      </c>
      <c r="H2366" s="93" t="e">
        <v>#N/A</v>
      </c>
      <c r="I2366" s="105" t="s">
        <v>2310</v>
      </c>
      <c r="J2366" s="93" t="s">
        <v>189</v>
      </c>
      <c r="K2366" s="93">
        <v>3142</v>
      </c>
      <c r="L2366" s="93">
        <v>3142</v>
      </c>
      <c r="M2366" s="93" t="s">
        <v>2311</v>
      </c>
      <c r="N2366" s="93" t="e">
        <f>VLOOKUP(B2366,'[16]01.수집 카테고리(List)'!$A$2:$H$64,8,FALSE)</f>
        <v>#N/A</v>
      </c>
      <c r="O2366" s="93"/>
    </row>
    <row r="2367" spans="1:15" hidden="1">
      <c r="A2367" s="75" t="str">
        <f t="shared" si="88"/>
        <v>PTWORTENTVTVTV</v>
      </c>
      <c r="B2367" s="94" t="str">
        <f t="shared" si="89"/>
        <v>PT_WORTEN</v>
      </c>
      <c r="C2367" s="93" t="s">
        <v>457</v>
      </c>
      <c r="D2367" s="93" t="s">
        <v>460</v>
      </c>
      <c r="E2367" s="93" t="s">
        <v>161</v>
      </c>
      <c r="F2367" s="93" t="s">
        <v>161</v>
      </c>
      <c r="G2367" s="93" t="s">
        <v>161</v>
      </c>
      <c r="H2367" s="93" t="e">
        <v>#N/A</v>
      </c>
      <c r="I2367" s="105" t="s">
        <v>2310</v>
      </c>
      <c r="J2367" s="93" t="s">
        <v>189</v>
      </c>
      <c r="K2367" s="93">
        <v>3949</v>
      </c>
      <c r="L2367" s="93">
        <v>3949</v>
      </c>
      <c r="M2367" s="93" t="s">
        <v>2311</v>
      </c>
      <c r="N2367" s="93" t="e">
        <f>VLOOKUP(B2367,'[16]01.수집 카테고리(List)'!$A$2:$H$64,8,FALSE)</f>
        <v>#N/A</v>
      </c>
      <c r="O2367" s="93"/>
    </row>
    <row r="2368" spans="1:15" hidden="1">
      <c r="A2368" s="75" t="str">
        <f t="shared" si="88"/>
        <v>PTWORTENTVoled TVTV OLED</v>
      </c>
      <c r="B2368" s="94" t="str">
        <f t="shared" si="89"/>
        <v>PT_WORTEN</v>
      </c>
      <c r="C2368" s="93" t="s">
        <v>457</v>
      </c>
      <c r="D2368" s="93" t="s">
        <v>460</v>
      </c>
      <c r="E2368" s="93" t="s">
        <v>161</v>
      </c>
      <c r="F2368" s="93" t="s">
        <v>2369</v>
      </c>
      <c r="G2368" s="93" t="s">
        <v>2840</v>
      </c>
      <c r="H2368" s="93" t="e">
        <v>#N/A</v>
      </c>
      <c r="I2368" s="105" t="s">
        <v>2310</v>
      </c>
      <c r="J2368" s="93" t="s">
        <v>189</v>
      </c>
      <c r="K2368" s="93">
        <v>580</v>
      </c>
      <c r="L2368" s="93">
        <v>291</v>
      </c>
      <c r="M2368" s="93" t="s">
        <v>2311</v>
      </c>
      <c r="N2368" s="93" t="e">
        <f>VLOOKUP(B2368,'[16]01.수집 카테고리(List)'!$A$2:$H$64,8,FALSE)</f>
        <v>#N/A</v>
      </c>
      <c r="O2368" s="93"/>
    </row>
    <row r="2369" spans="1:15" hidden="1">
      <c r="A2369" s="75" t="str">
        <f t="shared" si="88"/>
        <v>PTWORTENTVuhd TVTV UHD</v>
      </c>
      <c r="B2369" s="94" t="str">
        <f t="shared" si="89"/>
        <v>PT_WORTEN</v>
      </c>
      <c r="C2369" s="93" t="s">
        <v>457</v>
      </c>
      <c r="D2369" s="93" t="s">
        <v>460</v>
      </c>
      <c r="E2369" s="93" t="s">
        <v>161</v>
      </c>
      <c r="F2369" s="93" t="s">
        <v>2399</v>
      </c>
      <c r="G2369" s="93" t="s">
        <v>2841</v>
      </c>
      <c r="H2369" s="93" t="e">
        <v>#N/A</v>
      </c>
      <c r="I2369" s="105" t="s">
        <v>2310</v>
      </c>
      <c r="J2369" s="93" t="s">
        <v>189</v>
      </c>
      <c r="K2369" s="93">
        <v>840</v>
      </c>
      <c r="L2369" s="93" t="e">
        <v>#N/A</v>
      </c>
      <c r="M2369" s="93" t="s">
        <v>2311</v>
      </c>
      <c r="N2369" s="93" t="e">
        <f>VLOOKUP(B2369,'[16]01.수집 카테고리(List)'!$A$2:$H$64,8,FALSE)</f>
        <v>#N/A</v>
      </c>
      <c r="O2369" s="93"/>
    </row>
    <row r="2370" spans="1:15" hidden="1">
      <c r="A2370" s="75" t="str">
        <f t="shared" si="88"/>
        <v>PTWORTENWashing Machinefront loadercarga frontal</v>
      </c>
      <c r="B2370" s="94" t="str">
        <f t="shared" si="89"/>
        <v>PT_WORTEN</v>
      </c>
      <c r="C2370" s="93" t="s">
        <v>457</v>
      </c>
      <c r="D2370" s="93" t="s">
        <v>460</v>
      </c>
      <c r="E2370" s="93" t="s">
        <v>2333</v>
      </c>
      <c r="F2370" s="93" t="s">
        <v>2334</v>
      </c>
      <c r="G2370" s="93" t="s">
        <v>3344</v>
      </c>
      <c r="H2370" s="93" t="e">
        <v>#N/A</v>
      </c>
      <c r="I2370" s="105" t="s">
        <v>2310</v>
      </c>
      <c r="J2370" s="93" t="s">
        <v>189</v>
      </c>
      <c r="K2370" s="93">
        <v>309</v>
      </c>
      <c r="L2370" s="93" t="e">
        <v>#N/A</v>
      </c>
      <c r="M2370" s="93" t="s">
        <v>2311</v>
      </c>
      <c r="N2370" s="93" t="e">
        <f>VLOOKUP(B2370,'[16]01.수집 카테고리(List)'!$A$2:$H$64,8,FALSE)</f>
        <v>#N/A</v>
      </c>
      <c r="O2370" s="93"/>
    </row>
    <row r="2371" spans="1:15" hidden="1">
      <c r="A2371" s="75" t="str">
        <f t="shared" si="88"/>
        <v>PTWORTENWashing Machinewashing machinemáquina de lavar</v>
      </c>
      <c r="B2371" s="94" t="str">
        <f t="shared" si="89"/>
        <v>PT_WORTEN</v>
      </c>
      <c r="C2371" s="93" t="s">
        <v>457</v>
      </c>
      <c r="D2371" s="93" t="s">
        <v>460</v>
      </c>
      <c r="E2371" s="93" t="s">
        <v>2333</v>
      </c>
      <c r="F2371" s="93" t="s">
        <v>2340</v>
      </c>
      <c r="G2371" s="93" t="s">
        <v>2469</v>
      </c>
      <c r="H2371" s="93" t="e">
        <v>#N/A</v>
      </c>
      <c r="I2371" s="105" t="s">
        <v>2310</v>
      </c>
      <c r="J2371" s="93" t="s">
        <v>189</v>
      </c>
      <c r="K2371" s="93">
        <v>5575</v>
      </c>
      <c r="L2371" s="93" t="e">
        <v>#N/A</v>
      </c>
      <c r="M2371" s="93" t="s">
        <v>2311</v>
      </c>
      <c r="N2371" s="93" t="e">
        <f>VLOOKUP(B2371,'[16]01.수집 카테고리(List)'!$A$2:$H$64,8,FALSE)</f>
        <v>#N/A</v>
      </c>
      <c r="O2371" s="93"/>
    </row>
    <row r="2372" spans="1:15" hidden="1">
      <c r="A2372" s="75" t="str">
        <f t="shared" si="88"/>
        <v>PTWORTENWashing Machinewasher dryer combomáquina de lavar e secar</v>
      </c>
      <c r="B2372" s="94" t="str">
        <f t="shared" si="89"/>
        <v>PT_WORTEN</v>
      </c>
      <c r="C2372" s="93" t="s">
        <v>457</v>
      </c>
      <c r="D2372" s="93" t="s">
        <v>460</v>
      </c>
      <c r="E2372" s="93" t="s">
        <v>2333</v>
      </c>
      <c r="F2372" s="93" t="s">
        <v>2338</v>
      </c>
      <c r="G2372" s="93" t="s">
        <v>3345</v>
      </c>
      <c r="H2372" s="93" t="e">
        <v>#N/A</v>
      </c>
      <c r="I2372" s="105" t="s">
        <v>2310</v>
      </c>
      <c r="J2372" s="93" t="s">
        <v>189</v>
      </c>
      <c r="K2372" s="93">
        <v>558</v>
      </c>
      <c r="L2372" s="93" t="e">
        <v>#N/A</v>
      </c>
      <c r="M2372" s="93" t="s">
        <v>2311</v>
      </c>
      <c r="N2372" s="93" t="e">
        <f>VLOOKUP(B2372,'[16]01.수집 카테고리(List)'!$A$2:$H$64,8,FALSE)</f>
        <v>#N/A</v>
      </c>
      <c r="O2372" s="93"/>
    </row>
    <row r="2373" spans="1:15" hidden="1">
      <c r="A2373" s="75" t="str">
        <f t="shared" si="88"/>
        <v>PTWORTENWIRELESS HEADSETEarbudsFones de ouvido</v>
      </c>
      <c r="B2373" s="94" t="str">
        <f t="shared" si="89"/>
        <v>PT_WORTEN</v>
      </c>
      <c r="C2373" s="93" t="s">
        <v>457</v>
      </c>
      <c r="D2373" s="93" t="s">
        <v>460</v>
      </c>
      <c r="E2373" s="93" t="s">
        <v>2201</v>
      </c>
      <c r="F2373" s="93" t="s">
        <v>2534</v>
      </c>
      <c r="G2373" s="93" t="s">
        <v>3346</v>
      </c>
      <c r="H2373" s="93" t="e">
        <v>#N/A</v>
      </c>
      <c r="I2373" s="105" t="s">
        <v>2310</v>
      </c>
      <c r="J2373" s="93" t="s">
        <v>189</v>
      </c>
      <c r="K2373" s="93">
        <v>4165</v>
      </c>
      <c r="L2373" s="93" t="e">
        <v>#N/A</v>
      </c>
      <c r="M2373" s="93" t="s">
        <v>2311</v>
      </c>
      <c r="N2373" s="93" t="e">
        <f>VLOOKUP(B2373,'[16]01.수집 카테고리(List)'!$A$2:$H$64,8,FALSE)</f>
        <v>#N/A</v>
      </c>
      <c r="O2373" s="93"/>
    </row>
    <row r="2374" spans="1:15" hidden="1">
      <c r="A2374" s="75" t="str">
        <f t="shared" si="88"/>
        <v>PTWORTENWIRELESS HEADSETEar budsFones de ouvido</v>
      </c>
      <c r="B2374" s="94" t="str">
        <f t="shared" si="89"/>
        <v>PT_WORTEN</v>
      </c>
      <c r="C2374" s="93" t="s">
        <v>457</v>
      </c>
      <c r="D2374" s="93" t="s">
        <v>460</v>
      </c>
      <c r="E2374" s="93" t="s">
        <v>2201</v>
      </c>
      <c r="F2374" s="93" t="s">
        <v>2380</v>
      </c>
      <c r="G2374" s="93" t="s">
        <v>3346</v>
      </c>
      <c r="H2374" s="93" t="e">
        <v>#N/A</v>
      </c>
      <c r="I2374" s="105" t="s">
        <v>2310</v>
      </c>
      <c r="J2374" s="93" t="s">
        <v>189</v>
      </c>
      <c r="K2374" s="93">
        <v>4165</v>
      </c>
      <c r="L2374" s="93" t="e">
        <v>#N/A</v>
      </c>
      <c r="M2374" s="93" t="s">
        <v>2311</v>
      </c>
      <c r="N2374" s="93" t="e">
        <f>VLOOKUP(B2374,'[16]01.수집 카테고리(List)'!$A$2:$H$64,8,FALSE)</f>
        <v>#N/A</v>
      </c>
      <c r="O2374" s="93"/>
    </row>
    <row r="2375" spans="1:15" hidden="1">
      <c r="A2375" s="75" t="str">
        <f t="shared" si="88"/>
        <v>PTWORTENWIRELESS HEADSETBluetooth HeadphonesFones de ouvido bluetooth</v>
      </c>
      <c r="B2375" s="94" t="str">
        <f t="shared" si="89"/>
        <v>PT_WORTEN</v>
      </c>
      <c r="C2375" s="93" t="s">
        <v>457</v>
      </c>
      <c r="D2375" s="93" t="s">
        <v>460</v>
      </c>
      <c r="E2375" s="93" t="s">
        <v>2201</v>
      </c>
      <c r="F2375" s="93" t="s">
        <v>2533</v>
      </c>
      <c r="G2375" s="93" t="s">
        <v>3347</v>
      </c>
      <c r="H2375" s="93" t="e">
        <v>#N/A</v>
      </c>
      <c r="I2375" s="105" t="s">
        <v>2310</v>
      </c>
      <c r="J2375" s="93" t="s">
        <v>189</v>
      </c>
      <c r="K2375" s="93">
        <v>3802</v>
      </c>
      <c r="L2375" s="93" t="e">
        <v>#N/A</v>
      </c>
      <c r="M2375" s="93" t="s">
        <v>2311</v>
      </c>
      <c r="N2375" s="93" t="e">
        <f>VLOOKUP(B2375,'[16]01.수집 카테고리(List)'!$A$2:$H$64,8,FALSE)</f>
        <v>#N/A</v>
      </c>
      <c r="O2375" s="93"/>
    </row>
    <row r="2376" spans="1:15" hidden="1">
      <c r="A2376" s="75" t="str">
        <f t="shared" si="88"/>
        <v>PTWORTENWIRELESS HEADSETBluetooth earbudsFones de ouvido bluetooth</v>
      </c>
      <c r="B2376" s="94" t="str">
        <f t="shared" si="89"/>
        <v>PT_WORTEN</v>
      </c>
      <c r="C2376" s="93" t="s">
        <v>457</v>
      </c>
      <c r="D2376" s="93" t="s">
        <v>460</v>
      </c>
      <c r="E2376" s="93" t="s">
        <v>2201</v>
      </c>
      <c r="F2376" s="93" t="s">
        <v>2382</v>
      </c>
      <c r="G2376" s="93" t="s">
        <v>3347</v>
      </c>
      <c r="H2376" s="93" t="e">
        <v>#N/A</v>
      </c>
      <c r="I2376" s="105" t="s">
        <v>2310</v>
      </c>
      <c r="J2376" s="93" t="s">
        <v>189</v>
      </c>
      <c r="K2376" s="93">
        <v>3802</v>
      </c>
      <c r="L2376" s="93" t="e">
        <v>#N/A</v>
      </c>
      <c r="M2376" s="93" t="s">
        <v>2311</v>
      </c>
      <c r="N2376" s="93" t="e">
        <f>VLOOKUP(B2376,'[16]01.수집 카테고리(List)'!$A$2:$H$64,8,FALSE)</f>
        <v>#N/A</v>
      </c>
      <c r="O2376" s="93"/>
    </row>
    <row r="2377" spans="1:15" hidden="1">
      <c r="A2377" s="75" t="str">
        <f t="shared" si="88"/>
        <v>PTWORTENWIRELESS HEADSETWireless earbudsFones de ouvido sem fio</v>
      </c>
      <c r="B2377" s="94" t="str">
        <f t="shared" si="89"/>
        <v>PT_WORTEN</v>
      </c>
      <c r="C2377" s="93" t="s">
        <v>457</v>
      </c>
      <c r="D2377" s="93" t="s">
        <v>460</v>
      </c>
      <c r="E2377" s="93" t="s">
        <v>2201</v>
      </c>
      <c r="F2377" s="93" t="s">
        <v>2376</v>
      </c>
      <c r="G2377" s="93" t="s">
        <v>3348</v>
      </c>
      <c r="H2377" s="93" t="e">
        <v>#N/A</v>
      </c>
      <c r="I2377" s="105" t="s">
        <v>2310</v>
      </c>
      <c r="J2377" s="93" t="s">
        <v>189</v>
      </c>
      <c r="K2377" s="93">
        <v>4360</v>
      </c>
      <c r="L2377" s="93" t="e">
        <v>#N/A</v>
      </c>
      <c r="M2377" s="93" t="s">
        <v>2311</v>
      </c>
      <c r="N2377" s="93" t="e">
        <f>VLOOKUP(B2377,'[16]01.수집 카테고리(List)'!$A$2:$H$64,8,FALSE)</f>
        <v>#N/A</v>
      </c>
      <c r="O2377" s="93"/>
    </row>
    <row r="2378" spans="1:15" hidden="1">
      <c r="A2378" s="75" t="str">
        <f t="shared" si="88"/>
        <v>RUCITILINKBluetooth SpeakerBluetooth speakersBluetooth-колонки</v>
      </c>
      <c r="B2378" s="94" t="str">
        <f t="shared" si="89"/>
        <v>RU_CITILINK</v>
      </c>
      <c r="C2378" s="93" t="s">
        <v>416</v>
      </c>
      <c r="D2378" s="93" t="s">
        <v>421</v>
      </c>
      <c r="E2378" s="93" t="s">
        <v>2307</v>
      </c>
      <c r="F2378" s="93" t="s">
        <v>2425</v>
      </c>
      <c r="G2378" s="93" t="s">
        <v>3356</v>
      </c>
      <c r="H2378" s="93" t="e">
        <v>#N/A</v>
      </c>
      <c r="I2378" s="105" t="s">
        <v>2310</v>
      </c>
      <c r="J2378" s="93" t="s">
        <v>189</v>
      </c>
      <c r="K2378" s="93">
        <v>2798</v>
      </c>
      <c r="L2378" s="93" t="e">
        <v>#N/A</v>
      </c>
      <c r="M2378" s="93" t="s">
        <v>2311</v>
      </c>
      <c r="N2378" s="93" t="e">
        <f>VLOOKUP(B2378,'[16]01.수집 카테고리(List)'!$A$2:$H$64,8,FALSE)</f>
        <v>#N/A</v>
      </c>
      <c r="O2378" s="93"/>
    </row>
    <row r="2379" spans="1:15" hidden="1">
      <c r="A2379" s="75" t="str">
        <f t="shared" si="88"/>
        <v>RUCITILINKBluetooth SpeakerSpeakersКомпьютерные колонки</v>
      </c>
      <c r="B2379" s="94" t="str">
        <f t="shared" si="89"/>
        <v>RU_CITILINK</v>
      </c>
      <c r="C2379" s="93" t="s">
        <v>416</v>
      </c>
      <c r="D2379" s="93" t="s">
        <v>421</v>
      </c>
      <c r="E2379" s="93" t="s">
        <v>2307</v>
      </c>
      <c r="F2379" s="93" t="s">
        <v>2429</v>
      </c>
      <c r="G2379" s="93" t="s">
        <v>3357</v>
      </c>
      <c r="H2379" s="93" t="e">
        <v>#N/A</v>
      </c>
      <c r="I2379" s="105" t="s">
        <v>2310</v>
      </c>
      <c r="J2379" s="93" t="s">
        <v>189</v>
      </c>
      <c r="K2379" s="93">
        <v>39</v>
      </c>
      <c r="L2379" s="93" t="e">
        <v>#N/A</v>
      </c>
      <c r="M2379" s="93" t="s">
        <v>2311</v>
      </c>
      <c r="N2379" s="93" t="e">
        <f>VLOOKUP(B2379,'[16]01.수집 카테고리(List)'!$A$2:$H$64,8,FALSE)</f>
        <v>#N/A</v>
      </c>
      <c r="O2379" s="93"/>
    </row>
    <row r="2380" spans="1:15" hidden="1">
      <c r="A2380" s="75" t="str">
        <f t="shared" si="88"/>
        <v>RUCITILINKBluetooth SpeakerSpeakerОратор</v>
      </c>
      <c r="B2380" s="94" t="str">
        <f t="shared" si="89"/>
        <v>RU_CITILINK</v>
      </c>
      <c r="C2380" s="93" t="s">
        <v>416</v>
      </c>
      <c r="D2380" s="93" t="s">
        <v>421</v>
      </c>
      <c r="E2380" s="93" t="s">
        <v>2307</v>
      </c>
      <c r="F2380" s="93" t="s">
        <v>2428</v>
      </c>
      <c r="G2380" s="93" t="s">
        <v>3358</v>
      </c>
      <c r="H2380" s="93" t="e">
        <v>#N/A</v>
      </c>
      <c r="I2380" s="105" t="s">
        <v>2310</v>
      </c>
      <c r="J2380" s="93" t="s">
        <v>189</v>
      </c>
      <c r="K2380" s="93">
        <v>124</v>
      </c>
      <c r="L2380" s="93" t="e">
        <v>#N/A</v>
      </c>
      <c r="M2380" s="93" t="s">
        <v>2311</v>
      </c>
      <c r="N2380" s="93" t="e">
        <f>VLOOKUP(B2380,'[16]01.수집 카테고리(List)'!$A$2:$H$64,8,FALSE)</f>
        <v>#N/A</v>
      </c>
      <c r="O2380" s="93"/>
    </row>
    <row r="2381" spans="1:15" hidden="1">
      <c r="A2381" s="75" t="str">
        <f t="shared" si="88"/>
        <v>RUCITILINKBluetooth SpeakerPortable speakersПортативные колонки</v>
      </c>
      <c r="B2381" s="94" t="str">
        <f t="shared" si="89"/>
        <v>RU_CITILINK</v>
      </c>
      <c r="C2381" s="93" t="s">
        <v>416</v>
      </c>
      <c r="D2381" s="93" t="s">
        <v>421</v>
      </c>
      <c r="E2381" s="93" t="s">
        <v>2307</v>
      </c>
      <c r="F2381" s="93" t="s">
        <v>2427</v>
      </c>
      <c r="G2381" s="93" t="s">
        <v>3359</v>
      </c>
      <c r="H2381" s="93" t="e">
        <v>#N/A</v>
      </c>
      <c r="I2381" s="105" t="s">
        <v>2310</v>
      </c>
      <c r="J2381" s="93" t="s">
        <v>189</v>
      </c>
      <c r="K2381" s="93">
        <v>3281</v>
      </c>
      <c r="L2381" s="93" t="e">
        <v>#N/A</v>
      </c>
      <c r="M2381" s="93" t="s">
        <v>2311</v>
      </c>
      <c r="N2381" s="93" t="e">
        <f>VLOOKUP(B2381,'[16]01.수집 카테고리(List)'!$A$2:$H$64,8,FALSE)</f>
        <v>#N/A</v>
      </c>
      <c r="O2381" s="93"/>
    </row>
    <row r="2382" spans="1:15" hidden="1">
      <c r="A2382" s="75" t="str">
        <f t="shared" si="88"/>
        <v>RUCITILINKBluetooth SpeakerPortable bluetooth speakersПортативные колонки bluetooth</v>
      </c>
      <c r="B2382" s="94" t="str">
        <f t="shared" si="89"/>
        <v>RU_CITILINK</v>
      </c>
      <c r="C2382" s="93" t="s">
        <v>416</v>
      </c>
      <c r="D2382" s="93" t="s">
        <v>421</v>
      </c>
      <c r="E2382" s="93" t="s">
        <v>2307</v>
      </c>
      <c r="F2382" s="93" t="s">
        <v>2426</v>
      </c>
      <c r="G2382" s="93" t="s">
        <v>3360</v>
      </c>
      <c r="H2382" s="93" t="e">
        <v>#N/A</v>
      </c>
      <c r="I2382" s="105" t="s">
        <v>2310</v>
      </c>
      <c r="J2382" s="93" t="s">
        <v>189</v>
      </c>
      <c r="K2382" s="93">
        <v>2635</v>
      </c>
      <c r="L2382" s="93" t="e">
        <v>#N/A</v>
      </c>
      <c r="M2382" s="93" t="s">
        <v>2311</v>
      </c>
      <c r="N2382" s="93" t="e">
        <f>VLOOKUP(B2382,'[16]01.수집 카테고리(List)'!$A$2:$H$64,8,FALSE)</f>
        <v>#N/A</v>
      </c>
      <c r="O2382" s="93"/>
    </row>
    <row r="2383" spans="1:15" hidden="1">
      <c r="A2383" s="75" t="str">
        <f t="shared" si="88"/>
        <v>RUCITILINKCordless stick vacuumcordless vacuum cleanerБеспроводные пылесосы</v>
      </c>
      <c r="B2383" s="94" t="str">
        <f t="shared" si="89"/>
        <v>RU_CITILINK</v>
      </c>
      <c r="C2383" s="93" t="s">
        <v>416</v>
      </c>
      <c r="D2383" s="93" t="s">
        <v>421</v>
      </c>
      <c r="E2383" s="93" t="s">
        <v>2435</v>
      </c>
      <c r="F2383" s="93" t="s">
        <v>3361</v>
      </c>
      <c r="G2383" s="93" t="s">
        <v>3362</v>
      </c>
      <c r="H2383" s="93" t="e">
        <v>#N/A</v>
      </c>
      <c r="I2383" s="105" t="s">
        <v>2310</v>
      </c>
      <c r="J2383" s="93" t="s">
        <v>189</v>
      </c>
      <c r="K2383" s="93">
        <v>4063</v>
      </c>
      <c r="L2383" s="93" t="e">
        <v>#N/A</v>
      </c>
      <c r="M2383" s="93" t="s">
        <v>2311</v>
      </c>
      <c r="N2383" s="93" t="e">
        <f>VLOOKUP(B2383,'[16]01.수집 카테고리(List)'!$A$2:$H$64,8,FALSE)</f>
        <v>#N/A</v>
      </c>
      <c r="O2383" s="93"/>
    </row>
    <row r="2384" spans="1:15" hidden="1">
      <c r="A2384" s="75" t="str">
        <f t="shared" si="88"/>
        <v>RUCITILINKCordless stick vacuumstick vacuum cleanerВертикальный пылесос</v>
      </c>
      <c r="B2384" s="94" t="str">
        <f t="shared" si="89"/>
        <v>RU_CITILINK</v>
      </c>
      <c r="C2384" s="93" t="s">
        <v>416</v>
      </c>
      <c r="D2384" s="93" t="s">
        <v>421</v>
      </c>
      <c r="E2384" s="93" t="s">
        <v>2435</v>
      </c>
      <c r="F2384" s="93" t="s">
        <v>2439</v>
      </c>
      <c r="G2384" s="93" t="s">
        <v>3363</v>
      </c>
      <c r="H2384" s="93" t="e">
        <v>#N/A</v>
      </c>
      <c r="I2384" s="105" t="s">
        <v>2310</v>
      </c>
      <c r="J2384" s="93" t="s">
        <v>189</v>
      </c>
      <c r="K2384" s="93">
        <v>5727</v>
      </c>
      <c r="L2384" s="93" t="e">
        <v>#N/A</v>
      </c>
      <c r="M2384" s="93" t="s">
        <v>2311</v>
      </c>
      <c r="N2384" s="93" t="e">
        <f>VLOOKUP(B2384,'[16]01.수집 카테고리(List)'!$A$2:$H$64,8,FALSE)</f>
        <v>#N/A</v>
      </c>
      <c r="O2384" s="93"/>
    </row>
    <row r="2385" spans="1:15" hidden="1">
      <c r="A2385" s="75" t="str">
        <f t="shared" si="88"/>
        <v>RUCITILINKRefrigeratortop freezer refrigeratorверхний морозильник</v>
      </c>
      <c r="B2385" s="94" t="str">
        <f t="shared" si="89"/>
        <v>RU_CITILINK</v>
      </c>
      <c r="C2385" s="93" t="s">
        <v>416</v>
      </c>
      <c r="D2385" s="93" t="s">
        <v>421</v>
      </c>
      <c r="E2385" s="93" t="s">
        <v>2326</v>
      </c>
      <c r="F2385" s="93" t="s">
        <v>2332</v>
      </c>
      <c r="G2385" s="93" t="s">
        <v>3364</v>
      </c>
      <c r="H2385" s="93" t="e">
        <v>#N/A</v>
      </c>
      <c r="I2385" s="105" t="s">
        <v>2310</v>
      </c>
      <c r="J2385" s="93" t="s">
        <v>189</v>
      </c>
      <c r="K2385" s="93">
        <v>115</v>
      </c>
      <c r="L2385" s="93" t="e">
        <v>#N/A</v>
      </c>
      <c r="M2385" s="93" t="s">
        <v>2311</v>
      </c>
      <c r="N2385" s="93" t="e">
        <f>VLOOKUP(B2385,'[16]01.수집 카테고리(List)'!$A$2:$H$64,8,FALSE)</f>
        <v>#N/A</v>
      </c>
      <c r="O2385" s="93"/>
    </row>
    <row r="2386" spans="1:15" hidden="1">
      <c r="A2386" s="75" t="str">
        <f t="shared" si="88"/>
        <v>RUCITILINKRefrigeratorbottom freezer refrigeratorнижний морозильник</v>
      </c>
      <c r="B2386" s="94" t="str">
        <f t="shared" si="89"/>
        <v>RU_CITILINK</v>
      </c>
      <c r="C2386" s="93" t="s">
        <v>416</v>
      </c>
      <c r="D2386" s="93" t="s">
        <v>421</v>
      </c>
      <c r="E2386" s="93" t="s">
        <v>2326</v>
      </c>
      <c r="F2386" s="93" t="s">
        <v>2327</v>
      </c>
      <c r="G2386" s="93" t="s">
        <v>3365</v>
      </c>
      <c r="H2386" s="93" t="e">
        <v>#N/A</v>
      </c>
      <c r="I2386" s="105" t="s">
        <v>2310</v>
      </c>
      <c r="J2386" s="93" t="s">
        <v>189</v>
      </c>
      <c r="K2386" s="93">
        <v>7089</v>
      </c>
      <c r="L2386" s="93" t="e">
        <v>#N/A</v>
      </c>
      <c r="M2386" s="93" t="s">
        <v>2311</v>
      </c>
      <c r="N2386" s="93" t="e">
        <f>VLOOKUP(B2386,'[16]01.수집 카테고리(List)'!$A$2:$H$64,8,FALSE)</f>
        <v>#N/A</v>
      </c>
      <c r="O2386" s="93"/>
    </row>
    <row r="2387" spans="1:15" hidden="1">
      <c r="A2387" s="75" t="str">
        <f t="shared" si="88"/>
        <v>RUCITILINKRefrigeratorfrench door refrigeratorфранцузский холодильник</v>
      </c>
      <c r="B2387" s="94" t="str">
        <f t="shared" si="89"/>
        <v>RU_CITILINK</v>
      </c>
      <c r="C2387" s="93" t="s">
        <v>416</v>
      </c>
      <c r="D2387" s="93" t="s">
        <v>421</v>
      </c>
      <c r="E2387" s="93" t="s">
        <v>2326</v>
      </c>
      <c r="F2387" s="93" t="s">
        <v>2328</v>
      </c>
      <c r="G2387" s="93" t="s">
        <v>3366</v>
      </c>
      <c r="H2387" s="93" t="e">
        <v>#N/A</v>
      </c>
      <c r="I2387" s="105" t="s">
        <v>2310</v>
      </c>
      <c r="J2387" s="93" t="s">
        <v>189</v>
      </c>
      <c r="K2387" s="93">
        <v>22975</v>
      </c>
      <c r="L2387" s="93" t="e">
        <v>#N/A</v>
      </c>
      <c r="M2387" s="93" t="s">
        <v>2311</v>
      </c>
      <c r="N2387" s="93" t="e">
        <f>VLOOKUP(B2387,'[16]01.수집 카테고리(List)'!$A$2:$H$64,8,FALSE)</f>
        <v>#N/A</v>
      </c>
      <c r="O2387" s="93"/>
    </row>
    <row r="2388" spans="1:15" hidden="1">
      <c r="A2388" s="75" t="str">
        <f t="shared" si="88"/>
        <v>RUCITILINKRefrigeratorrefrigeratorхолодильник</v>
      </c>
      <c r="B2388" s="94" t="str">
        <f t="shared" si="89"/>
        <v>RU_CITILINK</v>
      </c>
      <c r="C2388" s="93" t="s">
        <v>416</v>
      </c>
      <c r="D2388" s="93" t="s">
        <v>421</v>
      </c>
      <c r="E2388" s="93" t="s">
        <v>2326</v>
      </c>
      <c r="F2388" s="93" t="s">
        <v>2329</v>
      </c>
      <c r="G2388" s="93" t="s">
        <v>3132</v>
      </c>
      <c r="H2388" s="93" t="e">
        <v>#N/A</v>
      </c>
      <c r="I2388" s="105" t="s">
        <v>2310</v>
      </c>
      <c r="J2388" s="93" t="s">
        <v>189</v>
      </c>
      <c r="K2388" s="93">
        <v>16778</v>
      </c>
      <c r="L2388" s="93" t="e">
        <v>#N/A</v>
      </c>
      <c r="M2388" s="93" t="s">
        <v>2311</v>
      </c>
      <c r="N2388" s="93" t="e">
        <f>VLOOKUP(B2388,'[16]01.수집 카테고리(List)'!$A$2:$H$64,8,FALSE)</f>
        <v>#N/A</v>
      </c>
      <c r="O2388" s="93"/>
    </row>
    <row r="2389" spans="1:15" hidden="1">
      <c r="A2389" s="75" t="str">
        <f t="shared" si="88"/>
        <v>RUCITILINKRefrigeratorside by side refrigeratorхолодильник side by side</v>
      </c>
      <c r="B2389" s="94" t="str">
        <f t="shared" si="89"/>
        <v>RU_CITILINK</v>
      </c>
      <c r="C2389" s="93" t="s">
        <v>416</v>
      </c>
      <c r="D2389" s="93" t="s">
        <v>421</v>
      </c>
      <c r="E2389" s="93" t="s">
        <v>2326</v>
      </c>
      <c r="F2389" s="93" t="s">
        <v>2330</v>
      </c>
      <c r="G2389" s="93" t="s">
        <v>3367</v>
      </c>
      <c r="H2389" s="93" t="e">
        <v>#N/A</v>
      </c>
      <c r="I2389" s="105" t="s">
        <v>2310</v>
      </c>
      <c r="J2389" s="93" t="s">
        <v>189</v>
      </c>
      <c r="K2389" s="93">
        <v>3647</v>
      </c>
      <c r="L2389" s="93" t="e">
        <v>#N/A</v>
      </c>
      <c r="M2389" s="93" t="s">
        <v>2311</v>
      </c>
      <c r="N2389" s="93" t="e">
        <f>VLOOKUP(B2389,'[16]01.수집 카테고리(List)'!$A$2:$H$64,8,FALSE)</f>
        <v>#N/A</v>
      </c>
      <c r="O2389" s="93"/>
    </row>
    <row r="2390" spans="1:15" hidden="1">
      <c r="A2390" s="75" t="str">
        <f t="shared" si="88"/>
        <v>RUCITILINKSOUNDBARSound barЗвуковая панель</v>
      </c>
      <c r="B2390" s="94" t="str">
        <f t="shared" si="89"/>
        <v>RU_CITILINK</v>
      </c>
      <c r="C2390" s="93" t="s">
        <v>416</v>
      </c>
      <c r="D2390" s="93" t="s">
        <v>421</v>
      </c>
      <c r="E2390" s="93" t="s">
        <v>165</v>
      </c>
      <c r="F2390" s="93" t="s">
        <v>2365</v>
      </c>
      <c r="G2390" s="93" t="s">
        <v>3368</v>
      </c>
      <c r="H2390" s="93" t="e">
        <v>#N/A</v>
      </c>
      <c r="I2390" s="105" t="s">
        <v>2310</v>
      </c>
      <c r="J2390" s="93" t="s">
        <v>189</v>
      </c>
      <c r="K2390" s="93">
        <v>1328</v>
      </c>
      <c r="L2390" s="93" t="e">
        <v>#N/A</v>
      </c>
      <c r="M2390" s="93" t="s">
        <v>2311</v>
      </c>
      <c r="N2390" s="93" t="e">
        <f>VLOOKUP(B2390,'[16]01.수집 카테고리(List)'!$A$2:$H$64,8,FALSE)</f>
        <v>#N/A</v>
      </c>
      <c r="O2390" s="93"/>
    </row>
    <row r="2391" spans="1:15" hidden="1">
      <c r="A2391" s="75" t="str">
        <f t="shared" si="88"/>
        <v>RUCITILINKSOUNDBARSoundbarЗвуковая панель</v>
      </c>
      <c r="B2391" s="94" t="str">
        <f t="shared" si="89"/>
        <v>RU_CITILINK</v>
      </c>
      <c r="C2391" s="93" t="s">
        <v>416</v>
      </c>
      <c r="D2391" s="93" t="s">
        <v>421</v>
      </c>
      <c r="E2391" s="93" t="s">
        <v>165</v>
      </c>
      <c r="F2391" s="93" t="s">
        <v>2363</v>
      </c>
      <c r="G2391" s="93" t="s">
        <v>3368</v>
      </c>
      <c r="H2391" s="93" t="e">
        <v>#N/A</v>
      </c>
      <c r="I2391" s="105" t="s">
        <v>2310</v>
      </c>
      <c r="J2391" s="93" t="s">
        <v>189</v>
      </c>
      <c r="K2391" s="93">
        <v>1328</v>
      </c>
      <c r="L2391" s="93" t="e">
        <v>#N/A</v>
      </c>
      <c r="M2391" s="93" t="s">
        <v>2311</v>
      </c>
      <c r="N2391" s="93" t="e">
        <f>VLOOKUP(B2391,'[16]01.수집 카테고리(List)'!$A$2:$H$64,8,FALSE)</f>
        <v>#N/A</v>
      </c>
      <c r="O2391" s="93"/>
    </row>
    <row r="2392" spans="1:15" hidden="1">
      <c r="A2392" s="75" t="str">
        <f t="shared" si="88"/>
        <v>RUCITILINKSOUNDBARSound bars for tvСаундбары для ТВ</v>
      </c>
      <c r="B2392" s="94" t="str">
        <f t="shared" si="89"/>
        <v>RU_CITILINK</v>
      </c>
      <c r="C2392" s="93" t="s">
        <v>416</v>
      </c>
      <c r="D2392" s="93" t="s">
        <v>421</v>
      </c>
      <c r="E2392" s="93" t="s">
        <v>165</v>
      </c>
      <c r="F2392" s="93" t="s">
        <v>2430</v>
      </c>
      <c r="G2392" s="93" t="s">
        <v>3369</v>
      </c>
      <c r="H2392" s="93" t="e">
        <v>#N/A</v>
      </c>
      <c r="I2392" s="105" t="s">
        <v>2310</v>
      </c>
      <c r="J2392" s="93" t="s">
        <v>189</v>
      </c>
      <c r="K2392" s="93">
        <v>293</v>
      </c>
      <c r="L2392" s="93" t="e">
        <v>#N/A</v>
      </c>
      <c r="M2392" s="93" t="s">
        <v>2311</v>
      </c>
      <c r="N2392" s="93" t="e">
        <f>VLOOKUP(B2392,'[16]01.수집 카테고리(List)'!$A$2:$H$64,8,FALSE)</f>
        <v>#N/A</v>
      </c>
      <c r="O2392" s="93"/>
    </row>
    <row r="2393" spans="1:15" hidden="1">
      <c r="A2393" s="75" t="str">
        <f t="shared" si="88"/>
        <v>RUCITILINKSOUNDBARSurround sound systemСистема объемного звука</v>
      </c>
      <c r="B2393" s="94" t="str">
        <f t="shared" si="89"/>
        <v>RU_CITILINK</v>
      </c>
      <c r="C2393" s="93" t="s">
        <v>416</v>
      </c>
      <c r="D2393" s="93" t="s">
        <v>421</v>
      </c>
      <c r="E2393" s="93" t="s">
        <v>165</v>
      </c>
      <c r="F2393" s="93" t="s">
        <v>2772</v>
      </c>
      <c r="G2393" s="93" t="s">
        <v>3370</v>
      </c>
      <c r="H2393" s="93" t="e">
        <v>#N/A</v>
      </c>
      <c r="I2393" s="105" t="s">
        <v>2310</v>
      </c>
      <c r="J2393" s="93" t="s">
        <v>189</v>
      </c>
      <c r="K2393" s="93">
        <v>307</v>
      </c>
      <c r="L2393" s="93" t="e">
        <v>#N/A</v>
      </c>
      <c r="M2393" s="93" t="s">
        <v>2311</v>
      </c>
      <c r="N2393" s="93" t="e">
        <f>VLOOKUP(B2393,'[16]01.수집 카테고리(List)'!$A$2:$H$64,8,FALSE)</f>
        <v>#N/A</v>
      </c>
      <c r="O2393" s="93"/>
    </row>
    <row r="2394" spans="1:15" hidden="1">
      <c r="A2394" s="75" t="str">
        <f t="shared" si="88"/>
        <v>RUCITILINKSOUNDBARtv sound barтв саундбар</v>
      </c>
      <c r="B2394" s="94" t="str">
        <f t="shared" si="89"/>
        <v>RU_CITILINK</v>
      </c>
      <c r="C2394" s="93" t="s">
        <v>416</v>
      </c>
      <c r="D2394" s="93" t="s">
        <v>421</v>
      </c>
      <c r="E2394" s="93" t="s">
        <v>165</v>
      </c>
      <c r="F2394" s="93" t="s">
        <v>2833</v>
      </c>
      <c r="G2394" s="93" t="s">
        <v>3371</v>
      </c>
      <c r="H2394" s="93" t="e">
        <v>#N/A</v>
      </c>
      <c r="I2394" s="105" t="s">
        <v>2310</v>
      </c>
      <c r="J2394" s="93" t="s">
        <v>189</v>
      </c>
      <c r="K2394" s="93">
        <v>18</v>
      </c>
      <c r="L2394" s="93" t="e">
        <v>#N/A</v>
      </c>
      <c r="M2394" s="93" t="s">
        <v>2311</v>
      </c>
      <c r="N2394" s="93" t="e">
        <f>VLOOKUP(B2394,'[16]01.수집 카테고리(List)'!$A$2:$H$64,8,FALSE)</f>
        <v>#N/A</v>
      </c>
      <c r="O2394" s="93"/>
    </row>
    <row r="2395" spans="1:15" hidden="1">
      <c r="A2395" s="75" t="str">
        <f t="shared" si="88"/>
        <v>RUCITILINKTV4k TV4k телевизор</v>
      </c>
      <c r="B2395" s="94" t="str">
        <f t="shared" si="89"/>
        <v>RU_CITILINK</v>
      </c>
      <c r="C2395" s="93" t="s">
        <v>416</v>
      </c>
      <c r="D2395" s="93" t="s">
        <v>421</v>
      </c>
      <c r="E2395" s="93" t="s">
        <v>161</v>
      </c>
      <c r="F2395" s="93" t="s">
        <v>2368</v>
      </c>
      <c r="G2395" s="93" t="s">
        <v>3139</v>
      </c>
      <c r="H2395" s="93" t="e">
        <v>#N/A</v>
      </c>
      <c r="I2395" s="105" t="s">
        <v>2310</v>
      </c>
      <c r="J2395" s="93" t="s">
        <v>189</v>
      </c>
      <c r="K2395" s="93">
        <v>4944</v>
      </c>
      <c r="L2395" s="93" t="e">
        <v>#N/A</v>
      </c>
      <c r="M2395" s="93" t="s">
        <v>2311</v>
      </c>
      <c r="N2395" s="93" t="e">
        <f>VLOOKUP(B2395,'[16]01.수집 카테고리(List)'!$A$2:$H$64,8,FALSE)</f>
        <v>#N/A</v>
      </c>
      <c r="O2395" s="93"/>
    </row>
    <row r="2396" spans="1:15" hidden="1">
      <c r="A2396" s="75" t="str">
        <f t="shared" si="88"/>
        <v>RUCITILINKTVoled TVoled</v>
      </c>
      <c r="B2396" s="94" t="str">
        <f t="shared" si="89"/>
        <v>RU_CITILINK</v>
      </c>
      <c r="C2396" s="93" t="s">
        <v>416</v>
      </c>
      <c r="D2396" s="93" t="s">
        <v>421</v>
      </c>
      <c r="E2396" s="93" t="s">
        <v>161</v>
      </c>
      <c r="F2396" s="93" t="s">
        <v>2369</v>
      </c>
      <c r="G2396" s="93" t="s">
        <v>2370</v>
      </c>
      <c r="H2396" s="93" t="e">
        <v>#N/A</v>
      </c>
      <c r="I2396" s="105" t="s">
        <v>2310</v>
      </c>
      <c r="J2396" s="93" t="s">
        <v>189</v>
      </c>
      <c r="K2396" s="93">
        <v>1288</v>
      </c>
      <c r="L2396" s="93">
        <v>169</v>
      </c>
      <c r="M2396" s="93" t="s">
        <v>2311</v>
      </c>
      <c r="N2396" s="93" t="e">
        <f>VLOOKUP(B2396,'[16]01.수집 카테고리(List)'!$A$2:$H$64,8,FALSE)</f>
        <v>#N/A</v>
      </c>
      <c r="O2396" s="93"/>
    </row>
    <row r="2397" spans="1:15" hidden="1">
      <c r="A2397" s="75" t="str">
        <f t="shared" si="88"/>
        <v>RUCITILINKTVoled TVoled телевизор</v>
      </c>
      <c r="B2397" s="94" t="str">
        <f t="shared" si="89"/>
        <v>RU_CITILINK</v>
      </c>
      <c r="C2397" s="93" t="s">
        <v>416</v>
      </c>
      <c r="D2397" s="93" t="s">
        <v>421</v>
      </c>
      <c r="E2397" s="93" t="s">
        <v>161</v>
      </c>
      <c r="F2397" s="93" t="s">
        <v>2369</v>
      </c>
      <c r="G2397" s="93" t="s">
        <v>3140</v>
      </c>
      <c r="H2397" s="93" t="e">
        <v>#N/A</v>
      </c>
      <c r="I2397" s="105" t="s">
        <v>2310</v>
      </c>
      <c r="J2397" s="93" t="s">
        <v>189</v>
      </c>
      <c r="K2397" s="93" t="e">
        <v>#N/A</v>
      </c>
      <c r="L2397" s="93">
        <v>169</v>
      </c>
      <c r="M2397" s="93" t="s">
        <v>2351</v>
      </c>
      <c r="N2397" s="93" t="e">
        <f>VLOOKUP(B2397,'[16]01.수집 카테고리(List)'!$A$2:$H$64,8,FALSE)</f>
        <v>#N/A</v>
      </c>
      <c r="O2397" s="93"/>
    </row>
    <row r="2398" spans="1:15" hidden="1">
      <c r="A2398" s="75" t="str">
        <f t="shared" si="88"/>
        <v>RUCITILINKTVuhd TVuhd телевизор</v>
      </c>
      <c r="B2398" s="94" t="str">
        <f t="shared" si="89"/>
        <v>RU_CITILINK</v>
      </c>
      <c r="C2398" s="93" t="s">
        <v>416</v>
      </c>
      <c r="D2398" s="93" t="s">
        <v>421</v>
      </c>
      <c r="E2398" s="93" t="s">
        <v>161</v>
      </c>
      <c r="F2398" s="93" t="s">
        <v>2399</v>
      </c>
      <c r="G2398" s="93" t="s">
        <v>3141</v>
      </c>
      <c r="H2398" s="93" t="e">
        <v>#N/A</v>
      </c>
      <c r="I2398" s="105" t="s">
        <v>2310</v>
      </c>
      <c r="J2398" s="93" t="s">
        <v>189</v>
      </c>
      <c r="K2398" s="93">
        <v>257</v>
      </c>
      <c r="L2398" s="93" t="e">
        <v>#N/A</v>
      </c>
      <c r="M2398" s="93" t="s">
        <v>2311</v>
      </c>
      <c r="N2398" s="93" t="e">
        <f>VLOOKUP(B2398,'[16]01.수집 카테고리(List)'!$A$2:$H$64,8,FALSE)</f>
        <v>#N/A</v>
      </c>
      <c r="O2398" s="93"/>
    </row>
    <row r="2399" spans="1:15" hidden="1">
      <c r="A2399" s="75" t="str">
        <f t="shared" si="88"/>
        <v>RUCITILINKTVoled TVолед</v>
      </c>
      <c r="B2399" s="94" t="str">
        <f t="shared" si="89"/>
        <v>RU_CITILINK</v>
      </c>
      <c r="C2399" s="93" t="s">
        <v>416</v>
      </c>
      <c r="D2399" s="93" t="s">
        <v>421</v>
      </c>
      <c r="E2399" s="93" t="s">
        <v>161</v>
      </c>
      <c r="F2399" s="93" t="s">
        <v>2369</v>
      </c>
      <c r="G2399" s="93" t="s">
        <v>3372</v>
      </c>
      <c r="H2399" s="93" t="e">
        <v>#N/A</v>
      </c>
      <c r="I2399" s="105" t="s">
        <v>2310</v>
      </c>
      <c r="J2399" s="93" t="s">
        <v>189</v>
      </c>
      <c r="K2399" s="93">
        <v>1299</v>
      </c>
      <c r="L2399" s="93">
        <v>169</v>
      </c>
      <c r="M2399" s="93" t="s">
        <v>2311</v>
      </c>
      <c r="N2399" s="93" t="e">
        <f>VLOOKUP(B2399,'[16]01.수집 카테고리(List)'!$A$2:$H$64,8,FALSE)</f>
        <v>#N/A</v>
      </c>
      <c r="O2399" s="93"/>
    </row>
    <row r="2400" spans="1:15" hidden="1">
      <c r="A2400" s="75" t="str">
        <f t="shared" si="88"/>
        <v>RUCITILINKTVoled TVолед тв</v>
      </c>
      <c r="B2400" s="94" t="str">
        <f t="shared" si="89"/>
        <v>RU_CITILINK</v>
      </c>
      <c r="C2400" s="93" t="s">
        <v>416</v>
      </c>
      <c r="D2400" s="93" t="s">
        <v>421</v>
      </c>
      <c r="E2400" s="93" t="s">
        <v>161</v>
      </c>
      <c r="F2400" s="93" t="s">
        <v>2369</v>
      </c>
      <c r="G2400" s="93" t="s">
        <v>3373</v>
      </c>
      <c r="H2400" s="93" t="e">
        <v>#N/A</v>
      </c>
      <c r="I2400" s="105" t="s">
        <v>2310</v>
      </c>
      <c r="J2400" s="93" t="s">
        <v>189</v>
      </c>
      <c r="K2400" s="93">
        <v>170</v>
      </c>
      <c r="L2400" s="93">
        <v>169</v>
      </c>
      <c r="M2400" s="93" t="s">
        <v>2311</v>
      </c>
      <c r="N2400" s="93" t="e">
        <f>VLOOKUP(B2400,'[16]01.수집 카테고리(List)'!$A$2:$H$64,8,FALSE)</f>
        <v>#N/A</v>
      </c>
      <c r="O2400" s="93"/>
    </row>
    <row r="2401" spans="1:15" hidden="1">
      <c r="A2401" s="75" t="str">
        <f t="shared" si="88"/>
        <v>RUCITILINKTVsmart TVсмарт тв</v>
      </c>
      <c r="B2401" s="94" t="str">
        <f t="shared" si="89"/>
        <v>RU_CITILINK</v>
      </c>
      <c r="C2401" s="93" t="s">
        <v>416</v>
      </c>
      <c r="D2401" s="93" t="s">
        <v>421</v>
      </c>
      <c r="E2401" s="93" t="s">
        <v>161</v>
      </c>
      <c r="F2401" s="93" t="s">
        <v>2371</v>
      </c>
      <c r="G2401" s="93" t="s">
        <v>3142</v>
      </c>
      <c r="H2401" s="93" t="e">
        <v>#N/A</v>
      </c>
      <c r="I2401" s="105" t="s">
        <v>2310</v>
      </c>
      <c r="J2401" s="93" t="s">
        <v>189</v>
      </c>
      <c r="K2401" s="93">
        <v>9351</v>
      </c>
      <c r="L2401" s="93" t="e">
        <v>#N/A</v>
      </c>
      <c r="M2401" s="93" t="s">
        <v>2311</v>
      </c>
      <c r="N2401" s="93" t="e">
        <f>VLOOKUP(B2401,'[16]01.수집 카테고리(List)'!$A$2:$H$64,8,FALSE)</f>
        <v>#N/A</v>
      </c>
      <c r="O2401" s="93"/>
    </row>
    <row r="2402" spans="1:15" hidden="1">
      <c r="A2402" s="75" t="str">
        <f t="shared" si="88"/>
        <v>RUCITILINKTVTVтелевизор</v>
      </c>
      <c r="B2402" s="94" t="str">
        <f t="shared" si="89"/>
        <v>RU_CITILINK</v>
      </c>
      <c r="C2402" s="93" t="s">
        <v>416</v>
      </c>
      <c r="D2402" s="93" t="s">
        <v>421</v>
      </c>
      <c r="E2402" s="93" t="s">
        <v>161</v>
      </c>
      <c r="F2402" s="93" t="s">
        <v>161</v>
      </c>
      <c r="G2402" s="93" t="s">
        <v>3143</v>
      </c>
      <c r="H2402" s="93" t="e">
        <v>#N/A</v>
      </c>
      <c r="I2402" s="105" t="s">
        <v>2310</v>
      </c>
      <c r="J2402" s="93" t="s">
        <v>189</v>
      </c>
      <c r="K2402" s="93">
        <v>20242</v>
      </c>
      <c r="L2402" s="93" t="e">
        <v>#N/A</v>
      </c>
      <c r="M2402" s="93" t="s">
        <v>2311</v>
      </c>
      <c r="N2402" s="93" t="e">
        <f>VLOOKUP(B2402,'[16]01.수집 카테고리(List)'!$A$2:$H$64,8,FALSE)</f>
        <v>#N/A</v>
      </c>
      <c r="O2402" s="93"/>
    </row>
    <row r="2403" spans="1:15" hidden="1">
      <c r="A2403" s="75" t="str">
        <f t="shared" si="88"/>
        <v>RUCITILINKWashing Machinewashing machineстиральная машина</v>
      </c>
      <c r="B2403" s="94" t="str">
        <f t="shared" si="89"/>
        <v>RU_CITILINK</v>
      </c>
      <c r="C2403" s="93" t="s">
        <v>416</v>
      </c>
      <c r="D2403" s="93" t="s">
        <v>421</v>
      </c>
      <c r="E2403" s="93" t="s">
        <v>2333</v>
      </c>
      <c r="F2403" s="93" t="s">
        <v>2340</v>
      </c>
      <c r="G2403" s="93" t="s">
        <v>3146</v>
      </c>
      <c r="H2403" s="93" t="e">
        <v>#N/A</v>
      </c>
      <c r="I2403" s="105" t="s">
        <v>2310</v>
      </c>
      <c r="J2403" s="93" t="s">
        <v>189</v>
      </c>
      <c r="K2403" s="93">
        <v>10242</v>
      </c>
      <c r="L2403" s="93" t="e">
        <v>#N/A</v>
      </c>
      <c r="M2403" s="93" t="s">
        <v>2311</v>
      </c>
      <c r="N2403" s="93" t="e">
        <f>VLOOKUP(B2403,'[16]01.수집 카테고리(List)'!$A$2:$H$64,8,FALSE)</f>
        <v>#N/A</v>
      </c>
      <c r="O2403" s="93"/>
    </row>
    <row r="2404" spans="1:15" hidden="1">
      <c r="A2404" s="75" t="str">
        <f t="shared" si="88"/>
        <v>RUCITILINKWashing Machinewasher dryer comboстиральная машина с сушкой</v>
      </c>
      <c r="B2404" s="94" t="str">
        <f t="shared" si="89"/>
        <v>RU_CITILINK</v>
      </c>
      <c r="C2404" s="93" t="s">
        <v>416</v>
      </c>
      <c r="D2404" s="93" t="s">
        <v>421</v>
      </c>
      <c r="E2404" s="93" t="s">
        <v>2333</v>
      </c>
      <c r="F2404" s="93" t="s">
        <v>2338</v>
      </c>
      <c r="G2404" s="93" t="s">
        <v>3374</v>
      </c>
      <c r="H2404" s="93" t="e">
        <v>#N/A</v>
      </c>
      <c r="I2404" s="105" t="s">
        <v>2310</v>
      </c>
      <c r="J2404" s="93" t="s">
        <v>189</v>
      </c>
      <c r="K2404" s="93">
        <v>1860</v>
      </c>
      <c r="L2404" s="93" t="e">
        <v>#N/A</v>
      </c>
      <c r="M2404" s="93" t="s">
        <v>2311</v>
      </c>
      <c r="N2404" s="93" t="e">
        <f>VLOOKUP(B2404,'[16]01.수집 카테고리(List)'!$A$2:$H$64,8,FALSE)</f>
        <v>#N/A</v>
      </c>
      <c r="O2404" s="93"/>
    </row>
    <row r="2405" spans="1:15" hidden="1">
      <c r="A2405" s="75" t="str">
        <f t="shared" si="88"/>
        <v>RUCITILINKWashing Machinefront loaderфронтальная загрузка</v>
      </c>
      <c r="B2405" s="94" t="str">
        <f t="shared" si="89"/>
        <v>RU_CITILINK</v>
      </c>
      <c r="C2405" s="93" t="s">
        <v>416</v>
      </c>
      <c r="D2405" s="93" t="s">
        <v>421</v>
      </c>
      <c r="E2405" s="93" t="s">
        <v>2333</v>
      </c>
      <c r="F2405" s="93" t="s">
        <v>2334</v>
      </c>
      <c r="G2405" s="93" t="s">
        <v>3375</v>
      </c>
      <c r="H2405" s="93" t="e">
        <v>#N/A</v>
      </c>
      <c r="I2405" s="105" t="s">
        <v>2310</v>
      </c>
      <c r="J2405" s="93" t="s">
        <v>189</v>
      </c>
      <c r="K2405" s="93">
        <v>2005</v>
      </c>
      <c r="L2405" s="93" t="e">
        <v>#N/A</v>
      </c>
      <c r="M2405" s="93" t="s">
        <v>2311</v>
      </c>
      <c r="N2405" s="93" t="e">
        <f>VLOOKUP(B2405,'[16]01.수집 카테고리(List)'!$A$2:$H$64,8,FALSE)</f>
        <v>#N/A</v>
      </c>
      <c r="O2405" s="93"/>
    </row>
    <row r="2406" spans="1:15" hidden="1">
      <c r="A2406" s="75" t="str">
        <f t="shared" si="88"/>
        <v>RUCITILINKWIRELESS HEADSETWireless earbudsБеспроводные наушники</v>
      </c>
      <c r="B2406" s="94" t="str">
        <f t="shared" si="89"/>
        <v>RU_CITILINK</v>
      </c>
      <c r="C2406" s="93" t="s">
        <v>416</v>
      </c>
      <c r="D2406" s="93" t="s">
        <v>421</v>
      </c>
      <c r="E2406" s="93" t="s">
        <v>2201</v>
      </c>
      <c r="F2406" s="93" t="s">
        <v>2376</v>
      </c>
      <c r="G2406" s="93" t="s">
        <v>3376</v>
      </c>
      <c r="H2406" s="93" t="e">
        <v>#N/A</v>
      </c>
      <c r="I2406" s="105" t="s">
        <v>2310</v>
      </c>
      <c r="J2406" s="93" t="s">
        <v>189</v>
      </c>
      <c r="K2406" s="93">
        <v>152</v>
      </c>
      <c r="L2406" s="93" t="e">
        <v>#N/A</v>
      </c>
      <c r="M2406" s="93" t="s">
        <v>2311</v>
      </c>
      <c r="N2406" s="93" t="e">
        <f>VLOOKUP(B2406,'[16]01.수집 카테고리(List)'!$A$2:$H$64,8,FALSE)</f>
        <v>#N/A</v>
      </c>
      <c r="O2406" s="93"/>
    </row>
    <row r="2407" spans="1:15" hidden="1">
      <c r="A2407" s="75" t="str">
        <f t="shared" si="88"/>
        <v>RUCITILINKWIRELESS HEADSETEarbudsНаушники</v>
      </c>
      <c r="B2407" s="94" t="str">
        <f t="shared" si="89"/>
        <v>RU_CITILINK</v>
      </c>
      <c r="C2407" s="93" t="s">
        <v>416</v>
      </c>
      <c r="D2407" s="93" t="s">
        <v>421</v>
      </c>
      <c r="E2407" s="93" t="s">
        <v>2201</v>
      </c>
      <c r="F2407" s="93" t="s">
        <v>2534</v>
      </c>
      <c r="G2407" s="93" t="s">
        <v>3150</v>
      </c>
      <c r="H2407" s="93" t="e">
        <v>#N/A</v>
      </c>
      <c r="I2407" s="105" t="s">
        <v>2310</v>
      </c>
      <c r="J2407" s="93" t="s">
        <v>189</v>
      </c>
      <c r="K2407" s="93">
        <v>36285</v>
      </c>
      <c r="L2407" s="93" t="e">
        <v>#N/A</v>
      </c>
      <c r="M2407" s="93" t="s">
        <v>2311</v>
      </c>
      <c r="N2407" s="93" t="e">
        <f>VLOOKUP(B2407,'[16]01.수집 카테고리(List)'!$A$2:$H$64,8,FALSE)</f>
        <v>#N/A</v>
      </c>
      <c r="O2407" s="93"/>
    </row>
    <row r="2408" spans="1:15" hidden="1">
      <c r="A2408" s="75" t="str">
        <f t="shared" si="88"/>
        <v>RUCITILINKWIRELESS HEADSETBluetooth HeadphonesНаушники Bluetooth</v>
      </c>
      <c r="B2408" s="94" t="str">
        <f t="shared" si="89"/>
        <v>RU_CITILINK</v>
      </c>
      <c r="C2408" s="93" t="s">
        <v>416</v>
      </c>
      <c r="D2408" s="93" t="s">
        <v>421</v>
      </c>
      <c r="E2408" s="93" t="s">
        <v>2201</v>
      </c>
      <c r="F2408" s="93" t="s">
        <v>2533</v>
      </c>
      <c r="G2408" s="93" t="s">
        <v>3377</v>
      </c>
      <c r="H2408" s="93" t="e">
        <v>#N/A</v>
      </c>
      <c r="I2408" s="105" t="s">
        <v>2310</v>
      </c>
      <c r="J2408" s="93" t="s">
        <v>189</v>
      </c>
      <c r="K2408" s="93">
        <v>13993</v>
      </c>
      <c r="L2408" s="93" t="e">
        <v>#N/A</v>
      </c>
      <c r="M2408" s="93" t="s">
        <v>2311</v>
      </c>
      <c r="N2408" s="93" t="e">
        <f>VLOOKUP(B2408,'[16]01.수집 카테고리(List)'!$A$2:$H$64,8,FALSE)</f>
        <v>#N/A</v>
      </c>
      <c r="O2408" s="93"/>
    </row>
    <row r="2409" spans="1:15" hidden="1">
      <c r="A2409" s="75" t="str">
        <f t="shared" si="88"/>
        <v>RUCITILINKWIRELESS HEADSETBluetooth earbudsНаушники Bluetooth</v>
      </c>
      <c r="B2409" s="94" t="str">
        <f t="shared" si="89"/>
        <v>RU_CITILINK</v>
      </c>
      <c r="C2409" s="93" t="s">
        <v>416</v>
      </c>
      <c r="D2409" s="93" t="s">
        <v>421</v>
      </c>
      <c r="E2409" s="93" t="s">
        <v>2201</v>
      </c>
      <c r="F2409" s="93" t="s">
        <v>2382</v>
      </c>
      <c r="G2409" s="93" t="s">
        <v>3377</v>
      </c>
      <c r="H2409" s="93" t="e">
        <v>#N/A</v>
      </c>
      <c r="I2409" s="105" t="s">
        <v>2310</v>
      </c>
      <c r="J2409" s="93" t="s">
        <v>189</v>
      </c>
      <c r="K2409" s="93">
        <v>13993</v>
      </c>
      <c r="L2409" s="93" t="e">
        <v>#N/A</v>
      </c>
      <c r="M2409" s="93" t="s">
        <v>2311</v>
      </c>
      <c r="N2409" s="93" t="e">
        <f>VLOOKUP(B2409,'[16]01.수집 카테고리(List)'!$A$2:$H$64,8,FALSE)</f>
        <v>#N/A</v>
      </c>
      <c r="O2409" s="93"/>
    </row>
    <row r="2410" spans="1:15" hidden="1">
      <c r="A2410" s="75" t="str">
        <f t="shared" ref="A2410:A2473" si="90">C2410&amp;D2410&amp;E2410&amp;F2410&amp;G2410</f>
        <v>RUCITILINKWIRELESS HEADSETEar budsУшные вкладыши</v>
      </c>
      <c r="B2410" s="94" t="str">
        <f t="shared" ref="B2410:B2473" si="91">C2410&amp;"_"&amp;D2410</f>
        <v>RU_CITILINK</v>
      </c>
      <c r="C2410" s="93" t="s">
        <v>416</v>
      </c>
      <c r="D2410" s="93" t="s">
        <v>421</v>
      </c>
      <c r="E2410" s="93" t="s">
        <v>2201</v>
      </c>
      <c r="F2410" s="93" t="s">
        <v>2380</v>
      </c>
      <c r="G2410" s="93" t="s">
        <v>3378</v>
      </c>
      <c r="H2410" s="93" t="e">
        <v>#N/A</v>
      </c>
      <c r="I2410" s="105" t="s">
        <v>2310</v>
      </c>
      <c r="J2410" s="93" t="s">
        <v>189</v>
      </c>
      <c r="K2410" s="93">
        <v>12816</v>
      </c>
      <c r="L2410" s="93" t="e">
        <v>#N/A</v>
      </c>
      <c r="M2410" s="93" t="s">
        <v>2311</v>
      </c>
      <c r="N2410" s="93" t="e">
        <f>VLOOKUP(B2410,'[16]01.수집 카테고리(List)'!$A$2:$H$64,8,FALSE)</f>
        <v>#N/A</v>
      </c>
      <c r="O2410" s="93"/>
    </row>
    <row r="2411" spans="1:15" hidden="1">
      <c r="A2411" s="75" t="str">
        <f t="shared" si="90"/>
        <v>RUELDORADOAir Conditionerair coolerбытовой кондиционер</v>
      </c>
      <c r="B2411" s="94" t="str">
        <f t="shared" si="91"/>
        <v>RU_ELDORADO</v>
      </c>
      <c r="C2411" s="93" t="s">
        <v>416</v>
      </c>
      <c r="D2411" s="93" t="s">
        <v>423</v>
      </c>
      <c r="E2411" s="93" t="s">
        <v>2346</v>
      </c>
      <c r="F2411" s="93" t="s">
        <v>3379</v>
      </c>
      <c r="G2411" s="93" t="s">
        <v>3380</v>
      </c>
      <c r="H2411" s="93" t="e">
        <v>#N/A</v>
      </c>
      <c r="I2411" s="105" t="s">
        <v>2310</v>
      </c>
      <c r="J2411" s="93" t="s">
        <v>189</v>
      </c>
      <c r="K2411" s="93">
        <v>6713</v>
      </c>
      <c r="L2411" s="93" t="e">
        <v>#N/A</v>
      </c>
      <c r="M2411" s="93" t="s">
        <v>2311</v>
      </c>
      <c r="N2411" s="93" t="e">
        <f>VLOOKUP(B2411,'[16]01.수집 카테고리(List)'!$A$2:$H$64,8,FALSE)</f>
        <v>#N/A</v>
      </c>
      <c r="O2411" s="93"/>
    </row>
    <row r="2412" spans="1:15" hidden="1">
      <c r="A2412" s="75" t="str">
        <f t="shared" si="90"/>
        <v>RUELDORADOAir Conditionerinverter air conditionerинверторный кондиционер</v>
      </c>
      <c r="B2412" s="94" t="str">
        <f t="shared" si="91"/>
        <v>RU_ELDORADO</v>
      </c>
      <c r="C2412" s="93" t="s">
        <v>416</v>
      </c>
      <c r="D2412" s="93" t="s">
        <v>423</v>
      </c>
      <c r="E2412" s="93" t="s">
        <v>2346</v>
      </c>
      <c r="F2412" s="93" t="s">
        <v>2348</v>
      </c>
      <c r="G2412" s="93" t="s">
        <v>3381</v>
      </c>
      <c r="H2412" s="93" t="e">
        <v>#N/A</v>
      </c>
      <c r="I2412" s="105" t="s">
        <v>2310</v>
      </c>
      <c r="J2412" s="93" t="s">
        <v>189</v>
      </c>
      <c r="K2412" s="93">
        <v>13830</v>
      </c>
      <c r="L2412" s="93" t="e">
        <v>#N/A</v>
      </c>
      <c r="M2412" s="93" t="s">
        <v>2311</v>
      </c>
      <c r="N2412" s="93" t="e">
        <f>VLOOKUP(B2412,'[16]01.수집 카테고리(List)'!$A$2:$H$64,8,FALSE)</f>
        <v>#N/A</v>
      </c>
      <c r="O2412" s="93"/>
    </row>
    <row r="2413" spans="1:15" hidden="1">
      <c r="A2413" s="75" t="str">
        <f t="shared" si="90"/>
        <v>RUELDORADOAir ConditionerACкондиционер</v>
      </c>
      <c r="B2413" s="94" t="str">
        <f t="shared" si="91"/>
        <v>RU_ELDORADO</v>
      </c>
      <c r="C2413" s="93" t="s">
        <v>416</v>
      </c>
      <c r="D2413" s="93" t="s">
        <v>423</v>
      </c>
      <c r="E2413" s="93" t="s">
        <v>2346</v>
      </c>
      <c r="F2413" s="93" t="s">
        <v>2492</v>
      </c>
      <c r="G2413" s="93" t="s">
        <v>3122</v>
      </c>
      <c r="H2413" s="93" t="e">
        <v>#N/A</v>
      </c>
      <c r="I2413" s="105" t="s">
        <v>2310</v>
      </c>
      <c r="J2413" s="93" t="s">
        <v>189</v>
      </c>
      <c r="K2413" s="93">
        <v>28788</v>
      </c>
      <c r="L2413" s="93" t="e">
        <v>#N/A</v>
      </c>
      <c r="M2413" s="93" t="s">
        <v>2311</v>
      </c>
      <c r="N2413" s="93" t="e">
        <f>VLOOKUP(B2413,'[16]01.수집 카테고리(List)'!$A$2:$H$64,8,FALSE)</f>
        <v>#N/A</v>
      </c>
      <c r="O2413" s="93"/>
    </row>
    <row r="2414" spans="1:15" hidden="1">
      <c r="A2414" s="75" t="str">
        <f t="shared" si="90"/>
        <v>RUELDORADOAir Conditionersplit ACсплит система</v>
      </c>
      <c r="B2414" s="94" t="str">
        <f t="shared" si="91"/>
        <v>RU_ELDORADO</v>
      </c>
      <c r="C2414" s="93" t="s">
        <v>416</v>
      </c>
      <c r="D2414" s="93" t="s">
        <v>423</v>
      </c>
      <c r="E2414" s="93" t="s">
        <v>2346</v>
      </c>
      <c r="F2414" s="93" t="s">
        <v>2495</v>
      </c>
      <c r="G2414" s="93" t="s">
        <v>3382</v>
      </c>
      <c r="H2414" s="93" t="e">
        <v>#N/A</v>
      </c>
      <c r="I2414" s="105" t="s">
        <v>2310</v>
      </c>
      <c r="J2414" s="93" t="s">
        <v>189</v>
      </c>
      <c r="K2414" s="93">
        <v>41172</v>
      </c>
      <c r="L2414" s="93" t="e">
        <v>#N/A</v>
      </c>
      <c r="M2414" s="93" t="s">
        <v>2311</v>
      </c>
      <c r="N2414" s="93" t="e">
        <f>VLOOKUP(B2414,'[16]01.수집 카테고리(List)'!$A$2:$H$64,8,FALSE)</f>
        <v>#N/A</v>
      </c>
      <c r="O2414" s="93"/>
    </row>
    <row r="2415" spans="1:15" hidden="1">
      <c r="A2415" s="75" t="str">
        <f t="shared" si="90"/>
        <v>RUELDORADOBluetooth SpeakerBluetooth speakersBluetooth-колонки</v>
      </c>
      <c r="B2415" s="94" t="str">
        <f t="shared" si="91"/>
        <v>RU_ELDORADO</v>
      </c>
      <c r="C2415" s="93" t="s">
        <v>416</v>
      </c>
      <c r="D2415" s="93" t="s">
        <v>423</v>
      </c>
      <c r="E2415" s="93" t="s">
        <v>2307</v>
      </c>
      <c r="F2415" s="93" t="s">
        <v>2425</v>
      </c>
      <c r="G2415" s="93" t="s">
        <v>3356</v>
      </c>
      <c r="H2415" s="93" t="e">
        <v>#N/A</v>
      </c>
      <c r="I2415" s="105" t="s">
        <v>2310</v>
      </c>
      <c r="J2415" s="93" t="s">
        <v>189</v>
      </c>
      <c r="K2415" s="93">
        <v>23180</v>
      </c>
      <c r="L2415" s="93" t="e">
        <v>#N/A</v>
      </c>
      <c r="M2415" s="93" t="s">
        <v>2311</v>
      </c>
      <c r="N2415" s="93" t="e">
        <f>VLOOKUP(B2415,'[16]01.수집 카테고리(List)'!$A$2:$H$64,8,FALSE)</f>
        <v>#N/A</v>
      </c>
      <c r="O2415" s="93"/>
    </row>
    <row r="2416" spans="1:15" hidden="1">
      <c r="A2416" s="75" t="str">
        <f t="shared" si="90"/>
        <v>RUELDORADOBluetooth SpeakerSpeakersКомпьютерные колонки</v>
      </c>
      <c r="B2416" s="94" t="str">
        <f t="shared" si="91"/>
        <v>RU_ELDORADO</v>
      </c>
      <c r="C2416" s="93" t="s">
        <v>416</v>
      </c>
      <c r="D2416" s="93" t="s">
        <v>423</v>
      </c>
      <c r="E2416" s="93" t="s">
        <v>2307</v>
      </c>
      <c r="F2416" s="93" t="s">
        <v>2429</v>
      </c>
      <c r="G2416" s="93" t="s">
        <v>3357</v>
      </c>
      <c r="H2416" s="93" t="e">
        <v>#N/A</v>
      </c>
      <c r="I2416" s="105" t="s">
        <v>2310</v>
      </c>
      <c r="J2416" s="93" t="s">
        <v>189</v>
      </c>
      <c r="K2416" s="93">
        <v>4024</v>
      </c>
      <c r="L2416" s="93" t="e">
        <v>#N/A</v>
      </c>
      <c r="M2416" s="93" t="s">
        <v>2311</v>
      </c>
      <c r="N2416" s="93" t="e">
        <f>VLOOKUP(B2416,'[16]01.수집 카테고리(List)'!$A$2:$H$64,8,FALSE)</f>
        <v>#N/A</v>
      </c>
      <c r="O2416" s="93"/>
    </row>
    <row r="2417" spans="1:15" hidden="1">
      <c r="A2417" s="75" t="str">
        <f t="shared" si="90"/>
        <v>RUELDORADOBluetooth SpeakerSpeakerОратор</v>
      </c>
      <c r="B2417" s="94" t="str">
        <f t="shared" si="91"/>
        <v>RU_ELDORADO</v>
      </c>
      <c r="C2417" s="93" t="s">
        <v>416</v>
      </c>
      <c r="D2417" s="93" t="s">
        <v>423</v>
      </c>
      <c r="E2417" s="93" t="s">
        <v>2307</v>
      </c>
      <c r="F2417" s="93" t="s">
        <v>2428</v>
      </c>
      <c r="G2417" s="93" t="s">
        <v>3358</v>
      </c>
      <c r="H2417" s="93" t="e">
        <v>#N/A</v>
      </c>
      <c r="I2417" s="105" t="s">
        <v>2310</v>
      </c>
      <c r="J2417" s="93" t="s">
        <v>189</v>
      </c>
      <c r="K2417" s="93">
        <v>10640</v>
      </c>
      <c r="L2417" s="93" t="e">
        <v>#N/A</v>
      </c>
      <c r="M2417" s="93" t="s">
        <v>2311</v>
      </c>
      <c r="N2417" s="93" t="e">
        <f>VLOOKUP(B2417,'[16]01.수집 카테고리(List)'!$A$2:$H$64,8,FALSE)</f>
        <v>#N/A</v>
      </c>
      <c r="O2417" s="93"/>
    </row>
    <row r="2418" spans="1:15" hidden="1">
      <c r="A2418" s="75" t="str">
        <f t="shared" si="90"/>
        <v>RUELDORADOBluetooth SpeakerPortable speakersПортативные колонки</v>
      </c>
      <c r="B2418" s="94" t="str">
        <f t="shared" si="91"/>
        <v>RU_ELDORADO</v>
      </c>
      <c r="C2418" s="93" t="s">
        <v>416</v>
      </c>
      <c r="D2418" s="93" t="s">
        <v>423</v>
      </c>
      <c r="E2418" s="93" t="s">
        <v>2307</v>
      </c>
      <c r="F2418" s="93" t="s">
        <v>2427</v>
      </c>
      <c r="G2418" s="93" t="s">
        <v>3359</v>
      </c>
      <c r="H2418" s="93" t="e">
        <v>#N/A</v>
      </c>
      <c r="I2418" s="105" t="s">
        <v>2310</v>
      </c>
      <c r="J2418" s="93" t="s">
        <v>189</v>
      </c>
      <c r="K2418" s="93">
        <v>33973</v>
      </c>
      <c r="L2418" s="93" t="e">
        <v>#N/A</v>
      </c>
      <c r="M2418" s="93" t="s">
        <v>2311</v>
      </c>
      <c r="N2418" s="93" t="e">
        <f>VLOOKUP(B2418,'[16]01.수집 카테고리(List)'!$A$2:$H$64,8,FALSE)</f>
        <v>#N/A</v>
      </c>
      <c r="O2418" s="93"/>
    </row>
    <row r="2419" spans="1:15" hidden="1">
      <c r="A2419" s="75" t="str">
        <f t="shared" si="90"/>
        <v>RUELDORADOBluetooth SpeakerPortable bluetooth speakersПортативные колонки bluetooth</v>
      </c>
      <c r="B2419" s="94" t="str">
        <f t="shared" si="91"/>
        <v>RU_ELDORADO</v>
      </c>
      <c r="C2419" s="93" t="s">
        <v>416</v>
      </c>
      <c r="D2419" s="93" t="s">
        <v>423</v>
      </c>
      <c r="E2419" s="93" t="s">
        <v>2307</v>
      </c>
      <c r="F2419" s="93" t="s">
        <v>2426</v>
      </c>
      <c r="G2419" s="93" t="s">
        <v>3360</v>
      </c>
      <c r="H2419" s="93" t="e">
        <v>#N/A</v>
      </c>
      <c r="I2419" s="105" t="s">
        <v>2310</v>
      </c>
      <c r="J2419" s="93" t="s">
        <v>189</v>
      </c>
      <c r="K2419" s="93">
        <v>16104</v>
      </c>
      <c r="L2419" s="93" t="e">
        <v>#N/A</v>
      </c>
      <c r="M2419" s="93" t="s">
        <v>2311</v>
      </c>
      <c r="N2419" s="93" t="e">
        <f>VLOOKUP(B2419,'[16]01.수집 카테고리(List)'!$A$2:$H$64,8,FALSE)</f>
        <v>#N/A</v>
      </c>
      <c r="O2419" s="93"/>
    </row>
    <row r="2420" spans="1:15" hidden="1">
      <c r="A2420" s="75" t="str">
        <f t="shared" si="90"/>
        <v>RUELDORADOCordless stick vacuumcordless vacuum cleanerБеспроводные пылесосы</v>
      </c>
      <c r="B2420" s="94" t="str">
        <f t="shared" si="91"/>
        <v>RU_ELDORADO</v>
      </c>
      <c r="C2420" s="93" t="s">
        <v>416</v>
      </c>
      <c r="D2420" s="93" t="s">
        <v>423</v>
      </c>
      <c r="E2420" s="93" t="s">
        <v>2435</v>
      </c>
      <c r="F2420" s="93" t="s">
        <v>3361</v>
      </c>
      <c r="G2420" s="93" t="s">
        <v>3362</v>
      </c>
      <c r="H2420" s="93" t="e">
        <v>#N/A</v>
      </c>
      <c r="I2420" s="105" t="s">
        <v>2310</v>
      </c>
      <c r="J2420" s="93" t="s">
        <v>189</v>
      </c>
      <c r="K2420" s="93">
        <v>11871</v>
      </c>
      <c r="L2420" s="93" t="e">
        <v>#N/A</v>
      </c>
      <c r="M2420" s="93" t="s">
        <v>2311</v>
      </c>
      <c r="N2420" s="93" t="e">
        <f>VLOOKUP(B2420,'[16]01.수집 카테고리(List)'!$A$2:$H$64,8,FALSE)</f>
        <v>#N/A</v>
      </c>
      <c r="O2420" s="93"/>
    </row>
    <row r="2421" spans="1:15" hidden="1">
      <c r="A2421" s="75" t="str">
        <f t="shared" si="90"/>
        <v>RUELDORADOCordless stick vacuumstick vacuum cleanerВертикальный пылесос</v>
      </c>
      <c r="B2421" s="94" t="str">
        <f t="shared" si="91"/>
        <v>RU_ELDORADO</v>
      </c>
      <c r="C2421" s="93" t="s">
        <v>416</v>
      </c>
      <c r="D2421" s="93" t="s">
        <v>423</v>
      </c>
      <c r="E2421" s="93" t="s">
        <v>2435</v>
      </c>
      <c r="F2421" s="93" t="s">
        <v>2439</v>
      </c>
      <c r="G2421" s="93" t="s">
        <v>3363</v>
      </c>
      <c r="H2421" s="93" t="e">
        <v>#N/A</v>
      </c>
      <c r="I2421" s="105" t="s">
        <v>2310</v>
      </c>
      <c r="J2421" s="93" t="s">
        <v>189</v>
      </c>
      <c r="K2421" s="93">
        <v>59913</v>
      </c>
      <c r="L2421" s="93" t="e">
        <v>#N/A</v>
      </c>
      <c r="M2421" s="93" t="s">
        <v>2311</v>
      </c>
      <c r="N2421" s="93" t="e">
        <f>VLOOKUP(B2421,'[16]01.수집 카테고리(List)'!$A$2:$H$64,8,FALSE)</f>
        <v>#N/A</v>
      </c>
      <c r="O2421" s="93"/>
    </row>
    <row r="2422" spans="1:15" hidden="1">
      <c r="A2422" s="75" t="str">
        <f t="shared" si="90"/>
        <v>RUELDORADORefrigeratortop freezer refrigeratorверхний морозильник</v>
      </c>
      <c r="B2422" s="94" t="str">
        <f t="shared" si="91"/>
        <v>RU_ELDORADO</v>
      </c>
      <c r="C2422" s="93" t="s">
        <v>416</v>
      </c>
      <c r="D2422" s="93" t="s">
        <v>423</v>
      </c>
      <c r="E2422" s="93" t="s">
        <v>2326</v>
      </c>
      <c r="F2422" s="93" t="s">
        <v>2332</v>
      </c>
      <c r="G2422" s="93" t="s">
        <v>3364</v>
      </c>
      <c r="H2422" s="93" t="e">
        <v>#N/A</v>
      </c>
      <c r="I2422" s="105" t="s">
        <v>2310</v>
      </c>
      <c r="J2422" s="93" t="s">
        <v>189</v>
      </c>
      <c r="K2422" s="93">
        <v>984</v>
      </c>
      <c r="L2422" s="93" t="e">
        <v>#N/A</v>
      </c>
      <c r="M2422" s="93" t="s">
        <v>2311</v>
      </c>
      <c r="N2422" s="93" t="e">
        <f>VLOOKUP(B2422,'[16]01.수집 카테고리(List)'!$A$2:$H$64,8,FALSE)</f>
        <v>#N/A</v>
      </c>
      <c r="O2422" s="93"/>
    </row>
    <row r="2423" spans="1:15" hidden="1">
      <c r="A2423" s="75" t="str">
        <f t="shared" si="90"/>
        <v>RUELDORADORefrigeratorbottom freezer refrigeratorнижний морозильник</v>
      </c>
      <c r="B2423" s="94" t="str">
        <f t="shared" si="91"/>
        <v>RU_ELDORADO</v>
      </c>
      <c r="C2423" s="93" t="s">
        <v>416</v>
      </c>
      <c r="D2423" s="93" t="s">
        <v>423</v>
      </c>
      <c r="E2423" s="93" t="s">
        <v>2326</v>
      </c>
      <c r="F2423" s="93" t="s">
        <v>2327</v>
      </c>
      <c r="G2423" s="93" t="s">
        <v>3365</v>
      </c>
      <c r="H2423" s="93" t="e">
        <v>#N/A</v>
      </c>
      <c r="I2423" s="105" t="s">
        <v>2310</v>
      </c>
      <c r="J2423" s="93" t="s">
        <v>189</v>
      </c>
      <c r="K2423" s="93">
        <v>20825</v>
      </c>
      <c r="L2423" s="93" t="e">
        <v>#N/A</v>
      </c>
      <c r="M2423" s="93" t="s">
        <v>2311</v>
      </c>
      <c r="N2423" s="93" t="e">
        <f>VLOOKUP(B2423,'[16]01.수집 카테고리(List)'!$A$2:$H$64,8,FALSE)</f>
        <v>#N/A</v>
      </c>
      <c r="O2423" s="93"/>
    </row>
    <row r="2424" spans="1:15" hidden="1">
      <c r="A2424" s="75" t="str">
        <f t="shared" si="90"/>
        <v>RUELDORADORefrigeratorfrench door refrigeratorфранцузский холодильник</v>
      </c>
      <c r="B2424" s="94" t="str">
        <f t="shared" si="91"/>
        <v>RU_ELDORADO</v>
      </c>
      <c r="C2424" s="93" t="s">
        <v>416</v>
      </c>
      <c r="D2424" s="93" t="s">
        <v>423</v>
      </c>
      <c r="E2424" s="93" t="s">
        <v>2326</v>
      </c>
      <c r="F2424" s="93" t="s">
        <v>2328</v>
      </c>
      <c r="G2424" s="93" t="s">
        <v>3366</v>
      </c>
      <c r="H2424" s="93" t="e">
        <v>#N/A</v>
      </c>
      <c r="I2424" s="105" t="s">
        <v>2310</v>
      </c>
      <c r="J2424" s="93" t="s">
        <v>189</v>
      </c>
      <c r="K2424" s="93">
        <v>49468</v>
      </c>
      <c r="L2424" s="93" t="e">
        <v>#N/A</v>
      </c>
      <c r="M2424" s="93" t="s">
        <v>2311</v>
      </c>
      <c r="N2424" s="93" t="e">
        <f>VLOOKUP(B2424,'[16]01.수집 카테고리(List)'!$A$2:$H$64,8,FALSE)</f>
        <v>#N/A</v>
      </c>
      <c r="O2424" s="93"/>
    </row>
    <row r="2425" spans="1:15" hidden="1">
      <c r="A2425" s="75" t="str">
        <f t="shared" si="90"/>
        <v>RUELDORADORefrigeratorrefrigeratorхолодильник</v>
      </c>
      <c r="B2425" s="94" t="str">
        <f t="shared" si="91"/>
        <v>RU_ELDORADO</v>
      </c>
      <c r="C2425" s="93" t="s">
        <v>416</v>
      </c>
      <c r="D2425" s="93" t="s">
        <v>423</v>
      </c>
      <c r="E2425" s="93" t="s">
        <v>2326</v>
      </c>
      <c r="F2425" s="93" t="s">
        <v>2329</v>
      </c>
      <c r="G2425" s="93" t="s">
        <v>3132</v>
      </c>
      <c r="H2425" s="93" t="e">
        <v>#N/A</v>
      </c>
      <c r="I2425" s="105" t="s">
        <v>2310</v>
      </c>
      <c r="J2425" s="93" t="s">
        <v>189</v>
      </c>
      <c r="K2425" s="93">
        <v>71486</v>
      </c>
      <c r="L2425" s="93" t="e">
        <v>#N/A</v>
      </c>
      <c r="M2425" s="93" t="s">
        <v>2311</v>
      </c>
      <c r="N2425" s="93" t="e">
        <f>VLOOKUP(B2425,'[16]01.수집 카테고리(List)'!$A$2:$H$64,8,FALSE)</f>
        <v>#N/A</v>
      </c>
      <c r="O2425" s="93"/>
    </row>
    <row r="2426" spans="1:15" hidden="1">
      <c r="A2426" s="75" t="str">
        <f t="shared" si="90"/>
        <v>RUELDORADORefrigeratorside by side refrigeratorхолодильник side by side</v>
      </c>
      <c r="B2426" s="94" t="str">
        <f t="shared" si="91"/>
        <v>RU_ELDORADO</v>
      </c>
      <c r="C2426" s="93" t="s">
        <v>416</v>
      </c>
      <c r="D2426" s="93" t="s">
        <v>423</v>
      </c>
      <c r="E2426" s="93" t="s">
        <v>2326</v>
      </c>
      <c r="F2426" s="93" t="s">
        <v>2330</v>
      </c>
      <c r="G2426" s="93" t="s">
        <v>3367</v>
      </c>
      <c r="H2426" s="93" t="e">
        <v>#N/A</v>
      </c>
      <c r="I2426" s="105" t="s">
        <v>2310</v>
      </c>
      <c r="J2426" s="93" t="s">
        <v>189</v>
      </c>
      <c r="K2426" s="93">
        <v>5967</v>
      </c>
      <c r="L2426" s="93" t="e">
        <v>#N/A</v>
      </c>
      <c r="M2426" s="93" t="s">
        <v>2311</v>
      </c>
      <c r="N2426" s="93" t="e">
        <f>VLOOKUP(B2426,'[16]01.수집 카테고리(List)'!$A$2:$H$64,8,FALSE)</f>
        <v>#N/A</v>
      </c>
      <c r="O2426" s="93"/>
    </row>
    <row r="2427" spans="1:15" hidden="1">
      <c r="A2427" s="75" t="str">
        <f t="shared" si="90"/>
        <v>RUELDORADOSOUNDBARSound barЗвуковая панель</v>
      </c>
      <c r="B2427" s="94" t="str">
        <f t="shared" si="91"/>
        <v>RU_ELDORADO</v>
      </c>
      <c r="C2427" s="93" t="s">
        <v>416</v>
      </c>
      <c r="D2427" s="93" t="s">
        <v>423</v>
      </c>
      <c r="E2427" s="93" t="s">
        <v>165</v>
      </c>
      <c r="F2427" s="93" t="s">
        <v>2365</v>
      </c>
      <c r="G2427" s="93" t="s">
        <v>3368</v>
      </c>
      <c r="H2427" s="93" t="e">
        <v>#N/A</v>
      </c>
      <c r="I2427" s="105" t="s">
        <v>2310</v>
      </c>
      <c r="J2427" s="93" t="s">
        <v>189</v>
      </c>
      <c r="K2427" s="93">
        <v>35474</v>
      </c>
      <c r="L2427" s="93" t="e">
        <v>#N/A</v>
      </c>
      <c r="M2427" s="93" t="s">
        <v>2311</v>
      </c>
      <c r="N2427" s="93" t="e">
        <f>VLOOKUP(B2427,'[16]01.수집 카테고리(List)'!$A$2:$H$64,8,FALSE)</f>
        <v>#N/A</v>
      </c>
      <c r="O2427" s="93"/>
    </row>
    <row r="2428" spans="1:15" hidden="1">
      <c r="A2428" s="75" t="str">
        <f t="shared" si="90"/>
        <v>RUELDORADOSOUNDBARSoundbarЗвуковая панель</v>
      </c>
      <c r="B2428" s="94" t="str">
        <f t="shared" si="91"/>
        <v>RU_ELDORADO</v>
      </c>
      <c r="C2428" s="93" t="s">
        <v>416</v>
      </c>
      <c r="D2428" s="93" t="s">
        <v>423</v>
      </c>
      <c r="E2428" s="93" t="s">
        <v>165</v>
      </c>
      <c r="F2428" s="93" t="s">
        <v>2363</v>
      </c>
      <c r="G2428" s="93" t="s">
        <v>3368</v>
      </c>
      <c r="H2428" s="93" t="e">
        <v>#N/A</v>
      </c>
      <c r="I2428" s="105" t="s">
        <v>2310</v>
      </c>
      <c r="J2428" s="93" t="s">
        <v>189</v>
      </c>
      <c r="K2428" s="93">
        <v>35474</v>
      </c>
      <c r="L2428" s="93" t="e">
        <v>#N/A</v>
      </c>
      <c r="M2428" s="93" t="s">
        <v>2311</v>
      </c>
      <c r="N2428" s="93" t="e">
        <f>VLOOKUP(B2428,'[16]01.수집 카테고리(List)'!$A$2:$H$64,8,FALSE)</f>
        <v>#N/A</v>
      </c>
      <c r="O2428" s="93"/>
    </row>
    <row r="2429" spans="1:15" hidden="1">
      <c r="A2429" s="75" t="str">
        <f t="shared" si="90"/>
        <v>RUELDORADOSOUNDBARSound bars for tvСаундбары для ТВ</v>
      </c>
      <c r="B2429" s="94" t="str">
        <f t="shared" si="91"/>
        <v>RU_ELDORADO</v>
      </c>
      <c r="C2429" s="93" t="s">
        <v>416</v>
      </c>
      <c r="D2429" s="93" t="s">
        <v>423</v>
      </c>
      <c r="E2429" s="93" t="s">
        <v>165</v>
      </c>
      <c r="F2429" s="93" t="s">
        <v>2430</v>
      </c>
      <c r="G2429" s="93" t="s">
        <v>3369</v>
      </c>
      <c r="H2429" s="93" t="e">
        <v>#N/A</v>
      </c>
      <c r="I2429" s="105" t="s">
        <v>2310</v>
      </c>
      <c r="J2429" s="93" t="s">
        <v>189</v>
      </c>
      <c r="K2429" s="93">
        <v>251</v>
      </c>
      <c r="L2429" s="93" t="e">
        <v>#N/A</v>
      </c>
      <c r="M2429" s="93" t="s">
        <v>2311</v>
      </c>
      <c r="N2429" s="93" t="e">
        <f>VLOOKUP(B2429,'[16]01.수집 카테고리(List)'!$A$2:$H$64,8,FALSE)</f>
        <v>#N/A</v>
      </c>
      <c r="O2429" s="93"/>
    </row>
    <row r="2430" spans="1:15" hidden="1">
      <c r="A2430" s="75" t="str">
        <f t="shared" si="90"/>
        <v>RUELDORADOSOUNDBARSurround sound systemСистема объемного звука</v>
      </c>
      <c r="B2430" s="94" t="str">
        <f t="shared" si="91"/>
        <v>RU_ELDORADO</v>
      </c>
      <c r="C2430" s="93" t="s">
        <v>416</v>
      </c>
      <c r="D2430" s="93" t="s">
        <v>423</v>
      </c>
      <c r="E2430" s="93" t="s">
        <v>165</v>
      </c>
      <c r="F2430" s="93" t="s">
        <v>2772</v>
      </c>
      <c r="G2430" s="93" t="s">
        <v>3370</v>
      </c>
      <c r="H2430" s="93" t="e">
        <v>#N/A</v>
      </c>
      <c r="I2430" s="105" t="s">
        <v>2310</v>
      </c>
      <c r="J2430" s="93" t="s">
        <v>189</v>
      </c>
      <c r="K2430" s="93">
        <v>3735</v>
      </c>
      <c r="L2430" s="93" t="e">
        <v>#N/A</v>
      </c>
      <c r="M2430" s="93" t="s">
        <v>2311</v>
      </c>
      <c r="N2430" s="93" t="e">
        <f>VLOOKUP(B2430,'[16]01.수집 카테고리(List)'!$A$2:$H$64,8,FALSE)</f>
        <v>#N/A</v>
      </c>
      <c r="O2430" s="93"/>
    </row>
    <row r="2431" spans="1:15" hidden="1">
      <c r="A2431" s="75" t="str">
        <f t="shared" si="90"/>
        <v>RUELDORADOSOUNDBARtv sound barтв саундбар</v>
      </c>
      <c r="B2431" s="94" t="str">
        <f t="shared" si="91"/>
        <v>RU_ELDORADO</v>
      </c>
      <c r="C2431" s="93" t="s">
        <v>416</v>
      </c>
      <c r="D2431" s="93" t="s">
        <v>423</v>
      </c>
      <c r="E2431" s="93" t="s">
        <v>165</v>
      </c>
      <c r="F2431" s="93" t="s">
        <v>2833</v>
      </c>
      <c r="G2431" s="93" t="s">
        <v>3371</v>
      </c>
      <c r="H2431" s="93" t="e">
        <v>#N/A</v>
      </c>
      <c r="I2431" s="105" t="s">
        <v>2310</v>
      </c>
      <c r="J2431" s="93" t="s">
        <v>189</v>
      </c>
      <c r="K2431" s="93">
        <v>280</v>
      </c>
      <c r="L2431" s="93" t="e">
        <v>#N/A</v>
      </c>
      <c r="M2431" s="93" t="s">
        <v>2311</v>
      </c>
      <c r="N2431" s="93" t="e">
        <f>VLOOKUP(B2431,'[16]01.수집 카테고리(List)'!$A$2:$H$64,8,FALSE)</f>
        <v>#N/A</v>
      </c>
      <c r="O2431" s="93"/>
    </row>
    <row r="2432" spans="1:15" hidden="1">
      <c r="A2432" s="75" t="str">
        <f t="shared" si="90"/>
        <v>RUELDORADOTV4k TV4k телевизор</v>
      </c>
      <c r="B2432" s="94" t="str">
        <f t="shared" si="91"/>
        <v>RU_ELDORADO</v>
      </c>
      <c r="C2432" s="93" t="s">
        <v>416</v>
      </c>
      <c r="D2432" s="93" t="s">
        <v>423</v>
      </c>
      <c r="E2432" s="93" t="s">
        <v>161</v>
      </c>
      <c r="F2432" s="93" t="s">
        <v>2368</v>
      </c>
      <c r="G2432" s="93" t="s">
        <v>3139</v>
      </c>
      <c r="H2432" s="93" t="e">
        <v>#N/A</v>
      </c>
      <c r="I2432" s="105" t="s">
        <v>2310</v>
      </c>
      <c r="J2432" s="93" t="s">
        <v>189</v>
      </c>
      <c r="K2432" s="93">
        <v>65021</v>
      </c>
      <c r="L2432" s="93" t="e">
        <v>#N/A</v>
      </c>
      <c r="M2432" s="93" t="s">
        <v>2311</v>
      </c>
      <c r="N2432" s="93" t="e">
        <f>VLOOKUP(B2432,'[16]01.수집 카테고리(List)'!$A$2:$H$64,8,FALSE)</f>
        <v>#N/A</v>
      </c>
      <c r="O2432" s="93"/>
    </row>
    <row r="2433" spans="1:15" hidden="1">
      <c r="A2433" s="75" t="str">
        <f t="shared" si="90"/>
        <v>RUELDORADOTVoled TVoled</v>
      </c>
      <c r="B2433" s="94" t="str">
        <f t="shared" si="91"/>
        <v>RU_ELDORADO</v>
      </c>
      <c r="C2433" s="93" t="s">
        <v>416</v>
      </c>
      <c r="D2433" s="93" t="s">
        <v>423</v>
      </c>
      <c r="E2433" s="93" t="s">
        <v>161</v>
      </c>
      <c r="F2433" s="93" t="s">
        <v>2369</v>
      </c>
      <c r="G2433" s="93" t="s">
        <v>2370</v>
      </c>
      <c r="H2433" s="93" t="e">
        <v>#N/A</v>
      </c>
      <c r="I2433" s="105" t="s">
        <v>2310</v>
      </c>
      <c r="J2433" s="93" t="s">
        <v>189</v>
      </c>
      <c r="K2433" s="93">
        <v>10833</v>
      </c>
      <c r="L2433" s="93" t="e">
        <v>#N/A</v>
      </c>
      <c r="M2433" s="93" t="s">
        <v>2311</v>
      </c>
      <c r="N2433" s="93" t="e">
        <f>VLOOKUP(B2433,'[16]01.수집 카테고리(List)'!$A$2:$H$64,8,FALSE)</f>
        <v>#N/A</v>
      </c>
      <c r="O2433" s="93"/>
    </row>
    <row r="2434" spans="1:15" hidden="1">
      <c r="A2434" s="75" t="str">
        <f t="shared" si="90"/>
        <v>RUELDORADOTVoled TVoled телевизор</v>
      </c>
      <c r="B2434" s="94" t="str">
        <f t="shared" si="91"/>
        <v>RU_ELDORADO</v>
      </c>
      <c r="C2434" s="93" t="s">
        <v>416</v>
      </c>
      <c r="D2434" s="93" t="s">
        <v>423</v>
      </c>
      <c r="E2434" s="93" t="s">
        <v>161</v>
      </c>
      <c r="F2434" s="93" t="s">
        <v>2369</v>
      </c>
      <c r="G2434" s="93" t="s">
        <v>3140</v>
      </c>
      <c r="H2434" s="93" t="e">
        <v>#N/A</v>
      </c>
      <c r="I2434" s="105" t="s">
        <v>2310</v>
      </c>
      <c r="J2434" s="93" t="s">
        <v>189</v>
      </c>
      <c r="K2434" s="93">
        <v>8533</v>
      </c>
      <c r="L2434" s="93" t="e">
        <v>#N/A</v>
      </c>
      <c r="M2434" s="93" t="s">
        <v>2311</v>
      </c>
      <c r="N2434" s="93" t="e">
        <f>VLOOKUP(B2434,'[16]01.수집 카테고리(List)'!$A$2:$H$64,8,FALSE)</f>
        <v>#N/A</v>
      </c>
      <c r="O2434" s="93"/>
    </row>
    <row r="2435" spans="1:15" hidden="1">
      <c r="A2435" s="75" t="str">
        <f t="shared" si="90"/>
        <v>RUELDORADOTVuhd TVuhd телевизор</v>
      </c>
      <c r="B2435" s="94" t="str">
        <f t="shared" si="91"/>
        <v>RU_ELDORADO</v>
      </c>
      <c r="C2435" s="93" t="s">
        <v>416</v>
      </c>
      <c r="D2435" s="93" t="s">
        <v>423</v>
      </c>
      <c r="E2435" s="93" t="s">
        <v>161</v>
      </c>
      <c r="F2435" s="93" t="s">
        <v>2399</v>
      </c>
      <c r="G2435" s="93" t="s">
        <v>3141</v>
      </c>
      <c r="H2435" s="93" t="e">
        <v>#N/A</v>
      </c>
      <c r="I2435" s="105" t="s">
        <v>2310</v>
      </c>
      <c r="J2435" s="93" t="s">
        <v>189</v>
      </c>
      <c r="K2435" s="93">
        <v>3784</v>
      </c>
      <c r="L2435" s="93" t="e">
        <v>#N/A</v>
      </c>
      <c r="M2435" s="93" t="s">
        <v>2311</v>
      </c>
      <c r="N2435" s="93" t="e">
        <f>VLOOKUP(B2435,'[16]01.수집 카테고리(List)'!$A$2:$H$64,8,FALSE)</f>
        <v>#N/A</v>
      </c>
      <c r="O2435" s="93"/>
    </row>
    <row r="2436" spans="1:15" hidden="1">
      <c r="A2436" s="75" t="str">
        <f t="shared" si="90"/>
        <v>RUELDORADOTVoled TVолед</v>
      </c>
      <c r="B2436" s="94" t="str">
        <f t="shared" si="91"/>
        <v>RU_ELDORADO</v>
      </c>
      <c r="C2436" s="93" t="s">
        <v>416</v>
      </c>
      <c r="D2436" s="93" t="s">
        <v>423</v>
      </c>
      <c r="E2436" s="93" t="s">
        <v>161</v>
      </c>
      <c r="F2436" s="93" t="s">
        <v>2369</v>
      </c>
      <c r="G2436" s="93" t="s">
        <v>3372</v>
      </c>
      <c r="H2436" s="93" t="e">
        <v>#N/A</v>
      </c>
      <c r="I2436" s="105" t="s">
        <v>2310</v>
      </c>
      <c r="J2436" s="93" t="s">
        <v>189</v>
      </c>
      <c r="K2436" s="93">
        <v>12080</v>
      </c>
      <c r="L2436" s="93" t="e">
        <v>#N/A</v>
      </c>
      <c r="M2436" s="93" t="s">
        <v>2311</v>
      </c>
      <c r="N2436" s="93" t="e">
        <f>VLOOKUP(B2436,'[16]01.수집 카테고리(List)'!$A$2:$H$64,8,FALSE)</f>
        <v>#N/A</v>
      </c>
      <c r="O2436" s="93"/>
    </row>
    <row r="2437" spans="1:15" hidden="1">
      <c r="A2437" s="75" t="str">
        <f t="shared" si="90"/>
        <v>RUELDORADOTVoled TVолед тв</v>
      </c>
      <c r="B2437" s="94" t="str">
        <f t="shared" si="91"/>
        <v>RU_ELDORADO</v>
      </c>
      <c r="C2437" s="93" t="s">
        <v>416</v>
      </c>
      <c r="D2437" s="93" t="s">
        <v>423</v>
      </c>
      <c r="E2437" s="93" t="s">
        <v>161</v>
      </c>
      <c r="F2437" s="93" t="s">
        <v>2369</v>
      </c>
      <c r="G2437" s="93" t="s">
        <v>3373</v>
      </c>
      <c r="H2437" s="93" t="e">
        <v>#N/A</v>
      </c>
      <c r="I2437" s="105" t="s">
        <v>2310</v>
      </c>
      <c r="J2437" s="93" t="s">
        <v>189</v>
      </c>
      <c r="K2437" s="93">
        <v>52780</v>
      </c>
      <c r="L2437" s="93" t="e">
        <v>#N/A</v>
      </c>
      <c r="M2437" s="93" t="s">
        <v>2311</v>
      </c>
      <c r="N2437" s="93" t="e">
        <f>VLOOKUP(B2437,'[16]01.수집 카테고리(List)'!$A$2:$H$64,8,FALSE)</f>
        <v>#N/A</v>
      </c>
      <c r="O2437" s="93"/>
    </row>
    <row r="2438" spans="1:15" hidden="1">
      <c r="A2438" s="75" t="str">
        <f t="shared" si="90"/>
        <v>RUELDORADOTVsmart TVсмарт тв</v>
      </c>
      <c r="B2438" s="94" t="str">
        <f t="shared" si="91"/>
        <v>RU_ELDORADO</v>
      </c>
      <c r="C2438" s="93" t="s">
        <v>416</v>
      </c>
      <c r="D2438" s="93" t="s">
        <v>423</v>
      </c>
      <c r="E2438" s="93" t="s">
        <v>161</v>
      </c>
      <c r="F2438" s="93" t="s">
        <v>2371</v>
      </c>
      <c r="G2438" s="93" t="s">
        <v>3142</v>
      </c>
      <c r="H2438" s="93" t="e">
        <v>#N/A</v>
      </c>
      <c r="I2438" s="105" t="s">
        <v>2310</v>
      </c>
      <c r="J2438" s="93" t="s">
        <v>189</v>
      </c>
      <c r="K2438" s="93">
        <v>26242</v>
      </c>
      <c r="L2438" s="93" t="e">
        <v>#N/A</v>
      </c>
      <c r="M2438" s="93" t="s">
        <v>2311</v>
      </c>
      <c r="N2438" s="93" t="e">
        <f>VLOOKUP(B2438,'[16]01.수집 카테고리(List)'!$A$2:$H$64,8,FALSE)</f>
        <v>#N/A</v>
      </c>
      <c r="O2438" s="93"/>
    </row>
    <row r="2439" spans="1:15" hidden="1">
      <c r="A2439" s="75" t="str">
        <f t="shared" si="90"/>
        <v>RUELDORADOTVTVтелевизор</v>
      </c>
      <c r="B2439" s="94" t="str">
        <f t="shared" si="91"/>
        <v>RU_ELDORADO</v>
      </c>
      <c r="C2439" s="93" t="s">
        <v>416</v>
      </c>
      <c r="D2439" s="93" t="s">
        <v>423</v>
      </c>
      <c r="E2439" s="93" t="s">
        <v>161</v>
      </c>
      <c r="F2439" s="93" t="s">
        <v>161</v>
      </c>
      <c r="G2439" s="93" t="s">
        <v>3143</v>
      </c>
      <c r="H2439" s="93" t="e">
        <v>#N/A</v>
      </c>
      <c r="I2439" s="105" t="s">
        <v>2310</v>
      </c>
      <c r="J2439" s="93" t="s">
        <v>189</v>
      </c>
      <c r="K2439" s="93">
        <v>104721</v>
      </c>
      <c r="L2439" s="93" t="e">
        <v>#N/A</v>
      </c>
      <c r="M2439" s="93" t="s">
        <v>2311</v>
      </c>
      <c r="N2439" s="93" t="e">
        <f>VLOOKUP(B2439,'[16]01.수집 카테고리(List)'!$A$2:$H$64,8,FALSE)</f>
        <v>#N/A</v>
      </c>
      <c r="O2439" s="93"/>
    </row>
    <row r="2440" spans="1:15" hidden="1">
      <c r="A2440" s="75" t="str">
        <f t="shared" si="90"/>
        <v>RUELDORADOWashing Machinewashing machineстиральная машина</v>
      </c>
      <c r="B2440" s="94" t="str">
        <f t="shared" si="91"/>
        <v>RU_ELDORADO</v>
      </c>
      <c r="C2440" s="93" t="s">
        <v>416</v>
      </c>
      <c r="D2440" s="93" t="s">
        <v>423</v>
      </c>
      <c r="E2440" s="93" t="s">
        <v>2333</v>
      </c>
      <c r="F2440" s="93" t="s">
        <v>2340</v>
      </c>
      <c r="G2440" s="93" t="s">
        <v>3146</v>
      </c>
      <c r="H2440" s="93" t="e">
        <v>#N/A</v>
      </c>
      <c r="I2440" s="105" t="s">
        <v>2310</v>
      </c>
      <c r="J2440" s="93" t="s">
        <v>189</v>
      </c>
      <c r="K2440" s="93">
        <v>69517</v>
      </c>
      <c r="L2440" s="93" t="e">
        <v>#N/A</v>
      </c>
      <c r="M2440" s="93" t="s">
        <v>2311</v>
      </c>
      <c r="N2440" s="93" t="e">
        <f>VLOOKUP(B2440,'[16]01.수집 카테고리(List)'!$A$2:$H$64,8,FALSE)</f>
        <v>#N/A</v>
      </c>
      <c r="O2440" s="93"/>
    </row>
    <row r="2441" spans="1:15" hidden="1">
      <c r="A2441" s="75" t="str">
        <f t="shared" si="90"/>
        <v>RUELDORADOWashing Machinewasher dryer comboстиральная машина с сушкой</v>
      </c>
      <c r="B2441" s="94" t="str">
        <f t="shared" si="91"/>
        <v>RU_ELDORADO</v>
      </c>
      <c r="C2441" s="93" t="s">
        <v>416</v>
      </c>
      <c r="D2441" s="93" t="s">
        <v>423</v>
      </c>
      <c r="E2441" s="93" t="s">
        <v>2333</v>
      </c>
      <c r="F2441" s="93" t="s">
        <v>2338</v>
      </c>
      <c r="G2441" s="93" t="s">
        <v>3374</v>
      </c>
      <c r="H2441" s="93" t="e">
        <v>#N/A</v>
      </c>
      <c r="I2441" s="105" t="s">
        <v>2310</v>
      </c>
      <c r="J2441" s="93" t="s">
        <v>189</v>
      </c>
      <c r="K2441" s="93">
        <v>12803</v>
      </c>
      <c r="L2441" s="93" t="e">
        <v>#N/A</v>
      </c>
      <c r="M2441" s="93" t="s">
        <v>2311</v>
      </c>
      <c r="N2441" s="93" t="e">
        <f>VLOOKUP(B2441,'[16]01.수집 카테고리(List)'!$A$2:$H$64,8,FALSE)</f>
        <v>#N/A</v>
      </c>
      <c r="O2441" s="93"/>
    </row>
    <row r="2442" spans="1:15" hidden="1">
      <c r="A2442" s="75" t="str">
        <f t="shared" si="90"/>
        <v>RUELDORADOWashing Machinefront loaderфронтальная загрузка</v>
      </c>
      <c r="B2442" s="94" t="str">
        <f t="shared" si="91"/>
        <v>RU_ELDORADO</v>
      </c>
      <c r="C2442" s="93" t="s">
        <v>416</v>
      </c>
      <c r="D2442" s="93" t="s">
        <v>423</v>
      </c>
      <c r="E2442" s="93" t="s">
        <v>2333</v>
      </c>
      <c r="F2442" s="93" t="s">
        <v>2334</v>
      </c>
      <c r="G2442" s="93" t="s">
        <v>3375</v>
      </c>
      <c r="H2442" s="93" t="e">
        <v>#N/A</v>
      </c>
      <c r="I2442" s="105" t="s">
        <v>2310</v>
      </c>
      <c r="J2442" s="93" t="s">
        <v>189</v>
      </c>
      <c r="K2442" s="93">
        <v>59943</v>
      </c>
      <c r="L2442" s="93" t="e">
        <v>#N/A</v>
      </c>
      <c r="M2442" s="93" t="s">
        <v>2311</v>
      </c>
      <c r="N2442" s="93" t="e">
        <f>VLOOKUP(B2442,'[16]01.수집 카테고리(List)'!$A$2:$H$64,8,FALSE)</f>
        <v>#N/A</v>
      </c>
      <c r="O2442" s="93"/>
    </row>
    <row r="2443" spans="1:15" hidden="1">
      <c r="A2443" s="75" t="str">
        <f t="shared" si="90"/>
        <v>RUELDORADOWIRELESS HEADSETWireless earbudsБеспроводные наушники</v>
      </c>
      <c r="B2443" s="94" t="str">
        <f t="shared" si="91"/>
        <v>RU_ELDORADO</v>
      </c>
      <c r="C2443" s="93" t="s">
        <v>416</v>
      </c>
      <c r="D2443" s="93" t="s">
        <v>423</v>
      </c>
      <c r="E2443" s="93" t="s">
        <v>2201</v>
      </c>
      <c r="F2443" s="93" t="s">
        <v>2376</v>
      </c>
      <c r="G2443" s="93" t="s">
        <v>3376</v>
      </c>
      <c r="H2443" s="93" t="e">
        <v>#N/A</v>
      </c>
      <c r="I2443" s="105" t="s">
        <v>2310</v>
      </c>
      <c r="J2443" s="93" t="s">
        <v>189</v>
      </c>
      <c r="K2443" s="93">
        <v>29</v>
      </c>
      <c r="L2443" s="93" t="e">
        <v>#N/A</v>
      </c>
      <c r="M2443" s="93" t="s">
        <v>2311</v>
      </c>
      <c r="N2443" s="93" t="e">
        <f>VLOOKUP(B2443,'[16]01.수집 카테고리(List)'!$A$2:$H$64,8,FALSE)</f>
        <v>#N/A</v>
      </c>
      <c r="O2443" s="93"/>
    </row>
    <row r="2444" spans="1:15" hidden="1">
      <c r="A2444" s="75" t="str">
        <f t="shared" si="90"/>
        <v>RUELDORADOWIRELESS HEADSETEarbudsНаушники</v>
      </c>
      <c r="B2444" s="94" t="str">
        <f t="shared" si="91"/>
        <v>RU_ELDORADO</v>
      </c>
      <c r="C2444" s="93" t="s">
        <v>416</v>
      </c>
      <c r="D2444" s="93" t="s">
        <v>423</v>
      </c>
      <c r="E2444" s="93" t="s">
        <v>2201</v>
      </c>
      <c r="F2444" s="93" t="s">
        <v>2534</v>
      </c>
      <c r="G2444" s="93" t="s">
        <v>3150</v>
      </c>
      <c r="H2444" s="93" t="e">
        <v>#N/A</v>
      </c>
      <c r="I2444" s="105" t="s">
        <v>2310</v>
      </c>
      <c r="J2444" s="93" t="s">
        <v>189</v>
      </c>
      <c r="K2444" s="93">
        <v>38002</v>
      </c>
      <c r="L2444" s="93" t="e">
        <v>#N/A</v>
      </c>
      <c r="M2444" s="93" t="s">
        <v>2311</v>
      </c>
      <c r="N2444" s="93" t="e">
        <f>VLOOKUP(B2444,'[16]01.수집 카테고리(List)'!$A$2:$H$64,8,FALSE)</f>
        <v>#N/A</v>
      </c>
      <c r="O2444" s="93"/>
    </row>
    <row r="2445" spans="1:15" hidden="1">
      <c r="A2445" s="75" t="str">
        <f t="shared" si="90"/>
        <v>RUELDORADOWIRELESS HEADSETBluetooth HeadphonesНаушники Bluetooth</v>
      </c>
      <c r="B2445" s="94" t="str">
        <f t="shared" si="91"/>
        <v>RU_ELDORADO</v>
      </c>
      <c r="C2445" s="93" t="s">
        <v>416</v>
      </c>
      <c r="D2445" s="93" t="s">
        <v>423</v>
      </c>
      <c r="E2445" s="93" t="s">
        <v>2201</v>
      </c>
      <c r="F2445" s="93" t="s">
        <v>2533</v>
      </c>
      <c r="G2445" s="93" t="s">
        <v>3377</v>
      </c>
      <c r="H2445" s="93" t="e">
        <v>#N/A</v>
      </c>
      <c r="I2445" s="105" t="s">
        <v>2310</v>
      </c>
      <c r="J2445" s="93" t="s">
        <v>189</v>
      </c>
      <c r="K2445" s="93">
        <v>23719</v>
      </c>
      <c r="L2445" s="93" t="e">
        <v>#N/A</v>
      </c>
      <c r="M2445" s="93" t="s">
        <v>2311</v>
      </c>
      <c r="N2445" s="93" t="e">
        <f>VLOOKUP(B2445,'[16]01.수집 카테고리(List)'!$A$2:$H$64,8,FALSE)</f>
        <v>#N/A</v>
      </c>
      <c r="O2445" s="93"/>
    </row>
    <row r="2446" spans="1:15" hidden="1">
      <c r="A2446" s="75" t="str">
        <f t="shared" si="90"/>
        <v>RUELDORADOWIRELESS HEADSETBluetooth earbudsНаушники Bluetooth</v>
      </c>
      <c r="B2446" s="94" t="str">
        <f t="shared" si="91"/>
        <v>RU_ELDORADO</v>
      </c>
      <c r="C2446" s="93" t="s">
        <v>416</v>
      </c>
      <c r="D2446" s="93" t="s">
        <v>423</v>
      </c>
      <c r="E2446" s="93" t="s">
        <v>2201</v>
      </c>
      <c r="F2446" s="93" t="s">
        <v>2382</v>
      </c>
      <c r="G2446" s="93" t="s">
        <v>3377</v>
      </c>
      <c r="H2446" s="93" t="e">
        <v>#N/A</v>
      </c>
      <c r="I2446" s="105" t="s">
        <v>2310</v>
      </c>
      <c r="J2446" s="93" t="s">
        <v>189</v>
      </c>
      <c r="K2446" s="93">
        <v>23719</v>
      </c>
      <c r="L2446" s="93" t="e">
        <v>#N/A</v>
      </c>
      <c r="M2446" s="93" t="s">
        <v>2311</v>
      </c>
      <c r="N2446" s="93" t="e">
        <f>VLOOKUP(B2446,'[16]01.수집 카테고리(List)'!$A$2:$H$64,8,FALSE)</f>
        <v>#N/A</v>
      </c>
      <c r="O2446" s="93"/>
    </row>
    <row r="2447" spans="1:15" hidden="1">
      <c r="A2447" s="75" t="str">
        <f t="shared" si="90"/>
        <v>RUELDORADOWIRELESS HEADSETEar budsУшные вкладыши</v>
      </c>
      <c r="B2447" s="94" t="str">
        <f t="shared" si="91"/>
        <v>RU_ELDORADO</v>
      </c>
      <c r="C2447" s="93" t="s">
        <v>416</v>
      </c>
      <c r="D2447" s="93" t="s">
        <v>423</v>
      </c>
      <c r="E2447" s="93" t="s">
        <v>2201</v>
      </c>
      <c r="F2447" s="93" t="s">
        <v>2380</v>
      </c>
      <c r="G2447" s="93" t="s">
        <v>3378</v>
      </c>
      <c r="H2447" s="93" t="e">
        <v>#N/A</v>
      </c>
      <c r="I2447" s="105" t="s">
        <v>2310</v>
      </c>
      <c r="J2447" s="93" t="s">
        <v>189</v>
      </c>
      <c r="K2447" s="93">
        <v>1477</v>
      </c>
      <c r="L2447" s="93" t="e">
        <v>#N/A</v>
      </c>
      <c r="M2447" s="93" t="s">
        <v>2311</v>
      </c>
      <c r="N2447" s="93" t="e">
        <f>VLOOKUP(B2447,'[16]01.수집 카테고리(List)'!$A$2:$H$64,8,FALSE)</f>
        <v>#N/A</v>
      </c>
      <c r="O2447" s="93"/>
    </row>
    <row r="2448" spans="1:15" hidden="1">
      <c r="A2448" s="75" t="str">
        <f t="shared" si="90"/>
        <v>RUMVIDEOAir Conditionerair coolerбытовой кондиционер</v>
      </c>
      <c r="B2448" s="94" t="str">
        <f t="shared" si="91"/>
        <v>RU_MVIDEO</v>
      </c>
      <c r="C2448" s="93" t="s">
        <v>416</v>
      </c>
      <c r="D2448" s="93" t="s">
        <v>425</v>
      </c>
      <c r="E2448" s="93" t="s">
        <v>2346</v>
      </c>
      <c r="F2448" s="93" t="s">
        <v>3379</v>
      </c>
      <c r="G2448" s="93" t="s">
        <v>3380</v>
      </c>
      <c r="H2448" s="93" t="e">
        <v>#N/A</v>
      </c>
      <c r="I2448" s="105" t="s">
        <v>2310</v>
      </c>
      <c r="J2448" s="93" t="s">
        <v>189</v>
      </c>
      <c r="K2448" s="93">
        <v>4955</v>
      </c>
      <c r="L2448" s="93" t="e">
        <v>#N/A</v>
      </c>
      <c r="M2448" s="93" t="s">
        <v>2311</v>
      </c>
      <c r="N2448" s="93" t="e">
        <f>VLOOKUP(B2448,'[16]01.수집 카테고리(List)'!$A$2:$H$64,8,FALSE)</f>
        <v>#N/A</v>
      </c>
      <c r="O2448" s="93"/>
    </row>
    <row r="2449" spans="1:15" hidden="1">
      <c r="A2449" s="75" t="str">
        <f t="shared" si="90"/>
        <v>RUMVIDEOAir Conditionerinverter air conditionerинверторный кондиционер</v>
      </c>
      <c r="B2449" s="94" t="str">
        <f t="shared" si="91"/>
        <v>RU_MVIDEO</v>
      </c>
      <c r="C2449" s="93" t="s">
        <v>416</v>
      </c>
      <c r="D2449" s="93" t="s">
        <v>425</v>
      </c>
      <c r="E2449" s="93" t="s">
        <v>2346</v>
      </c>
      <c r="F2449" s="93" t="s">
        <v>2348</v>
      </c>
      <c r="G2449" s="93" t="s">
        <v>3381</v>
      </c>
      <c r="H2449" s="93" t="e">
        <v>#N/A</v>
      </c>
      <c r="I2449" s="105" t="s">
        <v>2310</v>
      </c>
      <c r="J2449" s="93" t="s">
        <v>189</v>
      </c>
      <c r="K2449" s="93">
        <v>2361</v>
      </c>
      <c r="L2449" s="93" t="e">
        <v>#N/A</v>
      </c>
      <c r="M2449" s="93" t="s">
        <v>2311</v>
      </c>
      <c r="N2449" s="93" t="e">
        <f>VLOOKUP(B2449,'[16]01.수집 카테고리(List)'!$A$2:$H$64,8,FALSE)</f>
        <v>#N/A</v>
      </c>
      <c r="O2449" s="93"/>
    </row>
    <row r="2450" spans="1:15" hidden="1">
      <c r="A2450" s="75" t="str">
        <f t="shared" si="90"/>
        <v>RUMVIDEOAir ConditionerACкондиционер</v>
      </c>
      <c r="B2450" s="94" t="str">
        <f t="shared" si="91"/>
        <v>RU_MVIDEO</v>
      </c>
      <c r="C2450" s="93" t="s">
        <v>416</v>
      </c>
      <c r="D2450" s="93" t="s">
        <v>425</v>
      </c>
      <c r="E2450" s="93" t="s">
        <v>2346</v>
      </c>
      <c r="F2450" s="93" t="s">
        <v>2492</v>
      </c>
      <c r="G2450" s="93" t="s">
        <v>3122</v>
      </c>
      <c r="H2450" s="93" t="e">
        <v>#N/A</v>
      </c>
      <c r="I2450" s="105" t="s">
        <v>2310</v>
      </c>
      <c r="J2450" s="93" t="s">
        <v>189</v>
      </c>
      <c r="K2450" s="93">
        <v>3297</v>
      </c>
      <c r="L2450" s="93" t="e">
        <v>#N/A</v>
      </c>
      <c r="M2450" s="93" t="s">
        <v>2311</v>
      </c>
      <c r="N2450" s="93" t="e">
        <f>VLOOKUP(B2450,'[16]01.수집 카테고리(List)'!$A$2:$H$64,8,FALSE)</f>
        <v>#N/A</v>
      </c>
      <c r="O2450" s="93"/>
    </row>
    <row r="2451" spans="1:15" hidden="1">
      <c r="A2451" s="75" t="str">
        <f t="shared" si="90"/>
        <v>RUMVIDEOAir Conditionersplit ACсплит система</v>
      </c>
      <c r="B2451" s="94" t="str">
        <f t="shared" si="91"/>
        <v>RU_MVIDEO</v>
      </c>
      <c r="C2451" s="93" t="s">
        <v>416</v>
      </c>
      <c r="D2451" s="93" t="s">
        <v>425</v>
      </c>
      <c r="E2451" s="93" t="s">
        <v>2346</v>
      </c>
      <c r="F2451" s="93" t="s">
        <v>2495</v>
      </c>
      <c r="G2451" s="93" t="s">
        <v>3382</v>
      </c>
      <c r="H2451" s="93" t="e">
        <v>#N/A</v>
      </c>
      <c r="I2451" s="105" t="s">
        <v>2310</v>
      </c>
      <c r="J2451" s="93" t="s">
        <v>189</v>
      </c>
      <c r="K2451" s="93">
        <v>6379</v>
      </c>
      <c r="L2451" s="93" t="e">
        <v>#N/A</v>
      </c>
      <c r="M2451" s="93" t="s">
        <v>2311</v>
      </c>
      <c r="N2451" s="93" t="e">
        <f>VLOOKUP(B2451,'[16]01.수집 카테고리(List)'!$A$2:$H$64,8,FALSE)</f>
        <v>#N/A</v>
      </c>
      <c r="O2451" s="93"/>
    </row>
    <row r="2452" spans="1:15" hidden="1">
      <c r="A2452" s="75" t="str">
        <f t="shared" si="90"/>
        <v>RUMVIDEOBluetooth SpeakerBluetooth speakersBluetooth-колонки</v>
      </c>
      <c r="B2452" s="94" t="str">
        <f t="shared" si="91"/>
        <v>RU_MVIDEO</v>
      </c>
      <c r="C2452" s="93" t="s">
        <v>416</v>
      </c>
      <c r="D2452" s="93" t="s">
        <v>425</v>
      </c>
      <c r="E2452" s="93" t="s">
        <v>2307</v>
      </c>
      <c r="F2452" s="93" t="s">
        <v>2425</v>
      </c>
      <c r="G2452" s="93" t="s">
        <v>3356</v>
      </c>
      <c r="H2452" s="93" t="e">
        <v>#N/A</v>
      </c>
      <c r="I2452" s="105" t="s">
        <v>2310</v>
      </c>
      <c r="J2452" s="93" t="s">
        <v>189</v>
      </c>
      <c r="K2452" s="93">
        <v>9491</v>
      </c>
      <c r="L2452" s="93" t="e">
        <v>#N/A</v>
      </c>
      <c r="M2452" s="93" t="s">
        <v>2311</v>
      </c>
      <c r="N2452" s="93" t="e">
        <f>VLOOKUP(B2452,'[16]01.수집 카테고리(List)'!$A$2:$H$64,8,FALSE)</f>
        <v>#N/A</v>
      </c>
      <c r="O2452" s="93"/>
    </row>
    <row r="2453" spans="1:15" hidden="1">
      <c r="A2453" s="75" t="str">
        <f t="shared" si="90"/>
        <v>RUMVIDEOBluetooth SpeakerSpeakersКомпьютерные колонки</v>
      </c>
      <c r="B2453" s="94" t="str">
        <f t="shared" si="91"/>
        <v>RU_MVIDEO</v>
      </c>
      <c r="C2453" s="93" t="s">
        <v>416</v>
      </c>
      <c r="D2453" s="93" t="s">
        <v>425</v>
      </c>
      <c r="E2453" s="93" t="s">
        <v>2307</v>
      </c>
      <c r="F2453" s="93" t="s">
        <v>2429</v>
      </c>
      <c r="G2453" s="93" t="s">
        <v>3357</v>
      </c>
      <c r="H2453" s="93" t="e">
        <v>#N/A</v>
      </c>
      <c r="I2453" s="105" t="s">
        <v>2310</v>
      </c>
      <c r="J2453" s="93" t="s">
        <v>189</v>
      </c>
      <c r="K2453" s="93">
        <v>4193</v>
      </c>
      <c r="L2453" s="93" t="e">
        <v>#N/A</v>
      </c>
      <c r="M2453" s="93" t="s">
        <v>2311</v>
      </c>
      <c r="N2453" s="93" t="e">
        <f>VLOOKUP(B2453,'[16]01.수집 카테고리(List)'!$A$2:$H$64,8,FALSE)</f>
        <v>#N/A</v>
      </c>
      <c r="O2453" s="93"/>
    </row>
    <row r="2454" spans="1:15" hidden="1">
      <c r="A2454" s="75" t="str">
        <f t="shared" si="90"/>
        <v>RUMVIDEOBluetooth SpeakerSpeakerОратор</v>
      </c>
      <c r="B2454" s="94" t="str">
        <f t="shared" si="91"/>
        <v>RU_MVIDEO</v>
      </c>
      <c r="C2454" s="93" t="s">
        <v>416</v>
      </c>
      <c r="D2454" s="93" t="s">
        <v>425</v>
      </c>
      <c r="E2454" s="93" t="s">
        <v>2307</v>
      </c>
      <c r="F2454" s="93" t="s">
        <v>2428</v>
      </c>
      <c r="G2454" s="93" t="s">
        <v>3358</v>
      </c>
      <c r="H2454" s="93" t="e">
        <v>#N/A</v>
      </c>
      <c r="I2454" s="105" t="s">
        <v>2310</v>
      </c>
      <c r="J2454" s="93" t="s">
        <v>189</v>
      </c>
      <c r="K2454" s="93">
        <v>498</v>
      </c>
      <c r="L2454" s="93" t="e">
        <v>#N/A</v>
      </c>
      <c r="M2454" s="93" t="s">
        <v>2311</v>
      </c>
      <c r="N2454" s="93" t="e">
        <f>VLOOKUP(B2454,'[16]01.수집 카테고리(List)'!$A$2:$H$64,8,FALSE)</f>
        <v>#N/A</v>
      </c>
      <c r="O2454" s="93"/>
    </row>
    <row r="2455" spans="1:15" hidden="1">
      <c r="A2455" s="75" t="str">
        <f t="shared" si="90"/>
        <v>RUMVIDEOBluetooth SpeakerPortable speakersПортативные колонки</v>
      </c>
      <c r="B2455" s="94" t="str">
        <f t="shared" si="91"/>
        <v>RU_MVIDEO</v>
      </c>
      <c r="C2455" s="93" t="s">
        <v>416</v>
      </c>
      <c r="D2455" s="93" t="s">
        <v>425</v>
      </c>
      <c r="E2455" s="93" t="s">
        <v>2307</v>
      </c>
      <c r="F2455" s="93" t="s">
        <v>2427</v>
      </c>
      <c r="G2455" s="93" t="s">
        <v>3359</v>
      </c>
      <c r="H2455" s="93" t="e">
        <v>#N/A</v>
      </c>
      <c r="I2455" s="105" t="s">
        <v>2310</v>
      </c>
      <c r="J2455" s="93" t="s">
        <v>189</v>
      </c>
      <c r="K2455" s="93">
        <v>9117</v>
      </c>
      <c r="L2455" s="93" t="e">
        <v>#N/A</v>
      </c>
      <c r="M2455" s="93" t="s">
        <v>2311</v>
      </c>
      <c r="N2455" s="93" t="e">
        <f>VLOOKUP(B2455,'[16]01.수집 카테고리(List)'!$A$2:$H$64,8,FALSE)</f>
        <v>#N/A</v>
      </c>
      <c r="O2455" s="93"/>
    </row>
    <row r="2456" spans="1:15" hidden="1">
      <c r="A2456" s="75" t="str">
        <f t="shared" si="90"/>
        <v>RUMVIDEOBluetooth SpeakerPortable bluetooth speakersПортативные колонки bluetooth</v>
      </c>
      <c r="B2456" s="94" t="str">
        <f t="shared" si="91"/>
        <v>RU_MVIDEO</v>
      </c>
      <c r="C2456" s="93" t="s">
        <v>416</v>
      </c>
      <c r="D2456" s="93" t="s">
        <v>425</v>
      </c>
      <c r="E2456" s="93" t="s">
        <v>2307</v>
      </c>
      <c r="F2456" s="93" t="s">
        <v>2426</v>
      </c>
      <c r="G2456" s="93" t="s">
        <v>3360</v>
      </c>
      <c r="H2456" s="93" t="e">
        <v>#N/A</v>
      </c>
      <c r="I2456" s="105" t="s">
        <v>2310</v>
      </c>
      <c r="J2456" s="93" t="s">
        <v>189</v>
      </c>
      <c r="K2456" s="93">
        <v>8356</v>
      </c>
      <c r="L2456" s="93" t="e">
        <v>#N/A</v>
      </c>
      <c r="M2456" s="93" t="s">
        <v>2311</v>
      </c>
      <c r="N2456" s="93" t="e">
        <f>VLOOKUP(B2456,'[16]01.수집 카테고리(List)'!$A$2:$H$64,8,FALSE)</f>
        <v>#N/A</v>
      </c>
      <c r="O2456" s="93"/>
    </row>
    <row r="2457" spans="1:15" hidden="1">
      <c r="A2457" s="75" t="str">
        <f t="shared" si="90"/>
        <v>RUMVIDEOCordless stick vacuumcordless vacuum cleanerБеспроводные пылесосы</v>
      </c>
      <c r="B2457" s="94" t="str">
        <f t="shared" si="91"/>
        <v>RU_MVIDEO</v>
      </c>
      <c r="C2457" s="93" t="s">
        <v>416</v>
      </c>
      <c r="D2457" s="93" t="s">
        <v>425</v>
      </c>
      <c r="E2457" s="93" t="s">
        <v>2435</v>
      </c>
      <c r="F2457" s="93" t="s">
        <v>3361</v>
      </c>
      <c r="G2457" s="93" t="s">
        <v>3362</v>
      </c>
      <c r="H2457" s="93" t="e">
        <v>#N/A</v>
      </c>
      <c r="I2457" s="105" t="s">
        <v>2310</v>
      </c>
      <c r="J2457" s="93" t="s">
        <v>189</v>
      </c>
      <c r="K2457" s="93">
        <v>5833</v>
      </c>
      <c r="L2457" s="93" t="e">
        <v>#N/A</v>
      </c>
      <c r="M2457" s="93" t="s">
        <v>2311</v>
      </c>
      <c r="N2457" s="93" t="e">
        <f>VLOOKUP(B2457,'[16]01.수집 카테고리(List)'!$A$2:$H$64,8,FALSE)</f>
        <v>#N/A</v>
      </c>
      <c r="O2457" s="93"/>
    </row>
    <row r="2458" spans="1:15" hidden="1">
      <c r="A2458" s="75" t="str">
        <f t="shared" si="90"/>
        <v>RUMVIDEOCordless stick vacuumstick vacuum cleanerВертикальный пылесос</v>
      </c>
      <c r="B2458" s="94" t="str">
        <f t="shared" si="91"/>
        <v>RU_MVIDEO</v>
      </c>
      <c r="C2458" s="93" t="s">
        <v>416</v>
      </c>
      <c r="D2458" s="93" t="s">
        <v>425</v>
      </c>
      <c r="E2458" s="93" t="s">
        <v>2435</v>
      </c>
      <c r="F2458" s="93" t="s">
        <v>2439</v>
      </c>
      <c r="G2458" s="93" t="s">
        <v>3363</v>
      </c>
      <c r="H2458" s="93" t="e">
        <v>#N/A</v>
      </c>
      <c r="I2458" s="105" t="s">
        <v>2310</v>
      </c>
      <c r="J2458" s="93" t="s">
        <v>189</v>
      </c>
      <c r="K2458" s="93">
        <v>7270</v>
      </c>
      <c r="L2458" s="93" t="e">
        <v>#N/A</v>
      </c>
      <c r="M2458" s="93" t="s">
        <v>2311</v>
      </c>
      <c r="N2458" s="93" t="e">
        <f>VLOOKUP(B2458,'[16]01.수집 카테고리(List)'!$A$2:$H$64,8,FALSE)</f>
        <v>#N/A</v>
      </c>
      <c r="O2458" s="93"/>
    </row>
    <row r="2459" spans="1:15" hidden="1">
      <c r="A2459" s="75" t="str">
        <f t="shared" si="90"/>
        <v>RUMVIDEORefrigeratortop freezer refrigeratorверхний морозильник</v>
      </c>
      <c r="B2459" s="94" t="str">
        <f t="shared" si="91"/>
        <v>RU_MVIDEO</v>
      </c>
      <c r="C2459" s="93" t="s">
        <v>416</v>
      </c>
      <c r="D2459" s="93" t="s">
        <v>425</v>
      </c>
      <c r="E2459" s="93" t="s">
        <v>2326</v>
      </c>
      <c r="F2459" s="93" t="s">
        <v>2332</v>
      </c>
      <c r="G2459" s="93" t="s">
        <v>3364</v>
      </c>
      <c r="H2459" s="93" t="e">
        <v>#N/A</v>
      </c>
      <c r="I2459" s="105" t="s">
        <v>2310</v>
      </c>
      <c r="J2459" s="93" t="s">
        <v>189</v>
      </c>
      <c r="K2459" s="93">
        <v>1809</v>
      </c>
      <c r="L2459" s="93" t="e">
        <v>#N/A</v>
      </c>
      <c r="M2459" s="93" t="s">
        <v>2311</v>
      </c>
      <c r="N2459" s="93" t="e">
        <f>VLOOKUP(B2459,'[16]01.수집 카테고리(List)'!$A$2:$H$64,8,FALSE)</f>
        <v>#N/A</v>
      </c>
      <c r="O2459" s="93"/>
    </row>
    <row r="2460" spans="1:15" hidden="1">
      <c r="A2460" s="75" t="str">
        <f t="shared" si="90"/>
        <v>RUMVIDEORefrigeratorbottom freezer refrigeratorнижний морозильник</v>
      </c>
      <c r="B2460" s="94" t="str">
        <f t="shared" si="91"/>
        <v>RU_MVIDEO</v>
      </c>
      <c r="C2460" s="93" t="s">
        <v>416</v>
      </c>
      <c r="D2460" s="93" t="s">
        <v>425</v>
      </c>
      <c r="E2460" s="93" t="s">
        <v>2326</v>
      </c>
      <c r="F2460" s="93" t="s">
        <v>2327</v>
      </c>
      <c r="G2460" s="93" t="s">
        <v>3365</v>
      </c>
      <c r="H2460" s="93" t="e">
        <v>#N/A</v>
      </c>
      <c r="I2460" s="105" t="s">
        <v>2310</v>
      </c>
      <c r="J2460" s="93" t="s">
        <v>189</v>
      </c>
      <c r="K2460" s="93">
        <v>8493</v>
      </c>
      <c r="L2460" s="93" t="e">
        <v>#N/A</v>
      </c>
      <c r="M2460" s="93" t="s">
        <v>2311</v>
      </c>
      <c r="N2460" s="93" t="e">
        <f>VLOOKUP(B2460,'[16]01.수집 카테고리(List)'!$A$2:$H$64,8,FALSE)</f>
        <v>#N/A</v>
      </c>
      <c r="O2460" s="93"/>
    </row>
    <row r="2461" spans="1:15" hidden="1">
      <c r="A2461" s="75" t="str">
        <f t="shared" si="90"/>
        <v>RUMVIDEORefrigeratorfrench door refrigeratorфранцузский холодильник</v>
      </c>
      <c r="B2461" s="94" t="str">
        <f t="shared" si="91"/>
        <v>RU_MVIDEO</v>
      </c>
      <c r="C2461" s="93" t="s">
        <v>416</v>
      </c>
      <c r="D2461" s="93" t="s">
        <v>425</v>
      </c>
      <c r="E2461" s="93" t="s">
        <v>2326</v>
      </c>
      <c r="F2461" s="93" t="s">
        <v>2328</v>
      </c>
      <c r="G2461" s="93" t="s">
        <v>3366</v>
      </c>
      <c r="H2461" s="93" t="e">
        <v>#N/A</v>
      </c>
      <c r="I2461" s="105" t="s">
        <v>2310</v>
      </c>
      <c r="J2461" s="93" t="s">
        <v>189</v>
      </c>
      <c r="K2461" s="93">
        <v>34215</v>
      </c>
      <c r="L2461" s="93" t="e">
        <v>#N/A</v>
      </c>
      <c r="M2461" s="93" t="s">
        <v>2311</v>
      </c>
      <c r="N2461" s="93" t="e">
        <f>VLOOKUP(B2461,'[16]01.수집 카테고리(List)'!$A$2:$H$64,8,FALSE)</f>
        <v>#N/A</v>
      </c>
      <c r="O2461" s="93"/>
    </row>
    <row r="2462" spans="1:15" hidden="1">
      <c r="A2462" s="75" t="str">
        <f t="shared" si="90"/>
        <v>RUMVIDEORefrigeratorrefrigeratorхолодильник</v>
      </c>
      <c r="B2462" s="94" t="str">
        <f t="shared" si="91"/>
        <v>RU_MVIDEO</v>
      </c>
      <c r="C2462" s="93" t="s">
        <v>416</v>
      </c>
      <c r="D2462" s="93" t="s">
        <v>425</v>
      </c>
      <c r="E2462" s="93" t="s">
        <v>2326</v>
      </c>
      <c r="F2462" s="93" t="s">
        <v>2329</v>
      </c>
      <c r="G2462" s="93" t="s">
        <v>3132</v>
      </c>
      <c r="H2462" s="93" t="e">
        <v>#N/A</v>
      </c>
      <c r="I2462" s="105" t="s">
        <v>2310</v>
      </c>
      <c r="J2462" s="93" t="s">
        <v>189</v>
      </c>
      <c r="K2462" s="93">
        <v>20584</v>
      </c>
      <c r="L2462" s="93" t="e">
        <v>#N/A</v>
      </c>
      <c r="M2462" s="93" t="s">
        <v>2311</v>
      </c>
      <c r="N2462" s="93" t="e">
        <f>VLOOKUP(B2462,'[16]01.수집 카테고리(List)'!$A$2:$H$64,8,FALSE)</f>
        <v>#N/A</v>
      </c>
      <c r="O2462" s="93"/>
    </row>
    <row r="2463" spans="1:15" hidden="1">
      <c r="A2463" s="75" t="str">
        <f t="shared" si="90"/>
        <v>RUMVIDEORefrigeratorside by side refrigeratorхолодильник side by side</v>
      </c>
      <c r="B2463" s="94" t="str">
        <f t="shared" si="91"/>
        <v>RU_MVIDEO</v>
      </c>
      <c r="C2463" s="93" t="s">
        <v>416</v>
      </c>
      <c r="D2463" s="93" t="s">
        <v>425</v>
      </c>
      <c r="E2463" s="93" t="s">
        <v>2326</v>
      </c>
      <c r="F2463" s="93" t="s">
        <v>2330</v>
      </c>
      <c r="G2463" s="93" t="s">
        <v>3367</v>
      </c>
      <c r="H2463" s="93" t="e">
        <v>#N/A</v>
      </c>
      <c r="I2463" s="105" t="s">
        <v>2310</v>
      </c>
      <c r="J2463" s="93" t="s">
        <v>189</v>
      </c>
      <c r="K2463" s="93">
        <v>3726</v>
      </c>
      <c r="L2463" s="93" t="e">
        <v>#N/A</v>
      </c>
      <c r="M2463" s="93" t="s">
        <v>2311</v>
      </c>
      <c r="N2463" s="93" t="e">
        <f>VLOOKUP(B2463,'[16]01.수집 카테고리(List)'!$A$2:$H$64,8,FALSE)</f>
        <v>#N/A</v>
      </c>
      <c r="O2463" s="93"/>
    </row>
    <row r="2464" spans="1:15" hidden="1">
      <c r="A2464" s="75" t="str">
        <f t="shared" si="90"/>
        <v>RUMVIDEOSOUNDBARSound barЗвуковая панель</v>
      </c>
      <c r="B2464" s="94" t="str">
        <f t="shared" si="91"/>
        <v>RU_MVIDEO</v>
      </c>
      <c r="C2464" s="93" t="s">
        <v>416</v>
      </c>
      <c r="D2464" s="93" t="s">
        <v>425</v>
      </c>
      <c r="E2464" s="93" t="s">
        <v>165</v>
      </c>
      <c r="F2464" s="93" t="s">
        <v>2365</v>
      </c>
      <c r="G2464" s="93" t="s">
        <v>3368</v>
      </c>
      <c r="H2464" s="93" t="e">
        <v>#N/A</v>
      </c>
      <c r="I2464" s="105" t="s">
        <v>2310</v>
      </c>
      <c r="J2464" s="93" t="s">
        <v>189</v>
      </c>
      <c r="K2464" s="93">
        <v>2086</v>
      </c>
      <c r="L2464" s="93" t="e">
        <v>#N/A</v>
      </c>
      <c r="M2464" s="93" t="s">
        <v>2311</v>
      </c>
      <c r="N2464" s="93" t="e">
        <f>VLOOKUP(B2464,'[16]01.수집 카테고리(List)'!$A$2:$H$64,8,FALSE)</f>
        <v>#N/A</v>
      </c>
      <c r="O2464" s="93"/>
    </row>
    <row r="2465" spans="1:15" hidden="1">
      <c r="A2465" s="75" t="str">
        <f t="shared" si="90"/>
        <v>RUMVIDEOSOUNDBARSoundbarЗвуковая панель</v>
      </c>
      <c r="B2465" s="94" t="str">
        <f t="shared" si="91"/>
        <v>RU_MVIDEO</v>
      </c>
      <c r="C2465" s="93" t="s">
        <v>416</v>
      </c>
      <c r="D2465" s="93" t="s">
        <v>425</v>
      </c>
      <c r="E2465" s="93" t="s">
        <v>165</v>
      </c>
      <c r="F2465" s="93" t="s">
        <v>2363</v>
      </c>
      <c r="G2465" s="93" t="s">
        <v>3368</v>
      </c>
      <c r="H2465" s="93" t="e">
        <v>#N/A</v>
      </c>
      <c r="I2465" s="105" t="s">
        <v>2310</v>
      </c>
      <c r="J2465" s="93" t="s">
        <v>189</v>
      </c>
      <c r="K2465" s="93">
        <v>2086</v>
      </c>
      <c r="L2465" s="93" t="e">
        <v>#N/A</v>
      </c>
      <c r="M2465" s="93" t="s">
        <v>2311</v>
      </c>
      <c r="N2465" s="93" t="e">
        <f>VLOOKUP(B2465,'[16]01.수집 카테고리(List)'!$A$2:$H$64,8,FALSE)</f>
        <v>#N/A</v>
      </c>
      <c r="O2465" s="93"/>
    </row>
    <row r="2466" spans="1:15" hidden="1">
      <c r="A2466" s="75" t="str">
        <f t="shared" si="90"/>
        <v>RUMVIDEOSOUNDBARSound bars for tvСаундбары для ТВ</v>
      </c>
      <c r="B2466" s="94" t="str">
        <f t="shared" si="91"/>
        <v>RU_MVIDEO</v>
      </c>
      <c r="C2466" s="93" t="s">
        <v>416</v>
      </c>
      <c r="D2466" s="93" t="s">
        <v>425</v>
      </c>
      <c r="E2466" s="93" t="s">
        <v>165</v>
      </c>
      <c r="F2466" s="93" t="s">
        <v>2430</v>
      </c>
      <c r="G2466" s="93" t="s">
        <v>3369</v>
      </c>
      <c r="H2466" s="93" t="e">
        <v>#N/A</v>
      </c>
      <c r="I2466" s="105" t="s">
        <v>2310</v>
      </c>
      <c r="J2466" s="93" t="s">
        <v>189</v>
      </c>
      <c r="K2466" s="93">
        <v>148</v>
      </c>
      <c r="L2466" s="93" t="e">
        <v>#N/A</v>
      </c>
      <c r="M2466" s="93" t="s">
        <v>2311</v>
      </c>
      <c r="N2466" s="93" t="e">
        <f>VLOOKUP(B2466,'[16]01.수집 카테고리(List)'!$A$2:$H$64,8,FALSE)</f>
        <v>#N/A</v>
      </c>
      <c r="O2466" s="93"/>
    </row>
    <row r="2467" spans="1:15" hidden="1">
      <c r="A2467" s="75" t="str">
        <f t="shared" si="90"/>
        <v>RUMVIDEOSOUNDBARSurround sound systemСистема объемного звука</v>
      </c>
      <c r="B2467" s="94" t="str">
        <f t="shared" si="91"/>
        <v>RU_MVIDEO</v>
      </c>
      <c r="C2467" s="93" t="s">
        <v>416</v>
      </c>
      <c r="D2467" s="93" t="s">
        <v>425</v>
      </c>
      <c r="E2467" s="93" t="s">
        <v>165</v>
      </c>
      <c r="F2467" s="93" t="s">
        <v>2772</v>
      </c>
      <c r="G2467" s="93" t="s">
        <v>3370</v>
      </c>
      <c r="H2467" s="93" t="e">
        <v>#N/A</v>
      </c>
      <c r="I2467" s="105" t="s">
        <v>2310</v>
      </c>
      <c r="J2467" s="93" t="s">
        <v>189</v>
      </c>
      <c r="K2467" s="93">
        <v>20297</v>
      </c>
      <c r="L2467" s="93" t="e">
        <v>#N/A</v>
      </c>
      <c r="M2467" s="93" t="s">
        <v>2311</v>
      </c>
      <c r="N2467" s="93" t="e">
        <f>VLOOKUP(B2467,'[16]01.수집 카테고리(List)'!$A$2:$H$64,8,FALSE)</f>
        <v>#N/A</v>
      </c>
      <c r="O2467" s="93"/>
    </row>
    <row r="2468" spans="1:15" hidden="1">
      <c r="A2468" s="75" t="str">
        <f t="shared" si="90"/>
        <v>RUMVIDEOSOUNDBARtv sound barтв саундбар</v>
      </c>
      <c r="B2468" s="94" t="str">
        <f t="shared" si="91"/>
        <v>RU_MVIDEO</v>
      </c>
      <c r="C2468" s="93" t="s">
        <v>416</v>
      </c>
      <c r="D2468" s="93" t="s">
        <v>425</v>
      </c>
      <c r="E2468" s="93" t="s">
        <v>165</v>
      </c>
      <c r="F2468" s="93" t="s">
        <v>2833</v>
      </c>
      <c r="G2468" s="93" t="s">
        <v>3371</v>
      </c>
      <c r="H2468" s="93" t="e">
        <v>#N/A</v>
      </c>
      <c r="I2468" s="105" t="s">
        <v>2310</v>
      </c>
      <c r="J2468" s="93" t="s">
        <v>189</v>
      </c>
      <c r="K2468" s="93">
        <v>87</v>
      </c>
      <c r="L2468" s="93" t="e">
        <v>#N/A</v>
      </c>
      <c r="M2468" s="93" t="s">
        <v>2311</v>
      </c>
      <c r="N2468" s="93" t="e">
        <f>VLOOKUP(B2468,'[16]01.수집 카테고리(List)'!$A$2:$H$64,8,FALSE)</f>
        <v>#N/A</v>
      </c>
      <c r="O2468" s="93"/>
    </row>
    <row r="2469" spans="1:15" hidden="1">
      <c r="A2469" s="75" t="str">
        <f t="shared" si="90"/>
        <v>RUMVIDEOStylerlg stylerlg Паровой шкаф</v>
      </c>
      <c r="B2469" s="94" t="str">
        <f t="shared" si="91"/>
        <v>RU_MVIDEO</v>
      </c>
      <c r="C2469" s="93" t="s">
        <v>416</v>
      </c>
      <c r="D2469" s="93" t="s">
        <v>425</v>
      </c>
      <c r="E2469" s="93" t="s">
        <v>3281</v>
      </c>
      <c r="F2469" s="93" t="s">
        <v>3383</v>
      </c>
      <c r="G2469" s="93" t="s">
        <v>3384</v>
      </c>
      <c r="H2469" s="93" t="e">
        <v>#N/A</v>
      </c>
      <c r="I2469" s="105" t="s">
        <v>2310</v>
      </c>
      <c r="J2469" s="93" t="s">
        <v>189</v>
      </c>
      <c r="K2469" s="93">
        <v>197</v>
      </c>
      <c r="L2469" s="93" t="e">
        <v>#N/A</v>
      </c>
      <c r="M2469" s="93" t="s">
        <v>2311</v>
      </c>
      <c r="N2469" s="93" t="e">
        <f>VLOOKUP(B2469,'[16]01.수집 카테고리(List)'!$A$2:$H$64,8,FALSE)</f>
        <v>#N/A</v>
      </c>
      <c r="O2469" s="93"/>
    </row>
    <row r="2470" spans="1:15" hidden="1">
      <c r="A2470" s="75" t="str">
        <f t="shared" si="90"/>
        <v>RUMVIDEOStylerstylerПаровой шкаф</v>
      </c>
      <c r="B2470" s="94" t="str">
        <f t="shared" si="91"/>
        <v>RU_MVIDEO</v>
      </c>
      <c r="C2470" s="93" t="s">
        <v>416</v>
      </c>
      <c r="D2470" s="93" t="s">
        <v>425</v>
      </c>
      <c r="E2470" s="93" t="s">
        <v>3281</v>
      </c>
      <c r="F2470" s="93" t="s">
        <v>2550</v>
      </c>
      <c r="G2470" s="93" t="s">
        <v>3385</v>
      </c>
      <c r="H2470" s="93" t="e">
        <v>#N/A</v>
      </c>
      <c r="I2470" s="105" t="s">
        <v>2310</v>
      </c>
      <c r="J2470" s="93" t="s">
        <v>189</v>
      </c>
      <c r="K2470" s="93">
        <v>169</v>
      </c>
      <c r="L2470" s="93" t="e">
        <v>#N/A</v>
      </c>
      <c r="M2470" s="93" t="s">
        <v>2311</v>
      </c>
      <c r="N2470" s="93" t="e">
        <f>VLOOKUP(B2470,'[16]01.수집 카테고리(List)'!$A$2:$H$64,8,FALSE)</f>
        <v>#N/A</v>
      </c>
      <c r="O2470" s="93"/>
    </row>
    <row r="2471" spans="1:15" hidden="1">
      <c r="A2471" s="75" t="str">
        <f t="shared" si="90"/>
        <v>RUMVIDEOTV4k TV4k телевизор</v>
      </c>
      <c r="B2471" s="94" t="str">
        <f t="shared" si="91"/>
        <v>RU_MVIDEO</v>
      </c>
      <c r="C2471" s="93" t="s">
        <v>416</v>
      </c>
      <c r="D2471" s="93" t="s">
        <v>425</v>
      </c>
      <c r="E2471" s="93" t="s">
        <v>161</v>
      </c>
      <c r="F2471" s="93" t="s">
        <v>2368</v>
      </c>
      <c r="G2471" s="93" t="s">
        <v>3139</v>
      </c>
      <c r="H2471" s="93" t="e">
        <v>#N/A</v>
      </c>
      <c r="I2471" s="105" t="s">
        <v>2310</v>
      </c>
      <c r="J2471" s="93" t="s">
        <v>189</v>
      </c>
      <c r="K2471" s="93">
        <v>10921</v>
      </c>
      <c r="L2471" s="93" t="e">
        <v>#N/A</v>
      </c>
      <c r="M2471" s="93" t="s">
        <v>2311</v>
      </c>
      <c r="N2471" s="93" t="e">
        <f>VLOOKUP(B2471,'[16]01.수집 카테고리(List)'!$A$2:$H$64,8,FALSE)</f>
        <v>#N/A</v>
      </c>
      <c r="O2471" s="93"/>
    </row>
    <row r="2472" spans="1:15" hidden="1">
      <c r="A2472" s="75" t="str">
        <f t="shared" si="90"/>
        <v>RUMVIDEOTVoled TVoled</v>
      </c>
      <c r="B2472" s="94" t="str">
        <f t="shared" si="91"/>
        <v>RU_MVIDEO</v>
      </c>
      <c r="C2472" s="93" t="s">
        <v>416</v>
      </c>
      <c r="D2472" s="93" t="s">
        <v>425</v>
      </c>
      <c r="E2472" s="93" t="s">
        <v>161</v>
      </c>
      <c r="F2472" s="93" t="s">
        <v>2369</v>
      </c>
      <c r="G2472" s="93" t="s">
        <v>2370</v>
      </c>
      <c r="H2472" s="93" t="e">
        <v>#N/A</v>
      </c>
      <c r="I2472" s="105" t="s">
        <v>2310</v>
      </c>
      <c r="J2472" s="93" t="s">
        <v>189</v>
      </c>
      <c r="K2472" s="93">
        <v>1940</v>
      </c>
      <c r="L2472" s="93" t="e">
        <v>#N/A</v>
      </c>
      <c r="M2472" s="93" t="s">
        <v>2311</v>
      </c>
      <c r="N2472" s="93" t="e">
        <f>VLOOKUP(B2472,'[16]01.수집 카테고리(List)'!$A$2:$H$64,8,FALSE)</f>
        <v>#N/A</v>
      </c>
      <c r="O2472" s="93"/>
    </row>
    <row r="2473" spans="1:15" hidden="1">
      <c r="A2473" s="75" t="str">
        <f t="shared" si="90"/>
        <v>RUMVIDEOTVoled TVoled телевизор</v>
      </c>
      <c r="B2473" s="94" t="str">
        <f t="shared" si="91"/>
        <v>RU_MVIDEO</v>
      </c>
      <c r="C2473" s="93" t="s">
        <v>416</v>
      </c>
      <c r="D2473" s="93" t="s">
        <v>425</v>
      </c>
      <c r="E2473" s="93" t="s">
        <v>161</v>
      </c>
      <c r="F2473" s="93" t="s">
        <v>2369</v>
      </c>
      <c r="G2473" s="93" t="s">
        <v>3140</v>
      </c>
      <c r="H2473" s="93" t="e">
        <v>#N/A</v>
      </c>
      <c r="I2473" s="105" t="s">
        <v>2310</v>
      </c>
      <c r="J2473" s="93" t="s">
        <v>189</v>
      </c>
      <c r="K2473" s="93">
        <v>1289</v>
      </c>
      <c r="L2473" s="93" t="e">
        <v>#N/A</v>
      </c>
      <c r="M2473" s="93" t="s">
        <v>2311</v>
      </c>
      <c r="N2473" s="93" t="e">
        <f>VLOOKUP(B2473,'[16]01.수집 카테고리(List)'!$A$2:$H$64,8,FALSE)</f>
        <v>#N/A</v>
      </c>
      <c r="O2473" s="93"/>
    </row>
    <row r="2474" spans="1:15" hidden="1">
      <c r="A2474" s="75" t="str">
        <f t="shared" ref="A2474:A2537" si="92">C2474&amp;D2474&amp;E2474&amp;F2474&amp;G2474</f>
        <v>RUMVIDEOTVuhd TVuhd телевизор</v>
      </c>
      <c r="B2474" s="94" t="str">
        <f t="shared" ref="B2474:B2537" si="93">C2474&amp;"_"&amp;D2474</f>
        <v>RU_MVIDEO</v>
      </c>
      <c r="C2474" s="93" t="s">
        <v>416</v>
      </c>
      <c r="D2474" s="93" t="s">
        <v>425</v>
      </c>
      <c r="E2474" s="93" t="s">
        <v>161</v>
      </c>
      <c r="F2474" s="93" t="s">
        <v>2399</v>
      </c>
      <c r="G2474" s="93" t="s">
        <v>3141</v>
      </c>
      <c r="H2474" s="93" t="e">
        <v>#N/A</v>
      </c>
      <c r="I2474" s="105" t="s">
        <v>2310</v>
      </c>
      <c r="J2474" s="93" t="s">
        <v>189</v>
      </c>
      <c r="K2474" s="93">
        <v>10569</v>
      </c>
      <c r="L2474" s="93" t="e">
        <v>#N/A</v>
      </c>
      <c r="M2474" s="93" t="s">
        <v>2311</v>
      </c>
      <c r="N2474" s="93" t="e">
        <f>VLOOKUP(B2474,'[16]01.수집 카테고리(List)'!$A$2:$H$64,8,FALSE)</f>
        <v>#N/A</v>
      </c>
      <c r="O2474" s="93"/>
    </row>
    <row r="2475" spans="1:15" hidden="1">
      <c r="A2475" s="75" t="str">
        <f t="shared" si="92"/>
        <v>RUMVIDEOTVoled TVолед</v>
      </c>
      <c r="B2475" s="94" t="str">
        <f t="shared" si="93"/>
        <v>RU_MVIDEO</v>
      </c>
      <c r="C2475" s="93" t="s">
        <v>416</v>
      </c>
      <c r="D2475" s="93" t="s">
        <v>425</v>
      </c>
      <c r="E2475" s="93" t="s">
        <v>161</v>
      </c>
      <c r="F2475" s="93" t="s">
        <v>2369</v>
      </c>
      <c r="G2475" s="93" t="s">
        <v>3372</v>
      </c>
      <c r="H2475" s="93" t="e">
        <v>#N/A</v>
      </c>
      <c r="I2475" s="105" t="s">
        <v>2310</v>
      </c>
      <c r="J2475" s="93" t="s">
        <v>189</v>
      </c>
      <c r="K2475" s="93">
        <v>1913</v>
      </c>
      <c r="L2475" s="93" t="e">
        <v>#N/A</v>
      </c>
      <c r="M2475" s="93" t="s">
        <v>2311</v>
      </c>
      <c r="N2475" s="93" t="e">
        <f>VLOOKUP(B2475,'[16]01.수집 카테고리(List)'!$A$2:$H$64,8,FALSE)</f>
        <v>#N/A</v>
      </c>
      <c r="O2475" s="93"/>
    </row>
    <row r="2476" spans="1:15" hidden="1">
      <c r="A2476" s="75" t="str">
        <f t="shared" si="92"/>
        <v>RUMVIDEOTVoled TVолед тв</v>
      </c>
      <c r="B2476" s="94" t="str">
        <f t="shared" si="93"/>
        <v>RU_MVIDEO</v>
      </c>
      <c r="C2476" s="93" t="s">
        <v>416</v>
      </c>
      <c r="D2476" s="93" t="s">
        <v>425</v>
      </c>
      <c r="E2476" s="93" t="s">
        <v>161</v>
      </c>
      <c r="F2476" s="93" t="s">
        <v>2369</v>
      </c>
      <c r="G2476" s="93" t="s">
        <v>3373</v>
      </c>
      <c r="H2476" s="93" t="e">
        <v>#N/A</v>
      </c>
      <c r="I2476" s="105" t="s">
        <v>2310</v>
      </c>
      <c r="J2476" s="93" t="s">
        <v>189</v>
      </c>
      <c r="K2476" s="93">
        <v>42387</v>
      </c>
      <c r="L2476" s="93" t="e">
        <v>#N/A</v>
      </c>
      <c r="M2476" s="93" t="s">
        <v>2311</v>
      </c>
      <c r="N2476" s="93" t="e">
        <f>VLOOKUP(B2476,'[16]01.수집 카테고리(List)'!$A$2:$H$64,8,FALSE)</f>
        <v>#N/A</v>
      </c>
      <c r="O2476" s="93"/>
    </row>
    <row r="2477" spans="1:15" hidden="1">
      <c r="A2477" s="75" t="str">
        <f t="shared" si="92"/>
        <v>RUMVIDEOTVsmart TVсмарт тв</v>
      </c>
      <c r="B2477" s="94" t="str">
        <f t="shared" si="93"/>
        <v>RU_MVIDEO</v>
      </c>
      <c r="C2477" s="93" t="s">
        <v>416</v>
      </c>
      <c r="D2477" s="93" t="s">
        <v>425</v>
      </c>
      <c r="E2477" s="93" t="s">
        <v>161</v>
      </c>
      <c r="F2477" s="93" t="s">
        <v>2371</v>
      </c>
      <c r="G2477" s="93" t="s">
        <v>3142</v>
      </c>
      <c r="H2477" s="93" t="e">
        <v>#N/A</v>
      </c>
      <c r="I2477" s="105" t="s">
        <v>2310</v>
      </c>
      <c r="J2477" s="93" t="s">
        <v>189</v>
      </c>
      <c r="K2477" s="93">
        <v>12705</v>
      </c>
      <c r="L2477" s="93" t="e">
        <v>#N/A</v>
      </c>
      <c r="M2477" s="93" t="s">
        <v>2311</v>
      </c>
      <c r="N2477" s="93" t="e">
        <f>VLOOKUP(B2477,'[16]01.수집 카테고리(List)'!$A$2:$H$64,8,FALSE)</f>
        <v>#N/A</v>
      </c>
      <c r="O2477" s="93"/>
    </row>
    <row r="2478" spans="1:15" hidden="1">
      <c r="A2478" s="75" t="str">
        <f t="shared" si="92"/>
        <v>RUMVIDEOTVTVтелевизор</v>
      </c>
      <c r="B2478" s="94" t="str">
        <f t="shared" si="93"/>
        <v>RU_MVIDEO</v>
      </c>
      <c r="C2478" s="93" t="s">
        <v>416</v>
      </c>
      <c r="D2478" s="93" t="s">
        <v>425</v>
      </c>
      <c r="E2478" s="93" t="s">
        <v>161</v>
      </c>
      <c r="F2478" s="93" t="s">
        <v>161</v>
      </c>
      <c r="G2478" s="93" t="s">
        <v>3143</v>
      </c>
      <c r="H2478" s="93" t="e">
        <v>#N/A</v>
      </c>
      <c r="I2478" s="105" t="s">
        <v>2310</v>
      </c>
      <c r="J2478" s="93" t="s">
        <v>189</v>
      </c>
      <c r="K2478" s="93">
        <v>16209</v>
      </c>
      <c r="L2478" s="93" t="e">
        <v>#N/A</v>
      </c>
      <c r="M2478" s="93" t="s">
        <v>2311</v>
      </c>
      <c r="N2478" s="93" t="e">
        <f>VLOOKUP(B2478,'[16]01.수집 카테고리(List)'!$A$2:$H$64,8,FALSE)</f>
        <v>#N/A</v>
      </c>
      <c r="O2478" s="93"/>
    </row>
    <row r="2479" spans="1:15" hidden="1">
      <c r="A2479" s="75" t="str">
        <f t="shared" si="92"/>
        <v>RUMVIDEOWashing Machinewashing machineстиральная машина</v>
      </c>
      <c r="B2479" s="94" t="str">
        <f t="shared" si="93"/>
        <v>RU_MVIDEO</v>
      </c>
      <c r="C2479" s="93" t="s">
        <v>416</v>
      </c>
      <c r="D2479" s="93" t="s">
        <v>425</v>
      </c>
      <c r="E2479" s="93" t="s">
        <v>2333</v>
      </c>
      <c r="F2479" s="93" t="s">
        <v>2340</v>
      </c>
      <c r="G2479" s="93" t="s">
        <v>3146</v>
      </c>
      <c r="H2479" s="93" t="e">
        <v>#N/A</v>
      </c>
      <c r="I2479" s="105" t="s">
        <v>2310</v>
      </c>
      <c r="J2479" s="93" t="s">
        <v>189</v>
      </c>
      <c r="K2479" s="93">
        <v>14996</v>
      </c>
      <c r="L2479" s="93" t="e">
        <v>#N/A</v>
      </c>
      <c r="M2479" s="93" t="s">
        <v>2311</v>
      </c>
      <c r="N2479" s="93" t="e">
        <f>VLOOKUP(B2479,'[16]01.수집 카테고리(List)'!$A$2:$H$64,8,FALSE)</f>
        <v>#N/A</v>
      </c>
      <c r="O2479" s="93"/>
    </row>
    <row r="2480" spans="1:15" hidden="1">
      <c r="A2480" s="75" t="str">
        <f t="shared" si="92"/>
        <v>RUMVIDEOWashing Machinewasher dryer comboстиральная машина с сушкой</v>
      </c>
      <c r="B2480" s="94" t="str">
        <f t="shared" si="93"/>
        <v>RU_MVIDEO</v>
      </c>
      <c r="C2480" s="93" t="s">
        <v>416</v>
      </c>
      <c r="D2480" s="93" t="s">
        <v>425</v>
      </c>
      <c r="E2480" s="93" t="s">
        <v>2333</v>
      </c>
      <c r="F2480" s="93" t="s">
        <v>2338</v>
      </c>
      <c r="G2480" s="93" t="s">
        <v>3374</v>
      </c>
      <c r="H2480" s="93" t="e">
        <v>#N/A</v>
      </c>
      <c r="I2480" s="105" t="s">
        <v>2310</v>
      </c>
      <c r="J2480" s="93" t="s">
        <v>189</v>
      </c>
      <c r="K2480" s="93">
        <v>3061</v>
      </c>
      <c r="L2480" s="93" t="e">
        <v>#N/A</v>
      </c>
      <c r="M2480" s="93" t="s">
        <v>2311</v>
      </c>
      <c r="N2480" s="93" t="e">
        <f>VLOOKUP(B2480,'[16]01.수집 카테고리(List)'!$A$2:$H$64,8,FALSE)</f>
        <v>#N/A</v>
      </c>
      <c r="O2480" s="93"/>
    </row>
    <row r="2481" spans="1:15" hidden="1">
      <c r="A2481" s="75" t="str">
        <f t="shared" si="92"/>
        <v>RUMVIDEOWashing Machinefront loaderфронтальная загрузка</v>
      </c>
      <c r="B2481" s="94" t="str">
        <f t="shared" si="93"/>
        <v>RU_MVIDEO</v>
      </c>
      <c r="C2481" s="93" t="s">
        <v>416</v>
      </c>
      <c r="D2481" s="93" t="s">
        <v>425</v>
      </c>
      <c r="E2481" s="93" t="s">
        <v>2333</v>
      </c>
      <c r="F2481" s="93" t="s">
        <v>2334</v>
      </c>
      <c r="G2481" s="93" t="s">
        <v>3375</v>
      </c>
      <c r="H2481" s="93" t="e">
        <v>#N/A</v>
      </c>
      <c r="I2481" s="105" t="s">
        <v>2310</v>
      </c>
      <c r="J2481" s="93" t="s">
        <v>189</v>
      </c>
      <c r="K2481" s="93">
        <v>1468</v>
      </c>
      <c r="L2481" s="93" t="e">
        <v>#N/A</v>
      </c>
      <c r="M2481" s="93" t="s">
        <v>2311</v>
      </c>
      <c r="N2481" s="93" t="e">
        <f>VLOOKUP(B2481,'[16]01.수집 카테고리(List)'!$A$2:$H$64,8,FALSE)</f>
        <v>#N/A</v>
      </c>
      <c r="O2481" s="93"/>
    </row>
    <row r="2482" spans="1:15" hidden="1">
      <c r="A2482" s="75" t="str">
        <f t="shared" si="92"/>
        <v>RUMVIDEOWIRELESS HEADSETWireless earbudsБеспроводные наушники</v>
      </c>
      <c r="B2482" s="94" t="str">
        <f t="shared" si="93"/>
        <v>RU_MVIDEO</v>
      </c>
      <c r="C2482" s="93" t="s">
        <v>416</v>
      </c>
      <c r="D2482" s="93" t="s">
        <v>425</v>
      </c>
      <c r="E2482" s="93" t="s">
        <v>2201</v>
      </c>
      <c r="F2482" s="93" t="s">
        <v>2376</v>
      </c>
      <c r="G2482" s="93" t="s">
        <v>3376</v>
      </c>
      <c r="H2482" s="93" t="e">
        <v>#N/A</v>
      </c>
      <c r="I2482" s="105" t="s">
        <v>2310</v>
      </c>
      <c r="J2482" s="93" t="s">
        <v>189</v>
      </c>
      <c r="K2482" s="93">
        <v>19463</v>
      </c>
      <c r="L2482" s="93" t="e">
        <v>#N/A</v>
      </c>
      <c r="M2482" s="93" t="s">
        <v>2311</v>
      </c>
      <c r="N2482" s="93" t="e">
        <f>VLOOKUP(B2482,'[16]01.수집 카테고리(List)'!$A$2:$H$64,8,FALSE)</f>
        <v>#N/A</v>
      </c>
      <c r="O2482" s="93"/>
    </row>
    <row r="2483" spans="1:15" hidden="1">
      <c r="A2483" s="75" t="str">
        <f t="shared" si="92"/>
        <v>RUMVIDEOWIRELESS HEADSETEarbudsНаушники</v>
      </c>
      <c r="B2483" s="94" t="str">
        <f t="shared" si="93"/>
        <v>RU_MVIDEO</v>
      </c>
      <c r="C2483" s="93" t="s">
        <v>416</v>
      </c>
      <c r="D2483" s="93" t="s">
        <v>425</v>
      </c>
      <c r="E2483" s="93" t="s">
        <v>2201</v>
      </c>
      <c r="F2483" s="93" t="s">
        <v>2534</v>
      </c>
      <c r="G2483" s="93" t="s">
        <v>3150</v>
      </c>
      <c r="H2483" s="93" t="e">
        <v>#N/A</v>
      </c>
      <c r="I2483" s="105" t="s">
        <v>2310</v>
      </c>
      <c r="J2483" s="93" t="s">
        <v>189</v>
      </c>
      <c r="K2483" s="93">
        <v>29126</v>
      </c>
      <c r="L2483" s="93" t="e">
        <v>#N/A</v>
      </c>
      <c r="M2483" s="93" t="s">
        <v>2311</v>
      </c>
      <c r="N2483" s="93" t="e">
        <f>VLOOKUP(B2483,'[16]01.수집 카테고리(List)'!$A$2:$H$64,8,FALSE)</f>
        <v>#N/A</v>
      </c>
      <c r="O2483" s="93"/>
    </row>
    <row r="2484" spans="1:15" hidden="1">
      <c r="A2484" s="75" t="str">
        <f t="shared" si="92"/>
        <v>RUMVIDEOWIRELESS HEADSETBluetooth HeadphonesНаушники Bluetooth</v>
      </c>
      <c r="B2484" s="94" t="str">
        <f t="shared" si="93"/>
        <v>RU_MVIDEO</v>
      </c>
      <c r="C2484" s="93" t="s">
        <v>416</v>
      </c>
      <c r="D2484" s="93" t="s">
        <v>425</v>
      </c>
      <c r="E2484" s="93" t="s">
        <v>2201</v>
      </c>
      <c r="F2484" s="93" t="s">
        <v>2533</v>
      </c>
      <c r="G2484" s="93" t="s">
        <v>3377</v>
      </c>
      <c r="H2484" s="93" t="e">
        <v>#N/A</v>
      </c>
      <c r="I2484" s="105" t="s">
        <v>2310</v>
      </c>
      <c r="J2484" s="93" t="s">
        <v>189</v>
      </c>
      <c r="K2484" s="93">
        <v>16662</v>
      </c>
      <c r="L2484" s="93" t="e">
        <v>#N/A</v>
      </c>
      <c r="M2484" s="93" t="s">
        <v>2311</v>
      </c>
      <c r="N2484" s="93" t="e">
        <f>VLOOKUP(B2484,'[16]01.수집 카테고리(List)'!$A$2:$H$64,8,FALSE)</f>
        <v>#N/A</v>
      </c>
      <c r="O2484" s="93"/>
    </row>
    <row r="2485" spans="1:15" hidden="1">
      <c r="A2485" s="75" t="str">
        <f t="shared" si="92"/>
        <v>RUMVIDEOWIRELESS HEADSETBluetooth earbudsНаушники Bluetooth</v>
      </c>
      <c r="B2485" s="94" t="str">
        <f t="shared" si="93"/>
        <v>RU_MVIDEO</v>
      </c>
      <c r="C2485" s="93" t="s">
        <v>416</v>
      </c>
      <c r="D2485" s="93" t="s">
        <v>425</v>
      </c>
      <c r="E2485" s="93" t="s">
        <v>2201</v>
      </c>
      <c r="F2485" s="93" t="s">
        <v>2382</v>
      </c>
      <c r="G2485" s="93" t="s">
        <v>3377</v>
      </c>
      <c r="H2485" s="93" t="e">
        <v>#N/A</v>
      </c>
      <c r="I2485" s="105" t="s">
        <v>2310</v>
      </c>
      <c r="J2485" s="93" t="s">
        <v>189</v>
      </c>
      <c r="K2485" s="93">
        <v>16662</v>
      </c>
      <c r="L2485" s="93" t="e">
        <v>#N/A</v>
      </c>
      <c r="M2485" s="93" t="s">
        <v>2311</v>
      </c>
      <c r="N2485" s="93" t="e">
        <f>VLOOKUP(B2485,'[16]01.수집 카테고리(List)'!$A$2:$H$64,8,FALSE)</f>
        <v>#N/A</v>
      </c>
      <c r="O2485" s="93"/>
    </row>
    <row r="2486" spans="1:15" hidden="1">
      <c r="A2486" s="75" t="str">
        <f t="shared" si="92"/>
        <v>RUMVIDEOWIRELESS HEADSETEar budsУшные вкладыши</v>
      </c>
      <c r="B2486" s="94" t="str">
        <f t="shared" si="93"/>
        <v>RU_MVIDEO</v>
      </c>
      <c r="C2486" s="93" t="s">
        <v>416</v>
      </c>
      <c r="D2486" s="93" t="s">
        <v>425</v>
      </c>
      <c r="E2486" s="93" t="s">
        <v>2201</v>
      </c>
      <c r="F2486" s="93" t="s">
        <v>2380</v>
      </c>
      <c r="G2486" s="93" t="s">
        <v>3378</v>
      </c>
      <c r="H2486" s="93" t="e">
        <v>#N/A</v>
      </c>
      <c r="I2486" s="105" t="s">
        <v>2310</v>
      </c>
      <c r="J2486" s="93" t="s">
        <v>189</v>
      </c>
      <c r="K2486" s="93">
        <v>44004</v>
      </c>
      <c r="L2486" s="93" t="e">
        <v>#N/A</v>
      </c>
      <c r="M2486" s="93" t="s">
        <v>2311</v>
      </c>
      <c r="N2486" s="93" t="e">
        <f>VLOOKUP(B2486,'[16]01.수집 카테고리(List)'!$A$2:$H$64,8,FALSE)</f>
        <v>#N/A</v>
      </c>
      <c r="O2486" s="93"/>
    </row>
    <row r="2487" spans="1:15" ht="17.399999999999999" hidden="1">
      <c r="A2487" s="75" t="str">
        <f t="shared" si="92"/>
        <v>SAEXTRAAir Conditionerair conditionerمكيف</v>
      </c>
      <c r="B2487" s="94" t="str">
        <f t="shared" si="93"/>
        <v>SA_EXTRA</v>
      </c>
      <c r="C2487" s="93" t="s">
        <v>339</v>
      </c>
      <c r="D2487" s="93" t="s">
        <v>602</v>
      </c>
      <c r="E2487" s="93" t="s">
        <v>2346</v>
      </c>
      <c r="F2487" s="93" t="s">
        <v>2347</v>
      </c>
      <c r="G2487" s="93" t="s">
        <v>3386</v>
      </c>
      <c r="H2487" s="93" t="e">
        <v>#N/A</v>
      </c>
      <c r="I2487" s="105" t="s">
        <v>2310</v>
      </c>
      <c r="J2487" s="93" t="s">
        <v>189</v>
      </c>
      <c r="K2487" s="93">
        <v>1304</v>
      </c>
      <c r="L2487" s="93" t="e">
        <v>#N/A</v>
      </c>
      <c r="M2487" s="93" t="s">
        <v>2311</v>
      </c>
      <c r="N2487" s="93">
        <f>VLOOKUP(B2487,'[16]01.수집 카테고리(List)'!$A$2:$H$64,8,FALSE)</f>
        <v>99991231</v>
      </c>
      <c r="O2487" s="93" t="s">
        <v>646</v>
      </c>
    </row>
    <row r="2488" spans="1:15" ht="17.399999999999999" hidden="1">
      <c r="A2488" s="75" t="str">
        <f t="shared" si="92"/>
        <v>SAEXTRAAir Conditionerinverter air conditionerمكيف الضاغط العكسي</v>
      </c>
      <c r="B2488" s="94" t="str">
        <f t="shared" si="93"/>
        <v>SA_EXTRA</v>
      </c>
      <c r="C2488" s="93" t="s">
        <v>339</v>
      </c>
      <c r="D2488" s="93" t="s">
        <v>602</v>
      </c>
      <c r="E2488" s="93" t="s">
        <v>2346</v>
      </c>
      <c r="F2488" s="93" t="s">
        <v>2348</v>
      </c>
      <c r="G2488" s="93" t="s">
        <v>3387</v>
      </c>
      <c r="H2488" s="93" t="e">
        <v>#N/A</v>
      </c>
      <c r="I2488" s="105" t="s">
        <v>2310</v>
      </c>
      <c r="J2488" s="93" t="s">
        <v>189</v>
      </c>
      <c r="K2488" s="93">
        <v>1209</v>
      </c>
      <c r="L2488" s="93" t="e">
        <v>#N/A</v>
      </c>
      <c r="M2488" s="93" t="s">
        <v>2311</v>
      </c>
      <c r="N2488" s="93">
        <f>VLOOKUP(B2488,'[16]01.수집 카테고리(List)'!$A$2:$H$64,8,FALSE)</f>
        <v>99991231</v>
      </c>
      <c r="O2488" s="93" t="s">
        <v>646</v>
      </c>
    </row>
    <row r="2489" spans="1:15" ht="17.399999999999999" hidden="1">
      <c r="A2489" s="75" t="str">
        <f t="shared" si="92"/>
        <v>SAEXTRAAir Conditionerwindow air conditionerمكيف شباك</v>
      </c>
      <c r="B2489" s="94" t="str">
        <f t="shared" si="93"/>
        <v>SA_EXTRA</v>
      </c>
      <c r="C2489" s="93" t="s">
        <v>339</v>
      </c>
      <c r="D2489" s="93" t="s">
        <v>602</v>
      </c>
      <c r="E2489" s="93" t="s">
        <v>2346</v>
      </c>
      <c r="F2489" s="93" t="s">
        <v>2350</v>
      </c>
      <c r="G2489" s="93" t="s">
        <v>3388</v>
      </c>
      <c r="H2489" s="93" t="e">
        <v>#N/A</v>
      </c>
      <c r="I2489" s="105" t="s">
        <v>2310</v>
      </c>
      <c r="J2489" s="93" t="s">
        <v>189</v>
      </c>
      <c r="K2489" s="93">
        <v>2</v>
      </c>
      <c r="L2489" s="93" t="e">
        <v>#N/A</v>
      </c>
      <c r="M2489" s="93" t="s">
        <v>2311</v>
      </c>
      <c r="N2489" s="93">
        <f>VLOOKUP(B2489,'[16]01.수집 카테고리(List)'!$A$2:$H$64,8,FALSE)</f>
        <v>99991231</v>
      </c>
      <c r="O2489" s="93" t="s">
        <v>646</v>
      </c>
    </row>
    <row r="2490" spans="1:15" ht="17.399999999999999" hidden="1">
      <c r="A2490" s="75" t="str">
        <f t="shared" si="92"/>
        <v>SAEXTRAAir Conditionerportable air conditionerمكيف محمول</v>
      </c>
      <c r="B2490" s="94" t="str">
        <f t="shared" si="93"/>
        <v>SA_EXTRA</v>
      </c>
      <c r="C2490" s="93" t="s">
        <v>339</v>
      </c>
      <c r="D2490" s="93" t="s">
        <v>602</v>
      </c>
      <c r="E2490" s="93" t="s">
        <v>2346</v>
      </c>
      <c r="F2490" s="93" t="s">
        <v>2349</v>
      </c>
      <c r="G2490" s="93" t="s">
        <v>3389</v>
      </c>
      <c r="H2490" s="93" t="e">
        <v>#N/A</v>
      </c>
      <c r="I2490" s="105" t="s">
        <v>2310</v>
      </c>
      <c r="J2490" s="93" t="s">
        <v>189</v>
      </c>
      <c r="K2490" s="93">
        <v>41853</v>
      </c>
      <c r="L2490" s="93" t="e">
        <v>#N/A</v>
      </c>
      <c r="M2490" s="93" t="s">
        <v>2311</v>
      </c>
      <c r="N2490" s="93">
        <f>VLOOKUP(B2490,'[16]01.수집 카테고리(List)'!$A$2:$H$64,8,FALSE)</f>
        <v>99991231</v>
      </c>
      <c r="O2490" s="93" t="s">
        <v>646</v>
      </c>
    </row>
    <row r="2491" spans="1:15" hidden="1">
      <c r="A2491" s="75" t="str">
        <f t="shared" si="92"/>
        <v>SAEXTRABluetooth Speakerspeakersمكبر الصوت</v>
      </c>
      <c r="B2491" s="94" t="str">
        <f t="shared" si="93"/>
        <v>SA_EXTRA</v>
      </c>
      <c r="C2491" s="93" t="s">
        <v>339</v>
      </c>
      <c r="D2491" s="93" t="s">
        <v>602</v>
      </c>
      <c r="E2491" s="93" t="s">
        <v>2307</v>
      </c>
      <c r="F2491" s="93" t="s">
        <v>2471</v>
      </c>
      <c r="G2491" s="122" t="s">
        <v>3390</v>
      </c>
      <c r="H2491" s="93" t="e">
        <v>#N/A</v>
      </c>
      <c r="I2491" s="105" t="s">
        <v>2310</v>
      </c>
      <c r="J2491" s="93" t="s">
        <v>189</v>
      </c>
      <c r="K2491" s="93" t="e">
        <v>#N/A</v>
      </c>
      <c r="L2491" s="93" t="e">
        <v>#N/A</v>
      </c>
      <c r="M2491" s="93" t="s">
        <v>2393</v>
      </c>
      <c r="N2491" s="93">
        <f>VLOOKUP(B2491,'[16]01.수집 카테고리(List)'!$A$2:$H$64,8,FALSE)</f>
        <v>99991231</v>
      </c>
      <c r="O2491" s="93" t="s">
        <v>646</v>
      </c>
    </row>
    <row r="2492" spans="1:15" ht="17.399999999999999" hidden="1">
      <c r="A2492" s="75" t="str">
        <f t="shared" si="92"/>
        <v>SAEXTRABluetooth Speakerbluetooth speaker portableبلوتوث المتكلم المحمولة</v>
      </c>
      <c r="B2492" s="94" t="str">
        <f t="shared" si="93"/>
        <v>SA_EXTRA</v>
      </c>
      <c r="C2492" s="93" t="s">
        <v>339</v>
      </c>
      <c r="D2492" s="93" t="s">
        <v>602</v>
      </c>
      <c r="E2492" s="93" t="s">
        <v>2307</v>
      </c>
      <c r="F2492" s="93" t="s">
        <v>2479</v>
      </c>
      <c r="G2492" s="93" t="s">
        <v>3391</v>
      </c>
      <c r="H2492" s="93" t="e">
        <v>#N/A</v>
      </c>
      <c r="I2492" s="105" t="s">
        <v>2310</v>
      </c>
      <c r="J2492" s="93" t="s">
        <v>189</v>
      </c>
      <c r="K2492" s="93">
        <v>1544</v>
      </c>
      <c r="L2492" s="93" t="e">
        <v>#N/A</v>
      </c>
      <c r="M2492" s="93" t="s">
        <v>2311</v>
      </c>
      <c r="N2492" s="93">
        <f>VLOOKUP(B2492,'[16]01.수집 카테고리(List)'!$A$2:$H$64,8,FALSE)</f>
        <v>99991231</v>
      </c>
      <c r="O2492" s="93" t="s">
        <v>646</v>
      </c>
    </row>
    <row r="2493" spans="1:15" ht="17.399999999999999" hidden="1">
      <c r="A2493" s="75" t="str">
        <f t="shared" si="92"/>
        <v>SAEXTRABluetooth Speakerbluetooth speakerمكبر صوت بلوتوث</v>
      </c>
      <c r="B2493" s="94" t="str">
        <f t="shared" si="93"/>
        <v>SA_EXTRA</v>
      </c>
      <c r="C2493" s="93" t="s">
        <v>339</v>
      </c>
      <c r="D2493" s="93" t="s">
        <v>602</v>
      </c>
      <c r="E2493" s="93" t="s">
        <v>2307</v>
      </c>
      <c r="F2493" s="93" t="s">
        <v>2657</v>
      </c>
      <c r="G2493" s="93" t="s">
        <v>3392</v>
      </c>
      <c r="H2493" s="93" t="e">
        <v>#N/A</v>
      </c>
      <c r="I2493" s="105" t="s">
        <v>2310</v>
      </c>
      <c r="J2493" s="93" t="s">
        <v>189</v>
      </c>
      <c r="K2493" s="93">
        <v>12</v>
      </c>
      <c r="L2493" s="93" t="e">
        <v>#N/A</v>
      </c>
      <c r="M2493" s="93" t="s">
        <v>2311</v>
      </c>
      <c r="N2493" s="93">
        <f>VLOOKUP(B2493,'[16]01.수집 카테고리(List)'!$A$2:$H$64,8,FALSE)</f>
        <v>99991231</v>
      </c>
      <c r="O2493" s="93" t="s">
        <v>646</v>
      </c>
    </row>
    <row r="2494" spans="1:15" ht="17.399999999999999" hidden="1">
      <c r="A2494" s="75" t="str">
        <f t="shared" si="92"/>
        <v>SAEXTRABluetooth Speakerwireless portable speakersمكبرات صوت لاسلكية محمولة</v>
      </c>
      <c r="B2494" s="94" t="str">
        <f t="shared" si="93"/>
        <v>SA_EXTRA</v>
      </c>
      <c r="C2494" s="93" t="s">
        <v>339</v>
      </c>
      <c r="D2494" s="93" t="s">
        <v>602</v>
      </c>
      <c r="E2494" s="93" t="s">
        <v>2307</v>
      </c>
      <c r="F2494" s="93" t="s">
        <v>2475</v>
      </c>
      <c r="G2494" s="93" t="s">
        <v>3393</v>
      </c>
      <c r="H2494" s="93" t="e">
        <v>#N/A</v>
      </c>
      <c r="I2494" s="105" t="s">
        <v>2310</v>
      </c>
      <c r="J2494" s="93" t="s">
        <v>189</v>
      </c>
      <c r="K2494" s="93">
        <v>11378</v>
      </c>
      <c r="L2494" s="93" t="e">
        <v>#N/A</v>
      </c>
      <c r="M2494" s="93" t="s">
        <v>2311</v>
      </c>
      <c r="N2494" s="93">
        <f>VLOOKUP(B2494,'[16]01.수집 카테고리(List)'!$A$2:$H$64,8,FALSE)</f>
        <v>99991231</v>
      </c>
      <c r="O2494" s="93" t="s">
        <v>646</v>
      </c>
    </row>
    <row r="2495" spans="1:15" ht="17.399999999999999" hidden="1">
      <c r="A2495" s="75" t="str">
        <f t="shared" si="92"/>
        <v>SAEXTRABluetooth Speakerportable speakersمكبرات صوت محمولة</v>
      </c>
      <c r="B2495" s="94" t="str">
        <f t="shared" si="93"/>
        <v>SA_EXTRA</v>
      </c>
      <c r="C2495" s="93" t="s">
        <v>339</v>
      </c>
      <c r="D2495" s="93" t="s">
        <v>602</v>
      </c>
      <c r="E2495" s="93" t="s">
        <v>2307</v>
      </c>
      <c r="F2495" s="93" t="s">
        <v>2473</v>
      </c>
      <c r="G2495" s="93" t="s">
        <v>3394</v>
      </c>
      <c r="H2495" s="93" t="e">
        <v>#N/A</v>
      </c>
      <c r="I2495" s="105" t="s">
        <v>2310</v>
      </c>
      <c r="J2495" s="93" t="s">
        <v>189</v>
      </c>
      <c r="K2495" s="93">
        <v>1</v>
      </c>
      <c r="L2495" s="93" t="e">
        <v>#N/A</v>
      </c>
      <c r="M2495" s="93" t="s">
        <v>2311</v>
      </c>
      <c r="N2495" s="93">
        <f>VLOOKUP(B2495,'[16]01.수집 카테고리(List)'!$A$2:$H$64,8,FALSE)</f>
        <v>99991231</v>
      </c>
      <c r="O2495" s="93" t="s">
        <v>646</v>
      </c>
    </row>
    <row r="2496" spans="1:15" ht="17.399999999999999" hidden="1">
      <c r="A2496" s="75" t="str">
        <f t="shared" si="92"/>
        <v>SAEXTRADISHWASHERFreestanding Dishwasher غسالة أطباق قائمة بذاتها</v>
      </c>
      <c r="B2496" s="94" t="str">
        <f t="shared" si="93"/>
        <v>SA_EXTRA</v>
      </c>
      <c r="C2496" s="93" t="s">
        <v>339</v>
      </c>
      <c r="D2496" s="93" t="s">
        <v>602</v>
      </c>
      <c r="E2496" s="93" t="s">
        <v>169</v>
      </c>
      <c r="F2496" s="93" t="s">
        <v>2441</v>
      </c>
      <c r="G2496" s="93" t="s">
        <v>2353</v>
      </c>
      <c r="H2496" s="93" t="e">
        <v>#N/A</v>
      </c>
      <c r="I2496" s="105" t="s">
        <v>2310</v>
      </c>
      <c r="J2496" s="93" t="s">
        <v>189</v>
      </c>
      <c r="K2496" s="93">
        <v>533</v>
      </c>
      <c r="L2496" s="93" t="e">
        <v>#N/A</v>
      </c>
      <c r="M2496" s="93" t="s">
        <v>2311</v>
      </c>
      <c r="N2496" s="93">
        <f>VLOOKUP(B2496,'[16]01.수집 카테고리(List)'!$A$2:$H$64,8,FALSE)</f>
        <v>99991231</v>
      </c>
      <c r="O2496" s="93" t="s">
        <v>646</v>
      </c>
    </row>
    <row r="2497" spans="1:15" ht="17.399999999999999" hidden="1">
      <c r="A2497" s="75" t="str">
        <f t="shared" si="92"/>
        <v>SAEXTRADISHWASHERdishwasherغسالة الأواني</v>
      </c>
      <c r="B2497" s="94" t="str">
        <f t="shared" si="93"/>
        <v>SA_EXTRA</v>
      </c>
      <c r="C2497" s="93" t="s">
        <v>339</v>
      </c>
      <c r="D2497" s="93" t="s">
        <v>602</v>
      </c>
      <c r="E2497" s="93" t="s">
        <v>169</v>
      </c>
      <c r="F2497" s="93" t="s">
        <v>2354</v>
      </c>
      <c r="G2497" s="93" t="s">
        <v>2355</v>
      </c>
      <c r="H2497" s="93" t="e">
        <v>#N/A</v>
      </c>
      <c r="I2497" s="105" t="s">
        <v>2310</v>
      </c>
      <c r="J2497" s="93" t="s">
        <v>189</v>
      </c>
      <c r="K2497" s="93">
        <v>16</v>
      </c>
      <c r="L2497" s="93" t="e">
        <v>#N/A</v>
      </c>
      <c r="M2497" s="93" t="s">
        <v>2311</v>
      </c>
      <c r="N2497" s="93">
        <f>VLOOKUP(B2497,'[16]01.수집 카테고리(List)'!$A$2:$H$64,8,FALSE)</f>
        <v>99991231</v>
      </c>
      <c r="O2497" s="93" t="s">
        <v>646</v>
      </c>
    </row>
    <row r="2498" spans="1:15" ht="17.399999999999999" hidden="1">
      <c r="A2498" s="75" t="str">
        <f t="shared" si="92"/>
        <v>SAEXTRADISHWASHERBuilt in Dish washerغسالة صحون مدمجة</v>
      </c>
      <c r="B2498" s="94" t="str">
        <f t="shared" si="93"/>
        <v>SA_EXTRA</v>
      </c>
      <c r="C2498" s="93" t="s">
        <v>339</v>
      </c>
      <c r="D2498" s="93" t="s">
        <v>602</v>
      </c>
      <c r="E2498" s="93" t="s">
        <v>169</v>
      </c>
      <c r="F2498" s="93" t="s">
        <v>2356</v>
      </c>
      <c r="G2498" s="93" t="s">
        <v>2357</v>
      </c>
      <c r="H2498" s="93" t="e">
        <v>#N/A</v>
      </c>
      <c r="I2498" s="105" t="s">
        <v>2310</v>
      </c>
      <c r="J2498" s="93" t="s">
        <v>189</v>
      </c>
      <c r="K2498" s="93">
        <v>1735</v>
      </c>
      <c r="L2498" s="93" t="e">
        <v>#N/A</v>
      </c>
      <c r="M2498" s="93" t="s">
        <v>2311</v>
      </c>
      <c r="N2498" s="93">
        <f>VLOOKUP(B2498,'[16]01.수집 카테고리(List)'!$A$2:$H$64,8,FALSE)</f>
        <v>99991231</v>
      </c>
      <c r="O2498" s="93" t="s">
        <v>646</v>
      </c>
    </row>
    <row r="2499" spans="1:15" ht="17.399999999999999" hidden="1">
      <c r="A2499" s="75" t="str">
        <f t="shared" si="92"/>
        <v>SAEXTRAMonitormonitorشاشة</v>
      </c>
      <c r="B2499" s="94" t="str">
        <f t="shared" si="93"/>
        <v>SA_EXTRA</v>
      </c>
      <c r="C2499" s="93" t="s">
        <v>339</v>
      </c>
      <c r="D2499" s="93" t="s">
        <v>602</v>
      </c>
      <c r="E2499" s="93" t="s">
        <v>2320</v>
      </c>
      <c r="F2499" s="93" t="s">
        <v>2323</v>
      </c>
      <c r="G2499" s="93" t="s">
        <v>3395</v>
      </c>
      <c r="H2499" s="93" t="e">
        <v>#N/A</v>
      </c>
      <c r="I2499" s="105" t="s">
        <v>2310</v>
      </c>
      <c r="J2499" s="93" t="s">
        <v>189</v>
      </c>
      <c r="K2499" s="93">
        <v>200</v>
      </c>
      <c r="L2499" s="93" t="e">
        <v>#N/A</v>
      </c>
      <c r="M2499" s="93" t="s">
        <v>2311</v>
      </c>
      <c r="N2499" s="93">
        <f>VLOOKUP(B2499,'[16]01.수집 카테고리(List)'!$A$2:$H$64,8,FALSE)</f>
        <v>99991231</v>
      </c>
      <c r="O2499" s="93" t="s">
        <v>646</v>
      </c>
    </row>
    <row r="2500" spans="1:15" ht="17.399999999999999" hidden="1">
      <c r="A2500" s="75" t="str">
        <f t="shared" si="92"/>
        <v>SAEXTRAMonitorgaming monitorشاشة الالعاب</v>
      </c>
      <c r="B2500" s="94" t="str">
        <f t="shared" si="93"/>
        <v>SA_EXTRA</v>
      </c>
      <c r="C2500" s="93" t="s">
        <v>339</v>
      </c>
      <c r="D2500" s="93" t="s">
        <v>602</v>
      </c>
      <c r="E2500" s="93" t="s">
        <v>2320</v>
      </c>
      <c r="F2500" s="93" t="s">
        <v>2322</v>
      </c>
      <c r="G2500" s="93" t="s">
        <v>3396</v>
      </c>
      <c r="H2500" s="93" t="e">
        <v>#N/A</v>
      </c>
      <c r="I2500" s="105" t="s">
        <v>2310</v>
      </c>
      <c r="J2500" s="93" t="s">
        <v>189</v>
      </c>
      <c r="K2500" s="93">
        <v>6</v>
      </c>
      <c r="L2500" s="93" t="e">
        <v>#N/A</v>
      </c>
      <c r="M2500" s="93" t="s">
        <v>2311</v>
      </c>
      <c r="N2500" s="93">
        <f>VLOOKUP(B2500,'[16]01.수집 카테고리(List)'!$A$2:$H$64,8,FALSE)</f>
        <v>99991231</v>
      </c>
      <c r="O2500" s="93" t="s">
        <v>646</v>
      </c>
    </row>
    <row r="2501" spans="1:15" ht="17.399999999999999" hidden="1">
      <c r="A2501" s="75" t="str">
        <f t="shared" si="92"/>
        <v>SAEXTRAMonitorUHD monitorشاشة عالية الجودة</v>
      </c>
      <c r="B2501" s="94" t="str">
        <f t="shared" si="93"/>
        <v>SA_EXTRA</v>
      </c>
      <c r="C2501" s="93" t="s">
        <v>339</v>
      </c>
      <c r="D2501" s="93" t="s">
        <v>602</v>
      </c>
      <c r="E2501" s="93" t="s">
        <v>2320</v>
      </c>
      <c r="F2501" s="93" t="s">
        <v>2386</v>
      </c>
      <c r="G2501" s="93" t="s">
        <v>3397</v>
      </c>
      <c r="H2501" s="93" t="e">
        <v>#N/A</v>
      </c>
      <c r="I2501" s="105" t="s">
        <v>2310</v>
      </c>
      <c r="J2501" s="93" t="s">
        <v>189</v>
      </c>
      <c r="K2501" s="93">
        <v>699</v>
      </c>
      <c r="L2501" s="93" t="e">
        <v>#N/A</v>
      </c>
      <c r="M2501" s="93" t="s">
        <v>2311</v>
      </c>
      <c r="N2501" s="93">
        <f>VLOOKUP(B2501,'[16]01.수집 카테고리(List)'!$A$2:$H$64,8,FALSE)</f>
        <v>99991231</v>
      </c>
      <c r="O2501" s="93" t="s">
        <v>646</v>
      </c>
    </row>
    <row r="2502" spans="1:15" ht="17.399999999999999" hidden="1">
      <c r="A2502" s="75" t="str">
        <f t="shared" si="92"/>
        <v>SAEXTRAMonitorultrawide monitorشاشة عريضة</v>
      </c>
      <c r="B2502" s="94" t="str">
        <f t="shared" si="93"/>
        <v>SA_EXTRA</v>
      </c>
      <c r="C2502" s="93" t="s">
        <v>339</v>
      </c>
      <c r="D2502" s="93" t="s">
        <v>602</v>
      </c>
      <c r="E2502" s="93" t="s">
        <v>2320</v>
      </c>
      <c r="F2502" s="93" t="s">
        <v>2325</v>
      </c>
      <c r="G2502" s="93" t="s">
        <v>3398</v>
      </c>
      <c r="H2502" s="93" t="e">
        <v>#N/A</v>
      </c>
      <c r="I2502" s="105" t="s">
        <v>2310</v>
      </c>
      <c r="J2502" s="93" t="s">
        <v>189</v>
      </c>
      <c r="K2502" s="93">
        <v>2</v>
      </c>
      <c r="L2502" s="93" t="e">
        <v>#N/A</v>
      </c>
      <c r="M2502" s="93" t="s">
        <v>2311</v>
      </c>
      <c r="N2502" s="93">
        <f>VLOOKUP(B2502,'[16]01.수집 카테고리(List)'!$A$2:$H$64,8,FALSE)</f>
        <v>99991231</v>
      </c>
      <c r="O2502" s="93" t="s">
        <v>646</v>
      </c>
    </row>
    <row r="2503" spans="1:15" ht="17.399999999999999" hidden="1">
      <c r="A2503" s="75" t="str">
        <f t="shared" si="92"/>
        <v>SAEXTRARefrigeratorbottom freezer refrigeratorالفريزر السفلي</v>
      </c>
      <c r="B2503" s="94" t="str">
        <f t="shared" si="93"/>
        <v>SA_EXTRA</v>
      </c>
      <c r="C2503" s="93" t="s">
        <v>339</v>
      </c>
      <c r="D2503" s="93" t="s">
        <v>602</v>
      </c>
      <c r="E2503" s="93" t="s">
        <v>2326</v>
      </c>
      <c r="F2503" s="93" t="s">
        <v>2327</v>
      </c>
      <c r="G2503" s="93" t="s">
        <v>3399</v>
      </c>
      <c r="H2503" s="93" t="e">
        <v>#N/A</v>
      </c>
      <c r="I2503" s="105" t="s">
        <v>2310</v>
      </c>
      <c r="J2503" s="93" t="s">
        <v>189</v>
      </c>
      <c r="K2503" s="93">
        <v>2</v>
      </c>
      <c r="L2503" s="93" t="e">
        <v>#N/A</v>
      </c>
      <c r="M2503" s="93" t="s">
        <v>2311</v>
      </c>
      <c r="N2503" s="93">
        <f>VLOOKUP(B2503,'[16]01.수집 카테고리(List)'!$A$2:$H$64,8,FALSE)</f>
        <v>99991231</v>
      </c>
      <c r="O2503" s="93" t="s">
        <v>646</v>
      </c>
    </row>
    <row r="2504" spans="1:15" ht="17.399999999999999" hidden="1">
      <c r="A2504" s="75" t="str">
        <f t="shared" si="92"/>
        <v>SAEXTRARefrigeratortop freezer refrigeratorالفريزر العلوي</v>
      </c>
      <c r="B2504" s="94" t="str">
        <f t="shared" si="93"/>
        <v>SA_EXTRA</v>
      </c>
      <c r="C2504" s="93" t="s">
        <v>339</v>
      </c>
      <c r="D2504" s="93" t="s">
        <v>602</v>
      </c>
      <c r="E2504" s="93" t="s">
        <v>2326</v>
      </c>
      <c r="F2504" s="93" t="s">
        <v>2332</v>
      </c>
      <c r="G2504" s="93" t="s">
        <v>3400</v>
      </c>
      <c r="H2504" s="93" t="e">
        <v>#N/A</v>
      </c>
      <c r="I2504" s="105" t="s">
        <v>2310</v>
      </c>
      <c r="J2504" s="93" t="s">
        <v>189</v>
      </c>
      <c r="K2504" s="93">
        <v>8</v>
      </c>
      <c r="L2504" s="93" t="e">
        <v>#N/A</v>
      </c>
      <c r="M2504" s="93" t="s">
        <v>2311</v>
      </c>
      <c r="N2504" s="93">
        <f>VLOOKUP(B2504,'[16]01.수집 카테고리(List)'!$A$2:$H$64,8,FALSE)</f>
        <v>99991231</v>
      </c>
      <c r="O2504" s="93" t="s">
        <v>646</v>
      </c>
    </row>
    <row r="2505" spans="1:15" ht="17.399999999999999" hidden="1">
      <c r="A2505" s="75" t="str">
        <f t="shared" si="92"/>
        <v>SAEXTRARefrigeratorrefrigeratorثلاجة</v>
      </c>
      <c r="B2505" s="94" t="str">
        <f t="shared" si="93"/>
        <v>SA_EXTRA</v>
      </c>
      <c r="C2505" s="93" t="s">
        <v>339</v>
      </c>
      <c r="D2505" s="93" t="s">
        <v>602</v>
      </c>
      <c r="E2505" s="93" t="s">
        <v>2326</v>
      </c>
      <c r="F2505" s="93" t="s">
        <v>2329</v>
      </c>
      <c r="G2505" s="93" t="s">
        <v>3401</v>
      </c>
      <c r="H2505" s="93" t="e">
        <v>#N/A</v>
      </c>
      <c r="I2505" s="105" t="s">
        <v>2310</v>
      </c>
      <c r="J2505" s="93" t="s">
        <v>189</v>
      </c>
      <c r="K2505" s="93">
        <v>15</v>
      </c>
      <c r="L2505" s="93" t="e">
        <v>#N/A</v>
      </c>
      <c r="M2505" s="93" t="s">
        <v>2311</v>
      </c>
      <c r="N2505" s="93">
        <f>VLOOKUP(B2505,'[16]01.수집 카테고리(List)'!$A$2:$H$64,8,FALSE)</f>
        <v>99991231</v>
      </c>
      <c r="O2505" s="93" t="s">
        <v>646</v>
      </c>
    </row>
    <row r="2506" spans="1:15" ht="17.399999999999999" hidden="1">
      <c r="A2506" s="75" t="str">
        <f t="shared" si="92"/>
        <v>SAEXTRARefrigeratorside by side refrigeratorثلاجة ذات بابين</v>
      </c>
      <c r="B2506" s="94" t="str">
        <f t="shared" si="93"/>
        <v>SA_EXTRA</v>
      </c>
      <c r="C2506" s="93" t="s">
        <v>339</v>
      </c>
      <c r="D2506" s="93" t="s">
        <v>602</v>
      </c>
      <c r="E2506" s="93" t="s">
        <v>2326</v>
      </c>
      <c r="F2506" s="93" t="s">
        <v>2330</v>
      </c>
      <c r="G2506" s="93" t="s">
        <v>3402</v>
      </c>
      <c r="H2506" s="93" t="e">
        <v>#N/A</v>
      </c>
      <c r="I2506" s="105" t="s">
        <v>2310</v>
      </c>
      <c r="J2506" s="93" t="s">
        <v>189</v>
      </c>
      <c r="K2506" s="93">
        <v>8</v>
      </c>
      <c r="L2506" s="93" t="e">
        <v>#N/A</v>
      </c>
      <c r="M2506" s="93" t="s">
        <v>2311</v>
      </c>
      <c r="N2506" s="93">
        <f>VLOOKUP(B2506,'[16]01.수집 카테고리(List)'!$A$2:$H$64,8,FALSE)</f>
        <v>99991231</v>
      </c>
      <c r="O2506" s="93" t="s">
        <v>646</v>
      </c>
    </row>
    <row r="2507" spans="1:15" ht="17.399999999999999" hidden="1">
      <c r="A2507" s="75" t="str">
        <f t="shared" si="92"/>
        <v>SAEXTRARefrigeratorfrench door refrigeratorثلاجة متعددة الابواب</v>
      </c>
      <c r="B2507" s="94" t="str">
        <f t="shared" si="93"/>
        <v>SA_EXTRA</v>
      </c>
      <c r="C2507" s="93" t="s">
        <v>339</v>
      </c>
      <c r="D2507" s="93" t="s">
        <v>602</v>
      </c>
      <c r="E2507" s="93" t="s">
        <v>2326</v>
      </c>
      <c r="F2507" s="93" t="s">
        <v>2328</v>
      </c>
      <c r="G2507" s="93" t="s">
        <v>3403</v>
      </c>
      <c r="H2507" s="93" t="e">
        <v>#N/A</v>
      </c>
      <c r="I2507" s="105" t="s">
        <v>2310</v>
      </c>
      <c r="J2507" s="93" t="s">
        <v>189</v>
      </c>
      <c r="K2507" s="93">
        <v>19285</v>
      </c>
      <c r="L2507" s="93" t="e">
        <v>#N/A</v>
      </c>
      <c r="M2507" s="93" t="s">
        <v>2311</v>
      </c>
      <c r="N2507" s="93">
        <f>VLOOKUP(B2507,'[16]01.수집 카테고리(List)'!$A$2:$H$64,8,FALSE)</f>
        <v>99991231</v>
      </c>
      <c r="O2507" s="93" t="s">
        <v>646</v>
      </c>
    </row>
    <row r="2508" spans="1:15" ht="17.399999999999999" hidden="1">
      <c r="A2508" s="75" t="str">
        <f t="shared" si="92"/>
        <v>SAEXTRASOUNDBARsound barساوند بار</v>
      </c>
      <c r="B2508" s="94" t="str">
        <f t="shared" si="93"/>
        <v>SA_EXTRA</v>
      </c>
      <c r="C2508" s="93" t="s">
        <v>339</v>
      </c>
      <c r="D2508" s="93" t="s">
        <v>602</v>
      </c>
      <c r="E2508" s="93" t="s">
        <v>165</v>
      </c>
      <c r="F2508" s="93" t="s">
        <v>2529</v>
      </c>
      <c r="G2508" s="93" t="s">
        <v>3404</v>
      </c>
      <c r="H2508" s="93" t="e">
        <v>#N/A</v>
      </c>
      <c r="I2508" s="105" t="s">
        <v>2310</v>
      </c>
      <c r="J2508" s="93" t="s">
        <v>189</v>
      </c>
      <c r="K2508" s="93">
        <v>740</v>
      </c>
      <c r="L2508" s="93" t="e">
        <v>#N/A</v>
      </c>
      <c r="M2508" s="93" t="s">
        <v>2311</v>
      </c>
      <c r="N2508" s="93">
        <f>VLOOKUP(B2508,'[16]01.수집 카테고리(List)'!$A$2:$H$64,8,FALSE)</f>
        <v>99991231</v>
      </c>
      <c r="O2508" s="93" t="s">
        <v>646</v>
      </c>
    </row>
    <row r="2509" spans="1:15" ht="17.399999999999999" hidden="1">
      <c r="A2509" s="75" t="str">
        <f t="shared" si="92"/>
        <v>SAEXTRASOUNDBARaudioصوتي</v>
      </c>
      <c r="B2509" s="94" t="str">
        <f t="shared" si="93"/>
        <v>SA_EXTRA</v>
      </c>
      <c r="C2509" s="93" t="s">
        <v>339</v>
      </c>
      <c r="D2509" s="93" t="s">
        <v>602</v>
      </c>
      <c r="E2509" s="93" t="s">
        <v>165</v>
      </c>
      <c r="F2509" s="93" t="s">
        <v>2528</v>
      </c>
      <c r="G2509" s="93" t="s">
        <v>3405</v>
      </c>
      <c r="H2509" s="93" t="e">
        <v>#N/A</v>
      </c>
      <c r="I2509" s="105" t="s">
        <v>2310</v>
      </c>
      <c r="J2509" s="93" t="s">
        <v>189</v>
      </c>
      <c r="K2509" s="93">
        <v>55</v>
      </c>
      <c r="L2509" s="93" t="e">
        <v>#N/A</v>
      </c>
      <c r="M2509" s="93" t="s">
        <v>2311</v>
      </c>
      <c r="N2509" s="93">
        <f>VLOOKUP(B2509,'[16]01.수집 카테고리(List)'!$A$2:$H$64,8,FALSE)</f>
        <v>99991231</v>
      </c>
      <c r="O2509" s="93" t="s">
        <v>646</v>
      </c>
    </row>
    <row r="2510" spans="1:15" ht="17.399999999999999" hidden="1">
      <c r="A2510" s="75" t="str">
        <f t="shared" si="92"/>
        <v>SAEXTRASOUNDBARsoundbar speakerمكبر صوت مكبر صوت</v>
      </c>
      <c r="B2510" s="94" t="str">
        <f t="shared" si="93"/>
        <v>SA_EXTRA</v>
      </c>
      <c r="C2510" s="93" t="s">
        <v>339</v>
      </c>
      <c r="D2510" s="93" t="s">
        <v>602</v>
      </c>
      <c r="E2510" s="93" t="s">
        <v>165</v>
      </c>
      <c r="F2510" s="93" t="s">
        <v>2892</v>
      </c>
      <c r="G2510" s="93" t="s">
        <v>3406</v>
      </c>
      <c r="H2510" s="93" t="e">
        <v>#N/A</v>
      </c>
      <c r="I2510" s="105" t="s">
        <v>2310</v>
      </c>
      <c r="J2510" s="93" t="s">
        <v>189</v>
      </c>
      <c r="K2510" s="93">
        <v>5</v>
      </c>
      <c r="L2510" s="93" t="e">
        <v>#N/A</v>
      </c>
      <c r="M2510" s="93" t="s">
        <v>2311</v>
      </c>
      <c r="N2510" s="93">
        <f>VLOOKUP(B2510,'[16]01.수집 카테고리(List)'!$A$2:$H$64,8,FALSE)</f>
        <v>99991231</v>
      </c>
      <c r="O2510" s="93" t="s">
        <v>646</v>
      </c>
    </row>
    <row r="2511" spans="1:15" ht="17.399999999999999" hidden="1">
      <c r="A2511" s="75" t="str">
        <f t="shared" si="92"/>
        <v>SAEXTRASOUNDBARsoundbarsمكبرات الصوت</v>
      </c>
      <c r="B2511" s="94" t="str">
        <f t="shared" si="93"/>
        <v>SA_EXTRA</v>
      </c>
      <c r="C2511" s="93" t="s">
        <v>339</v>
      </c>
      <c r="D2511" s="93" t="s">
        <v>602</v>
      </c>
      <c r="E2511" s="93" t="s">
        <v>165</v>
      </c>
      <c r="F2511" s="93" t="s">
        <v>2531</v>
      </c>
      <c r="G2511" s="93" t="s">
        <v>2364</v>
      </c>
      <c r="H2511" s="93" t="e">
        <v>#N/A</v>
      </c>
      <c r="I2511" s="105" t="s">
        <v>2310</v>
      </c>
      <c r="J2511" s="93" t="s">
        <v>189</v>
      </c>
      <c r="K2511" s="93">
        <v>18</v>
      </c>
      <c r="L2511" s="93" t="e">
        <v>#N/A</v>
      </c>
      <c r="M2511" s="93" t="s">
        <v>2311</v>
      </c>
      <c r="N2511" s="93">
        <f>VLOOKUP(B2511,'[16]01.수집 카테고리(List)'!$A$2:$H$64,8,FALSE)</f>
        <v>99991231</v>
      </c>
      <c r="O2511" s="93" t="s">
        <v>646</v>
      </c>
    </row>
    <row r="2512" spans="1:15" ht="17.399999999999999" hidden="1">
      <c r="A2512" s="75" t="str">
        <f t="shared" si="92"/>
        <v>SAEXTRASOUNDBARsound systemنظام صوتي</v>
      </c>
      <c r="B2512" s="94" t="str">
        <f t="shared" si="93"/>
        <v>SA_EXTRA</v>
      </c>
      <c r="C2512" s="93" t="s">
        <v>339</v>
      </c>
      <c r="D2512" s="93" t="s">
        <v>602</v>
      </c>
      <c r="E2512" s="93" t="s">
        <v>165</v>
      </c>
      <c r="F2512" s="93" t="s">
        <v>2530</v>
      </c>
      <c r="G2512" s="93" t="s">
        <v>3407</v>
      </c>
      <c r="H2512" s="93" t="e">
        <v>#N/A</v>
      </c>
      <c r="I2512" s="105" t="s">
        <v>2310</v>
      </c>
      <c r="J2512" s="93" t="s">
        <v>189</v>
      </c>
      <c r="K2512" s="93">
        <v>15</v>
      </c>
      <c r="L2512" s="93" t="e">
        <v>#N/A</v>
      </c>
      <c r="M2512" s="93" t="s">
        <v>2311</v>
      </c>
      <c r="N2512" s="93">
        <f>VLOOKUP(B2512,'[16]01.수집 카테고리(List)'!$A$2:$H$64,8,FALSE)</f>
        <v>99991231</v>
      </c>
      <c r="O2512" s="93" t="s">
        <v>646</v>
      </c>
    </row>
    <row r="2513" spans="1:15" ht="17.399999999999999" hidden="1">
      <c r="A2513" s="75" t="str">
        <f t="shared" si="92"/>
        <v>SAEXTRATVoled TVتلفاز  OLED</v>
      </c>
      <c r="B2513" s="94" t="str">
        <f t="shared" si="93"/>
        <v>SA_EXTRA</v>
      </c>
      <c r="C2513" s="93" t="s">
        <v>339</v>
      </c>
      <c r="D2513" s="93" t="s">
        <v>602</v>
      </c>
      <c r="E2513" s="93" t="s">
        <v>161</v>
      </c>
      <c r="F2513" s="93" t="s">
        <v>2369</v>
      </c>
      <c r="G2513" s="93" t="s">
        <v>3408</v>
      </c>
      <c r="H2513" s="93" t="e">
        <v>#N/A</v>
      </c>
      <c r="I2513" s="105" t="s">
        <v>2310</v>
      </c>
      <c r="J2513" s="93" t="s">
        <v>189</v>
      </c>
      <c r="K2513" s="93">
        <v>2484</v>
      </c>
      <c r="L2513" s="93" t="e">
        <v>#N/A</v>
      </c>
      <c r="M2513" s="93" t="s">
        <v>2311</v>
      </c>
      <c r="N2513" s="93">
        <f>VLOOKUP(B2513,'[16]01.수집 카테고리(List)'!$A$2:$H$64,8,FALSE)</f>
        <v>99991231</v>
      </c>
      <c r="O2513" s="93" t="s">
        <v>646</v>
      </c>
    </row>
    <row r="2514" spans="1:15" ht="17.399999999999999" hidden="1">
      <c r="A2514" s="75" t="str">
        <f t="shared" si="92"/>
        <v>SAEXTRATVuhd TVتلفاز  UHD</v>
      </c>
      <c r="B2514" s="94" t="str">
        <f t="shared" si="93"/>
        <v>SA_EXTRA</v>
      </c>
      <c r="C2514" s="93" t="s">
        <v>339</v>
      </c>
      <c r="D2514" s="93" t="s">
        <v>602</v>
      </c>
      <c r="E2514" s="93" t="s">
        <v>161</v>
      </c>
      <c r="F2514" s="93" t="s">
        <v>2399</v>
      </c>
      <c r="G2514" s="93" t="s">
        <v>3409</v>
      </c>
      <c r="H2514" s="93" t="e">
        <v>#N/A</v>
      </c>
      <c r="I2514" s="105" t="s">
        <v>2310</v>
      </c>
      <c r="J2514" s="93" t="s">
        <v>189</v>
      </c>
      <c r="K2514" s="93">
        <v>6455</v>
      </c>
      <c r="L2514" s="93" t="e">
        <v>#N/A</v>
      </c>
      <c r="M2514" s="93" t="s">
        <v>2311</v>
      </c>
      <c r="N2514" s="93">
        <f>VLOOKUP(B2514,'[16]01.수집 카테고리(List)'!$A$2:$H$64,8,FALSE)</f>
        <v>99991231</v>
      </c>
      <c r="O2514" s="93" t="s">
        <v>646</v>
      </c>
    </row>
    <row r="2515" spans="1:15" ht="17.399999999999999" hidden="1">
      <c r="A2515" s="75" t="str">
        <f t="shared" si="92"/>
        <v>SAEXTRATVTVتلفزيون</v>
      </c>
      <c r="B2515" s="94" t="str">
        <f t="shared" si="93"/>
        <v>SA_EXTRA</v>
      </c>
      <c r="C2515" s="93" t="s">
        <v>339</v>
      </c>
      <c r="D2515" s="93" t="s">
        <v>602</v>
      </c>
      <c r="E2515" s="93" t="s">
        <v>161</v>
      </c>
      <c r="F2515" s="93" t="s">
        <v>161</v>
      </c>
      <c r="G2515" s="93" t="s">
        <v>3410</v>
      </c>
      <c r="H2515" s="93" t="e">
        <v>#N/A</v>
      </c>
      <c r="I2515" s="105" t="s">
        <v>2310</v>
      </c>
      <c r="J2515" s="93" t="s">
        <v>189</v>
      </c>
      <c r="K2515" s="93">
        <v>103</v>
      </c>
      <c r="L2515" s="93" t="e">
        <v>#N/A</v>
      </c>
      <c r="M2515" s="93" t="s">
        <v>2311</v>
      </c>
      <c r="N2515" s="93">
        <f>VLOOKUP(B2515,'[16]01.수집 카테고리(List)'!$A$2:$H$64,8,FALSE)</f>
        <v>99991231</v>
      </c>
      <c r="O2515" s="93" t="s">
        <v>646</v>
      </c>
    </row>
    <row r="2516" spans="1:15" ht="17.399999999999999" hidden="1">
      <c r="A2516" s="75" t="str">
        <f t="shared" si="92"/>
        <v>SAEXTRATV4k TVتلفزيون  4K</v>
      </c>
      <c r="B2516" s="94" t="str">
        <f t="shared" si="93"/>
        <v>SA_EXTRA</v>
      </c>
      <c r="C2516" s="93" t="s">
        <v>339</v>
      </c>
      <c r="D2516" s="93" t="s">
        <v>602</v>
      </c>
      <c r="E2516" s="93" t="s">
        <v>161</v>
      </c>
      <c r="F2516" s="93" t="s">
        <v>2368</v>
      </c>
      <c r="G2516" s="93" t="s">
        <v>3411</v>
      </c>
      <c r="H2516" s="93" t="e">
        <v>#N/A</v>
      </c>
      <c r="I2516" s="105" t="s">
        <v>2310</v>
      </c>
      <c r="J2516" s="93" t="s">
        <v>189</v>
      </c>
      <c r="K2516" s="93">
        <v>25554</v>
      </c>
      <c r="L2516" s="93" t="e">
        <v>#N/A</v>
      </c>
      <c r="M2516" s="93" t="s">
        <v>2311</v>
      </c>
      <c r="N2516" s="93">
        <f>VLOOKUP(B2516,'[16]01.수집 카테고리(List)'!$A$2:$H$64,8,FALSE)</f>
        <v>99991231</v>
      </c>
      <c r="O2516" s="93" t="s">
        <v>646</v>
      </c>
    </row>
    <row r="2517" spans="1:15" ht="17.399999999999999" hidden="1">
      <c r="A2517" s="75" t="str">
        <f t="shared" si="92"/>
        <v>SAEXTRATVsmart TVتلفزيون ذكي</v>
      </c>
      <c r="B2517" s="94" t="str">
        <f t="shared" si="93"/>
        <v>SA_EXTRA</v>
      </c>
      <c r="C2517" s="93" t="s">
        <v>339</v>
      </c>
      <c r="D2517" s="93" t="s">
        <v>602</v>
      </c>
      <c r="E2517" s="93" t="s">
        <v>161</v>
      </c>
      <c r="F2517" s="93" t="s">
        <v>2371</v>
      </c>
      <c r="G2517" s="93" t="s">
        <v>3412</v>
      </c>
      <c r="H2517" s="93" t="e">
        <v>#N/A</v>
      </c>
      <c r="I2517" s="105" t="s">
        <v>2310</v>
      </c>
      <c r="J2517" s="93" t="s">
        <v>189</v>
      </c>
      <c r="K2517" s="93">
        <v>95</v>
      </c>
      <c r="L2517" s="93" t="e">
        <v>#N/A</v>
      </c>
      <c r="M2517" s="93" t="s">
        <v>2311</v>
      </c>
      <c r="N2517" s="93">
        <f>VLOOKUP(B2517,'[16]01.수집 카테고리(List)'!$A$2:$H$64,8,FALSE)</f>
        <v>99991231</v>
      </c>
      <c r="O2517" s="93" t="s">
        <v>646</v>
      </c>
    </row>
    <row r="2518" spans="1:15" ht="17.399999999999999" hidden="1">
      <c r="A2518" s="75" t="str">
        <f t="shared" si="92"/>
        <v>SAEXTRAWashing Machinefront loaderتحميل امامي</v>
      </c>
      <c r="B2518" s="94" t="str">
        <f t="shared" si="93"/>
        <v>SA_EXTRA</v>
      </c>
      <c r="C2518" s="93" t="s">
        <v>339</v>
      </c>
      <c r="D2518" s="93" t="s">
        <v>602</v>
      </c>
      <c r="E2518" s="93" t="s">
        <v>2333</v>
      </c>
      <c r="F2518" s="93" t="s">
        <v>2334</v>
      </c>
      <c r="G2518" s="93" t="s">
        <v>3413</v>
      </c>
      <c r="H2518" s="93" t="e">
        <v>#N/A</v>
      </c>
      <c r="I2518" s="105" t="s">
        <v>2310</v>
      </c>
      <c r="J2518" s="93" t="s">
        <v>189</v>
      </c>
      <c r="K2518" s="93">
        <v>1</v>
      </c>
      <c r="L2518" s="93" t="e">
        <v>#N/A</v>
      </c>
      <c r="M2518" s="93" t="s">
        <v>2311</v>
      </c>
      <c r="N2518" s="93">
        <f>VLOOKUP(B2518,'[16]01.수집 카테고리(List)'!$A$2:$H$64,8,FALSE)</f>
        <v>99991231</v>
      </c>
      <c r="O2518" s="93" t="s">
        <v>646</v>
      </c>
    </row>
    <row r="2519" spans="1:15" ht="17.399999999999999" hidden="1">
      <c r="A2519" s="75" t="str">
        <f t="shared" si="92"/>
        <v>SAEXTRAWashing Machinetop loaderتحميل علوي</v>
      </c>
      <c r="B2519" s="94" t="str">
        <f t="shared" si="93"/>
        <v>SA_EXTRA</v>
      </c>
      <c r="C2519" s="93" t="s">
        <v>339</v>
      </c>
      <c r="D2519" s="93" t="s">
        <v>602</v>
      </c>
      <c r="E2519" s="93" t="s">
        <v>2333</v>
      </c>
      <c r="F2519" s="93" t="s">
        <v>2336</v>
      </c>
      <c r="G2519" s="93" t="s">
        <v>3414</v>
      </c>
      <c r="H2519" s="93" t="e">
        <v>#N/A</v>
      </c>
      <c r="I2519" s="105" t="s">
        <v>2310</v>
      </c>
      <c r="J2519" s="93" t="s">
        <v>189</v>
      </c>
      <c r="K2519" s="93">
        <v>233</v>
      </c>
      <c r="L2519" s="93" t="e">
        <v>#N/A</v>
      </c>
      <c r="M2519" s="93" t="s">
        <v>2311</v>
      </c>
      <c r="N2519" s="93">
        <f>VLOOKUP(B2519,'[16]01.수집 카테고리(List)'!$A$2:$H$64,8,FALSE)</f>
        <v>99991231</v>
      </c>
      <c r="O2519" s="93" t="s">
        <v>646</v>
      </c>
    </row>
    <row r="2520" spans="1:15" ht="17.399999999999999" hidden="1">
      <c r="A2520" s="75" t="str">
        <f t="shared" si="92"/>
        <v>SAEXTRAWashing Machinewashing machineغسالة ملابس</v>
      </c>
      <c r="B2520" s="94" t="str">
        <f t="shared" si="93"/>
        <v>SA_EXTRA</v>
      </c>
      <c r="C2520" s="93" t="s">
        <v>339</v>
      </c>
      <c r="D2520" s="93" t="s">
        <v>602</v>
      </c>
      <c r="E2520" s="93" t="s">
        <v>2333</v>
      </c>
      <c r="F2520" s="93" t="s">
        <v>2340</v>
      </c>
      <c r="G2520" s="93" t="s">
        <v>3415</v>
      </c>
      <c r="H2520" s="93" t="e">
        <v>#N/A</v>
      </c>
      <c r="I2520" s="105" t="s">
        <v>2310</v>
      </c>
      <c r="J2520" s="93" t="s">
        <v>189</v>
      </c>
      <c r="K2520" s="93">
        <v>33</v>
      </c>
      <c r="L2520" s="93" t="e">
        <v>#N/A</v>
      </c>
      <c r="M2520" s="93" t="s">
        <v>2311</v>
      </c>
      <c r="N2520" s="93">
        <f>VLOOKUP(B2520,'[16]01.수집 카테고리(List)'!$A$2:$H$64,8,FALSE)</f>
        <v>99991231</v>
      </c>
      <c r="O2520" s="93" t="s">
        <v>646</v>
      </c>
    </row>
    <row r="2521" spans="1:15" ht="17.399999999999999" hidden="1">
      <c r="A2521" s="75" t="str">
        <f t="shared" si="92"/>
        <v>SAEXTRAWashing Machinewasher dryer comboغسل و تنشيف</v>
      </c>
      <c r="B2521" s="94" t="str">
        <f t="shared" si="93"/>
        <v>SA_EXTRA</v>
      </c>
      <c r="C2521" s="93" t="s">
        <v>339</v>
      </c>
      <c r="D2521" s="93" t="s">
        <v>602</v>
      </c>
      <c r="E2521" s="93" t="s">
        <v>2333</v>
      </c>
      <c r="F2521" s="93" t="s">
        <v>2338</v>
      </c>
      <c r="G2521" s="93" t="s">
        <v>3416</v>
      </c>
      <c r="H2521" s="93" t="e">
        <v>#N/A</v>
      </c>
      <c r="I2521" s="105" t="s">
        <v>2310</v>
      </c>
      <c r="J2521" s="93" t="s">
        <v>189</v>
      </c>
      <c r="K2521" s="93">
        <v>2</v>
      </c>
      <c r="L2521" s="93" t="e">
        <v>#N/A</v>
      </c>
      <c r="M2521" s="93" t="s">
        <v>2311</v>
      </c>
      <c r="N2521" s="93">
        <f>VLOOKUP(B2521,'[16]01.수집 카테고리(List)'!$A$2:$H$64,8,FALSE)</f>
        <v>99991231</v>
      </c>
      <c r="O2521" s="93" t="s">
        <v>646</v>
      </c>
    </row>
    <row r="2522" spans="1:15" ht="17.399999999999999" hidden="1">
      <c r="A2522" s="75" t="str">
        <f t="shared" si="92"/>
        <v>SAEXTRAWireless HeadsetEarbudsسماعات الأذن</v>
      </c>
      <c r="B2522" s="94" t="str">
        <f t="shared" si="93"/>
        <v>SA_EXTRA</v>
      </c>
      <c r="C2522" s="93" t="s">
        <v>339</v>
      </c>
      <c r="D2522" s="93" t="s">
        <v>602</v>
      </c>
      <c r="E2522" s="93" t="s">
        <v>2373</v>
      </c>
      <c r="F2522" s="93" t="s">
        <v>2534</v>
      </c>
      <c r="G2522" s="93" t="s">
        <v>2315</v>
      </c>
      <c r="H2522" s="93" t="e">
        <v>#N/A</v>
      </c>
      <c r="I2522" s="105" t="s">
        <v>2310</v>
      </c>
      <c r="J2522" s="93" t="s">
        <v>189</v>
      </c>
      <c r="K2522" s="93">
        <v>61</v>
      </c>
      <c r="L2522" s="93" t="e">
        <v>#N/A</v>
      </c>
      <c r="M2522" s="93" t="s">
        <v>2311</v>
      </c>
      <c r="N2522" s="93">
        <f>VLOOKUP(B2522,'[16]01.수집 카테고리(List)'!$A$2:$H$64,8,FALSE)</f>
        <v>99991231</v>
      </c>
      <c r="O2522" s="93" t="s">
        <v>646</v>
      </c>
    </row>
    <row r="2523" spans="1:15" hidden="1">
      <c r="A2523" s="75" t="str">
        <f t="shared" si="92"/>
        <v>SEELGIGANTENBluetooth Speakerbluetooth speaker portablebärbar Bluetooth-högtalare</v>
      </c>
      <c r="B2523" s="94" t="str">
        <f t="shared" si="93"/>
        <v>SE_ELGIGANTEN</v>
      </c>
      <c r="C2523" s="93" t="s">
        <v>292</v>
      </c>
      <c r="D2523" s="93" t="s">
        <v>293</v>
      </c>
      <c r="E2523" s="93" t="s">
        <v>2307</v>
      </c>
      <c r="F2523" s="93" t="s">
        <v>2479</v>
      </c>
      <c r="G2523" s="93" t="s">
        <v>3417</v>
      </c>
      <c r="H2523" s="93" t="e">
        <v>#N/A</v>
      </c>
      <c r="I2523" s="105" t="s">
        <v>2310</v>
      </c>
      <c r="J2523" s="93" t="s">
        <v>189</v>
      </c>
      <c r="K2523" s="93">
        <v>622</v>
      </c>
      <c r="L2523" s="93" t="e">
        <v>#N/A</v>
      </c>
      <c r="M2523" s="93" t="s">
        <v>2311</v>
      </c>
      <c r="N2523" s="93">
        <f>VLOOKUP(B2523,'[16]01.수집 카테고리(List)'!$A$2:$H$64,8,FALSE)</f>
        <v>99991231</v>
      </c>
      <c r="O2523" s="93" t="s">
        <v>646</v>
      </c>
    </row>
    <row r="2524" spans="1:15" hidden="1">
      <c r="A2524" s="75" t="str">
        <f t="shared" si="92"/>
        <v>SEELGIGANTENBluetooth Speakerportable speakersbärbara högtalare</v>
      </c>
      <c r="B2524" s="94" t="str">
        <f t="shared" si="93"/>
        <v>SE_ELGIGANTEN</v>
      </c>
      <c r="C2524" s="93" t="s">
        <v>292</v>
      </c>
      <c r="D2524" s="93" t="s">
        <v>293</v>
      </c>
      <c r="E2524" s="93" t="s">
        <v>2307</v>
      </c>
      <c r="F2524" s="93" t="s">
        <v>2473</v>
      </c>
      <c r="G2524" s="93" t="s">
        <v>3418</v>
      </c>
      <c r="H2524" s="93" t="e">
        <v>#N/A</v>
      </c>
      <c r="I2524" s="105" t="s">
        <v>2310</v>
      </c>
      <c r="J2524" s="93" t="s">
        <v>189</v>
      </c>
      <c r="K2524" s="93">
        <v>2213</v>
      </c>
      <c r="L2524" s="93" t="e">
        <v>#N/A</v>
      </c>
      <c r="M2524" s="93" t="s">
        <v>2311</v>
      </c>
      <c r="N2524" s="93">
        <f>VLOOKUP(B2524,'[16]01.수집 카테고리(List)'!$A$2:$H$64,8,FALSE)</f>
        <v>99991231</v>
      </c>
      <c r="O2524" s="93" t="s">
        <v>646</v>
      </c>
    </row>
    <row r="2525" spans="1:15" hidden="1">
      <c r="A2525" s="75" t="str">
        <f t="shared" si="92"/>
        <v>SEELGIGANTENBluetooth Speakerbluetooth speakerBluetooth-högtalare</v>
      </c>
      <c r="B2525" s="94" t="str">
        <f t="shared" si="93"/>
        <v>SE_ELGIGANTEN</v>
      </c>
      <c r="C2525" s="93" t="s">
        <v>292</v>
      </c>
      <c r="D2525" s="93" t="s">
        <v>293</v>
      </c>
      <c r="E2525" s="93" t="s">
        <v>2307</v>
      </c>
      <c r="F2525" s="93" t="s">
        <v>2657</v>
      </c>
      <c r="G2525" s="93" t="s">
        <v>3419</v>
      </c>
      <c r="H2525" s="93" t="e">
        <v>#N/A</v>
      </c>
      <c r="I2525" s="105" t="s">
        <v>2310</v>
      </c>
      <c r="J2525" s="93" t="s">
        <v>189</v>
      </c>
      <c r="K2525" s="93">
        <v>8365</v>
      </c>
      <c r="L2525" s="93" t="e">
        <v>#N/A</v>
      </c>
      <c r="M2525" s="93" t="s">
        <v>2311</v>
      </c>
      <c r="N2525" s="93">
        <f>VLOOKUP(B2525,'[16]01.수집 카테고리(List)'!$A$2:$H$64,8,FALSE)</f>
        <v>99991231</v>
      </c>
      <c r="O2525" s="93" t="s">
        <v>646</v>
      </c>
    </row>
    <row r="2526" spans="1:15" hidden="1">
      <c r="A2526" s="75" t="str">
        <f t="shared" si="92"/>
        <v>SEELGIGANTENBluetooth Speakerspeakershögtalare</v>
      </c>
      <c r="B2526" s="94" t="str">
        <f t="shared" si="93"/>
        <v>SE_ELGIGANTEN</v>
      </c>
      <c r="C2526" s="93" t="s">
        <v>292</v>
      </c>
      <c r="D2526" s="93" t="s">
        <v>293</v>
      </c>
      <c r="E2526" s="93" t="s">
        <v>2307</v>
      </c>
      <c r="F2526" s="93" t="s">
        <v>2471</v>
      </c>
      <c r="G2526" s="93" t="s">
        <v>3420</v>
      </c>
      <c r="H2526" s="93" t="e">
        <v>#N/A</v>
      </c>
      <c r="I2526" s="105" t="s">
        <v>2310</v>
      </c>
      <c r="J2526" s="93" t="s">
        <v>189</v>
      </c>
      <c r="K2526" s="93">
        <v>52277</v>
      </c>
      <c r="L2526" s="93" t="e">
        <v>#N/A</v>
      </c>
      <c r="M2526" s="93" t="s">
        <v>2311</v>
      </c>
      <c r="N2526" s="93">
        <f>VLOOKUP(B2526,'[16]01.수집 카테고리(List)'!$A$2:$H$64,8,FALSE)</f>
        <v>99991231</v>
      </c>
      <c r="O2526" s="93" t="s">
        <v>646</v>
      </c>
    </row>
    <row r="2527" spans="1:15" hidden="1">
      <c r="A2527" s="75" t="str">
        <f t="shared" si="92"/>
        <v>SEELGIGANTENBluetooth Speakerwireless portable speakerstrådlösa bärbara högtalare</v>
      </c>
      <c r="B2527" s="94" t="str">
        <f t="shared" si="93"/>
        <v>SE_ELGIGANTEN</v>
      </c>
      <c r="C2527" s="93" t="s">
        <v>292</v>
      </c>
      <c r="D2527" s="93" t="s">
        <v>293</v>
      </c>
      <c r="E2527" s="93" t="s">
        <v>2307</v>
      </c>
      <c r="F2527" s="93" t="s">
        <v>2475</v>
      </c>
      <c r="G2527" s="93" t="s">
        <v>3421</v>
      </c>
      <c r="H2527" s="93" t="e">
        <v>#N/A</v>
      </c>
      <c r="I2527" s="105" t="s">
        <v>2310</v>
      </c>
      <c r="J2527" s="93" t="s">
        <v>189</v>
      </c>
      <c r="K2527" s="93">
        <v>534</v>
      </c>
      <c r="L2527" s="93" t="e">
        <v>#N/A</v>
      </c>
      <c r="M2527" s="93" t="s">
        <v>2311</v>
      </c>
      <c r="N2527" s="93">
        <f>VLOOKUP(B2527,'[16]01.수집 카테고리(List)'!$A$2:$H$64,8,FALSE)</f>
        <v>99991231</v>
      </c>
      <c r="O2527" s="93" t="s">
        <v>646</v>
      </c>
    </row>
    <row r="2528" spans="1:15" hidden="1">
      <c r="A2528" s="75" t="str">
        <f t="shared" si="92"/>
        <v>SEELGIGANTENDISHWASHERdishwasherdiskmaskin</v>
      </c>
      <c r="B2528" s="94" t="str">
        <f t="shared" si="93"/>
        <v>SE_ELGIGANTEN</v>
      </c>
      <c r="C2528" s="93" t="s">
        <v>292</v>
      </c>
      <c r="D2528" s="93" t="s">
        <v>293</v>
      </c>
      <c r="E2528" s="93" t="s">
        <v>169</v>
      </c>
      <c r="F2528" s="93" t="s">
        <v>2354</v>
      </c>
      <c r="G2528" s="93" t="s">
        <v>3422</v>
      </c>
      <c r="H2528" s="93" t="e">
        <v>#N/A</v>
      </c>
      <c r="I2528" s="105" t="s">
        <v>2310</v>
      </c>
      <c r="J2528" s="93" t="s">
        <v>189</v>
      </c>
      <c r="K2528" s="93">
        <v>590</v>
      </c>
      <c r="L2528" s="93" t="e">
        <v>#N/A</v>
      </c>
      <c r="M2528" s="93" t="s">
        <v>2311</v>
      </c>
      <c r="N2528" s="93">
        <f>VLOOKUP(B2528,'[16]01.수집 카테고리(List)'!$A$2:$H$64,8,FALSE)</f>
        <v>99991231</v>
      </c>
      <c r="O2528" s="93" t="s">
        <v>646</v>
      </c>
    </row>
    <row r="2529" spans="1:15" hidden="1">
      <c r="A2529" s="75" t="str">
        <f t="shared" si="92"/>
        <v>SEELGIGANTENDISHWASHERFreestanding Dishwasher Fristående diskmaskin</v>
      </c>
      <c r="B2529" s="94" t="str">
        <f t="shared" si="93"/>
        <v>SE_ELGIGANTEN</v>
      </c>
      <c r="C2529" s="93" t="s">
        <v>292</v>
      </c>
      <c r="D2529" s="93" t="s">
        <v>293</v>
      </c>
      <c r="E2529" s="93" t="s">
        <v>169</v>
      </c>
      <c r="F2529" s="93" t="s">
        <v>2441</v>
      </c>
      <c r="G2529" s="93" t="s">
        <v>3423</v>
      </c>
      <c r="H2529" s="93" t="e">
        <v>#N/A</v>
      </c>
      <c r="I2529" s="105" t="s">
        <v>2310</v>
      </c>
      <c r="J2529" s="93" t="s">
        <v>189</v>
      </c>
      <c r="K2529" s="93">
        <v>34</v>
      </c>
      <c r="L2529" s="93" t="e">
        <v>#N/A</v>
      </c>
      <c r="M2529" s="93" t="s">
        <v>2311</v>
      </c>
      <c r="N2529" s="93">
        <f>VLOOKUP(B2529,'[16]01.수집 카테고리(List)'!$A$2:$H$64,8,FALSE)</f>
        <v>99991231</v>
      </c>
      <c r="O2529" s="93" t="s">
        <v>646</v>
      </c>
    </row>
    <row r="2530" spans="1:15" hidden="1">
      <c r="A2530" s="75" t="str">
        <f t="shared" si="92"/>
        <v>SEELGIGANTENDISHWASHERBuilt in Dish washerInbyggd diskmaskin</v>
      </c>
      <c r="B2530" s="94" t="str">
        <f t="shared" si="93"/>
        <v>SE_ELGIGANTEN</v>
      </c>
      <c r="C2530" s="93" t="s">
        <v>292</v>
      </c>
      <c r="D2530" s="93" t="s">
        <v>293</v>
      </c>
      <c r="E2530" s="93" t="s">
        <v>169</v>
      </c>
      <c r="F2530" s="93" t="s">
        <v>2356</v>
      </c>
      <c r="G2530" s="93" t="s">
        <v>3424</v>
      </c>
      <c r="H2530" s="93" t="e">
        <v>#N/A</v>
      </c>
      <c r="I2530" s="105" t="s">
        <v>2310</v>
      </c>
      <c r="J2530" s="93" t="s">
        <v>189</v>
      </c>
      <c r="K2530" s="93">
        <v>62</v>
      </c>
      <c r="L2530" s="93" t="e">
        <v>#N/A</v>
      </c>
      <c r="M2530" s="93" t="s">
        <v>2311</v>
      </c>
      <c r="N2530" s="93">
        <f>VLOOKUP(B2530,'[16]01.수집 카테고리(List)'!$A$2:$H$64,8,FALSE)</f>
        <v>99991231</v>
      </c>
      <c r="O2530" s="93" t="s">
        <v>646</v>
      </c>
    </row>
    <row r="2531" spans="1:15" hidden="1">
      <c r="A2531" s="75" t="str">
        <f t="shared" si="92"/>
        <v>SEELGIGANTENDryerDryerTorktumlare</v>
      </c>
      <c r="B2531" s="94" t="str">
        <f t="shared" si="93"/>
        <v>SE_ELGIGANTEN</v>
      </c>
      <c r="C2531" s="93" t="s">
        <v>292</v>
      </c>
      <c r="D2531" s="93" t="s">
        <v>293</v>
      </c>
      <c r="E2531" s="93" t="s">
        <v>2431</v>
      </c>
      <c r="F2531" s="93" t="s">
        <v>2431</v>
      </c>
      <c r="G2531" s="93" t="s">
        <v>3425</v>
      </c>
      <c r="H2531" s="93" t="e">
        <v>#N/A</v>
      </c>
      <c r="I2531" s="105" t="s">
        <v>2310</v>
      </c>
      <c r="J2531" s="93" t="s">
        <v>189</v>
      </c>
      <c r="K2531" s="93">
        <v>5282</v>
      </c>
      <c r="L2531" s="93" t="e">
        <v>#N/A</v>
      </c>
      <c r="M2531" s="93" t="s">
        <v>2311</v>
      </c>
      <c r="N2531" s="93">
        <f>VLOOKUP(B2531,'[16]01.수집 카테고리(List)'!$A$2:$H$64,8,FALSE)</f>
        <v>99991231</v>
      </c>
      <c r="O2531" s="93" t="s">
        <v>646</v>
      </c>
    </row>
    <row r="2532" spans="1:15" hidden="1">
      <c r="A2532" s="75" t="str">
        <f t="shared" si="92"/>
        <v>SEELGIGANTENMONITOR4k monitor4K-skärm</v>
      </c>
      <c r="B2532" s="94" t="str">
        <f t="shared" si="93"/>
        <v>SE_ELGIGANTEN</v>
      </c>
      <c r="C2532" s="93" t="s">
        <v>292</v>
      </c>
      <c r="D2532" s="93" t="s">
        <v>293</v>
      </c>
      <c r="E2532" s="93" t="s">
        <v>2384</v>
      </c>
      <c r="F2532" s="93" t="s">
        <v>2321</v>
      </c>
      <c r="G2532" s="93" t="s">
        <v>3426</v>
      </c>
      <c r="H2532" s="93" t="e">
        <v>#N/A</v>
      </c>
      <c r="I2532" s="105" t="s">
        <v>2310</v>
      </c>
      <c r="J2532" s="93" t="s">
        <v>189</v>
      </c>
      <c r="K2532" s="93">
        <v>4108</v>
      </c>
      <c r="L2532" s="93" t="e">
        <v>#N/A</v>
      </c>
      <c r="M2532" s="93" t="s">
        <v>2311</v>
      </c>
      <c r="N2532" s="93">
        <f>VLOOKUP(B2532,'[16]01.수집 카테고리(List)'!$A$2:$H$64,8,FALSE)</f>
        <v>99991231</v>
      </c>
      <c r="O2532" s="93" t="s">
        <v>646</v>
      </c>
    </row>
    <row r="2533" spans="1:15" hidden="1">
      <c r="A2533" s="75" t="str">
        <f t="shared" si="92"/>
        <v>SEELGIGANTENMONITORmonitorbildskärm</v>
      </c>
      <c r="B2533" s="94" t="str">
        <f t="shared" si="93"/>
        <v>SE_ELGIGANTEN</v>
      </c>
      <c r="C2533" s="93" t="s">
        <v>292</v>
      </c>
      <c r="D2533" s="93" t="s">
        <v>293</v>
      </c>
      <c r="E2533" s="93" t="s">
        <v>2384</v>
      </c>
      <c r="F2533" s="93" t="s">
        <v>2323</v>
      </c>
      <c r="G2533" s="93" t="s">
        <v>3427</v>
      </c>
      <c r="H2533" s="93" t="e">
        <v>#N/A</v>
      </c>
      <c r="I2533" s="105" t="s">
        <v>2310</v>
      </c>
      <c r="J2533" s="93" t="s">
        <v>189</v>
      </c>
      <c r="K2533" s="93">
        <v>2217</v>
      </c>
      <c r="L2533" s="93" t="e">
        <v>#N/A</v>
      </c>
      <c r="M2533" s="93" t="s">
        <v>2311</v>
      </c>
      <c r="N2533" s="93">
        <f>VLOOKUP(B2533,'[16]01.수집 카테고리(List)'!$A$2:$H$64,8,FALSE)</f>
        <v>99991231</v>
      </c>
      <c r="O2533" s="93" t="s">
        <v>646</v>
      </c>
    </row>
    <row r="2534" spans="1:15" hidden="1">
      <c r="A2534" s="75" t="str">
        <f t="shared" si="92"/>
        <v>SEELGIGANTENMONITORgaming monitorGaming Monitor</v>
      </c>
      <c r="B2534" s="94" t="str">
        <f t="shared" si="93"/>
        <v>SE_ELGIGANTEN</v>
      </c>
      <c r="C2534" s="93" t="s">
        <v>292</v>
      </c>
      <c r="D2534" s="93" t="s">
        <v>293</v>
      </c>
      <c r="E2534" s="93" t="s">
        <v>2384</v>
      </c>
      <c r="F2534" s="93" t="s">
        <v>2322</v>
      </c>
      <c r="G2534" s="93" t="s">
        <v>3428</v>
      </c>
      <c r="H2534" s="93" t="e">
        <v>#N/A</v>
      </c>
      <c r="I2534" s="105" t="s">
        <v>2310</v>
      </c>
      <c r="J2534" s="93" t="s">
        <v>189</v>
      </c>
      <c r="K2534" s="93">
        <v>140</v>
      </c>
      <c r="L2534" s="93">
        <v>140</v>
      </c>
      <c r="M2534" s="93" t="s">
        <v>2311</v>
      </c>
      <c r="N2534" s="93">
        <f>VLOOKUP(B2534,'[16]01.수집 카테고리(List)'!$A$2:$H$64,8,FALSE)</f>
        <v>99991231</v>
      </c>
      <c r="O2534" s="93" t="s">
        <v>646</v>
      </c>
    </row>
    <row r="2535" spans="1:15" hidden="1">
      <c r="A2535" s="75" t="str">
        <f t="shared" si="92"/>
        <v>SEELGIGANTENMONITORuhd monitorUHD-skärm</v>
      </c>
      <c r="B2535" s="94" t="str">
        <f t="shared" si="93"/>
        <v>SE_ELGIGANTEN</v>
      </c>
      <c r="C2535" s="93" t="s">
        <v>292</v>
      </c>
      <c r="D2535" s="93" t="s">
        <v>293</v>
      </c>
      <c r="E2535" s="93" t="s">
        <v>2384</v>
      </c>
      <c r="F2535" s="93" t="s">
        <v>2324</v>
      </c>
      <c r="G2535" s="93" t="s">
        <v>3429</v>
      </c>
      <c r="H2535" s="93" t="e">
        <v>#N/A</v>
      </c>
      <c r="I2535" s="105" t="s">
        <v>2310</v>
      </c>
      <c r="J2535" s="93" t="s">
        <v>189</v>
      </c>
      <c r="K2535" s="93">
        <v>642</v>
      </c>
      <c r="L2535" s="93" t="e">
        <v>#N/A</v>
      </c>
      <c r="M2535" s="93" t="s">
        <v>2311</v>
      </c>
      <c r="N2535" s="93">
        <f>VLOOKUP(B2535,'[16]01.수집 카테고리(List)'!$A$2:$H$64,8,FALSE)</f>
        <v>99991231</v>
      </c>
      <c r="O2535" s="93" t="s">
        <v>646</v>
      </c>
    </row>
    <row r="2536" spans="1:15" hidden="1">
      <c r="A2536" s="75" t="str">
        <f t="shared" si="92"/>
        <v>SEELGIGANTENMONITORultrawide monitorUltrabred bildskärm</v>
      </c>
      <c r="B2536" s="94" t="str">
        <f t="shared" si="93"/>
        <v>SE_ELGIGANTEN</v>
      </c>
      <c r="C2536" s="93" t="s">
        <v>292</v>
      </c>
      <c r="D2536" s="93" t="s">
        <v>293</v>
      </c>
      <c r="E2536" s="93" t="s">
        <v>2384</v>
      </c>
      <c r="F2536" s="93" t="s">
        <v>2325</v>
      </c>
      <c r="G2536" s="93" t="s">
        <v>3430</v>
      </c>
      <c r="H2536" s="93" t="e">
        <v>#N/A</v>
      </c>
      <c r="I2536" s="105" t="s">
        <v>2310</v>
      </c>
      <c r="J2536" s="93" t="s">
        <v>189</v>
      </c>
      <c r="K2536" s="93">
        <v>20</v>
      </c>
      <c r="L2536" s="93" t="e">
        <v>#N/A</v>
      </c>
      <c r="M2536" s="93" t="s">
        <v>2311</v>
      </c>
      <c r="N2536" s="93">
        <f>VLOOKUP(B2536,'[16]01.수집 카테고리(List)'!$A$2:$H$64,8,FALSE)</f>
        <v>99991231</v>
      </c>
      <c r="O2536" s="93" t="s">
        <v>646</v>
      </c>
    </row>
    <row r="2537" spans="1:15" hidden="1">
      <c r="A2537" s="75" t="str">
        <f t="shared" si="92"/>
        <v>SEELGIGANTENRefrigeratorfrench door refrigeratorFrench door-Kylskåp</v>
      </c>
      <c r="B2537" s="94" t="str">
        <f t="shared" si="93"/>
        <v>SE_ELGIGANTEN</v>
      </c>
      <c r="C2537" s="93" t="s">
        <v>292</v>
      </c>
      <c r="D2537" s="93" t="s">
        <v>293</v>
      </c>
      <c r="E2537" s="93" t="s">
        <v>2326</v>
      </c>
      <c r="F2537" s="93" t="s">
        <v>2328</v>
      </c>
      <c r="G2537" s="93" t="s">
        <v>3431</v>
      </c>
      <c r="H2537" s="93" t="e">
        <v>#N/A</v>
      </c>
      <c r="I2537" s="105" t="s">
        <v>2310</v>
      </c>
      <c r="J2537" s="93" t="s">
        <v>189</v>
      </c>
      <c r="K2537" s="93">
        <v>143</v>
      </c>
      <c r="L2537" s="93" t="e">
        <v>#N/A</v>
      </c>
      <c r="M2537" s="93" t="s">
        <v>2311</v>
      </c>
      <c r="N2537" s="93">
        <f>VLOOKUP(B2537,'[16]01.수집 카테고리(List)'!$A$2:$H$64,8,FALSE)</f>
        <v>99991231</v>
      </c>
      <c r="O2537" s="93" t="s">
        <v>646</v>
      </c>
    </row>
    <row r="2538" spans="1:15" hidden="1">
      <c r="A2538" s="75" t="str">
        <f t="shared" ref="A2538:A2595" si="94">C2538&amp;D2538&amp;E2538&amp;F2538&amp;G2538</f>
        <v>SEELGIGANTENRefrigeratorbottom freezer refrigeratorKyl-Frys Kombiskåp – Frys nederst</v>
      </c>
      <c r="B2538" s="94" t="str">
        <f t="shared" ref="B2538:B2595" si="95">C2538&amp;"_"&amp;D2538</f>
        <v>SE_ELGIGANTEN</v>
      </c>
      <c r="C2538" s="93" t="s">
        <v>292</v>
      </c>
      <c r="D2538" s="93" t="s">
        <v>293</v>
      </c>
      <c r="E2538" s="93" t="s">
        <v>2326</v>
      </c>
      <c r="F2538" s="93" t="s">
        <v>2327</v>
      </c>
      <c r="G2538" s="93" t="s">
        <v>3432</v>
      </c>
      <c r="H2538" s="93" t="e">
        <v>#N/A</v>
      </c>
      <c r="I2538" s="105" t="s">
        <v>2310</v>
      </c>
      <c r="J2538" s="93" t="s">
        <v>189</v>
      </c>
      <c r="K2538" s="93">
        <v>450</v>
      </c>
      <c r="L2538" s="93" t="e">
        <v>#N/A</v>
      </c>
      <c r="M2538" s="93" t="s">
        <v>2311</v>
      </c>
      <c r="N2538" s="93">
        <f>VLOOKUP(B2538,'[16]01.수집 카테고리(List)'!$A$2:$H$64,8,FALSE)</f>
        <v>99991231</v>
      </c>
      <c r="O2538" s="93" t="s">
        <v>646</v>
      </c>
    </row>
    <row r="2539" spans="1:15" hidden="1">
      <c r="A2539" s="75" t="str">
        <f t="shared" si="94"/>
        <v>SEELGIGANTENRefrigeratortop freezer refrigeratorKyl-Frys Kombiskåp – Frys överst</v>
      </c>
      <c r="B2539" s="94" t="str">
        <f t="shared" si="95"/>
        <v>SE_ELGIGANTEN</v>
      </c>
      <c r="C2539" s="93" t="s">
        <v>292</v>
      </c>
      <c r="D2539" s="93" t="s">
        <v>293</v>
      </c>
      <c r="E2539" s="93" t="s">
        <v>2326</v>
      </c>
      <c r="F2539" s="93" t="s">
        <v>2332</v>
      </c>
      <c r="G2539" s="93" t="s">
        <v>3433</v>
      </c>
      <c r="H2539" s="93" t="e">
        <v>#N/A</v>
      </c>
      <c r="I2539" s="105" t="s">
        <v>2310</v>
      </c>
      <c r="J2539" s="93" t="s">
        <v>189</v>
      </c>
      <c r="K2539" s="93">
        <v>450</v>
      </c>
      <c r="L2539" s="93" t="e">
        <v>#N/A</v>
      </c>
      <c r="M2539" s="93" t="s">
        <v>2311</v>
      </c>
      <c r="N2539" s="93">
        <f>VLOOKUP(B2539,'[16]01.수집 카테고리(List)'!$A$2:$H$64,8,FALSE)</f>
        <v>99991231</v>
      </c>
      <c r="O2539" s="93" t="s">
        <v>646</v>
      </c>
    </row>
    <row r="2540" spans="1:15" hidden="1">
      <c r="A2540" s="75" t="str">
        <f t="shared" si="94"/>
        <v>SEELGIGANTENRefrigeratorrefrigeratorKylskåp</v>
      </c>
      <c r="B2540" s="94" t="str">
        <f t="shared" si="95"/>
        <v>SE_ELGIGANTEN</v>
      </c>
      <c r="C2540" s="93" t="s">
        <v>292</v>
      </c>
      <c r="D2540" s="93" t="s">
        <v>293</v>
      </c>
      <c r="E2540" s="93" t="s">
        <v>2326</v>
      </c>
      <c r="F2540" s="93" t="s">
        <v>2329</v>
      </c>
      <c r="G2540" s="93" t="s">
        <v>3434</v>
      </c>
      <c r="H2540" s="93" t="e">
        <v>#N/A</v>
      </c>
      <c r="I2540" s="105" t="s">
        <v>2310</v>
      </c>
      <c r="J2540" s="93" t="s">
        <v>189</v>
      </c>
      <c r="K2540" s="93">
        <v>1549</v>
      </c>
      <c r="L2540" s="93" t="e">
        <v>#N/A</v>
      </c>
      <c r="M2540" s="93" t="s">
        <v>2311</v>
      </c>
      <c r="N2540" s="93">
        <f>VLOOKUP(B2540,'[16]01.수집 카테고리(List)'!$A$2:$H$64,8,FALSE)</f>
        <v>99991231</v>
      </c>
      <c r="O2540" s="93" t="s">
        <v>646</v>
      </c>
    </row>
    <row r="2541" spans="1:15" hidden="1">
      <c r="A2541" s="75" t="str">
        <f t="shared" si="94"/>
        <v>SEELGIGANTENRefrigeratorside by side refrigeratorSide-by-Side-Kylskåp</v>
      </c>
      <c r="B2541" s="94" t="str">
        <f t="shared" si="95"/>
        <v>SE_ELGIGANTEN</v>
      </c>
      <c r="C2541" s="93" t="s">
        <v>292</v>
      </c>
      <c r="D2541" s="93" t="s">
        <v>293</v>
      </c>
      <c r="E2541" s="93" t="s">
        <v>2326</v>
      </c>
      <c r="F2541" s="93" t="s">
        <v>2330</v>
      </c>
      <c r="G2541" s="93" t="s">
        <v>3435</v>
      </c>
      <c r="H2541" s="93" t="e">
        <v>#N/A</v>
      </c>
      <c r="I2541" s="105" t="s">
        <v>2310</v>
      </c>
      <c r="J2541" s="93" t="s">
        <v>189</v>
      </c>
      <c r="K2541" s="93">
        <v>993</v>
      </c>
      <c r="L2541" s="93" t="e">
        <v>#N/A</v>
      </c>
      <c r="M2541" s="93" t="s">
        <v>2311</v>
      </c>
      <c r="N2541" s="93">
        <f>VLOOKUP(B2541,'[16]01.수집 카테고리(List)'!$A$2:$H$64,8,FALSE)</f>
        <v>99991231</v>
      </c>
      <c r="O2541" s="93" t="s">
        <v>646</v>
      </c>
    </row>
    <row r="2542" spans="1:15" hidden="1">
      <c r="A2542" s="75" t="str">
        <f t="shared" si="94"/>
        <v>SEELGIGANTENSOUNDBARSoundbarSoundbar</v>
      </c>
      <c r="B2542" s="94" t="str">
        <f t="shared" si="95"/>
        <v>SE_ELGIGANTEN</v>
      </c>
      <c r="C2542" s="93" t="s">
        <v>292</v>
      </c>
      <c r="D2542" s="93" t="s">
        <v>293</v>
      </c>
      <c r="E2542" s="93" t="s">
        <v>165</v>
      </c>
      <c r="F2542" s="93" t="s">
        <v>2363</v>
      </c>
      <c r="G2542" s="93" t="s">
        <v>2363</v>
      </c>
      <c r="H2542" s="93" t="s">
        <v>3436</v>
      </c>
      <c r="I2542" s="99">
        <v>45922</v>
      </c>
      <c r="J2542" s="93" t="s">
        <v>189</v>
      </c>
      <c r="K2542" s="93">
        <v>354</v>
      </c>
      <c r="L2542" s="93" t="e">
        <v>#N/A</v>
      </c>
      <c r="M2542" s="93" t="s">
        <v>2311</v>
      </c>
      <c r="N2542" s="93">
        <f>VLOOKUP(B2542,'[16]01.수집 카테고리(List)'!$A$2:$H$64,8,FALSE)</f>
        <v>99991231</v>
      </c>
      <c r="O2542" s="93" t="s">
        <v>646</v>
      </c>
    </row>
    <row r="2543" spans="1:15" hidden="1">
      <c r="A2543" s="75" t="str">
        <f t="shared" si="94"/>
        <v>SEELGIGANTENSOUNDBARtv soundbarTV-soundbar</v>
      </c>
      <c r="B2543" s="94" t="str">
        <f t="shared" si="95"/>
        <v>SE_ELGIGANTEN</v>
      </c>
      <c r="C2543" s="93" t="s">
        <v>292</v>
      </c>
      <c r="D2543" s="93" t="s">
        <v>293</v>
      </c>
      <c r="E2543" s="93" t="s">
        <v>165</v>
      </c>
      <c r="F2543" s="93" t="s">
        <v>2686</v>
      </c>
      <c r="G2543" s="93" t="s">
        <v>3437</v>
      </c>
      <c r="H2543" s="93" t="s">
        <v>3438</v>
      </c>
      <c r="I2543" s="99">
        <v>45922</v>
      </c>
      <c r="J2543" s="93" t="s">
        <v>189</v>
      </c>
      <c r="K2543" s="93" t="e">
        <v>#N/A</v>
      </c>
      <c r="L2543" s="93" t="e">
        <v>#N/A</v>
      </c>
      <c r="M2543" s="93" t="s">
        <v>2393</v>
      </c>
      <c r="N2543" s="93">
        <f>VLOOKUP(B2543,'[16]01.수집 카테고리(List)'!$A$2:$H$64,8,FALSE)</f>
        <v>99991231</v>
      </c>
      <c r="O2543" s="93" t="s">
        <v>646</v>
      </c>
    </row>
    <row r="2544" spans="1:15" hidden="1">
      <c r="A2544" s="75" t="str">
        <f t="shared" si="94"/>
        <v>SEELGIGANTENSOUNDBARSurround sound systemSurround sound syst</v>
      </c>
      <c r="B2544" s="94" t="str">
        <f t="shared" si="95"/>
        <v>SE_ELGIGANTEN</v>
      </c>
      <c r="C2544" s="93" t="s">
        <v>292</v>
      </c>
      <c r="D2544" s="93" t="s">
        <v>293</v>
      </c>
      <c r="E2544" s="93" t="s">
        <v>165</v>
      </c>
      <c r="F2544" s="93" t="s">
        <v>2772</v>
      </c>
      <c r="G2544" s="93" t="s">
        <v>3439</v>
      </c>
      <c r="H2544" s="93" t="s">
        <v>3440</v>
      </c>
      <c r="I2544" s="99">
        <v>45922</v>
      </c>
      <c r="J2544" s="93" t="s">
        <v>189</v>
      </c>
      <c r="K2544" s="93" t="e">
        <v>#N/A</v>
      </c>
      <c r="L2544" s="93" t="e">
        <v>#N/A</v>
      </c>
      <c r="M2544" s="93" t="s">
        <v>2393</v>
      </c>
      <c r="N2544" s="93">
        <f>VLOOKUP(B2544,'[16]01.수집 카테고리(List)'!$A$2:$H$64,8,FALSE)</f>
        <v>99991231</v>
      </c>
      <c r="O2544" s="93" t="s">
        <v>646</v>
      </c>
    </row>
    <row r="2545" spans="1:15" hidden="1">
      <c r="A2545" s="75" t="str">
        <f t="shared" si="94"/>
        <v>SEELGIGANTENSOUNDBARtv soundtv sound</v>
      </c>
      <c r="B2545" s="94" t="str">
        <f t="shared" si="95"/>
        <v>SE_ELGIGANTEN</v>
      </c>
      <c r="C2545" s="93" t="s">
        <v>292</v>
      </c>
      <c r="D2545" s="93" t="s">
        <v>293</v>
      </c>
      <c r="E2545" s="93" t="s">
        <v>165</v>
      </c>
      <c r="F2545" s="93" t="s">
        <v>2774</v>
      </c>
      <c r="G2545" s="93" t="s">
        <v>2774</v>
      </c>
      <c r="H2545" s="93" t="s">
        <v>3441</v>
      </c>
      <c r="I2545" s="99">
        <v>45922</v>
      </c>
      <c r="J2545" s="93" t="s">
        <v>189</v>
      </c>
      <c r="K2545" s="93">
        <v>3</v>
      </c>
      <c r="L2545" s="93" t="e">
        <v>#N/A</v>
      </c>
      <c r="M2545" s="93" t="s">
        <v>2311</v>
      </c>
      <c r="N2545" s="93">
        <f>VLOOKUP(B2545,'[16]01.수집 카테고리(List)'!$A$2:$H$64,8,FALSE)</f>
        <v>99991231</v>
      </c>
      <c r="O2545" s="93" t="s">
        <v>646</v>
      </c>
    </row>
    <row r="2546" spans="1:15" hidden="1">
      <c r="A2546" s="75" t="str">
        <f t="shared" si="94"/>
        <v>SEELGIGANTENTV4k TV4K TV</v>
      </c>
      <c r="B2546" s="94" t="str">
        <f t="shared" si="95"/>
        <v>SE_ELGIGANTEN</v>
      </c>
      <c r="C2546" s="93" t="s">
        <v>292</v>
      </c>
      <c r="D2546" s="93" t="s">
        <v>293</v>
      </c>
      <c r="E2546" s="93" t="s">
        <v>161</v>
      </c>
      <c r="F2546" s="93" t="s">
        <v>2368</v>
      </c>
      <c r="G2546" s="93" t="s">
        <v>2893</v>
      </c>
      <c r="H2546" s="93" t="e">
        <v>#N/A</v>
      </c>
      <c r="I2546" s="105" t="s">
        <v>2310</v>
      </c>
      <c r="J2546" s="93" t="s">
        <v>189</v>
      </c>
      <c r="K2546" s="93">
        <v>9665</v>
      </c>
      <c r="L2546" s="93">
        <v>9665</v>
      </c>
      <c r="M2546" s="93" t="s">
        <v>2311</v>
      </c>
      <c r="N2546" s="93">
        <f>VLOOKUP(B2546,'[16]01.수집 카테고리(List)'!$A$2:$H$64,8,FALSE)</f>
        <v>99991231</v>
      </c>
      <c r="O2546" s="93" t="s">
        <v>646</v>
      </c>
    </row>
    <row r="2547" spans="1:15" hidden="1">
      <c r="A2547" s="75" t="str">
        <f t="shared" si="94"/>
        <v>SEELGIGANTENTVoled TVOLED TV</v>
      </c>
      <c r="B2547" s="94" t="str">
        <f t="shared" si="95"/>
        <v>SE_ELGIGANTEN</v>
      </c>
      <c r="C2547" s="93" t="s">
        <v>292</v>
      </c>
      <c r="D2547" s="93" t="s">
        <v>293</v>
      </c>
      <c r="E2547" s="93" t="s">
        <v>161</v>
      </c>
      <c r="F2547" s="93" t="s">
        <v>2369</v>
      </c>
      <c r="G2547" s="93" t="s">
        <v>3243</v>
      </c>
      <c r="H2547" s="93" t="e">
        <v>#N/A</v>
      </c>
      <c r="I2547" s="105" t="s">
        <v>2310</v>
      </c>
      <c r="J2547" s="93" t="s">
        <v>189</v>
      </c>
      <c r="K2547" s="93">
        <v>1139</v>
      </c>
      <c r="L2547" s="93">
        <v>1139</v>
      </c>
      <c r="M2547" s="93" t="s">
        <v>2311</v>
      </c>
      <c r="N2547" s="93">
        <f>VLOOKUP(B2547,'[16]01.수집 카테고리(List)'!$A$2:$H$64,8,FALSE)</f>
        <v>99991231</v>
      </c>
      <c r="O2547" s="93" t="s">
        <v>646</v>
      </c>
    </row>
    <row r="2548" spans="1:15" hidden="1">
      <c r="A2548" s="75" t="str">
        <f t="shared" si="94"/>
        <v>SEELGIGANTENTVsmart TVSmart TV</v>
      </c>
      <c r="B2548" s="94" t="str">
        <f t="shared" si="95"/>
        <v>SE_ELGIGANTEN</v>
      </c>
      <c r="C2548" s="93" t="s">
        <v>292</v>
      </c>
      <c r="D2548" s="93" t="s">
        <v>293</v>
      </c>
      <c r="E2548" s="93" t="s">
        <v>161</v>
      </c>
      <c r="F2548" s="93" t="s">
        <v>2371</v>
      </c>
      <c r="G2548" s="93" t="s">
        <v>2835</v>
      </c>
      <c r="H2548" s="93" t="e">
        <v>#N/A</v>
      </c>
      <c r="I2548" s="105" t="s">
        <v>2310</v>
      </c>
      <c r="J2548" s="93" t="s">
        <v>189</v>
      </c>
      <c r="K2548" s="93">
        <v>64610</v>
      </c>
      <c r="L2548" s="93">
        <v>64610</v>
      </c>
      <c r="M2548" s="93" t="s">
        <v>2311</v>
      </c>
      <c r="N2548" s="93">
        <f>VLOOKUP(B2548,'[16]01.수집 카테고리(List)'!$A$2:$H$64,8,FALSE)</f>
        <v>99991231</v>
      </c>
      <c r="O2548" s="93" t="s">
        <v>646</v>
      </c>
    </row>
    <row r="2549" spans="1:15" hidden="1">
      <c r="A2549" s="75" t="str">
        <f t="shared" si="94"/>
        <v>SEELGIGANTENTVTVTV</v>
      </c>
      <c r="B2549" s="94" t="str">
        <f t="shared" si="95"/>
        <v>SE_ELGIGANTEN</v>
      </c>
      <c r="C2549" s="93" t="s">
        <v>292</v>
      </c>
      <c r="D2549" s="93" t="s">
        <v>293</v>
      </c>
      <c r="E2549" s="93" t="s">
        <v>161</v>
      </c>
      <c r="F2549" s="93" t="s">
        <v>161</v>
      </c>
      <c r="G2549" s="93" t="s">
        <v>161</v>
      </c>
      <c r="H2549" s="93" t="e">
        <v>#N/A</v>
      </c>
      <c r="I2549" s="105" t="s">
        <v>2310</v>
      </c>
      <c r="J2549" s="93" t="s">
        <v>189</v>
      </c>
      <c r="K2549" s="93">
        <v>58878</v>
      </c>
      <c r="L2549" s="93">
        <v>58878</v>
      </c>
      <c r="M2549" s="93" t="s">
        <v>2311</v>
      </c>
      <c r="N2549" s="93">
        <f>VLOOKUP(B2549,'[16]01.수집 카테고리(List)'!$A$2:$H$64,8,FALSE)</f>
        <v>99991231</v>
      </c>
      <c r="O2549" s="93" t="s">
        <v>646</v>
      </c>
    </row>
    <row r="2550" spans="1:15" hidden="1">
      <c r="A2550" s="75" t="str">
        <f t="shared" si="94"/>
        <v>SEELGIGANTENTVuhd TVUHD TV</v>
      </c>
      <c r="B2550" s="94" t="str">
        <f t="shared" si="95"/>
        <v>SE_ELGIGANTEN</v>
      </c>
      <c r="C2550" s="93" t="s">
        <v>292</v>
      </c>
      <c r="D2550" s="93" t="s">
        <v>293</v>
      </c>
      <c r="E2550" s="93" t="s">
        <v>161</v>
      </c>
      <c r="F2550" s="93" t="s">
        <v>2399</v>
      </c>
      <c r="G2550" s="93" t="s">
        <v>2990</v>
      </c>
      <c r="H2550" s="93" t="e">
        <v>#N/A</v>
      </c>
      <c r="I2550" s="105" t="s">
        <v>2310</v>
      </c>
      <c r="J2550" s="93" t="s">
        <v>189</v>
      </c>
      <c r="K2550" s="93">
        <v>5200</v>
      </c>
      <c r="L2550" s="93">
        <v>5200</v>
      </c>
      <c r="M2550" s="93" t="s">
        <v>2311</v>
      </c>
      <c r="N2550" s="93">
        <f>VLOOKUP(B2550,'[16]01.수집 카테고리(List)'!$A$2:$H$64,8,FALSE)</f>
        <v>99991231</v>
      </c>
      <c r="O2550" s="93" t="s">
        <v>646</v>
      </c>
    </row>
    <row r="2551" spans="1:15" hidden="1">
      <c r="A2551" s="75" t="str">
        <f t="shared" si="94"/>
        <v>SEELGIGANTENWashing Machinefront loaderFrontmatad tvättmaskin</v>
      </c>
      <c r="B2551" s="94" t="str">
        <f t="shared" si="95"/>
        <v>SE_ELGIGANTEN</v>
      </c>
      <c r="C2551" s="93" t="s">
        <v>292</v>
      </c>
      <c r="D2551" s="93" t="s">
        <v>293</v>
      </c>
      <c r="E2551" s="93" t="s">
        <v>2333</v>
      </c>
      <c r="F2551" s="93" t="s">
        <v>2334</v>
      </c>
      <c r="G2551" s="93" t="s">
        <v>3442</v>
      </c>
      <c r="H2551" s="93" t="e">
        <v>#N/A</v>
      </c>
      <c r="I2551" s="105" t="s">
        <v>2310</v>
      </c>
      <c r="J2551" s="93" t="s">
        <v>189</v>
      </c>
      <c r="K2551" s="93">
        <v>28</v>
      </c>
      <c r="L2551" s="93" t="e">
        <v>#N/A</v>
      </c>
      <c r="M2551" s="93" t="s">
        <v>2311</v>
      </c>
      <c r="N2551" s="93">
        <f>VLOOKUP(B2551,'[16]01.수집 카테고리(List)'!$A$2:$H$64,8,FALSE)</f>
        <v>99991231</v>
      </c>
      <c r="O2551" s="93" t="s">
        <v>646</v>
      </c>
    </row>
    <row r="2552" spans="1:15" hidden="1">
      <c r="A2552" s="75" t="str">
        <f t="shared" si="94"/>
        <v>SEELGIGANTENWashing Machinewasher dryer comboKombinerad tvättmaskin/torktumlare</v>
      </c>
      <c r="B2552" s="94" t="str">
        <f t="shared" si="95"/>
        <v>SE_ELGIGANTEN</v>
      </c>
      <c r="C2552" s="93" t="s">
        <v>292</v>
      </c>
      <c r="D2552" s="93" t="s">
        <v>293</v>
      </c>
      <c r="E2552" s="93" t="s">
        <v>2333</v>
      </c>
      <c r="F2552" s="93" t="s">
        <v>2338</v>
      </c>
      <c r="G2552" s="93" t="s">
        <v>3443</v>
      </c>
      <c r="H2552" s="93" t="e">
        <v>#N/A</v>
      </c>
      <c r="I2552" s="105" t="s">
        <v>2310</v>
      </c>
      <c r="J2552" s="93" t="s">
        <v>189</v>
      </c>
      <c r="K2552" s="93">
        <v>146</v>
      </c>
      <c r="L2552" s="93" t="e">
        <v>#N/A</v>
      </c>
      <c r="M2552" s="93" t="s">
        <v>2311</v>
      </c>
      <c r="N2552" s="93">
        <f>VLOOKUP(B2552,'[16]01.수집 카테고리(List)'!$A$2:$H$64,8,FALSE)</f>
        <v>99991231</v>
      </c>
      <c r="O2552" s="93" t="s">
        <v>646</v>
      </c>
    </row>
    <row r="2553" spans="1:15" hidden="1">
      <c r="A2553" s="75" t="str">
        <f t="shared" si="94"/>
        <v>SEELGIGANTENWashing Machinewashing machineTvättmaskin</v>
      </c>
      <c r="B2553" s="94" t="str">
        <f t="shared" si="95"/>
        <v>SE_ELGIGANTEN</v>
      </c>
      <c r="C2553" s="93" t="s">
        <v>292</v>
      </c>
      <c r="D2553" s="93" t="s">
        <v>293</v>
      </c>
      <c r="E2553" s="93" t="s">
        <v>2333</v>
      </c>
      <c r="F2553" s="93" t="s">
        <v>2340</v>
      </c>
      <c r="G2553" s="93" t="s">
        <v>3444</v>
      </c>
      <c r="H2553" s="93" t="e">
        <v>#N/A</v>
      </c>
      <c r="I2553" s="105" t="s">
        <v>2310</v>
      </c>
      <c r="J2553" s="93" t="s">
        <v>189</v>
      </c>
      <c r="K2553" s="93">
        <v>3749</v>
      </c>
      <c r="L2553" s="93" t="e">
        <v>#N/A</v>
      </c>
      <c r="M2553" s="93" t="s">
        <v>2311</v>
      </c>
      <c r="N2553" s="93">
        <f>VLOOKUP(B2553,'[16]01.수집 카테고리(List)'!$A$2:$H$64,8,FALSE)</f>
        <v>99991231</v>
      </c>
      <c r="O2553" s="93" t="s">
        <v>646</v>
      </c>
    </row>
    <row r="2554" spans="1:15" hidden="1">
      <c r="A2554" s="75" t="str">
        <f t="shared" si="94"/>
        <v>SEELGIGANTENWireless HeadsetWireless earbudsTrådlösa hörlurar</v>
      </c>
      <c r="B2554" s="94" t="str">
        <f t="shared" si="95"/>
        <v>SE_ELGIGANTEN</v>
      </c>
      <c r="C2554" s="93" t="s">
        <v>292</v>
      </c>
      <c r="D2554" s="93" t="s">
        <v>293</v>
      </c>
      <c r="E2554" s="93" t="s">
        <v>2373</v>
      </c>
      <c r="F2554" s="93" t="s">
        <v>2376</v>
      </c>
      <c r="G2554" s="93" t="s">
        <v>3445</v>
      </c>
      <c r="H2554" s="93" t="s">
        <v>3446</v>
      </c>
      <c r="I2554" s="99">
        <v>45922</v>
      </c>
      <c r="J2554" s="93" t="s">
        <v>189</v>
      </c>
      <c r="K2554" s="93" t="e">
        <v>#N/A</v>
      </c>
      <c r="L2554" s="93" t="e">
        <v>#N/A</v>
      </c>
      <c r="M2554" s="93" t="s">
        <v>2393</v>
      </c>
      <c r="N2554" s="93">
        <f>VLOOKUP(B2554,'[16]01.수집 카테고리(List)'!$A$2:$H$64,8,FALSE)</f>
        <v>99991231</v>
      </c>
      <c r="O2554" s="93" t="s">
        <v>646</v>
      </c>
    </row>
    <row r="2555" spans="1:15" hidden="1">
      <c r="A2555" s="75" t="str">
        <f t="shared" si="94"/>
        <v>SEELGIGANTENWireless HeadsetEarbudsHörlurar</v>
      </c>
      <c r="B2555" s="94" t="str">
        <f t="shared" si="95"/>
        <v>SE_ELGIGANTEN</v>
      </c>
      <c r="C2555" s="93" t="s">
        <v>292</v>
      </c>
      <c r="D2555" s="93" t="s">
        <v>293</v>
      </c>
      <c r="E2555" s="93" t="s">
        <v>2373</v>
      </c>
      <c r="F2555" s="93" t="s">
        <v>2534</v>
      </c>
      <c r="G2555" s="93" t="s">
        <v>3447</v>
      </c>
      <c r="H2555" s="93" t="s">
        <v>3448</v>
      </c>
      <c r="I2555" s="99">
        <v>45922</v>
      </c>
      <c r="J2555" s="93" t="s">
        <v>189</v>
      </c>
      <c r="K2555" s="93" t="e">
        <v>#N/A</v>
      </c>
      <c r="L2555" s="93" t="e">
        <v>#N/A</v>
      </c>
      <c r="M2555" s="93" t="s">
        <v>2393</v>
      </c>
      <c r="N2555" s="93">
        <f>VLOOKUP(B2555,'[16]01.수집 카테고리(List)'!$A$2:$H$64,8,FALSE)</f>
        <v>99991231</v>
      </c>
      <c r="O2555" s="93" t="s">
        <v>646</v>
      </c>
    </row>
    <row r="2556" spans="1:15" hidden="1">
      <c r="A2556" s="75" t="str">
        <f t="shared" si="94"/>
        <v>SEELGIGANTENWireless HeadsetBluetooth HeadphonesBluetooth-hörlurar</v>
      </c>
      <c r="B2556" s="94" t="str">
        <f t="shared" si="95"/>
        <v>SE_ELGIGANTEN</v>
      </c>
      <c r="C2556" s="93" t="s">
        <v>292</v>
      </c>
      <c r="D2556" s="93" t="s">
        <v>293</v>
      </c>
      <c r="E2556" s="93" t="s">
        <v>2373</v>
      </c>
      <c r="F2556" s="93" t="s">
        <v>2533</v>
      </c>
      <c r="G2556" s="93" t="s">
        <v>3449</v>
      </c>
      <c r="H2556" s="93" t="s">
        <v>3450</v>
      </c>
      <c r="I2556" s="99">
        <v>45922</v>
      </c>
      <c r="J2556" s="93" t="s">
        <v>189</v>
      </c>
      <c r="K2556" s="93" t="e">
        <v>#N/A</v>
      </c>
      <c r="L2556" s="93" t="e">
        <v>#N/A</v>
      </c>
      <c r="M2556" s="93" t="s">
        <v>2393</v>
      </c>
      <c r="N2556" s="93">
        <f>VLOOKUP(B2556,'[16]01.수집 카테고리(List)'!$A$2:$H$64,8,FALSE)</f>
        <v>99991231</v>
      </c>
      <c r="O2556" s="93" t="s">
        <v>646</v>
      </c>
    </row>
    <row r="2557" spans="1:15" hidden="1">
      <c r="A2557" s="75" t="str">
        <f t="shared" si="94"/>
        <v>SEELGIGANTENWireless HeadsetBluetooth HeadphonesBluetooth hörlurar</v>
      </c>
      <c r="B2557" s="94" t="str">
        <f t="shared" si="95"/>
        <v>SE_ELGIGANTEN</v>
      </c>
      <c r="C2557" s="93" t="s">
        <v>292</v>
      </c>
      <c r="D2557" s="93" t="s">
        <v>293</v>
      </c>
      <c r="E2557" s="93" t="s">
        <v>2373</v>
      </c>
      <c r="F2557" s="93" t="s">
        <v>2533</v>
      </c>
      <c r="G2557" s="93" t="s">
        <v>3451</v>
      </c>
      <c r="H2557" s="93" t="e">
        <v>#N/A</v>
      </c>
      <c r="I2557" s="105" t="s">
        <v>2310</v>
      </c>
      <c r="J2557" s="93" t="s">
        <v>189</v>
      </c>
      <c r="K2557" s="93">
        <v>1413</v>
      </c>
      <c r="L2557" s="93" t="e">
        <v>#N/A</v>
      </c>
      <c r="M2557" s="93" t="s">
        <v>2311</v>
      </c>
      <c r="N2557" s="93">
        <f>VLOOKUP(B2557,'[16]01.수집 카테고리(List)'!$A$2:$H$64,8,FALSE)</f>
        <v>99991231</v>
      </c>
      <c r="O2557" s="93" t="s">
        <v>646</v>
      </c>
    </row>
    <row r="2558" spans="1:15" hidden="1">
      <c r="A2558" s="75" t="str">
        <f t="shared" si="94"/>
        <v>SEELGIGANTENWireless HeadsetBluetooth earbudsBluetooth öronsnäckor</v>
      </c>
      <c r="B2558" s="94" t="str">
        <f t="shared" si="95"/>
        <v>SE_ELGIGANTEN</v>
      </c>
      <c r="C2558" s="93" t="s">
        <v>292</v>
      </c>
      <c r="D2558" s="93" t="s">
        <v>293</v>
      </c>
      <c r="E2558" s="93" t="s">
        <v>2373</v>
      </c>
      <c r="F2558" s="93" t="s">
        <v>2382</v>
      </c>
      <c r="G2558" s="93" t="s">
        <v>3452</v>
      </c>
      <c r="H2558" s="93" t="e">
        <v>#N/A</v>
      </c>
      <c r="I2558" s="105" t="s">
        <v>2310</v>
      </c>
      <c r="J2558" s="93" t="s">
        <v>189</v>
      </c>
      <c r="K2558" s="93">
        <v>195</v>
      </c>
      <c r="L2558" s="93" t="e">
        <v>#N/A</v>
      </c>
      <c r="M2558" s="93" t="s">
        <v>2311</v>
      </c>
      <c r="N2558" s="93">
        <f>VLOOKUP(B2558,'[16]01.수집 카테고리(List)'!$A$2:$H$64,8,FALSE)</f>
        <v>99991231</v>
      </c>
      <c r="O2558" s="93" t="s">
        <v>646</v>
      </c>
    </row>
    <row r="2559" spans="1:15" hidden="1">
      <c r="A2559" s="75" t="str">
        <f t="shared" si="94"/>
        <v>SEELGIGANTENWireless HeadsetEarbudsÖronsnäckor</v>
      </c>
      <c r="B2559" s="94" t="str">
        <f t="shared" si="95"/>
        <v>SE_ELGIGANTEN</v>
      </c>
      <c r="C2559" s="93" t="s">
        <v>292</v>
      </c>
      <c r="D2559" s="93" t="s">
        <v>293</v>
      </c>
      <c r="E2559" s="93" t="s">
        <v>2373</v>
      </c>
      <c r="F2559" s="93" t="s">
        <v>2534</v>
      </c>
      <c r="G2559" s="93" t="s">
        <v>3453</v>
      </c>
      <c r="H2559" s="93" t="e">
        <v>#N/A</v>
      </c>
      <c r="I2559" s="105" t="s">
        <v>2310</v>
      </c>
      <c r="J2559" s="93" t="s">
        <v>189</v>
      </c>
      <c r="K2559" s="93">
        <v>404</v>
      </c>
      <c r="L2559" s="93" t="e">
        <v>#N/A</v>
      </c>
      <c r="M2559" s="93" t="s">
        <v>2311</v>
      </c>
      <c r="N2559" s="93">
        <f>VLOOKUP(B2559,'[16]01.수집 카테고리(List)'!$A$2:$H$64,8,FALSE)</f>
        <v>99991231</v>
      </c>
      <c r="O2559" s="93" t="s">
        <v>646</v>
      </c>
    </row>
    <row r="2560" spans="1:15" hidden="1">
      <c r="A2560" s="75" t="str">
        <f t="shared" si="94"/>
        <v>SEELGIGANTENWireless HeadsetWireless earbudsTrådlösa öronproppar</v>
      </c>
      <c r="B2560" s="94" t="str">
        <f t="shared" si="95"/>
        <v>SE_ELGIGANTEN</v>
      </c>
      <c r="C2560" s="83" t="s">
        <v>292</v>
      </c>
      <c r="D2560" s="83" t="s">
        <v>293</v>
      </c>
      <c r="E2560" s="83" t="s">
        <v>2373</v>
      </c>
      <c r="F2560" s="83" t="s">
        <v>2376</v>
      </c>
      <c r="G2560" s="83" t="s">
        <v>3454</v>
      </c>
      <c r="H2560" s="83" t="e">
        <v>#N/A</v>
      </c>
      <c r="I2560" s="84" t="s">
        <v>2310</v>
      </c>
      <c r="J2560" s="83" t="s">
        <v>189</v>
      </c>
      <c r="K2560" s="83">
        <v>1</v>
      </c>
      <c r="L2560" s="83" t="e">
        <v>#N/A</v>
      </c>
      <c r="M2560" s="83" t="s">
        <v>2311</v>
      </c>
      <c r="N2560" s="83">
        <f>VLOOKUP(B2560,'[16]01.수집 카테고리(List)'!$A$2:$H$64,8,FALSE)</f>
        <v>99991231</v>
      </c>
      <c r="O2560" s="83" t="s">
        <v>646</v>
      </c>
    </row>
    <row r="2561" spans="1:15" hidden="1">
      <c r="A2561" s="75" t="str">
        <f t="shared" si="94"/>
        <v>SEELGIGANTENAir Conditionerair conditioner                             luftkonditionering</v>
      </c>
      <c r="B2561" s="94" t="str">
        <f t="shared" si="95"/>
        <v>SE_ELGIGANTEN</v>
      </c>
      <c r="C2561" s="88" t="s">
        <v>292</v>
      </c>
      <c r="D2561" s="88" t="s">
        <v>293</v>
      </c>
      <c r="E2561" s="88" t="s">
        <v>2346</v>
      </c>
      <c r="F2561" s="88" t="s">
        <v>3455</v>
      </c>
      <c r="G2561" s="88" t="s">
        <v>3456</v>
      </c>
      <c r="H2561" s="88" t="e">
        <v>#N/A</v>
      </c>
      <c r="I2561" s="97">
        <v>45987</v>
      </c>
      <c r="J2561" s="88" t="s">
        <v>189</v>
      </c>
      <c r="K2561" s="88">
        <v>1</v>
      </c>
      <c r="L2561" s="88" t="e">
        <v>#N/A</v>
      </c>
      <c r="M2561" s="88" t="s">
        <v>2311</v>
      </c>
      <c r="N2561" s="88">
        <f>VLOOKUP(B2561,'[16]01.수집 카테고리(List)'!$A$2:$H$64,8,FALSE)</f>
        <v>99991231</v>
      </c>
      <c r="O2561" s="98" t="s">
        <v>646</v>
      </c>
    </row>
    <row r="2562" spans="1:15" hidden="1">
      <c r="A2562" s="75" t="str">
        <f t="shared" si="94"/>
        <v>SEELGIGANTENAir Conditionerinverter air conditioner                   inverter luftkonditionering</v>
      </c>
      <c r="B2562" s="94" t="str">
        <f t="shared" si="95"/>
        <v>SE_ELGIGANTEN</v>
      </c>
      <c r="C2562" s="93" t="s">
        <v>292</v>
      </c>
      <c r="D2562" s="93" t="s">
        <v>293</v>
      </c>
      <c r="E2562" s="93" t="s">
        <v>2346</v>
      </c>
      <c r="F2562" s="93" t="s">
        <v>3457</v>
      </c>
      <c r="G2562" s="93" t="s">
        <v>3458</v>
      </c>
      <c r="H2562" s="93" t="e">
        <v>#N/A</v>
      </c>
      <c r="I2562" s="99">
        <v>45987</v>
      </c>
      <c r="J2562" s="93" t="s">
        <v>189</v>
      </c>
      <c r="K2562" s="93">
        <v>1</v>
      </c>
      <c r="L2562" s="93" t="e">
        <v>#N/A</v>
      </c>
      <c r="M2562" s="93" t="s">
        <v>2311</v>
      </c>
      <c r="N2562" s="93">
        <f>VLOOKUP(B2562,'[16]01.수집 카테고리(List)'!$A$2:$H$64,8,FALSE)</f>
        <v>99991231</v>
      </c>
      <c r="O2562" s="100" t="s">
        <v>646</v>
      </c>
    </row>
    <row r="2563" spans="1:15" ht="14.4" hidden="1" thickBot="1">
      <c r="A2563" s="75" t="str">
        <f t="shared" si="94"/>
        <v>SEELGIGANTENAir Conditionerportable air conditioner                 portabel luftkonditionering</v>
      </c>
      <c r="B2563" s="94" t="str">
        <f t="shared" si="95"/>
        <v>SE_ELGIGANTEN</v>
      </c>
      <c r="C2563" s="92" t="s">
        <v>292</v>
      </c>
      <c r="D2563" s="92" t="s">
        <v>293</v>
      </c>
      <c r="E2563" s="92" t="s">
        <v>2346</v>
      </c>
      <c r="F2563" s="92" t="s">
        <v>3459</v>
      </c>
      <c r="G2563" s="92" t="s">
        <v>3460</v>
      </c>
      <c r="H2563" s="92" t="e">
        <v>#N/A</v>
      </c>
      <c r="I2563" s="101">
        <v>45987</v>
      </c>
      <c r="J2563" s="92" t="s">
        <v>189</v>
      </c>
      <c r="K2563" s="92">
        <v>1</v>
      </c>
      <c r="L2563" s="92" t="e">
        <v>#N/A</v>
      </c>
      <c r="M2563" s="92" t="s">
        <v>2311</v>
      </c>
      <c r="N2563" s="92">
        <f>VLOOKUP(B2563,'[16]01.수집 카테고리(List)'!$A$2:$H$64,8,FALSE)</f>
        <v>99991231</v>
      </c>
      <c r="O2563" s="102" t="s">
        <v>646</v>
      </c>
    </row>
    <row r="2564" spans="1:15" hidden="1">
      <c r="A2564" s="75" t="str">
        <f t="shared" si="94"/>
        <v>SGCOURTSAir Conditionerair conditionerair conditioner</v>
      </c>
      <c r="B2564" s="94" t="str">
        <f t="shared" si="95"/>
        <v>SG_COURTS</v>
      </c>
      <c r="C2564" s="95" t="s">
        <v>211</v>
      </c>
      <c r="D2564" s="95" t="s">
        <v>212</v>
      </c>
      <c r="E2564" s="95" t="s">
        <v>2346</v>
      </c>
      <c r="F2564" s="95" t="s">
        <v>2347</v>
      </c>
      <c r="G2564" s="95" t="s">
        <v>2347</v>
      </c>
      <c r="H2564" s="95" t="e">
        <v>#N/A</v>
      </c>
      <c r="I2564" s="96" t="s">
        <v>2310</v>
      </c>
      <c r="J2564" s="95" t="s">
        <v>189</v>
      </c>
      <c r="K2564" s="95">
        <v>1909</v>
      </c>
      <c r="L2564" s="95">
        <v>1909</v>
      </c>
      <c r="M2564" s="95" t="s">
        <v>2311</v>
      </c>
      <c r="N2564" s="95">
        <f>VLOOKUP(B2564,'[16]01.수집 카테고리(List)'!$A$2:$H$64,8,FALSE)</f>
        <v>99991231</v>
      </c>
      <c r="O2564" s="95" t="s">
        <v>646</v>
      </c>
    </row>
    <row r="2565" spans="1:15" hidden="1">
      <c r="A2565" s="75" t="str">
        <f t="shared" si="94"/>
        <v>SGCOURTSAir Conditionerwindow air conditionerAircon install</v>
      </c>
      <c r="B2565" s="94" t="str">
        <f t="shared" si="95"/>
        <v>SG_COURTS</v>
      </c>
      <c r="C2565" s="93" t="s">
        <v>211</v>
      </c>
      <c r="D2565" s="93" t="s">
        <v>212</v>
      </c>
      <c r="E2565" s="93" t="s">
        <v>2346</v>
      </c>
      <c r="F2565" s="93" t="s">
        <v>2350</v>
      </c>
      <c r="G2565" s="93" t="s">
        <v>3461</v>
      </c>
      <c r="H2565" s="93" t="e">
        <v>#N/A</v>
      </c>
      <c r="I2565" s="105" t="s">
        <v>2310</v>
      </c>
      <c r="J2565" s="93" t="s">
        <v>189</v>
      </c>
      <c r="K2565" s="93">
        <v>752</v>
      </c>
      <c r="L2565" s="93" t="e">
        <v>#N/A</v>
      </c>
      <c r="M2565" s="93" t="s">
        <v>2311</v>
      </c>
      <c r="N2565" s="93">
        <f>VLOOKUP(B2565,'[16]01.수집 카테고리(List)'!$A$2:$H$64,8,FALSE)</f>
        <v>99991231</v>
      </c>
      <c r="O2565" s="93" t="s">
        <v>646</v>
      </c>
    </row>
    <row r="2566" spans="1:15" hidden="1">
      <c r="A2566" s="75" t="str">
        <f t="shared" si="94"/>
        <v>SGCOURTSAir Conditionerportable air conditionerportable air conditioner</v>
      </c>
      <c r="B2566" s="94" t="str">
        <f t="shared" si="95"/>
        <v>SG_COURTS</v>
      </c>
      <c r="C2566" s="93" t="s">
        <v>211</v>
      </c>
      <c r="D2566" s="93" t="s">
        <v>212</v>
      </c>
      <c r="E2566" s="93" t="s">
        <v>2346</v>
      </c>
      <c r="F2566" s="93" t="s">
        <v>2349</v>
      </c>
      <c r="G2566" s="93" t="s">
        <v>3462</v>
      </c>
      <c r="H2566" s="93" t="s">
        <v>3463</v>
      </c>
      <c r="I2566" s="105" t="s">
        <v>2310</v>
      </c>
      <c r="J2566" s="93" t="s">
        <v>189</v>
      </c>
      <c r="K2566" s="93">
        <v>14</v>
      </c>
      <c r="L2566" s="93">
        <v>14</v>
      </c>
      <c r="M2566" s="93" t="s">
        <v>2311</v>
      </c>
      <c r="N2566" s="93">
        <f>VLOOKUP(B2566,'[16]01.수집 카테고리(List)'!$A$2:$H$64,8,FALSE)</f>
        <v>99991231</v>
      </c>
      <c r="O2566" s="93" t="s">
        <v>646</v>
      </c>
    </row>
    <row r="2567" spans="1:15" hidden="1">
      <c r="A2567" s="75" t="str">
        <f t="shared" si="94"/>
        <v>SGCOURTSBluetooth Speakerbluetooth speakerbluetooth speaker</v>
      </c>
      <c r="B2567" s="94" t="str">
        <f t="shared" si="95"/>
        <v>SG_COURTS</v>
      </c>
      <c r="C2567" s="93" t="s">
        <v>211</v>
      </c>
      <c r="D2567" s="93" t="s">
        <v>212</v>
      </c>
      <c r="E2567" s="93" t="s">
        <v>2307</v>
      </c>
      <c r="F2567" s="93" t="s">
        <v>2657</v>
      </c>
      <c r="G2567" s="93" t="s">
        <v>2657</v>
      </c>
      <c r="H2567" s="93" t="e">
        <v>#N/A</v>
      </c>
      <c r="I2567" s="105" t="s">
        <v>2310</v>
      </c>
      <c r="J2567" s="93" t="s">
        <v>189</v>
      </c>
      <c r="K2567" s="93">
        <v>250</v>
      </c>
      <c r="L2567" s="93">
        <v>250</v>
      </c>
      <c r="M2567" s="93" t="s">
        <v>2311</v>
      </c>
      <c r="N2567" s="93">
        <f>VLOOKUP(B2567,'[16]01.수집 카테고리(List)'!$A$2:$H$64,8,FALSE)</f>
        <v>99991231</v>
      </c>
      <c r="O2567" s="93" t="s">
        <v>646</v>
      </c>
    </row>
    <row r="2568" spans="1:15" hidden="1">
      <c r="A2568" s="75" t="str">
        <f t="shared" si="94"/>
        <v>SGCOURTSBluetooth Speakerportable speakerportable speaker</v>
      </c>
      <c r="B2568" s="94" t="str">
        <f t="shared" si="95"/>
        <v>SG_COURTS</v>
      </c>
      <c r="C2568" s="93" t="s">
        <v>211</v>
      </c>
      <c r="D2568" s="93" t="s">
        <v>212</v>
      </c>
      <c r="E2568" s="93" t="s">
        <v>2307</v>
      </c>
      <c r="F2568" s="93" t="s">
        <v>2875</v>
      </c>
      <c r="G2568" s="93" t="s">
        <v>2875</v>
      </c>
      <c r="H2568" s="93" t="e">
        <v>#N/A</v>
      </c>
      <c r="I2568" s="105" t="s">
        <v>2310</v>
      </c>
      <c r="J2568" s="93" t="s">
        <v>189</v>
      </c>
      <c r="K2568" s="93">
        <v>410</v>
      </c>
      <c r="L2568" s="93">
        <v>410</v>
      </c>
      <c r="M2568" s="93" t="s">
        <v>2311</v>
      </c>
      <c r="N2568" s="93">
        <f>VLOOKUP(B2568,'[16]01.수집 카테고리(List)'!$A$2:$H$64,8,FALSE)</f>
        <v>99991231</v>
      </c>
      <c r="O2568" s="93" t="s">
        <v>646</v>
      </c>
    </row>
    <row r="2569" spans="1:15" hidden="1">
      <c r="A2569" s="75" t="str">
        <f t="shared" si="94"/>
        <v>SGCOURTSBluetooth Speakersmart speakersmart speaker</v>
      </c>
      <c r="B2569" s="94" t="str">
        <f t="shared" si="95"/>
        <v>SG_COURTS</v>
      </c>
      <c r="C2569" s="93" t="s">
        <v>211</v>
      </c>
      <c r="D2569" s="93" t="s">
        <v>212</v>
      </c>
      <c r="E2569" s="93" t="s">
        <v>2307</v>
      </c>
      <c r="F2569" s="93" t="s">
        <v>3464</v>
      </c>
      <c r="G2569" s="93" t="s">
        <v>3464</v>
      </c>
      <c r="H2569" s="93" t="e">
        <v>#N/A</v>
      </c>
      <c r="I2569" s="105" t="s">
        <v>2310</v>
      </c>
      <c r="J2569" s="93" t="s">
        <v>189</v>
      </c>
      <c r="K2569" s="93">
        <v>47</v>
      </c>
      <c r="L2569" s="93">
        <v>47</v>
      </c>
      <c r="M2569" s="93" t="s">
        <v>2311</v>
      </c>
      <c r="N2569" s="93">
        <f>VLOOKUP(B2569,'[16]01.수집 카테고리(List)'!$A$2:$H$64,8,FALSE)</f>
        <v>99991231</v>
      </c>
      <c r="O2569" s="93" t="s">
        <v>646</v>
      </c>
    </row>
    <row r="2570" spans="1:15" hidden="1">
      <c r="A2570" s="75" t="str">
        <f t="shared" si="94"/>
        <v>SGCOURTSBluetooth Speakerwireless speakerwireless speaker</v>
      </c>
      <c r="B2570" s="94" t="str">
        <f t="shared" si="95"/>
        <v>SG_COURTS</v>
      </c>
      <c r="C2570" s="93" t="s">
        <v>211</v>
      </c>
      <c r="D2570" s="93" t="s">
        <v>212</v>
      </c>
      <c r="E2570" s="93" t="s">
        <v>2307</v>
      </c>
      <c r="F2570" s="93" t="s">
        <v>2877</v>
      </c>
      <c r="G2570" s="93" t="s">
        <v>2877</v>
      </c>
      <c r="H2570" s="93" t="e">
        <v>#N/A</v>
      </c>
      <c r="I2570" s="105" t="s">
        <v>2310</v>
      </c>
      <c r="J2570" s="93" t="s">
        <v>189</v>
      </c>
      <c r="K2570" s="93">
        <v>48</v>
      </c>
      <c r="L2570" s="93">
        <v>48</v>
      </c>
      <c r="M2570" s="93" t="s">
        <v>2311</v>
      </c>
      <c r="N2570" s="93">
        <f>VLOOKUP(B2570,'[16]01.수집 카테고리(List)'!$A$2:$H$64,8,FALSE)</f>
        <v>99991231</v>
      </c>
      <c r="O2570" s="93" t="s">
        <v>646</v>
      </c>
    </row>
    <row r="2571" spans="1:15" hidden="1">
      <c r="A2571" s="75" t="str">
        <f t="shared" si="94"/>
        <v>SGCOURTSBluetooth Speakerportable bluetooth speakerportable bluetooth speaker</v>
      </c>
      <c r="B2571" s="94" t="str">
        <f t="shared" si="95"/>
        <v>SG_COURTS</v>
      </c>
      <c r="C2571" s="93" t="s">
        <v>211</v>
      </c>
      <c r="D2571" s="93" t="s">
        <v>212</v>
      </c>
      <c r="E2571" s="93" t="s">
        <v>2307</v>
      </c>
      <c r="F2571" s="93" t="s">
        <v>3070</v>
      </c>
      <c r="G2571" s="93" t="s">
        <v>3070</v>
      </c>
      <c r="H2571" s="93" t="e">
        <v>#N/A</v>
      </c>
      <c r="I2571" s="105" t="s">
        <v>2310</v>
      </c>
      <c r="J2571" s="93" t="s">
        <v>189</v>
      </c>
      <c r="K2571" s="93">
        <v>6293</v>
      </c>
      <c r="L2571" s="93">
        <v>178</v>
      </c>
      <c r="M2571" s="93" t="s">
        <v>2311</v>
      </c>
      <c r="N2571" s="93">
        <f>VLOOKUP(B2571,'[16]01.수집 카테고리(List)'!$A$2:$H$64,8,FALSE)</f>
        <v>99991231</v>
      </c>
      <c r="O2571" s="93" t="s">
        <v>646</v>
      </c>
    </row>
    <row r="2572" spans="1:15" hidden="1">
      <c r="A2572" s="75" t="str">
        <f t="shared" si="94"/>
        <v>SGCOURTSCordless stick vacuumCordless stick vacuumcordless stick vacuum</v>
      </c>
      <c r="B2572" s="94" t="str">
        <f t="shared" si="95"/>
        <v>SG_COURTS</v>
      </c>
      <c r="C2572" s="93" t="s">
        <v>211</v>
      </c>
      <c r="D2572" s="93" t="s">
        <v>212</v>
      </c>
      <c r="E2572" s="93" t="s">
        <v>2435</v>
      </c>
      <c r="F2572" s="93" t="s">
        <v>2435</v>
      </c>
      <c r="G2572" s="93" t="s">
        <v>2436</v>
      </c>
      <c r="H2572" s="93" t="e">
        <v>#N/A</v>
      </c>
      <c r="I2572" s="105" t="s">
        <v>2310</v>
      </c>
      <c r="J2572" s="93" t="s">
        <v>189</v>
      </c>
      <c r="K2572" s="93">
        <v>24</v>
      </c>
      <c r="L2572" s="93">
        <v>24</v>
      </c>
      <c r="M2572" s="93" t="s">
        <v>2311</v>
      </c>
      <c r="N2572" s="93">
        <f>VLOOKUP(B2572,'[16]01.수집 카테고리(List)'!$A$2:$H$64,8,FALSE)</f>
        <v>99991231</v>
      </c>
      <c r="O2572" s="93" t="s">
        <v>646</v>
      </c>
    </row>
    <row r="2573" spans="1:15" hidden="1">
      <c r="A2573" s="75" t="str">
        <f t="shared" si="94"/>
        <v>SGCOURTSCordless stick vacuumCordless stick vacuumhand vacuum</v>
      </c>
      <c r="B2573" s="94" t="str">
        <f t="shared" si="95"/>
        <v>SG_COURTS</v>
      </c>
      <c r="C2573" s="93" t="s">
        <v>211</v>
      </c>
      <c r="D2573" s="93" t="s">
        <v>212</v>
      </c>
      <c r="E2573" s="93" t="s">
        <v>2435</v>
      </c>
      <c r="F2573" s="93" t="s">
        <v>2435</v>
      </c>
      <c r="G2573" s="93" t="s">
        <v>3465</v>
      </c>
      <c r="H2573" s="93" t="e">
        <v>#N/A</v>
      </c>
      <c r="I2573" s="105" t="s">
        <v>2310</v>
      </c>
      <c r="J2573" s="93" t="s">
        <v>189</v>
      </c>
      <c r="K2573" s="93">
        <v>81</v>
      </c>
      <c r="L2573" s="93">
        <v>24</v>
      </c>
      <c r="M2573" s="93" t="s">
        <v>2311</v>
      </c>
      <c r="N2573" s="93">
        <f>VLOOKUP(B2573,'[16]01.수집 카테고리(List)'!$A$2:$H$64,8,FALSE)</f>
        <v>99991231</v>
      </c>
      <c r="O2573" s="93" t="s">
        <v>646</v>
      </c>
    </row>
    <row r="2574" spans="1:15" hidden="1">
      <c r="A2574" s="75" t="str">
        <f t="shared" si="94"/>
        <v>SGCOURTSCordless stick vacuumCordless stick vacuumHandheld Vacuum Cleaner</v>
      </c>
      <c r="B2574" s="94" t="str">
        <f t="shared" si="95"/>
        <v>SG_COURTS</v>
      </c>
      <c r="C2574" s="93" t="s">
        <v>211</v>
      </c>
      <c r="D2574" s="93" t="s">
        <v>212</v>
      </c>
      <c r="E2574" s="93" t="s">
        <v>2435</v>
      </c>
      <c r="F2574" s="93" t="s">
        <v>2435</v>
      </c>
      <c r="G2574" s="93" t="s">
        <v>3466</v>
      </c>
      <c r="H2574" s="93" t="e">
        <v>#N/A</v>
      </c>
      <c r="I2574" s="105" t="s">
        <v>2310</v>
      </c>
      <c r="J2574" s="93" t="s">
        <v>189</v>
      </c>
      <c r="K2574" s="93" t="e">
        <v>#N/A</v>
      </c>
      <c r="L2574" s="93">
        <v>24</v>
      </c>
      <c r="M2574" s="93" t="s">
        <v>2351</v>
      </c>
      <c r="N2574" s="93">
        <f>VLOOKUP(B2574,'[16]01.수집 카테고리(List)'!$A$2:$H$64,8,FALSE)</f>
        <v>99991231</v>
      </c>
      <c r="O2574" s="93" t="s">
        <v>646</v>
      </c>
    </row>
    <row r="2575" spans="1:15" hidden="1">
      <c r="A2575" s="75" t="str">
        <f t="shared" si="94"/>
        <v>SGCOURTSCordless stick vacuumCordless stick vacuumvacuum cleaner</v>
      </c>
      <c r="B2575" s="94" t="str">
        <f t="shared" si="95"/>
        <v>SG_COURTS</v>
      </c>
      <c r="C2575" s="93" t="s">
        <v>211</v>
      </c>
      <c r="D2575" s="93" t="s">
        <v>212</v>
      </c>
      <c r="E2575" s="93" t="s">
        <v>2435</v>
      </c>
      <c r="F2575" s="93" t="s">
        <v>2435</v>
      </c>
      <c r="G2575" s="93" t="s">
        <v>2882</v>
      </c>
      <c r="H2575" s="93" t="e">
        <v>#N/A</v>
      </c>
      <c r="I2575" s="105" t="s">
        <v>2310</v>
      </c>
      <c r="J2575" s="93" t="s">
        <v>189</v>
      </c>
      <c r="K2575" s="93">
        <v>328</v>
      </c>
      <c r="L2575" s="93">
        <v>24</v>
      </c>
      <c r="M2575" s="93" t="s">
        <v>2311</v>
      </c>
      <c r="N2575" s="93">
        <f>VLOOKUP(B2575,'[16]01.수집 카테고리(List)'!$A$2:$H$64,8,FALSE)</f>
        <v>99991231</v>
      </c>
      <c r="O2575" s="93" t="s">
        <v>646</v>
      </c>
    </row>
    <row r="2576" spans="1:15" hidden="1">
      <c r="A2576" s="75" t="str">
        <f t="shared" si="94"/>
        <v>SGCOURTSDishwasherDishwasherDishwasher</v>
      </c>
      <c r="B2576" s="94" t="str">
        <f t="shared" si="95"/>
        <v>SG_COURTS</v>
      </c>
      <c r="C2576" s="93" t="s">
        <v>211</v>
      </c>
      <c r="D2576" s="93" t="s">
        <v>212</v>
      </c>
      <c r="E2576" s="93" t="s">
        <v>2440</v>
      </c>
      <c r="F2576" s="93" t="s">
        <v>2440</v>
      </c>
      <c r="G2576" s="93" t="s">
        <v>2440</v>
      </c>
      <c r="H2576" s="93" t="e">
        <v>#N/A</v>
      </c>
      <c r="I2576" s="105" t="s">
        <v>2310</v>
      </c>
      <c r="J2576" s="93" t="s">
        <v>189</v>
      </c>
      <c r="K2576" s="93">
        <v>87</v>
      </c>
      <c r="L2576" s="93">
        <v>87</v>
      </c>
      <c r="M2576" s="93" t="s">
        <v>2311</v>
      </c>
      <c r="N2576" s="93">
        <f>VLOOKUP(B2576,'[16]01.수집 카테고리(List)'!$A$2:$H$64,8,FALSE)</f>
        <v>99991231</v>
      </c>
      <c r="O2576" s="93" t="s">
        <v>646</v>
      </c>
    </row>
    <row r="2577" spans="1:15" hidden="1">
      <c r="A2577" s="75" t="str">
        <f t="shared" si="94"/>
        <v>SGCOURTSDishwasherFreestanding dishwasherFreestanding dishwasher</v>
      </c>
      <c r="B2577" s="94" t="str">
        <f t="shared" si="95"/>
        <v>SG_COURTS</v>
      </c>
      <c r="C2577" s="93" t="s">
        <v>211</v>
      </c>
      <c r="D2577" s="93" t="s">
        <v>212</v>
      </c>
      <c r="E2577" s="93" t="s">
        <v>2440</v>
      </c>
      <c r="F2577" s="93" t="s">
        <v>3467</v>
      </c>
      <c r="G2577" s="93" t="s">
        <v>3467</v>
      </c>
      <c r="H2577" s="93" t="s">
        <v>3468</v>
      </c>
      <c r="I2577" s="105" t="s">
        <v>2310</v>
      </c>
      <c r="J2577" s="93" t="s">
        <v>189</v>
      </c>
      <c r="K2577" s="93">
        <v>27</v>
      </c>
      <c r="L2577" s="93">
        <v>27</v>
      </c>
      <c r="M2577" s="93" t="s">
        <v>2311</v>
      </c>
      <c r="N2577" s="93">
        <f>VLOOKUP(B2577,'[16]01.수집 카테고리(List)'!$A$2:$H$64,8,FALSE)</f>
        <v>99991231</v>
      </c>
      <c r="O2577" s="93" t="s">
        <v>646</v>
      </c>
    </row>
    <row r="2578" spans="1:15" hidden="1">
      <c r="A2578" s="75" t="str">
        <f t="shared" si="94"/>
        <v>SGCOURTSDryerClothes dryerClothes dryer</v>
      </c>
      <c r="B2578" s="94" t="str">
        <f t="shared" si="95"/>
        <v>SG_COURTS</v>
      </c>
      <c r="C2578" s="93" t="s">
        <v>211</v>
      </c>
      <c r="D2578" s="93" t="s">
        <v>212</v>
      </c>
      <c r="E2578" s="93" t="s">
        <v>2431</v>
      </c>
      <c r="F2578" s="93" t="s">
        <v>3469</v>
      </c>
      <c r="G2578" s="93" t="s">
        <v>3470</v>
      </c>
      <c r="H2578" s="93" t="e">
        <v>#N/A</v>
      </c>
      <c r="I2578" s="105" t="s">
        <v>2310</v>
      </c>
      <c r="J2578" s="93" t="s">
        <v>189</v>
      </c>
      <c r="K2578" s="93">
        <v>113</v>
      </c>
      <c r="L2578" s="93">
        <v>113</v>
      </c>
      <c r="M2578" s="93" t="s">
        <v>2311</v>
      </c>
      <c r="N2578" s="93">
        <f>VLOOKUP(B2578,'[16]01.수집 카테고리(List)'!$A$2:$H$64,8,FALSE)</f>
        <v>99991231</v>
      </c>
      <c r="O2578" s="93" t="s">
        <v>646</v>
      </c>
    </row>
    <row r="2579" spans="1:15" hidden="1">
      <c r="A2579" s="75" t="str">
        <f t="shared" si="94"/>
        <v>SGCOURTSDryerdryerdryer</v>
      </c>
      <c r="B2579" s="94" t="str">
        <f t="shared" si="95"/>
        <v>SG_COURTS</v>
      </c>
      <c r="C2579" s="93" t="s">
        <v>211</v>
      </c>
      <c r="D2579" s="93" t="s">
        <v>212</v>
      </c>
      <c r="E2579" s="93" t="s">
        <v>2431</v>
      </c>
      <c r="F2579" s="93" t="s">
        <v>2927</v>
      </c>
      <c r="G2579" s="93" t="s">
        <v>2927</v>
      </c>
      <c r="H2579" s="93" t="s">
        <v>3471</v>
      </c>
      <c r="I2579" s="105" t="s">
        <v>2310</v>
      </c>
      <c r="J2579" s="93" t="s">
        <v>189</v>
      </c>
      <c r="K2579" s="93">
        <v>398</v>
      </c>
      <c r="L2579" s="93">
        <v>398</v>
      </c>
      <c r="M2579" s="93" t="s">
        <v>2311</v>
      </c>
      <c r="N2579" s="93">
        <f>VLOOKUP(B2579,'[16]01.수집 카테고리(List)'!$A$2:$H$64,8,FALSE)</f>
        <v>99991231</v>
      </c>
      <c r="O2579" s="93" t="s">
        <v>646</v>
      </c>
    </row>
    <row r="2580" spans="1:15" hidden="1">
      <c r="A2580" s="75" t="str">
        <f t="shared" si="94"/>
        <v>SGCOURTSDryerHeat pump dryerHeat pump dryer</v>
      </c>
      <c r="B2580" s="94" t="str">
        <f t="shared" si="95"/>
        <v>SG_COURTS</v>
      </c>
      <c r="C2580" s="93" t="s">
        <v>211</v>
      </c>
      <c r="D2580" s="93" t="s">
        <v>212</v>
      </c>
      <c r="E2580" s="93" t="s">
        <v>2431</v>
      </c>
      <c r="F2580" s="93" t="s">
        <v>3472</v>
      </c>
      <c r="G2580" s="93" t="s">
        <v>3472</v>
      </c>
      <c r="H2580" s="93" t="e">
        <v>#N/A</v>
      </c>
      <c r="I2580" s="105" t="s">
        <v>2310</v>
      </c>
      <c r="J2580" s="93" t="s">
        <v>189</v>
      </c>
      <c r="K2580" s="93">
        <v>76</v>
      </c>
      <c r="L2580" s="93">
        <v>76</v>
      </c>
      <c r="M2580" s="93" t="s">
        <v>2311</v>
      </c>
      <c r="N2580" s="93">
        <f>VLOOKUP(B2580,'[16]01.수집 카테고리(List)'!$A$2:$H$64,8,FALSE)</f>
        <v>99991231</v>
      </c>
      <c r="O2580" s="93" t="s">
        <v>646</v>
      </c>
    </row>
    <row r="2581" spans="1:15" hidden="1">
      <c r="A2581" s="75" t="str">
        <f t="shared" si="94"/>
        <v>SGCOURTSRefrigeratorbottom freezer refrigeratorbottom freezer refrigerator</v>
      </c>
      <c r="B2581" s="94" t="str">
        <f t="shared" si="95"/>
        <v>SG_COURTS</v>
      </c>
      <c r="C2581" s="93" t="s">
        <v>211</v>
      </c>
      <c r="D2581" s="93" t="s">
        <v>212</v>
      </c>
      <c r="E2581" s="93" t="s">
        <v>2326</v>
      </c>
      <c r="F2581" s="93" t="s">
        <v>2327</v>
      </c>
      <c r="G2581" s="93" t="s">
        <v>2327</v>
      </c>
      <c r="H2581" s="93" t="e">
        <v>#N/A</v>
      </c>
      <c r="I2581" s="105" t="s">
        <v>2310</v>
      </c>
      <c r="J2581" s="93" t="s">
        <v>189</v>
      </c>
      <c r="K2581" s="93">
        <v>152</v>
      </c>
      <c r="L2581" s="93">
        <v>152</v>
      </c>
      <c r="M2581" s="93" t="s">
        <v>2311</v>
      </c>
      <c r="N2581" s="93">
        <f>VLOOKUP(B2581,'[16]01.수집 카테고리(List)'!$A$2:$H$64,8,FALSE)</f>
        <v>99991231</v>
      </c>
      <c r="O2581" s="93" t="s">
        <v>646</v>
      </c>
    </row>
    <row r="2582" spans="1:15" hidden="1">
      <c r="A2582" s="75" t="str">
        <f t="shared" si="94"/>
        <v>SGCOURTSRefrigeratorfrench door refrigeratorfrench door refrigerator</v>
      </c>
      <c r="B2582" s="94" t="str">
        <f t="shared" si="95"/>
        <v>SG_COURTS</v>
      </c>
      <c r="C2582" s="93" t="s">
        <v>211</v>
      </c>
      <c r="D2582" s="93" t="s">
        <v>212</v>
      </c>
      <c r="E2582" s="93" t="s">
        <v>2326</v>
      </c>
      <c r="F2582" s="93" t="s">
        <v>2328</v>
      </c>
      <c r="G2582" s="93" t="s">
        <v>2328</v>
      </c>
      <c r="H2582" s="93" t="e">
        <v>#N/A</v>
      </c>
      <c r="I2582" s="105" t="s">
        <v>2310</v>
      </c>
      <c r="J2582" s="93" t="s">
        <v>189</v>
      </c>
      <c r="K2582" s="93">
        <v>44</v>
      </c>
      <c r="L2582" s="93">
        <v>44</v>
      </c>
      <c r="M2582" s="93" t="s">
        <v>2311</v>
      </c>
      <c r="N2582" s="93">
        <f>VLOOKUP(B2582,'[16]01.수집 카테고리(List)'!$A$2:$H$64,8,FALSE)</f>
        <v>99991231</v>
      </c>
      <c r="O2582" s="93" t="s">
        <v>646</v>
      </c>
    </row>
    <row r="2583" spans="1:15" hidden="1">
      <c r="A2583" s="75" t="str">
        <f t="shared" si="94"/>
        <v>SGCOURTSRefrigeratorrefrigeratorrefrigerator</v>
      </c>
      <c r="B2583" s="94" t="str">
        <f t="shared" si="95"/>
        <v>SG_COURTS</v>
      </c>
      <c r="C2583" s="93" t="s">
        <v>211</v>
      </c>
      <c r="D2583" s="93" t="s">
        <v>212</v>
      </c>
      <c r="E2583" s="93" t="s">
        <v>2326</v>
      </c>
      <c r="F2583" s="93" t="s">
        <v>2329</v>
      </c>
      <c r="G2583" s="93" t="s">
        <v>2329</v>
      </c>
      <c r="H2583" s="93" t="e">
        <v>#N/A</v>
      </c>
      <c r="I2583" s="105" t="s">
        <v>2310</v>
      </c>
      <c r="J2583" s="93" t="s">
        <v>189</v>
      </c>
      <c r="K2583" s="93">
        <v>1349</v>
      </c>
      <c r="L2583" s="93">
        <v>1349</v>
      </c>
      <c r="M2583" s="93" t="s">
        <v>2311</v>
      </c>
      <c r="N2583" s="93">
        <f>VLOOKUP(B2583,'[16]01.수집 카테고리(List)'!$A$2:$H$64,8,FALSE)</f>
        <v>99991231</v>
      </c>
      <c r="O2583" s="93" t="s">
        <v>646</v>
      </c>
    </row>
    <row r="2584" spans="1:15" hidden="1">
      <c r="A2584" s="75" t="str">
        <f t="shared" si="94"/>
        <v>SGCOURTSRefrigeratorside by side refrigeratorside by side refrigerator</v>
      </c>
      <c r="B2584" s="94" t="str">
        <f t="shared" si="95"/>
        <v>SG_COURTS</v>
      </c>
      <c r="C2584" s="93" t="s">
        <v>211</v>
      </c>
      <c r="D2584" s="93" t="s">
        <v>212</v>
      </c>
      <c r="E2584" s="93" t="s">
        <v>2326</v>
      </c>
      <c r="F2584" s="93" t="s">
        <v>2330</v>
      </c>
      <c r="G2584" s="93" t="s">
        <v>2330</v>
      </c>
      <c r="H2584" s="93" t="e">
        <v>#N/A</v>
      </c>
      <c r="I2584" s="105" t="s">
        <v>2310</v>
      </c>
      <c r="J2584" s="93" t="s">
        <v>189</v>
      </c>
      <c r="K2584" s="93">
        <v>99</v>
      </c>
      <c r="L2584" s="93">
        <v>99</v>
      </c>
      <c r="M2584" s="93" t="s">
        <v>2311</v>
      </c>
      <c r="N2584" s="93">
        <f>VLOOKUP(B2584,'[16]01.수집 카테고리(List)'!$A$2:$H$64,8,FALSE)</f>
        <v>99991231</v>
      </c>
      <c r="O2584" s="93" t="s">
        <v>646</v>
      </c>
    </row>
    <row r="2585" spans="1:15" hidden="1">
      <c r="A2585" s="75" t="str">
        <f t="shared" si="94"/>
        <v>SGCOURTSRefrigeratortop freezer refrigeratortop freezer refrigerator</v>
      </c>
      <c r="B2585" s="94" t="str">
        <f t="shared" si="95"/>
        <v>SG_COURTS</v>
      </c>
      <c r="C2585" s="93" t="s">
        <v>211</v>
      </c>
      <c r="D2585" s="93" t="s">
        <v>212</v>
      </c>
      <c r="E2585" s="93" t="s">
        <v>2326</v>
      </c>
      <c r="F2585" s="93" t="s">
        <v>2332</v>
      </c>
      <c r="G2585" s="93" t="s">
        <v>2332</v>
      </c>
      <c r="H2585" s="93" t="e">
        <v>#N/A</v>
      </c>
      <c r="I2585" s="105" t="s">
        <v>2310</v>
      </c>
      <c r="J2585" s="93" t="s">
        <v>189</v>
      </c>
      <c r="K2585" s="93">
        <v>148</v>
      </c>
      <c r="L2585" s="93">
        <v>148</v>
      </c>
      <c r="M2585" s="93" t="s">
        <v>2311</v>
      </c>
      <c r="N2585" s="93">
        <f>VLOOKUP(B2585,'[16]01.수집 카테고리(List)'!$A$2:$H$64,8,FALSE)</f>
        <v>99991231</v>
      </c>
      <c r="O2585" s="93" t="s">
        <v>646</v>
      </c>
    </row>
    <row r="2586" spans="1:15" hidden="1">
      <c r="A2586" s="75" t="str">
        <f t="shared" si="94"/>
        <v>SGCOURTSSOUNDBARsound barsound bar</v>
      </c>
      <c r="B2586" s="94" t="str">
        <f t="shared" si="95"/>
        <v>SG_COURTS</v>
      </c>
      <c r="C2586" s="93" t="s">
        <v>211</v>
      </c>
      <c r="D2586" s="93" t="s">
        <v>212</v>
      </c>
      <c r="E2586" s="93" t="s">
        <v>165</v>
      </c>
      <c r="F2586" s="93" t="s">
        <v>2529</v>
      </c>
      <c r="G2586" s="93" t="s">
        <v>2529</v>
      </c>
      <c r="H2586" s="93" t="e">
        <v>#N/A</v>
      </c>
      <c r="I2586" s="105" t="s">
        <v>2310</v>
      </c>
      <c r="J2586" s="93" t="s">
        <v>189</v>
      </c>
      <c r="K2586" s="93">
        <v>21</v>
      </c>
      <c r="L2586" s="93">
        <v>21</v>
      </c>
      <c r="M2586" s="93" t="s">
        <v>2311</v>
      </c>
      <c r="N2586" s="93">
        <f>VLOOKUP(B2586,'[16]01.수집 카테고리(List)'!$A$2:$H$64,8,FALSE)</f>
        <v>99991231</v>
      </c>
      <c r="O2586" s="93" t="s">
        <v>646</v>
      </c>
    </row>
    <row r="2587" spans="1:15" hidden="1">
      <c r="A2587" s="75" t="str">
        <f t="shared" si="94"/>
        <v>SGCOURTSSOUNDBARsound barssound bars</v>
      </c>
      <c r="B2587" s="94" t="str">
        <f t="shared" si="95"/>
        <v>SG_COURTS</v>
      </c>
      <c r="C2587" s="93" t="s">
        <v>211</v>
      </c>
      <c r="D2587" s="93" t="s">
        <v>212</v>
      </c>
      <c r="E2587" s="93" t="s">
        <v>165</v>
      </c>
      <c r="F2587" s="93" t="s">
        <v>3473</v>
      </c>
      <c r="G2587" s="93" t="s">
        <v>3474</v>
      </c>
      <c r="H2587" s="93" t="s">
        <v>3475</v>
      </c>
      <c r="I2587" s="105" t="s">
        <v>2310</v>
      </c>
      <c r="J2587" s="93" t="s">
        <v>189</v>
      </c>
      <c r="K2587" s="93">
        <v>20</v>
      </c>
      <c r="L2587" s="93">
        <v>20</v>
      </c>
      <c r="M2587" s="93" t="s">
        <v>2311</v>
      </c>
      <c r="N2587" s="93">
        <f>VLOOKUP(B2587,'[16]01.수집 카테고리(List)'!$A$2:$H$64,8,FALSE)</f>
        <v>99991231</v>
      </c>
      <c r="O2587" s="93" t="s">
        <v>646</v>
      </c>
    </row>
    <row r="2588" spans="1:15" hidden="1">
      <c r="A2588" s="75" t="str">
        <f t="shared" si="94"/>
        <v>SGCOURTSSOUNDBARsoundbarsoundbar</v>
      </c>
      <c r="B2588" s="94" t="str">
        <f t="shared" si="95"/>
        <v>SG_COURTS</v>
      </c>
      <c r="C2588" s="93" t="s">
        <v>211</v>
      </c>
      <c r="D2588" s="93" t="s">
        <v>212</v>
      </c>
      <c r="E2588" s="93" t="s">
        <v>165</v>
      </c>
      <c r="F2588" s="93" t="s">
        <v>2987</v>
      </c>
      <c r="G2588" s="93" t="s">
        <v>2987</v>
      </c>
      <c r="H2588" s="93" t="e">
        <v>#N/A</v>
      </c>
      <c r="I2588" s="105" t="s">
        <v>2310</v>
      </c>
      <c r="J2588" s="93" t="s">
        <v>189</v>
      </c>
      <c r="K2588" s="93">
        <v>129</v>
      </c>
      <c r="L2588" s="93">
        <v>129</v>
      </c>
      <c r="M2588" s="93" t="s">
        <v>2311</v>
      </c>
      <c r="N2588" s="93">
        <f>VLOOKUP(B2588,'[16]01.수집 카테고리(List)'!$A$2:$H$64,8,FALSE)</f>
        <v>99991231</v>
      </c>
      <c r="O2588" s="93" t="s">
        <v>646</v>
      </c>
    </row>
    <row r="2589" spans="1:15" hidden="1">
      <c r="A2589" s="75" t="str">
        <f t="shared" si="94"/>
        <v>SGCOURTSTV4k TV4k TV</v>
      </c>
      <c r="B2589" s="94" t="str">
        <f t="shared" si="95"/>
        <v>SG_COURTS</v>
      </c>
      <c r="C2589" s="93" t="s">
        <v>211</v>
      </c>
      <c r="D2589" s="93" t="s">
        <v>212</v>
      </c>
      <c r="E2589" s="93" t="s">
        <v>161</v>
      </c>
      <c r="F2589" s="93" t="s">
        <v>2368</v>
      </c>
      <c r="G2589" s="93" t="s">
        <v>2368</v>
      </c>
      <c r="H2589" s="93" t="e">
        <v>#N/A</v>
      </c>
      <c r="I2589" s="105" t="s">
        <v>2310</v>
      </c>
      <c r="J2589" s="93" t="s">
        <v>189</v>
      </c>
      <c r="K2589" s="93">
        <v>1484</v>
      </c>
      <c r="L2589" s="93">
        <v>1484</v>
      </c>
      <c r="M2589" s="93" t="s">
        <v>2311</v>
      </c>
      <c r="N2589" s="93">
        <f>VLOOKUP(B2589,'[16]01.수집 카테고리(List)'!$A$2:$H$64,8,FALSE)</f>
        <v>99991231</v>
      </c>
      <c r="O2589" s="93" t="s">
        <v>646</v>
      </c>
    </row>
    <row r="2590" spans="1:15" hidden="1">
      <c r="A2590" s="75" t="str">
        <f t="shared" si="94"/>
        <v>SGCOURTSTVoled TVoled TV</v>
      </c>
      <c r="B2590" s="94" t="str">
        <f t="shared" si="95"/>
        <v>SG_COURTS</v>
      </c>
      <c r="C2590" s="93" t="s">
        <v>211</v>
      </c>
      <c r="D2590" s="93" t="s">
        <v>212</v>
      </c>
      <c r="E2590" s="93" t="s">
        <v>161</v>
      </c>
      <c r="F2590" s="93" t="s">
        <v>2369</v>
      </c>
      <c r="G2590" s="93" t="s">
        <v>2369</v>
      </c>
      <c r="H2590" s="93" t="e">
        <v>#N/A</v>
      </c>
      <c r="I2590" s="105" t="s">
        <v>2310</v>
      </c>
      <c r="J2590" s="93" t="s">
        <v>189</v>
      </c>
      <c r="K2590" s="93">
        <v>397</v>
      </c>
      <c r="L2590" s="93">
        <v>397</v>
      </c>
      <c r="M2590" s="93" t="s">
        <v>2311</v>
      </c>
      <c r="N2590" s="93">
        <f>VLOOKUP(B2590,'[16]01.수집 카테고리(List)'!$A$2:$H$64,8,FALSE)</f>
        <v>99991231</v>
      </c>
      <c r="O2590" s="93" t="s">
        <v>646</v>
      </c>
    </row>
    <row r="2591" spans="1:15" hidden="1">
      <c r="A2591" s="75" t="str">
        <f t="shared" si="94"/>
        <v>SGCOURTSTVsmart TVsmart TV</v>
      </c>
      <c r="B2591" s="94" t="str">
        <f t="shared" si="95"/>
        <v>SG_COURTS</v>
      </c>
      <c r="C2591" s="93" t="s">
        <v>211</v>
      </c>
      <c r="D2591" s="93" t="s">
        <v>212</v>
      </c>
      <c r="E2591" s="93" t="s">
        <v>161</v>
      </c>
      <c r="F2591" s="93" t="s">
        <v>2371</v>
      </c>
      <c r="G2591" s="93" t="s">
        <v>2371</v>
      </c>
      <c r="H2591" s="93" t="e">
        <v>#N/A</v>
      </c>
      <c r="I2591" s="105" t="s">
        <v>2310</v>
      </c>
      <c r="J2591" s="93" t="s">
        <v>189</v>
      </c>
      <c r="K2591" s="93">
        <v>837</v>
      </c>
      <c r="L2591" s="93">
        <v>837</v>
      </c>
      <c r="M2591" s="93" t="s">
        <v>2311</v>
      </c>
      <c r="N2591" s="93">
        <f>VLOOKUP(B2591,'[16]01.수집 카테고리(List)'!$A$2:$H$64,8,FALSE)</f>
        <v>99991231</v>
      </c>
      <c r="O2591" s="93" t="s">
        <v>646</v>
      </c>
    </row>
    <row r="2592" spans="1:15" hidden="1">
      <c r="A2592" s="75" t="str">
        <f t="shared" si="94"/>
        <v>SGCOURTSTVTVTV</v>
      </c>
      <c r="B2592" s="94" t="str">
        <f t="shared" si="95"/>
        <v>SG_COURTS</v>
      </c>
      <c r="C2592" s="93" t="s">
        <v>211</v>
      </c>
      <c r="D2592" s="93" t="s">
        <v>212</v>
      </c>
      <c r="E2592" s="93" t="s">
        <v>161</v>
      </c>
      <c r="F2592" s="93" t="s">
        <v>161</v>
      </c>
      <c r="G2592" s="93" t="s">
        <v>161</v>
      </c>
      <c r="H2592" s="93" t="e">
        <v>#N/A</v>
      </c>
      <c r="I2592" s="105" t="s">
        <v>2310</v>
      </c>
      <c r="J2592" s="93" t="s">
        <v>189</v>
      </c>
      <c r="K2592" s="93">
        <v>1133</v>
      </c>
      <c r="L2592" s="93">
        <v>1133</v>
      </c>
      <c r="M2592" s="93" t="s">
        <v>2311</v>
      </c>
      <c r="N2592" s="93">
        <f>VLOOKUP(B2592,'[16]01.수집 카테고리(List)'!$A$2:$H$64,8,FALSE)</f>
        <v>99991231</v>
      </c>
      <c r="O2592" s="93" t="s">
        <v>646</v>
      </c>
    </row>
    <row r="2593" spans="1:15" hidden="1">
      <c r="A2593" s="75" t="str">
        <f t="shared" si="94"/>
        <v>SGCOURTSTVuhd TVuhd TV</v>
      </c>
      <c r="B2593" s="94" t="str">
        <f t="shared" si="95"/>
        <v>SG_COURTS</v>
      </c>
      <c r="C2593" s="93" t="s">
        <v>211</v>
      </c>
      <c r="D2593" s="93" t="s">
        <v>212</v>
      </c>
      <c r="E2593" s="93" t="s">
        <v>161</v>
      </c>
      <c r="F2593" s="93" t="s">
        <v>2399</v>
      </c>
      <c r="G2593" s="93" t="s">
        <v>2399</v>
      </c>
      <c r="H2593" s="93" t="e">
        <v>#N/A</v>
      </c>
      <c r="I2593" s="105" t="s">
        <v>2310</v>
      </c>
      <c r="J2593" s="93" t="s">
        <v>189</v>
      </c>
      <c r="K2593" s="93">
        <v>655</v>
      </c>
      <c r="L2593" s="93">
        <v>655</v>
      </c>
      <c r="M2593" s="93" t="s">
        <v>2311</v>
      </c>
      <c r="N2593" s="93">
        <f>VLOOKUP(B2593,'[16]01.수집 카테고리(List)'!$A$2:$H$64,8,FALSE)</f>
        <v>99991231</v>
      </c>
      <c r="O2593" s="93" t="s">
        <v>646</v>
      </c>
    </row>
    <row r="2594" spans="1:15" hidden="1">
      <c r="A2594" s="75" t="str">
        <f t="shared" si="94"/>
        <v>SGCOURTSWashing Machinewasher dryer combowasher dryer</v>
      </c>
      <c r="B2594" s="94" t="str">
        <f t="shared" si="95"/>
        <v>SG_COURTS</v>
      </c>
      <c r="C2594" s="93" t="s">
        <v>211</v>
      </c>
      <c r="D2594" s="93" t="s">
        <v>212</v>
      </c>
      <c r="E2594" s="93" t="s">
        <v>2333</v>
      </c>
      <c r="F2594" s="93" t="s">
        <v>2338</v>
      </c>
      <c r="G2594" s="93" t="s">
        <v>3476</v>
      </c>
      <c r="H2594" s="93" t="s">
        <v>3477</v>
      </c>
      <c r="I2594" s="105" t="s">
        <v>2310</v>
      </c>
      <c r="J2594" s="93" t="s">
        <v>189</v>
      </c>
      <c r="K2594" s="93">
        <v>199</v>
      </c>
      <c r="L2594" s="93" t="e">
        <v>#N/A</v>
      </c>
      <c r="M2594" s="93" t="s">
        <v>2311</v>
      </c>
      <c r="N2594" s="93">
        <f>VLOOKUP(B2594,'[16]01.수집 카테고리(List)'!$A$2:$H$64,8,FALSE)</f>
        <v>99991231</v>
      </c>
      <c r="O2594" s="93" t="s">
        <v>646</v>
      </c>
    </row>
    <row r="2595" spans="1:15" hidden="1">
      <c r="A2595" s="75" t="str">
        <f t="shared" si="94"/>
        <v>SGCOURTSWashing Machinewashing machinewashing machine</v>
      </c>
      <c r="B2595" s="94" t="str">
        <f t="shared" si="95"/>
        <v>SG_COURTS</v>
      </c>
      <c r="C2595" s="93" t="s">
        <v>211</v>
      </c>
      <c r="D2595" s="93" t="s">
        <v>212</v>
      </c>
      <c r="E2595" s="93" t="s">
        <v>2333</v>
      </c>
      <c r="F2595" s="93" t="s">
        <v>2340</v>
      </c>
      <c r="G2595" s="93" t="s">
        <v>2445</v>
      </c>
      <c r="H2595" s="93" t="s">
        <v>3478</v>
      </c>
      <c r="I2595" s="105" t="s">
        <v>2310</v>
      </c>
      <c r="J2595" s="93" t="s">
        <v>189</v>
      </c>
      <c r="K2595" s="93">
        <v>562</v>
      </c>
      <c r="L2595" s="93">
        <v>562</v>
      </c>
      <c r="M2595" s="93" t="s">
        <v>2311</v>
      </c>
      <c r="N2595" s="93">
        <f>VLOOKUP(B2595,'[16]01.수집 카테고리(List)'!$A$2:$H$64,8,FALSE)</f>
        <v>99991231</v>
      </c>
      <c r="O2595" s="93" t="s">
        <v>646</v>
      </c>
    </row>
    <row r="2596" spans="1:15" hidden="1">
      <c r="A2596" s="75" t="str">
        <f t="shared" ref="A2596:A2659" si="96">C2596&amp;D2596&amp;E2596&amp;F2596&amp;G2596</f>
        <v>SGCOURTSWireless Headsetearbudsearbuds</v>
      </c>
      <c r="B2596" s="94" t="str">
        <f t="shared" ref="B2596:B2659" si="97">C2596&amp;"_"&amp;D2596</f>
        <v>SG_COURTS</v>
      </c>
      <c r="C2596" s="93" t="s">
        <v>211</v>
      </c>
      <c r="D2596" s="93" t="s">
        <v>212</v>
      </c>
      <c r="E2596" s="93" t="s">
        <v>2373</v>
      </c>
      <c r="F2596" s="93" t="s">
        <v>2913</v>
      </c>
      <c r="G2596" s="93" t="s">
        <v>2913</v>
      </c>
      <c r="H2596" s="93" t="e">
        <v>#N/A</v>
      </c>
      <c r="I2596" s="105" t="s">
        <v>2310</v>
      </c>
      <c r="J2596" s="93" t="s">
        <v>189</v>
      </c>
      <c r="K2596" s="93">
        <v>261</v>
      </c>
      <c r="L2596" s="93">
        <v>261</v>
      </c>
      <c r="M2596" s="93" t="s">
        <v>2311</v>
      </c>
      <c r="N2596" s="93">
        <f>VLOOKUP(B2596,'[16]01.수집 카테고리(List)'!$A$2:$H$64,8,FALSE)</f>
        <v>99991231</v>
      </c>
      <c r="O2596" s="93" t="s">
        <v>646</v>
      </c>
    </row>
    <row r="2597" spans="1:15" hidden="1">
      <c r="A2597" s="75" t="str">
        <f t="shared" si="96"/>
        <v>SGCOURTSWireless HeadsetIn-ear headphonesIn-ear headphones</v>
      </c>
      <c r="B2597" s="94" t="str">
        <f t="shared" si="97"/>
        <v>SG_COURTS</v>
      </c>
      <c r="C2597" s="93" t="s">
        <v>211</v>
      </c>
      <c r="D2597" s="93" t="s">
        <v>212</v>
      </c>
      <c r="E2597" s="93" t="s">
        <v>2373</v>
      </c>
      <c r="F2597" s="93" t="s">
        <v>3479</v>
      </c>
      <c r="G2597" s="93" t="s">
        <v>3479</v>
      </c>
      <c r="H2597" s="93" t="e">
        <v>#N/A</v>
      </c>
      <c r="I2597" s="105" t="s">
        <v>2310</v>
      </c>
      <c r="J2597" s="93" t="s">
        <v>189</v>
      </c>
      <c r="K2597" s="93">
        <v>160</v>
      </c>
      <c r="L2597" s="93">
        <v>160</v>
      </c>
      <c r="M2597" s="93" t="s">
        <v>2311</v>
      </c>
      <c r="N2597" s="93">
        <f>VLOOKUP(B2597,'[16]01.수집 카테고리(List)'!$A$2:$H$64,8,FALSE)</f>
        <v>99991231</v>
      </c>
      <c r="O2597" s="93" t="s">
        <v>646</v>
      </c>
    </row>
    <row r="2598" spans="1:15" hidden="1">
      <c r="A2598" s="75" t="str">
        <f t="shared" si="96"/>
        <v>SGCOURTSWireless HeadsetIn-ear true wireless headphonesIn-ear true wireless headphones</v>
      </c>
      <c r="B2598" s="94" t="str">
        <f t="shared" si="97"/>
        <v>SG_COURTS</v>
      </c>
      <c r="C2598" s="93" t="s">
        <v>211</v>
      </c>
      <c r="D2598" s="93" t="s">
        <v>212</v>
      </c>
      <c r="E2598" s="93" t="s">
        <v>2373</v>
      </c>
      <c r="F2598" s="93" t="s">
        <v>3480</v>
      </c>
      <c r="G2598" s="93" t="s">
        <v>3480</v>
      </c>
      <c r="H2598" s="93" t="e">
        <v>#N/A</v>
      </c>
      <c r="I2598" s="105" t="s">
        <v>2310</v>
      </c>
      <c r="J2598" s="93" t="s">
        <v>189</v>
      </c>
      <c r="K2598" s="93">
        <v>30</v>
      </c>
      <c r="L2598" s="93">
        <v>30</v>
      </c>
      <c r="M2598" s="93" t="s">
        <v>2311</v>
      </c>
      <c r="N2598" s="93">
        <f>VLOOKUP(B2598,'[16]01.수집 카테고리(List)'!$A$2:$H$64,8,FALSE)</f>
        <v>99991231</v>
      </c>
      <c r="O2598" s="93" t="s">
        <v>646</v>
      </c>
    </row>
    <row r="2599" spans="1:15" hidden="1">
      <c r="A2599" s="75" t="str">
        <f t="shared" si="96"/>
        <v>SGCOURTSWireless HeadsetTrue Wireless EarbudsTrue Wireless Earbuds</v>
      </c>
      <c r="B2599" s="94" t="str">
        <f t="shared" si="97"/>
        <v>SG_COURTS</v>
      </c>
      <c r="C2599" s="93" t="s">
        <v>211</v>
      </c>
      <c r="D2599" s="93" t="s">
        <v>212</v>
      </c>
      <c r="E2599" s="93" t="s">
        <v>2373</v>
      </c>
      <c r="F2599" s="93" t="s">
        <v>3023</v>
      </c>
      <c r="G2599" s="93" t="s">
        <v>3023</v>
      </c>
      <c r="H2599" s="93" t="e">
        <v>#N/A</v>
      </c>
      <c r="I2599" s="105" t="s">
        <v>2310</v>
      </c>
      <c r="J2599" s="93" t="s">
        <v>189</v>
      </c>
      <c r="K2599" s="93">
        <v>108</v>
      </c>
      <c r="L2599" s="93">
        <v>108</v>
      </c>
      <c r="M2599" s="93" t="s">
        <v>2311</v>
      </c>
      <c r="N2599" s="93">
        <f>VLOOKUP(B2599,'[16]01.수집 카테고리(List)'!$A$2:$H$64,8,FALSE)</f>
        <v>99991231</v>
      </c>
      <c r="O2599" s="93" t="s">
        <v>646</v>
      </c>
    </row>
    <row r="2600" spans="1:15" hidden="1">
      <c r="A2600" s="75" t="str">
        <f t="shared" si="96"/>
        <v>SGCOURTSWireless HeadsetWireless EarbudsWireless Earbuds</v>
      </c>
      <c r="B2600" s="94" t="str">
        <f t="shared" si="97"/>
        <v>SG_COURTS</v>
      </c>
      <c r="C2600" s="93" t="s">
        <v>211</v>
      </c>
      <c r="D2600" s="93" t="s">
        <v>212</v>
      </c>
      <c r="E2600" s="93" t="s">
        <v>2373</v>
      </c>
      <c r="F2600" s="93" t="s">
        <v>2760</v>
      </c>
      <c r="G2600" s="93" t="s">
        <v>2760</v>
      </c>
      <c r="H2600" s="93" t="e">
        <v>#N/A</v>
      </c>
      <c r="I2600" s="105" t="s">
        <v>2310</v>
      </c>
      <c r="J2600" s="93" t="s">
        <v>189</v>
      </c>
      <c r="K2600" s="93">
        <v>193</v>
      </c>
      <c r="L2600" s="93">
        <v>193</v>
      </c>
      <c r="M2600" s="93" t="s">
        <v>2311</v>
      </c>
      <c r="N2600" s="93">
        <f>VLOOKUP(B2600,'[16]01.수집 카테고리(List)'!$A$2:$H$64,8,FALSE)</f>
        <v>99991231</v>
      </c>
      <c r="O2600" s="93" t="s">
        <v>646</v>
      </c>
    </row>
    <row r="2601" spans="1:15" s="111" customFormat="1" hidden="1">
      <c r="A2601" s="111" t="str">
        <f t="shared" si="96"/>
        <v>SGCOURTSMonitor4k monitor4k monitor</v>
      </c>
      <c r="B2601" s="112" t="str">
        <f t="shared" si="97"/>
        <v>SG_COURTS</v>
      </c>
      <c r="C2601" s="113" t="s">
        <v>211</v>
      </c>
      <c r="D2601" s="113" t="s">
        <v>212</v>
      </c>
      <c r="E2601" s="113" t="s">
        <v>2320</v>
      </c>
      <c r="F2601" s="113" t="s">
        <v>2321</v>
      </c>
      <c r="G2601" s="113" t="s">
        <v>2321</v>
      </c>
      <c r="H2601" s="93" t="e">
        <v>#N/A</v>
      </c>
      <c r="I2601" s="99">
        <v>46076</v>
      </c>
      <c r="J2601" s="83" t="s">
        <v>189</v>
      </c>
      <c r="K2601" s="113"/>
      <c r="L2601" s="113"/>
      <c r="M2601" s="113"/>
      <c r="N2601" s="113"/>
      <c r="O2601" s="113"/>
    </row>
    <row r="2602" spans="1:15" s="111" customFormat="1" hidden="1">
      <c r="A2602" s="111" t="str">
        <f t="shared" si="96"/>
        <v>SGCOURTSMonitorgaming monitorgaming monitor</v>
      </c>
      <c r="B2602" s="112" t="str">
        <f t="shared" si="97"/>
        <v>SG_COURTS</v>
      </c>
      <c r="C2602" s="113" t="s">
        <v>211</v>
      </c>
      <c r="D2602" s="113" t="s">
        <v>212</v>
      </c>
      <c r="E2602" s="113" t="s">
        <v>2320</v>
      </c>
      <c r="F2602" s="113" t="s">
        <v>2322</v>
      </c>
      <c r="G2602" s="113" t="s">
        <v>2322</v>
      </c>
      <c r="H2602" s="93" t="e">
        <v>#N/A</v>
      </c>
      <c r="I2602" s="99">
        <v>46076</v>
      </c>
      <c r="J2602" s="83" t="s">
        <v>189</v>
      </c>
      <c r="K2602" s="113"/>
      <c r="L2602" s="113"/>
      <c r="M2602" s="113"/>
      <c r="N2602" s="113"/>
      <c r="O2602" s="113"/>
    </row>
    <row r="2603" spans="1:15" s="111" customFormat="1" hidden="1">
      <c r="A2603" s="111" t="str">
        <f t="shared" si="96"/>
        <v>SGCOURTSMonitormonitormonitor</v>
      </c>
      <c r="B2603" s="112" t="str">
        <f t="shared" si="97"/>
        <v>SG_COURTS</v>
      </c>
      <c r="C2603" s="113" t="s">
        <v>211</v>
      </c>
      <c r="D2603" s="113" t="s">
        <v>212</v>
      </c>
      <c r="E2603" s="113" t="s">
        <v>2320</v>
      </c>
      <c r="F2603" s="113" t="s">
        <v>2323</v>
      </c>
      <c r="G2603" s="113" t="s">
        <v>2323</v>
      </c>
      <c r="H2603" s="93" t="e">
        <v>#N/A</v>
      </c>
      <c r="I2603" s="99">
        <v>46076</v>
      </c>
      <c r="J2603" s="83" t="s">
        <v>189</v>
      </c>
      <c r="K2603" s="113"/>
      <c r="L2603" s="113"/>
      <c r="M2603" s="113"/>
      <c r="N2603" s="113"/>
      <c r="O2603" s="113"/>
    </row>
    <row r="2604" spans="1:15" s="111" customFormat="1" hidden="1">
      <c r="A2604" s="111" t="str">
        <f t="shared" si="96"/>
        <v>SGCOURTSMonitoruhd monitoruhd monitor</v>
      </c>
      <c r="B2604" s="112" t="str">
        <f t="shared" si="97"/>
        <v>SG_COURTS</v>
      </c>
      <c r="C2604" s="113" t="s">
        <v>211</v>
      </c>
      <c r="D2604" s="113" t="s">
        <v>212</v>
      </c>
      <c r="E2604" s="113" t="s">
        <v>2320</v>
      </c>
      <c r="F2604" s="113" t="s">
        <v>2324</v>
      </c>
      <c r="G2604" s="113" t="s">
        <v>2324</v>
      </c>
      <c r="H2604" s="93" t="e">
        <v>#N/A</v>
      </c>
      <c r="I2604" s="99">
        <v>46076</v>
      </c>
      <c r="J2604" s="83" t="s">
        <v>189</v>
      </c>
      <c r="K2604" s="113"/>
      <c r="L2604" s="113"/>
      <c r="M2604" s="113"/>
      <c r="N2604" s="113"/>
      <c r="O2604" s="113"/>
    </row>
    <row r="2605" spans="1:15" s="111" customFormat="1" hidden="1">
      <c r="A2605" s="111" t="str">
        <f t="shared" si="96"/>
        <v>SGCOURTSMonitorultrawide monitorultrawide monitor</v>
      </c>
      <c r="B2605" s="112" t="str">
        <f t="shared" si="97"/>
        <v>SG_COURTS</v>
      </c>
      <c r="C2605" s="113" t="s">
        <v>211</v>
      </c>
      <c r="D2605" s="113" t="s">
        <v>212</v>
      </c>
      <c r="E2605" s="113" t="s">
        <v>2320</v>
      </c>
      <c r="F2605" s="113" t="s">
        <v>2325</v>
      </c>
      <c r="G2605" s="113" t="s">
        <v>2325</v>
      </c>
      <c r="H2605" s="93" t="e">
        <v>#N/A</v>
      </c>
      <c r="I2605" s="99">
        <v>46076</v>
      </c>
      <c r="J2605" s="83" t="s">
        <v>189</v>
      </c>
      <c r="K2605" s="113"/>
      <c r="L2605" s="113"/>
      <c r="M2605" s="113"/>
      <c r="N2605" s="113"/>
      <c r="O2605" s="113"/>
    </row>
    <row r="2606" spans="1:15" hidden="1">
      <c r="A2606" s="75" t="str">
        <f t="shared" si="96"/>
        <v>SGHARVEYNORMANAir Cleanerair cleanerair cleaner</v>
      </c>
      <c r="B2606" s="94" t="str">
        <f t="shared" si="97"/>
        <v>SG_HARVEYNORMAN</v>
      </c>
      <c r="C2606" s="93" t="s">
        <v>211</v>
      </c>
      <c r="D2606" s="93" t="s">
        <v>202</v>
      </c>
      <c r="E2606" s="93" t="s">
        <v>2342</v>
      </c>
      <c r="F2606" s="93" t="s">
        <v>3481</v>
      </c>
      <c r="G2606" s="93" t="s">
        <v>3481</v>
      </c>
      <c r="H2606" s="93" t="e">
        <v>#N/A</v>
      </c>
      <c r="I2606" s="105" t="s">
        <v>2310</v>
      </c>
      <c r="J2606" s="93" t="s">
        <v>189</v>
      </c>
      <c r="K2606" s="93">
        <v>910</v>
      </c>
      <c r="L2606" s="93">
        <v>910</v>
      </c>
      <c r="M2606" s="93" t="s">
        <v>2311</v>
      </c>
      <c r="N2606" s="93">
        <f>VLOOKUP(B2606,'[16]01.수집 카테고리(List)'!$A$2:$H$64,8,FALSE)</f>
        <v>99991231</v>
      </c>
      <c r="O2606" s="93" t="s">
        <v>646</v>
      </c>
    </row>
    <row r="2607" spans="1:15" hidden="1">
      <c r="A2607" s="75" t="str">
        <f t="shared" si="96"/>
        <v>SGHARVEYNORMANAir Cleanerair purifierair purifier</v>
      </c>
      <c r="B2607" s="94" t="str">
        <f t="shared" si="97"/>
        <v>SG_HARVEYNORMAN</v>
      </c>
      <c r="C2607" s="93" t="s">
        <v>211</v>
      </c>
      <c r="D2607" s="93" t="s">
        <v>202</v>
      </c>
      <c r="E2607" s="93" t="s">
        <v>2342</v>
      </c>
      <c r="F2607" s="93" t="s">
        <v>2869</v>
      </c>
      <c r="G2607" s="93" t="s">
        <v>2869</v>
      </c>
      <c r="H2607" s="93" t="e">
        <v>#N/A</v>
      </c>
      <c r="I2607" s="105" t="s">
        <v>2310</v>
      </c>
      <c r="J2607" s="93" t="s">
        <v>189</v>
      </c>
      <c r="K2607" s="93">
        <v>39</v>
      </c>
      <c r="L2607" s="93">
        <v>39</v>
      </c>
      <c r="M2607" s="93" t="s">
        <v>2311</v>
      </c>
      <c r="N2607" s="93">
        <f>VLOOKUP(B2607,'[16]01.수집 카테고리(List)'!$A$2:$H$64,8,FALSE)</f>
        <v>99991231</v>
      </c>
      <c r="O2607" s="93" t="s">
        <v>646</v>
      </c>
    </row>
    <row r="2608" spans="1:15" hidden="1">
      <c r="A2608" s="75" t="str">
        <f t="shared" si="96"/>
        <v>SGHARVEYNORMANAir Cleanerair treatmentair treatment</v>
      </c>
      <c r="B2608" s="94" t="str">
        <f t="shared" si="97"/>
        <v>SG_HARVEYNORMAN</v>
      </c>
      <c r="C2608" s="93" t="s">
        <v>211</v>
      </c>
      <c r="D2608" s="93" t="s">
        <v>202</v>
      </c>
      <c r="E2608" s="93" t="s">
        <v>2342</v>
      </c>
      <c r="F2608" s="93" t="s">
        <v>3482</v>
      </c>
      <c r="G2608" s="93" t="s">
        <v>3482</v>
      </c>
      <c r="H2608" s="93" t="e">
        <v>#N/A</v>
      </c>
      <c r="I2608" s="105" t="s">
        <v>2310</v>
      </c>
      <c r="J2608" s="93" t="s">
        <v>189</v>
      </c>
      <c r="K2608" s="93">
        <v>1</v>
      </c>
      <c r="L2608" s="93">
        <v>1</v>
      </c>
      <c r="M2608" s="93" t="s">
        <v>2311</v>
      </c>
      <c r="N2608" s="93">
        <f>VLOOKUP(B2608,'[16]01.수집 카테고리(List)'!$A$2:$H$64,8,FALSE)</f>
        <v>99991231</v>
      </c>
      <c r="O2608" s="93" t="s">
        <v>646</v>
      </c>
    </row>
    <row r="2609" spans="1:15" hidden="1">
      <c r="A2609" s="75" t="str">
        <f t="shared" si="96"/>
        <v>SGHARVEYNORMANBluetooth Speakerbluetooth speakerbluetooth speaker</v>
      </c>
      <c r="B2609" s="94" t="str">
        <f t="shared" si="97"/>
        <v>SG_HARVEYNORMAN</v>
      </c>
      <c r="C2609" s="93" t="s">
        <v>211</v>
      </c>
      <c r="D2609" s="93" t="s">
        <v>202</v>
      </c>
      <c r="E2609" s="93" t="s">
        <v>2307</v>
      </c>
      <c r="F2609" s="93" t="s">
        <v>2657</v>
      </c>
      <c r="G2609" s="93" t="s">
        <v>2657</v>
      </c>
      <c r="H2609" s="93" t="e">
        <v>#N/A</v>
      </c>
      <c r="I2609" s="105" t="s">
        <v>2310</v>
      </c>
      <c r="J2609" s="93" t="s">
        <v>189</v>
      </c>
      <c r="K2609" s="93">
        <v>75</v>
      </c>
      <c r="L2609" s="93">
        <v>75</v>
      </c>
      <c r="M2609" s="93" t="s">
        <v>2311</v>
      </c>
      <c r="N2609" s="93">
        <f>VLOOKUP(B2609,'[16]01.수집 카테고리(List)'!$A$2:$H$64,8,FALSE)</f>
        <v>99991231</v>
      </c>
      <c r="O2609" s="93" t="s">
        <v>646</v>
      </c>
    </row>
    <row r="2610" spans="1:15" hidden="1">
      <c r="A2610" s="75" t="str">
        <f t="shared" si="96"/>
        <v>SGHARVEYNORMANBluetooth Speakerportable speakerportable speaker</v>
      </c>
      <c r="B2610" s="94" t="str">
        <f t="shared" si="97"/>
        <v>SG_HARVEYNORMAN</v>
      </c>
      <c r="C2610" s="93" t="s">
        <v>211</v>
      </c>
      <c r="D2610" s="93" t="s">
        <v>202</v>
      </c>
      <c r="E2610" s="93" t="s">
        <v>2307</v>
      </c>
      <c r="F2610" s="93" t="s">
        <v>2875</v>
      </c>
      <c r="G2610" s="93" t="s">
        <v>2875</v>
      </c>
      <c r="H2610" s="93" t="e">
        <v>#N/A</v>
      </c>
      <c r="I2610" s="105" t="s">
        <v>2310</v>
      </c>
      <c r="J2610" s="93" t="s">
        <v>189</v>
      </c>
      <c r="K2610" s="93">
        <v>131</v>
      </c>
      <c r="L2610" s="93">
        <v>131</v>
      </c>
      <c r="M2610" s="93" t="s">
        <v>2311</v>
      </c>
      <c r="N2610" s="93">
        <f>VLOOKUP(B2610,'[16]01.수집 카테고리(List)'!$A$2:$H$64,8,FALSE)</f>
        <v>99991231</v>
      </c>
      <c r="O2610" s="93" t="s">
        <v>646</v>
      </c>
    </row>
    <row r="2611" spans="1:15" hidden="1">
      <c r="A2611" s="75" t="str">
        <f t="shared" si="96"/>
        <v>SGHARVEYNORMANBluetooth Speakersmart speakersmart speaker</v>
      </c>
      <c r="B2611" s="94" t="str">
        <f t="shared" si="97"/>
        <v>SG_HARVEYNORMAN</v>
      </c>
      <c r="C2611" s="93" t="s">
        <v>211</v>
      </c>
      <c r="D2611" s="93" t="s">
        <v>202</v>
      </c>
      <c r="E2611" s="93" t="s">
        <v>2307</v>
      </c>
      <c r="F2611" s="93" t="s">
        <v>3464</v>
      </c>
      <c r="G2611" s="93" t="s">
        <v>3464</v>
      </c>
      <c r="H2611" s="93" t="e">
        <v>#N/A</v>
      </c>
      <c r="I2611" s="105" t="s">
        <v>2310</v>
      </c>
      <c r="J2611" s="93" t="s">
        <v>189</v>
      </c>
      <c r="K2611" s="93">
        <v>8</v>
      </c>
      <c r="L2611" s="93">
        <v>8</v>
      </c>
      <c r="M2611" s="93" t="s">
        <v>2311</v>
      </c>
      <c r="N2611" s="93">
        <f>VLOOKUP(B2611,'[16]01.수집 카테고리(List)'!$A$2:$H$64,8,FALSE)</f>
        <v>99991231</v>
      </c>
      <c r="O2611" s="93" t="s">
        <v>646</v>
      </c>
    </row>
    <row r="2612" spans="1:15" hidden="1">
      <c r="A2612" s="75" t="str">
        <f t="shared" si="96"/>
        <v>SGHARVEYNORMANBluetooth Speakerwireless speakerwireless speaker</v>
      </c>
      <c r="B2612" s="94" t="str">
        <f t="shared" si="97"/>
        <v>SG_HARVEYNORMAN</v>
      </c>
      <c r="C2612" s="93" t="s">
        <v>211</v>
      </c>
      <c r="D2612" s="93" t="s">
        <v>202</v>
      </c>
      <c r="E2612" s="93" t="s">
        <v>2307</v>
      </c>
      <c r="F2612" s="93" t="s">
        <v>2877</v>
      </c>
      <c r="G2612" s="93" t="s">
        <v>2877</v>
      </c>
      <c r="H2612" s="93" t="e">
        <v>#N/A</v>
      </c>
      <c r="I2612" s="105" t="s">
        <v>2310</v>
      </c>
      <c r="J2612" s="93" t="s">
        <v>189</v>
      </c>
      <c r="K2612" s="93">
        <v>42</v>
      </c>
      <c r="L2612" s="93">
        <v>42</v>
      </c>
      <c r="M2612" s="93" t="s">
        <v>2311</v>
      </c>
      <c r="N2612" s="93">
        <f>VLOOKUP(B2612,'[16]01.수집 카테고리(List)'!$A$2:$H$64,8,FALSE)</f>
        <v>99991231</v>
      </c>
      <c r="O2612" s="93" t="s">
        <v>646</v>
      </c>
    </row>
    <row r="2613" spans="1:15" hidden="1">
      <c r="A2613" s="75" t="str">
        <f t="shared" si="96"/>
        <v>SGHARVEYNORMANBluetooth Speakerportable bluetooth speakerportable bluetooth speaker</v>
      </c>
      <c r="B2613" s="94" t="str">
        <f t="shared" si="97"/>
        <v>SG_HARVEYNORMAN</v>
      </c>
      <c r="C2613" s="93" t="s">
        <v>211</v>
      </c>
      <c r="D2613" s="93" t="s">
        <v>202</v>
      </c>
      <c r="E2613" s="93" t="s">
        <v>2307</v>
      </c>
      <c r="F2613" s="93" t="s">
        <v>3070</v>
      </c>
      <c r="G2613" s="93" t="s">
        <v>3070</v>
      </c>
      <c r="H2613" s="93" t="e">
        <v>#N/A</v>
      </c>
      <c r="I2613" s="105" t="s">
        <v>2310</v>
      </c>
      <c r="J2613" s="93" t="s">
        <v>189</v>
      </c>
      <c r="K2613" s="93">
        <v>6172</v>
      </c>
      <c r="L2613" s="93">
        <v>69</v>
      </c>
      <c r="M2613" s="93" t="s">
        <v>2311</v>
      </c>
      <c r="N2613" s="93">
        <f>VLOOKUP(B2613,'[16]01.수집 카테고리(List)'!$A$2:$H$64,8,FALSE)</f>
        <v>99991231</v>
      </c>
      <c r="O2613" s="93" t="s">
        <v>646</v>
      </c>
    </row>
    <row r="2614" spans="1:15" hidden="1">
      <c r="A2614" s="75" t="str">
        <f t="shared" si="96"/>
        <v>SGHARVEYNORMANCordless stick vacuumCordless stick vacuumcordless stick vacuum</v>
      </c>
      <c r="B2614" s="94" t="str">
        <f t="shared" si="97"/>
        <v>SG_HARVEYNORMAN</v>
      </c>
      <c r="C2614" s="93" t="s">
        <v>211</v>
      </c>
      <c r="D2614" s="93" t="s">
        <v>202</v>
      </c>
      <c r="E2614" s="93" t="s">
        <v>2435</v>
      </c>
      <c r="F2614" s="93" t="s">
        <v>2435</v>
      </c>
      <c r="G2614" s="93" t="s">
        <v>2436</v>
      </c>
      <c r="H2614" s="93" t="e">
        <v>#N/A</v>
      </c>
      <c r="I2614" s="105" t="s">
        <v>2310</v>
      </c>
      <c r="J2614" s="93" t="s">
        <v>189</v>
      </c>
      <c r="K2614" s="93">
        <v>104</v>
      </c>
      <c r="L2614" s="93">
        <v>104</v>
      </c>
      <c r="M2614" s="93" t="s">
        <v>2311</v>
      </c>
      <c r="N2614" s="93">
        <f>VLOOKUP(B2614,'[16]01.수집 카테고리(List)'!$A$2:$H$64,8,FALSE)</f>
        <v>99991231</v>
      </c>
      <c r="O2614" s="93" t="s">
        <v>646</v>
      </c>
    </row>
    <row r="2615" spans="1:15" hidden="1">
      <c r="A2615" s="75" t="str">
        <f t="shared" si="96"/>
        <v>SGHARVEYNORMANCordless stick vacuumCordless stick vacuumhand vacuum</v>
      </c>
      <c r="B2615" s="94" t="str">
        <f t="shared" si="97"/>
        <v>SG_HARVEYNORMAN</v>
      </c>
      <c r="C2615" s="93" t="s">
        <v>211</v>
      </c>
      <c r="D2615" s="93" t="s">
        <v>202</v>
      </c>
      <c r="E2615" s="93" t="s">
        <v>2435</v>
      </c>
      <c r="F2615" s="93" t="s">
        <v>2435</v>
      </c>
      <c r="G2615" s="93" t="s">
        <v>3465</v>
      </c>
      <c r="H2615" s="93" t="e">
        <v>#N/A</v>
      </c>
      <c r="I2615" s="105" t="s">
        <v>2310</v>
      </c>
      <c r="J2615" s="93" t="s">
        <v>189</v>
      </c>
      <c r="K2615" s="93">
        <v>186</v>
      </c>
      <c r="L2615" s="93">
        <v>104</v>
      </c>
      <c r="M2615" s="93" t="s">
        <v>2311</v>
      </c>
      <c r="N2615" s="93">
        <f>VLOOKUP(B2615,'[16]01.수집 카테고리(List)'!$A$2:$H$64,8,FALSE)</f>
        <v>99991231</v>
      </c>
      <c r="O2615" s="93" t="s">
        <v>646</v>
      </c>
    </row>
    <row r="2616" spans="1:15" hidden="1">
      <c r="A2616" s="75" t="str">
        <f t="shared" si="96"/>
        <v>SGHARVEYNORMANCordless stick vacuumCordless stick vacuumHandheld Vacuum Cleaner</v>
      </c>
      <c r="B2616" s="94" t="str">
        <f t="shared" si="97"/>
        <v>SG_HARVEYNORMAN</v>
      </c>
      <c r="C2616" s="93" t="s">
        <v>211</v>
      </c>
      <c r="D2616" s="93" t="s">
        <v>202</v>
      </c>
      <c r="E2616" s="93" t="s">
        <v>2435</v>
      </c>
      <c r="F2616" s="93" t="s">
        <v>2435</v>
      </c>
      <c r="G2616" s="93" t="s">
        <v>3466</v>
      </c>
      <c r="H2616" s="93" t="e">
        <v>#N/A</v>
      </c>
      <c r="I2616" s="105" t="s">
        <v>2310</v>
      </c>
      <c r="J2616" s="93" t="s">
        <v>189</v>
      </c>
      <c r="K2616" s="93" t="e">
        <v>#N/A</v>
      </c>
      <c r="L2616" s="93">
        <v>104</v>
      </c>
      <c r="M2616" s="93" t="s">
        <v>2351</v>
      </c>
      <c r="N2616" s="93">
        <f>VLOOKUP(B2616,'[16]01.수집 카테고리(List)'!$A$2:$H$64,8,FALSE)</f>
        <v>99991231</v>
      </c>
      <c r="O2616" s="93" t="s">
        <v>646</v>
      </c>
    </row>
    <row r="2617" spans="1:15" hidden="1">
      <c r="A2617" s="75" t="str">
        <f t="shared" si="96"/>
        <v>SGHARVEYNORMANCordless stick vacuumCordless stick vacuumvacuum cleaner</v>
      </c>
      <c r="B2617" s="94" t="str">
        <f t="shared" si="97"/>
        <v>SG_HARVEYNORMAN</v>
      </c>
      <c r="C2617" s="93" t="s">
        <v>211</v>
      </c>
      <c r="D2617" s="93" t="s">
        <v>202</v>
      </c>
      <c r="E2617" s="93" t="s">
        <v>2435</v>
      </c>
      <c r="F2617" s="93" t="s">
        <v>2435</v>
      </c>
      <c r="G2617" s="93" t="s">
        <v>2882</v>
      </c>
      <c r="H2617" s="93" t="e">
        <v>#N/A</v>
      </c>
      <c r="I2617" s="105" t="s">
        <v>2310</v>
      </c>
      <c r="J2617" s="93" t="s">
        <v>189</v>
      </c>
      <c r="K2617" s="93">
        <v>125</v>
      </c>
      <c r="L2617" s="93">
        <v>104</v>
      </c>
      <c r="M2617" s="93" t="s">
        <v>2311</v>
      </c>
      <c r="N2617" s="93">
        <f>VLOOKUP(B2617,'[16]01.수집 카테고리(List)'!$A$2:$H$64,8,FALSE)</f>
        <v>99991231</v>
      </c>
      <c r="O2617" s="93" t="s">
        <v>646</v>
      </c>
    </row>
    <row r="2618" spans="1:15" hidden="1">
      <c r="A2618" s="75" t="str">
        <f t="shared" si="96"/>
        <v>SGHARVEYNORMANDishwasherDishwasherDishwasher</v>
      </c>
      <c r="B2618" s="94" t="str">
        <f t="shared" si="97"/>
        <v>SG_HARVEYNORMAN</v>
      </c>
      <c r="C2618" s="93" t="s">
        <v>211</v>
      </c>
      <c r="D2618" s="93" t="s">
        <v>202</v>
      </c>
      <c r="E2618" s="93" t="s">
        <v>2440</v>
      </c>
      <c r="F2618" s="93" t="s">
        <v>2440</v>
      </c>
      <c r="G2618" s="93" t="s">
        <v>2440</v>
      </c>
      <c r="H2618" s="93" t="e">
        <v>#N/A</v>
      </c>
      <c r="I2618" s="105" t="s">
        <v>2310</v>
      </c>
      <c r="J2618" s="93" t="s">
        <v>189</v>
      </c>
      <c r="K2618" s="93">
        <v>68</v>
      </c>
      <c r="L2618" s="93">
        <v>68</v>
      </c>
      <c r="M2618" s="93" t="s">
        <v>2311</v>
      </c>
      <c r="N2618" s="93">
        <f>VLOOKUP(B2618,'[16]01.수집 카테고리(List)'!$A$2:$H$64,8,FALSE)</f>
        <v>99991231</v>
      </c>
      <c r="O2618" s="93" t="s">
        <v>646</v>
      </c>
    </row>
    <row r="2619" spans="1:15" hidden="1">
      <c r="A2619" s="75" t="str">
        <f t="shared" si="96"/>
        <v>SGHARVEYNORMANDishwasherFreestanding dishwasherFreestanding dishwasher</v>
      </c>
      <c r="B2619" s="94" t="str">
        <f t="shared" si="97"/>
        <v>SG_HARVEYNORMAN</v>
      </c>
      <c r="C2619" s="93" t="s">
        <v>211</v>
      </c>
      <c r="D2619" s="93" t="s">
        <v>202</v>
      </c>
      <c r="E2619" s="93" t="s">
        <v>2440</v>
      </c>
      <c r="F2619" s="93" t="s">
        <v>3467</v>
      </c>
      <c r="G2619" s="93" t="s">
        <v>3467</v>
      </c>
      <c r="H2619" s="93" t="e">
        <v>#N/A</v>
      </c>
      <c r="I2619" s="105" t="s">
        <v>2310</v>
      </c>
      <c r="J2619" s="93" t="s">
        <v>189</v>
      </c>
      <c r="K2619" s="93">
        <v>3998</v>
      </c>
      <c r="L2619" s="93">
        <v>3998</v>
      </c>
      <c r="M2619" s="93" t="s">
        <v>2311</v>
      </c>
      <c r="N2619" s="93">
        <f>VLOOKUP(B2619,'[16]01.수집 카테고리(List)'!$A$2:$H$64,8,FALSE)</f>
        <v>99991231</v>
      </c>
      <c r="O2619" s="93" t="s">
        <v>646</v>
      </c>
    </row>
    <row r="2620" spans="1:15" hidden="1">
      <c r="A2620" s="75" t="str">
        <f t="shared" si="96"/>
        <v>SGHARVEYNORMANDishwasherSteam dishwasherSteam dishwasher</v>
      </c>
      <c r="B2620" s="94" t="str">
        <f t="shared" si="97"/>
        <v>SG_HARVEYNORMAN</v>
      </c>
      <c r="C2620" s="93" t="s">
        <v>211</v>
      </c>
      <c r="D2620" s="93" t="s">
        <v>202</v>
      </c>
      <c r="E2620" s="93" t="s">
        <v>2440</v>
      </c>
      <c r="F2620" s="93" t="s">
        <v>3483</v>
      </c>
      <c r="G2620" s="93" t="s">
        <v>3483</v>
      </c>
      <c r="H2620" s="93" t="e">
        <v>#N/A</v>
      </c>
      <c r="I2620" s="105" t="s">
        <v>2310</v>
      </c>
      <c r="J2620" s="93" t="s">
        <v>189</v>
      </c>
      <c r="K2620" s="93">
        <v>380</v>
      </c>
      <c r="L2620" s="93">
        <v>380</v>
      </c>
      <c r="M2620" s="93" t="s">
        <v>2311</v>
      </c>
      <c r="N2620" s="93">
        <f>VLOOKUP(B2620,'[16]01.수집 카테고리(List)'!$A$2:$H$64,8,FALSE)</f>
        <v>99991231</v>
      </c>
      <c r="O2620" s="93" t="s">
        <v>646</v>
      </c>
    </row>
    <row r="2621" spans="1:15" hidden="1">
      <c r="A2621" s="75" t="str">
        <f t="shared" si="96"/>
        <v>SGHARVEYNORMANDryerClothes dryerClothes dryer</v>
      </c>
      <c r="B2621" s="94" t="str">
        <f t="shared" si="97"/>
        <v>SG_HARVEYNORMAN</v>
      </c>
      <c r="C2621" s="93" t="s">
        <v>211</v>
      </c>
      <c r="D2621" s="93" t="s">
        <v>202</v>
      </c>
      <c r="E2621" s="93" t="s">
        <v>2431</v>
      </c>
      <c r="F2621" s="93" t="s">
        <v>3469</v>
      </c>
      <c r="G2621" s="93" t="s">
        <v>3469</v>
      </c>
      <c r="H2621" s="93" t="e">
        <v>#N/A</v>
      </c>
      <c r="I2621" s="105" t="s">
        <v>2310</v>
      </c>
      <c r="J2621" s="93" t="s">
        <v>189</v>
      </c>
      <c r="K2621" s="93">
        <v>32</v>
      </c>
      <c r="L2621" s="93">
        <v>32</v>
      </c>
      <c r="M2621" s="93" t="s">
        <v>2311</v>
      </c>
      <c r="N2621" s="93">
        <f>VLOOKUP(B2621,'[16]01.수집 카테고리(List)'!$A$2:$H$64,8,FALSE)</f>
        <v>99991231</v>
      </c>
      <c r="O2621" s="93" t="s">
        <v>646</v>
      </c>
    </row>
    <row r="2622" spans="1:15" hidden="1">
      <c r="A2622" s="75" t="str">
        <f t="shared" si="96"/>
        <v>SGHARVEYNORMANDryercondenser dryercondenser dryer</v>
      </c>
      <c r="B2622" s="94" t="str">
        <f t="shared" si="97"/>
        <v>SG_HARVEYNORMAN</v>
      </c>
      <c r="C2622" s="93" t="s">
        <v>211</v>
      </c>
      <c r="D2622" s="93" t="s">
        <v>202</v>
      </c>
      <c r="E2622" s="93" t="s">
        <v>2431</v>
      </c>
      <c r="F2622" s="93" t="s">
        <v>3484</v>
      </c>
      <c r="G2622" s="93" t="s">
        <v>3484</v>
      </c>
      <c r="H2622" s="93" t="e">
        <v>#N/A</v>
      </c>
      <c r="I2622" s="105" t="s">
        <v>2310</v>
      </c>
      <c r="J2622" s="93" t="s">
        <v>189</v>
      </c>
      <c r="K2622" s="93">
        <v>33</v>
      </c>
      <c r="L2622" s="93">
        <v>33</v>
      </c>
      <c r="M2622" s="93" t="s">
        <v>2311</v>
      </c>
      <c r="N2622" s="93">
        <f>VLOOKUP(B2622,'[16]01.수집 카테고리(List)'!$A$2:$H$64,8,FALSE)</f>
        <v>99991231</v>
      </c>
      <c r="O2622" s="93" t="s">
        <v>646</v>
      </c>
    </row>
    <row r="2623" spans="1:15" hidden="1">
      <c r="A2623" s="75" t="str">
        <f t="shared" si="96"/>
        <v>SGHARVEYNORMANDryerdryerdryer</v>
      </c>
      <c r="B2623" s="94" t="str">
        <f t="shared" si="97"/>
        <v>SG_HARVEYNORMAN</v>
      </c>
      <c r="C2623" s="93" t="s">
        <v>211</v>
      </c>
      <c r="D2623" s="93" t="s">
        <v>202</v>
      </c>
      <c r="E2623" s="93" t="s">
        <v>2431</v>
      </c>
      <c r="F2623" s="93" t="s">
        <v>2927</v>
      </c>
      <c r="G2623" s="93" t="s">
        <v>2927</v>
      </c>
      <c r="H2623" s="93" t="e">
        <v>#N/A</v>
      </c>
      <c r="I2623" s="105" t="s">
        <v>2310</v>
      </c>
      <c r="J2623" s="93" t="s">
        <v>189</v>
      </c>
      <c r="K2623" s="93">
        <v>13</v>
      </c>
      <c r="L2623" s="93">
        <v>13</v>
      </c>
      <c r="M2623" s="93" t="s">
        <v>2311</v>
      </c>
      <c r="N2623" s="93">
        <f>VLOOKUP(B2623,'[16]01.수집 카테고리(List)'!$A$2:$H$64,8,FALSE)</f>
        <v>99991231</v>
      </c>
      <c r="O2623" s="93" t="s">
        <v>646</v>
      </c>
    </row>
    <row r="2624" spans="1:15" hidden="1">
      <c r="A2624" s="75" t="str">
        <f t="shared" si="96"/>
        <v>SGHARVEYNORMANDryerHeat pump dryerHeat pump dryer</v>
      </c>
      <c r="B2624" s="94" t="str">
        <f t="shared" si="97"/>
        <v>SG_HARVEYNORMAN</v>
      </c>
      <c r="C2624" s="93" t="s">
        <v>211</v>
      </c>
      <c r="D2624" s="93" t="s">
        <v>202</v>
      </c>
      <c r="E2624" s="93" t="s">
        <v>2431</v>
      </c>
      <c r="F2624" s="93" t="s">
        <v>3472</v>
      </c>
      <c r="G2624" s="93" t="s">
        <v>3472</v>
      </c>
      <c r="H2624" s="93" t="e">
        <v>#N/A</v>
      </c>
      <c r="I2624" s="105" t="s">
        <v>2310</v>
      </c>
      <c r="J2624" s="93" t="s">
        <v>189</v>
      </c>
      <c r="K2624" s="93">
        <v>4</v>
      </c>
      <c r="L2624" s="93">
        <v>4</v>
      </c>
      <c r="M2624" s="93" t="s">
        <v>2311</v>
      </c>
      <c r="N2624" s="93">
        <f>VLOOKUP(B2624,'[16]01.수집 카테고리(List)'!$A$2:$H$64,8,FALSE)</f>
        <v>99991231</v>
      </c>
      <c r="O2624" s="93" t="s">
        <v>646</v>
      </c>
    </row>
    <row r="2625" spans="1:15" hidden="1">
      <c r="A2625" s="75" t="str">
        <f t="shared" si="96"/>
        <v>SGHARVEYNORMANLaptop14 in laptop14in laptop</v>
      </c>
      <c r="B2625" s="94" t="str">
        <f t="shared" si="97"/>
        <v>SG_HARVEYNORMAN</v>
      </c>
      <c r="C2625" s="93" t="s">
        <v>211</v>
      </c>
      <c r="D2625" s="93" t="s">
        <v>202</v>
      </c>
      <c r="E2625" s="93" t="s">
        <v>2407</v>
      </c>
      <c r="F2625" s="93" t="s">
        <v>3485</v>
      </c>
      <c r="G2625" s="93" t="s">
        <v>3486</v>
      </c>
      <c r="H2625" s="93" t="e">
        <v>#N/A</v>
      </c>
      <c r="I2625" s="105" t="s">
        <v>2310</v>
      </c>
      <c r="J2625" s="93" t="s">
        <v>189</v>
      </c>
      <c r="K2625" s="93">
        <v>60</v>
      </c>
      <c r="L2625" s="93" t="e">
        <v>#N/A</v>
      </c>
      <c r="M2625" s="93" t="s">
        <v>2311</v>
      </c>
      <c r="N2625" s="93">
        <f>VLOOKUP(B2625,'[16]01.수집 카테고리(List)'!$A$2:$H$64,8,FALSE)</f>
        <v>99991231</v>
      </c>
      <c r="O2625" s="93" t="s">
        <v>646</v>
      </c>
    </row>
    <row r="2626" spans="1:15" hidden="1">
      <c r="A2626" s="75" t="str">
        <f t="shared" si="96"/>
        <v>SGHARVEYNORMANLaptop15inch Laptop14in laptop</v>
      </c>
      <c r="B2626" s="94" t="str">
        <f t="shared" si="97"/>
        <v>SG_HARVEYNORMAN</v>
      </c>
      <c r="C2626" s="93" t="s">
        <v>211</v>
      </c>
      <c r="D2626" s="93" t="s">
        <v>202</v>
      </c>
      <c r="E2626" s="93" t="s">
        <v>2407</v>
      </c>
      <c r="F2626" s="93" t="s">
        <v>2408</v>
      </c>
      <c r="G2626" s="93" t="s">
        <v>3486</v>
      </c>
      <c r="H2626" s="93" t="e">
        <v>#N/A</v>
      </c>
      <c r="I2626" s="105" t="s">
        <v>2310</v>
      </c>
      <c r="J2626" s="93" t="s">
        <v>189</v>
      </c>
      <c r="K2626" s="93">
        <v>60</v>
      </c>
      <c r="L2626" s="93">
        <v>814</v>
      </c>
      <c r="M2626" s="93" t="s">
        <v>2311</v>
      </c>
      <c r="N2626" s="93">
        <f>VLOOKUP(B2626,'[16]01.수집 카테고리(List)'!$A$2:$H$64,8,FALSE)</f>
        <v>99991231</v>
      </c>
      <c r="O2626" s="93" t="s">
        <v>646</v>
      </c>
    </row>
    <row r="2627" spans="1:15" hidden="1">
      <c r="A2627" s="75" t="str">
        <f t="shared" si="96"/>
        <v>SGHARVEYNORMANLaptopLightweight Laptop15in laptop</v>
      </c>
      <c r="B2627" s="94" t="str">
        <f t="shared" si="97"/>
        <v>SG_HARVEYNORMAN</v>
      </c>
      <c r="C2627" s="93" t="s">
        <v>211</v>
      </c>
      <c r="D2627" s="93" t="s">
        <v>202</v>
      </c>
      <c r="E2627" s="93" t="s">
        <v>2407</v>
      </c>
      <c r="F2627" s="93" t="s">
        <v>2411</v>
      </c>
      <c r="G2627" s="93" t="s">
        <v>3487</v>
      </c>
      <c r="H2627" s="93" t="e">
        <v>#N/A</v>
      </c>
      <c r="I2627" s="105" t="s">
        <v>2310</v>
      </c>
      <c r="J2627" s="93" t="s">
        <v>189</v>
      </c>
      <c r="K2627" s="93">
        <v>57</v>
      </c>
      <c r="L2627" s="93">
        <v>57</v>
      </c>
      <c r="M2627" s="93" t="s">
        <v>2311</v>
      </c>
      <c r="N2627" s="93">
        <f>VLOOKUP(B2627,'[16]01.수집 카테고리(List)'!$A$2:$H$64,8,FALSE)</f>
        <v>99991231</v>
      </c>
      <c r="O2627" s="93" t="s">
        <v>646</v>
      </c>
    </row>
    <row r="2628" spans="1:15" hidden="1">
      <c r="A2628" s="75" t="str">
        <f t="shared" si="96"/>
        <v>SGHARVEYNORMANLaptop15inch Laptop15inch Laptop</v>
      </c>
      <c r="B2628" s="94" t="str">
        <f t="shared" si="97"/>
        <v>SG_HARVEYNORMAN</v>
      </c>
      <c r="C2628" s="93" t="s">
        <v>211</v>
      </c>
      <c r="D2628" s="93" t="s">
        <v>202</v>
      </c>
      <c r="E2628" s="93" t="s">
        <v>2407</v>
      </c>
      <c r="F2628" s="93" t="s">
        <v>2408</v>
      </c>
      <c r="G2628" s="93" t="s">
        <v>2408</v>
      </c>
      <c r="H2628" s="93" t="e">
        <v>#N/A</v>
      </c>
      <c r="I2628" s="105" t="s">
        <v>2310</v>
      </c>
      <c r="J2628" s="93" t="s">
        <v>189</v>
      </c>
      <c r="K2628" s="93">
        <v>814</v>
      </c>
      <c r="L2628" s="93">
        <v>814</v>
      </c>
      <c r="M2628" s="93" t="s">
        <v>2311</v>
      </c>
      <c r="N2628" s="93">
        <f>VLOOKUP(B2628,'[16]01.수집 카테고리(List)'!$A$2:$H$64,8,FALSE)</f>
        <v>99991231</v>
      </c>
      <c r="O2628" s="93" t="s">
        <v>646</v>
      </c>
    </row>
    <row r="2629" spans="1:15" hidden="1">
      <c r="A2629" s="75" t="str">
        <f t="shared" si="96"/>
        <v>SGHARVEYNORMANLaptop17inch Laptop17in laptop</v>
      </c>
      <c r="B2629" s="94" t="str">
        <f t="shared" si="97"/>
        <v>SG_HARVEYNORMAN</v>
      </c>
      <c r="C2629" s="93" t="s">
        <v>211</v>
      </c>
      <c r="D2629" s="93" t="s">
        <v>202</v>
      </c>
      <c r="E2629" s="93" t="s">
        <v>2407</v>
      </c>
      <c r="F2629" s="93" t="s">
        <v>2409</v>
      </c>
      <c r="G2629" s="93" t="s">
        <v>3488</v>
      </c>
      <c r="H2629" s="93" t="e">
        <v>#N/A</v>
      </c>
      <c r="I2629" s="105" t="s">
        <v>2310</v>
      </c>
      <c r="J2629" s="93" t="s">
        <v>189</v>
      </c>
      <c r="K2629" s="93">
        <v>55</v>
      </c>
      <c r="L2629" s="93">
        <v>798</v>
      </c>
      <c r="M2629" s="93" t="s">
        <v>2311</v>
      </c>
      <c r="N2629" s="93">
        <f>VLOOKUP(B2629,'[16]01.수집 카테고리(List)'!$A$2:$H$64,8,FALSE)</f>
        <v>99991231</v>
      </c>
      <c r="O2629" s="93" t="s">
        <v>646</v>
      </c>
    </row>
    <row r="2630" spans="1:15" hidden="1">
      <c r="A2630" s="75" t="str">
        <f t="shared" si="96"/>
        <v>SGHARVEYNORMANLaptop17inch Laptop17inch Laptop</v>
      </c>
      <c r="B2630" s="94" t="str">
        <f t="shared" si="97"/>
        <v>SG_HARVEYNORMAN</v>
      </c>
      <c r="C2630" s="93" t="s">
        <v>211</v>
      </c>
      <c r="D2630" s="93" t="s">
        <v>202</v>
      </c>
      <c r="E2630" s="93" t="s">
        <v>2407</v>
      </c>
      <c r="F2630" s="93" t="s">
        <v>2409</v>
      </c>
      <c r="G2630" s="93" t="s">
        <v>2409</v>
      </c>
      <c r="H2630" s="93" t="e">
        <v>#N/A</v>
      </c>
      <c r="I2630" s="105" t="s">
        <v>2310</v>
      </c>
      <c r="J2630" s="93" t="s">
        <v>189</v>
      </c>
      <c r="K2630" s="93">
        <v>798</v>
      </c>
      <c r="L2630" s="93">
        <v>798</v>
      </c>
      <c r="M2630" s="93" t="s">
        <v>2311</v>
      </c>
      <c r="N2630" s="93">
        <f>VLOOKUP(B2630,'[16]01.수집 카테고리(List)'!$A$2:$H$64,8,FALSE)</f>
        <v>99991231</v>
      </c>
      <c r="O2630" s="93" t="s">
        <v>646</v>
      </c>
    </row>
    <row r="2631" spans="1:15" hidden="1">
      <c r="A2631" s="75" t="str">
        <f t="shared" si="96"/>
        <v>SGHARVEYNORMANLaptopi7 laptopi7 laptop</v>
      </c>
      <c r="B2631" s="94" t="str">
        <f t="shared" si="97"/>
        <v>SG_HARVEYNORMAN</v>
      </c>
      <c r="C2631" s="93" t="s">
        <v>211</v>
      </c>
      <c r="D2631" s="93" t="s">
        <v>202</v>
      </c>
      <c r="E2631" s="93" t="s">
        <v>2407</v>
      </c>
      <c r="F2631" s="93" t="s">
        <v>2410</v>
      </c>
      <c r="G2631" s="93" t="s">
        <v>2410</v>
      </c>
      <c r="H2631" s="93" t="e">
        <v>#N/A</v>
      </c>
      <c r="I2631" s="105" t="s">
        <v>2310</v>
      </c>
      <c r="J2631" s="93" t="s">
        <v>189</v>
      </c>
      <c r="K2631" s="93">
        <v>1</v>
      </c>
      <c r="L2631" s="93">
        <v>1</v>
      </c>
      <c r="M2631" s="93" t="s">
        <v>2311</v>
      </c>
      <c r="N2631" s="93">
        <f>VLOOKUP(B2631,'[16]01.수집 카테고리(List)'!$A$2:$H$64,8,FALSE)</f>
        <v>99991231</v>
      </c>
      <c r="O2631" s="93" t="s">
        <v>646</v>
      </c>
    </row>
    <row r="2632" spans="1:15" hidden="1">
      <c r="A2632" s="75" t="str">
        <f t="shared" si="96"/>
        <v>SGHARVEYNORMANLaptopLaptopLaptop</v>
      </c>
      <c r="B2632" s="94" t="str">
        <f t="shared" si="97"/>
        <v>SG_HARVEYNORMAN</v>
      </c>
      <c r="C2632" s="93" t="s">
        <v>211</v>
      </c>
      <c r="D2632" s="93" t="s">
        <v>202</v>
      </c>
      <c r="E2632" s="93" t="s">
        <v>2407</v>
      </c>
      <c r="F2632" s="93" t="s">
        <v>2407</v>
      </c>
      <c r="G2632" s="93" t="s">
        <v>2407</v>
      </c>
      <c r="H2632" s="93" t="e">
        <v>#N/A</v>
      </c>
      <c r="I2632" s="105" t="s">
        <v>2310</v>
      </c>
      <c r="J2632" s="93" t="s">
        <v>189</v>
      </c>
      <c r="K2632" s="93">
        <v>70</v>
      </c>
      <c r="L2632" s="93">
        <v>70</v>
      </c>
      <c r="M2632" s="93" t="s">
        <v>2311</v>
      </c>
      <c r="N2632" s="93">
        <f>VLOOKUP(B2632,'[16]01.수집 카테고리(List)'!$A$2:$H$64,8,FALSE)</f>
        <v>99991231</v>
      </c>
      <c r="O2632" s="93" t="s">
        <v>646</v>
      </c>
    </row>
    <row r="2633" spans="1:15" hidden="1">
      <c r="A2633" s="75" t="str">
        <f t="shared" si="96"/>
        <v>SGHARVEYNORMANLaptopLightweight LaptopLightweight Laptop</v>
      </c>
      <c r="B2633" s="94" t="str">
        <f t="shared" si="97"/>
        <v>SG_HARVEYNORMAN</v>
      </c>
      <c r="C2633" s="93" t="s">
        <v>211</v>
      </c>
      <c r="D2633" s="93" t="s">
        <v>202</v>
      </c>
      <c r="E2633" s="93" t="s">
        <v>2407</v>
      </c>
      <c r="F2633" s="93" t="s">
        <v>2411</v>
      </c>
      <c r="G2633" s="93" t="s">
        <v>2411</v>
      </c>
      <c r="H2633" s="93" t="e">
        <v>#N/A</v>
      </c>
      <c r="I2633" s="105" t="s">
        <v>2310</v>
      </c>
      <c r="J2633" s="93" t="s">
        <v>189</v>
      </c>
      <c r="K2633" s="93">
        <v>57</v>
      </c>
      <c r="L2633" s="93">
        <v>57</v>
      </c>
      <c r="M2633" s="93" t="s">
        <v>2311</v>
      </c>
      <c r="N2633" s="93">
        <f>VLOOKUP(B2633,'[16]01.수집 카테고리(List)'!$A$2:$H$64,8,FALSE)</f>
        <v>99991231</v>
      </c>
      <c r="O2633" s="93" t="s">
        <v>646</v>
      </c>
    </row>
    <row r="2634" spans="1:15" hidden="1">
      <c r="A2634" s="75" t="str">
        <f t="shared" si="96"/>
        <v>SGHARVEYNORMANMonitor4k monitor4k monitor</v>
      </c>
      <c r="B2634" s="94" t="str">
        <f t="shared" si="97"/>
        <v>SG_HARVEYNORMAN</v>
      </c>
      <c r="C2634" s="93" t="s">
        <v>211</v>
      </c>
      <c r="D2634" s="93" t="s">
        <v>202</v>
      </c>
      <c r="E2634" s="93" t="s">
        <v>2320</v>
      </c>
      <c r="F2634" s="93" t="s">
        <v>2321</v>
      </c>
      <c r="G2634" s="93" t="s">
        <v>2321</v>
      </c>
      <c r="H2634" s="93" t="e">
        <v>#N/A</v>
      </c>
      <c r="I2634" s="105" t="s">
        <v>2310</v>
      </c>
      <c r="J2634" s="93" t="s">
        <v>189</v>
      </c>
      <c r="K2634" s="93">
        <v>3</v>
      </c>
      <c r="L2634" s="93">
        <v>3</v>
      </c>
      <c r="M2634" s="93" t="s">
        <v>2311</v>
      </c>
      <c r="N2634" s="93">
        <f>VLOOKUP(B2634,'[16]01.수집 카테고리(List)'!$A$2:$H$64,8,FALSE)</f>
        <v>99991231</v>
      </c>
      <c r="O2634" s="93" t="s">
        <v>646</v>
      </c>
    </row>
    <row r="2635" spans="1:15" hidden="1">
      <c r="A2635" s="75" t="str">
        <f t="shared" si="96"/>
        <v>SGHARVEYNORMANMonitorgaming monitorgaming monitor</v>
      </c>
      <c r="B2635" s="94" t="str">
        <f t="shared" si="97"/>
        <v>SG_HARVEYNORMAN</v>
      </c>
      <c r="C2635" s="93" t="s">
        <v>211</v>
      </c>
      <c r="D2635" s="93" t="s">
        <v>202</v>
      </c>
      <c r="E2635" s="93" t="s">
        <v>2320</v>
      </c>
      <c r="F2635" s="93" t="s">
        <v>2322</v>
      </c>
      <c r="G2635" s="93" t="s">
        <v>2322</v>
      </c>
      <c r="H2635" s="93" t="e">
        <v>#N/A</v>
      </c>
      <c r="I2635" s="105" t="s">
        <v>2310</v>
      </c>
      <c r="J2635" s="93" t="s">
        <v>189</v>
      </c>
      <c r="K2635" s="93">
        <v>1</v>
      </c>
      <c r="L2635" s="93">
        <v>1</v>
      </c>
      <c r="M2635" s="93" t="s">
        <v>2311</v>
      </c>
      <c r="N2635" s="93">
        <f>VLOOKUP(B2635,'[16]01.수집 카테고리(List)'!$A$2:$H$64,8,FALSE)</f>
        <v>99991231</v>
      </c>
      <c r="O2635" s="93" t="s">
        <v>646</v>
      </c>
    </row>
    <row r="2636" spans="1:15" hidden="1">
      <c r="A2636" s="75" t="str">
        <f t="shared" si="96"/>
        <v>SGHARVEYNORMANMonitormonitormonitor</v>
      </c>
      <c r="B2636" s="94" t="str">
        <f t="shared" si="97"/>
        <v>SG_HARVEYNORMAN</v>
      </c>
      <c r="C2636" s="93" t="s">
        <v>211</v>
      </c>
      <c r="D2636" s="93" t="s">
        <v>202</v>
      </c>
      <c r="E2636" s="93" t="s">
        <v>2320</v>
      </c>
      <c r="F2636" s="93" t="s">
        <v>2323</v>
      </c>
      <c r="G2636" s="93" t="s">
        <v>2323</v>
      </c>
      <c r="H2636" s="93" t="e">
        <v>#N/A</v>
      </c>
      <c r="I2636" s="105" t="s">
        <v>2310</v>
      </c>
      <c r="J2636" s="93" t="s">
        <v>189</v>
      </c>
      <c r="K2636" s="93">
        <v>73</v>
      </c>
      <c r="L2636" s="93">
        <v>73</v>
      </c>
      <c r="M2636" s="93" t="s">
        <v>2311</v>
      </c>
      <c r="N2636" s="93">
        <f>VLOOKUP(B2636,'[16]01.수집 카테고리(List)'!$A$2:$H$64,8,FALSE)</f>
        <v>99991231</v>
      </c>
      <c r="O2636" s="93" t="s">
        <v>646</v>
      </c>
    </row>
    <row r="2637" spans="1:15" hidden="1">
      <c r="A2637" s="75" t="str">
        <f t="shared" si="96"/>
        <v>SGHARVEYNORMANMonitoruhd monitoruhd monitor</v>
      </c>
      <c r="B2637" s="94" t="str">
        <f t="shared" si="97"/>
        <v>SG_HARVEYNORMAN</v>
      </c>
      <c r="C2637" s="93" t="s">
        <v>211</v>
      </c>
      <c r="D2637" s="93" t="s">
        <v>202</v>
      </c>
      <c r="E2637" s="93" t="s">
        <v>2320</v>
      </c>
      <c r="F2637" s="93" t="s">
        <v>2324</v>
      </c>
      <c r="G2637" s="93" t="s">
        <v>2324</v>
      </c>
      <c r="H2637" s="93" t="e">
        <v>#N/A</v>
      </c>
      <c r="I2637" s="105" t="s">
        <v>2310</v>
      </c>
      <c r="J2637" s="93" t="s">
        <v>189</v>
      </c>
      <c r="K2637" s="93">
        <v>7054</v>
      </c>
      <c r="L2637" s="93">
        <v>7054</v>
      </c>
      <c r="M2637" s="93" t="s">
        <v>2311</v>
      </c>
      <c r="N2637" s="93">
        <f>VLOOKUP(B2637,'[16]01.수집 카테고리(List)'!$A$2:$H$64,8,FALSE)</f>
        <v>99991231</v>
      </c>
      <c r="O2637" s="93" t="s">
        <v>646</v>
      </c>
    </row>
    <row r="2638" spans="1:15" hidden="1">
      <c r="A2638" s="75" t="str">
        <f t="shared" si="96"/>
        <v>SGHARVEYNORMANMonitorultrawide monitorultrawide monitor</v>
      </c>
      <c r="B2638" s="94" t="str">
        <f t="shared" si="97"/>
        <v>SG_HARVEYNORMAN</v>
      </c>
      <c r="C2638" s="93" t="s">
        <v>211</v>
      </c>
      <c r="D2638" s="93" t="s">
        <v>202</v>
      </c>
      <c r="E2638" s="93" t="s">
        <v>2320</v>
      </c>
      <c r="F2638" s="93" t="s">
        <v>2325</v>
      </c>
      <c r="G2638" s="93" t="s">
        <v>2325</v>
      </c>
      <c r="H2638" s="93" t="e">
        <v>#N/A</v>
      </c>
      <c r="I2638" s="105" t="s">
        <v>2310</v>
      </c>
      <c r="J2638" s="93" t="s">
        <v>189</v>
      </c>
      <c r="K2638" s="93">
        <v>34</v>
      </c>
      <c r="L2638" s="93">
        <v>34</v>
      </c>
      <c r="M2638" s="93" t="s">
        <v>2311</v>
      </c>
      <c r="N2638" s="93">
        <f>VLOOKUP(B2638,'[16]01.수집 카테고리(List)'!$A$2:$H$64,8,FALSE)</f>
        <v>99991231</v>
      </c>
      <c r="O2638" s="93" t="s">
        <v>646</v>
      </c>
    </row>
    <row r="2639" spans="1:15" hidden="1">
      <c r="A2639" s="75" t="str">
        <f t="shared" si="96"/>
        <v>SGHARVEYNORMANRefrigeratorbottom freezer refrigeratorbottom freezer refrigerator</v>
      </c>
      <c r="B2639" s="94" t="str">
        <f t="shared" si="97"/>
        <v>SG_HARVEYNORMAN</v>
      </c>
      <c r="C2639" s="93" t="s">
        <v>211</v>
      </c>
      <c r="D2639" s="93" t="s">
        <v>202</v>
      </c>
      <c r="E2639" s="93" t="s">
        <v>2326</v>
      </c>
      <c r="F2639" s="93" t="s">
        <v>2327</v>
      </c>
      <c r="G2639" s="93" t="s">
        <v>2327</v>
      </c>
      <c r="H2639" s="93" t="e">
        <v>#N/A</v>
      </c>
      <c r="I2639" s="105" t="s">
        <v>2310</v>
      </c>
      <c r="J2639" s="93" t="s">
        <v>189</v>
      </c>
      <c r="K2639" s="93">
        <v>4</v>
      </c>
      <c r="L2639" s="93">
        <v>4</v>
      </c>
      <c r="M2639" s="93" t="s">
        <v>2311</v>
      </c>
      <c r="N2639" s="93">
        <f>VLOOKUP(B2639,'[16]01.수집 카테고리(List)'!$A$2:$H$64,8,FALSE)</f>
        <v>99991231</v>
      </c>
      <c r="O2639" s="93" t="s">
        <v>646</v>
      </c>
    </row>
    <row r="2640" spans="1:15" hidden="1">
      <c r="A2640" s="75" t="str">
        <f t="shared" si="96"/>
        <v>SGHARVEYNORMANRefrigeratorfrench door refrigeratorfrench door refrigerator</v>
      </c>
      <c r="B2640" s="94" t="str">
        <f t="shared" si="97"/>
        <v>SG_HARVEYNORMAN</v>
      </c>
      <c r="C2640" s="93" t="s">
        <v>211</v>
      </c>
      <c r="D2640" s="93" t="s">
        <v>202</v>
      </c>
      <c r="E2640" s="93" t="s">
        <v>2326</v>
      </c>
      <c r="F2640" s="93" t="s">
        <v>2328</v>
      </c>
      <c r="G2640" s="93" t="s">
        <v>2328</v>
      </c>
      <c r="H2640" s="93" t="e">
        <v>#N/A</v>
      </c>
      <c r="I2640" s="105" t="s">
        <v>2310</v>
      </c>
      <c r="J2640" s="93" t="s">
        <v>189</v>
      </c>
      <c r="K2640" s="93">
        <v>222</v>
      </c>
      <c r="L2640" s="93">
        <v>222</v>
      </c>
      <c r="M2640" s="93" t="s">
        <v>2311</v>
      </c>
      <c r="N2640" s="93">
        <f>VLOOKUP(B2640,'[16]01.수집 카테고리(List)'!$A$2:$H$64,8,FALSE)</f>
        <v>99991231</v>
      </c>
      <c r="O2640" s="93" t="s">
        <v>646</v>
      </c>
    </row>
    <row r="2641" spans="1:15" hidden="1">
      <c r="A2641" s="75" t="str">
        <f t="shared" si="96"/>
        <v>SGHARVEYNORMANRefrigeratorrefrigeratorrefrigerator</v>
      </c>
      <c r="B2641" s="94" t="str">
        <f t="shared" si="97"/>
        <v>SG_HARVEYNORMAN</v>
      </c>
      <c r="C2641" s="93" t="s">
        <v>211</v>
      </c>
      <c r="D2641" s="93" t="s">
        <v>202</v>
      </c>
      <c r="E2641" s="93" t="s">
        <v>2326</v>
      </c>
      <c r="F2641" s="93" t="s">
        <v>2329</v>
      </c>
      <c r="G2641" s="93" t="s">
        <v>2329</v>
      </c>
      <c r="H2641" s="93" t="e">
        <v>#N/A</v>
      </c>
      <c r="I2641" s="105" t="s">
        <v>2310</v>
      </c>
      <c r="J2641" s="93" t="s">
        <v>189</v>
      </c>
      <c r="K2641" s="93">
        <v>296</v>
      </c>
      <c r="L2641" s="93">
        <v>296</v>
      </c>
      <c r="M2641" s="93" t="s">
        <v>2311</v>
      </c>
      <c r="N2641" s="93">
        <f>VLOOKUP(B2641,'[16]01.수집 카테고리(List)'!$A$2:$H$64,8,FALSE)</f>
        <v>99991231</v>
      </c>
      <c r="O2641" s="93" t="s">
        <v>646</v>
      </c>
    </row>
    <row r="2642" spans="1:15" hidden="1">
      <c r="A2642" s="75" t="str">
        <f t="shared" si="96"/>
        <v>SGHARVEYNORMANRefrigeratorside by side refrigeratorside by side refrigerator</v>
      </c>
      <c r="B2642" s="94" t="str">
        <f t="shared" si="97"/>
        <v>SG_HARVEYNORMAN</v>
      </c>
      <c r="C2642" s="93" t="s">
        <v>211</v>
      </c>
      <c r="D2642" s="93" t="s">
        <v>202</v>
      </c>
      <c r="E2642" s="93" t="s">
        <v>2326</v>
      </c>
      <c r="F2642" s="93" t="s">
        <v>2330</v>
      </c>
      <c r="G2642" s="93" t="s">
        <v>2330</v>
      </c>
      <c r="H2642" s="93" t="e">
        <v>#N/A</v>
      </c>
      <c r="I2642" s="105" t="s">
        <v>2310</v>
      </c>
      <c r="J2642" s="93" t="s">
        <v>189</v>
      </c>
      <c r="K2642" s="93">
        <v>15</v>
      </c>
      <c r="L2642" s="93">
        <v>15</v>
      </c>
      <c r="M2642" s="93" t="s">
        <v>2311</v>
      </c>
      <c r="N2642" s="93">
        <f>VLOOKUP(B2642,'[16]01.수집 카테고리(List)'!$A$2:$H$64,8,FALSE)</f>
        <v>99991231</v>
      </c>
      <c r="O2642" s="93" t="s">
        <v>646</v>
      </c>
    </row>
    <row r="2643" spans="1:15" hidden="1">
      <c r="A2643" s="75" t="str">
        <f t="shared" si="96"/>
        <v>SGHARVEYNORMANRefrigeratortop freezer refrigeratortop freezer refrigerator</v>
      </c>
      <c r="B2643" s="94" t="str">
        <f t="shared" si="97"/>
        <v>SG_HARVEYNORMAN</v>
      </c>
      <c r="C2643" s="93" t="s">
        <v>211</v>
      </c>
      <c r="D2643" s="93" t="s">
        <v>202</v>
      </c>
      <c r="E2643" s="93" t="s">
        <v>2326</v>
      </c>
      <c r="F2643" s="93" t="s">
        <v>2332</v>
      </c>
      <c r="G2643" s="93" t="s">
        <v>2332</v>
      </c>
      <c r="H2643" s="93" t="e">
        <v>#N/A</v>
      </c>
      <c r="I2643" s="105" t="s">
        <v>2310</v>
      </c>
      <c r="J2643" s="93" t="s">
        <v>189</v>
      </c>
      <c r="K2643" s="93">
        <v>4</v>
      </c>
      <c r="L2643" s="93">
        <v>4</v>
      </c>
      <c r="M2643" s="93" t="s">
        <v>2311</v>
      </c>
      <c r="N2643" s="93">
        <f>VLOOKUP(B2643,'[16]01.수집 카테고리(List)'!$A$2:$H$64,8,FALSE)</f>
        <v>99991231</v>
      </c>
      <c r="O2643" s="93" t="s">
        <v>646</v>
      </c>
    </row>
    <row r="2644" spans="1:15" hidden="1">
      <c r="A2644" s="75" t="str">
        <f t="shared" si="96"/>
        <v>SGHARVEYNORMANSOUNDBARsound barsound bar</v>
      </c>
      <c r="B2644" s="94" t="str">
        <f t="shared" si="97"/>
        <v>SG_HARVEYNORMAN</v>
      </c>
      <c r="C2644" s="93" t="s">
        <v>211</v>
      </c>
      <c r="D2644" s="93" t="s">
        <v>202</v>
      </c>
      <c r="E2644" s="93" t="s">
        <v>165</v>
      </c>
      <c r="F2644" s="93" t="s">
        <v>2529</v>
      </c>
      <c r="G2644" s="93" t="s">
        <v>2529</v>
      </c>
      <c r="H2644" s="93" t="e">
        <v>#N/A</v>
      </c>
      <c r="I2644" s="105" t="s">
        <v>2310</v>
      </c>
      <c r="J2644" s="93" t="s">
        <v>189</v>
      </c>
      <c r="K2644" s="93">
        <v>15</v>
      </c>
      <c r="L2644" s="93">
        <v>15</v>
      </c>
      <c r="M2644" s="93" t="s">
        <v>2311</v>
      </c>
      <c r="N2644" s="93">
        <f>VLOOKUP(B2644,'[16]01.수집 카테고리(List)'!$A$2:$H$64,8,FALSE)</f>
        <v>99991231</v>
      </c>
      <c r="O2644" s="93" t="s">
        <v>646</v>
      </c>
    </row>
    <row r="2645" spans="1:15" hidden="1">
      <c r="A2645" s="75" t="str">
        <f t="shared" si="96"/>
        <v>SGHARVEYNORMANSOUNDBARsound barssound bars</v>
      </c>
      <c r="B2645" s="94" t="str">
        <f t="shared" si="97"/>
        <v>SG_HARVEYNORMAN</v>
      </c>
      <c r="C2645" s="93" t="s">
        <v>211</v>
      </c>
      <c r="D2645" s="93" t="s">
        <v>202</v>
      </c>
      <c r="E2645" s="93" t="s">
        <v>165</v>
      </c>
      <c r="F2645" s="93" t="s">
        <v>3473</v>
      </c>
      <c r="G2645" s="93" t="s">
        <v>3473</v>
      </c>
      <c r="H2645" s="93" t="e">
        <v>#N/A</v>
      </c>
      <c r="I2645" s="105" t="s">
        <v>2310</v>
      </c>
      <c r="J2645" s="93" t="s">
        <v>189</v>
      </c>
      <c r="K2645" s="93">
        <v>1</v>
      </c>
      <c r="L2645" s="93">
        <v>1</v>
      </c>
      <c r="M2645" s="93" t="s">
        <v>2311</v>
      </c>
      <c r="N2645" s="93">
        <f>VLOOKUP(B2645,'[16]01.수집 카테고리(List)'!$A$2:$H$64,8,FALSE)</f>
        <v>99991231</v>
      </c>
      <c r="O2645" s="93" t="s">
        <v>646</v>
      </c>
    </row>
    <row r="2646" spans="1:15" hidden="1">
      <c r="A2646" s="75" t="str">
        <f t="shared" si="96"/>
        <v>SGHARVEYNORMANSOUNDBARsound systemsound system</v>
      </c>
      <c r="B2646" s="94" t="str">
        <f t="shared" si="97"/>
        <v>SG_HARVEYNORMAN</v>
      </c>
      <c r="C2646" s="93" t="s">
        <v>211</v>
      </c>
      <c r="D2646" s="93" t="s">
        <v>202</v>
      </c>
      <c r="E2646" s="93" t="s">
        <v>165</v>
      </c>
      <c r="F2646" s="93" t="s">
        <v>2530</v>
      </c>
      <c r="G2646" s="93" t="s">
        <v>2530</v>
      </c>
      <c r="H2646" s="93" t="e">
        <v>#N/A</v>
      </c>
      <c r="I2646" s="105" t="s">
        <v>2310</v>
      </c>
      <c r="J2646" s="93" t="s">
        <v>189</v>
      </c>
      <c r="K2646" s="93">
        <v>4885</v>
      </c>
      <c r="L2646" s="93">
        <v>4885</v>
      </c>
      <c r="M2646" s="93" t="s">
        <v>2311</v>
      </c>
      <c r="N2646" s="93">
        <f>VLOOKUP(B2646,'[16]01.수집 카테고리(List)'!$A$2:$H$64,8,FALSE)</f>
        <v>99991231</v>
      </c>
      <c r="O2646" s="93" t="s">
        <v>646</v>
      </c>
    </row>
    <row r="2647" spans="1:15" hidden="1">
      <c r="A2647" s="75" t="str">
        <f t="shared" si="96"/>
        <v>SGHARVEYNORMANSOUNDBARsoundbarsoundbar</v>
      </c>
      <c r="B2647" s="94" t="str">
        <f t="shared" si="97"/>
        <v>SG_HARVEYNORMAN</v>
      </c>
      <c r="C2647" s="93" t="s">
        <v>211</v>
      </c>
      <c r="D2647" s="93" t="s">
        <v>202</v>
      </c>
      <c r="E2647" s="93" t="s">
        <v>165</v>
      </c>
      <c r="F2647" s="93" t="s">
        <v>2987</v>
      </c>
      <c r="G2647" s="93" t="s">
        <v>2987</v>
      </c>
      <c r="H2647" s="93" t="e">
        <v>#N/A</v>
      </c>
      <c r="I2647" s="105" t="s">
        <v>2310</v>
      </c>
      <c r="J2647" s="93" t="s">
        <v>189</v>
      </c>
      <c r="K2647" s="93">
        <v>15</v>
      </c>
      <c r="L2647" s="93">
        <v>15</v>
      </c>
      <c r="M2647" s="93" t="s">
        <v>2311</v>
      </c>
      <c r="N2647" s="93">
        <f>VLOOKUP(B2647,'[16]01.수집 카테고리(List)'!$A$2:$H$64,8,FALSE)</f>
        <v>99991231</v>
      </c>
      <c r="O2647" s="93" t="s">
        <v>646</v>
      </c>
    </row>
    <row r="2648" spans="1:15" hidden="1">
      <c r="A2648" s="75" t="str">
        <f t="shared" si="96"/>
        <v>SGHARVEYNORMANStylerStylerStyler</v>
      </c>
      <c r="B2648" s="94" t="str">
        <f t="shared" si="97"/>
        <v>SG_HARVEYNORMAN</v>
      </c>
      <c r="C2648" s="93" t="s">
        <v>211</v>
      </c>
      <c r="D2648" s="93" t="s">
        <v>202</v>
      </c>
      <c r="E2648" s="93" t="s">
        <v>3281</v>
      </c>
      <c r="F2648" s="93" t="s">
        <v>3281</v>
      </c>
      <c r="G2648" s="93" t="s">
        <v>3281</v>
      </c>
      <c r="H2648" s="93" t="e">
        <v>#N/A</v>
      </c>
      <c r="I2648" s="105" t="s">
        <v>2310</v>
      </c>
      <c r="J2648" s="93" t="s">
        <v>189</v>
      </c>
      <c r="K2648" s="93">
        <v>3</v>
      </c>
      <c r="L2648" s="93">
        <v>3</v>
      </c>
      <c r="M2648" s="93" t="s">
        <v>2311</v>
      </c>
      <c r="N2648" s="93">
        <f>VLOOKUP(B2648,'[16]01.수집 카테고리(List)'!$A$2:$H$64,8,FALSE)</f>
        <v>99991231</v>
      </c>
      <c r="O2648" s="93" t="s">
        <v>646</v>
      </c>
    </row>
    <row r="2649" spans="1:15" hidden="1">
      <c r="A2649" s="75" t="str">
        <f t="shared" si="96"/>
        <v>SGHARVEYNORMANTV4k TV4k TV</v>
      </c>
      <c r="B2649" s="94" t="str">
        <f t="shared" si="97"/>
        <v>SG_HARVEYNORMAN</v>
      </c>
      <c r="C2649" s="93" t="s">
        <v>211</v>
      </c>
      <c r="D2649" s="93" t="s">
        <v>202</v>
      </c>
      <c r="E2649" s="93" t="s">
        <v>161</v>
      </c>
      <c r="F2649" s="93" t="s">
        <v>2368</v>
      </c>
      <c r="G2649" s="93" t="s">
        <v>2368</v>
      </c>
      <c r="H2649" s="93" t="e">
        <v>#N/A</v>
      </c>
      <c r="I2649" s="105" t="s">
        <v>2310</v>
      </c>
      <c r="J2649" s="93" t="s">
        <v>189</v>
      </c>
      <c r="K2649" s="93">
        <v>56</v>
      </c>
      <c r="L2649" s="93">
        <v>56</v>
      </c>
      <c r="M2649" s="93" t="s">
        <v>2311</v>
      </c>
      <c r="N2649" s="93">
        <f>VLOOKUP(B2649,'[16]01.수집 카테고리(List)'!$A$2:$H$64,8,FALSE)</f>
        <v>99991231</v>
      </c>
      <c r="O2649" s="93" t="s">
        <v>646</v>
      </c>
    </row>
    <row r="2650" spans="1:15" hidden="1">
      <c r="A2650" s="75" t="str">
        <f t="shared" si="96"/>
        <v>SGHARVEYNORMANTVoled TVoled TV</v>
      </c>
      <c r="B2650" s="94" t="str">
        <f t="shared" si="97"/>
        <v>SG_HARVEYNORMAN</v>
      </c>
      <c r="C2650" s="93" t="s">
        <v>211</v>
      </c>
      <c r="D2650" s="93" t="s">
        <v>202</v>
      </c>
      <c r="E2650" s="93" t="s">
        <v>161</v>
      </c>
      <c r="F2650" s="93" t="s">
        <v>2369</v>
      </c>
      <c r="G2650" s="93" t="s">
        <v>2369</v>
      </c>
      <c r="H2650" s="93" t="e">
        <v>#N/A</v>
      </c>
      <c r="I2650" s="105" t="s">
        <v>2310</v>
      </c>
      <c r="J2650" s="93" t="s">
        <v>189</v>
      </c>
      <c r="K2650" s="93">
        <v>31</v>
      </c>
      <c r="L2650" s="93">
        <v>31</v>
      </c>
      <c r="M2650" s="93" t="s">
        <v>2311</v>
      </c>
      <c r="N2650" s="93">
        <f>VLOOKUP(B2650,'[16]01.수집 카테고리(List)'!$A$2:$H$64,8,FALSE)</f>
        <v>99991231</v>
      </c>
      <c r="O2650" s="93" t="s">
        <v>646</v>
      </c>
    </row>
    <row r="2651" spans="1:15" hidden="1">
      <c r="A2651" s="75" t="str">
        <f t="shared" si="96"/>
        <v>SGHARVEYNORMANTVsmart TVsmart TV</v>
      </c>
      <c r="B2651" s="94" t="str">
        <f t="shared" si="97"/>
        <v>SG_HARVEYNORMAN</v>
      </c>
      <c r="C2651" s="93" t="s">
        <v>211</v>
      </c>
      <c r="D2651" s="93" t="s">
        <v>202</v>
      </c>
      <c r="E2651" s="93" t="s">
        <v>161</v>
      </c>
      <c r="F2651" s="93" t="s">
        <v>2371</v>
      </c>
      <c r="G2651" s="93" t="s">
        <v>2371</v>
      </c>
      <c r="H2651" s="93" t="e">
        <v>#N/A</v>
      </c>
      <c r="I2651" s="105" t="s">
        <v>2310</v>
      </c>
      <c r="J2651" s="93" t="s">
        <v>189</v>
      </c>
      <c r="K2651" s="93">
        <v>66</v>
      </c>
      <c r="L2651" s="93">
        <v>66</v>
      </c>
      <c r="M2651" s="93" t="s">
        <v>2311</v>
      </c>
      <c r="N2651" s="93">
        <f>VLOOKUP(B2651,'[16]01.수집 카테고리(List)'!$A$2:$H$64,8,FALSE)</f>
        <v>99991231</v>
      </c>
      <c r="O2651" s="93" t="s">
        <v>646</v>
      </c>
    </row>
    <row r="2652" spans="1:15" hidden="1">
      <c r="A2652" s="75" t="str">
        <f t="shared" si="96"/>
        <v>SGHARVEYNORMANTVTVTV</v>
      </c>
      <c r="B2652" s="94" t="str">
        <f t="shared" si="97"/>
        <v>SG_HARVEYNORMAN</v>
      </c>
      <c r="C2652" s="93" t="s">
        <v>211</v>
      </c>
      <c r="D2652" s="93" t="s">
        <v>202</v>
      </c>
      <c r="E2652" s="93" t="s">
        <v>161</v>
      </c>
      <c r="F2652" s="93" t="s">
        <v>161</v>
      </c>
      <c r="G2652" s="93" t="s">
        <v>161</v>
      </c>
      <c r="H2652" s="93" t="e">
        <v>#N/A</v>
      </c>
      <c r="I2652" s="105" t="s">
        <v>2310</v>
      </c>
      <c r="J2652" s="93" t="s">
        <v>189</v>
      </c>
      <c r="K2652" s="93">
        <v>86</v>
      </c>
      <c r="L2652" s="93">
        <v>86</v>
      </c>
      <c r="M2652" s="93" t="s">
        <v>2311</v>
      </c>
      <c r="N2652" s="93">
        <f>VLOOKUP(B2652,'[16]01.수집 카테고리(List)'!$A$2:$H$64,8,FALSE)</f>
        <v>99991231</v>
      </c>
      <c r="O2652" s="93" t="s">
        <v>646</v>
      </c>
    </row>
    <row r="2653" spans="1:15" hidden="1">
      <c r="A2653" s="75" t="str">
        <f t="shared" si="96"/>
        <v>SGHARVEYNORMANTVuhd TVuhd TV</v>
      </c>
      <c r="B2653" s="94" t="str">
        <f t="shared" si="97"/>
        <v>SG_HARVEYNORMAN</v>
      </c>
      <c r="C2653" s="93" t="s">
        <v>211</v>
      </c>
      <c r="D2653" s="93" t="s">
        <v>202</v>
      </c>
      <c r="E2653" s="93" t="s">
        <v>161</v>
      </c>
      <c r="F2653" s="93" t="s">
        <v>2399</v>
      </c>
      <c r="G2653" s="93" t="s">
        <v>2399</v>
      </c>
      <c r="H2653" s="93" t="e">
        <v>#N/A</v>
      </c>
      <c r="I2653" s="105" t="s">
        <v>2310</v>
      </c>
      <c r="J2653" s="93" t="s">
        <v>189</v>
      </c>
      <c r="K2653" s="93">
        <v>38</v>
      </c>
      <c r="L2653" s="93">
        <v>38</v>
      </c>
      <c r="M2653" s="93" t="s">
        <v>2311</v>
      </c>
      <c r="N2653" s="93">
        <f>VLOOKUP(B2653,'[16]01.수집 카테고리(List)'!$A$2:$H$64,8,FALSE)</f>
        <v>99991231</v>
      </c>
      <c r="O2653" s="93" t="s">
        <v>646</v>
      </c>
    </row>
    <row r="2654" spans="1:15" hidden="1">
      <c r="A2654" s="75" t="str">
        <f t="shared" si="96"/>
        <v>SGHARVEYNORMANWashing Machinefront loaderfront loader</v>
      </c>
      <c r="B2654" s="94" t="str">
        <f t="shared" si="97"/>
        <v>SG_HARVEYNORMAN</v>
      </c>
      <c r="C2654" s="93" t="s">
        <v>211</v>
      </c>
      <c r="D2654" s="93" t="s">
        <v>202</v>
      </c>
      <c r="E2654" s="93" t="s">
        <v>2333</v>
      </c>
      <c r="F2654" s="93" t="s">
        <v>2334</v>
      </c>
      <c r="G2654" s="93" t="s">
        <v>2334</v>
      </c>
      <c r="H2654" s="93" t="e">
        <v>#N/A</v>
      </c>
      <c r="I2654" s="105" t="s">
        <v>2310</v>
      </c>
      <c r="J2654" s="93" t="s">
        <v>189</v>
      </c>
      <c r="K2654" s="93">
        <v>38</v>
      </c>
      <c r="L2654" s="93">
        <v>38</v>
      </c>
      <c r="M2654" s="93" t="s">
        <v>2311</v>
      </c>
      <c r="N2654" s="93">
        <f>VLOOKUP(B2654,'[16]01.수집 카테고리(List)'!$A$2:$H$64,8,FALSE)</f>
        <v>99991231</v>
      </c>
      <c r="O2654" s="93" t="s">
        <v>646</v>
      </c>
    </row>
    <row r="2655" spans="1:15" hidden="1">
      <c r="A2655" s="75" t="str">
        <f t="shared" si="96"/>
        <v>SGHARVEYNORMANWashing Machinetop loadertop loader</v>
      </c>
      <c r="B2655" s="94" t="str">
        <f t="shared" si="97"/>
        <v>SG_HARVEYNORMAN</v>
      </c>
      <c r="C2655" s="93" t="s">
        <v>211</v>
      </c>
      <c r="D2655" s="93" t="s">
        <v>202</v>
      </c>
      <c r="E2655" s="93" t="s">
        <v>2333</v>
      </c>
      <c r="F2655" s="93" t="s">
        <v>2336</v>
      </c>
      <c r="G2655" s="93" t="s">
        <v>2336</v>
      </c>
      <c r="H2655" s="93" t="e">
        <v>#N/A</v>
      </c>
      <c r="I2655" s="105" t="s">
        <v>2310</v>
      </c>
      <c r="J2655" s="93" t="s">
        <v>189</v>
      </c>
      <c r="K2655" s="93">
        <v>123</v>
      </c>
      <c r="L2655" s="93">
        <v>123</v>
      </c>
      <c r="M2655" s="93" t="s">
        <v>2311</v>
      </c>
      <c r="N2655" s="93">
        <f>VLOOKUP(B2655,'[16]01.수집 카테고리(List)'!$A$2:$H$64,8,FALSE)</f>
        <v>99991231</v>
      </c>
      <c r="O2655" s="93" t="s">
        <v>646</v>
      </c>
    </row>
    <row r="2656" spans="1:15" hidden="1">
      <c r="A2656" s="75" t="str">
        <f t="shared" si="96"/>
        <v>SGHARVEYNORMANWashing Machinewasher dryer combowasher dryer</v>
      </c>
      <c r="B2656" s="94" t="str">
        <f t="shared" si="97"/>
        <v>SG_HARVEYNORMAN</v>
      </c>
      <c r="C2656" s="93" t="s">
        <v>211</v>
      </c>
      <c r="D2656" s="93" t="s">
        <v>202</v>
      </c>
      <c r="E2656" s="93" t="s">
        <v>2333</v>
      </c>
      <c r="F2656" s="93" t="s">
        <v>2338</v>
      </c>
      <c r="G2656" s="93" t="s">
        <v>2339</v>
      </c>
      <c r="H2656" s="93" t="e">
        <v>#N/A</v>
      </c>
      <c r="I2656" s="105" t="s">
        <v>2310</v>
      </c>
      <c r="J2656" s="93" t="s">
        <v>189</v>
      </c>
      <c r="K2656" s="93">
        <v>14</v>
      </c>
      <c r="L2656" s="93" t="e">
        <v>#N/A</v>
      </c>
      <c r="M2656" s="93" t="s">
        <v>2311</v>
      </c>
      <c r="N2656" s="93">
        <f>VLOOKUP(B2656,'[16]01.수집 카테고리(List)'!$A$2:$H$64,8,FALSE)</f>
        <v>99991231</v>
      </c>
      <c r="O2656" s="93" t="s">
        <v>646</v>
      </c>
    </row>
    <row r="2657" spans="1:15" hidden="1">
      <c r="A2657" s="75" t="str">
        <f t="shared" si="96"/>
        <v>SGHARVEYNORMANWashing Machinewashing machinewashing machine</v>
      </c>
      <c r="B2657" s="94" t="str">
        <f t="shared" si="97"/>
        <v>SG_HARVEYNORMAN</v>
      </c>
      <c r="C2657" s="93" t="s">
        <v>211</v>
      </c>
      <c r="D2657" s="93" t="s">
        <v>202</v>
      </c>
      <c r="E2657" s="93" t="s">
        <v>2333</v>
      </c>
      <c r="F2657" s="93" t="s">
        <v>2340</v>
      </c>
      <c r="G2657" s="93" t="s">
        <v>2340</v>
      </c>
      <c r="H2657" s="93" t="e">
        <v>#N/A</v>
      </c>
      <c r="I2657" s="105" t="s">
        <v>2310</v>
      </c>
      <c r="J2657" s="93" t="s">
        <v>189</v>
      </c>
      <c r="K2657" s="93">
        <v>136</v>
      </c>
      <c r="L2657" s="93">
        <v>136</v>
      </c>
      <c r="M2657" s="93" t="s">
        <v>2311</v>
      </c>
      <c r="N2657" s="93">
        <f>VLOOKUP(B2657,'[16]01.수집 카테고리(List)'!$A$2:$H$64,8,FALSE)</f>
        <v>99991231</v>
      </c>
      <c r="O2657" s="93" t="s">
        <v>646</v>
      </c>
    </row>
    <row r="2658" spans="1:15" hidden="1">
      <c r="A2658" s="75" t="str">
        <f t="shared" si="96"/>
        <v>SGHARVEYNORMANWireless Headsetearbudsearbuds</v>
      </c>
      <c r="B2658" s="94" t="str">
        <f t="shared" si="97"/>
        <v>SG_HARVEYNORMAN</v>
      </c>
      <c r="C2658" s="93" t="s">
        <v>211</v>
      </c>
      <c r="D2658" s="93" t="s">
        <v>202</v>
      </c>
      <c r="E2658" s="93" t="s">
        <v>2373</v>
      </c>
      <c r="F2658" s="93" t="s">
        <v>2913</v>
      </c>
      <c r="G2658" s="93" t="s">
        <v>2913</v>
      </c>
      <c r="H2658" s="93" t="e">
        <v>#N/A</v>
      </c>
      <c r="I2658" s="105" t="s">
        <v>2310</v>
      </c>
      <c r="J2658" s="93" t="s">
        <v>189</v>
      </c>
      <c r="K2658" s="93">
        <v>90</v>
      </c>
      <c r="L2658" s="93">
        <v>90</v>
      </c>
      <c r="M2658" s="93" t="s">
        <v>2311</v>
      </c>
      <c r="N2658" s="93">
        <f>VLOOKUP(B2658,'[16]01.수집 카테고리(List)'!$A$2:$H$64,8,FALSE)</f>
        <v>99991231</v>
      </c>
      <c r="O2658" s="93" t="s">
        <v>646</v>
      </c>
    </row>
    <row r="2659" spans="1:15" hidden="1">
      <c r="A2659" s="75" t="str">
        <f t="shared" si="96"/>
        <v>SGHARVEYNORMANWireless HeadsetIn-ear headphonesIn-ear headphones</v>
      </c>
      <c r="B2659" s="94" t="str">
        <f t="shared" si="97"/>
        <v>SG_HARVEYNORMAN</v>
      </c>
      <c r="C2659" s="93" t="s">
        <v>211</v>
      </c>
      <c r="D2659" s="93" t="s">
        <v>202</v>
      </c>
      <c r="E2659" s="93" t="s">
        <v>2373</v>
      </c>
      <c r="F2659" s="93" t="s">
        <v>3479</v>
      </c>
      <c r="G2659" s="93" t="s">
        <v>3479</v>
      </c>
      <c r="H2659" s="93" t="e">
        <v>#N/A</v>
      </c>
      <c r="I2659" s="105" t="s">
        <v>2310</v>
      </c>
      <c r="J2659" s="93" t="s">
        <v>189</v>
      </c>
      <c r="K2659" s="93">
        <v>52</v>
      </c>
      <c r="L2659" s="93">
        <v>52</v>
      </c>
      <c r="M2659" s="93" t="s">
        <v>2311</v>
      </c>
      <c r="N2659" s="93">
        <f>VLOOKUP(B2659,'[16]01.수집 카테고리(List)'!$A$2:$H$64,8,FALSE)</f>
        <v>99991231</v>
      </c>
      <c r="O2659" s="93" t="s">
        <v>646</v>
      </c>
    </row>
    <row r="2660" spans="1:15" hidden="1">
      <c r="A2660" s="75" t="str">
        <f t="shared" ref="A2660:A2722" si="98">C2660&amp;D2660&amp;E2660&amp;F2660&amp;G2660</f>
        <v>SGHARVEYNORMANWireless HeadsetIn-ear true wireless headphonesIn-ear true wireless headphones</v>
      </c>
      <c r="B2660" s="94" t="str">
        <f t="shared" ref="B2660:B2722" si="99">C2660&amp;"_"&amp;D2660</f>
        <v>SG_HARVEYNORMAN</v>
      </c>
      <c r="C2660" s="93" t="s">
        <v>211</v>
      </c>
      <c r="D2660" s="93" t="s">
        <v>202</v>
      </c>
      <c r="E2660" s="93" t="s">
        <v>2373</v>
      </c>
      <c r="F2660" s="93" t="s">
        <v>3480</v>
      </c>
      <c r="G2660" s="93" t="s">
        <v>3480</v>
      </c>
      <c r="H2660" s="93" t="e">
        <v>#N/A</v>
      </c>
      <c r="I2660" s="105" t="s">
        <v>2310</v>
      </c>
      <c r="J2660" s="93" t="s">
        <v>189</v>
      </c>
      <c r="K2660" s="93">
        <v>23</v>
      </c>
      <c r="L2660" s="93">
        <v>23</v>
      </c>
      <c r="M2660" s="93" t="s">
        <v>2311</v>
      </c>
      <c r="N2660" s="93">
        <f>VLOOKUP(B2660,'[16]01.수집 카테고리(List)'!$A$2:$H$64,8,FALSE)</f>
        <v>99991231</v>
      </c>
      <c r="O2660" s="93" t="s">
        <v>646</v>
      </c>
    </row>
    <row r="2661" spans="1:15" hidden="1">
      <c r="A2661" s="75" t="str">
        <f t="shared" si="98"/>
        <v>SGHARVEYNORMANWireless HeadsetTrue Wireless EarbudsTrue Wireless Earbuds</v>
      </c>
      <c r="B2661" s="94" t="str">
        <f t="shared" si="99"/>
        <v>SG_HARVEYNORMAN</v>
      </c>
      <c r="C2661" s="93" t="s">
        <v>211</v>
      </c>
      <c r="D2661" s="93" t="s">
        <v>202</v>
      </c>
      <c r="E2661" s="93" t="s">
        <v>2373</v>
      </c>
      <c r="F2661" s="93" t="s">
        <v>3023</v>
      </c>
      <c r="G2661" s="93" t="s">
        <v>3023</v>
      </c>
      <c r="H2661" s="93" t="e">
        <v>#N/A</v>
      </c>
      <c r="I2661" s="105" t="s">
        <v>2310</v>
      </c>
      <c r="J2661" s="93" t="s">
        <v>189</v>
      </c>
      <c r="K2661" s="93">
        <v>69</v>
      </c>
      <c r="L2661" s="93">
        <v>69</v>
      </c>
      <c r="M2661" s="93" t="s">
        <v>2311</v>
      </c>
      <c r="N2661" s="93">
        <f>VLOOKUP(B2661,'[16]01.수집 카테고리(List)'!$A$2:$H$64,8,FALSE)</f>
        <v>99991231</v>
      </c>
      <c r="O2661" s="93" t="s">
        <v>646</v>
      </c>
    </row>
    <row r="2662" spans="1:15" hidden="1">
      <c r="A2662" s="75" t="str">
        <f t="shared" si="98"/>
        <v>SGHARVEYNORMANWireless HeadsetWireless EarbudsWireless Earbuds</v>
      </c>
      <c r="B2662" s="94" t="str">
        <f t="shared" si="99"/>
        <v>SG_HARVEYNORMAN</v>
      </c>
      <c r="C2662" s="93" t="s">
        <v>211</v>
      </c>
      <c r="D2662" s="93" t="s">
        <v>202</v>
      </c>
      <c r="E2662" s="93" t="s">
        <v>2373</v>
      </c>
      <c r="F2662" s="93" t="s">
        <v>2760</v>
      </c>
      <c r="G2662" s="93" t="s">
        <v>2760</v>
      </c>
      <c r="H2662" s="93" t="e">
        <v>#N/A</v>
      </c>
      <c r="I2662" s="105" t="s">
        <v>2310</v>
      </c>
      <c r="J2662" s="93" t="s">
        <v>189</v>
      </c>
      <c r="K2662" s="93">
        <v>97</v>
      </c>
      <c r="L2662" s="93">
        <v>97</v>
      </c>
      <c r="M2662" s="93" t="s">
        <v>2311</v>
      </c>
      <c r="N2662" s="93">
        <f>VLOOKUP(B2662,'[16]01.수집 카테고리(List)'!$A$2:$H$64,8,FALSE)</f>
        <v>99991231</v>
      </c>
      <c r="O2662" s="93" t="s">
        <v>646</v>
      </c>
    </row>
    <row r="2663" spans="1:15" s="111" customFormat="1" hidden="1">
      <c r="A2663" s="111" t="str">
        <f t="shared" si="98"/>
        <v>SGHARVEYNORMANAir Conditionerair conditionerair conditioner</v>
      </c>
      <c r="B2663" s="112" t="str">
        <f t="shared" si="99"/>
        <v>SG_HARVEYNORMAN</v>
      </c>
      <c r="C2663" s="113" t="s">
        <v>211</v>
      </c>
      <c r="D2663" s="113" t="s">
        <v>202</v>
      </c>
      <c r="E2663" s="113" t="s">
        <v>2346</v>
      </c>
      <c r="F2663" s="113" t="s">
        <v>2347</v>
      </c>
      <c r="G2663" s="113" t="s">
        <v>2347</v>
      </c>
      <c r="H2663" s="93" t="e">
        <v>#N/A</v>
      </c>
      <c r="I2663" s="99">
        <v>46076</v>
      </c>
      <c r="J2663" s="83" t="s">
        <v>189</v>
      </c>
      <c r="K2663" s="113"/>
      <c r="L2663" s="113"/>
      <c r="M2663" s="113"/>
      <c r="N2663" s="113"/>
      <c r="O2663" s="113"/>
    </row>
    <row r="2664" spans="1:15" s="111" customFormat="1" hidden="1">
      <c r="A2664" s="111" t="str">
        <f t="shared" si="98"/>
        <v>SGHARVEYNORMANAir Conditionerportable air conditionerportable air conditioner</v>
      </c>
      <c r="B2664" s="112" t="str">
        <f t="shared" si="99"/>
        <v>SG_HARVEYNORMAN</v>
      </c>
      <c r="C2664" s="113" t="s">
        <v>211</v>
      </c>
      <c r="D2664" s="113" t="s">
        <v>202</v>
      </c>
      <c r="E2664" s="113" t="s">
        <v>2346</v>
      </c>
      <c r="F2664" s="113" t="s">
        <v>2349</v>
      </c>
      <c r="G2664" s="113" t="s">
        <v>2349</v>
      </c>
      <c r="H2664" s="93" t="e">
        <v>#N/A</v>
      </c>
      <c r="I2664" s="99">
        <v>46076</v>
      </c>
      <c r="J2664" s="83" t="s">
        <v>189</v>
      </c>
      <c r="K2664" s="113"/>
      <c r="L2664" s="113"/>
      <c r="M2664" s="113"/>
      <c r="N2664" s="113"/>
      <c r="O2664" s="113"/>
    </row>
    <row r="2665" spans="1:15" s="111" customFormat="1" hidden="1">
      <c r="A2665" s="111" t="str">
        <f t="shared" si="98"/>
        <v>SGHARVEYNORMANAir Conditionerwindow air conditionerAircon install</v>
      </c>
      <c r="B2665" s="112" t="str">
        <f t="shared" si="99"/>
        <v>SG_HARVEYNORMAN</v>
      </c>
      <c r="C2665" s="113" t="s">
        <v>211</v>
      </c>
      <c r="D2665" s="113" t="s">
        <v>202</v>
      </c>
      <c r="E2665" s="113" t="s">
        <v>2346</v>
      </c>
      <c r="F2665" s="113" t="s">
        <v>2350</v>
      </c>
      <c r="G2665" s="113" t="s">
        <v>3461</v>
      </c>
      <c r="H2665" s="93" t="e">
        <v>#N/A</v>
      </c>
      <c r="I2665" s="99">
        <v>46076</v>
      </c>
      <c r="J2665" s="83" t="s">
        <v>189</v>
      </c>
      <c r="K2665" s="113"/>
      <c r="L2665" s="113"/>
      <c r="M2665" s="113"/>
      <c r="N2665" s="113"/>
      <c r="O2665" s="113"/>
    </row>
    <row r="2666" spans="1:15" s="111" customFormat="1" hidden="1">
      <c r="A2666" s="111" t="str">
        <f t="shared" si="98"/>
        <v>SGHARVEYNORMANAir Conditionerinverter air conditionerinverter air conditioner</v>
      </c>
      <c r="B2666" s="112" t="str">
        <f t="shared" si="99"/>
        <v>SG_HARVEYNORMAN</v>
      </c>
      <c r="C2666" s="113" t="s">
        <v>211</v>
      </c>
      <c r="D2666" s="113" t="s">
        <v>202</v>
      </c>
      <c r="E2666" s="113" t="s">
        <v>2346</v>
      </c>
      <c r="F2666" s="113" t="s">
        <v>2348</v>
      </c>
      <c r="G2666" s="113" t="s">
        <v>2348</v>
      </c>
      <c r="H2666" s="93" t="e">
        <v>#N/A</v>
      </c>
      <c r="I2666" s="99">
        <v>46076</v>
      </c>
      <c r="J2666" s="83" t="s">
        <v>189</v>
      </c>
      <c r="K2666" s="113"/>
      <c r="L2666" s="113"/>
      <c r="M2666" s="113"/>
      <c r="N2666" s="113"/>
      <c r="O2666" s="113"/>
    </row>
    <row r="2667" spans="1:15" hidden="1">
      <c r="A2667" s="75" t="str">
        <f t="shared" si="98"/>
        <v>SGLAZADABluetooth Speakerbluetooth speakerbluetooth speaker</v>
      </c>
      <c r="B2667" s="94" t="str">
        <f t="shared" si="99"/>
        <v>SG_LAZADA</v>
      </c>
      <c r="C2667" s="93" t="s">
        <v>211</v>
      </c>
      <c r="D2667" s="93" t="s">
        <v>215</v>
      </c>
      <c r="E2667" s="93" t="s">
        <v>2307</v>
      </c>
      <c r="F2667" s="93" t="s">
        <v>2657</v>
      </c>
      <c r="G2667" s="93" t="s">
        <v>2657</v>
      </c>
      <c r="H2667" s="93" t="e">
        <v>#N/A</v>
      </c>
      <c r="I2667" s="105" t="s">
        <v>2310</v>
      </c>
      <c r="J2667" s="93" t="s">
        <v>189</v>
      </c>
      <c r="K2667" s="93">
        <v>3865</v>
      </c>
      <c r="L2667" s="93">
        <v>3865</v>
      </c>
      <c r="M2667" s="93" t="s">
        <v>2311</v>
      </c>
      <c r="N2667" s="93">
        <f>VLOOKUP(B2667,'[16]01.수집 카테고리(List)'!$A$2:$H$64,8,FALSE)</f>
        <v>99991231</v>
      </c>
      <c r="O2667" s="93" t="s">
        <v>646</v>
      </c>
    </row>
    <row r="2668" spans="1:15" hidden="1">
      <c r="A2668" s="75" t="str">
        <f t="shared" si="98"/>
        <v>SGLAZADABluetooth Speakerportable speakerportable speaker</v>
      </c>
      <c r="B2668" s="94" t="str">
        <f t="shared" si="99"/>
        <v>SG_LAZADA</v>
      </c>
      <c r="C2668" s="93" t="s">
        <v>211</v>
      </c>
      <c r="D2668" s="93" t="s">
        <v>215</v>
      </c>
      <c r="E2668" s="93" t="s">
        <v>2307</v>
      </c>
      <c r="F2668" s="93" t="s">
        <v>2875</v>
      </c>
      <c r="G2668" s="93" t="s">
        <v>2875</v>
      </c>
      <c r="H2668" s="93" t="e">
        <v>#N/A</v>
      </c>
      <c r="I2668" s="105" t="s">
        <v>2310</v>
      </c>
      <c r="J2668" s="93" t="s">
        <v>189</v>
      </c>
      <c r="K2668" s="93">
        <v>3627</v>
      </c>
      <c r="L2668" s="93">
        <v>3627</v>
      </c>
      <c r="M2668" s="93" t="s">
        <v>2311</v>
      </c>
      <c r="N2668" s="93">
        <f>VLOOKUP(B2668,'[16]01.수집 카테고리(List)'!$A$2:$H$64,8,FALSE)</f>
        <v>99991231</v>
      </c>
      <c r="O2668" s="93" t="s">
        <v>646</v>
      </c>
    </row>
    <row r="2669" spans="1:15" hidden="1">
      <c r="A2669" s="75" t="str">
        <f t="shared" si="98"/>
        <v>SGLAZADABluetooth Speakersmart speakersmart speaker</v>
      </c>
      <c r="B2669" s="94" t="str">
        <f t="shared" si="99"/>
        <v>SG_LAZADA</v>
      </c>
      <c r="C2669" s="93" t="s">
        <v>211</v>
      </c>
      <c r="D2669" s="93" t="s">
        <v>215</v>
      </c>
      <c r="E2669" s="93" t="s">
        <v>2307</v>
      </c>
      <c r="F2669" s="93" t="s">
        <v>3464</v>
      </c>
      <c r="G2669" s="93" t="s">
        <v>3464</v>
      </c>
      <c r="H2669" s="93" t="e">
        <v>#N/A</v>
      </c>
      <c r="I2669" s="105" t="s">
        <v>2310</v>
      </c>
      <c r="J2669" s="93" t="s">
        <v>189</v>
      </c>
      <c r="K2669" s="93">
        <v>5273</v>
      </c>
      <c r="L2669" s="93">
        <v>5273</v>
      </c>
      <c r="M2669" s="93" t="s">
        <v>2311</v>
      </c>
      <c r="N2669" s="93">
        <f>VLOOKUP(B2669,'[16]01.수집 카테고리(List)'!$A$2:$H$64,8,FALSE)</f>
        <v>99991231</v>
      </c>
      <c r="O2669" s="93" t="s">
        <v>646</v>
      </c>
    </row>
    <row r="2670" spans="1:15" hidden="1">
      <c r="A2670" s="75" t="str">
        <f t="shared" si="98"/>
        <v>SGLAZADABluetooth Speakerwireless speakerwireless speaker</v>
      </c>
      <c r="B2670" s="94" t="str">
        <f t="shared" si="99"/>
        <v>SG_LAZADA</v>
      </c>
      <c r="C2670" s="93" t="s">
        <v>211</v>
      </c>
      <c r="D2670" s="93" t="s">
        <v>215</v>
      </c>
      <c r="E2670" s="93" t="s">
        <v>2307</v>
      </c>
      <c r="F2670" s="93" t="s">
        <v>2877</v>
      </c>
      <c r="G2670" s="93" t="s">
        <v>2877</v>
      </c>
      <c r="H2670" s="93" t="e">
        <v>#N/A</v>
      </c>
      <c r="I2670" s="105" t="s">
        <v>2310</v>
      </c>
      <c r="J2670" s="93" t="s">
        <v>189</v>
      </c>
      <c r="K2670" s="93">
        <v>3761</v>
      </c>
      <c r="L2670" s="93">
        <v>3761</v>
      </c>
      <c r="M2670" s="93" t="s">
        <v>2311</v>
      </c>
      <c r="N2670" s="93">
        <f>VLOOKUP(B2670,'[16]01.수집 카테고리(List)'!$A$2:$H$64,8,FALSE)</f>
        <v>99991231</v>
      </c>
      <c r="O2670" s="93" t="s">
        <v>646</v>
      </c>
    </row>
    <row r="2671" spans="1:15" hidden="1">
      <c r="A2671" s="75" t="str">
        <f t="shared" si="98"/>
        <v>SGLAZADABluetooth Speakerportable bluetooth speakerportable bluetooth speaker</v>
      </c>
      <c r="B2671" s="94" t="str">
        <f t="shared" si="99"/>
        <v>SG_LAZADA</v>
      </c>
      <c r="C2671" s="93" t="s">
        <v>211</v>
      </c>
      <c r="D2671" s="93" t="s">
        <v>215</v>
      </c>
      <c r="E2671" s="93" t="s">
        <v>2307</v>
      </c>
      <c r="F2671" s="93" t="s">
        <v>3070</v>
      </c>
      <c r="G2671" s="93" t="s">
        <v>3070</v>
      </c>
      <c r="H2671" s="93" t="e">
        <v>#N/A</v>
      </c>
      <c r="I2671" s="105" t="s">
        <v>2310</v>
      </c>
      <c r="J2671" s="93" t="s">
        <v>189</v>
      </c>
      <c r="K2671" s="93">
        <v>7130</v>
      </c>
      <c r="L2671" s="93">
        <v>4253</v>
      </c>
      <c r="M2671" s="93" t="s">
        <v>2311</v>
      </c>
      <c r="N2671" s="93">
        <f>VLOOKUP(B2671,'[16]01.수집 카테고리(List)'!$A$2:$H$64,8,FALSE)</f>
        <v>99991231</v>
      </c>
      <c r="O2671" s="93" t="s">
        <v>646</v>
      </c>
    </row>
    <row r="2672" spans="1:15" hidden="1">
      <c r="A2672" s="75" t="str">
        <f t="shared" si="98"/>
        <v>SGLAZADAMonitor4k monitor4k monitor</v>
      </c>
      <c r="B2672" s="94" t="str">
        <f t="shared" si="99"/>
        <v>SG_LAZADA</v>
      </c>
      <c r="C2672" s="93" t="s">
        <v>211</v>
      </c>
      <c r="D2672" s="93" t="s">
        <v>215</v>
      </c>
      <c r="E2672" s="93" t="s">
        <v>2320</v>
      </c>
      <c r="F2672" s="93" t="s">
        <v>2321</v>
      </c>
      <c r="G2672" s="93" t="s">
        <v>2321</v>
      </c>
      <c r="H2672" s="93" t="e">
        <v>#N/A</v>
      </c>
      <c r="I2672" s="105" t="s">
        <v>2310</v>
      </c>
      <c r="J2672" s="93" t="s">
        <v>189</v>
      </c>
      <c r="K2672" s="93">
        <v>19183</v>
      </c>
      <c r="L2672" s="93">
        <v>19183</v>
      </c>
      <c r="M2672" s="93" t="s">
        <v>2311</v>
      </c>
      <c r="N2672" s="93">
        <f>VLOOKUP(B2672,'[16]01.수집 카테고리(List)'!$A$2:$H$64,8,FALSE)</f>
        <v>99991231</v>
      </c>
      <c r="O2672" s="93" t="s">
        <v>646</v>
      </c>
    </row>
    <row r="2673" spans="1:15" hidden="1">
      <c r="A2673" s="75" t="str">
        <f t="shared" si="98"/>
        <v>SGLAZADAMonitorgaming monitorgaming monitor</v>
      </c>
      <c r="B2673" s="94" t="str">
        <f t="shared" si="99"/>
        <v>SG_LAZADA</v>
      </c>
      <c r="C2673" s="93" t="s">
        <v>211</v>
      </c>
      <c r="D2673" s="93" t="s">
        <v>215</v>
      </c>
      <c r="E2673" s="93" t="s">
        <v>2320</v>
      </c>
      <c r="F2673" s="93" t="s">
        <v>2322</v>
      </c>
      <c r="G2673" s="93" t="s">
        <v>2322</v>
      </c>
      <c r="H2673" s="93" t="e">
        <v>#N/A</v>
      </c>
      <c r="I2673" s="105" t="s">
        <v>2310</v>
      </c>
      <c r="J2673" s="93" t="s">
        <v>189</v>
      </c>
      <c r="K2673" s="93">
        <v>19439</v>
      </c>
      <c r="L2673" s="93">
        <v>19439</v>
      </c>
      <c r="M2673" s="93" t="s">
        <v>2311</v>
      </c>
      <c r="N2673" s="93">
        <f>VLOOKUP(B2673,'[16]01.수집 카테고리(List)'!$A$2:$H$64,8,FALSE)</f>
        <v>99991231</v>
      </c>
      <c r="O2673" s="93" t="s">
        <v>646</v>
      </c>
    </row>
    <row r="2674" spans="1:15" hidden="1">
      <c r="A2674" s="75" t="str">
        <f t="shared" si="98"/>
        <v>SGLAZADAMonitormonitormonitor</v>
      </c>
      <c r="B2674" s="94" t="str">
        <f t="shared" si="99"/>
        <v>SG_LAZADA</v>
      </c>
      <c r="C2674" s="93" t="s">
        <v>211</v>
      </c>
      <c r="D2674" s="93" t="s">
        <v>215</v>
      </c>
      <c r="E2674" s="93" t="s">
        <v>2320</v>
      </c>
      <c r="F2674" s="93" t="s">
        <v>2323</v>
      </c>
      <c r="G2674" s="93" t="s">
        <v>2323</v>
      </c>
      <c r="H2674" s="93" t="e">
        <v>#N/A</v>
      </c>
      <c r="I2674" s="105" t="s">
        <v>2310</v>
      </c>
      <c r="J2674" s="93" t="s">
        <v>189</v>
      </c>
      <c r="K2674" s="93">
        <v>18467</v>
      </c>
      <c r="L2674" s="93">
        <v>18467</v>
      </c>
      <c r="M2674" s="93" t="s">
        <v>2311</v>
      </c>
      <c r="N2674" s="93">
        <f>VLOOKUP(B2674,'[16]01.수집 카테고리(List)'!$A$2:$H$64,8,FALSE)</f>
        <v>99991231</v>
      </c>
      <c r="O2674" s="93" t="s">
        <v>646</v>
      </c>
    </row>
    <row r="2675" spans="1:15" hidden="1">
      <c r="A2675" s="75" t="str">
        <f t="shared" si="98"/>
        <v>SGLAZADAMonitoruhd monitoruhd monitor</v>
      </c>
      <c r="B2675" s="94" t="str">
        <f t="shared" si="99"/>
        <v>SG_LAZADA</v>
      </c>
      <c r="C2675" s="93" t="s">
        <v>211</v>
      </c>
      <c r="D2675" s="93" t="s">
        <v>215</v>
      </c>
      <c r="E2675" s="93" t="s">
        <v>2320</v>
      </c>
      <c r="F2675" s="93" t="s">
        <v>2324</v>
      </c>
      <c r="G2675" s="93" t="s">
        <v>2324</v>
      </c>
      <c r="H2675" s="93" t="e">
        <v>#N/A</v>
      </c>
      <c r="I2675" s="105" t="s">
        <v>2310</v>
      </c>
      <c r="J2675" s="93" t="s">
        <v>189</v>
      </c>
      <c r="K2675" s="93">
        <v>19598</v>
      </c>
      <c r="L2675" s="93">
        <v>19598</v>
      </c>
      <c r="M2675" s="93" t="s">
        <v>2311</v>
      </c>
      <c r="N2675" s="93">
        <f>VLOOKUP(B2675,'[16]01.수집 카테고리(List)'!$A$2:$H$64,8,FALSE)</f>
        <v>99991231</v>
      </c>
      <c r="O2675" s="93" t="s">
        <v>646</v>
      </c>
    </row>
    <row r="2676" spans="1:15" hidden="1">
      <c r="A2676" s="75" t="str">
        <f t="shared" si="98"/>
        <v>SGLAZADAMonitorultrawide monitorultrawide monitor</v>
      </c>
      <c r="B2676" s="94" t="str">
        <f t="shared" si="99"/>
        <v>SG_LAZADA</v>
      </c>
      <c r="C2676" s="93" t="s">
        <v>211</v>
      </c>
      <c r="D2676" s="93" t="s">
        <v>215</v>
      </c>
      <c r="E2676" s="93" t="s">
        <v>2320</v>
      </c>
      <c r="F2676" s="93" t="s">
        <v>2325</v>
      </c>
      <c r="G2676" s="93" t="s">
        <v>2325</v>
      </c>
      <c r="H2676" s="93" t="e">
        <v>#N/A</v>
      </c>
      <c r="I2676" s="105" t="s">
        <v>2310</v>
      </c>
      <c r="J2676" s="93" t="s">
        <v>189</v>
      </c>
      <c r="K2676" s="93">
        <v>16178</v>
      </c>
      <c r="L2676" s="93">
        <v>16178</v>
      </c>
      <c r="M2676" s="93" t="s">
        <v>2311</v>
      </c>
      <c r="N2676" s="93">
        <f>VLOOKUP(B2676,'[16]01.수집 카테고리(List)'!$A$2:$H$64,8,FALSE)</f>
        <v>99991231</v>
      </c>
      <c r="O2676" s="93" t="s">
        <v>646</v>
      </c>
    </row>
    <row r="2677" spans="1:15" hidden="1">
      <c r="A2677" s="75" t="str">
        <f t="shared" si="98"/>
        <v>SGLAZADARefrigeratorbottom freezer refrigeratorbottom freezer refrigerator</v>
      </c>
      <c r="B2677" s="94" t="str">
        <f t="shared" si="99"/>
        <v>SG_LAZADA</v>
      </c>
      <c r="C2677" s="93" t="s">
        <v>211</v>
      </c>
      <c r="D2677" s="93" t="s">
        <v>215</v>
      </c>
      <c r="E2677" s="93" t="s">
        <v>2326</v>
      </c>
      <c r="F2677" s="93" t="s">
        <v>2327</v>
      </c>
      <c r="G2677" s="93" t="s">
        <v>2327</v>
      </c>
      <c r="H2677" s="93" t="e">
        <v>#N/A</v>
      </c>
      <c r="I2677" s="105" t="s">
        <v>2310</v>
      </c>
      <c r="J2677" s="93" t="s">
        <v>189</v>
      </c>
      <c r="K2677" s="93">
        <v>4023</v>
      </c>
      <c r="L2677" s="93">
        <v>4023</v>
      </c>
      <c r="M2677" s="93" t="s">
        <v>2311</v>
      </c>
      <c r="N2677" s="93">
        <f>VLOOKUP(B2677,'[16]01.수집 카테고리(List)'!$A$2:$H$64,8,FALSE)</f>
        <v>99991231</v>
      </c>
      <c r="O2677" s="93" t="s">
        <v>646</v>
      </c>
    </row>
    <row r="2678" spans="1:15" hidden="1">
      <c r="A2678" s="75" t="str">
        <f t="shared" si="98"/>
        <v>SGLAZADARefrigeratorfrench door refrigeratorfrench door refrigerator</v>
      </c>
      <c r="B2678" s="94" t="str">
        <f t="shared" si="99"/>
        <v>SG_LAZADA</v>
      </c>
      <c r="C2678" s="93" t="s">
        <v>211</v>
      </c>
      <c r="D2678" s="93" t="s">
        <v>215</v>
      </c>
      <c r="E2678" s="93" t="s">
        <v>2326</v>
      </c>
      <c r="F2678" s="93" t="s">
        <v>2328</v>
      </c>
      <c r="G2678" s="93" t="s">
        <v>2328</v>
      </c>
      <c r="H2678" s="93" t="e">
        <v>#N/A</v>
      </c>
      <c r="I2678" s="105" t="s">
        <v>2310</v>
      </c>
      <c r="J2678" s="93" t="s">
        <v>189</v>
      </c>
      <c r="K2678" s="93">
        <v>6768</v>
      </c>
      <c r="L2678" s="93">
        <v>6768</v>
      </c>
      <c r="M2678" s="93" t="s">
        <v>2311</v>
      </c>
      <c r="N2678" s="93">
        <f>VLOOKUP(B2678,'[16]01.수집 카테고리(List)'!$A$2:$H$64,8,FALSE)</f>
        <v>99991231</v>
      </c>
      <c r="O2678" s="93" t="s">
        <v>646</v>
      </c>
    </row>
    <row r="2679" spans="1:15" hidden="1">
      <c r="A2679" s="75" t="str">
        <f t="shared" si="98"/>
        <v>SGLAZADARefrigeratorrefrigeratorrefrigerator</v>
      </c>
      <c r="B2679" s="94" t="str">
        <f t="shared" si="99"/>
        <v>SG_LAZADA</v>
      </c>
      <c r="C2679" s="93" t="s">
        <v>211</v>
      </c>
      <c r="D2679" s="93" t="s">
        <v>215</v>
      </c>
      <c r="E2679" s="93" t="s">
        <v>2326</v>
      </c>
      <c r="F2679" s="93" t="s">
        <v>2329</v>
      </c>
      <c r="G2679" s="93" t="s">
        <v>2329</v>
      </c>
      <c r="H2679" s="93" t="e">
        <v>#N/A</v>
      </c>
      <c r="I2679" s="105" t="s">
        <v>2310</v>
      </c>
      <c r="J2679" s="93" t="s">
        <v>189</v>
      </c>
      <c r="K2679" s="93">
        <v>5130</v>
      </c>
      <c r="L2679" s="93">
        <v>5130</v>
      </c>
      <c r="M2679" s="93" t="s">
        <v>2311</v>
      </c>
      <c r="N2679" s="93">
        <f>VLOOKUP(B2679,'[16]01.수집 카테고리(List)'!$A$2:$H$64,8,FALSE)</f>
        <v>99991231</v>
      </c>
      <c r="O2679" s="93" t="s">
        <v>646</v>
      </c>
    </row>
    <row r="2680" spans="1:15" hidden="1">
      <c r="A2680" s="75" t="str">
        <f t="shared" si="98"/>
        <v>SGLAZADARefrigeratorside by side refrigeratorside by side refrigerator</v>
      </c>
      <c r="B2680" s="94" t="str">
        <f t="shared" si="99"/>
        <v>SG_LAZADA</v>
      </c>
      <c r="C2680" s="93" t="s">
        <v>211</v>
      </c>
      <c r="D2680" s="93" t="s">
        <v>215</v>
      </c>
      <c r="E2680" s="93" t="s">
        <v>2326</v>
      </c>
      <c r="F2680" s="93" t="s">
        <v>2330</v>
      </c>
      <c r="G2680" s="93" t="s">
        <v>2330</v>
      </c>
      <c r="H2680" s="93" t="e">
        <v>#N/A</v>
      </c>
      <c r="I2680" s="105" t="s">
        <v>2310</v>
      </c>
      <c r="J2680" s="93" t="s">
        <v>189</v>
      </c>
      <c r="K2680" s="93">
        <v>6659</v>
      </c>
      <c r="L2680" s="93">
        <v>6659</v>
      </c>
      <c r="M2680" s="93" t="s">
        <v>2311</v>
      </c>
      <c r="N2680" s="93">
        <f>VLOOKUP(B2680,'[16]01.수집 카테고리(List)'!$A$2:$H$64,8,FALSE)</f>
        <v>99991231</v>
      </c>
      <c r="O2680" s="93" t="s">
        <v>646</v>
      </c>
    </row>
    <row r="2681" spans="1:15" hidden="1">
      <c r="A2681" s="75" t="str">
        <f t="shared" si="98"/>
        <v>SGLAZADARefrigeratortop freezer refrigeratortop freezer refrigerator</v>
      </c>
      <c r="B2681" s="94" t="str">
        <f t="shared" si="99"/>
        <v>SG_LAZADA</v>
      </c>
      <c r="C2681" s="93" t="s">
        <v>211</v>
      </c>
      <c r="D2681" s="93" t="s">
        <v>215</v>
      </c>
      <c r="E2681" s="93" t="s">
        <v>2326</v>
      </c>
      <c r="F2681" s="93" t="s">
        <v>2332</v>
      </c>
      <c r="G2681" s="93" t="s">
        <v>2332</v>
      </c>
      <c r="H2681" s="93" t="e">
        <v>#N/A</v>
      </c>
      <c r="I2681" s="105" t="s">
        <v>2310</v>
      </c>
      <c r="J2681" s="93" t="s">
        <v>189</v>
      </c>
      <c r="K2681" s="93">
        <v>4452</v>
      </c>
      <c r="L2681" s="93">
        <v>4452</v>
      </c>
      <c r="M2681" s="93" t="s">
        <v>2311</v>
      </c>
      <c r="N2681" s="93">
        <f>VLOOKUP(B2681,'[16]01.수집 카테고리(List)'!$A$2:$H$64,8,FALSE)</f>
        <v>99991231</v>
      </c>
      <c r="O2681" s="93" t="s">
        <v>646</v>
      </c>
    </row>
    <row r="2682" spans="1:15" hidden="1">
      <c r="A2682" s="75" t="str">
        <f t="shared" si="98"/>
        <v>SGLAZADASOUNDBARsound barsound bar</v>
      </c>
      <c r="B2682" s="94" t="str">
        <f t="shared" si="99"/>
        <v>SG_LAZADA</v>
      </c>
      <c r="C2682" s="93" t="s">
        <v>211</v>
      </c>
      <c r="D2682" s="93" t="s">
        <v>215</v>
      </c>
      <c r="E2682" s="93" t="s">
        <v>165</v>
      </c>
      <c r="F2682" s="93" t="s">
        <v>2529</v>
      </c>
      <c r="G2682" s="93" t="s">
        <v>2529</v>
      </c>
      <c r="H2682" s="93" t="e">
        <v>#N/A</v>
      </c>
      <c r="I2682" s="105" t="s">
        <v>2310</v>
      </c>
      <c r="J2682" s="93" t="s">
        <v>189</v>
      </c>
      <c r="K2682" s="93">
        <v>5768</v>
      </c>
      <c r="L2682" s="93">
        <v>5768</v>
      </c>
      <c r="M2682" s="93" t="s">
        <v>2311</v>
      </c>
      <c r="N2682" s="93">
        <f>VLOOKUP(B2682,'[16]01.수집 카테고리(List)'!$A$2:$H$64,8,FALSE)</f>
        <v>99991231</v>
      </c>
      <c r="O2682" s="93" t="s">
        <v>646</v>
      </c>
    </row>
    <row r="2683" spans="1:15" hidden="1">
      <c r="A2683" s="75" t="str">
        <f t="shared" si="98"/>
        <v>SGLAZADASOUNDBARsound barssound bars</v>
      </c>
      <c r="B2683" s="94" t="str">
        <f t="shared" si="99"/>
        <v>SG_LAZADA</v>
      </c>
      <c r="C2683" s="93" t="s">
        <v>211</v>
      </c>
      <c r="D2683" s="93" t="s">
        <v>215</v>
      </c>
      <c r="E2683" s="93" t="s">
        <v>165</v>
      </c>
      <c r="F2683" s="93" t="s">
        <v>3473</v>
      </c>
      <c r="G2683" s="93" t="s">
        <v>3473</v>
      </c>
      <c r="H2683" s="93" t="e">
        <v>#N/A</v>
      </c>
      <c r="I2683" s="105" t="s">
        <v>2310</v>
      </c>
      <c r="J2683" s="93" t="s">
        <v>189</v>
      </c>
      <c r="K2683" s="93">
        <v>5605</v>
      </c>
      <c r="L2683" s="93">
        <v>5605</v>
      </c>
      <c r="M2683" s="93" t="s">
        <v>2311</v>
      </c>
      <c r="N2683" s="93">
        <f>VLOOKUP(B2683,'[16]01.수집 카테고리(List)'!$A$2:$H$64,8,FALSE)</f>
        <v>99991231</v>
      </c>
      <c r="O2683" s="93" t="s">
        <v>646</v>
      </c>
    </row>
    <row r="2684" spans="1:15" hidden="1">
      <c r="A2684" s="75" t="str">
        <f t="shared" si="98"/>
        <v>SGLAZADASOUNDBARsound systemsound system</v>
      </c>
      <c r="B2684" s="94" t="str">
        <f t="shared" si="99"/>
        <v>SG_LAZADA</v>
      </c>
      <c r="C2684" s="93" t="s">
        <v>211</v>
      </c>
      <c r="D2684" s="93" t="s">
        <v>215</v>
      </c>
      <c r="E2684" s="93" t="s">
        <v>165</v>
      </c>
      <c r="F2684" s="93" t="s">
        <v>2530</v>
      </c>
      <c r="G2684" s="93" t="s">
        <v>2530</v>
      </c>
      <c r="H2684" s="93" t="e">
        <v>#N/A</v>
      </c>
      <c r="I2684" s="105" t="s">
        <v>2310</v>
      </c>
      <c r="J2684" s="93" t="s">
        <v>189</v>
      </c>
      <c r="K2684" s="93">
        <v>7343</v>
      </c>
      <c r="L2684" s="93">
        <v>7343</v>
      </c>
      <c r="M2684" s="93" t="s">
        <v>2311</v>
      </c>
      <c r="N2684" s="93">
        <f>VLOOKUP(B2684,'[16]01.수집 카테고리(List)'!$A$2:$H$64,8,FALSE)</f>
        <v>99991231</v>
      </c>
      <c r="O2684" s="93" t="s">
        <v>646</v>
      </c>
    </row>
    <row r="2685" spans="1:15" hidden="1">
      <c r="A2685" s="75" t="str">
        <f t="shared" si="98"/>
        <v>SGLAZADASOUNDBARsoundbarsoundbar</v>
      </c>
      <c r="B2685" s="94" t="str">
        <f t="shared" si="99"/>
        <v>SG_LAZADA</v>
      </c>
      <c r="C2685" s="93" t="s">
        <v>211</v>
      </c>
      <c r="D2685" s="93" t="s">
        <v>215</v>
      </c>
      <c r="E2685" s="93" t="s">
        <v>165</v>
      </c>
      <c r="F2685" s="93" t="s">
        <v>2987</v>
      </c>
      <c r="G2685" s="93" t="s">
        <v>2987</v>
      </c>
      <c r="H2685" s="93" t="e">
        <v>#N/A</v>
      </c>
      <c r="I2685" s="105" t="s">
        <v>2310</v>
      </c>
      <c r="J2685" s="93" t="s">
        <v>189</v>
      </c>
      <c r="K2685" s="93">
        <v>3853</v>
      </c>
      <c r="L2685" s="93">
        <v>3853</v>
      </c>
      <c r="M2685" s="93" t="s">
        <v>2311</v>
      </c>
      <c r="N2685" s="93">
        <f>VLOOKUP(B2685,'[16]01.수집 카테고리(List)'!$A$2:$H$64,8,FALSE)</f>
        <v>99991231</v>
      </c>
      <c r="O2685" s="93" t="s">
        <v>646</v>
      </c>
    </row>
    <row r="2686" spans="1:15" hidden="1">
      <c r="A2686" s="75" t="str">
        <f t="shared" si="98"/>
        <v>SGLAZADATV4k TV4k TV</v>
      </c>
      <c r="B2686" s="94" t="str">
        <f t="shared" si="99"/>
        <v>SG_LAZADA</v>
      </c>
      <c r="C2686" s="93" t="s">
        <v>211</v>
      </c>
      <c r="D2686" s="93" t="s">
        <v>215</v>
      </c>
      <c r="E2686" s="93" t="s">
        <v>161</v>
      </c>
      <c r="F2686" s="93" t="s">
        <v>2368</v>
      </c>
      <c r="G2686" s="93" t="s">
        <v>2368</v>
      </c>
      <c r="H2686" s="93" t="e">
        <v>#N/A</v>
      </c>
      <c r="I2686" s="105" t="s">
        <v>2310</v>
      </c>
      <c r="J2686" s="93" t="s">
        <v>189</v>
      </c>
      <c r="K2686" s="93">
        <v>4585</v>
      </c>
      <c r="L2686" s="93">
        <v>4585</v>
      </c>
      <c r="M2686" s="93" t="s">
        <v>2311</v>
      </c>
      <c r="N2686" s="93">
        <f>VLOOKUP(B2686,'[16]01.수집 카테고리(List)'!$A$2:$H$64,8,FALSE)</f>
        <v>99991231</v>
      </c>
      <c r="O2686" s="93" t="s">
        <v>646</v>
      </c>
    </row>
    <row r="2687" spans="1:15" hidden="1">
      <c r="A2687" s="75" t="str">
        <f t="shared" si="98"/>
        <v>SGLAZADATVoled TVoled TV</v>
      </c>
      <c r="B2687" s="94" t="str">
        <f t="shared" si="99"/>
        <v>SG_LAZADA</v>
      </c>
      <c r="C2687" s="93" t="s">
        <v>211</v>
      </c>
      <c r="D2687" s="93" t="s">
        <v>215</v>
      </c>
      <c r="E2687" s="93" t="s">
        <v>161</v>
      </c>
      <c r="F2687" s="93" t="s">
        <v>2369</v>
      </c>
      <c r="G2687" s="93" t="s">
        <v>2369</v>
      </c>
      <c r="H2687" s="93" t="e">
        <v>#N/A</v>
      </c>
      <c r="I2687" s="105" t="s">
        <v>2310</v>
      </c>
      <c r="J2687" s="93" t="s">
        <v>189</v>
      </c>
      <c r="K2687" s="93">
        <v>3216</v>
      </c>
      <c r="L2687" s="93">
        <v>3216</v>
      </c>
      <c r="M2687" s="93" t="s">
        <v>2311</v>
      </c>
      <c r="N2687" s="93">
        <f>VLOOKUP(B2687,'[16]01.수집 카테고리(List)'!$A$2:$H$64,8,FALSE)</f>
        <v>99991231</v>
      </c>
      <c r="O2687" s="93" t="s">
        <v>646</v>
      </c>
    </row>
    <row r="2688" spans="1:15" hidden="1">
      <c r="A2688" s="75" t="str">
        <f t="shared" si="98"/>
        <v>SGLAZADATVsmart TVsmart TV</v>
      </c>
      <c r="B2688" s="94" t="str">
        <f t="shared" si="99"/>
        <v>SG_LAZADA</v>
      </c>
      <c r="C2688" s="93" t="s">
        <v>211</v>
      </c>
      <c r="D2688" s="93" t="s">
        <v>215</v>
      </c>
      <c r="E2688" s="93" t="s">
        <v>161</v>
      </c>
      <c r="F2688" s="93" t="s">
        <v>2371</v>
      </c>
      <c r="G2688" s="93" t="s">
        <v>2371</v>
      </c>
      <c r="H2688" s="93" t="e">
        <v>#N/A</v>
      </c>
      <c r="I2688" s="105" t="s">
        <v>2310</v>
      </c>
      <c r="J2688" s="93" t="s">
        <v>189</v>
      </c>
      <c r="K2688" s="93">
        <v>4375</v>
      </c>
      <c r="L2688" s="93">
        <v>4375</v>
      </c>
      <c r="M2688" s="93" t="s">
        <v>2311</v>
      </c>
      <c r="N2688" s="93">
        <f>VLOOKUP(B2688,'[16]01.수집 카테고리(List)'!$A$2:$H$64,8,FALSE)</f>
        <v>99991231</v>
      </c>
      <c r="O2688" s="93" t="s">
        <v>646</v>
      </c>
    </row>
    <row r="2689" spans="1:15" hidden="1">
      <c r="A2689" s="75" t="str">
        <f t="shared" si="98"/>
        <v>SGLAZADATVTVTV</v>
      </c>
      <c r="B2689" s="94" t="str">
        <f t="shared" si="99"/>
        <v>SG_LAZADA</v>
      </c>
      <c r="C2689" s="93" t="s">
        <v>211</v>
      </c>
      <c r="D2689" s="93" t="s">
        <v>215</v>
      </c>
      <c r="E2689" s="93" t="s">
        <v>161</v>
      </c>
      <c r="F2689" s="93" t="s">
        <v>161</v>
      </c>
      <c r="G2689" s="93" t="s">
        <v>161</v>
      </c>
      <c r="H2689" s="93" t="e">
        <v>#N/A</v>
      </c>
      <c r="I2689" s="105" t="s">
        <v>2310</v>
      </c>
      <c r="J2689" s="93" t="s">
        <v>189</v>
      </c>
      <c r="K2689" s="93">
        <v>3663</v>
      </c>
      <c r="L2689" s="93">
        <v>3663</v>
      </c>
      <c r="M2689" s="93" t="s">
        <v>2311</v>
      </c>
      <c r="N2689" s="93">
        <f>VLOOKUP(B2689,'[16]01.수집 카테고리(List)'!$A$2:$H$64,8,FALSE)</f>
        <v>99991231</v>
      </c>
      <c r="O2689" s="93" t="s">
        <v>646</v>
      </c>
    </row>
    <row r="2690" spans="1:15" hidden="1">
      <c r="A2690" s="75" t="str">
        <f t="shared" si="98"/>
        <v>SGLAZADATVuhd TVuhd TV</v>
      </c>
      <c r="B2690" s="94" t="str">
        <f t="shared" si="99"/>
        <v>SG_LAZADA</v>
      </c>
      <c r="C2690" s="93" t="s">
        <v>211</v>
      </c>
      <c r="D2690" s="93" t="s">
        <v>215</v>
      </c>
      <c r="E2690" s="93" t="s">
        <v>161</v>
      </c>
      <c r="F2690" s="93" t="s">
        <v>2399</v>
      </c>
      <c r="G2690" s="93" t="s">
        <v>2399</v>
      </c>
      <c r="H2690" s="93" t="e">
        <v>#N/A</v>
      </c>
      <c r="I2690" s="105" t="s">
        <v>2310</v>
      </c>
      <c r="J2690" s="93" t="s">
        <v>189</v>
      </c>
      <c r="K2690" s="93">
        <v>3569</v>
      </c>
      <c r="L2690" s="93">
        <v>3569</v>
      </c>
      <c r="M2690" s="93" t="s">
        <v>2311</v>
      </c>
      <c r="N2690" s="93">
        <f>VLOOKUP(B2690,'[16]01.수집 카테고리(List)'!$A$2:$H$64,8,FALSE)</f>
        <v>99991231</v>
      </c>
      <c r="O2690" s="93" t="s">
        <v>646</v>
      </c>
    </row>
    <row r="2691" spans="1:15" hidden="1">
      <c r="A2691" s="75" t="str">
        <f t="shared" si="98"/>
        <v>SGLAZADAWashing Machinefront loaderfront loader</v>
      </c>
      <c r="B2691" s="94" t="str">
        <f t="shared" si="99"/>
        <v>SG_LAZADA</v>
      </c>
      <c r="C2691" s="93" t="s">
        <v>211</v>
      </c>
      <c r="D2691" s="93" t="s">
        <v>215</v>
      </c>
      <c r="E2691" s="93" t="s">
        <v>2333</v>
      </c>
      <c r="F2691" s="93" t="s">
        <v>2334</v>
      </c>
      <c r="G2691" s="93" t="s">
        <v>2334</v>
      </c>
      <c r="H2691" s="93" t="e">
        <v>#N/A</v>
      </c>
      <c r="I2691" s="105" t="s">
        <v>2310</v>
      </c>
      <c r="J2691" s="93" t="s">
        <v>189</v>
      </c>
      <c r="K2691" s="93">
        <v>6582</v>
      </c>
      <c r="L2691" s="93">
        <v>6582</v>
      </c>
      <c r="M2691" s="93" t="s">
        <v>2311</v>
      </c>
      <c r="N2691" s="93">
        <f>VLOOKUP(B2691,'[16]01.수집 카테고리(List)'!$A$2:$H$64,8,FALSE)</f>
        <v>99991231</v>
      </c>
      <c r="O2691" s="93" t="s">
        <v>646</v>
      </c>
    </row>
    <row r="2692" spans="1:15" hidden="1">
      <c r="A2692" s="75" t="str">
        <f t="shared" si="98"/>
        <v>SGLAZADAWashing Machinetop loadertop loader</v>
      </c>
      <c r="B2692" s="94" t="str">
        <f t="shared" si="99"/>
        <v>SG_LAZADA</v>
      </c>
      <c r="C2692" s="93" t="s">
        <v>211</v>
      </c>
      <c r="D2692" s="93" t="s">
        <v>215</v>
      </c>
      <c r="E2692" s="93" t="s">
        <v>2333</v>
      </c>
      <c r="F2692" s="93" t="s">
        <v>2336</v>
      </c>
      <c r="G2692" s="93" t="s">
        <v>2336</v>
      </c>
      <c r="H2692" s="93" t="e">
        <v>#N/A</v>
      </c>
      <c r="I2692" s="105" t="s">
        <v>2310</v>
      </c>
      <c r="J2692" s="93" t="s">
        <v>189</v>
      </c>
      <c r="K2692" s="93">
        <v>5326</v>
      </c>
      <c r="L2692" s="93">
        <v>5326</v>
      </c>
      <c r="M2692" s="93" t="s">
        <v>2311</v>
      </c>
      <c r="N2692" s="93">
        <f>VLOOKUP(B2692,'[16]01.수집 카테고리(List)'!$A$2:$H$64,8,FALSE)</f>
        <v>99991231</v>
      </c>
      <c r="O2692" s="93" t="s">
        <v>646</v>
      </c>
    </row>
    <row r="2693" spans="1:15" hidden="1">
      <c r="A2693" s="75" t="str">
        <f t="shared" si="98"/>
        <v>SGLAZADAWashing Machinewasher dryer combowasher dryer</v>
      </c>
      <c r="B2693" s="94" t="str">
        <f t="shared" si="99"/>
        <v>SG_LAZADA</v>
      </c>
      <c r="C2693" s="93" t="s">
        <v>211</v>
      </c>
      <c r="D2693" s="93" t="s">
        <v>215</v>
      </c>
      <c r="E2693" s="93" t="s">
        <v>2333</v>
      </c>
      <c r="F2693" s="93" t="s">
        <v>2338</v>
      </c>
      <c r="G2693" s="93" t="s">
        <v>2339</v>
      </c>
      <c r="H2693" s="93" t="e">
        <v>#N/A</v>
      </c>
      <c r="I2693" s="105" t="s">
        <v>2310</v>
      </c>
      <c r="J2693" s="93" t="s">
        <v>189</v>
      </c>
      <c r="K2693" s="93">
        <v>1820</v>
      </c>
      <c r="L2693" s="93" t="e">
        <v>#N/A</v>
      </c>
      <c r="M2693" s="93" t="s">
        <v>2311</v>
      </c>
      <c r="N2693" s="93">
        <f>VLOOKUP(B2693,'[16]01.수집 카테고리(List)'!$A$2:$H$64,8,FALSE)</f>
        <v>99991231</v>
      </c>
      <c r="O2693" s="93" t="s">
        <v>646</v>
      </c>
    </row>
    <row r="2694" spans="1:15" hidden="1">
      <c r="A2694" s="75" t="str">
        <f t="shared" si="98"/>
        <v>SGLAZADAWashing Machinewashing machinewashing machine</v>
      </c>
      <c r="B2694" s="94" t="str">
        <f t="shared" si="99"/>
        <v>SG_LAZADA</v>
      </c>
      <c r="C2694" s="93" t="s">
        <v>211</v>
      </c>
      <c r="D2694" s="93" t="s">
        <v>215</v>
      </c>
      <c r="E2694" s="93" t="s">
        <v>2333</v>
      </c>
      <c r="F2694" s="93" t="s">
        <v>2340</v>
      </c>
      <c r="G2694" s="93" t="s">
        <v>2340</v>
      </c>
      <c r="H2694" s="93" t="e">
        <v>#N/A</v>
      </c>
      <c r="I2694" s="105" t="s">
        <v>2310</v>
      </c>
      <c r="J2694" s="93" t="s">
        <v>189</v>
      </c>
      <c r="K2694" s="93">
        <v>4056</v>
      </c>
      <c r="L2694" s="93">
        <v>4056</v>
      </c>
      <c r="M2694" s="93" t="s">
        <v>2311</v>
      </c>
      <c r="N2694" s="93">
        <f>VLOOKUP(B2694,'[16]01.수집 카테고리(List)'!$A$2:$H$64,8,FALSE)</f>
        <v>99991231</v>
      </c>
      <c r="O2694" s="93" t="s">
        <v>646</v>
      </c>
    </row>
    <row r="2695" spans="1:15" hidden="1">
      <c r="A2695" s="75" t="str">
        <f t="shared" si="98"/>
        <v>SGLAZADAWireless Headsetearbudsearbuds</v>
      </c>
      <c r="B2695" s="94" t="str">
        <f t="shared" si="99"/>
        <v>SG_LAZADA</v>
      </c>
      <c r="C2695" s="93" t="s">
        <v>211</v>
      </c>
      <c r="D2695" s="93" t="s">
        <v>215</v>
      </c>
      <c r="E2695" s="93" t="s">
        <v>2373</v>
      </c>
      <c r="F2695" s="93" t="s">
        <v>2913</v>
      </c>
      <c r="G2695" s="93" t="s">
        <v>2913</v>
      </c>
      <c r="H2695" s="93" t="e">
        <v>#N/A</v>
      </c>
      <c r="I2695" s="105" t="s">
        <v>2310</v>
      </c>
      <c r="J2695" s="93" t="s">
        <v>189</v>
      </c>
      <c r="K2695" s="93">
        <v>3667</v>
      </c>
      <c r="L2695" s="93">
        <v>3667</v>
      </c>
      <c r="M2695" s="93" t="s">
        <v>2311</v>
      </c>
      <c r="N2695" s="93">
        <f>VLOOKUP(B2695,'[16]01.수집 카테고리(List)'!$A$2:$H$64,8,FALSE)</f>
        <v>99991231</v>
      </c>
      <c r="O2695" s="93" t="s">
        <v>646</v>
      </c>
    </row>
    <row r="2696" spans="1:15" hidden="1">
      <c r="A2696" s="75" t="str">
        <f t="shared" si="98"/>
        <v>SGLAZADAWireless HeadsetIn-ear headphonesIn-ear headphones</v>
      </c>
      <c r="B2696" s="94" t="str">
        <f t="shared" si="99"/>
        <v>SG_LAZADA</v>
      </c>
      <c r="C2696" s="93" t="s">
        <v>211</v>
      </c>
      <c r="D2696" s="93" t="s">
        <v>215</v>
      </c>
      <c r="E2696" s="93" t="s">
        <v>2373</v>
      </c>
      <c r="F2696" s="93" t="s">
        <v>3479</v>
      </c>
      <c r="G2696" s="93" t="s">
        <v>3479</v>
      </c>
      <c r="H2696" s="93" t="e">
        <v>#N/A</v>
      </c>
      <c r="I2696" s="105" t="s">
        <v>2310</v>
      </c>
      <c r="J2696" s="93" t="s">
        <v>189</v>
      </c>
      <c r="K2696" s="93">
        <v>5011</v>
      </c>
      <c r="L2696" s="93">
        <v>5011</v>
      </c>
      <c r="M2696" s="93" t="s">
        <v>2311</v>
      </c>
      <c r="N2696" s="93">
        <f>VLOOKUP(B2696,'[16]01.수집 카테고리(List)'!$A$2:$H$64,8,FALSE)</f>
        <v>99991231</v>
      </c>
      <c r="O2696" s="93" t="s">
        <v>646</v>
      </c>
    </row>
    <row r="2697" spans="1:15" hidden="1">
      <c r="A2697" s="75" t="str">
        <f t="shared" si="98"/>
        <v>SGLAZADAWireless HeadsetIn-ear true wireless headphonesIn-ear true wireless headphones</v>
      </c>
      <c r="B2697" s="94" t="str">
        <f t="shared" si="99"/>
        <v>SG_LAZADA</v>
      </c>
      <c r="C2697" s="93" t="s">
        <v>211</v>
      </c>
      <c r="D2697" s="93" t="s">
        <v>215</v>
      </c>
      <c r="E2697" s="93" t="s">
        <v>2373</v>
      </c>
      <c r="F2697" s="93" t="s">
        <v>3480</v>
      </c>
      <c r="G2697" s="93" t="s">
        <v>3480</v>
      </c>
      <c r="H2697" s="93" t="e">
        <v>#N/A</v>
      </c>
      <c r="I2697" s="105" t="s">
        <v>2310</v>
      </c>
      <c r="J2697" s="93" t="s">
        <v>189</v>
      </c>
      <c r="K2697" s="93">
        <v>7540</v>
      </c>
      <c r="L2697" s="93">
        <v>7540</v>
      </c>
      <c r="M2697" s="93" t="s">
        <v>2311</v>
      </c>
      <c r="N2697" s="93">
        <f>VLOOKUP(B2697,'[16]01.수집 카테고리(List)'!$A$2:$H$64,8,FALSE)</f>
        <v>99991231</v>
      </c>
      <c r="O2697" s="93" t="s">
        <v>646</v>
      </c>
    </row>
    <row r="2698" spans="1:15" hidden="1">
      <c r="A2698" s="75" t="str">
        <f t="shared" si="98"/>
        <v>SGLAZADAWireless HeadsetTrue Wireless EarbudsTrue Wireless Earbuds</v>
      </c>
      <c r="B2698" s="94" t="str">
        <f t="shared" si="99"/>
        <v>SG_LAZADA</v>
      </c>
      <c r="C2698" s="93" t="s">
        <v>211</v>
      </c>
      <c r="D2698" s="93" t="s">
        <v>215</v>
      </c>
      <c r="E2698" s="93" t="s">
        <v>2373</v>
      </c>
      <c r="F2698" s="93" t="s">
        <v>3023</v>
      </c>
      <c r="G2698" s="93" t="s">
        <v>3023</v>
      </c>
      <c r="H2698" s="93" t="e">
        <v>#N/A</v>
      </c>
      <c r="I2698" s="105" t="s">
        <v>2310</v>
      </c>
      <c r="J2698" s="93" t="s">
        <v>189</v>
      </c>
      <c r="K2698" s="93">
        <v>4370</v>
      </c>
      <c r="L2698" s="93">
        <v>4370</v>
      </c>
      <c r="M2698" s="93" t="s">
        <v>2311</v>
      </c>
      <c r="N2698" s="93">
        <f>VLOOKUP(B2698,'[16]01.수집 카테고리(List)'!$A$2:$H$64,8,FALSE)</f>
        <v>99991231</v>
      </c>
      <c r="O2698" s="93" t="s">
        <v>646</v>
      </c>
    </row>
    <row r="2699" spans="1:15" hidden="1">
      <c r="A2699" s="75" t="str">
        <f t="shared" si="98"/>
        <v>SGLAZADAWireless HeadsetWireless EarbudsWireless Earbuds</v>
      </c>
      <c r="B2699" s="94" t="str">
        <f t="shared" si="99"/>
        <v>SG_LAZADA</v>
      </c>
      <c r="C2699" s="93" t="s">
        <v>211</v>
      </c>
      <c r="D2699" s="93" t="s">
        <v>215</v>
      </c>
      <c r="E2699" s="93" t="s">
        <v>2373</v>
      </c>
      <c r="F2699" s="93" t="s">
        <v>2760</v>
      </c>
      <c r="G2699" s="93" t="s">
        <v>2760</v>
      </c>
      <c r="H2699" s="93" t="e">
        <v>#N/A</v>
      </c>
      <c r="I2699" s="105" t="s">
        <v>2310</v>
      </c>
      <c r="J2699" s="93" t="s">
        <v>189</v>
      </c>
      <c r="K2699" s="93">
        <v>4166</v>
      </c>
      <c r="L2699" s="93">
        <v>4166</v>
      </c>
      <c r="M2699" s="93" t="s">
        <v>2311</v>
      </c>
      <c r="N2699" s="93">
        <f>VLOOKUP(B2699,'[16]01.수집 카테고리(List)'!$A$2:$H$64,8,FALSE)</f>
        <v>99991231</v>
      </c>
      <c r="O2699" s="93" t="s">
        <v>646</v>
      </c>
    </row>
    <row r="2700" spans="1:15" ht="17.399999999999999" hidden="1">
      <c r="A2700" s="75" t="str">
        <f t="shared" si="98"/>
        <v>THHOMEPROAir CleanerAir Purifierเครื่องฟอกอากาศ</v>
      </c>
      <c r="B2700" s="94" t="str">
        <f t="shared" si="99"/>
        <v>TH_HOMEPRO</v>
      </c>
      <c r="C2700" s="93" t="s">
        <v>3489</v>
      </c>
      <c r="D2700" s="93" t="s">
        <v>231</v>
      </c>
      <c r="E2700" s="93" t="s">
        <v>2342</v>
      </c>
      <c r="F2700" s="93" t="s">
        <v>2343</v>
      </c>
      <c r="G2700" s="93" t="s">
        <v>3490</v>
      </c>
      <c r="H2700" s="93" t="s">
        <v>3491</v>
      </c>
      <c r="I2700" s="105" t="s">
        <v>2310</v>
      </c>
      <c r="J2700" s="93" t="s">
        <v>189</v>
      </c>
      <c r="K2700" s="93" t="e">
        <v>#N/A</v>
      </c>
      <c r="L2700" s="93">
        <v>5888</v>
      </c>
      <c r="M2700" s="93" t="s">
        <v>2351</v>
      </c>
      <c r="N2700" s="93">
        <f>VLOOKUP(B2700,'[16]01.수집 카테고리(List)'!$A$2:$H$64,8,FALSE)</f>
        <v>99991231</v>
      </c>
      <c r="O2700" s="93" t="s">
        <v>646</v>
      </c>
    </row>
    <row r="2701" spans="1:15" ht="17.399999999999999" hidden="1">
      <c r="A2701" s="75" t="str">
        <f t="shared" si="98"/>
        <v>THHOMEPROAir CleanerAir Cleanerเครื่องฟอกอากาศ</v>
      </c>
      <c r="B2701" s="94" t="str">
        <f t="shared" si="99"/>
        <v>TH_HOMEPRO</v>
      </c>
      <c r="C2701" s="93" t="s">
        <v>230</v>
      </c>
      <c r="D2701" s="93" t="s">
        <v>231</v>
      </c>
      <c r="E2701" s="93" t="s">
        <v>2342</v>
      </c>
      <c r="F2701" s="93" t="s">
        <v>2342</v>
      </c>
      <c r="G2701" s="93" t="s">
        <v>3490</v>
      </c>
      <c r="H2701" s="93" t="s">
        <v>3491</v>
      </c>
      <c r="I2701" s="105" t="s">
        <v>2310</v>
      </c>
      <c r="J2701" s="93" t="s">
        <v>189</v>
      </c>
      <c r="K2701" s="93" t="e">
        <v>#N/A</v>
      </c>
      <c r="L2701" s="93">
        <v>5958</v>
      </c>
      <c r="M2701" s="93" t="s">
        <v>2351</v>
      </c>
      <c r="N2701" s="93">
        <f>VLOOKUP(B2701,'[16]01.수집 카테고리(List)'!$A$2:$H$64,8,FALSE)</f>
        <v>99991231</v>
      </c>
      <c r="O2701" s="93" t="s">
        <v>646</v>
      </c>
    </row>
    <row r="2702" spans="1:15" ht="17.399999999999999" hidden="1">
      <c r="A2702" s="75" t="str">
        <f t="shared" si="98"/>
        <v>THHOMEPROAir CleanerAir Treatmentรักษาอากาศ</v>
      </c>
      <c r="B2702" s="94" t="str">
        <f t="shared" si="99"/>
        <v>TH_HOMEPRO</v>
      </c>
      <c r="C2702" s="93" t="s">
        <v>230</v>
      </c>
      <c r="D2702" s="93" t="s">
        <v>231</v>
      </c>
      <c r="E2702" s="93" t="s">
        <v>2342</v>
      </c>
      <c r="F2702" s="93" t="s">
        <v>2345</v>
      </c>
      <c r="G2702" s="93" t="s">
        <v>3492</v>
      </c>
      <c r="H2702" s="93" t="s">
        <v>3491</v>
      </c>
      <c r="I2702" s="105" t="s">
        <v>2310</v>
      </c>
      <c r="J2702" s="93" t="s">
        <v>189</v>
      </c>
      <c r="K2702" s="93" t="e">
        <v>#N/A</v>
      </c>
      <c r="L2702" s="93">
        <v>1169</v>
      </c>
      <c r="M2702" s="93" t="s">
        <v>2351</v>
      </c>
      <c r="N2702" s="93">
        <f>VLOOKUP(B2702,'[16]01.수집 카테고리(List)'!$A$2:$H$64,8,FALSE)</f>
        <v>99991231</v>
      </c>
      <c r="O2702" s="93" t="s">
        <v>646</v>
      </c>
    </row>
    <row r="2703" spans="1:15" hidden="1">
      <c r="A2703" s="75" t="str">
        <f t="shared" si="98"/>
        <v>THHOMEPROAir Conditionerair conditionerแอร์</v>
      </c>
      <c r="B2703" s="94" t="str">
        <f t="shared" si="99"/>
        <v>TH_HOMEPRO</v>
      </c>
      <c r="C2703" s="93" t="s">
        <v>230</v>
      </c>
      <c r="D2703" s="93" t="s">
        <v>231</v>
      </c>
      <c r="E2703" s="93" t="s">
        <v>2346</v>
      </c>
      <c r="F2703" s="93" t="s">
        <v>2347</v>
      </c>
      <c r="G2703" s="245" t="s">
        <v>3493</v>
      </c>
      <c r="H2703" s="93" t="s">
        <v>3491</v>
      </c>
      <c r="I2703" s="105" t="s">
        <v>2310</v>
      </c>
      <c r="J2703" s="93" t="s">
        <v>189</v>
      </c>
      <c r="K2703" s="93" t="e">
        <v>#N/A</v>
      </c>
      <c r="L2703" s="93">
        <v>10478</v>
      </c>
      <c r="M2703" s="93" t="s">
        <v>2351</v>
      </c>
      <c r="N2703" s="93">
        <f>VLOOKUP(B2703,'[16]01.수집 카테고리(List)'!$A$2:$H$64,8,FALSE)</f>
        <v>99991231</v>
      </c>
      <c r="O2703" s="93" t="s">
        <v>646</v>
      </c>
    </row>
    <row r="2704" spans="1:15" hidden="1">
      <c r="A2704" s="75" t="str">
        <f t="shared" si="98"/>
        <v>THHOMEPROAir Conditionerinverter air conditionerแอร์ inverter</v>
      </c>
      <c r="B2704" s="94" t="str">
        <f t="shared" si="99"/>
        <v>TH_HOMEPRO</v>
      </c>
      <c r="C2704" s="93" t="s">
        <v>230</v>
      </c>
      <c r="D2704" s="93" t="s">
        <v>231</v>
      </c>
      <c r="E2704" s="93" t="s">
        <v>2346</v>
      </c>
      <c r="F2704" s="93" t="s">
        <v>2348</v>
      </c>
      <c r="G2704" s="246" t="s">
        <v>3494</v>
      </c>
      <c r="H2704" s="93" t="s">
        <v>3491</v>
      </c>
      <c r="I2704" s="105" t="s">
        <v>2310</v>
      </c>
      <c r="J2704" s="93" t="s">
        <v>189</v>
      </c>
      <c r="K2704" s="93" t="e">
        <v>#N/A</v>
      </c>
      <c r="L2704" s="93">
        <v>3084</v>
      </c>
      <c r="M2704" s="93" t="s">
        <v>2351</v>
      </c>
      <c r="N2704" s="93">
        <f>VLOOKUP(B2704,'[16]01.수집 카테고리(List)'!$A$2:$H$64,8,FALSE)</f>
        <v>99991231</v>
      </c>
      <c r="O2704" s="93" t="s">
        <v>646</v>
      </c>
    </row>
    <row r="2705" spans="1:15" hidden="1">
      <c r="A2705" s="75" t="str">
        <f t="shared" si="98"/>
        <v>THHOMEPROBluetooth Speakerspeakersลำโพง</v>
      </c>
      <c r="B2705" s="94" t="str">
        <f t="shared" si="99"/>
        <v>TH_HOMEPRO</v>
      </c>
      <c r="C2705" s="93" t="s">
        <v>230</v>
      </c>
      <c r="D2705" s="93" t="s">
        <v>231</v>
      </c>
      <c r="E2705" s="93" t="s">
        <v>2307</v>
      </c>
      <c r="F2705" s="93" t="s">
        <v>2471</v>
      </c>
      <c r="G2705" s="245" t="s">
        <v>3495</v>
      </c>
      <c r="H2705" s="93" t="s">
        <v>3491</v>
      </c>
      <c r="I2705" s="105" t="s">
        <v>2310</v>
      </c>
      <c r="J2705" s="93" t="s">
        <v>189</v>
      </c>
      <c r="K2705" s="93" t="e">
        <v>#N/A</v>
      </c>
      <c r="L2705" s="93">
        <v>620</v>
      </c>
      <c r="M2705" s="93" t="s">
        <v>2351</v>
      </c>
      <c r="N2705" s="93">
        <f>VLOOKUP(B2705,'[16]01.수집 카테고리(List)'!$A$2:$H$64,8,FALSE)</f>
        <v>99991231</v>
      </c>
      <c r="O2705" s="93" t="s">
        <v>646</v>
      </c>
    </row>
    <row r="2706" spans="1:15" hidden="1">
      <c r="A2706" s="75" t="str">
        <f t="shared" si="98"/>
        <v>THHOMEPROBluetooth Speakerportable bluetooth speakerลำโพงบลูทูธแบบพกพา</v>
      </c>
      <c r="B2706" s="94" t="str">
        <f t="shared" si="99"/>
        <v>TH_HOMEPRO</v>
      </c>
      <c r="C2706" s="93" t="s">
        <v>230</v>
      </c>
      <c r="D2706" s="93" t="s">
        <v>231</v>
      </c>
      <c r="E2706" s="93" t="s">
        <v>2307</v>
      </c>
      <c r="F2706" s="93" t="s">
        <v>3496</v>
      </c>
      <c r="G2706" s="245" t="s">
        <v>3497</v>
      </c>
      <c r="H2706" s="93" t="s">
        <v>3491</v>
      </c>
      <c r="I2706" s="105" t="s">
        <v>3498</v>
      </c>
      <c r="J2706" s="93" t="s">
        <v>189</v>
      </c>
      <c r="K2706" s="93" t="e">
        <v>#N/A</v>
      </c>
      <c r="L2706" s="93">
        <v>740</v>
      </c>
      <c r="M2706" s="93" t="s">
        <v>2351</v>
      </c>
      <c r="N2706" s="93">
        <f>VLOOKUP(B2706,'[16]01.수집 카테고리(List)'!$A$2:$H$64,8,FALSE)</f>
        <v>99991231</v>
      </c>
      <c r="O2706" s="93" t="s">
        <v>646</v>
      </c>
    </row>
    <row r="2707" spans="1:15" hidden="1">
      <c r="A2707" s="75" t="str">
        <f t="shared" si="98"/>
        <v>THHOMEPROBluetooth Speakerbluetooth speaker portableลำโพงบลูทูธพกพา</v>
      </c>
      <c r="B2707" s="94" t="str">
        <f t="shared" si="99"/>
        <v>TH_HOMEPRO</v>
      </c>
      <c r="C2707" s="93" t="s">
        <v>230</v>
      </c>
      <c r="D2707" s="93" t="s">
        <v>231</v>
      </c>
      <c r="E2707" s="93" t="s">
        <v>2307</v>
      </c>
      <c r="F2707" s="93" t="s">
        <v>2479</v>
      </c>
      <c r="G2707" s="245" t="s">
        <v>3499</v>
      </c>
      <c r="H2707" s="93" t="s">
        <v>3491</v>
      </c>
      <c r="I2707" s="105" t="s">
        <v>3498</v>
      </c>
      <c r="J2707" s="93" t="s">
        <v>189</v>
      </c>
      <c r="K2707" s="93" t="e">
        <v>#N/A</v>
      </c>
      <c r="L2707" s="93">
        <v>1442</v>
      </c>
      <c r="M2707" s="93" t="s">
        <v>2351</v>
      </c>
      <c r="N2707" s="93">
        <f>VLOOKUP(B2707,'[16]01.수집 카테고리(List)'!$A$2:$H$64,8,FALSE)</f>
        <v>99991231</v>
      </c>
      <c r="O2707" s="93" t="s">
        <v>646</v>
      </c>
    </row>
    <row r="2708" spans="1:15" hidden="1">
      <c r="A2708" s="75" t="str">
        <f t="shared" si="98"/>
        <v>THHOMEPROBluetooth SpeakerPortable bluetooth speakersลำโพงบลูทูธพกพา</v>
      </c>
      <c r="B2708" s="94" t="str">
        <f t="shared" si="99"/>
        <v>TH_HOMEPRO</v>
      </c>
      <c r="C2708" s="93" t="s">
        <v>230</v>
      </c>
      <c r="D2708" s="93" t="s">
        <v>231</v>
      </c>
      <c r="E2708" s="93" t="s">
        <v>2307</v>
      </c>
      <c r="F2708" s="93" t="s">
        <v>3500</v>
      </c>
      <c r="G2708" s="245" t="s">
        <v>3499</v>
      </c>
      <c r="H2708" s="93" t="s">
        <v>3491</v>
      </c>
      <c r="I2708" s="105" t="s">
        <v>3498</v>
      </c>
      <c r="J2708" s="93" t="s">
        <v>189</v>
      </c>
      <c r="K2708" s="93" t="e">
        <v>#N/A</v>
      </c>
      <c r="L2708" s="93" t="e">
        <v>#N/A</v>
      </c>
      <c r="M2708" s="93" t="s">
        <v>2393</v>
      </c>
      <c r="N2708" s="93">
        <f>VLOOKUP(B2708,'[16]01.수집 카테고리(List)'!$A$2:$H$64,8,FALSE)</f>
        <v>99991231</v>
      </c>
      <c r="O2708" s="93" t="s">
        <v>646</v>
      </c>
    </row>
    <row r="2709" spans="1:15" hidden="1">
      <c r="A2709" s="75" t="str">
        <f t="shared" si="98"/>
        <v>THHOMEPROBluetooth Speakerportable speakersลำโพงพกพา</v>
      </c>
      <c r="B2709" s="94" t="str">
        <f t="shared" si="99"/>
        <v>TH_HOMEPRO</v>
      </c>
      <c r="C2709" s="93" t="s">
        <v>230</v>
      </c>
      <c r="D2709" s="93" t="s">
        <v>3501</v>
      </c>
      <c r="E2709" s="93" t="s">
        <v>2307</v>
      </c>
      <c r="F2709" s="93" t="s">
        <v>3502</v>
      </c>
      <c r="G2709" s="245" t="s">
        <v>3503</v>
      </c>
      <c r="H2709" s="93" t="s">
        <v>3491</v>
      </c>
      <c r="I2709" s="105" t="s">
        <v>2310</v>
      </c>
      <c r="J2709" s="93" t="s">
        <v>189</v>
      </c>
      <c r="K2709" s="93" t="e">
        <v>#N/A</v>
      </c>
      <c r="L2709" s="93">
        <v>48</v>
      </c>
      <c r="M2709" s="93" t="s">
        <v>2351</v>
      </c>
      <c r="N2709" s="93">
        <f>VLOOKUP(B2709,'[16]01.수집 카테고리(List)'!$A$2:$H$64,8,FALSE)</f>
        <v>99991231</v>
      </c>
      <c r="O2709" s="93" t="s">
        <v>646</v>
      </c>
    </row>
    <row r="2710" spans="1:15" ht="17.399999999999999" hidden="1">
      <c r="A2710" s="75" t="str">
        <f t="shared" si="98"/>
        <v>THHOMEPROBluetooth Speakerbluetooth speakerลำโพงบลูทูธ</v>
      </c>
      <c r="B2710" s="94" t="str">
        <f t="shared" si="99"/>
        <v>TH_HOMEPRO</v>
      </c>
      <c r="C2710" s="93" t="s">
        <v>230</v>
      </c>
      <c r="D2710" s="93" t="s">
        <v>231</v>
      </c>
      <c r="E2710" s="93" t="s">
        <v>2307</v>
      </c>
      <c r="F2710" s="93" t="s">
        <v>2657</v>
      </c>
      <c r="G2710" s="93" t="s">
        <v>3504</v>
      </c>
      <c r="H2710" s="93" t="s">
        <v>3491</v>
      </c>
      <c r="I2710" s="105" t="s">
        <v>2310</v>
      </c>
      <c r="J2710" s="93" t="s">
        <v>189</v>
      </c>
      <c r="K2710" s="93" t="e">
        <v>#N/A</v>
      </c>
      <c r="L2710" s="93">
        <v>740</v>
      </c>
      <c r="M2710" s="93" t="s">
        <v>2351</v>
      </c>
      <c r="N2710" s="93">
        <f>VLOOKUP(B2710,'[16]01.수집 카테고리(List)'!$A$2:$H$64,8,FALSE)</f>
        <v>99991231</v>
      </c>
      <c r="O2710" s="93" t="s">
        <v>646</v>
      </c>
    </row>
    <row r="2711" spans="1:15" ht="17.399999999999999" hidden="1">
      <c r="A2711" s="75" t="str">
        <f t="shared" si="98"/>
        <v>THHOMEPROBluetooth Speakerportable speakerลำโพงพกพา</v>
      </c>
      <c r="B2711" s="94" t="str">
        <f t="shared" si="99"/>
        <v>TH_HOMEPRO</v>
      </c>
      <c r="C2711" s="93" t="s">
        <v>230</v>
      </c>
      <c r="D2711" s="93" t="s">
        <v>231</v>
      </c>
      <c r="E2711" s="93" t="s">
        <v>2307</v>
      </c>
      <c r="F2711" s="93" t="s">
        <v>2875</v>
      </c>
      <c r="G2711" s="93" t="s">
        <v>3505</v>
      </c>
      <c r="H2711" s="93" t="s">
        <v>3491</v>
      </c>
      <c r="I2711" s="105" t="s">
        <v>2310</v>
      </c>
      <c r="J2711" s="93" t="s">
        <v>189</v>
      </c>
      <c r="K2711" s="93" t="e">
        <v>#N/A</v>
      </c>
      <c r="L2711" s="93">
        <v>48</v>
      </c>
      <c r="M2711" s="93" t="s">
        <v>2351</v>
      </c>
      <c r="N2711" s="93">
        <f>VLOOKUP(B2711,'[16]01.수집 카테고리(List)'!$A$2:$H$64,8,FALSE)</f>
        <v>99991231</v>
      </c>
      <c r="O2711" s="93" t="s">
        <v>646</v>
      </c>
    </row>
    <row r="2712" spans="1:15" ht="17.399999999999999" hidden="1">
      <c r="A2712" s="75" t="str">
        <f t="shared" si="98"/>
        <v>THHOMEPRORefrigeratorrefrigeratorตู้เย็น</v>
      </c>
      <c r="B2712" s="94" t="str">
        <f t="shared" si="99"/>
        <v>TH_HOMEPRO</v>
      </c>
      <c r="C2712" s="93" t="s">
        <v>230</v>
      </c>
      <c r="D2712" s="93" t="s">
        <v>231</v>
      </c>
      <c r="E2712" s="93" t="s">
        <v>2326</v>
      </c>
      <c r="F2712" s="93" t="s">
        <v>2329</v>
      </c>
      <c r="G2712" s="93" t="s">
        <v>3506</v>
      </c>
      <c r="H2712" s="93" t="s">
        <v>3491</v>
      </c>
      <c r="I2712" s="105" t="s">
        <v>2310</v>
      </c>
      <c r="J2712" s="93" t="s">
        <v>189</v>
      </c>
      <c r="K2712" s="93" t="e">
        <v>#N/A</v>
      </c>
      <c r="L2712" s="93">
        <v>39046</v>
      </c>
      <c r="M2712" s="93" t="s">
        <v>2351</v>
      </c>
      <c r="N2712" s="93">
        <f>VLOOKUP(B2712,'[16]01.수집 카테고리(List)'!$A$2:$H$64,8,FALSE)</f>
        <v>99991231</v>
      </c>
      <c r="O2712" s="93" t="s">
        <v>646</v>
      </c>
    </row>
    <row r="2713" spans="1:15" ht="17.399999999999999" hidden="1">
      <c r="A2713" s="75" t="str">
        <f t="shared" si="98"/>
        <v>THHOMEPRORefrigeratortop freezer refrigeratorตู้เย็น 2 ประตู</v>
      </c>
      <c r="B2713" s="94" t="str">
        <f t="shared" si="99"/>
        <v>TH_HOMEPRO</v>
      </c>
      <c r="C2713" s="93" t="s">
        <v>230</v>
      </c>
      <c r="D2713" s="93" t="s">
        <v>231</v>
      </c>
      <c r="E2713" s="93" t="s">
        <v>2326</v>
      </c>
      <c r="F2713" s="93" t="s">
        <v>2332</v>
      </c>
      <c r="G2713" s="93" t="s">
        <v>3507</v>
      </c>
      <c r="H2713" s="93" t="s">
        <v>3491</v>
      </c>
      <c r="I2713" s="105" t="s">
        <v>2310</v>
      </c>
      <c r="J2713" s="93" t="s">
        <v>189</v>
      </c>
      <c r="K2713" s="93" t="e">
        <v>#N/A</v>
      </c>
      <c r="L2713" s="93">
        <v>8607</v>
      </c>
      <c r="M2713" s="93" t="s">
        <v>2351</v>
      </c>
      <c r="N2713" s="93">
        <f>VLOOKUP(B2713,'[16]01.수집 카테고리(List)'!$A$2:$H$64,8,FALSE)</f>
        <v>99991231</v>
      </c>
      <c r="O2713" s="93" t="s">
        <v>646</v>
      </c>
    </row>
    <row r="2714" spans="1:15" ht="17.399999999999999" hidden="1">
      <c r="A2714" s="75" t="str">
        <f t="shared" si="98"/>
        <v>THHOMEPRORefrigeratorfrench door refrigeratorตู้เย็น Multi Door</v>
      </c>
      <c r="B2714" s="94" t="str">
        <f t="shared" si="99"/>
        <v>TH_HOMEPRO</v>
      </c>
      <c r="C2714" s="93" t="s">
        <v>230</v>
      </c>
      <c r="D2714" s="93" t="s">
        <v>231</v>
      </c>
      <c r="E2714" s="93" t="s">
        <v>2326</v>
      </c>
      <c r="F2714" s="93" t="s">
        <v>2328</v>
      </c>
      <c r="G2714" s="93" t="s">
        <v>3508</v>
      </c>
      <c r="H2714" s="93" t="s">
        <v>3491</v>
      </c>
      <c r="I2714" s="105" t="s">
        <v>2310</v>
      </c>
      <c r="J2714" s="93" t="s">
        <v>189</v>
      </c>
      <c r="K2714" s="93" t="e">
        <v>#N/A</v>
      </c>
      <c r="L2714" s="93">
        <v>9564</v>
      </c>
      <c r="M2714" s="93" t="s">
        <v>2351</v>
      </c>
      <c r="N2714" s="93">
        <f>VLOOKUP(B2714,'[16]01.수집 카테고리(List)'!$A$2:$H$64,8,FALSE)</f>
        <v>99991231</v>
      </c>
      <c r="O2714" s="93" t="s">
        <v>646</v>
      </c>
    </row>
    <row r="2715" spans="1:15" ht="17.399999999999999" hidden="1">
      <c r="A2715" s="75" t="str">
        <f t="shared" si="98"/>
        <v>THHOMEPRORefrigeratorside by side refrigeratorตู้เย็น side by side</v>
      </c>
      <c r="B2715" s="94" t="str">
        <f t="shared" si="99"/>
        <v>TH_HOMEPRO</v>
      </c>
      <c r="C2715" s="93" t="s">
        <v>230</v>
      </c>
      <c r="D2715" s="93" t="s">
        <v>231</v>
      </c>
      <c r="E2715" s="93" t="s">
        <v>2326</v>
      </c>
      <c r="F2715" s="93" t="s">
        <v>2330</v>
      </c>
      <c r="G2715" s="93" t="s">
        <v>3509</v>
      </c>
      <c r="H2715" s="93" t="s">
        <v>3491</v>
      </c>
      <c r="I2715" s="105" t="s">
        <v>2310</v>
      </c>
      <c r="J2715" s="93" t="s">
        <v>189</v>
      </c>
      <c r="K2715" s="93" t="e">
        <v>#N/A</v>
      </c>
      <c r="L2715" s="93">
        <v>15650</v>
      </c>
      <c r="M2715" s="93" t="s">
        <v>2351</v>
      </c>
      <c r="N2715" s="93">
        <f>VLOOKUP(B2715,'[16]01.수집 카테고리(List)'!$A$2:$H$64,8,FALSE)</f>
        <v>99991231</v>
      </c>
      <c r="O2715" s="93" t="s">
        <v>646</v>
      </c>
    </row>
    <row r="2716" spans="1:15" ht="17.399999999999999" hidden="1">
      <c r="A2716" s="75" t="str">
        <f t="shared" si="98"/>
        <v>THHOMEPROSOUNDBARsound barซาวด์บาร์</v>
      </c>
      <c r="B2716" s="94" t="str">
        <f t="shared" si="99"/>
        <v>TH_HOMEPRO</v>
      </c>
      <c r="C2716" s="93" t="s">
        <v>230</v>
      </c>
      <c r="D2716" s="93" t="s">
        <v>231</v>
      </c>
      <c r="E2716" s="93" t="s">
        <v>165</v>
      </c>
      <c r="F2716" s="93" t="s">
        <v>2529</v>
      </c>
      <c r="G2716" s="93" t="s">
        <v>3510</v>
      </c>
      <c r="H2716" s="93" t="s">
        <v>3491</v>
      </c>
      <c r="I2716" s="105" t="s">
        <v>2310</v>
      </c>
      <c r="J2716" s="93" t="s">
        <v>189</v>
      </c>
      <c r="K2716" s="93" t="e">
        <v>#N/A</v>
      </c>
      <c r="L2716" s="93">
        <v>37</v>
      </c>
      <c r="M2716" s="93" t="s">
        <v>2351</v>
      </c>
      <c r="N2716" s="93">
        <f>VLOOKUP(B2716,'[16]01.수집 카테고리(List)'!$A$2:$H$64,8,FALSE)</f>
        <v>99991231</v>
      </c>
      <c r="O2716" s="93" t="s">
        <v>646</v>
      </c>
    </row>
    <row r="2717" spans="1:15" ht="17.399999999999999" hidden="1">
      <c r="A2717" s="75" t="str">
        <f t="shared" si="98"/>
        <v>THHOMEPROSOUNDBARsoundbar speakerลำโพงsoundbar</v>
      </c>
      <c r="B2717" s="94" t="str">
        <f t="shared" si="99"/>
        <v>TH_HOMEPRO</v>
      </c>
      <c r="C2717" s="93" t="s">
        <v>230</v>
      </c>
      <c r="D2717" s="93" t="s">
        <v>231</v>
      </c>
      <c r="E2717" s="93" t="s">
        <v>165</v>
      </c>
      <c r="F2717" s="93" t="s">
        <v>2892</v>
      </c>
      <c r="G2717" s="93" t="s">
        <v>3511</v>
      </c>
      <c r="H2717" s="93" t="s">
        <v>3491</v>
      </c>
      <c r="I2717" s="105" t="s">
        <v>2310</v>
      </c>
      <c r="J2717" s="93" t="s">
        <v>189</v>
      </c>
      <c r="K2717" s="93" t="e">
        <v>#N/A</v>
      </c>
      <c r="L2717" s="93">
        <v>178</v>
      </c>
      <c r="M2717" s="93" t="s">
        <v>2351</v>
      </c>
      <c r="N2717" s="93">
        <f>VLOOKUP(B2717,'[16]01.수집 카테고리(List)'!$A$2:$H$64,8,FALSE)</f>
        <v>99991231</v>
      </c>
      <c r="O2717" s="93" t="s">
        <v>646</v>
      </c>
    </row>
    <row r="2718" spans="1:15" ht="17.399999999999999" hidden="1">
      <c r="A2718" s="75" t="str">
        <f t="shared" si="98"/>
        <v>THHOMEPROSOUNDBARsound bar speakerลำโพงซาวด์บาร์</v>
      </c>
      <c r="B2718" s="94" t="str">
        <f t="shared" si="99"/>
        <v>TH_HOMEPRO</v>
      </c>
      <c r="C2718" s="93" t="s">
        <v>230</v>
      </c>
      <c r="D2718" s="93" t="s">
        <v>231</v>
      </c>
      <c r="E2718" s="93" t="s">
        <v>165</v>
      </c>
      <c r="F2718" s="93" t="s">
        <v>3512</v>
      </c>
      <c r="G2718" s="93" t="s">
        <v>3513</v>
      </c>
      <c r="H2718" s="93" t="s">
        <v>3491</v>
      </c>
      <c r="I2718" s="105" t="s">
        <v>2310</v>
      </c>
      <c r="J2718" s="93" t="s">
        <v>189</v>
      </c>
      <c r="K2718" s="93" t="e">
        <v>#N/A</v>
      </c>
      <c r="L2718" s="93">
        <v>42</v>
      </c>
      <c r="M2718" s="93" t="s">
        <v>2351</v>
      </c>
      <c r="N2718" s="93">
        <f>VLOOKUP(B2718,'[16]01.수집 카테고리(List)'!$A$2:$H$64,8,FALSE)</f>
        <v>99991231</v>
      </c>
      <c r="O2718" s="93" t="s">
        <v>646</v>
      </c>
    </row>
    <row r="2719" spans="1:15" ht="17.399999999999999" hidden="1">
      <c r="A2719" s="75" t="str">
        <f t="shared" si="98"/>
        <v>THHOMEPROSOUNDBARtv speakerลำโพงทีวี</v>
      </c>
      <c r="B2719" s="94" t="str">
        <f t="shared" si="99"/>
        <v>TH_HOMEPRO</v>
      </c>
      <c r="C2719" s="93" t="s">
        <v>230</v>
      </c>
      <c r="D2719" s="93" t="s">
        <v>231</v>
      </c>
      <c r="E2719" s="93" t="s">
        <v>165</v>
      </c>
      <c r="F2719" s="93" t="s">
        <v>3514</v>
      </c>
      <c r="G2719" s="93" t="s">
        <v>3515</v>
      </c>
      <c r="H2719" s="93" t="s">
        <v>3491</v>
      </c>
      <c r="I2719" s="105" t="s">
        <v>2310</v>
      </c>
      <c r="J2719" s="93" t="s">
        <v>189</v>
      </c>
      <c r="K2719" s="93" t="e">
        <v>#N/A</v>
      </c>
      <c r="L2719" s="93">
        <v>42</v>
      </c>
      <c r="M2719" s="93" t="s">
        <v>2351</v>
      </c>
      <c r="N2719" s="93">
        <f>VLOOKUP(B2719,'[16]01.수집 카테고리(List)'!$A$2:$H$64,8,FALSE)</f>
        <v>99991231</v>
      </c>
      <c r="O2719" s="93" t="s">
        <v>646</v>
      </c>
    </row>
    <row r="2720" spans="1:15" hidden="1">
      <c r="A2720" s="75" t="str">
        <f t="shared" si="98"/>
        <v>THHOMEPROTV4k TV4K ทีวี</v>
      </c>
      <c r="B2720" s="94" t="str">
        <f t="shared" si="99"/>
        <v>TH_HOMEPRO</v>
      </c>
      <c r="C2720" s="93" t="s">
        <v>230</v>
      </c>
      <c r="D2720" s="93" t="s">
        <v>231</v>
      </c>
      <c r="E2720" s="93" t="s">
        <v>161</v>
      </c>
      <c r="F2720" s="93" t="s">
        <v>2368</v>
      </c>
      <c r="G2720" s="93" t="s">
        <v>3516</v>
      </c>
      <c r="H2720" s="93" t="s">
        <v>3491</v>
      </c>
      <c r="I2720" s="105" t="s">
        <v>2310</v>
      </c>
      <c r="J2720" s="93" t="s">
        <v>189</v>
      </c>
      <c r="K2720" s="93" t="e">
        <v>#N/A</v>
      </c>
      <c r="L2720" s="93">
        <v>3754</v>
      </c>
      <c r="M2720" s="93" t="s">
        <v>2351</v>
      </c>
      <c r="N2720" s="93">
        <f>VLOOKUP(B2720,'[16]01.수집 카테고리(List)'!$A$2:$H$64,8,FALSE)</f>
        <v>99991231</v>
      </c>
      <c r="O2720" s="93" t="s">
        <v>646</v>
      </c>
    </row>
    <row r="2721" spans="1:15" hidden="1">
      <c r="A2721" s="75" t="str">
        <f t="shared" si="98"/>
        <v>THHOMEPROTVoled TVOLED TV</v>
      </c>
      <c r="B2721" s="94" t="str">
        <f t="shared" si="99"/>
        <v>TH_HOMEPRO</v>
      </c>
      <c r="C2721" s="93" t="s">
        <v>230</v>
      </c>
      <c r="D2721" s="93" t="s">
        <v>231</v>
      </c>
      <c r="E2721" s="93" t="s">
        <v>161</v>
      </c>
      <c r="F2721" s="93" t="s">
        <v>2369</v>
      </c>
      <c r="G2721" s="93" t="s">
        <v>3517</v>
      </c>
      <c r="H2721" s="93" t="s">
        <v>3491</v>
      </c>
      <c r="I2721" s="105" t="s">
        <v>2310</v>
      </c>
      <c r="J2721" s="93" t="s">
        <v>189</v>
      </c>
      <c r="K2721" s="93">
        <v>3138</v>
      </c>
      <c r="L2721" s="93">
        <v>3138</v>
      </c>
      <c r="M2721" s="93" t="s">
        <v>2311</v>
      </c>
      <c r="N2721" s="93">
        <f>VLOOKUP(B2721,'[16]01.수집 카테고리(List)'!$A$2:$H$64,8,FALSE)</f>
        <v>99991231</v>
      </c>
      <c r="O2721" s="93" t="s">
        <v>646</v>
      </c>
    </row>
    <row r="2722" spans="1:15" hidden="1">
      <c r="A2722" s="75" t="str">
        <f t="shared" si="98"/>
        <v>THHOMEPROTVuhd TVUHD TV</v>
      </c>
      <c r="B2722" s="94" t="str">
        <f t="shared" si="99"/>
        <v>TH_HOMEPRO</v>
      </c>
      <c r="C2722" s="93" t="s">
        <v>230</v>
      </c>
      <c r="D2722" s="93" t="s">
        <v>231</v>
      </c>
      <c r="E2722" s="93" t="s">
        <v>161</v>
      </c>
      <c r="F2722" s="93" t="s">
        <v>2399</v>
      </c>
      <c r="G2722" s="93" t="s">
        <v>2990</v>
      </c>
      <c r="H2722" s="93" t="s">
        <v>3491</v>
      </c>
      <c r="I2722" s="105" t="s">
        <v>2310</v>
      </c>
      <c r="J2722" s="93" t="s">
        <v>189</v>
      </c>
      <c r="K2722" s="93">
        <v>3245</v>
      </c>
      <c r="L2722" s="93">
        <v>3245</v>
      </c>
      <c r="M2722" s="93" t="s">
        <v>2311</v>
      </c>
      <c r="N2722" s="93">
        <f>VLOOKUP(B2722,'[16]01.수집 카테고리(List)'!$A$2:$H$64,8,FALSE)</f>
        <v>99991231</v>
      </c>
      <c r="O2722" s="93" t="s">
        <v>646</v>
      </c>
    </row>
    <row r="2723" spans="1:15" ht="17.399999999999999" hidden="1">
      <c r="A2723" s="75" t="str">
        <f t="shared" ref="A2723:A2782" si="100">C2723&amp;D2723&amp;E2723&amp;F2723&amp;G2723</f>
        <v>THHOMEPROTVTVทีวี</v>
      </c>
      <c r="B2723" s="94" t="str">
        <f t="shared" ref="B2723:B2782" si="101">C2723&amp;"_"&amp;D2723</f>
        <v>TH_HOMEPRO</v>
      </c>
      <c r="C2723" s="93" t="s">
        <v>230</v>
      </c>
      <c r="D2723" s="93" t="s">
        <v>231</v>
      </c>
      <c r="E2723" s="93" t="s">
        <v>161</v>
      </c>
      <c r="F2723" s="93" t="s">
        <v>161</v>
      </c>
      <c r="G2723" s="93" t="s">
        <v>3518</v>
      </c>
      <c r="H2723" s="93" t="s">
        <v>3491</v>
      </c>
      <c r="I2723" s="105" t="s">
        <v>2310</v>
      </c>
      <c r="J2723" s="93" t="s">
        <v>189</v>
      </c>
      <c r="K2723" s="93" t="e">
        <v>#N/A</v>
      </c>
      <c r="L2723" s="93">
        <v>84617</v>
      </c>
      <c r="M2723" s="93" t="s">
        <v>2351</v>
      </c>
      <c r="N2723" s="93">
        <f>VLOOKUP(B2723,'[16]01.수집 카테고리(List)'!$A$2:$H$64,8,FALSE)</f>
        <v>99991231</v>
      </c>
      <c r="O2723" s="93" t="s">
        <v>646</v>
      </c>
    </row>
    <row r="2724" spans="1:15" ht="17.399999999999999" hidden="1">
      <c r="A2724" s="75" t="str">
        <f t="shared" si="100"/>
        <v>THHOMEPROTVsmart TVสมาร์ททีวี</v>
      </c>
      <c r="B2724" s="94" t="str">
        <f t="shared" si="101"/>
        <v>TH_HOMEPRO</v>
      </c>
      <c r="C2724" s="93" t="s">
        <v>230</v>
      </c>
      <c r="D2724" s="93" t="s">
        <v>231</v>
      </c>
      <c r="E2724" s="93" t="s">
        <v>161</v>
      </c>
      <c r="F2724" s="93" t="s">
        <v>2371</v>
      </c>
      <c r="G2724" s="93" t="s">
        <v>3519</v>
      </c>
      <c r="H2724" s="93" t="s">
        <v>3491</v>
      </c>
      <c r="I2724" s="105" t="s">
        <v>2310</v>
      </c>
      <c r="J2724" s="93" t="s">
        <v>189</v>
      </c>
      <c r="K2724" s="93" t="e">
        <v>#N/A</v>
      </c>
      <c r="L2724" s="93">
        <v>330</v>
      </c>
      <c r="M2724" s="93" t="s">
        <v>2351</v>
      </c>
      <c r="N2724" s="93">
        <f>VLOOKUP(B2724,'[16]01.수집 카테고리(List)'!$A$2:$H$64,8,FALSE)</f>
        <v>99991231</v>
      </c>
      <c r="O2724" s="93" t="s">
        <v>646</v>
      </c>
    </row>
    <row r="2725" spans="1:15" ht="17.399999999999999" hidden="1">
      <c r="A2725" s="75" t="str">
        <f t="shared" si="100"/>
        <v>THHOMEPROWashing Machinewashing machineเครื่องซักผ้า</v>
      </c>
      <c r="B2725" s="94" t="str">
        <f t="shared" si="101"/>
        <v>TH_HOMEPRO</v>
      </c>
      <c r="C2725" s="93" t="s">
        <v>230</v>
      </c>
      <c r="D2725" s="93" t="s">
        <v>231</v>
      </c>
      <c r="E2725" s="93" t="s">
        <v>2333</v>
      </c>
      <c r="F2725" s="93" t="s">
        <v>2340</v>
      </c>
      <c r="G2725" s="93" t="s">
        <v>3520</v>
      </c>
      <c r="H2725" s="93" t="s">
        <v>3491</v>
      </c>
      <c r="I2725" s="105" t="s">
        <v>2310</v>
      </c>
      <c r="J2725" s="93" t="s">
        <v>189</v>
      </c>
      <c r="K2725" s="93" t="e">
        <v>#N/A</v>
      </c>
      <c r="L2725" s="93">
        <v>9304</v>
      </c>
      <c r="M2725" s="93" t="s">
        <v>2351</v>
      </c>
      <c r="N2725" s="93">
        <f>VLOOKUP(B2725,'[16]01.수집 카테고리(List)'!$A$2:$H$64,8,FALSE)</f>
        <v>99991231</v>
      </c>
      <c r="O2725" s="93" t="s">
        <v>646</v>
      </c>
    </row>
    <row r="2726" spans="1:15" ht="17.399999999999999" hidden="1">
      <c r="A2726" s="75" t="str">
        <f t="shared" si="100"/>
        <v>THHOMEPROWashing Machinewasher dryer comboเครื่องซักผ้า ซักอบ</v>
      </c>
      <c r="B2726" s="94" t="str">
        <f t="shared" si="101"/>
        <v>TH_HOMEPRO</v>
      </c>
      <c r="C2726" s="93" t="s">
        <v>230</v>
      </c>
      <c r="D2726" s="93" t="s">
        <v>231</v>
      </c>
      <c r="E2726" s="93" t="s">
        <v>2333</v>
      </c>
      <c r="F2726" s="93" t="s">
        <v>2338</v>
      </c>
      <c r="G2726" s="93" t="s">
        <v>3521</v>
      </c>
      <c r="H2726" s="93" t="s">
        <v>3491</v>
      </c>
      <c r="I2726" s="105" t="s">
        <v>2310</v>
      </c>
      <c r="J2726" s="93" t="s">
        <v>189</v>
      </c>
      <c r="K2726" s="93" t="e">
        <v>#N/A</v>
      </c>
      <c r="L2726" s="93">
        <v>279</v>
      </c>
      <c r="M2726" s="93" t="s">
        <v>2351</v>
      </c>
      <c r="N2726" s="93">
        <f>VLOOKUP(B2726,'[16]01.수집 카테고리(List)'!$A$2:$H$64,8,FALSE)</f>
        <v>99991231</v>
      </c>
      <c r="O2726" s="93" t="s">
        <v>646</v>
      </c>
    </row>
    <row r="2727" spans="1:15" ht="17.399999999999999" hidden="1">
      <c r="A2727" s="75" t="str">
        <f t="shared" si="100"/>
        <v>THHOMEPROWashing Machinetop loaderเครื่องซักผ้าฝาบน</v>
      </c>
      <c r="B2727" s="94" t="str">
        <f t="shared" si="101"/>
        <v>TH_HOMEPRO</v>
      </c>
      <c r="C2727" s="93" t="s">
        <v>230</v>
      </c>
      <c r="D2727" s="93" t="s">
        <v>231</v>
      </c>
      <c r="E2727" s="93" t="s">
        <v>2333</v>
      </c>
      <c r="F2727" s="93" t="s">
        <v>2336</v>
      </c>
      <c r="G2727" s="93" t="s">
        <v>3522</v>
      </c>
      <c r="H2727" s="93" t="s">
        <v>3491</v>
      </c>
      <c r="I2727" s="105" t="s">
        <v>2310</v>
      </c>
      <c r="J2727" s="93" t="s">
        <v>189</v>
      </c>
      <c r="K2727" s="93" t="e">
        <v>#N/A</v>
      </c>
      <c r="L2727" s="93">
        <v>144</v>
      </c>
      <c r="M2727" s="93" t="s">
        <v>2351</v>
      </c>
      <c r="N2727" s="93">
        <f>VLOOKUP(B2727,'[16]01.수집 카테고리(List)'!$A$2:$H$64,8,FALSE)</f>
        <v>99991231</v>
      </c>
      <c r="O2727" s="93" t="s">
        <v>646</v>
      </c>
    </row>
    <row r="2728" spans="1:15" ht="17.399999999999999" hidden="1">
      <c r="A2728" s="75" t="str">
        <f t="shared" si="100"/>
        <v>THHOMEPROWashing Machinefront loaderเครื่องซักผ้าฝาหน้า</v>
      </c>
      <c r="B2728" s="94" t="str">
        <f t="shared" si="101"/>
        <v>TH_HOMEPRO</v>
      </c>
      <c r="C2728" s="93" t="s">
        <v>230</v>
      </c>
      <c r="D2728" s="93" t="s">
        <v>231</v>
      </c>
      <c r="E2728" s="93" t="s">
        <v>2333</v>
      </c>
      <c r="F2728" s="93" t="s">
        <v>2334</v>
      </c>
      <c r="G2728" s="93" t="s">
        <v>3523</v>
      </c>
      <c r="H2728" s="93" t="s">
        <v>3491</v>
      </c>
      <c r="I2728" s="105" t="s">
        <v>2310</v>
      </c>
      <c r="J2728" s="93" t="s">
        <v>189</v>
      </c>
      <c r="K2728" s="93" t="e">
        <v>#N/A</v>
      </c>
      <c r="L2728" s="93">
        <v>212</v>
      </c>
      <c r="M2728" s="93" t="s">
        <v>2351</v>
      </c>
      <c r="N2728" s="93">
        <f>VLOOKUP(B2728,'[16]01.수집 카테고리(List)'!$A$2:$H$64,8,FALSE)</f>
        <v>99991231</v>
      </c>
      <c r="O2728" s="93" t="s">
        <v>646</v>
      </c>
    </row>
    <row r="2729" spans="1:15" ht="17.399999999999999" hidden="1">
      <c r="A2729" s="75" t="str">
        <f t="shared" si="100"/>
        <v>THHOMEPROWireless Headsetearbudsหูฟัง</v>
      </c>
      <c r="B2729" s="94" t="str">
        <f t="shared" si="101"/>
        <v>TH_HOMEPRO</v>
      </c>
      <c r="C2729" s="93" t="s">
        <v>230</v>
      </c>
      <c r="D2729" s="93" t="s">
        <v>231</v>
      </c>
      <c r="E2729" s="93" t="s">
        <v>2373</v>
      </c>
      <c r="F2729" s="93" t="s">
        <v>2913</v>
      </c>
      <c r="G2729" s="93" t="s">
        <v>3524</v>
      </c>
      <c r="H2729" s="93" t="s">
        <v>3491</v>
      </c>
      <c r="I2729" s="105" t="s">
        <v>2310</v>
      </c>
      <c r="J2729" s="93" t="s">
        <v>189</v>
      </c>
      <c r="K2729" s="93" t="e">
        <v>#N/A</v>
      </c>
      <c r="L2729" s="93">
        <v>82</v>
      </c>
      <c r="M2729" s="93" t="s">
        <v>2351</v>
      </c>
      <c r="N2729" s="93">
        <f>VLOOKUP(B2729,'[16]01.수집 카테고리(List)'!$A$2:$H$64,8,FALSE)</f>
        <v>99991231</v>
      </c>
      <c r="O2729" s="93" t="s">
        <v>646</v>
      </c>
    </row>
    <row r="2730" spans="1:15" ht="17.399999999999999" hidden="1">
      <c r="A2730" s="75" t="str">
        <f t="shared" si="100"/>
        <v>THHOMEPROWireless HeadsetIn-ear headphonesหูฟังแบบใส่ในหู</v>
      </c>
      <c r="B2730" s="94" t="str">
        <f t="shared" si="101"/>
        <v>TH_HOMEPRO</v>
      </c>
      <c r="C2730" s="93" t="s">
        <v>230</v>
      </c>
      <c r="D2730" s="93" t="s">
        <v>231</v>
      </c>
      <c r="E2730" s="93" t="s">
        <v>2373</v>
      </c>
      <c r="F2730" s="93" t="s">
        <v>3479</v>
      </c>
      <c r="G2730" s="93" t="s">
        <v>3525</v>
      </c>
      <c r="H2730" s="93" t="s">
        <v>3491</v>
      </c>
      <c r="I2730" s="105" t="s">
        <v>2310</v>
      </c>
      <c r="J2730" s="93" t="s">
        <v>189</v>
      </c>
      <c r="K2730" s="93" t="e">
        <v>#N/A</v>
      </c>
      <c r="L2730" s="93">
        <v>1907</v>
      </c>
      <c r="M2730" s="93" t="s">
        <v>2351</v>
      </c>
      <c r="N2730" s="93">
        <f>VLOOKUP(B2730,'[16]01.수집 카테고리(List)'!$A$2:$H$64,8,FALSE)</f>
        <v>99991231</v>
      </c>
      <c r="O2730" s="93" t="s">
        <v>646</v>
      </c>
    </row>
    <row r="2731" spans="1:15" ht="17.399999999999999" hidden="1">
      <c r="A2731" s="75" t="str">
        <f t="shared" si="100"/>
        <v>THHOMEPROWireless HeadsetWireless Earbudsหูฟังไร้สาย</v>
      </c>
      <c r="B2731" s="94" t="str">
        <f t="shared" si="101"/>
        <v>TH_HOMEPRO</v>
      </c>
      <c r="C2731" s="93" t="s">
        <v>230</v>
      </c>
      <c r="D2731" s="93" t="s">
        <v>231</v>
      </c>
      <c r="E2731" s="93" t="s">
        <v>2373</v>
      </c>
      <c r="F2731" s="93" t="s">
        <v>2760</v>
      </c>
      <c r="G2731" s="93" t="s">
        <v>3526</v>
      </c>
      <c r="H2731" s="93" t="s">
        <v>3491</v>
      </c>
      <c r="I2731" s="105" t="s">
        <v>2310</v>
      </c>
      <c r="J2731" s="93" t="s">
        <v>189</v>
      </c>
      <c r="K2731" s="93" t="e">
        <v>#N/A</v>
      </c>
      <c r="L2731" s="93">
        <v>13</v>
      </c>
      <c r="M2731" s="93" t="s">
        <v>2351</v>
      </c>
      <c r="N2731" s="93">
        <f>VLOOKUP(B2731,'[16]01.수집 카테고리(List)'!$A$2:$H$64,8,FALSE)</f>
        <v>99991231</v>
      </c>
      <c r="O2731" s="93" t="s">
        <v>646</v>
      </c>
    </row>
    <row r="2732" spans="1:15" ht="17.399999999999999" hidden="1">
      <c r="A2732" s="75" t="str">
        <f t="shared" si="100"/>
        <v>THHOMEPROWireless HeadsetTrue Wireless Earbudsหูฟังไร้สาย</v>
      </c>
      <c r="B2732" s="94" t="str">
        <f t="shared" si="101"/>
        <v>TH_HOMEPRO</v>
      </c>
      <c r="C2732" s="93" t="s">
        <v>230</v>
      </c>
      <c r="D2732" s="93" t="s">
        <v>231</v>
      </c>
      <c r="E2732" s="93" t="s">
        <v>2373</v>
      </c>
      <c r="F2732" s="93" t="s">
        <v>3023</v>
      </c>
      <c r="G2732" s="93" t="s">
        <v>3526</v>
      </c>
      <c r="H2732" s="93" t="s">
        <v>3491</v>
      </c>
      <c r="I2732" s="105" t="s">
        <v>2310</v>
      </c>
      <c r="J2732" s="93" t="s">
        <v>189</v>
      </c>
      <c r="K2732" s="93" t="e">
        <v>#N/A</v>
      </c>
      <c r="L2732" s="93">
        <v>13</v>
      </c>
      <c r="M2732" s="93" t="s">
        <v>2351</v>
      </c>
      <c r="N2732" s="93">
        <f>VLOOKUP(B2732,'[16]01.수집 카테고리(List)'!$A$2:$H$64,8,FALSE)</f>
        <v>99991231</v>
      </c>
      <c r="O2732" s="93" t="s">
        <v>646</v>
      </c>
    </row>
    <row r="2733" spans="1:15" ht="17.399999999999999" hidden="1">
      <c r="A2733" s="75" t="str">
        <f t="shared" si="100"/>
        <v>THHOMEPROWireless HeadsetIn-ear true wireless headphonesหูฟังไร้สายแบบใส่ในหู</v>
      </c>
      <c r="B2733" s="94" t="str">
        <f t="shared" si="101"/>
        <v>TH_HOMEPRO</v>
      </c>
      <c r="C2733" s="93" t="s">
        <v>230</v>
      </c>
      <c r="D2733" s="93" t="s">
        <v>231</v>
      </c>
      <c r="E2733" s="93" t="s">
        <v>2373</v>
      </c>
      <c r="F2733" s="93" t="s">
        <v>3480</v>
      </c>
      <c r="G2733" s="93" t="s">
        <v>3527</v>
      </c>
      <c r="H2733" s="93" t="s">
        <v>3491</v>
      </c>
      <c r="I2733" s="105" t="s">
        <v>2310</v>
      </c>
      <c r="J2733" s="93" t="s">
        <v>189</v>
      </c>
      <c r="K2733" s="93" t="e">
        <v>#N/A</v>
      </c>
      <c r="L2733" s="93">
        <v>1868</v>
      </c>
      <c r="M2733" s="93" t="s">
        <v>2351</v>
      </c>
      <c r="N2733" s="93">
        <f>VLOOKUP(B2733,'[16]01.수집 카테고리(List)'!$A$2:$H$64,8,FALSE)</f>
        <v>99991231</v>
      </c>
      <c r="O2733" s="93" t="s">
        <v>646</v>
      </c>
    </row>
    <row r="2734" spans="1:15" s="81" customFormat="1" ht="17.399999999999999" hidden="1">
      <c r="A2734" s="81" t="str">
        <f t="shared" si="100"/>
        <v>THHOMEPROMONITOR4k monitor4k จอภาพ</v>
      </c>
      <c r="B2734" s="106" t="str">
        <f t="shared" si="101"/>
        <v>TH_HOMEPRO</v>
      </c>
      <c r="C2734" s="107" t="s">
        <v>230</v>
      </c>
      <c r="D2734" s="107" t="s">
        <v>231</v>
      </c>
      <c r="E2734" s="107" t="s">
        <v>2384</v>
      </c>
      <c r="F2734" s="107" t="s">
        <v>2321</v>
      </c>
      <c r="G2734" s="107" t="s">
        <v>3528</v>
      </c>
      <c r="H2734" s="93" t="s">
        <v>3491</v>
      </c>
      <c r="I2734" s="99">
        <v>46076</v>
      </c>
      <c r="J2734" s="83" t="s">
        <v>189</v>
      </c>
      <c r="K2734" s="107"/>
      <c r="L2734" s="107"/>
      <c r="M2734" s="107"/>
      <c r="N2734" s="107"/>
      <c r="O2734" s="107"/>
    </row>
    <row r="2735" spans="1:15" s="81" customFormat="1" ht="17.399999999999999" hidden="1">
      <c r="A2735" s="81" t="str">
        <f t="shared" si="100"/>
        <v>THHOMEPROMONITORgaming monitorgaming จอภาพ</v>
      </c>
      <c r="B2735" s="106" t="str">
        <f t="shared" si="101"/>
        <v>TH_HOMEPRO</v>
      </c>
      <c r="C2735" s="107" t="s">
        <v>230</v>
      </c>
      <c r="D2735" s="107" t="s">
        <v>231</v>
      </c>
      <c r="E2735" s="107" t="s">
        <v>2384</v>
      </c>
      <c r="F2735" s="107" t="s">
        <v>2322</v>
      </c>
      <c r="G2735" s="107" t="s">
        <v>3529</v>
      </c>
      <c r="H2735" s="93" t="s">
        <v>3491</v>
      </c>
      <c r="I2735" s="99">
        <v>46076</v>
      </c>
      <c r="J2735" s="83" t="s">
        <v>189</v>
      </c>
      <c r="K2735" s="107"/>
      <c r="L2735" s="107"/>
      <c r="M2735" s="107"/>
      <c r="N2735" s="107"/>
      <c r="O2735" s="107"/>
    </row>
    <row r="2736" spans="1:15" s="81" customFormat="1" ht="17.399999999999999" hidden="1">
      <c r="A2736" s="81" t="str">
        <f t="shared" si="100"/>
        <v>THHOMEPROMONITORuhd monitoruhd จอภาพ</v>
      </c>
      <c r="B2736" s="106" t="str">
        <f t="shared" si="101"/>
        <v>TH_HOMEPRO</v>
      </c>
      <c r="C2736" s="107" t="s">
        <v>230</v>
      </c>
      <c r="D2736" s="107" t="s">
        <v>231</v>
      </c>
      <c r="E2736" s="107" t="s">
        <v>2384</v>
      </c>
      <c r="F2736" s="107" t="s">
        <v>2324</v>
      </c>
      <c r="G2736" s="107" t="s">
        <v>3530</v>
      </c>
      <c r="H2736" s="93" t="s">
        <v>3491</v>
      </c>
      <c r="I2736" s="99">
        <v>46076</v>
      </c>
      <c r="J2736" s="83" t="s">
        <v>189</v>
      </c>
      <c r="K2736" s="107"/>
      <c r="L2736" s="107"/>
      <c r="M2736" s="107"/>
      <c r="N2736" s="107"/>
      <c r="O2736" s="107"/>
    </row>
    <row r="2737" spans="1:15" s="81" customFormat="1" ht="17.399999999999999" hidden="1">
      <c r="A2737" s="81" t="str">
        <f t="shared" si="100"/>
        <v>THHOMEPROMONITORultrawide monitorultrawide จอภาพ</v>
      </c>
      <c r="B2737" s="106" t="str">
        <f t="shared" si="101"/>
        <v>TH_HOMEPRO</v>
      </c>
      <c r="C2737" s="107" t="s">
        <v>230</v>
      </c>
      <c r="D2737" s="107" t="s">
        <v>231</v>
      </c>
      <c r="E2737" s="107" t="s">
        <v>2384</v>
      </c>
      <c r="F2737" s="107" t="s">
        <v>2325</v>
      </c>
      <c r="G2737" s="107" t="s">
        <v>3531</v>
      </c>
      <c r="H2737" s="93" t="s">
        <v>3491</v>
      </c>
      <c r="I2737" s="99">
        <v>46076</v>
      </c>
      <c r="J2737" s="83" t="s">
        <v>189</v>
      </c>
      <c r="K2737" s="107"/>
      <c r="L2737" s="107"/>
      <c r="M2737" s="107"/>
      <c r="N2737" s="107"/>
      <c r="O2737" s="107"/>
    </row>
    <row r="2738" spans="1:15" s="81" customFormat="1" ht="17.399999999999999" hidden="1">
      <c r="A2738" s="81" t="str">
        <f t="shared" si="100"/>
        <v>THHOMEPROMONITORmonitorจอภาพ</v>
      </c>
      <c r="B2738" s="106" t="str">
        <f t="shared" si="101"/>
        <v>TH_HOMEPRO</v>
      </c>
      <c r="C2738" s="107" t="s">
        <v>230</v>
      </c>
      <c r="D2738" s="107" t="s">
        <v>231</v>
      </c>
      <c r="E2738" s="107" t="s">
        <v>2384</v>
      </c>
      <c r="F2738" s="107" t="s">
        <v>2323</v>
      </c>
      <c r="G2738" s="107" t="s">
        <v>3532</v>
      </c>
      <c r="H2738" s="93" t="s">
        <v>3491</v>
      </c>
      <c r="I2738" s="99">
        <v>46076</v>
      </c>
      <c r="J2738" s="83" t="s">
        <v>189</v>
      </c>
      <c r="K2738" s="107"/>
      <c r="L2738" s="107"/>
      <c r="M2738" s="107"/>
      <c r="N2738" s="107"/>
      <c r="O2738" s="107"/>
    </row>
    <row r="2739" spans="1:15" s="108" customFormat="1" hidden="1">
      <c r="A2739" s="108" t="str">
        <f t="shared" si="100"/>
        <v>THHOMEPRODryerDryerเครื่องอบผ้า</v>
      </c>
      <c r="B2739" s="109" t="str">
        <f t="shared" si="101"/>
        <v>TH_HOMEPRO</v>
      </c>
      <c r="C2739" s="110" t="s">
        <v>230</v>
      </c>
      <c r="D2739" s="110" t="s">
        <v>231</v>
      </c>
      <c r="E2739" s="110" t="s">
        <v>2431</v>
      </c>
      <c r="F2739" s="110" t="s">
        <v>2431</v>
      </c>
      <c r="G2739" s="123" t="s">
        <v>3533</v>
      </c>
      <c r="H2739" s="93" t="s">
        <v>3491</v>
      </c>
      <c r="I2739" s="99">
        <v>46076</v>
      </c>
      <c r="J2739" s="83" t="s">
        <v>189</v>
      </c>
      <c r="K2739" s="110"/>
      <c r="L2739" s="110"/>
      <c r="M2739" s="110"/>
      <c r="N2739" s="110"/>
      <c r="O2739" s="110"/>
    </row>
    <row r="2740" spans="1:15" s="108" customFormat="1" hidden="1">
      <c r="A2740" s="108" t="str">
        <f t="shared" si="100"/>
        <v>THHOMEPRODryerheatpump  ปั๊มความร้อน</v>
      </c>
      <c r="B2740" s="109" t="str">
        <f t="shared" si="101"/>
        <v>TH_HOMEPRO</v>
      </c>
      <c r="C2740" s="110" t="s">
        <v>230</v>
      </c>
      <c r="D2740" s="110" t="s">
        <v>231</v>
      </c>
      <c r="E2740" s="110" t="s">
        <v>2431</v>
      </c>
      <c r="F2740" s="110" t="s">
        <v>2432</v>
      </c>
      <c r="G2740" s="123" t="s">
        <v>3534</v>
      </c>
      <c r="H2740" s="93" t="s">
        <v>3491</v>
      </c>
      <c r="I2740" s="99">
        <v>46076</v>
      </c>
      <c r="J2740" s="83" t="s">
        <v>189</v>
      </c>
      <c r="K2740" s="110"/>
      <c r="L2740" s="110"/>
      <c r="M2740" s="110"/>
      <c r="N2740" s="110"/>
      <c r="O2740" s="110"/>
    </row>
    <row r="2741" spans="1:15" s="108" customFormat="1" hidden="1">
      <c r="A2741" s="108" t="str">
        <f t="shared" si="100"/>
        <v>THHOMEPRODryerLG Dryerเครื่องอบผ้าแอลจี</v>
      </c>
      <c r="B2741" s="109" t="str">
        <f t="shared" si="101"/>
        <v>TH_HOMEPRO</v>
      </c>
      <c r="C2741" s="110" t="s">
        <v>230</v>
      </c>
      <c r="D2741" s="110" t="s">
        <v>231</v>
      </c>
      <c r="E2741" s="110" t="s">
        <v>2431</v>
      </c>
      <c r="F2741" s="110" t="s">
        <v>2434</v>
      </c>
      <c r="G2741" s="123" t="s">
        <v>3535</v>
      </c>
      <c r="H2741" s="93" t="s">
        <v>3491</v>
      </c>
      <c r="I2741" s="99">
        <v>46076</v>
      </c>
      <c r="J2741" s="83" t="s">
        <v>189</v>
      </c>
      <c r="K2741" s="110"/>
      <c r="L2741" s="110"/>
      <c r="M2741" s="110"/>
      <c r="N2741" s="110"/>
      <c r="O2741" s="110"/>
    </row>
    <row r="2742" spans="1:15" ht="14.4" hidden="1">
      <c r="A2742" s="75" t="str">
        <f t="shared" si="100"/>
        <v>THLAZADABluetooth Speakerbluetooth speakerลำโพงบลูทูธ</v>
      </c>
      <c r="B2742" s="94" t="str">
        <f t="shared" si="101"/>
        <v>TH_LAZADA</v>
      </c>
      <c r="C2742" s="93" t="s">
        <v>230</v>
      </c>
      <c r="D2742" s="93" t="s">
        <v>215</v>
      </c>
      <c r="E2742" s="93" t="s">
        <v>2307</v>
      </c>
      <c r="F2742" s="93" t="s">
        <v>2657</v>
      </c>
      <c r="G2742" s="245" t="s">
        <v>3536</v>
      </c>
      <c r="H2742" s="253" t="s">
        <v>3537</v>
      </c>
      <c r="I2742" s="105" t="s">
        <v>2310</v>
      </c>
      <c r="J2742" s="93" t="s">
        <v>189</v>
      </c>
      <c r="K2742" s="93">
        <v>7346</v>
      </c>
      <c r="L2742" s="93" t="e">
        <v>#N/A</v>
      </c>
      <c r="M2742" s="93" t="s">
        <v>2311</v>
      </c>
      <c r="N2742" s="93">
        <f>VLOOKUP(B2742,'[16]01.수집 카테고리(List)'!$A$2:$H$64,8,FALSE)</f>
        <v>99991231</v>
      </c>
      <c r="O2742" s="93" t="s">
        <v>646</v>
      </c>
    </row>
    <row r="2743" spans="1:15" hidden="1">
      <c r="A2743" s="75" t="str">
        <f t="shared" si="100"/>
        <v>THLAZADABluetooth Speakerportable speakersลำโพงพกพา</v>
      </c>
      <c r="B2743" s="94" t="str">
        <f t="shared" si="101"/>
        <v>TH_LAZADA</v>
      </c>
      <c r="C2743" s="93" t="s">
        <v>230</v>
      </c>
      <c r="D2743" s="93" t="s">
        <v>215</v>
      </c>
      <c r="E2743" s="93" t="s">
        <v>2307</v>
      </c>
      <c r="F2743" s="93" t="s">
        <v>2473</v>
      </c>
      <c r="G2743" s="247" t="s">
        <v>3503</v>
      </c>
      <c r="H2743" s="93" t="e">
        <v>#N/A</v>
      </c>
      <c r="I2743" s="105" t="s">
        <v>2310</v>
      </c>
      <c r="J2743" s="93" t="s">
        <v>189</v>
      </c>
      <c r="K2743" s="93">
        <v>8265</v>
      </c>
      <c r="L2743" s="93" t="e">
        <v>#N/A</v>
      </c>
      <c r="M2743" s="93" t="s">
        <v>2311</v>
      </c>
      <c r="N2743" s="93">
        <f>VLOOKUP(B2743,'[16]01.수집 카테고리(List)'!$A$2:$H$64,8,FALSE)</f>
        <v>99991231</v>
      </c>
      <c r="O2743" s="93" t="s">
        <v>646</v>
      </c>
    </row>
    <row r="2744" spans="1:15" ht="17.399999999999999" hidden="1">
      <c r="A2744" s="75" t="str">
        <f t="shared" si="100"/>
        <v>THLAZADABluetooth Speakerportable bluetooth speakerลำโพงบลูทูธแบบพกพา</v>
      </c>
      <c r="B2744" s="94" t="str">
        <f t="shared" si="101"/>
        <v>TH_LAZADA</v>
      </c>
      <c r="C2744" s="93" t="s">
        <v>230</v>
      </c>
      <c r="D2744" s="93" t="s">
        <v>215</v>
      </c>
      <c r="E2744" s="93" t="s">
        <v>2307</v>
      </c>
      <c r="F2744" s="93" t="s">
        <v>3070</v>
      </c>
      <c r="G2744" s="93" t="s">
        <v>3538</v>
      </c>
      <c r="H2744" s="93" t="e">
        <v>#N/A</v>
      </c>
      <c r="I2744" s="105" t="s">
        <v>2310</v>
      </c>
      <c r="J2744" s="93" t="s">
        <v>189</v>
      </c>
      <c r="K2744" s="93">
        <v>7554</v>
      </c>
      <c r="L2744" s="93" t="e">
        <v>#N/A</v>
      </c>
      <c r="M2744" s="93" t="s">
        <v>2311</v>
      </c>
      <c r="N2744" s="93">
        <f>VLOOKUP(B2744,'[16]01.수집 카테고리(List)'!$A$2:$H$64,8,FALSE)</f>
        <v>99991231</v>
      </c>
      <c r="O2744" s="93" t="s">
        <v>646</v>
      </c>
    </row>
    <row r="2745" spans="1:15" ht="17.399999999999999" hidden="1">
      <c r="A2745" s="75" t="str">
        <f t="shared" si="100"/>
        <v>THLAZADABluetooth Speakerportable speakerลำโพงพกพา</v>
      </c>
      <c r="B2745" s="94" t="str">
        <f t="shared" si="101"/>
        <v>TH_LAZADA</v>
      </c>
      <c r="C2745" s="93" t="s">
        <v>230</v>
      </c>
      <c r="D2745" s="93" t="s">
        <v>215</v>
      </c>
      <c r="E2745" s="93" t="s">
        <v>2307</v>
      </c>
      <c r="F2745" s="93" t="s">
        <v>2875</v>
      </c>
      <c r="G2745" s="93" t="s">
        <v>3505</v>
      </c>
      <c r="H2745" s="93" t="e">
        <v>#N/A</v>
      </c>
      <c r="I2745" s="105" t="s">
        <v>2310</v>
      </c>
      <c r="J2745" s="93" t="s">
        <v>189</v>
      </c>
      <c r="K2745" s="93">
        <v>8265</v>
      </c>
      <c r="L2745" s="93" t="e">
        <v>#N/A</v>
      </c>
      <c r="M2745" s="93" t="s">
        <v>2311</v>
      </c>
      <c r="N2745" s="93">
        <f>VLOOKUP(B2745,'[16]01.수집 카테고리(List)'!$A$2:$H$64,8,FALSE)</f>
        <v>99991231</v>
      </c>
      <c r="O2745" s="93" t="s">
        <v>646</v>
      </c>
    </row>
    <row r="2746" spans="1:15" ht="17.399999999999999" hidden="1">
      <c r="A2746" s="75" t="str">
        <f t="shared" si="100"/>
        <v>THLAZADAMONITOR4k monitor4k จอภาพ</v>
      </c>
      <c r="B2746" s="94" t="str">
        <f t="shared" si="101"/>
        <v>TH_LAZADA</v>
      </c>
      <c r="C2746" s="93" t="s">
        <v>230</v>
      </c>
      <c r="D2746" s="93" t="s">
        <v>215</v>
      </c>
      <c r="E2746" s="93" t="s">
        <v>2384</v>
      </c>
      <c r="F2746" s="93" t="s">
        <v>2321</v>
      </c>
      <c r="G2746" s="93" t="s">
        <v>3528</v>
      </c>
      <c r="H2746" s="93" t="e">
        <v>#N/A</v>
      </c>
      <c r="I2746" s="105" t="s">
        <v>2310</v>
      </c>
      <c r="J2746" s="93" t="s">
        <v>189</v>
      </c>
      <c r="K2746" s="93">
        <v>26633</v>
      </c>
      <c r="L2746" s="93" t="e">
        <v>#N/A</v>
      </c>
      <c r="M2746" s="93" t="s">
        <v>2311</v>
      </c>
      <c r="N2746" s="93">
        <f>VLOOKUP(B2746,'[16]01.수집 카테고리(List)'!$A$2:$H$64,8,FALSE)</f>
        <v>99991231</v>
      </c>
      <c r="O2746" s="93" t="s">
        <v>646</v>
      </c>
    </row>
    <row r="2747" spans="1:15" ht="17.399999999999999" hidden="1">
      <c r="A2747" s="75" t="str">
        <f t="shared" si="100"/>
        <v>THLAZADAMONITORgaming monitorgaming จอภาพ</v>
      </c>
      <c r="B2747" s="94" t="str">
        <f t="shared" si="101"/>
        <v>TH_LAZADA</v>
      </c>
      <c r="C2747" s="93" t="s">
        <v>230</v>
      </c>
      <c r="D2747" s="93" t="s">
        <v>215</v>
      </c>
      <c r="E2747" s="93" t="s">
        <v>2384</v>
      </c>
      <c r="F2747" s="93" t="s">
        <v>2322</v>
      </c>
      <c r="G2747" s="93" t="s">
        <v>3529</v>
      </c>
      <c r="H2747" s="93" t="e">
        <v>#N/A</v>
      </c>
      <c r="I2747" s="105" t="s">
        <v>2310</v>
      </c>
      <c r="J2747" s="93" t="s">
        <v>189</v>
      </c>
      <c r="K2747" s="93">
        <v>27593</v>
      </c>
      <c r="L2747" s="93" t="e">
        <v>#N/A</v>
      </c>
      <c r="M2747" s="93" t="s">
        <v>2311</v>
      </c>
      <c r="N2747" s="93">
        <f>VLOOKUP(B2747,'[16]01.수집 카테고리(List)'!$A$2:$H$64,8,FALSE)</f>
        <v>99991231</v>
      </c>
      <c r="O2747" s="93" t="s">
        <v>646</v>
      </c>
    </row>
    <row r="2748" spans="1:15" ht="17.399999999999999" hidden="1">
      <c r="A2748" s="75" t="str">
        <f t="shared" si="100"/>
        <v>THLAZADAMONITORuhd monitoruhd จอภาพ</v>
      </c>
      <c r="B2748" s="94" t="str">
        <f t="shared" si="101"/>
        <v>TH_LAZADA</v>
      </c>
      <c r="C2748" s="93" t="s">
        <v>230</v>
      </c>
      <c r="D2748" s="93" t="s">
        <v>215</v>
      </c>
      <c r="E2748" s="93" t="s">
        <v>2384</v>
      </c>
      <c r="F2748" s="93" t="s">
        <v>2324</v>
      </c>
      <c r="G2748" s="93" t="s">
        <v>3530</v>
      </c>
      <c r="H2748" s="93" t="e">
        <v>#N/A</v>
      </c>
      <c r="I2748" s="105" t="s">
        <v>2310</v>
      </c>
      <c r="J2748" s="93" t="s">
        <v>189</v>
      </c>
      <c r="K2748" s="93">
        <v>20831</v>
      </c>
      <c r="L2748" s="93" t="e">
        <v>#N/A</v>
      </c>
      <c r="M2748" s="93" t="s">
        <v>2311</v>
      </c>
      <c r="N2748" s="93">
        <f>VLOOKUP(B2748,'[16]01.수집 카테고리(List)'!$A$2:$H$64,8,FALSE)</f>
        <v>99991231</v>
      </c>
      <c r="O2748" s="93" t="s">
        <v>646</v>
      </c>
    </row>
    <row r="2749" spans="1:15" ht="17.399999999999999" hidden="1">
      <c r="A2749" s="75" t="str">
        <f t="shared" si="100"/>
        <v>THLAZADAMONITORultrawide monitorultrawide จอภาพ</v>
      </c>
      <c r="B2749" s="94" t="str">
        <f t="shared" si="101"/>
        <v>TH_LAZADA</v>
      </c>
      <c r="C2749" s="93" t="s">
        <v>230</v>
      </c>
      <c r="D2749" s="93" t="s">
        <v>215</v>
      </c>
      <c r="E2749" s="93" t="s">
        <v>2384</v>
      </c>
      <c r="F2749" s="93" t="s">
        <v>2325</v>
      </c>
      <c r="G2749" s="93" t="s">
        <v>3531</v>
      </c>
      <c r="H2749" s="93" t="e">
        <v>#N/A</v>
      </c>
      <c r="I2749" s="105" t="s">
        <v>2310</v>
      </c>
      <c r="J2749" s="93" t="s">
        <v>189</v>
      </c>
      <c r="K2749" s="93">
        <v>27415</v>
      </c>
      <c r="L2749" s="93" t="e">
        <v>#N/A</v>
      </c>
      <c r="M2749" s="93" t="s">
        <v>2311</v>
      </c>
      <c r="N2749" s="93">
        <f>VLOOKUP(B2749,'[16]01.수집 카테고리(List)'!$A$2:$H$64,8,FALSE)</f>
        <v>99991231</v>
      </c>
      <c r="O2749" s="93" t="s">
        <v>646</v>
      </c>
    </row>
    <row r="2750" spans="1:15" ht="17.399999999999999" hidden="1">
      <c r="A2750" s="75" t="str">
        <f t="shared" si="100"/>
        <v>THLAZADAMONITORmonitorจอภาพ</v>
      </c>
      <c r="B2750" s="94" t="str">
        <f t="shared" si="101"/>
        <v>TH_LAZADA</v>
      </c>
      <c r="C2750" s="93" t="s">
        <v>230</v>
      </c>
      <c r="D2750" s="93" t="s">
        <v>215</v>
      </c>
      <c r="E2750" s="93" t="s">
        <v>2384</v>
      </c>
      <c r="F2750" s="93" t="s">
        <v>2323</v>
      </c>
      <c r="G2750" s="93" t="s">
        <v>3532</v>
      </c>
      <c r="H2750" s="93" t="e">
        <v>#N/A</v>
      </c>
      <c r="I2750" s="105" t="s">
        <v>2310</v>
      </c>
      <c r="J2750" s="93" t="s">
        <v>189</v>
      </c>
      <c r="K2750" s="93">
        <v>27855</v>
      </c>
      <c r="L2750" s="93" t="e">
        <v>#N/A</v>
      </c>
      <c r="M2750" s="93" t="s">
        <v>2311</v>
      </c>
      <c r="N2750" s="93">
        <f>VLOOKUP(B2750,'[16]01.수집 카테고리(List)'!$A$2:$H$64,8,FALSE)</f>
        <v>99991231</v>
      </c>
      <c r="O2750" s="93" t="s">
        <v>646</v>
      </c>
    </row>
    <row r="2751" spans="1:15" ht="17.399999999999999" hidden="1">
      <c r="A2751" s="75" t="str">
        <f t="shared" si="100"/>
        <v>THLAZADARefrigeratorrefrigeratorตู้เย็น</v>
      </c>
      <c r="B2751" s="94" t="str">
        <f t="shared" si="101"/>
        <v>TH_LAZADA</v>
      </c>
      <c r="C2751" s="93" t="s">
        <v>230</v>
      </c>
      <c r="D2751" s="93" t="s">
        <v>215</v>
      </c>
      <c r="E2751" s="93" t="s">
        <v>2326</v>
      </c>
      <c r="F2751" s="93" t="s">
        <v>2329</v>
      </c>
      <c r="G2751" s="93" t="s">
        <v>3506</v>
      </c>
      <c r="H2751" s="93" t="e">
        <v>#N/A</v>
      </c>
      <c r="I2751" s="105" t="s">
        <v>2310</v>
      </c>
      <c r="J2751" s="93" t="s">
        <v>189</v>
      </c>
      <c r="K2751" s="93">
        <v>5184</v>
      </c>
      <c r="L2751" s="93" t="e">
        <v>#N/A</v>
      </c>
      <c r="M2751" s="93" t="s">
        <v>2311</v>
      </c>
      <c r="N2751" s="93">
        <f>VLOOKUP(B2751,'[16]01.수집 카테고리(List)'!$A$2:$H$64,8,FALSE)</f>
        <v>99991231</v>
      </c>
      <c r="O2751" s="93" t="s">
        <v>646</v>
      </c>
    </row>
    <row r="2752" spans="1:15" ht="17.399999999999999" hidden="1">
      <c r="A2752" s="75" t="str">
        <f t="shared" si="100"/>
        <v>THLAZADARefrigeratortop freezer refrigeratorตู้เย็น 2 ประตู</v>
      </c>
      <c r="B2752" s="94" t="str">
        <f t="shared" si="101"/>
        <v>TH_LAZADA</v>
      </c>
      <c r="C2752" s="93" t="s">
        <v>230</v>
      </c>
      <c r="D2752" s="93" t="s">
        <v>215</v>
      </c>
      <c r="E2752" s="93" t="s">
        <v>2326</v>
      </c>
      <c r="F2752" s="93" t="s">
        <v>2332</v>
      </c>
      <c r="G2752" s="93" t="s">
        <v>3507</v>
      </c>
      <c r="H2752" s="93" t="e">
        <v>#N/A</v>
      </c>
      <c r="I2752" s="105" t="s">
        <v>2310</v>
      </c>
      <c r="J2752" s="93" t="s">
        <v>189</v>
      </c>
      <c r="K2752" s="93">
        <v>5570</v>
      </c>
      <c r="L2752" s="93" t="e">
        <v>#N/A</v>
      </c>
      <c r="M2752" s="93" t="s">
        <v>2311</v>
      </c>
      <c r="N2752" s="93">
        <f>VLOOKUP(B2752,'[16]01.수집 카테고리(List)'!$A$2:$H$64,8,FALSE)</f>
        <v>99991231</v>
      </c>
      <c r="O2752" s="93" t="s">
        <v>646</v>
      </c>
    </row>
    <row r="2753" spans="1:15" ht="17.399999999999999" hidden="1">
      <c r="A2753" s="75" t="str">
        <f t="shared" si="100"/>
        <v>THLAZADARefrigeratorfrench door refrigeratorตู้เย็น Multi Door</v>
      </c>
      <c r="B2753" s="94" t="str">
        <f t="shared" si="101"/>
        <v>TH_LAZADA</v>
      </c>
      <c r="C2753" s="93" t="s">
        <v>230</v>
      </c>
      <c r="D2753" s="93" t="s">
        <v>215</v>
      </c>
      <c r="E2753" s="93" t="s">
        <v>2326</v>
      </c>
      <c r="F2753" s="93" t="s">
        <v>2328</v>
      </c>
      <c r="G2753" s="93" t="s">
        <v>3508</v>
      </c>
      <c r="H2753" s="93" t="e">
        <v>#N/A</v>
      </c>
      <c r="I2753" s="105" t="s">
        <v>2310</v>
      </c>
      <c r="J2753" s="93" t="s">
        <v>189</v>
      </c>
      <c r="K2753" s="93">
        <v>5963</v>
      </c>
      <c r="L2753" s="93" t="e">
        <v>#N/A</v>
      </c>
      <c r="M2753" s="93" t="s">
        <v>2311</v>
      </c>
      <c r="N2753" s="93">
        <f>VLOOKUP(B2753,'[16]01.수집 카테고리(List)'!$A$2:$H$64,8,FALSE)</f>
        <v>99991231</v>
      </c>
      <c r="O2753" s="93" t="s">
        <v>646</v>
      </c>
    </row>
    <row r="2754" spans="1:15" ht="17.399999999999999" hidden="1">
      <c r="A2754" s="75" t="str">
        <f t="shared" si="100"/>
        <v>THLAZADARefrigeratorside by side refrigeratorตู้เย็น side by side</v>
      </c>
      <c r="B2754" s="94" t="str">
        <f t="shared" si="101"/>
        <v>TH_LAZADA</v>
      </c>
      <c r="C2754" s="93" t="s">
        <v>230</v>
      </c>
      <c r="D2754" s="93" t="s">
        <v>215</v>
      </c>
      <c r="E2754" s="93" t="s">
        <v>2326</v>
      </c>
      <c r="F2754" s="93" t="s">
        <v>2330</v>
      </c>
      <c r="G2754" s="93" t="s">
        <v>3509</v>
      </c>
      <c r="H2754" s="93" t="e">
        <v>#N/A</v>
      </c>
      <c r="I2754" s="105" t="s">
        <v>2310</v>
      </c>
      <c r="J2754" s="93" t="s">
        <v>189</v>
      </c>
      <c r="K2754" s="93">
        <v>4991</v>
      </c>
      <c r="L2754" s="93" t="e">
        <v>#N/A</v>
      </c>
      <c r="M2754" s="93" t="s">
        <v>2311</v>
      </c>
      <c r="N2754" s="93">
        <f>VLOOKUP(B2754,'[16]01.수집 카테고리(List)'!$A$2:$H$64,8,FALSE)</f>
        <v>99991231</v>
      </c>
      <c r="O2754" s="93" t="s">
        <v>646</v>
      </c>
    </row>
    <row r="2755" spans="1:15" ht="17.399999999999999" hidden="1">
      <c r="A2755" s="75" t="str">
        <f t="shared" si="100"/>
        <v>THLAZADASOUNDBARsound barซาวด์บาร์</v>
      </c>
      <c r="B2755" s="94" t="str">
        <f t="shared" si="101"/>
        <v>TH_LAZADA</v>
      </c>
      <c r="C2755" s="93" t="s">
        <v>230</v>
      </c>
      <c r="D2755" s="93" t="s">
        <v>215</v>
      </c>
      <c r="E2755" s="93" t="s">
        <v>165</v>
      </c>
      <c r="F2755" s="93" t="s">
        <v>2529</v>
      </c>
      <c r="G2755" s="93" t="s">
        <v>3510</v>
      </c>
      <c r="H2755" s="93" t="e">
        <v>#N/A</v>
      </c>
      <c r="I2755" s="105" t="s">
        <v>2310</v>
      </c>
      <c r="J2755" s="93" t="s">
        <v>189</v>
      </c>
      <c r="K2755" s="93">
        <v>6011</v>
      </c>
      <c r="L2755" s="93" t="e">
        <v>#N/A</v>
      </c>
      <c r="M2755" s="93" t="s">
        <v>2311</v>
      </c>
      <c r="N2755" s="93">
        <f>VLOOKUP(B2755,'[16]01.수집 카테고리(List)'!$A$2:$H$64,8,FALSE)</f>
        <v>99991231</v>
      </c>
      <c r="O2755" s="93" t="s">
        <v>646</v>
      </c>
    </row>
    <row r="2756" spans="1:15" ht="17.399999999999999" hidden="1">
      <c r="A2756" s="75" t="str">
        <f t="shared" si="100"/>
        <v>THLAZADASOUNDBARsoundbar speakerลำโพงsoundbar</v>
      </c>
      <c r="B2756" s="94" t="str">
        <f t="shared" si="101"/>
        <v>TH_LAZADA</v>
      </c>
      <c r="C2756" s="93" t="s">
        <v>230</v>
      </c>
      <c r="D2756" s="93" t="s">
        <v>215</v>
      </c>
      <c r="E2756" s="93" t="s">
        <v>165</v>
      </c>
      <c r="F2756" s="93" t="s">
        <v>2892</v>
      </c>
      <c r="G2756" s="93" t="s">
        <v>3511</v>
      </c>
      <c r="H2756" s="93" t="e">
        <v>#N/A</v>
      </c>
      <c r="I2756" s="105" t="s">
        <v>2310</v>
      </c>
      <c r="J2756" s="93" t="s">
        <v>189</v>
      </c>
      <c r="K2756" s="93">
        <v>6157</v>
      </c>
      <c r="L2756" s="93" t="e">
        <v>#N/A</v>
      </c>
      <c r="M2756" s="93" t="s">
        <v>2311</v>
      </c>
      <c r="N2756" s="93">
        <f>VLOOKUP(B2756,'[16]01.수집 카테고리(List)'!$A$2:$H$64,8,FALSE)</f>
        <v>99991231</v>
      </c>
      <c r="O2756" s="93" t="s">
        <v>646</v>
      </c>
    </row>
    <row r="2757" spans="1:15" ht="17.399999999999999" hidden="1">
      <c r="A2757" s="75" t="str">
        <f t="shared" si="100"/>
        <v>THLAZADASOUNDBARsound bar speakerลำโพงซาวด์บาร์</v>
      </c>
      <c r="B2757" s="94" t="str">
        <f t="shared" si="101"/>
        <v>TH_LAZADA</v>
      </c>
      <c r="C2757" s="93" t="s">
        <v>230</v>
      </c>
      <c r="D2757" s="93" t="s">
        <v>215</v>
      </c>
      <c r="E2757" s="93" t="s">
        <v>165</v>
      </c>
      <c r="F2757" s="93" t="s">
        <v>3512</v>
      </c>
      <c r="G2757" s="93" t="s">
        <v>3513</v>
      </c>
      <c r="H2757" s="93" t="e">
        <v>#N/A</v>
      </c>
      <c r="I2757" s="105" t="s">
        <v>2310</v>
      </c>
      <c r="J2757" s="93" t="s">
        <v>189</v>
      </c>
      <c r="K2757" s="93">
        <v>6304</v>
      </c>
      <c r="L2757" s="93" t="e">
        <v>#N/A</v>
      </c>
      <c r="M2757" s="93" t="s">
        <v>2311</v>
      </c>
      <c r="N2757" s="93">
        <f>VLOOKUP(B2757,'[16]01.수집 카테고리(List)'!$A$2:$H$64,8,FALSE)</f>
        <v>99991231</v>
      </c>
      <c r="O2757" s="93" t="s">
        <v>646</v>
      </c>
    </row>
    <row r="2758" spans="1:15" ht="17.399999999999999" hidden="1">
      <c r="A2758" s="75" t="str">
        <f t="shared" si="100"/>
        <v>THLAZADASOUNDBARtv speakerลำโพงทีวี</v>
      </c>
      <c r="B2758" s="94" t="str">
        <f t="shared" si="101"/>
        <v>TH_LAZADA</v>
      </c>
      <c r="C2758" s="93" t="s">
        <v>230</v>
      </c>
      <c r="D2758" s="93" t="s">
        <v>215</v>
      </c>
      <c r="E2758" s="93" t="s">
        <v>165</v>
      </c>
      <c r="F2758" s="93" t="s">
        <v>3514</v>
      </c>
      <c r="G2758" s="93" t="s">
        <v>3515</v>
      </c>
      <c r="H2758" s="93" t="e">
        <v>#N/A</v>
      </c>
      <c r="I2758" s="105" t="s">
        <v>2310</v>
      </c>
      <c r="J2758" s="93" t="s">
        <v>189</v>
      </c>
      <c r="K2758" s="93">
        <v>6928</v>
      </c>
      <c r="L2758" s="93" t="e">
        <v>#N/A</v>
      </c>
      <c r="M2758" s="93" t="s">
        <v>2311</v>
      </c>
      <c r="N2758" s="93">
        <f>VLOOKUP(B2758,'[16]01.수집 카테고리(List)'!$A$2:$H$64,8,FALSE)</f>
        <v>99991231</v>
      </c>
      <c r="O2758" s="93" t="s">
        <v>646</v>
      </c>
    </row>
    <row r="2759" spans="1:15" ht="17.399999999999999" hidden="1">
      <c r="A2759" s="75" t="str">
        <f t="shared" si="100"/>
        <v>THLAZADATV4k TV4K ทีวี</v>
      </c>
      <c r="B2759" s="94" t="str">
        <f t="shared" si="101"/>
        <v>TH_LAZADA</v>
      </c>
      <c r="C2759" s="93" t="s">
        <v>230</v>
      </c>
      <c r="D2759" s="93" t="s">
        <v>215</v>
      </c>
      <c r="E2759" s="93" t="s">
        <v>161</v>
      </c>
      <c r="F2759" s="93" t="s">
        <v>2368</v>
      </c>
      <c r="G2759" s="93" t="s">
        <v>3539</v>
      </c>
      <c r="H2759" s="93" t="e">
        <v>#N/A</v>
      </c>
      <c r="I2759" s="105" t="s">
        <v>2310</v>
      </c>
      <c r="J2759" s="93" t="s">
        <v>189</v>
      </c>
      <c r="K2759" s="93">
        <v>6629</v>
      </c>
      <c r="L2759" s="93" t="e">
        <v>#N/A</v>
      </c>
      <c r="M2759" s="93" t="s">
        <v>2311</v>
      </c>
      <c r="N2759" s="93">
        <f>VLOOKUP(B2759,'[16]01.수집 카테고리(List)'!$A$2:$H$64,8,FALSE)</f>
        <v>99991231</v>
      </c>
      <c r="O2759" s="93" t="s">
        <v>646</v>
      </c>
    </row>
    <row r="2760" spans="1:15" hidden="1">
      <c r="A2760" s="75" t="str">
        <f t="shared" si="100"/>
        <v>THLAZADATVoled TVOLED TV</v>
      </c>
      <c r="B2760" s="94" t="str">
        <f t="shared" si="101"/>
        <v>TH_LAZADA</v>
      </c>
      <c r="C2760" s="93" t="s">
        <v>230</v>
      </c>
      <c r="D2760" s="93" t="s">
        <v>215</v>
      </c>
      <c r="E2760" s="93" t="s">
        <v>161</v>
      </c>
      <c r="F2760" s="93" t="s">
        <v>2369</v>
      </c>
      <c r="G2760" s="93" t="s">
        <v>3243</v>
      </c>
      <c r="H2760" s="93" t="e">
        <v>#N/A</v>
      </c>
      <c r="I2760" s="105" t="s">
        <v>2310</v>
      </c>
      <c r="J2760" s="93" t="s">
        <v>189</v>
      </c>
      <c r="K2760" s="93">
        <v>5936</v>
      </c>
      <c r="L2760" s="93">
        <v>5936</v>
      </c>
      <c r="M2760" s="93" t="s">
        <v>2311</v>
      </c>
      <c r="N2760" s="93">
        <f>VLOOKUP(B2760,'[16]01.수집 카테고리(List)'!$A$2:$H$64,8,FALSE)</f>
        <v>99991231</v>
      </c>
      <c r="O2760" s="93" t="s">
        <v>646</v>
      </c>
    </row>
    <row r="2761" spans="1:15" hidden="1">
      <c r="A2761" s="75" t="str">
        <f t="shared" si="100"/>
        <v>THLAZADATVuhd TVUHD TV</v>
      </c>
      <c r="B2761" s="94" t="str">
        <f t="shared" si="101"/>
        <v>TH_LAZADA</v>
      </c>
      <c r="C2761" s="93" t="s">
        <v>230</v>
      </c>
      <c r="D2761" s="93" t="s">
        <v>215</v>
      </c>
      <c r="E2761" s="93" t="s">
        <v>161</v>
      </c>
      <c r="F2761" s="93" t="s">
        <v>2399</v>
      </c>
      <c r="G2761" s="93" t="s">
        <v>2990</v>
      </c>
      <c r="H2761" s="93" t="e">
        <v>#N/A</v>
      </c>
      <c r="I2761" s="105" t="s">
        <v>2310</v>
      </c>
      <c r="J2761" s="93" t="s">
        <v>189</v>
      </c>
      <c r="K2761" s="93">
        <v>4948</v>
      </c>
      <c r="L2761" s="93">
        <v>4948</v>
      </c>
      <c r="M2761" s="93" t="s">
        <v>2311</v>
      </c>
      <c r="N2761" s="93">
        <f>VLOOKUP(B2761,'[16]01.수집 카테고리(List)'!$A$2:$H$64,8,FALSE)</f>
        <v>99991231</v>
      </c>
      <c r="O2761" s="93" t="s">
        <v>646</v>
      </c>
    </row>
    <row r="2762" spans="1:15" ht="17.399999999999999" hidden="1">
      <c r="A2762" s="75" t="str">
        <f t="shared" si="100"/>
        <v>THLAZADATVTVทีวี</v>
      </c>
      <c r="B2762" s="94" t="str">
        <f t="shared" si="101"/>
        <v>TH_LAZADA</v>
      </c>
      <c r="C2762" s="93" t="s">
        <v>230</v>
      </c>
      <c r="D2762" s="93" t="s">
        <v>215</v>
      </c>
      <c r="E2762" s="93" t="s">
        <v>161</v>
      </c>
      <c r="F2762" s="93" t="s">
        <v>161</v>
      </c>
      <c r="G2762" s="93" t="s">
        <v>3518</v>
      </c>
      <c r="H2762" s="93" t="e">
        <v>#N/A</v>
      </c>
      <c r="I2762" s="105" t="s">
        <v>2310</v>
      </c>
      <c r="J2762" s="93" t="s">
        <v>189</v>
      </c>
      <c r="K2762" s="93">
        <v>5461</v>
      </c>
      <c r="L2762" s="93" t="e">
        <v>#N/A</v>
      </c>
      <c r="M2762" s="93" t="s">
        <v>2311</v>
      </c>
      <c r="N2762" s="93">
        <f>VLOOKUP(B2762,'[16]01.수집 카테고리(List)'!$A$2:$H$64,8,FALSE)</f>
        <v>99991231</v>
      </c>
      <c r="O2762" s="93" t="s">
        <v>646</v>
      </c>
    </row>
    <row r="2763" spans="1:15" ht="17.399999999999999" hidden="1">
      <c r="A2763" s="75" t="str">
        <f t="shared" si="100"/>
        <v>THLAZADATVsmart TVสมาร์ททีวี</v>
      </c>
      <c r="B2763" s="94" t="str">
        <f t="shared" si="101"/>
        <v>TH_LAZADA</v>
      </c>
      <c r="C2763" s="93" t="s">
        <v>230</v>
      </c>
      <c r="D2763" s="93" t="s">
        <v>215</v>
      </c>
      <c r="E2763" s="93" t="s">
        <v>161</v>
      </c>
      <c r="F2763" s="93" t="s">
        <v>2371</v>
      </c>
      <c r="G2763" s="93" t="s">
        <v>3519</v>
      </c>
      <c r="H2763" s="93" t="e">
        <v>#N/A</v>
      </c>
      <c r="I2763" s="105" t="s">
        <v>2310</v>
      </c>
      <c r="J2763" s="93" t="s">
        <v>189</v>
      </c>
      <c r="K2763" s="93">
        <v>5739</v>
      </c>
      <c r="L2763" s="93" t="e">
        <v>#N/A</v>
      </c>
      <c r="M2763" s="93" t="s">
        <v>2311</v>
      </c>
      <c r="N2763" s="93">
        <f>VLOOKUP(B2763,'[16]01.수집 카테고리(List)'!$A$2:$H$64,8,FALSE)</f>
        <v>99991231</v>
      </c>
      <c r="O2763" s="93" t="s">
        <v>646</v>
      </c>
    </row>
    <row r="2764" spans="1:15" ht="17.399999999999999" hidden="1">
      <c r="A2764" s="75" t="str">
        <f t="shared" si="100"/>
        <v>THLAZADAWashing Machinewashing machineเครื่องซักผ้า</v>
      </c>
      <c r="B2764" s="94" t="str">
        <f t="shared" si="101"/>
        <v>TH_LAZADA</v>
      </c>
      <c r="C2764" s="93" t="s">
        <v>230</v>
      </c>
      <c r="D2764" s="93" t="s">
        <v>215</v>
      </c>
      <c r="E2764" s="93" t="s">
        <v>2333</v>
      </c>
      <c r="F2764" s="93" t="s">
        <v>2340</v>
      </c>
      <c r="G2764" s="93" t="s">
        <v>3520</v>
      </c>
      <c r="H2764" s="93" t="e">
        <v>#N/A</v>
      </c>
      <c r="I2764" s="105" t="s">
        <v>2310</v>
      </c>
      <c r="J2764" s="93" t="s">
        <v>189</v>
      </c>
      <c r="K2764" s="93">
        <v>5401</v>
      </c>
      <c r="L2764" s="93" t="e">
        <v>#N/A</v>
      </c>
      <c r="M2764" s="93" t="s">
        <v>2311</v>
      </c>
      <c r="N2764" s="93">
        <f>VLOOKUP(B2764,'[16]01.수집 카테고리(List)'!$A$2:$H$64,8,FALSE)</f>
        <v>99991231</v>
      </c>
      <c r="O2764" s="93" t="s">
        <v>646</v>
      </c>
    </row>
    <row r="2765" spans="1:15" ht="17.399999999999999" hidden="1">
      <c r="A2765" s="75" t="str">
        <f t="shared" si="100"/>
        <v>THLAZADAWashing Machinewasher dryer comboเครื่องซักผ้า ซักอบ</v>
      </c>
      <c r="B2765" s="94" t="str">
        <f t="shared" si="101"/>
        <v>TH_LAZADA</v>
      </c>
      <c r="C2765" s="93" t="s">
        <v>230</v>
      </c>
      <c r="D2765" s="93" t="s">
        <v>215</v>
      </c>
      <c r="E2765" s="93" t="s">
        <v>2333</v>
      </c>
      <c r="F2765" s="93" t="s">
        <v>2338</v>
      </c>
      <c r="G2765" s="93" t="s">
        <v>3521</v>
      </c>
      <c r="H2765" s="93" t="e">
        <v>#N/A</v>
      </c>
      <c r="I2765" s="105" t="s">
        <v>2310</v>
      </c>
      <c r="J2765" s="93" t="s">
        <v>189</v>
      </c>
      <c r="K2765" s="93">
        <v>7521</v>
      </c>
      <c r="L2765" s="93" t="e">
        <v>#N/A</v>
      </c>
      <c r="M2765" s="93" t="s">
        <v>2311</v>
      </c>
      <c r="N2765" s="93">
        <f>VLOOKUP(B2765,'[16]01.수집 카테고리(List)'!$A$2:$H$64,8,FALSE)</f>
        <v>99991231</v>
      </c>
      <c r="O2765" s="93" t="s">
        <v>646</v>
      </c>
    </row>
    <row r="2766" spans="1:15" ht="17.399999999999999" hidden="1">
      <c r="A2766" s="75" t="str">
        <f t="shared" si="100"/>
        <v>THLAZADAWashing Machinetop loaderเครื่องซักผ้าฝาบน</v>
      </c>
      <c r="B2766" s="94" t="str">
        <f t="shared" si="101"/>
        <v>TH_LAZADA</v>
      </c>
      <c r="C2766" s="93" t="s">
        <v>230</v>
      </c>
      <c r="D2766" s="93" t="s">
        <v>215</v>
      </c>
      <c r="E2766" s="93" t="s">
        <v>2333</v>
      </c>
      <c r="F2766" s="93" t="s">
        <v>2336</v>
      </c>
      <c r="G2766" s="93" t="s">
        <v>3522</v>
      </c>
      <c r="H2766" s="93" t="e">
        <v>#N/A</v>
      </c>
      <c r="I2766" s="105" t="s">
        <v>2310</v>
      </c>
      <c r="J2766" s="93" t="s">
        <v>189</v>
      </c>
      <c r="K2766" s="93">
        <v>5739</v>
      </c>
      <c r="L2766" s="93" t="e">
        <v>#N/A</v>
      </c>
      <c r="M2766" s="93" t="s">
        <v>2311</v>
      </c>
      <c r="N2766" s="93">
        <f>VLOOKUP(B2766,'[16]01.수집 카테고리(List)'!$A$2:$H$64,8,FALSE)</f>
        <v>99991231</v>
      </c>
      <c r="O2766" s="93" t="s">
        <v>646</v>
      </c>
    </row>
    <row r="2767" spans="1:15" ht="17.399999999999999" hidden="1">
      <c r="A2767" s="75" t="str">
        <f t="shared" si="100"/>
        <v>THLAZADAWashing Machinefront loaderเครื่องซักผ้าฝาหน้า</v>
      </c>
      <c r="B2767" s="94" t="str">
        <f t="shared" si="101"/>
        <v>TH_LAZADA</v>
      </c>
      <c r="C2767" s="93" t="s">
        <v>230</v>
      </c>
      <c r="D2767" s="93" t="s">
        <v>215</v>
      </c>
      <c r="E2767" s="93" t="s">
        <v>2333</v>
      </c>
      <c r="F2767" s="93" t="s">
        <v>2334</v>
      </c>
      <c r="G2767" s="93" t="s">
        <v>3523</v>
      </c>
      <c r="H2767" s="93" t="e">
        <v>#N/A</v>
      </c>
      <c r="I2767" s="105" t="s">
        <v>2310</v>
      </c>
      <c r="J2767" s="93" t="s">
        <v>189</v>
      </c>
      <c r="K2767" s="93">
        <v>6236</v>
      </c>
      <c r="L2767" s="93" t="e">
        <v>#N/A</v>
      </c>
      <c r="M2767" s="93" t="s">
        <v>2311</v>
      </c>
      <c r="N2767" s="93">
        <f>VLOOKUP(B2767,'[16]01.수집 카테고리(List)'!$A$2:$H$64,8,FALSE)</f>
        <v>99991231</v>
      </c>
      <c r="O2767" s="93" t="s">
        <v>646</v>
      </c>
    </row>
    <row r="2768" spans="1:15" ht="17.399999999999999" hidden="1">
      <c r="A2768" s="75" t="str">
        <f t="shared" si="100"/>
        <v>THLAZADAWireless Headsetearbudsหูฟัง</v>
      </c>
      <c r="B2768" s="94" t="str">
        <f t="shared" si="101"/>
        <v>TH_LAZADA</v>
      </c>
      <c r="C2768" s="93" t="s">
        <v>230</v>
      </c>
      <c r="D2768" s="93" t="s">
        <v>215</v>
      </c>
      <c r="E2768" s="93" t="s">
        <v>2373</v>
      </c>
      <c r="F2768" s="93" t="s">
        <v>2913</v>
      </c>
      <c r="G2768" s="93" t="s">
        <v>3524</v>
      </c>
      <c r="H2768" s="93" t="e">
        <v>#N/A</v>
      </c>
      <c r="I2768" s="105" t="s">
        <v>2310</v>
      </c>
      <c r="J2768" s="93" t="s">
        <v>189</v>
      </c>
      <c r="K2768" s="93">
        <v>7477</v>
      </c>
      <c r="L2768" s="93" t="e">
        <v>#N/A</v>
      </c>
      <c r="M2768" s="93" t="s">
        <v>2311</v>
      </c>
      <c r="N2768" s="93">
        <f>VLOOKUP(B2768,'[16]01.수집 카테고리(List)'!$A$2:$H$64,8,FALSE)</f>
        <v>99991231</v>
      </c>
      <c r="O2768" s="93" t="s">
        <v>646</v>
      </c>
    </row>
    <row r="2769" spans="1:15" ht="17.399999999999999" hidden="1">
      <c r="A2769" s="75" t="str">
        <f t="shared" si="100"/>
        <v>THLAZADAWireless HeadsetIn-ear headphonesหูฟังแบบใส่ในหู</v>
      </c>
      <c r="B2769" s="94" t="str">
        <f t="shared" si="101"/>
        <v>TH_LAZADA</v>
      </c>
      <c r="C2769" s="93" t="s">
        <v>230</v>
      </c>
      <c r="D2769" s="93" t="s">
        <v>215</v>
      </c>
      <c r="E2769" s="93" t="s">
        <v>2373</v>
      </c>
      <c r="F2769" s="93" t="s">
        <v>3479</v>
      </c>
      <c r="G2769" s="93" t="s">
        <v>3525</v>
      </c>
      <c r="H2769" s="93" t="e">
        <v>#N/A</v>
      </c>
      <c r="I2769" s="105" t="s">
        <v>2310</v>
      </c>
      <c r="J2769" s="93" t="s">
        <v>189</v>
      </c>
      <c r="K2769" s="93">
        <v>8194</v>
      </c>
      <c r="L2769" s="93" t="e">
        <v>#N/A</v>
      </c>
      <c r="M2769" s="93" t="s">
        <v>2311</v>
      </c>
      <c r="N2769" s="93">
        <f>VLOOKUP(B2769,'[16]01.수집 카테고리(List)'!$A$2:$H$64,8,FALSE)</f>
        <v>99991231</v>
      </c>
      <c r="O2769" s="93" t="s">
        <v>646</v>
      </c>
    </row>
    <row r="2770" spans="1:15" ht="17.399999999999999" hidden="1">
      <c r="A2770" s="75" t="str">
        <f t="shared" si="100"/>
        <v>THLAZADAWireless HeadsetWireless Earbudsหูฟังไร้สาย</v>
      </c>
      <c r="B2770" s="94" t="str">
        <f t="shared" si="101"/>
        <v>TH_LAZADA</v>
      </c>
      <c r="C2770" s="93" t="s">
        <v>230</v>
      </c>
      <c r="D2770" s="93" t="s">
        <v>215</v>
      </c>
      <c r="E2770" s="93" t="s">
        <v>2373</v>
      </c>
      <c r="F2770" s="93" t="s">
        <v>2760</v>
      </c>
      <c r="G2770" s="93" t="s">
        <v>3526</v>
      </c>
      <c r="H2770" s="93" t="e">
        <v>#N/A</v>
      </c>
      <c r="I2770" s="105" t="s">
        <v>2310</v>
      </c>
      <c r="J2770" s="93" t="s">
        <v>189</v>
      </c>
      <c r="K2770" s="93">
        <v>8788</v>
      </c>
      <c r="L2770" s="93" t="e">
        <v>#N/A</v>
      </c>
      <c r="M2770" s="93" t="s">
        <v>2311</v>
      </c>
      <c r="N2770" s="93">
        <f>VLOOKUP(B2770,'[16]01.수집 카테고리(List)'!$A$2:$H$64,8,FALSE)</f>
        <v>99991231</v>
      </c>
      <c r="O2770" s="93" t="s">
        <v>646</v>
      </c>
    </row>
    <row r="2771" spans="1:15" ht="17.399999999999999" hidden="1">
      <c r="A2771" s="75" t="str">
        <f t="shared" si="100"/>
        <v>THLAZADAWireless HeadsetTrue Wireless Earbudsหูฟังไร้สาย</v>
      </c>
      <c r="B2771" s="94" t="str">
        <f t="shared" si="101"/>
        <v>TH_LAZADA</v>
      </c>
      <c r="C2771" s="93" t="s">
        <v>230</v>
      </c>
      <c r="D2771" s="93" t="s">
        <v>215</v>
      </c>
      <c r="E2771" s="93" t="s">
        <v>2373</v>
      </c>
      <c r="F2771" s="93" t="s">
        <v>3023</v>
      </c>
      <c r="G2771" s="93" t="s">
        <v>3526</v>
      </c>
      <c r="H2771" s="93" t="e">
        <v>#N/A</v>
      </c>
      <c r="I2771" s="105" t="s">
        <v>2310</v>
      </c>
      <c r="J2771" s="93" t="s">
        <v>189</v>
      </c>
      <c r="K2771" s="93">
        <v>8788</v>
      </c>
      <c r="L2771" s="93" t="e">
        <v>#N/A</v>
      </c>
      <c r="M2771" s="93" t="s">
        <v>2311</v>
      </c>
      <c r="N2771" s="93">
        <f>VLOOKUP(B2771,'[16]01.수집 카테고리(List)'!$A$2:$H$64,8,FALSE)</f>
        <v>99991231</v>
      </c>
      <c r="O2771" s="93" t="s">
        <v>646</v>
      </c>
    </row>
    <row r="2772" spans="1:15" ht="17.399999999999999" hidden="1">
      <c r="A2772" s="75" t="str">
        <f t="shared" si="100"/>
        <v>THLAZADAWireless HeadsetIn-ear true wireless headphonesหูฟังไร้สายแบบใส่ในหู</v>
      </c>
      <c r="B2772" s="94" t="str">
        <f t="shared" si="101"/>
        <v>TH_LAZADA</v>
      </c>
      <c r="C2772" s="93" t="s">
        <v>230</v>
      </c>
      <c r="D2772" s="93" t="s">
        <v>215</v>
      </c>
      <c r="E2772" s="93" t="s">
        <v>2373</v>
      </c>
      <c r="F2772" s="93" t="s">
        <v>3480</v>
      </c>
      <c r="G2772" s="93" t="s">
        <v>3527</v>
      </c>
      <c r="H2772" s="93" t="e">
        <v>#N/A</v>
      </c>
      <c r="I2772" s="105" t="s">
        <v>2310</v>
      </c>
      <c r="J2772" s="93" t="s">
        <v>189</v>
      </c>
      <c r="K2772" s="93">
        <v>8543</v>
      </c>
      <c r="L2772" s="93" t="e">
        <v>#N/A</v>
      </c>
      <c r="M2772" s="93" t="s">
        <v>2311</v>
      </c>
      <c r="N2772" s="93">
        <f>VLOOKUP(B2772,'[16]01.수집 카테고리(List)'!$A$2:$H$64,8,FALSE)</f>
        <v>99991231</v>
      </c>
      <c r="O2772" s="93" t="s">
        <v>646</v>
      </c>
    </row>
    <row r="2773" spans="1:15" s="108" customFormat="1" hidden="1">
      <c r="A2773" s="108" t="str">
        <f t="shared" si="100"/>
        <v>THLAZADADryerDryerเครื่องอบผ้า</v>
      </c>
      <c r="B2773" s="109" t="str">
        <f t="shared" si="101"/>
        <v>TH_LAZADA</v>
      </c>
      <c r="C2773" s="110" t="s">
        <v>230</v>
      </c>
      <c r="D2773" s="110" t="s">
        <v>215</v>
      </c>
      <c r="E2773" s="110" t="s">
        <v>2535</v>
      </c>
      <c r="F2773" s="110" t="s">
        <v>2431</v>
      </c>
      <c r="G2773" s="123" t="s">
        <v>3533</v>
      </c>
      <c r="H2773" s="93" t="e">
        <v>#N/A</v>
      </c>
      <c r="I2773" s="99">
        <v>46076</v>
      </c>
      <c r="J2773" s="83" t="s">
        <v>189</v>
      </c>
      <c r="K2773" s="110"/>
      <c r="L2773" s="110"/>
      <c r="M2773" s="110"/>
      <c r="N2773" s="110"/>
      <c r="O2773" s="110"/>
    </row>
    <row r="2774" spans="1:15" s="108" customFormat="1" hidden="1">
      <c r="A2774" s="108" t="str">
        <f t="shared" si="100"/>
        <v>THLAZADADryerheatpump  ปั๊มความร้อน</v>
      </c>
      <c r="B2774" s="109" t="str">
        <f t="shared" si="101"/>
        <v>TH_LAZADA</v>
      </c>
      <c r="C2774" s="110" t="s">
        <v>230</v>
      </c>
      <c r="D2774" s="110" t="s">
        <v>215</v>
      </c>
      <c r="E2774" s="110" t="s">
        <v>2535</v>
      </c>
      <c r="F2774" s="110" t="s">
        <v>2432</v>
      </c>
      <c r="G2774" s="123" t="s">
        <v>3534</v>
      </c>
      <c r="H2774" s="93" t="e">
        <v>#N/A</v>
      </c>
      <c r="I2774" s="99">
        <v>46076</v>
      </c>
      <c r="J2774" s="83" t="s">
        <v>189</v>
      </c>
      <c r="K2774" s="110"/>
      <c r="L2774" s="110"/>
      <c r="M2774" s="110"/>
      <c r="N2774" s="110"/>
      <c r="O2774" s="110"/>
    </row>
    <row r="2775" spans="1:15" s="108" customFormat="1" hidden="1">
      <c r="A2775" s="108" t="str">
        <f t="shared" si="100"/>
        <v>THLAZADADryerLG Dryerเครื่องอบผ้าแอลจี</v>
      </c>
      <c r="B2775" s="109" t="str">
        <f t="shared" si="101"/>
        <v>TH_LAZADA</v>
      </c>
      <c r="C2775" s="110" t="s">
        <v>230</v>
      </c>
      <c r="D2775" s="110" t="s">
        <v>215</v>
      </c>
      <c r="E2775" s="110" t="s">
        <v>2535</v>
      </c>
      <c r="F2775" s="110" t="s">
        <v>2434</v>
      </c>
      <c r="G2775" s="123" t="s">
        <v>3535</v>
      </c>
      <c r="H2775" s="93" t="e">
        <v>#N/A</v>
      </c>
      <c r="I2775" s="99">
        <v>46076</v>
      </c>
      <c r="J2775" s="83" t="s">
        <v>189</v>
      </c>
      <c r="K2775" s="110"/>
      <c r="L2775" s="110"/>
      <c r="M2775" s="110"/>
      <c r="N2775" s="110"/>
      <c r="O2775" s="110"/>
    </row>
    <row r="2776" spans="1:15" ht="17.399999999999999" hidden="1">
      <c r="A2776" s="75" t="str">
        <f t="shared" si="100"/>
        <v>THPOWERBUYAir CleanerAir Purifierเครื่องฟอกอากาศ</v>
      </c>
      <c r="B2776" s="94" t="str">
        <f t="shared" si="101"/>
        <v>TH_POWERBUY</v>
      </c>
      <c r="C2776" s="93" t="s">
        <v>230</v>
      </c>
      <c r="D2776" s="93" t="s">
        <v>233</v>
      </c>
      <c r="E2776" s="93" t="s">
        <v>2342</v>
      </c>
      <c r="F2776" s="93" t="s">
        <v>2343</v>
      </c>
      <c r="G2776" s="93" t="s">
        <v>3490</v>
      </c>
      <c r="H2776" s="93" t="e">
        <v>#N/A</v>
      </c>
      <c r="I2776" s="105" t="s">
        <v>2310</v>
      </c>
      <c r="J2776" s="93" t="s">
        <v>189</v>
      </c>
      <c r="K2776" s="93">
        <v>16</v>
      </c>
      <c r="L2776" s="93" t="e">
        <v>#N/A</v>
      </c>
      <c r="M2776" s="93" t="s">
        <v>2311</v>
      </c>
      <c r="N2776" s="93">
        <f>VLOOKUP(B2776,'[16]01.수집 카테고리(List)'!$A$2:$H$64,8,FALSE)</f>
        <v>99991231</v>
      </c>
      <c r="O2776" s="93" t="s">
        <v>646</v>
      </c>
    </row>
    <row r="2777" spans="1:15" ht="17.399999999999999" hidden="1">
      <c r="A2777" s="75" t="str">
        <f t="shared" si="100"/>
        <v>THPOWERBUYAir CleanerAir Cleanerเครื่องฟอกอากาศ</v>
      </c>
      <c r="B2777" s="94" t="str">
        <f t="shared" si="101"/>
        <v>TH_POWERBUY</v>
      </c>
      <c r="C2777" s="93" t="s">
        <v>230</v>
      </c>
      <c r="D2777" s="93" t="s">
        <v>233</v>
      </c>
      <c r="E2777" s="93" t="s">
        <v>2342</v>
      </c>
      <c r="F2777" s="93" t="s">
        <v>2342</v>
      </c>
      <c r="G2777" s="93" t="s">
        <v>3490</v>
      </c>
      <c r="H2777" s="93" t="e">
        <v>#N/A</v>
      </c>
      <c r="I2777" s="105" t="s">
        <v>2310</v>
      </c>
      <c r="J2777" s="93" t="s">
        <v>189</v>
      </c>
      <c r="K2777" s="93">
        <v>16</v>
      </c>
      <c r="L2777" s="93" t="e">
        <v>#N/A</v>
      </c>
      <c r="M2777" s="93" t="s">
        <v>2311</v>
      </c>
      <c r="N2777" s="93">
        <f>VLOOKUP(B2777,'[16]01.수집 카테고리(List)'!$A$2:$H$64,8,FALSE)</f>
        <v>99991231</v>
      </c>
      <c r="O2777" s="93" t="s">
        <v>646</v>
      </c>
    </row>
    <row r="2778" spans="1:15" ht="17.399999999999999" hidden="1">
      <c r="A2778" s="75" t="str">
        <f t="shared" si="100"/>
        <v>THPOWERBUYAir CleanerAir Treatmentรักษาอากาศ</v>
      </c>
      <c r="B2778" s="94" t="str">
        <f t="shared" si="101"/>
        <v>TH_POWERBUY</v>
      </c>
      <c r="C2778" s="93" t="s">
        <v>230</v>
      </c>
      <c r="D2778" s="93" t="s">
        <v>233</v>
      </c>
      <c r="E2778" s="93" t="s">
        <v>2342</v>
      </c>
      <c r="F2778" s="93" t="s">
        <v>2345</v>
      </c>
      <c r="G2778" s="93" t="s">
        <v>3492</v>
      </c>
      <c r="H2778" s="93" t="e">
        <v>#N/A</v>
      </c>
      <c r="I2778" s="105" t="s">
        <v>2310</v>
      </c>
      <c r="J2778" s="93" t="s">
        <v>189</v>
      </c>
      <c r="K2778" s="93">
        <v>2</v>
      </c>
      <c r="L2778" s="93" t="e">
        <v>#N/A</v>
      </c>
      <c r="M2778" s="93" t="s">
        <v>2311</v>
      </c>
      <c r="N2778" s="93">
        <f>VLOOKUP(B2778,'[16]01.수집 카테고리(List)'!$A$2:$H$64,8,FALSE)</f>
        <v>99991231</v>
      </c>
      <c r="O2778" s="93" t="s">
        <v>646</v>
      </c>
    </row>
    <row r="2779" spans="1:15" ht="17.399999999999999" hidden="1">
      <c r="A2779" s="75" t="str">
        <f t="shared" si="100"/>
        <v>THPOWERBUYAir Conditionerair conditionerแอร์</v>
      </c>
      <c r="B2779" s="94" t="str">
        <f t="shared" si="101"/>
        <v>TH_POWERBUY</v>
      </c>
      <c r="C2779" s="93" t="s">
        <v>230</v>
      </c>
      <c r="D2779" s="93" t="s">
        <v>233</v>
      </c>
      <c r="E2779" s="93" t="s">
        <v>2346</v>
      </c>
      <c r="F2779" s="93" t="s">
        <v>2347</v>
      </c>
      <c r="G2779" s="93" t="s">
        <v>3540</v>
      </c>
      <c r="H2779" s="93" t="e">
        <v>#N/A</v>
      </c>
      <c r="I2779" s="105" t="s">
        <v>2310</v>
      </c>
      <c r="J2779" s="93" t="s">
        <v>189</v>
      </c>
      <c r="K2779" s="93">
        <v>488</v>
      </c>
      <c r="L2779" s="93" t="e">
        <v>#N/A</v>
      </c>
      <c r="M2779" s="93" t="s">
        <v>2311</v>
      </c>
      <c r="N2779" s="93">
        <f>VLOOKUP(B2779,'[16]01.수집 카테고리(List)'!$A$2:$H$64,8,FALSE)</f>
        <v>99991231</v>
      </c>
      <c r="O2779" s="93" t="s">
        <v>646</v>
      </c>
    </row>
    <row r="2780" spans="1:15" ht="17.399999999999999" hidden="1">
      <c r="A2780" s="75" t="str">
        <f t="shared" si="100"/>
        <v>THPOWERBUYAir Conditionerinverter air conditionerแอร์ inverter</v>
      </c>
      <c r="B2780" s="94" t="str">
        <f t="shared" si="101"/>
        <v>TH_POWERBUY</v>
      </c>
      <c r="C2780" s="93" t="s">
        <v>230</v>
      </c>
      <c r="D2780" s="93" t="s">
        <v>233</v>
      </c>
      <c r="E2780" s="93" t="s">
        <v>2346</v>
      </c>
      <c r="F2780" s="93" t="s">
        <v>2348</v>
      </c>
      <c r="G2780" s="93" t="s">
        <v>3541</v>
      </c>
      <c r="H2780" s="93" t="e">
        <v>#N/A</v>
      </c>
      <c r="I2780" s="105" t="s">
        <v>2310</v>
      </c>
      <c r="J2780" s="93" t="s">
        <v>189</v>
      </c>
      <c r="K2780" s="93">
        <v>528</v>
      </c>
      <c r="L2780" s="93" t="e">
        <v>#N/A</v>
      </c>
      <c r="M2780" s="93" t="s">
        <v>2311</v>
      </c>
      <c r="N2780" s="93">
        <f>VLOOKUP(B2780,'[16]01.수집 카테고리(List)'!$A$2:$H$64,8,FALSE)</f>
        <v>99991231</v>
      </c>
      <c r="O2780" s="93" t="s">
        <v>646</v>
      </c>
    </row>
    <row r="2781" spans="1:15" ht="17.399999999999999" hidden="1">
      <c r="A2781" s="75" t="str">
        <f t="shared" si="100"/>
        <v>THPOWERBUYBluetooth Speakerspeakersลำโพง</v>
      </c>
      <c r="B2781" s="94" t="str">
        <f t="shared" si="101"/>
        <v>TH_POWERBUY</v>
      </c>
      <c r="C2781" s="93" t="s">
        <v>230</v>
      </c>
      <c r="D2781" s="93" t="s">
        <v>233</v>
      </c>
      <c r="E2781" s="93" t="s">
        <v>2307</v>
      </c>
      <c r="F2781" s="93" t="s">
        <v>2471</v>
      </c>
      <c r="G2781" s="93" t="s">
        <v>3542</v>
      </c>
      <c r="H2781" s="93" t="e">
        <v>#N/A</v>
      </c>
      <c r="I2781" s="105" t="s">
        <v>2310</v>
      </c>
      <c r="J2781" s="93" t="s">
        <v>189</v>
      </c>
      <c r="K2781" s="93">
        <v>60</v>
      </c>
      <c r="L2781" s="93" t="e">
        <v>#N/A</v>
      </c>
      <c r="M2781" s="93" t="s">
        <v>2311</v>
      </c>
      <c r="N2781" s="93">
        <f>VLOOKUP(B2781,'[16]01.수집 카테고리(List)'!$A$2:$H$64,8,FALSE)</f>
        <v>99991231</v>
      </c>
      <c r="O2781" s="93" t="s">
        <v>646</v>
      </c>
    </row>
    <row r="2782" spans="1:15" ht="17.399999999999999" hidden="1">
      <c r="A2782" s="75" t="str">
        <f t="shared" si="100"/>
        <v>THPOWERBUYBluetooth Speakerbluetooth speakerลำโพงบลูทูธ</v>
      </c>
      <c r="B2782" s="94" t="str">
        <f t="shared" si="101"/>
        <v>TH_POWERBUY</v>
      </c>
      <c r="C2782" s="93" t="s">
        <v>230</v>
      </c>
      <c r="D2782" s="93" t="s">
        <v>233</v>
      </c>
      <c r="E2782" s="93" t="s">
        <v>2307</v>
      </c>
      <c r="F2782" s="93" t="s">
        <v>2657</v>
      </c>
      <c r="G2782" s="93" t="s">
        <v>3504</v>
      </c>
      <c r="H2782" s="93" t="e">
        <v>#N/A</v>
      </c>
      <c r="I2782" s="105" t="s">
        <v>2310</v>
      </c>
      <c r="J2782" s="93" t="s">
        <v>189</v>
      </c>
      <c r="K2782" s="93">
        <v>740</v>
      </c>
      <c r="L2782" s="93" t="e">
        <v>#N/A</v>
      </c>
      <c r="M2782" s="93" t="s">
        <v>2311</v>
      </c>
      <c r="N2782" s="93">
        <f>VLOOKUP(B2782,'[16]01.수집 카테고리(List)'!$A$2:$H$64,8,FALSE)</f>
        <v>99991231</v>
      </c>
      <c r="O2782" s="93" t="s">
        <v>646</v>
      </c>
    </row>
    <row r="2783" spans="1:15" ht="17.399999999999999" hidden="1">
      <c r="A2783" s="75" t="str">
        <f t="shared" ref="A2783:A2844" si="102">C2783&amp;D2783&amp;E2783&amp;F2783&amp;G2783</f>
        <v>THPOWERBUYBluetooth Speakerbluetooth speaker portableลำโพงบลูทูธพกพา</v>
      </c>
      <c r="B2783" s="94" t="str">
        <f t="shared" ref="B2783:B2844" si="103">C2783&amp;"_"&amp;D2783</f>
        <v>TH_POWERBUY</v>
      </c>
      <c r="C2783" s="93" t="s">
        <v>230</v>
      </c>
      <c r="D2783" s="93" t="s">
        <v>233</v>
      </c>
      <c r="E2783" s="93" t="s">
        <v>2307</v>
      </c>
      <c r="F2783" s="93" t="s">
        <v>2479</v>
      </c>
      <c r="G2783" s="93" t="s">
        <v>3543</v>
      </c>
      <c r="H2783" s="93" t="e">
        <v>#N/A</v>
      </c>
      <c r="I2783" s="105" t="s">
        <v>2310</v>
      </c>
      <c r="J2783" s="93" t="s">
        <v>189</v>
      </c>
      <c r="K2783" s="93">
        <v>75</v>
      </c>
      <c r="L2783" s="93" t="e">
        <v>#N/A</v>
      </c>
      <c r="M2783" s="93" t="s">
        <v>2311</v>
      </c>
      <c r="N2783" s="93">
        <f>VLOOKUP(B2783,'[16]01.수집 카테고리(List)'!$A$2:$H$64,8,FALSE)</f>
        <v>99991231</v>
      </c>
      <c r="O2783" s="93" t="s">
        <v>646</v>
      </c>
    </row>
    <row r="2784" spans="1:15" ht="17.399999999999999" hidden="1">
      <c r="A2784" s="75" t="str">
        <f t="shared" si="102"/>
        <v>THPOWERBUYBluetooth SpeakerPortable bluetooth speakersลำโพงบลูทูธพกพา</v>
      </c>
      <c r="B2784" s="94" t="str">
        <f t="shared" si="103"/>
        <v>TH_POWERBUY</v>
      </c>
      <c r="C2784" s="93" t="s">
        <v>230</v>
      </c>
      <c r="D2784" s="93" t="s">
        <v>233</v>
      </c>
      <c r="E2784" s="93" t="s">
        <v>2307</v>
      </c>
      <c r="F2784" s="93" t="s">
        <v>2426</v>
      </c>
      <c r="G2784" s="93" t="s">
        <v>3543</v>
      </c>
      <c r="H2784" s="93" t="e">
        <v>#N/A</v>
      </c>
      <c r="I2784" s="105" t="s">
        <v>2310</v>
      </c>
      <c r="J2784" s="93" t="s">
        <v>189</v>
      </c>
      <c r="K2784" s="93">
        <v>75</v>
      </c>
      <c r="L2784" s="93" t="e">
        <v>#N/A</v>
      </c>
      <c r="M2784" s="93" t="s">
        <v>2311</v>
      </c>
      <c r="N2784" s="93">
        <f>VLOOKUP(B2784,'[16]01.수집 카테고리(List)'!$A$2:$H$64,8,FALSE)</f>
        <v>99991231</v>
      </c>
      <c r="O2784" s="93" t="s">
        <v>646</v>
      </c>
    </row>
    <row r="2785" spans="1:15" ht="17.399999999999999" hidden="1">
      <c r="A2785" s="75" t="str">
        <f t="shared" si="102"/>
        <v>THPOWERBUYBluetooth Speakerportable speakersลำโพงพกพา</v>
      </c>
      <c r="B2785" s="94" t="str">
        <f t="shared" si="103"/>
        <v>TH_POWERBUY</v>
      </c>
      <c r="C2785" s="93" t="s">
        <v>230</v>
      </c>
      <c r="D2785" s="93" t="s">
        <v>233</v>
      </c>
      <c r="E2785" s="93" t="s">
        <v>2307</v>
      </c>
      <c r="F2785" s="93" t="s">
        <v>2473</v>
      </c>
      <c r="G2785" s="93" t="s">
        <v>3505</v>
      </c>
      <c r="H2785" s="93" t="e">
        <v>#N/A</v>
      </c>
      <c r="I2785" s="105" t="s">
        <v>2310</v>
      </c>
      <c r="J2785" s="93" t="s">
        <v>189</v>
      </c>
      <c r="K2785" s="93">
        <v>601</v>
      </c>
      <c r="L2785" s="93" t="e">
        <v>#N/A</v>
      </c>
      <c r="M2785" s="93" t="s">
        <v>2311</v>
      </c>
      <c r="N2785" s="93">
        <f>VLOOKUP(B2785,'[16]01.수집 카테고리(List)'!$A$2:$H$64,8,FALSE)</f>
        <v>99991231</v>
      </c>
      <c r="O2785" s="93" t="s">
        <v>646</v>
      </c>
    </row>
    <row r="2786" spans="1:15" ht="17.399999999999999" hidden="1">
      <c r="A2786" s="75" t="str">
        <f t="shared" si="102"/>
        <v>THPOWERBUYBluetooth Speakerportable bluetooth speakerลำโพงบลูทูธแบบพกพา</v>
      </c>
      <c r="B2786" s="94" t="str">
        <f t="shared" si="103"/>
        <v>TH_POWERBUY</v>
      </c>
      <c r="C2786" s="93" t="s">
        <v>230</v>
      </c>
      <c r="D2786" s="93" t="s">
        <v>233</v>
      </c>
      <c r="E2786" s="93" t="s">
        <v>2307</v>
      </c>
      <c r="F2786" s="93" t="s">
        <v>3070</v>
      </c>
      <c r="G2786" s="93" t="s">
        <v>3538</v>
      </c>
      <c r="H2786" s="93" t="e">
        <v>#N/A</v>
      </c>
      <c r="I2786" s="105" t="s">
        <v>2310</v>
      </c>
      <c r="J2786" s="93" t="s">
        <v>189</v>
      </c>
      <c r="K2786" s="93">
        <v>84</v>
      </c>
      <c r="L2786" s="93" t="e">
        <v>#N/A</v>
      </c>
      <c r="M2786" s="93" t="s">
        <v>2311</v>
      </c>
      <c r="N2786" s="93">
        <f>VLOOKUP(B2786,'[16]01.수집 카테고리(List)'!$A$2:$H$64,8,FALSE)</f>
        <v>99991231</v>
      </c>
      <c r="O2786" s="93" t="s">
        <v>646</v>
      </c>
    </row>
    <row r="2787" spans="1:15" ht="17.399999999999999" hidden="1">
      <c r="A2787" s="75" t="str">
        <f t="shared" si="102"/>
        <v>THPOWERBUYBluetooth Speakerportable speakerลำโพงพกพา</v>
      </c>
      <c r="B2787" s="94" t="str">
        <f t="shared" si="103"/>
        <v>TH_POWERBUY</v>
      </c>
      <c r="C2787" s="93" t="s">
        <v>230</v>
      </c>
      <c r="D2787" s="93" t="s">
        <v>233</v>
      </c>
      <c r="E2787" s="93" t="s">
        <v>2307</v>
      </c>
      <c r="F2787" s="93" t="s">
        <v>2875</v>
      </c>
      <c r="G2787" s="93" t="s">
        <v>3505</v>
      </c>
      <c r="H2787" s="93" t="e">
        <v>#N/A</v>
      </c>
      <c r="I2787" s="105" t="s">
        <v>2310</v>
      </c>
      <c r="J2787" s="93" t="s">
        <v>189</v>
      </c>
      <c r="K2787" s="93">
        <v>601</v>
      </c>
      <c r="L2787" s="93" t="e">
        <v>#N/A</v>
      </c>
      <c r="M2787" s="93" t="s">
        <v>2311</v>
      </c>
      <c r="N2787" s="93">
        <f>VLOOKUP(B2787,'[16]01.수집 카테고리(List)'!$A$2:$H$64,8,FALSE)</f>
        <v>99991231</v>
      </c>
      <c r="O2787" s="93" t="s">
        <v>646</v>
      </c>
    </row>
    <row r="2788" spans="1:15" ht="17.399999999999999" hidden="1">
      <c r="A2788" s="75" t="str">
        <f t="shared" si="102"/>
        <v>THPOWERBUYRefrigeratorrefrigeratorตู้เย็น</v>
      </c>
      <c r="B2788" s="94" t="str">
        <f t="shared" si="103"/>
        <v>TH_POWERBUY</v>
      </c>
      <c r="C2788" s="93" t="s">
        <v>230</v>
      </c>
      <c r="D2788" s="93" t="s">
        <v>233</v>
      </c>
      <c r="E2788" s="93" t="s">
        <v>2326</v>
      </c>
      <c r="F2788" s="93" t="s">
        <v>2329</v>
      </c>
      <c r="G2788" s="93" t="s">
        <v>3506</v>
      </c>
      <c r="H2788" s="93" t="e">
        <v>#N/A</v>
      </c>
      <c r="I2788" s="105" t="s">
        <v>2310</v>
      </c>
      <c r="J2788" s="93" t="s">
        <v>189</v>
      </c>
      <c r="K2788" s="93">
        <v>240</v>
      </c>
      <c r="L2788" s="93" t="e">
        <v>#N/A</v>
      </c>
      <c r="M2788" s="93" t="s">
        <v>2311</v>
      </c>
      <c r="N2788" s="93">
        <f>VLOOKUP(B2788,'[16]01.수집 카테고리(List)'!$A$2:$H$64,8,FALSE)</f>
        <v>99991231</v>
      </c>
      <c r="O2788" s="93" t="s">
        <v>646</v>
      </c>
    </row>
    <row r="2789" spans="1:15" ht="17.399999999999999" hidden="1">
      <c r="A2789" s="75" t="str">
        <f t="shared" si="102"/>
        <v>THPOWERBUYRefrigeratortop freezer refrigeratorตู้เย็น 2 ประตู</v>
      </c>
      <c r="B2789" s="94" t="str">
        <f t="shared" si="103"/>
        <v>TH_POWERBUY</v>
      </c>
      <c r="C2789" s="93" t="s">
        <v>230</v>
      </c>
      <c r="D2789" s="93" t="s">
        <v>233</v>
      </c>
      <c r="E2789" s="93" t="s">
        <v>2326</v>
      </c>
      <c r="F2789" s="93" t="s">
        <v>2332</v>
      </c>
      <c r="G2789" s="93" t="s">
        <v>3507</v>
      </c>
      <c r="H2789" s="93" t="e">
        <v>#N/A</v>
      </c>
      <c r="I2789" s="105" t="s">
        <v>2310</v>
      </c>
      <c r="J2789" s="93" t="s">
        <v>189</v>
      </c>
      <c r="K2789" s="93">
        <v>169</v>
      </c>
      <c r="L2789" s="93" t="e">
        <v>#N/A</v>
      </c>
      <c r="M2789" s="93" t="s">
        <v>2311</v>
      </c>
      <c r="N2789" s="93">
        <f>VLOOKUP(B2789,'[16]01.수집 카테고리(List)'!$A$2:$H$64,8,FALSE)</f>
        <v>99991231</v>
      </c>
      <c r="O2789" s="93" t="s">
        <v>646</v>
      </c>
    </row>
    <row r="2790" spans="1:15" ht="17.399999999999999" hidden="1">
      <c r="A2790" s="75" t="str">
        <f t="shared" si="102"/>
        <v>THPOWERBUYRefrigeratorfrench door refrigeratorตู้เย็น Multi Door</v>
      </c>
      <c r="B2790" s="94" t="str">
        <f t="shared" si="103"/>
        <v>TH_POWERBUY</v>
      </c>
      <c r="C2790" s="93" t="s">
        <v>230</v>
      </c>
      <c r="D2790" s="93" t="s">
        <v>233</v>
      </c>
      <c r="E2790" s="93" t="s">
        <v>2326</v>
      </c>
      <c r="F2790" s="93" t="s">
        <v>2328</v>
      </c>
      <c r="G2790" s="93" t="s">
        <v>3508</v>
      </c>
      <c r="H2790" s="93" t="e">
        <v>#N/A</v>
      </c>
      <c r="I2790" s="105" t="s">
        <v>2310</v>
      </c>
      <c r="J2790" s="93" t="s">
        <v>189</v>
      </c>
      <c r="K2790" s="93">
        <v>27</v>
      </c>
      <c r="L2790" s="93" t="e">
        <v>#N/A</v>
      </c>
      <c r="M2790" s="93" t="s">
        <v>2311</v>
      </c>
      <c r="N2790" s="93">
        <f>VLOOKUP(B2790,'[16]01.수집 카테고리(List)'!$A$2:$H$64,8,FALSE)</f>
        <v>99991231</v>
      </c>
      <c r="O2790" s="93" t="s">
        <v>646</v>
      </c>
    </row>
    <row r="2791" spans="1:15" ht="17.399999999999999" hidden="1">
      <c r="A2791" s="75" t="str">
        <f t="shared" si="102"/>
        <v>THPOWERBUYRefrigeratorside by side refrigeratorตู้เย็น side by side</v>
      </c>
      <c r="B2791" s="94" t="str">
        <f t="shared" si="103"/>
        <v>TH_POWERBUY</v>
      </c>
      <c r="C2791" s="93" t="s">
        <v>230</v>
      </c>
      <c r="D2791" s="93" t="s">
        <v>233</v>
      </c>
      <c r="E2791" s="93" t="s">
        <v>2326</v>
      </c>
      <c r="F2791" s="93" t="s">
        <v>2330</v>
      </c>
      <c r="G2791" s="93" t="s">
        <v>3509</v>
      </c>
      <c r="H2791" s="93" t="e">
        <v>#N/A</v>
      </c>
      <c r="I2791" s="105" t="s">
        <v>2310</v>
      </c>
      <c r="J2791" s="93" t="s">
        <v>189</v>
      </c>
      <c r="K2791" s="93">
        <v>29</v>
      </c>
      <c r="L2791" s="93" t="e">
        <v>#N/A</v>
      </c>
      <c r="M2791" s="93" t="s">
        <v>2311</v>
      </c>
      <c r="N2791" s="93">
        <f>VLOOKUP(B2791,'[16]01.수집 카테고리(List)'!$A$2:$H$64,8,FALSE)</f>
        <v>99991231</v>
      </c>
      <c r="O2791" s="93" t="s">
        <v>646</v>
      </c>
    </row>
    <row r="2792" spans="1:15" ht="17.399999999999999" hidden="1">
      <c r="A2792" s="75" t="str">
        <f t="shared" si="102"/>
        <v>THPOWERBUYSOUNDBARsound barซาวด์บาร์</v>
      </c>
      <c r="B2792" s="94" t="str">
        <f t="shared" si="103"/>
        <v>TH_POWERBUY</v>
      </c>
      <c r="C2792" s="93" t="s">
        <v>230</v>
      </c>
      <c r="D2792" s="93" t="s">
        <v>233</v>
      </c>
      <c r="E2792" s="93" t="s">
        <v>165</v>
      </c>
      <c r="F2792" s="93" t="s">
        <v>2529</v>
      </c>
      <c r="G2792" s="93" t="s">
        <v>3510</v>
      </c>
      <c r="H2792" s="93" t="e">
        <v>#N/A</v>
      </c>
      <c r="I2792" s="105" t="s">
        <v>2310</v>
      </c>
      <c r="J2792" s="93" t="s">
        <v>189</v>
      </c>
      <c r="K2792" s="93">
        <v>63</v>
      </c>
      <c r="L2792" s="93" t="e">
        <v>#N/A</v>
      </c>
      <c r="M2792" s="93" t="s">
        <v>2311</v>
      </c>
      <c r="N2792" s="93">
        <f>VLOOKUP(B2792,'[16]01.수집 카테고리(List)'!$A$2:$H$64,8,FALSE)</f>
        <v>99991231</v>
      </c>
      <c r="O2792" s="93" t="s">
        <v>646</v>
      </c>
    </row>
    <row r="2793" spans="1:15" ht="17.399999999999999" hidden="1">
      <c r="A2793" s="75" t="str">
        <f t="shared" si="102"/>
        <v>THPOWERBUYSOUNDBARsoundbar speakerลำโพงsoundbar</v>
      </c>
      <c r="B2793" s="94" t="str">
        <f t="shared" si="103"/>
        <v>TH_POWERBUY</v>
      </c>
      <c r="C2793" s="93" t="s">
        <v>230</v>
      </c>
      <c r="D2793" s="93" t="s">
        <v>233</v>
      </c>
      <c r="E2793" s="93" t="s">
        <v>165</v>
      </c>
      <c r="F2793" s="93" t="s">
        <v>2892</v>
      </c>
      <c r="G2793" s="93" t="s">
        <v>3511</v>
      </c>
      <c r="H2793" s="93" t="e">
        <v>#N/A</v>
      </c>
      <c r="I2793" s="105" t="s">
        <v>2310</v>
      </c>
      <c r="J2793" s="93" t="s">
        <v>189</v>
      </c>
      <c r="K2793" s="93">
        <v>2</v>
      </c>
      <c r="L2793" s="93" t="e">
        <v>#N/A</v>
      </c>
      <c r="M2793" s="93" t="s">
        <v>2311</v>
      </c>
      <c r="N2793" s="93">
        <f>VLOOKUP(B2793,'[16]01.수집 카테고리(List)'!$A$2:$H$64,8,FALSE)</f>
        <v>99991231</v>
      </c>
      <c r="O2793" s="93" t="s">
        <v>646</v>
      </c>
    </row>
    <row r="2794" spans="1:15" ht="17.399999999999999" hidden="1">
      <c r="A2794" s="75" t="str">
        <f t="shared" si="102"/>
        <v>THPOWERBUYSOUNDBARsound bar speakerลำโพงซาวด์บาร์</v>
      </c>
      <c r="B2794" s="94" t="str">
        <f t="shared" si="103"/>
        <v>TH_POWERBUY</v>
      </c>
      <c r="C2794" s="93" t="s">
        <v>230</v>
      </c>
      <c r="D2794" s="93" t="s">
        <v>233</v>
      </c>
      <c r="E2794" s="93" t="s">
        <v>165</v>
      </c>
      <c r="F2794" s="93" t="s">
        <v>3512</v>
      </c>
      <c r="G2794" s="93" t="s">
        <v>3513</v>
      </c>
      <c r="H2794" s="93" t="e">
        <v>#N/A</v>
      </c>
      <c r="I2794" s="105" t="s">
        <v>2310</v>
      </c>
      <c r="J2794" s="93" t="s">
        <v>189</v>
      </c>
      <c r="K2794" s="93">
        <v>11</v>
      </c>
      <c r="L2794" s="93" t="e">
        <v>#N/A</v>
      </c>
      <c r="M2794" s="93" t="s">
        <v>2311</v>
      </c>
      <c r="N2794" s="93">
        <f>VLOOKUP(B2794,'[16]01.수집 카테고리(List)'!$A$2:$H$64,8,FALSE)</f>
        <v>99991231</v>
      </c>
      <c r="O2794" s="93" t="s">
        <v>646</v>
      </c>
    </row>
    <row r="2795" spans="1:15" ht="17.399999999999999" hidden="1">
      <c r="A2795" s="75" t="str">
        <f t="shared" si="102"/>
        <v>THPOWERBUYSOUNDBARtv speakerลำโพงทีวี</v>
      </c>
      <c r="B2795" s="94" t="str">
        <f t="shared" si="103"/>
        <v>TH_POWERBUY</v>
      </c>
      <c r="C2795" s="93" t="s">
        <v>230</v>
      </c>
      <c r="D2795" s="93" t="s">
        <v>233</v>
      </c>
      <c r="E2795" s="93" t="s">
        <v>165</v>
      </c>
      <c r="F2795" s="93" t="s">
        <v>3514</v>
      </c>
      <c r="G2795" s="93" t="s">
        <v>3515</v>
      </c>
      <c r="H2795" s="93" t="e">
        <v>#N/A</v>
      </c>
      <c r="I2795" s="105" t="s">
        <v>2310</v>
      </c>
      <c r="J2795" s="93" t="s">
        <v>189</v>
      </c>
      <c r="K2795" s="93">
        <v>2</v>
      </c>
      <c r="L2795" s="93" t="e">
        <v>#N/A</v>
      </c>
      <c r="M2795" s="93" t="s">
        <v>2311</v>
      </c>
      <c r="N2795" s="93">
        <f>VLOOKUP(B2795,'[16]01.수집 카테고리(List)'!$A$2:$H$64,8,FALSE)</f>
        <v>99991231</v>
      </c>
      <c r="O2795" s="93" t="s">
        <v>646</v>
      </c>
    </row>
    <row r="2796" spans="1:15" ht="17.399999999999999" hidden="1">
      <c r="A2796" s="75" t="str">
        <f t="shared" si="102"/>
        <v>THPOWERBUYTV4k TV4K ทีวี</v>
      </c>
      <c r="B2796" s="94" t="str">
        <f t="shared" si="103"/>
        <v>TH_POWERBUY</v>
      </c>
      <c r="C2796" s="93" t="s">
        <v>230</v>
      </c>
      <c r="D2796" s="93" t="s">
        <v>233</v>
      </c>
      <c r="E2796" s="93" t="s">
        <v>161</v>
      </c>
      <c r="F2796" s="93" t="s">
        <v>2368</v>
      </c>
      <c r="G2796" s="93" t="s">
        <v>3539</v>
      </c>
      <c r="H2796" s="93" t="e">
        <v>#N/A</v>
      </c>
      <c r="I2796" s="105" t="s">
        <v>2310</v>
      </c>
      <c r="J2796" s="93" t="s">
        <v>189</v>
      </c>
      <c r="K2796" s="93">
        <v>429</v>
      </c>
      <c r="L2796" s="93" t="e">
        <v>#N/A</v>
      </c>
      <c r="M2796" s="93" t="s">
        <v>2311</v>
      </c>
      <c r="N2796" s="93">
        <f>VLOOKUP(B2796,'[16]01.수집 카테고리(List)'!$A$2:$H$64,8,FALSE)</f>
        <v>99991231</v>
      </c>
      <c r="O2796" s="93" t="s">
        <v>646</v>
      </c>
    </row>
    <row r="2797" spans="1:15" hidden="1">
      <c r="A2797" s="75" t="str">
        <f t="shared" si="102"/>
        <v>THPOWERBUYTVoled TVOLED TV</v>
      </c>
      <c r="B2797" s="94" t="str">
        <f t="shared" si="103"/>
        <v>TH_POWERBUY</v>
      </c>
      <c r="C2797" s="93" t="s">
        <v>230</v>
      </c>
      <c r="D2797" s="93" t="s">
        <v>233</v>
      </c>
      <c r="E2797" s="93" t="s">
        <v>161</v>
      </c>
      <c r="F2797" s="93" t="s">
        <v>2369</v>
      </c>
      <c r="G2797" s="93" t="s">
        <v>3243</v>
      </c>
      <c r="H2797" s="93" t="e">
        <v>#N/A</v>
      </c>
      <c r="I2797" s="105" t="s">
        <v>2310</v>
      </c>
      <c r="J2797" s="93" t="s">
        <v>189</v>
      </c>
      <c r="K2797" s="93">
        <v>192</v>
      </c>
      <c r="L2797" s="93">
        <v>192</v>
      </c>
      <c r="M2797" s="93" t="s">
        <v>2311</v>
      </c>
      <c r="N2797" s="93">
        <f>VLOOKUP(B2797,'[16]01.수집 카테고리(List)'!$A$2:$H$64,8,FALSE)</f>
        <v>99991231</v>
      </c>
      <c r="O2797" s="93" t="s">
        <v>646</v>
      </c>
    </row>
    <row r="2798" spans="1:15" hidden="1">
      <c r="A2798" s="75" t="str">
        <f t="shared" si="102"/>
        <v>THPOWERBUYTVuhd TVUHD TV</v>
      </c>
      <c r="B2798" s="94" t="str">
        <f t="shared" si="103"/>
        <v>TH_POWERBUY</v>
      </c>
      <c r="C2798" s="93" t="s">
        <v>230</v>
      </c>
      <c r="D2798" s="93" t="s">
        <v>233</v>
      </c>
      <c r="E2798" s="93" t="s">
        <v>161</v>
      </c>
      <c r="F2798" s="93" t="s">
        <v>2399</v>
      </c>
      <c r="G2798" s="93" t="s">
        <v>2990</v>
      </c>
      <c r="H2798" s="93" t="e">
        <v>#N/A</v>
      </c>
      <c r="I2798" s="105" t="s">
        <v>2310</v>
      </c>
      <c r="J2798" s="93" t="s">
        <v>189</v>
      </c>
      <c r="K2798" s="93">
        <v>212</v>
      </c>
      <c r="L2798" s="93">
        <v>212</v>
      </c>
      <c r="M2798" s="93" t="s">
        <v>2311</v>
      </c>
      <c r="N2798" s="93">
        <f>VLOOKUP(B2798,'[16]01.수집 카테고리(List)'!$A$2:$H$64,8,FALSE)</f>
        <v>99991231</v>
      </c>
      <c r="O2798" s="93" t="s">
        <v>646</v>
      </c>
    </row>
    <row r="2799" spans="1:15" ht="17.399999999999999" hidden="1">
      <c r="A2799" s="75" t="str">
        <f t="shared" si="102"/>
        <v>THPOWERBUYTVTVทีวี</v>
      </c>
      <c r="B2799" s="94" t="str">
        <f t="shared" si="103"/>
        <v>TH_POWERBUY</v>
      </c>
      <c r="C2799" s="93" t="s">
        <v>230</v>
      </c>
      <c r="D2799" s="93" t="s">
        <v>233</v>
      </c>
      <c r="E2799" s="93" t="s">
        <v>161</v>
      </c>
      <c r="F2799" s="93" t="s">
        <v>161</v>
      </c>
      <c r="G2799" s="93" t="s">
        <v>3518</v>
      </c>
      <c r="H2799" s="93" t="e">
        <v>#N/A</v>
      </c>
      <c r="I2799" s="105" t="s">
        <v>2310</v>
      </c>
      <c r="J2799" s="93" t="s">
        <v>189</v>
      </c>
      <c r="K2799" s="93">
        <v>404</v>
      </c>
      <c r="L2799" s="93" t="e">
        <v>#N/A</v>
      </c>
      <c r="M2799" s="93" t="s">
        <v>2311</v>
      </c>
      <c r="N2799" s="93">
        <f>VLOOKUP(B2799,'[16]01.수집 카테고리(List)'!$A$2:$H$64,8,FALSE)</f>
        <v>99991231</v>
      </c>
      <c r="O2799" s="93" t="s">
        <v>646</v>
      </c>
    </row>
    <row r="2800" spans="1:15" ht="17.399999999999999" hidden="1">
      <c r="A2800" s="75" t="str">
        <f t="shared" si="102"/>
        <v>THPOWERBUYTVsmart TVสมาร์ททีวี</v>
      </c>
      <c r="B2800" s="94" t="str">
        <f t="shared" si="103"/>
        <v>TH_POWERBUY</v>
      </c>
      <c r="C2800" s="93" t="s">
        <v>230</v>
      </c>
      <c r="D2800" s="93" t="s">
        <v>233</v>
      </c>
      <c r="E2800" s="93" t="s">
        <v>161</v>
      </c>
      <c r="F2800" s="93" t="s">
        <v>2371</v>
      </c>
      <c r="G2800" s="93" t="s">
        <v>3519</v>
      </c>
      <c r="H2800" s="93" t="e">
        <v>#N/A</v>
      </c>
      <c r="I2800" s="105" t="s">
        <v>2310</v>
      </c>
      <c r="J2800" s="93" t="s">
        <v>189</v>
      </c>
      <c r="K2800" s="93">
        <v>182</v>
      </c>
      <c r="L2800" s="93" t="e">
        <v>#N/A</v>
      </c>
      <c r="M2800" s="93" t="s">
        <v>2311</v>
      </c>
      <c r="N2800" s="93">
        <f>VLOOKUP(B2800,'[16]01.수집 카테고리(List)'!$A$2:$H$64,8,FALSE)</f>
        <v>99991231</v>
      </c>
      <c r="O2800" s="93" t="s">
        <v>646</v>
      </c>
    </row>
    <row r="2801" spans="1:15" ht="17.399999999999999" hidden="1">
      <c r="A2801" s="75" t="str">
        <f t="shared" si="102"/>
        <v>THPOWERBUYWashing Machinewashing machineเครื่องซักผ้า</v>
      </c>
      <c r="B2801" s="94" t="str">
        <f t="shared" si="103"/>
        <v>TH_POWERBUY</v>
      </c>
      <c r="C2801" s="93" t="s">
        <v>230</v>
      </c>
      <c r="D2801" s="93" t="s">
        <v>233</v>
      </c>
      <c r="E2801" s="93" t="s">
        <v>2333</v>
      </c>
      <c r="F2801" s="93" t="s">
        <v>2340</v>
      </c>
      <c r="G2801" s="93" t="s">
        <v>3520</v>
      </c>
      <c r="H2801" s="93" t="e">
        <v>#N/A</v>
      </c>
      <c r="I2801" s="105" t="s">
        <v>2310</v>
      </c>
      <c r="J2801" s="93" t="s">
        <v>189</v>
      </c>
      <c r="K2801" s="93">
        <v>211</v>
      </c>
      <c r="L2801" s="93" t="e">
        <v>#N/A</v>
      </c>
      <c r="M2801" s="93" t="s">
        <v>2311</v>
      </c>
      <c r="N2801" s="93">
        <f>VLOOKUP(B2801,'[16]01.수집 카테고리(List)'!$A$2:$H$64,8,FALSE)</f>
        <v>99991231</v>
      </c>
      <c r="O2801" s="93" t="s">
        <v>646</v>
      </c>
    </row>
    <row r="2802" spans="1:15" ht="17.399999999999999" hidden="1">
      <c r="A2802" s="75" t="str">
        <f t="shared" si="102"/>
        <v>THPOWERBUYWashing Machinewasher dryer comboเครื่องซักผ้า ซักอบ</v>
      </c>
      <c r="B2802" s="94" t="str">
        <f t="shared" si="103"/>
        <v>TH_POWERBUY</v>
      </c>
      <c r="C2802" s="93" t="s">
        <v>230</v>
      </c>
      <c r="D2802" s="93" t="s">
        <v>233</v>
      </c>
      <c r="E2802" s="93" t="s">
        <v>2333</v>
      </c>
      <c r="F2802" s="93" t="s">
        <v>2338</v>
      </c>
      <c r="G2802" s="93" t="s">
        <v>3521</v>
      </c>
      <c r="H2802" s="93" t="e">
        <v>#N/A</v>
      </c>
      <c r="I2802" s="105" t="s">
        <v>2310</v>
      </c>
      <c r="J2802" s="93" t="s">
        <v>189</v>
      </c>
      <c r="K2802" s="93">
        <v>202</v>
      </c>
      <c r="L2802" s="93" t="e">
        <v>#N/A</v>
      </c>
      <c r="M2802" s="93" t="s">
        <v>2311</v>
      </c>
      <c r="N2802" s="93">
        <f>VLOOKUP(B2802,'[16]01.수집 카테고리(List)'!$A$2:$H$64,8,FALSE)</f>
        <v>99991231</v>
      </c>
      <c r="O2802" s="93" t="s">
        <v>646</v>
      </c>
    </row>
    <row r="2803" spans="1:15" ht="17.399999999999999" hidden="1">
      <c r="A2803" s="75" t="str">
        <f t="shared" si="102"/>
        <v>THPOWERBUYWashing Machinetop loaderเครื่องซักผ้าฝาบน</v>
      </c>
      <c r="B2803" s="94" t="str">
        <f t="shared" si="103"/>
        <v>TH_POWERBUY</v>
      </c>
      <c r="C2803" s="93" t="s">
        <v>230</v>
      </c>
      <c r="D2803" s="93" t="s">
        <v>233</v>
      </c>
      <c r="E2803" s="93" t="s">
        <v>2333</v>
      </c>
      <c r="F2803" s="93" t="s">
        <v>2336</v>
      </c>
      <c r="G2803" s="93" t="s">
        <v>3522</v>
      </c>
      <c r="H2803" s="93" t="e">
        <v>#N/A</v>
      </c>
      <c r="I2803" s="105" t="s">
        <v>2310</v>
      </c>
      <c r="J2803" s="93" t="s">
        <v>189</v>
      </c>
      <c r="K2803" s="93">
        <v>91</v>
      </c>
      <c r="L2803" s="93" t="e">
        <v>#N/A</v>
      </c>
      <c r="M2803" s="93" t="s">
        <v>2311</v>
      </c>
      <c r="N2803" s="93">
        <f>VLOOKUP(B2803,'[16]01.수집 카테고리(List)'!$A$2:$H$64,8,FALSE)</f>
        <v>99991231</v>
      </c>
      <c r="O2803" s="93" t="s">
        <v>646</v>
      </c>
    </row>
    <row r="2804" spans="1:15" ht="17.399999999999999" hidden="1">
      <c r="A2804" s="75" t="str">
        <f t="shared" si="102"/>
        <v>THPOWERBUYWashing Machinefront loaderเครื่องซักผ้าฝาหน้า</v>
      </c>
      <c r="B2804" s="94" t="str">
        <f t="shared" si="103"/>
        <v>TH_POWERBUY</v>
      </c>
      <c r="C2804" s="93" t="s">
        <v>230</v>
      </c>
      <c r="D2804" s="93" t="s">
        <v>233</v>
      </c>
      <c r="E2804" s="93" t="s">
        <v>2333</v>
      </c>
      <c r="F2804" s="93" t="s">
        <v>2334</v>
      </c>
      <c r="G2804" s="93" t="s">
        <v>3523</v>
      </c>
      <c r="H2804" s="93" t="e">
        <v>#N/A</v>
      </c>
      <c r="I2804" s="105" t="s">
        <v>2310</v>
      </c>
      <c r="J2804" s="93" t="s">
        <v>189</v>
      </c>
      <c r="K2804" s="93">
        <v>46</v>
      </c>
      <c r="L2804" s="93" t="e">
        <v>#N/A</v>
      </c>
      <c r="M2804" s="93" t="s">
        <v>2311</v>
      </c>
      <c r="N2804" s="93">
        <f>VLOOKUP(B2804,'[16]01.수집 카테고리(List)'!$A$2:$H$64,8,FALSE)</f>
        <v>99991231</v>
      </c>
      <c r="O2804" s="93" t="s">
        <v>646</v>
      </c>
    </row>
    <row r="2805" spans="1:15" ht="17.399999999999999" hidden="1">
      <c r="A2805" s="75" t="str">
        <f t="shared" si="102"/>
        <v>THPOWERBUYWireless Headsetearbudsหูฟัง</v>
      </c>
      <c r="B2805" s="94" t="str">
        <f t="shared" si="103"/>
        <v>TH_POWERBUY</v>
      </c>
      <c r="C2805" s="93" t="s">
        <v>230</v>
      </c>
      <c r="D2805" s="93" t="s">
        <v>233</v>
      </c>
      <c r="E2805" s="93" t="s">
        <v>2373</v>
      </c>
      <c r="F2805" s="93" t="s">
        <v>2913</v>
      </c>
      <c r="G2805" s="93" t="s">
        <v>3524</v>
      </c>
      <c r="H2805" s="93" t="e">
        <v>#N/A</v>
      </c>
      <c r="I2805" s="105" t="s">
        <v>2310</v>
      </c>
      <c r="J2805" s="93" t="s">
        <v>189</v>
      </c>
      <c r="K2805" s="93">
        <v>6563</v>
      </c>
      <c r="L2805" s="93" t="e">
        <v>#N/A</v>
      </c>
      <c r="M2805" s="93" t="s">
        <v>2311</v>
      </c>
      <c r="N2805" s="93">
        <f>VLOOKUP(B2805,'[16]01.수집 카테고리(List)'!$A$2:$H$64,8,FALSE)</f>
        <v>99991231</v>
      </c>
      <c r="O2805" s="93" t="s">
        <v>646</v>
      </c>
    </row>
    <row r="2806" spans="1:15" ht="17.399999999999999" hidden="1">
      <c r="A2806" s="75" t="str">
        <f t="shared" si="102"/>
        <v>THPOWERBUYWireless HeadsetIn-ear headphonesหูฟังแบบใส่ในหู</v>
      </c>
      <c r="B2806" s="94" t="str">
        <f t="shared" si="103"/>
        <v>TH_POWERBUY</v>
      </c>
      <c r="C2806" s="93" t="s">
        <v>230</v>
      </c>
      <c r="D2806" s="93" t="s">
        <v>233</v>
      </c>
      <c r="E2806" s="93" t="s">
        <v>2373</v>
      </c>
      <c r="F2806" s="93" t="s">
        <v>3479</v>
      </c>
      <c r="G2806" s="93" t="s">
        <v>3525</v>
      </c>
      <c r="H2806" s="93" t="e">
        <v>#N/A</v>
      </c>
      <c r="I2806" s="105" t="s">
        <v>2310</v>
      </c>
      <c r="J2806" s="93" t="s">
        <v>189</v>
      </c>
      <c r="K2806" s="93">
        <v>5660</v>
      </c>
      <c r="L2806" s="93" t="e">
        <v>#N/A</v>
      </c>
      <c r="M2806" s="93" t="s">
        <v>2311</v>
      </c>
      <c r="N2806" s="93">
        <f>VLOOKUP(B2806,'[16]01.수집 카테고리(List)'!$A$2:$H$64,8,FALSE)</f>
        <v>99991231</v>
      </c>
      <c r="O2806" s="93" t="s">
        <v>646</v>
      </c>
    </row>
    <row r="2807" spans="1:15" ht="17.399999999999999" hidden="1">
      <c r="A2807" s="75" t="str">
        <f t="shared" si="102"/>
        <v>THPOWERBUYWireless HeadsetWireless Earbudsหูฟังไร้สาย</v>
      </c>
      <c r="B2807" s="94" t="str">
        <f t="shared" si="103"/>
        <v>TH_POWERBUY</v>
      </c>
      <c r="C2807" s="93" t="s">
        <v>230</v>
      </c>
      <c r="D2807" s="93" t="s">
        <v>233</v>
      </c>
      <c r="E2807" s="93" t="s">
        <v>2373</v>
      </c>
      <c r="F2807" s="93" t="s">
        <v>2760</v>
      </c>
      <c r="G2807" s="93" t="s">
        <v>3526</v>
      </c>
      <c r="H2807" s="93" t="e">
        <v>#N/A</v>
      </c>
      <c r="I2807" s="105" t="s">
        <v>2310</v>
      </c>
      <c r="J2807" s="93" t="s">
        <v>189</v>
      </c>
      <c r="K2807" s="93">
        <v>4933</v>
      </c>
      <c r="L2807" s="93" t="e">
        <v>#N/A</v>
      </c>
      <c r="M2807" s="93" t="s">
        <v>2311</v>
      </c>
      <c r="N2807" s="93">
        <f>VLOOKUP(B2807,'[16]01.수집 카테고리(List)'!$A$2:$H$64,8,FALSE)</f>
        <v>99991231</v>
      </c>
      <c r="O2807" s="93" t="s">
        <v>646</v>
      </c>
    </row>
    <row r="2808" spans="1:15" ht="17.399999999999999" hidden="1">
      <c r="A2808" s="75" t="str">
        <f t="shared" si="102"/>
        <v>THPOWERBUYWireless HeadsetTrue Wireless Earbudsหูฟังไร้สาย</v>
      </c>
      <c r="B2808" s="94" t="str">
        <f t="shared" si="103"/>
        <v>TH_POWERBUY</v>
      </c>
      <c r="C2808" s="93" t="s">
        <v>230</v>
      </c>
      <c r="D2808" s="93" t="s">
        <v>233</v>
      </c>
      <c r="E2808" s="93" t="s">
        <v>2373</v>
      </c>
      <c r="F2808" s="93" t="s">
        <v>3023</v>
      </c>
      <c r="G2808" s="93" t="s">
        <v>3526</v>
      </c>
      <c r="H2808" s="93" t="e">
        <v>#N/A</v>
      </c>
      <c r="I2808" s="105" t="s">
        <v>2310</v>
      </c>
      <c r="J2808" s="93" t="s">
        <v>189</v>
      </c>
      <c r="K2808" s="93">
        <v>4933</v>
      </c>
      <c r="L2808" s="93" t="e">
        <v>#N/A</v>
      </c>
      <c r="M2808" s="93" t="s">
        <v>2311</v>
      </c>
      <c r="N2808" s="93">
        <f>VLOOKUP(B2808,'[16]01.수집 카테고리(List)'!$A$2:$H$64,8,FALSE)</f>
        <v>99991231</v>
      </c>
      <c r="O2808" s="93" t="s">
        <v>646</v>
      </c>
    </row>
    <row r="2809" spans="1:15" ht="17.399999999999999" hidden="1">
      <c r="A2809" s="75" t="str">
        <f t="shared" si="102"/>
        <v>THPOWERBUYWireless HeadsetIn-ear true wireless headphonesหูฟังไร้สายแบบใส่ในหู</v>
      </c>
      <c r="B2809" s="94" t="str">
        <f t="shared" si="103"/>
        <v>TH_POWERBUY</v>
      </c>
      <c r="C2809" s="93" t="s">
        <v>230</v>
      </c>
      <c r="D2809" s="93" t="s">
        <v>233</v>
      </c>
      <c r="E2809" s="93" t="s">
        <v>2373</v>
      </c>
      <c r="F2809" s="93" t="s">
        <v>3480</v>
      </c>
      <c r="G2809" s="93" t="s">
        <v>3527</v>
      </c>
      <c r="H2809" s="93" t="e">
        <v>#N/A</v>
      </c>
      <c r="I2809" s="105" t="s">
        <v>2310</v>
      </c>
      <c r="J2809" s="93" t="s">
        <v>189</v>
      </c>
      <c r="K2809" s="93">
        <v>3704</v>
      </c>
      <c r="L2809" s="93" t="e">
        <v>#N/A</v>
      </c>
      <c r="M2809" s="93" t="s">
        <v>2311</v>
      </c>
      <c r="N2809" s="93">
        <f>VLOOKUP(B2809,'[16]01.수집 카테고리(List)'!$A$2:$H$64,8,FALSE)</f>
        <v>99991231</v>
      </c>
      <c r="O2809" s="93" t="s">
        <v>646</v>
      </c>
    </row>
    <row r="2810" spans="1:15" s="81" customFormat="1" ht="17.399999999999999" hidden="1">
      <c r="A2810" s="81" t="str">
        <f t="shared" si="102"/>
        <v>THPOWERBUYMonitor4k monitor4k จอภาพ</v>
      </c>
      <c r="B2810" s="106" t="str">
        <f t="shared" si="103"/>
        <v>TH_POWERBUY</v>
      </c>
      <c r="C2810" s="107" t="s">
        <v>230</v>
      </c>
      <c r="D2810" s="107" t="s">
        <v>233</v>
      </c>
      <c r="E2810" s="107" t="s">
        <v>2545</v>
      </c>
      <c r="F2810" s="107" t="s">
        <v>2321</v>
      </c>
      <c r="G2810" s="107" t="s">
        <v>3528</v>
      </c>
      <c r="H2810" s="93" t="e">
        <v>#N/A</v>
      </c>
      <c r="I2810" s="99">
        <v>46076</v>
      </c>
      <c r="J2810" s="83" t="s">
        <v>189</v>
      </c>
      <c r="K2810" s="107"/>
      <c r="L2810" s="107"/>
      <c r="M2810" s="107"/>
      <c r="N2810" s="107"/>
      <c r="O2810" s="107"/>
    </row>
    <row r="2811" spans="1:15" s="81" customFormat="1" ht="17.399999999999999" hidden="1">
      <c r="A2811" s="81" t="str">
        <f t="shared" si="102"/>
        <v>THPOWERBUYMonitorgaming monitorgaming จอภาพ</v>
      </c>
      <c r="B2811" s="106" t="str">
        <f t="shared" si="103"/>
        <v>TH_POWERBUY</v>
      </c>
      <c r="C2811" s="107" t="s">
        <v>230</v>
      </c>
      <c r="D2811" s="107" t="s">
        <v>233</v>
      </c>
      <c r="E2811" s="107" t="s">
        <v>2545</v>
      </c>
      <c r="F2811" s="107" t="s">
        <v>2322</v>
      </c>
      <c r="G2811" s="107" t="s">
        <v>3529</v>
      </c>
      <c r="H2811" s="93" t="e">
        <v>#N/A</v>
      </c>
      <c r="I2811" s="99">
        <v>46076</v>
      </c>
      <c r="J2811" s="83" t="s">
        <v>189</v>
      </c>
      <c r="K2811" s="107"/>
      <c r="L2811" s="107"/>
      <c r="M2811" s="107"/>
      <c r="N2811" s="107"/>
      <c r="O2811" s="107"/>
    </row>
    <row r="2812" spans="1:15" s="81" customFormat="1" ht="17.399999999999999" hidden="1">
      <c r="A2812" s="81" t="str">
        <f t="shared" si="102"/>
        <v>THPOWERBUYMonitoruhd monitoruhd จอภาพ</v>
      </c>
      <c r="B2812" s="106" t="str">
        <f t="shared" si="103"/>
        <v>TH_POWERBUY</v>
      </c>
      <c r="C2812" s="107" t="s">
        <v>230</v>
      </c>
      <c r="D2812" s="107" t="s">
        <v>233</v>
      </c>
      <c r="E2812" s="107" t="s">
        <v>2545</v>
      </c>
      <c r="F2812" s="107" t="s">
        <v>2324</v>
      </c>
      <c r="G2812" s="107" t="s">
        <v>3530</v>
      </c>
      <c r="H2812" s="93" t="e">
        <v>#N/A</v>
      </c>
      <c r="I2812" s="99">
        <v>46076</v>
      </c>
      <c r="J2812" s="83" t="s">
        <v>189</v>
      </c>
      <c r="K2812" s="107"/>
      <c r="L2812" s="107"/>
      <c r="M2812" s="107"/>
      <c r="N2812" s="107"/>
      <c r="O2812" s="107"/>
    </row>
    <row r="2813" spans="1:15" s="81" customFormat="1" ht="17.399999999999999" hidden="1">
      <c r="A2813" s="81" t="str">
        <f t="shared" si="102"/>
        <v>THPOWERBUYMonitorultrawide monitorultrawide จอภาพ</v>
      </c>
      <c r="B2813" s="106" t="str">
        <f t="shared" si="103"/>
        <v>TH_POWERBUY</v>
      </c>
      <c r="C2813" s="107" t="s">
        <v>230</v>
      </c>
      <c r="D2813" s="107" t="s">
        <v>233</v>
      </c>
      <c r="E2813" s="107" t="s">
        <v>2545</v>
      </c>
      <c r="F2813" s="107" t="s">
        <v>2325</v>
      </c>
      <c r="G2813" s="107" t="s">
        <v>3531</v>
      </c>
      <c r="H2813" s="93" t="e">
        <v>#N/A</v>
      </c>
      <c r="I2813" s="99">
        <v>46076</v>
      </c>
      <c r="J2813" s="83" t="s">
        <v>189</v>
      </c>
      <c r="K2813" s="107"/>
      <c r="L2813" s="107"/>
      <c r="M2813" s="107"/>
      <c r="N2813" s="107"/>
      <c r="O2813" s="107"/>
    </row>
    <row r="2814" spans="1:15" s="81" customFormat="1" ht="17.399999999999999" hidden="1">
      <c r="A2814" s="81" t="str">
        <f t="shared" si="102"/>
        <v>THPOWERBUYMonitormonitorจอภาพ</v>
      </c>
      <c r="B2814" s="106" t="str">
        <f t="shared" si="103"/>
        <v>TH_POWERBUY</v>
      </c>
      <c r="C2814" s="107" t="s">
        <v>230</v>
      </c>
      <c r="D2814" s="107" t="s">
        <v>233</v>
      </c>
      <c r="E2814" s="107" t="s">
        <v>2545</v>
      </c>
      <c r="F2814" s="107" t="s">
        <v>2323</v>
      </c>
      <c r="G2814" s="107" t="s">
        <v>3532</v>
      </c>
      <c r="H2814" s="93" t="e">
        <v>#N/A</v>
      </c>
      <c r="I2814" s="99">
        <v>46076</v>
      </c>
      <c r="J2814" s="83" t="s">
        <v>189</v>
      </c>
      <c r="K2814" s="107"/>
      <c r="L2814" s="107"/>
      <c r="M2814" s="107"/>
      <c r="N2814" s="107"/>
      <c r="O2814" s="107"/>
    </row>
    <row r="2815" spans="1:15" s="108" customFormat="1" hidden="1">
      <c r="A2815" s="108" t="str">
        <f t="shared" si="102"/>
        <v>THPOWERBUYDryerDryerเครื่องอบผ้า</v>
      </c>
      <c r="B2815" s="109" t="str">
        <f t="shared" si="103"/>
        <v>TH_POWERBUY</v>
      </c>
      <c r="C2815" s="110" t="s">
        <v>230</v>
      </c>
      <c r="D2815" s="110" t="s">
        <v>233</v>
      </c>
      <c r="E2815" s="110" t="s">
        <v>2535</v>
      </c>
      <c r="F2815" s="110" t="s">
        <v>2535</v>
      </c>
      <c r="G2815" s="123" t="s">
        <v>3533</v>
      </c>
      <c r="H2815" s="93" t="e">
        <v>#N/A</v>
      </c>
      <c r="I2815" s="99">
        <v>46076</v>
      </c>
      <c r="J2815" s="83" t="s">
        <v>189</v>
      </c>
      <c r="K2815" s="110"/>
      <c r="L2815" s="110"/>
      <c r="M2815" s="110"/>
      <c r="N2815" s="110"/>
      <c r="O2815" s="110"/>
    </row>
    <row r="2816" spans="1:15" s="108" customFormat="1" hidden="1">
      <c r="A2816" s="108" t="str">
        <f t="shared" si="102"/>
        <v>THPOWERBUYDryerheatpump  ปั๊มความร้อน</v>
      </c>
      <c r="B2816" s="109" t="str">
        <f t="shared" si="103"/>
        <v>TH_POWERBUY</v>
      </c>
      <c r="C2816" s="110" t="s">
        <v>230</v>
      </c>
      <c r="D2816" s="110" t="s">
        <v>233</v>
      </c>
      <c r="E2816" s="110" t="s">
        <v>2535</v>
      </c>
      <c r="F2816" s="110" t="s">
        <v>2621</v>
      </c>
      <c r="G2816" s="123" t="s">
        <v>3534</v>
      </c>
      <c r="H2816" s="93" t="e">
        <v>#N/A</v>
      </c>
      <c r="I2816" s="99">
        <v>46076</v>
      </c>
      <c r="J2816" s="83" t="s">
        <v>189</v>
      </c>
      <c r="K2816" s="110"/>
      <c r="L2816" s="110"/>
      <c r="M2816" s="110"/>
      <c r="N2816" s="110"/>
      <c r="O2816" s="110"/>
    </row>
    <row r="2817" spans="1:15" s="108" customFormat="1" hidden="1">
      <c r="A2817" s="108" t="str">
        <f t="shared" si="102"/>
        <v>THPOWERBUYDryerLG Dryerเครื่องอบผ้าแอลจี</v>
      </c>
      <c r="B2817" s="109" t="str">
        <f t="shared" si="103"/>
        <v>TH_POWERBUY</v>
      </c>
      <c r="C2817" s="110" t="s">
        <v>230</v>
      </c>
      <c r="D2817" s="110" t="s">
        <v>233</v>
      </c>
      <c r="E2817" s="110" t="s">
        <v>2535</v>
      </c>
      <c r="F2817" s="110" t="s">
        <v>2434</v>
      </c>
      <c r="G2817" s="123" t="s">
        <v>3535</v>
      </c>
      <c r="H2817" s="93" t="e">
        <v>#N/A</v>
      </c>
      <c r="I2817" s="99">
        <v>46076</v>
      </c>
      <c r="J2817" s="83" t="s">
        <v>189</v>
      </c>
      <c r="K2817" s="110"/>
      <c r="L2817" s="110"/>
      <c r="M2817" s="110"/>
      <c r="N2817" s="110"/>
      <c r="O2817" s="110"/>
    </row>
    <row r="2818" spans="1:15" s="108" customFormat="1" hidden="1">
      <c r="A2818" s="108" t="str">
        <f t="shared" si="102"/>
        <v>THSS.comAir Conditionerair conditionerเครื่องปรับอากาศ</v>
      </c>
      <c r="B2818" s="109" t="str">
        <f t="shared" si="103"/>
        <v>TH_SS.com</v>
      </c>
      <c r="C2818" s="110" t="s">
        <v>3489</v>
      </c>
      <c r="D2818" s="110" t="s">
        <v>2443</v>
      </c>
      <c r="E2818" s="110" t="s">
        <v>2346</v>
      </c>
      <c r="F2818" s="110" t="s">
        <v>2607</v>
      </c>
      <c r="G2818" s="123" t="s">
        <v>3544</v>
      </c>
      <c r="H2818" s="93" t="e">
        <v>#N/A</v>
      </c>
      <c r="I2818" s="99">
        <v>46076</v>
      </c>
      <c r="J2818" s="83" t="s">
        <v>189</v>
      </c>
      <c r="K2818" s="110"/>
      <c r="L2818" s="110"/>
      <c r="M2818" s="110"/>
      <c r="N2818" s="110"/>
      <c r="O2818" s="110"/>
    </row>
    <row r="2819" spans="1:15" s="108" customFormat="1" hidden="1">
      <c r="A2819" s="108" t="str">
        <f t="shared" si="102"/>
        <v>THSS.comMonitormonitorเฝ้าสังเกต</v>
      </c>
      <c r="B2819" s="109" t="str">
        <f t="shared" si="103"/>
        <v>TH_SS.com</v>
      </c>
      <c r="C2819" s="110" t="s">
        <v>3489</v>
      </c>
      <c r="D2819" s="110" t="s">
        <v>184</v>
      </c>
      <c r="E2819" s="110" t="s">
        <v>2320</v>
      </c>
      <c r="F2819" s="110" t="s">
        <v>2449</v>
      </c>
      <c r="G2819" s="123" t="s">
        <v>3545</v>
      </c>
      <c r="H2819" s="93" t="e">
        <v>#N/A</v>
      </c>
      <c r="I2819" s="99">
        <v>46076</v>
      </c>
      <c r="J2819" s="83" t="s">
        <v>189</v>
      </c>
      <c r="K2819" s="110"/>
      <c r="L2819" s="110"/>
      <c r="M2819" s="110"/>
      <c r="N2819" s="110"/>
      <c r="O2819" s="110"/>
    </row>
    <row r="2820" spans="1:15" s="108" customFormat="1" hidden="1">
      <c r="A2820" s="108" t="str">
        <f t="shared" si="102"/>
        <v>THSS.comMonitorgaming monitorจอภาพเกม</v>
      </c>
      <c r="B2820" s="109" t="str">
        <f t="shared" si="103"/>
        <v>TH_SS.com</v>
      </c>
      <c r="C2820" s="110" t="s">
        <v>3489</v>
      </c>
      <c r="D2820" s="110" t="s">
        <v>184</v>
      </c>
      <c r="E2820" s="110" t="s">
        <v>2320</v>
      </c>
      <c r="F2820" s="110" t="s">
        <v>2602</v>
      </c>
      <c r="G2820" s="123" t="s">
        <v>3546</v>
      </c>
      <c r="H2820" s="93" t="e">
        <v>#N/A</v>
      </c>
      <c r="I2820" s="99">
        <v>46076</v>
      </c>
      <c r="J2820" s="83" t="s">
        <v>189</v>
      </c>
      <c r="K2820" s="110"/>
      <c r="L2820" s="110"/>
      <c r="M2820" s="110"/>
      <c r="N2820" s="110"/>
      <c r="O2820" s="110"/>
    </row>
    <row r="2821" spans="1:15" s="108" customFormat="1" hidden="1">
      <c r="A2821" s="108" t="str">
        <f t="shared" si="102"/>
        <v>THSS.comRefrigeratorrefrigeratorตู้เย็น</v>
      </c>
      <c r="B2821" s="109" t="str">
        <f t="shared" si="103"/>
        <v>TH_SS.com</v>
      </c>
      <c r="C2821" s="110" t="s">
        <v>3489</v>
      </c>
      <c r="D2821" s="110" t="s">
        <v>184</v>
      </c>
      <c r="E2821" s="110" t="s">
        <v>2326</v>
      </c>
      <c r="F2821" s="110" t="s">
        <v>3547</v>
      </c>
      <c r="G2821" s="123" t="s">
        <v>3548</v>
      </c>
      <c r="H2821" s="93" t="e">
        <v>#N/A</v>
      </c>
      <c r="I2821" s="99">
        <v>46076</v>
      </c>
      <c r="J2821" s="83" t="s">
        <v>189</v>
      </c>
      <c r="K2821" s="110"/>
      <c r="L2821" s="110"/>
      <c r="M2821" s="110"/>
      <c r="N2821" s="110"/>
      <c r="O2821" s="110"/>
    </row>
    <row r="2822" spans="1:15" s="108" customFormat="1" hidden="1">
      <c r="A2822" s="108" t="str">
        <f t="shared" si="102"/>
        <v>THSS.comTVtvทีวี</v>
      </c>
      <c r="B2822" s="109" t="str">
        <f t="shared" si="103"/>
        <v>TH_SS.com</v>
      </c>
      <c r="C2822" s="110" t="s">
        <v>3489</v>
      </c>
      <c r="D2822" s="110" t="s">
        <v>184</v>
      </c>
      <c r="E2822" s="110" t="s">
        <v>161</v>
      </c>
      <c r="F2822" s="110" t="s">
        <v>3549</v>
      </c>
      <c r="G2822" s="123" t="s">
        <v>3550</v>
      </c>
      <c r="H2822" s="93" t="e">
        <v>#N/A</v>
      </c>
      <c r="I2822" s="99">
        <v>46076</v>
      </c>
      <c r="J2822" s="83" t="s">
        <v>189</v>
      </c>
      <c r="K2822" s="110"/>
      <c r="L2822" s="110"/>
      <c r="M2822" s="110"/>
      <c r="N2822" s="110"/>
      <c r="O2822" s="110"/>
    </row>
    <row r="2823" spans="1:15" s="108" customFormat="1" hidden="1">
      <c r="A2823" s="108" t="str">
        <f t="shared" si="102"/>
        <v>THSS.comWashing Machinewasher dryerเครื่องซักผ้าอบผ้า</v>
      </c>
      <c r="B2823" s="109" t="str">
        <f t="shared" si="103"/>
        <v>TH_SS.com</v>
      </c>
      <c r="C2823" s="110" t="s">
        <v>3489</v>
      </c>
      <c r="D2823" s="110" t="s">
        <v>184</v>
      </c>
      <c r="E2823" s="110" t="s">
        <v>2333</v>
      </c>
      <c r="F2823" s="110" t="s">
        <v>3476</v>
      </c>
      <c r="G2823" s="123" t="s">
        <v>3551</v>
      </c>
      <c r="H2823" s="93" t="e">
        <v>#N/A</v>
      </c>
      <c r="I2823" s="99">
        <v>46076</v>
      </c>
      <c r="J2823" s="83" t="s">
        <v>189</v>
      </c>
      <c r="K2823" s="110"/>
      <c r="L2823" s="110"/>
      <c r="M2823" s="110"/>
      <c r="N2823" s="110"/>
      <c r="O2823" s="110"/>
    </row>
    <row r="2824" spans="1:15" s="108" customFormat="1" hidden="1">
      <c r="A2824" s="108" t="str">
        <f t="shared" si="102"/>
        <v>THSS.comWashing Machinewashing machineเครื่องซักผ้า</v>
      </c>
      <c r="B2824" s="109" t="str">
        <f t="shared" si="103"/>
        <v>TH_SS.com</v>
      </c>
      <c r="C2824" s="110" t="s">
        <v>3489</v>
      </c>
      <c r="D2824" s="110" t="s">
        <v>184</v>
      </c>
      <c r="E2824" s="110" t="s">
        <v>2517</v>
      </c>
      <c r="F2824" s="110" t="s">
        <v>2445</v>
      </c>
      <c r="G2824" s="123" t="s">
        <v>3552</v>
      </c>
      <c r="H2824" s="93" t="e">
        <v>#N/A</v>
      </c>
      <c r="I2824" s="99">
        <v>46076</v>
      </c>
      <c r="J2824" s="83" t="s">
        <v>189</v>
      </c>
      <c r="K2824" s="110"/>
      <c r="L2824" s="110"/>
      <c r="M2824" s="110"/>
      <c r="N2824" s="110"/>
      <c r="O2824" s="110"/>
    </row>
    <row r="2825" spans="1:15" s="108" customFormat="1" hidden="1">
      <c r="A2825" s="111" t="str">
        <f t="shared" si="102"/>
        <v>THSS.comBluetooth Speakerspeakersลำโพง</v>
      </c>
      <c r="B2825" s="112" t="str">
        <f t="shared" si="103"/>
        <v>TH_SS.com</v>
      </c>
      <c r="C2825" s="113" t="s">
        <v>230</v>
      </c>
      <c r="D2825" s="113" t="s">
        <v>184</v>
      </c>
      <c r="E2825" s="113" t="s">
        <v>2470</v>
      </c>
      <c r="F2825" s="113" t="s">
        <v>2471</v>
      </c>
      <c r="G2825" s="124" t="s">
        <v>3553</v>
      </c>
      <c r="H2825" s="93" t="e">
        <v>#N/A</v>
      </c>
      <c r="I2825" s="99">
        <v>46076</v>
      </c>
      <c r="J2825" s="83" t="s">
        <v>189</v>
      </c>
      <c r="K2825" s="110"/>
      <c r="L2825" s="110"/>
      <c r="M2825" s="110"/>
      <c r="N2825" s="110"/>
      <c r="O2825" s="110"/>
    </row>
    <row r="2826" spans="1:15" s="108" customFormat="1" hidden="1">
      <c r="A2826" s="111" t="str">
        <f t="shared" si="102"/>
        <v>THSS.comBluetooth Speakerbluetooth speakerลำโพงบลูทูธ</v>
      </c>
      <c r="B2826" s="112" t="str">
        <f t="shared" si="103"/>
        <v>TH_SS.com</v>
      </c>
      <c r="C2826" s="113" t="s">
        <v>230</v>
      </c>
      <c r="D2826" s="113" t="s">
        <v>184</v>
      </c>
      <c r="E2826" s="113" t="s">
        <v>2470</v>
      </c>
      <c r="F2826" s="113" t="s">
        <v>2657</v>
      </c>
      <c r="G2826" s="124" t="s">
        <v>3554</v>
      </c>
      <c r="H2826" s="93" t="e">
        <v>#N/A</v>
      </c>
      <c r="I2826" s="99">
        <v>46076</v>
      </c>
      <c r="J2826" s="83" t="s">
        <v>189</v>
      </c>
      <c r="K2826" s="110"/>
      <c r="L2826" s="110"/>
      <c r="M2826" s="110"/>
      <c r="N2826" s="110"/>
      <c r="O2826" s="110"/>
    </row>
    <row r="2827" spans="1:15" s="108" customFormat="1" hidden="1">
      <c r="A2827" s="111" t="str">
        <f t="shared" si="102"/>
        <v>THSS.comBluetooth Speakerbluetooth speaker portableลำโพงบลูทูธพกพา</v>
      </c>
      <c r="B2827" s="112" t="str">
        <f t="shared" si="103"/>
        <v>TH_SS.com</v>
      </c>
      <c r="C2827" s="113" t="s">
        <v>230</v>
      </c>
      <c r="D2827" s="113" t="s">
        <v>184</v>
      </c>
      <c r="E2827" s="113" t="s">
        <v>2470</v>
      </c>
      <c r="F2827" s="113" t="s">
        <v>2479</v>
      </c>
      <c r="G2827" s="124" t="s">
        <v>3555</v>
      </c>
      <c r="H2827" s="93" t="e">
        <v>#N/A</v>
      </c>
      <c r="I2827" s="99">
        <v>46076</v>
      </c>
      <c r="J2827" s="83" t="s">
        <v>189</v>
      </c>
      <c r="K2827" s="110"/>
      <c r="L2827" s="110"/>
      <c r="M2827" s="110"/>
      <c r="N2827" s="110"/>
      <c r="O2827" s="110"/>
    </row>
    <row r="2828" spans="1:15" s="108" customFormat="1" hidden="1">
      <c r="A2828" s="111" t="str">
        <f t="shared" si="102"/>
        <v>THSS.comBluetooth SpeakerPortable bluetooth speakersลำโพงบลูทูธพกพา</v>
      </c>
      <c r="B2828" s="112" t="str">
        <f t="shared" si="103"/>
        <v>TH_SS.com</v>
      </c>
      <c r="C2828" s="113" t="s">
        <v>230</v>
      </c>
      <c r="D2828" s="113" t="s">
        <v>184</v>
      </c>
      <c r="E2828" s="113" t="s">
        <v>2470</v>
      </c>
      <c r="F2828" s="113" t="s">
        <v>2426</v>
      </c>
      <c r="G2828" s="124" t="s">
        <v>3555</v>
      </c>
      <c r="H2828" s="93" t="e">
        <v>#N/A</v>
      </c>
      <c r="I2828" s="99">
        <v>46076</v>
      </c>
      <c r="J2828" s="83" t="s">
        <v>189</v>
      </c>
      <c r="K2828" s="110"/>
      <c r="L2828" s="110"/>
      <c r="M2828" s="110"/>
      <c r="N2828" s="110"/>
      <c r="O2828" s="110"/>
    </row>
    <row r="2829" spans="1:15" s="108" customFormat="1" hidden="1">
      <c r="A2829" s="111" t="str">
        <f t="shared" si="102"/>
        <v>THSS.comBluetooth Speakerportable speakersลำโพงพกพา</v>
      </c>
      <c r="B2829" s="112" t="str">
        <f t="shared" si="103"/>
        <v>TH_SS.com</v>
      </c>
      <c r="C2829" s="113" t="s">
        <v>230</v>
      </c>
      <c r="D2829" s="113" t="s">
        <v>184</v>
      </c>
      <c r="E2829" s="113" t="s">
        <v>2470</v>
      </c>
      <c r="F2829" s="113" t="s">
        <v>2473</v>
      </c>
      <c r="G2829" s="124" t="s">
        <v>3556</v>
      </c>
      <c r="H2829" s="93" t="e">
        <v>#N/A</v>
      </c>
      <c r="I2829" s="99">
        <v>46076</v>
      </c>
      <c r="J2829" s="83" t="s">
        <v>189</v>
      </c>
      <c r="K2829" s="110"/>
      <c r="L2829" s="110"/>
      <c r="M2829" s="110"/>
      <c r="N2829" s="110"/>
      <c r="O2829" s="110"/>
    </row>
    <row r="2830" spans="1:15" s="108" customFormat="1" hidden="1">
      <c r="A2830" s="111" t="str">
        <f t="shared" si="102"/>
        <v>THSS.comBluetooth Speakerportable bluetooth speakerลำโพงบลูทูธแบบพกพา</v>
      </c>
      <c r="B2830" s="112" t="str">
        <f t="shared" si="103"/>
        <v>TH_SS.com</v>
      </c>
      <c r="C2830" s="113" t="s">
        <v>230</v>
      </c>
      <c r="D2830" s="113" t="s">
        <v>184</v>
      </c>
      <c r="E2830" s="113" t="s">
        <v>2470</v>
      </c>
      <c r="F2830" s="113" t="s">
        <v>3070</v>
      </c>
      <c r="G2830" s="124" t="s">
        <v>3557</v>
      </c>
      <c r="H2830" s="93" t="e">
        <v>#N/A</v>
      </c>
      <c r="I2830" s="99">
        <v>46076</v>
      </c>
      <c r="J2830" s="83" t="s">
        <v>189</v>
      </c>
      <c r="K2830" s="110"/>
      <c r="L2830" s="110"/>
      <c r="M2830" s="110"/>
      <c r="N2830" s="110"/>
      <c r="O2830" s="110"/>
    </row>
    <row r="2831" spans="1:15" s="108" customFormat="1" hidden="1">
      <c r="A2831" s="111" t="str">
        <f t="shared" si="102"/>
        <v>THSS.comBluetooth Speakerportable speakerลำโพงพกพา</v>
      </c>
      <c r="B2831" s="112" t="str">
        <f t="shared" si="103"/>
        <v>TH_SS.com</v>
      </c>
      <c r="C2831" s="113" t="s">
        <v>230</v>
      </c>
      <c r="D2831" s="113" t="s">
        <v>184</v>
      </c>
      <c r="E2831" s="113" t="s">
        <v>2470</v>
      </c>
      <c r="F2831" s="113" t="s">
        <v>2875</v>
      </c>
      <c r="G2831" s="124" t="s">
        <v>3556</v>
      </c>
      <c r="H2831" s="93" t="e">
        <v>#N/A</v>
      </c>
      <c r="I2831" s="99">
        <v>46076</v>
      </c>
      <c r="J2831" s="83" t="s">
        <v>189</v>
      </c>
      <c r="K2831" s="110"/>
      <c r="L2831" s="110"/>
      <c r="M2831" s="110"/>
      <c r="N2831" s="110"/>
      <c r="O2831" s="110"/>
    </row>
    <row r="2832" spans="1:15" s="108" customFormat="1" hidden="1">
      <c r="A2832" s="111" t="str">
        <f t="shared" si="102"/>
        <v>THSS.comSOUNDBARsound barซาวด์บาร์</v>
      </c>
      <c r="B2832" s="112" t="str">
        <f t="shared" si="103"/>
        <v>TH_SS.com</v>
      </c>
      <c r="C2832" s="113" t="s">
        <v>230</v>
      </c>
      <c r="D2832" s="113" t="s">
        <v>184</v>
      </c>
      <c r="E2832" s="113" t="s">
        <v>165</v>
      </c>
      <c r="F2832" s="113" t="s">
        <v>2529</v>
      </c>
      <c r="G2832" s="124" t="s">
        <v>3558</v>
      </c>
      <c r="H2832" s="93" t="e">
        <v>#N/A</v>
      </c>
      <c r="I2832" s="99">
        <v>46076</v>
      </c>
      <c r="J2832" s="83" t="s">
        <v>189</v>
      </c>
      <c r="K2832" s="110"/>
      <c r="L2832" s="110"/>
      <c r="M2832" s="110"/>
      <c r="N2832" s="110"/>
      <c r="O2832" s="110"/>
    </row>
    <row r="2833" spans="1:15" s="108" customFormat="1" hidden="1">
      <c r="A2833" s="111" t="str">
        <f t="shared" si="102"/>
        <v>THSS.comSOUNDBARsoundbar speakerลำโพงsoundbar</v>
      </c>
      <c r="B2833" s="112" t="str">
        <f t="shared" si="103"/>
        <v>TH_SS.com</v>
      </c>
      <c r="C2833" s="113" t="s">
        <v>230</v>
      </c>
      <c r="D2833" s="113" t="s">
        <v>184</v>
      </c>
      <c r="E2833" s="113" t="s">
        <v>165</v>
      </c>
      <c r="F2833" s="113" t="s">
        <v>2892</v>
      </c>
      <c r="G2833" s="124" t="s">
        <v>3559</v>
      </c>
      <c r="H2833" s="93" t="e">
        <v>#N/A</v>
      </c>
      <c r="I2833" s="99">
        <v>46076</v>
      </c>
      <c r="J2833" s="83" t="s">
        <v>189</v>
      </c>
      <c r="K2833" s="110"/>
      <c r="L2833" s="110"/>
      <c r="M2833" s="110"/>
      <c r="N2833" s="110"/>
      <c r="O2833" s="110"/>
    </row>
    <row r="2834" spans="1:15" s="108" customFormat="1" hidden="1">
      <c r="A2834" s="111" t="str">
        <f t="shared" si="102"/>
        <v>THSS.comSOUNDBARsound bar speakerลำโพงซาวด์บาร์</v>
      </c>
      <c r="B2834" s="112" t="str">
        <f t="shared" si="103"/>
        <v>TH_SS.com</v>
      </c>
      <c r="C2834" s="113" t="s">
        <v>230</v>
      </c>
      <c r="D2834" s="113" t="s">
        <v>184</v>
      </c>
      <c r="E2834" s="113" t="s">
        <v>165</v>
      </c>
      <c r="F2834" s="113" t="s">
        <v>3512</v>
      </c>
      <c r="G2834" s="124" t="s">
        <v>3560</v>
      </c>
      <c r="H2834" s="93" t="e">
        <v>#N/A</v>
      </c>
      <c r="I2834" s="99">
        <v>46076</v>
      </c>
      <c r="J2834" s="83" t="s">
        <v>189</v>
      </c>
      <c r="K2834" s="110"/>
      <c r="L2834" s="110"/>
      <c r="M2834" s="110"/>
      <c r="N2834" s="110"/>
      <c r="O2834" s="110"/>
    </row>
    <row r="2835" spans="1:15" s="108" customFormat="1" hidden="1">
      <c r="A2835" s="111" t="str">
        <f t="shared" si="102"/>
        <v>THSS.comSOUNDBARtv speakerลำโพงทีวี</v>
      </c>
      <c r="B2835" s="112" t="str">
        <f t="shared" si="103"/>
        <v>TH_SS.com</v>
      </c>
      <c r="C2835" s="113" t="s">
        <v>230</v>
      </c>
      <c r="D2835" s="113" t="s">
        <v>184</v>
      </c>
      <c r="E2835" s="113" t="s">
        <v>165</v>
      </c>
      <c r="F2835" s="113" t="s">
        <v>3514</v>
      </c>
      <c r="G2835" s="124" t="s">
        <v>3561</v>
      </c>
      <c r="H2835" s="93" t="e">
        <v>#N/A</v>
      </c>
      <c r="I2835" s="99">
        <v>46076</v>
      </c>
      <c r="J2835" s="83" t="s">
        <v>189</v>
      </c>
      <c r="K2835" s="110"/>
      <c r="L2835" s="110"/>
      <c r="M2835" s="110"/>
      <c r="N2835" s="110"/>
      <c r="O2835" s="110"/>
    </row>
    <row r="2836" spans="1:15" s="108" customFormat="1" hidden="1">
      <c r="A2836" s="111" t="str">
        <f t="shared" si="102"/>
        <v>THSS.comWireless Headsetearbudsหูฟัง</v>
      </c>
      <c r="B2836" s="112" t="str">
        <f t="shared" si="103"/>
        <v>TH_SS.com</v>
      </c>
      <c r="C2836" s="113" t="s">
        <v>230</v>
      </c>
      <c r="D2836" s="113" t="s">
        <v>184</v>
      </c>
      <c r="E2836" s="113" t="s">
        <v>2373</v>
      </c>
      <c r="F2836" s="113" t="s">
        <v>2913</v>
      </c>
      <c r="G2836" s="124" t="s">
        <v>3562</v>
      </c>
      <c r="H2836" s="93" t="e">
        <v>#N/A</v>
      </c>
      <c r="I2836" s="99">
        <v>46076</v>
      </c>
      <c r="J2836" s="83" t="s">
        <v>189</v>
      </c>
      <c r="K2836" s="110"/>
      <c r="L2836" s="110"/>
      <c r="M2836" s="110"/>
      <c r="N2836" s="110"/>
      <c r="O2836" s="110"/>
    </row>
    <row r="2837" spans="1:15" s="108" customFormat="1" hidden="1">
      <c r="A2837" s="111" t="str">
        <f t="shared" si="102"/>
        <v>THSS.comWireless HeadsetIn-ear headphonesหูฟังแบบใส่ในหู</v>
      </c>
      <c r="B2837" s="112" t="str">
        <f t="shared" si="103"/>
        <v>TH_SS.com</v>
      </c>
      <c r="C2837" s="113" t="s">
        <v>230</v>
      </c>
      <c r="D2837" s="113" t="s">
        <v>184</v>
      </c>
      <c r="E2837" s="113" t="s">
        <v>2373</v>
      </c>
      <c r="F2837" s="113" t="s">
        <v>3479</v>
      </c>
      <c r="G2837" s="124" t="s">
        <v>3563</v>
      </c>
      <c r="H2837" s="93" t="e">
        <v>#N/A</v>
      </c>
      <c r="I2837" s="99">
        <v>46076</v>
      </c>
      <c r="J2837" s="83" t="s">
        <v>189</v>
      </c>
      <c r="K2837" s="110"/>
      <c r="L2837" s="110"/>
      <c r="M2837" s="110"/>
      <c r="N2837" s="110"/>
      <c r="O2837" s="110"/>
    </row>
    <row r="2838" spans="1:15" s="108" customFormat="1" hidden="1">
      <c r="A2838" s="111" t="str">
        <f t="shared" si="102"/>
        <v>THSS.comWireless HeadsetWireless Earbudsหูฟังไร้สาย</v>
      </c>
      <c r="B2838" s="112" t="str">
        <f t="shared" si="103"/>
        <v>TH_SS.com</v>
      </c>
      <c r="C2838" s="113" t="s">
        <v>230</v>
      </c>
      <c r="D2838" s="113" t="s">
        <v>184</v>
      </c>
      <c r="E2838" s="113" t="s">
        <v>2373</v>
      </c>
      <c r="F2838" s="113" t="s">
        <v>2760</v>
      </c>
      <c r="G2838" s="124" t="s">
        <v>3564</v>
      </c>
      <c r="H2838" s="93" t="e">
        <v>#N/A</v>
      </c>
      <c r="I2838" s="99">
        <v>46076</v>
      </c>
      <c r="J2838" s="83" t="s">
        <v>189</v>
      </c>
      <c r="K2838" s="110"/>
      <c r="L2838" s="110"/>
      <c r="M2838" s="110"/>
      <c r="N2838" s="110"/>
      <c r="O2838" s="110"/>
    </row>
    <row r="2839" spans="1:15" s="108" customFormat="1" hidden="1">
      <c r="A2839" s="111" t="str">
        <f t="shared" si="102"/>
        <v>THSS.comWireless HeadsetTrue Wireless Earbudsหูฟังไร้สาย</v>
      </c>
      <c r="B2839" s="112" t="str">
        <f t="shared" si="103"/>
        <v>TH_SS.com</v>
      </c>
      <c r="C2839" s="113" t="s">
        <v>230</v>
      </c>
      <c r="D2839" s="113" t="s">
        <v>184</v>
      </c>
      <c r="E2839" s="113" t="s">
        <v>2373</v>
      </c>
      <c r="F2839" s="113" t="s">
        <v>3023</v>
      </c>
      <c r="G2839" s="124" t="s">
        <v>3564</v>
      </c>
      <c r="H2839" s="93" t="e">
        <v>#N/A</v>
      </c>
      <c r="I2839" s="99">
        <v>46076</v>
      </c>
      <c r="J2839" s="83" t="s">
        <v>189</v>
      </c>
      <c r="K2839" s="110"/>
      <c r="L2839" s="110"/>
      <c r="M2839" s="110"/>
      <c r="N2839" s="110"/>
      <c r="O2839" s="110"/>
    </row>
    <row r="2840" spans="1:15" s="108" customFormat="1" hidden="1">
      <c r="A2840" s="111" t="str">
        <f t="shared" si="102"/>
        <v>THSS.comWireless HeadsetIn-ear true wireless headphonesหูฟังไร้สายแบบใส่ในหู</v>
      </c>
      <c r="B2840" s="112" t="str">
        <f t="shared" si="103"/>
        <v>TH_SS.com</v>
      </c>
      <c r="C2840" s="113" t="s">
        <v>230</v>
      </c>
      <c r="D2840" s="113" t="s">
        <v>184</v>
      </c>
      <c r="E2840" s="113" t="s">
        <v>2373</v>
      </c>
      <c r="F2840" s="113" t="s">
        <v>3480</v>
      </c>
      <c r="G2840" s="124" t="s">
        <v>3565</v>
      </c>
      <c r="H2840" s="93" t="e">
        <v>#N/A</v>
      </c>
      <c r="I2840" s="99">
        <v>46076</v>
      </c>
      <c r="J2840" s="83" t="s">
        <v>189</v>
      </c>
      <c r="K2840" s="110"/>
      <c r="L2840" s="110"/>
      <c r="M2840" s="110"/>
      <c r="N2840" s="110"/>
      <c r="O2840" s="110"/>
    </row>
    <row r="2841" spans="1:15" s="108" customFormat="1" hidden="1">
      <c r="A2841" s="111" t="str">
        <f t="shared" si="102"/>
        <v>THSS.comDryerDryerเครื่องอบผ้า</v>
      </c>
      <c r="B2841" s="112" t="str">
        <f t="shared" si="103"/>
        <v>TH_SS.com</v>
      </c>
      <c r="C2841" s="113" t="s">
        <v>230</v>
      </c>
      <c r="D2841" s="113" t="s">
        <v>184</v>
      </c>
      <c r="E2841" s="113" t="s">
        <v>2431</v>
      </c>
      <c r="F2841" s="113" t="s">
        <v>2431</v>
      </c>
      <c r="G2841" s="124" t="s">
        <v>3566</v>
      </c>
      <c r="H2841" s="93" t="e">
        <v>#N/A</v>
      </c>
      <c r="I2841" s="99">
        <v>46076</v>
      </c>
      <c r="J2841" s="83" t="s">
        <v>189</v>
      </c>
      <c r="K2841" s="110"/>
      <c r="L2841" s="110"/>
      <c r="M2841" s="110"/>
      <c r="N2841" s="110"/>
      <c r="O2841" s="110"/>
    </row>
    <row r="2842" spans="1:15" s="108" customFormat="1" hidden="1">
      <c r="A2842" s="111" t="str">
        <f t="shared" si="102"/>
        <v>THSS.comDryerheatpump  ปั๊มความร้อน</v>
      </c>
      <c r="B2842" s="112" t="str">
        <f t="shared" si="103"/>
        <v>TH_SS.com</v>
      </c>
      <c r="C2842" s="113" t="s">
        <v>230</v>
      </c>
      <c r="D2842" s="113" t="s">
        <v>184</v>
      </c>
      <c r="E2842" s="113" t="s">
        <v>2431</v>
      </c>
      <c r="F2842" s="113" t="s">
        <v>2432</v>
      </c>
      <c r="G2842" s="124" t="s">
        <v>3567</v>
      </c>
      <c r="H2842" s="93" t="e">
        <v>#N/A</v>
      </c>
      <c r="I2842" s="99">
        <v>46076</v>
      </c>
      <c r="J2842" s="83" t="s">
        <v>189</v>
      </c>
      <c r="K2842" s="110"/>
      <c r="L2842" s="110"/>
      <c r="M2842" s="110"/>
      <c r="N2842" s="110"/>
      <c r="O2842" s="110"/>
    </row>
    <row r="2843" spans="1:15" s="108" customFormat="1" hidden="1">
      <c r="A2843" s="111" t="str">
        <f t="shared" si="102"/>
        <v>THSS.comDryerLG Dryerเครื่องอบผ้าแอลจี</v>
      </c>
      <c r="B2843" s="112" t="str">
        <f t="shared" si="103"/>
        <v>TH_SS.com</v>
      </c>
      <c r="C2843" s="113" t="s">
        <v>230</v>
      </c>
      <c r="D2843" s="113" t="s">
        <v>184</v>
      </c>
      <c r="E2843" s="113" t="s">
        <v>2431</v>
      </c>
      <c r="F2843" s="113" t="s">
        <v>2434</v>
      </c>
      <c r="G2843" s="124" t="s">
        <v>3568</v>
      </c>
      <c r="H2843" s="93" t="e">
        <v>#N/A</v>
      </c>
      <c r="I2843" s="99">
        <v>46076</v>
      </c>
      <c r="J2843" s="83" t="s">
        <v>189</v>
      </c>
      <c r="K2843" s="110"/>
      <c r="L2843" s="110"/>
      <c r="M2843" s="110"/>
      <c r="N2843" s="110"/>
      <c r="O2843" s="110"/>
    </row>
    <row r="2844" spans="1:15" s="108" customFormat="1" hidden="1">
      <c r="A2844" s="108" t="str">
        <f t="shared" si="102"/>
        <v>THLG.comAir Conditionerair conditionerเครื่องปรับอากาศ</v>
      </c>
      <c r="B2844" s="109" t="str">
        <f t="shared" si="103"/>
        <v>TH_LG.com</v>
      </c>
      <c r="C2844" s="110" t="s">
        <v>3489</v>
      </c>
      <c r="D2844" s="110" t="s">
        <v>321</v>
      </c>
      <c r="E2844" s="110" t="s">
        <v>2346</v>
      </c>
      <c r="F2844" s="110" t="s">
        <v>2347</v>
      </c>
      <c r="G2844" s="123" t="s">
        <v>3544</v>
      </c>
      <c r="H2844" s="93" t="e">
        <v>#N/A</v>
      </c>
      <c r="I2844" s="99">
        <v>46076</v>
      </c>
      <c r="J2844" s="83" t="s">
        <v>189</v>
      </c>
      <c r="K2844" s="110"/>
      <c r="L2844" s="110"/>
      <c r="M2844" s="110"/>
      <c r="N2844" s="110"/>
      <c r="O2844" s="110"/>
    </row>
    <row r="2845" spans="1:15" s="197" customFormat="1" hidden="1">
      <c r="A2845" s="197" t="str">
        <f t="shared" ref="A2845:A2846" si="104">C2845&amp;D2845&amp;E2845&amp;F2845&amp;G2845</f>
        <v>THLG.comMonitormonitormonitor</v>
      </c>
      <c r="B2845" s="198" t="str">
        <f t="shared" ref="B2845:B2846" si="105">C2845&amp;"_"&amp;D2845</f>
        <v>TH_LG.com</v>
      </c>
      <c r="C2845" s="199" t="s">
        <v>3489</v>
      </c>
      <c r="D2845" s="199" t="s">
        <v>321</v>
      </c>
      <c r="E2845" s="199" t="s">
        <v>2320</v>
      </c>
      <c r="F2845" s="199" t="s">
        <v>2323</v>
      </c>
      <c r="G2845" s="203" t="s">
        <v>2449</v>
      </c>
      <c r="H2845" s="206" t="s">
        <v>3569</v>
      </c>
      <c r="I2845" s="201">
        <v>46076</v>
      </c>
      <c r="J2845" s="202" t="s">
        <v>189</v>
      </c>
      <c r="K2845" s="199"/>
      <c r="L2845" s="199"/>
      <c r="M2845" s="199"/>
      <c r="N2845" s="199"/>
      <c r="O2845" s="199"/>
    </row>
    <row r="2846" spans="1:15" s="197" customFormat="1" ht="14.4" hidden="1">
      <c r="A2846" s="197" t="str">
        <f t="shared" si="104"/>
        <v>THLG.comMonitorgaming monitorgaming จอภาพ</v>
      </c>
      <c r="B2846" s="198" t="str">
        <f t="shared" si="105"/>
        <v>TH_LG.com</v>
      </c>
      <c r="C2846" s="199" t="s">
        <v>3489</v>
      </c>
      <c r="D2846" s="199" t="s">
        <v>321</v>
      </c>
      <c r="E2846" s="199" t="s">
        <v>2320</v>
      </c>
      <c r="F2846" s="199" t="s">
        <v>2322</v>
      </c>
      <c r="G2846" s="203" t="s">
        <v>3570</v>
      </c>
      <c r="H2846" s="206" t="s">
        <v>3571</v>
      </c>
      <c r="I2846" s="201">
        <v>46076</v>
      </c>
      <c r="J2846" s="202" t="s">
        <v>189</v>
      </c>
      <c r="K2846" s="199"/>
      <c r="L2846" s="199"/>
      <c r="M2846" s="199"/>
      <c r="N2846" s="199"/>
      <c r="O2846" s="199"/>
    </row>
    <row r="2847" spans="1:15" s="108" customFormat="1" hidden="1">
      <c r="A2847" s="108" t="str">
        <f t="shared" ref="A2847:A2906" si="106">C2847&amp;D2847&amp;E2847&amp;F2847&amp;G2847</f>
        <v>THLG.comRefrigeratorrefrigeratorตู้เย็น</v>
      </c>
      <c r="B2847" s="109" t="str">
        <f t="shared" ref="B2847:B2906" si="107">C2847&amp;"_"&amp;D2847</f>
        <v>TH_LG.com</v>
      </c>
      <c r="C2847" s="110" t="s">
        <v>3489</v>
      </c>
      <c r="D2847" s="110" t="s">
        <v>321</v>
      </c>
      <c r="E2847" s="110" t="s">
        <v>2326</v>
      </c>
      <c r="F2847" s="110" t="s">
        <v>2329</v>
      </c>
      <c r="G2847" s="123" t="s">
        <v>3548</v>
      </c>
      <c r="H2847" s="93" t="e">
        <v>#N/A</v>
      </c>
      <c r="I2847" s="99">
        <v>46076</v>
      </c>
      <c r="J2847" s="83" t="s">
        <v>189</v>
      </c>
      <c r="K2847" s="110"/>
      <c r="L2847" s="110"/>
      <c r="M2847" s="110"/>
      <c r="N2847" s="110"/>
      <c r="O2847" s="110"/>
    </row>
    <row r="2848" spans="1:15" s="108" customFormat="1" hidden="1">
      <c r="A2848" s="108" t="str">
        <f t="shared" si="106"/>
        <v>THLG.comTVtvทีวี</v>
      </c>
      <c r="B2848" s="109" t="str">
        <f t="shared" si="107"/>
        <v>TH_LG.com</v>
      </c>
      <c r="C2848" s="110" t="s">
        <v>3489</v>
      </c>
      <c r="D2848" s="110" t="s">
        <v>321</v>
      </c>
      <c r="E2848" s="110" t="s">
        <v>161</v>
      </c>
      <c r="F2848" s="110" t="s">
        <v>2444</v>
      </c>
      <c r="G2848" s="123" t="s">
        <v>3550</v>
      </c>
      <c r="H2848" s="93" t="e">
        <v>#N/A</v>
      </c>
      <c r="I2848" s="99">
        <v>46076</v>
      </c>
      <c r="J2848" s="83" t="s">
        <v>189</v>
      </c>
      <c r="K2848" s="110"/>
      <c r="L2848" s="110"/>
      <c r="M2848" s="110"/>
      <c r="N2848" s="110"/>
      <c r="O2848" s="110"/>
    </row>
    <row r="2849" spans="1:15" s="108" customFormat="1" hidden="1">
      <c r="A2849" s="108" t="str">
        <f t="shared" si="106"/>
        <v>THLG.comWashing Machinewasher dryerเครื่องซักผ้าอบผ้า</v>
      </c>
      <c r="B2849" s="109" t="str">
        <f t="shared" si="107"/>
        <v>TH_LG.com</v>
      </c>
      <c r="C2849" s="110" t="s">
        <v>3489</v>
      </c>
      <c r="D2849" s="110" t="s">
        <v>321</v>
      </c>
      <c r="E2849" s="110" t="s">
        <v>2333</v>
      </c>
      <c r="F2849" s="110" t="s">
        <v>2339</v>
      </c>
      <c r="G2849" s="123" t="s">
        <v>3551</v>
      </c>
      <c r="H2849" s="93" t="e">
        <v>#N/A</v>
      </c>
      <c r="I2849" s="99">
        <v>46076</v>
      </c>
      <c r="J2849" s="83" t="s">
        <v>189</v>
      </c>
      <c r="K2849" s="110"/>
      <c r="L2849" s="110"/>
      <c r="M2849" s="110"/>
      <c r="N2849" s="110"/>
      <c r="O2849" s="110"/>
    </row>
    <row r="2850" spans="1:15" s="108" customFormat="1" hidden="1">
      <c r="A2850" s="108" t="str">
        <f t="shared" si="106"/>
        <v>THLG.comWashing Machinewashing machineเครื่องซักผ้า</v>
      </c>
      <c r="B2850" s="109" t="str">
        <f t="shared" si="107"/>
        <v>TH_LG.com</v>
      </c>
      <c r="C2850" s="110" t="s">
        <v>3489</v>
      </c>
      <c r="D2850" s="110" t="s">
        <v>321</v>
      </c>
      <c r="E2850" s="110" t="s">
        <v>2333</v>
      </c>
      <c r="F2850" s="110" t="s">
        <v>2340</v>
      </c>
      <c r="G2850" s="123" t="s">
        <v>3552</v>
      </c>
      <c r="H2850" s="93" t="e">
        <v>#N/A</v>
      </c>
      <c r="I2850" s="99">
        <v>46076</v>
      </c>
      <c r="J2850" s="83" t="s">
        <v>189</v>
      </c>
      <c r="K2850" s="110"/>
      <c r="L2850" s="110"/>
      <c r="M2850" s="110"/>
      <c r="N2850" s="110"/>
      <c r="O2850" s="110"/>
    </row>
    <row r="2851" spans="1:15" s="111" customFormat="1" hidden="1">
      <c r="A2851" s="111" t="str">
        <f t="shared" si="106"/>
        <v>THLG.comBluetooth Speakerspeakersลำโพง</v>
      </c>
      <c r="B2851" s="112" t="str">
        <f t="shared" si="107"/>
        <v>TH_LG.com</v>
      </c>
      <c r="C2851" s="113" t="s">
        <v>230</v>
      </c>
      <c r="D2851" s="113" t="s">
        <v>567</v>
      </c>
      <c r="E2851" s="113" t="s">
        <v>2470</v>
      </c>
      <c r="F2851" s="113" t="s">
        <v>2471</v>
      </c>
      <c r="G2851" s="124" t="s">
        <v>3553</v>
      </c>
      <c r="H2851" s="93" t="e">
        <v>#N/A</v>
      </c>
      <c r="I2851" s="99">
        <v>46076</v>
      </c>
      <c r="J2851" s="83" t="s">
        <v>189</v>
      </c>
      <c r="K2851" s="113"/>
      <c r="L2851" s="113"/>
      <c r="M2851" s="113"/>
      <c r="N2851" s="113"/>
      <c r="O2851" s="113"/>
    </row>
    <row r="2852" spans="1:15" s="111" customFormat="1" hidden="1">
      <c r="A2852" s="111" t="str">
        <f t="shared" si="106"/>
        <v>THLG.comBluetooth Speakerbluetooth speakerลำโพงบลูทูธ</v>
      </c>
      <c r="B2852" s="112" t="str">
        <f t="shared" si="107"/>
        <v>TH_LG.com</v>
      </c>
      <c r="C2852" s="113" t="s">
        <v>230</v>
      </c>
      <c r="D2852" s="113" t="s">
        <v>567</v>
      </c>
      <c r="E2852" s="113" t="s">
        <v>2470</v>
      </c>
      <c r="F2852" s="113" t="s">
        <v>2657</v>
      </c>
      <c r="G2852" s="124" t="s">
        <v>3554</v>
      </c>
      <c r="H2852" s="93" t="e">
        <v>#N/A</v>
      </c>
      <c r="I2852" s="99">
        <v>46076</v>
      </c>
      <c r="J2852" s="83" t="s">
        <v>189</v>
      </c>
      <c r="K2852" s="113"/>
      <c r="L2852" s="113"/>
      <c r="M2852" s="113"/>
      <c r="N2852" s="113"/>
      <c r="O2852" s="113"/>
    </row>
    <row r="2853" spans="1:15" s="111" customFormat="1" hidden="1">
      <c r="A2853" s="111" t="str">
        <f t="shared" si="106"/>
        <v>THLG.comBluetooth Speakerbluetooth speaker portableลำโพงบลูทูธพกพา</v>
      </c>
      <c r="B2853" s="112" t="str">
        <f t="shared" si="107"/>
        <v>TH_LG.com</v>
      </c>
      <c r="C2853" s="113" t="s">
        <v>230</v>
      </c>
      <c r="D2853" s="113" t="s">
        <v>567</v>
      </c>
      <c r="E2853" s="113" t="s">
        <v>2470</v>
      </c>
      <c r="F2853" s="113" t="s">
        <v>2479</v>
      </c>
      <c r="G2853" s="124" t="s">
        <v>3555</v>
      </c>
      <c r="H2853" s="93" t="e">
        <v>#N/A</v>
      </c>
      <c r="I2853" s="99">
        <v>46076</v>
      </c>
      <c r="J2853" s="83" t="s">
        <v>189</v>
      </c>
      <c r="K2853" s="113"/>
      <c r="L2853" s="113"/>
      <c r="M2853" s="113"/>
      <c r="N2853" s="113"/>
      <c r="O2853" s="113"/>
    </row>
    <row r="2854" spans="1:15" s="111" customFormat="1" hidden="1">
      <c r="A2854" s="111" t="str">
        <f t="shared" si="106"/>
        <v>THLG.comBluetooth SpeakerPortable bluetooth speakersลำโพงบลูทูธพกพา</v>
      </c>
      <c r="B2854" s="112" t="str">
        <f t="shared" si="107"/>
        <v>TH_LG.com</v>
      </c>
      <c r="C2854" s="113" t="s">
        <v>230</v>
      </c>
      <c r="D2854" s="113" t="s">
        <v>567</v>
      </c>
      <c r="E2854" s="113" t="s">
        <v>2470</v>
      </c>
      <c r="F2854" s="113" t="s">
        <v>2426</v>
      </c>
      <c r="G2854" s="124" t="s">
        <v>3555</v>
      </c>
      <c r="H2854" s="93" t="e">
        <v>#N/A</v>
      </c>
      <c r="I2854" s="99">
        <v>46076</v>
      </c>
      <c r="J2854" s="83" t="s">
        <v>189</v>
      </c>
      <c r="K2854" s="113"/>
      <c r="L2854" s="113"/>
      <c r="M2854" s="113"/>
      <c r="N2854" s="113"/>
      <c r="O2854" s="113"/>
    </row>
    <row r="2855" spans="1:15" s="111" customFormat="1" hidden="1">
      <c r="A2855" s="111" t="str">
        <f t="shared" si="106"/>
        <v>THLG.comBluetooth Speakerportable speakersลำโพงพกพา</v>
      </c>
      <c r="B2855" s="112" t="str">
        <f t="shared" si="107"/>
        <v>TH_LG.com</v>
      </c>
      <c r="C2855" s="113" t="s">
        <v>230</v>
      </c>
      <c r="D2855" s="113" t="s">
        <v>567</v>
      </c>
      <c r="E2855" s="113" t="s">
        <v>2470</v>
      </c>
      <c r="F2855" s="113" t="s">
        <v>2473</v>
      </c>
      <c r="G2855" s="124" t="s">
        <v>3556</v>
      </c>
      <c r="H2855" s="93" t="e">
        <v>#N/A</v>
      </c>
      <c r="I2855" s="99">
        <v>46076</v>
      </c>
      <c r="J2855" s="83" t="s">
        <v>189</v>
      </c>
      <c r="K2855" s="113"/>
      <c r="L2855" s="113"/>
      <c r="M2855" s="113"/>
      <c r="N2855" s="113"/>
      <c r="O2855" s="113"/>
    </row>
    <row r="2856" spans="1:15" s="111" customFormat="1" hidden="1">
      <c r="A2856" s="111" t="str">
        <f t="shared" si="106"/>
        <v>THLG.comBluetooth Speakerportable bluetooth speakerลำโพงบลูทูธแบบพกพา</v>
      </c>
      <c r="B2856" s="112" t="str">
        <f t="shared" si="107"/>
        <v>TH_LG.com</v>
      </c>
      <c r="C2856" s="113" t="s">
        <v>230</v>
      </c>
      <c r="D2856" s="113" t="s">
        <v>567</v>
      </c>
      <c r="E2856" s="113" t="s">
        <v>2470</v>
      </c>
      <c r="F2856" s="113" t="s">
        <v>3070</v>
      </c>
      <c r="G2856" s="124" t="s">
        <v>3557</v>
      </c>
      <c r="H2856" s="93" t="e">
        <v>#N/A</v>
      </c>
      <c r="I2856" s="99">
        <v>46076</v>
      </c>
      <c r="J2856" s="83" t="s">
        <v>189</v>
      </c>
      <c r="K2856" s="113"/>
      <c r="L2856" s="113"/>
      <c r="M2856" s="113"/>
      <c r="N2856" s="113"/>
      <c r="O2856" s="113"/>
    </row>
    <row r="2857" spans="1:15" s="111" customFormat="1" hidden="1">
      <c r="A2857" s="111" t="str">
        <f t="shared" si="106"/>
        <v>THLG.comBluetooth Speakerportable speakerลำโพงพกพา</v>
      </c>
      <c r="B2857" s="112" t="str">
        <f t="shared" si="107"/>
        <v>TH_LG.com</v>
      </c>
      <c r="C2857" s="113" t="s">
        <v>230</v>
      </c>
      <c r="D2857" s="113" t="s">
        <v>567</v>
      </c>
      <c r="E2857" s="113" t="s">
        <v>2470</v>
      </c>
      <c r="F2857" s="113" t="s">
        <v>2875</v>
      </c>
      <c r="G2857" s="124" t="s">
        <v>3556</v>
      </c>
      <c r="H2857" s="93" t="e">
        <v>#N/A</v>
      </c>
      <c r="I2857" s="99">
        <v>46076</v>
      </c>
      <c r="J2857" s="83" t="s">
        <v>189</v>
      </c>
      <c r="K2857" s="113"/>
      <c r="L2857" s="113"/>
      <c r="M2857" s="113"/>
      <c r="N2857" s="113"/>
      <c r="O2857" s="113"/>
    </row>
    <row r="2858" spans="1:15" s="111" customFormat="1" hidden="1">
      <c r="A2858" s="111" t="str">
        <f t="shared" si="106"/>
        <v>THLG.comSOUNDBARsound barซาวด์บาร์</v>
      </c>
      <c r="B2858" s="112" t="str">
        <f t="shared" si="107"/>
        <v>TH_LG.com</v>
      </c>
      <c r="C2858" s="113" t="s">
        <v>230</v>
      </c>
      <c r="D2858" s="113" t="s">
        <v>567</v>
      </c>
      <c r="E2858" s="113" t="s">
        <v>165</v>
      </c>
      <c r="F2858" s="113" t="s">
        <v>2529</v>
      </c>
      <c r="G2858" s="124" t="s">
        <v>3558</v>
      </c>
      <c r="H2858" s="93" t="e">
        <v>#N/A</v>
      </c>
      <c r="I2858" s="99">
        <v>46076</v>
      </c>
      <c r="J2858" s="83" t="s">
        <v>189</v>
      </c>
      <c r="K2858" s="113"/>
      <c r="L2858" s="113"/>
      <c r="M2858" s="113"/>
      <c r="N2858" s="113"/>
      <c r="O2858" s="113"/>
    </row>
    <row r="2859" spans="1:15" s="111" customFormat="1" hidden="1">
      <c r="A2859" s="111" t="str">
        <f t="shared" si="106"/>
        <v>THLG.comSOUNDBARsoundbar speakerลำโพงsoundbar</v>
      </c>
      <c r="B2859" s="112" t="str">
        <f t="shared" si="107"/>
        <v>TH_LG.com</v>
      </c>
      <c r="C2859" s="113" t="s">
        <v>230</v>
      </c>
      <c r="D2859" s="113" t="s">
        <v>567</v>
      </c>
      <c r="E2859" s="113" t="s">
        <v>165</v>
      </c>
      <c r="F2859" s="113" t="s">
        <v>2892</v>
      </c>
      <c r="G2859" s="124" t="s">
        <v>3559</v>
      </c>
      <c r="H2859" s="93" t="e">
        <v>#N/A</v>
      </c>
      <c r="I2859" s="99">
        <v>46076</v>
      </c>
      <c r="J2859" s="83" t="s">
        <v>189</v>
      </c>
      <c r="K2859" s="113"/>
      <c r="L2859" s="113"/>
      <c r="M2859" s="113"/>
      <c r="N2859" s="113"/>
      <c r="O2859" s="113"/>
    </row>
    <row r="2860" spans="1:15" s="111" customFormat="1" hidden="1">
      <c r="A2860" s="111" t="str">
        <f t="shared" si="106"/>
        <v>THLG.comSOUNDBARsound bar speakerลำโพงซาวด์บาร์</v>
      </c>
      <c r="B2860" s="112" t="str">
        <f t="shared" si="107"/>
        <v>TH_LG.com</v>
      </c>
      <c r="C2860" s="113" t="s">
        <v>230</v>
      </c>
      <c r="D2860" s="113" t="s">
        <v>567</v>
      </c>
      <c r="E2860" s="113" t="s">
        <v>165</v>
      </c>
      <c r="F2860" s="113" t="s">
        <v>3512</v>
      </c>
      <c r="G2860" s="124" t="s">
        <v>3560</v>
      </c>
      <c r="H2860" s="93" t="e">
        <v>#N/A</v>
      </c>
      <c r="I2860" s="99">
        <v>46076</v>
      </c>
      <c r="J2860" s="83" t="s">
        <v>189</v>
      </c>
      <c r="K2860" s="113"/>
      <c r="L2860" s="113"/>
      <c r="M2860" s="113"/>
      <c r="N2860" s="113"/>
      <c r="O2860" s="113"/>
    </row>
    <row r="2861" spans="1:15" s="111" customFormat="1" hidden="1">
      <c r="A2861" s="111" t="str">
        <f t="shared" si="106"/>
        <v>THLG.comSOUNDBARtv speakerลำโพงทีวี</v>
      </c>
      <c r="B2861" s="112" t="str">
        <f t="shared" si="107"/>
        <v>TH_LG.com</v>
      </c>
      <c r="C2861" s="113" t="s">
        <v>230</v>
      </c>
      <c r="D2861" s="113" t="s">
        <v>567</v>
      </c>
      <c r="E2861" s="113" t="s">
        <v>165</v>
      </c>
      <c r="F2861" s="113" t="s">
        <v>3514</v>
      </c>
      <c r="G2861" s="124" t="s">
        <v>3561</v>
      </c>
      <c r="H2861" s="93" t="e">
        <v>#N/A</v>
      </c>
      <c r="I2861" s="99">
        <v>46076</v>
      </c>
      <c r="J2861" s="83" t="s">
        <v>189</v>
      </c>
      <c r="K2861" s="113"/>
      <c r="L2861" s="113"/>
      <c r="M2861" s="113"/>
      <c r="N2861" s="113"/>
      <c r="O2861" s="113"/>
    </row>
    <row r="2862" spans="1:15" s="111" customFormat="1" hidden="1">
      <c r="A2862" s="111" t="str">
        <f t="shared" si="106"/>
        <v>THLG.comWireless HeadsetIn-ear headphonesหูฟังแบบใส่ในหู</v>
      </c>
      <c r="B2862" s="112" t="str">
        <f t="shared" si="107"/>
        <v>TH_LG.com</v>
      </c>
      <c r="C2862" s="113" t="s">
        <v>230</v>
      </c>
      <c r="D2862" s="113" t="s">
        <v>567</v>
      </c>
      <c r="E2862" s="113" t="s">
        <v>2373</v>
      </c>
      <c r="F2862" s="113" t="s">
        <v>3479</v>
      </c>
      <c r="G2862" s="124" t="s">
        <v>3563</v>
      </c>
      <c r="H2862" s="93" t="e">
        <v>#N/A</v>
      </c>
      <c r="I2862" s="99">
        <v>46076</v>
      </c>
      <c r="J2862" s="83" t="s">
        <v>189</v>
      </c>
      <c r="K2862" s="113"/>
      <c r="L2862" s="113"/>
      <c r="M2862" s="113"/>
      <c r="N2862" s="113"/>
      <c r="O2862" s="113"/>
    </row>
    <row r="2863" spans="1:15" s="111" customFormat="1" hidden="1">
      <c r="A2863" s="111" t="str">
        <f t="shared" si="106"/>
        <v>THLG.comWireless HeadsetWireless Earbudsหูฟังไร้สาย</v>
      </c>
      <c r="B2863" s="112" t="str">
        <f t="shared" si="107"/>
        <v>TH_LG.com</v>
      </c>
      <c r="C2863" s="113" t="s">
        <v>230</v>
      </c>
      <c r="D2863" s="113" t="s">
        <v>567</v>
      </c>
      <c r="E2863" s="113" t="s">
        <v>2373</v>
      </c>
      <c r="F2863" s="113" t="s">
        <v>2760</v>
      </c>
      <c r="G2863" s="124" t="s">
        <v>3564</v>
      </c>
      <c r="H2863" s="93" t="e">
        <v>#N/A</v>
      </c>
      <c r="I2863" s="99">
        <v>46076</v>
      </c>
      <c r="J2863" s="83" t="s">
        <v>189</v>
      </c>
      <c r="K2863" s="113"/>
      <c r="L2863" s="113"/>
      <c r="M2863" s="113"/>
      <c r="N2863" s="113"/>
      <c r="O2863" s="113"/>
    </row>
    <row r="2864" spans="1:15" s="111" customFormat="1" hidden="1">
      <c r="A2864" s="111" t="str">
        <f t="shared" si="106"/>
        <v>THLG.comWireless HeadsetTrue Wireless Earbudsหูฟังไร้สาย</v>
      </c>
      <c r="B2864" s="112" t="str">
        <f t="shared" si="107"/>
        <v>TH_LG.com</v>
      </c>
      <c r="C2864" s="113" t="s">
        <v>230</v>
      </c>
      <c r="D2864" s="113" t="s">
        <v>567</v>
      </c>
      <c r="E2864" s="113" t="s">
        <v>2373</v>
      </c>
      <c r="F2864" s="113" t="s">
        <v>3023</v>
      </c>
      <c r="G2864" s="124" t="s">
        <v>3564</v>
      </c>
      <c r="H2864" s="93" t="e">
        <v>#N/A</v>
      </c>
      <c r="I2864" s="99">
        <v>46076</v>
      </c>
      <c r="J2864" s="83" t="s">
        <v>189</v>
      </c>
      <c r="K2864" s="113"/>
      <c r="L2864" s="113"/>
      <c r="M2864" s="113"/>
      <c r="N2864" s="113"/>
      <c r="O2864" s="113"/>
    </row>
    <row r="2865" spans="1:15" s="111" customFormat="1" hidden="1">
      <c r="A2865" s="111" t="str">
        <f t="shared" si="106"/>
        <v>THLG.comWireless HeadsetIn-ear true wireless headphonesหูฟังไร้สายแบบใส่ในหู</v>
      </c>
      <c r="B2865" s="112" t="str">
        <f t="shared" si="107"/>
        <v>TH_LG.com</v>
      </c>
      <c r="C2865" s="113" t="s">
        <v>230</v>
      </c>
      <c r="D2865" s="113" t="s">
        <v>567</v>
      </c>
      <c r="E2865" s="113" t="s">
        <v>2373</v>
      </c>
      <c r="F2865" s="113" t="s">
        <v>3480</v>
      </c>
      <c r="G2865" s="124" t="s">
        <v>3565</v>
      </c>
      <c r="H2865" s="93" t="e">
        <v>#N/A</v>
      </c>
      <c r="I2865" s="99">
        <v>46076</v>
      </c>
      <c r="J2865" s="83" t="s">
        <v>189</v>
      </c>
      <c r="K2865" s="113"/>
      <c r="L2865" s="113"/>
      <c r="M2865" s="113"/>
      <c r="N2865" s="113"/>
      <c r="O2865" s="113"/>
    </row>
    <row r="2866" spans="1:15" s="111" customFormat="1" hidden="1">
      <c r="A2866" s="111" t="str">
        <f t="shared" si="106"/>
        <v>THLG.comDryerDryerเครื่องอบผ้า</v>
      </c>
      <c r="B2866" s="112" t="str">
        <f t="shared" si="107"/>
        <v>TH_LG.com</v>
      </c>
      <c r="C2866" s="113" t="s">
        <v>230</v>
      </c>
      <c r="D2866" s="113" t="s">
        <v>567</v>
      </c>
      <c r="E2866" s="113" t="s">
        <v>2431</v>
      </c>
      <c r="F2866" s="113" t="s">
        <v>2431</v>
      </c>
      <c r="G2866" s="124" t="s">
        <v>3566</v>
      </c>
      <c r="H2866" s="93" t="e">
        <v>#N/A</v>
      </c>
      <c r="I2866" s="99">
        <v>46076</v>
      </c>
      <c r="J2866" s="83" t="s">
        <v>189</v>
      </c>
      <c r="K2866" s="113"/>
      <c r="L2866" s="113"/>
      <c r="M2866" s="113"/>
      <c r="N2866" s="113"/>
      <c r="O2866" s="113"/>
    </row>
    <row r="2867" spans="1:15" s="111" customFormat="1" hidden="1">
      <c r="A2867" s="111" t="str">
        <f t="shared" si="106"/>
        <v>THLG.comDryerheatpump  ปั๊มความร้อน</v>
      </c>
      <c r="B2867" s="112" t="str">
        <f t="shared" si="107"/>
        <v>TH_LG.com</v>
      </c>
      <c r="C2867" s="113" t="s">
        <v>230</v>
      </c>
      <c r="D2867" s="113" t="s">
        <v>567</v>
      </c>
      <c r="E2867" s="113" t="s">
        <v>2431</v>
      </c>
      <c r="F2867" s="113" t="s">
        <v>2432</v>
      </c>
      <c r="G2867" s="124" t="s">
        <v>3567</v>
      </c>
      <c r="H2867" s="93" t="e">
        <v>#N/A</v>
      </c>
      <c r="I2867" s="99">
        <v>46076</v>
      </c>
      <c r="J2867" s="83" t="s">
        <v>189</v>
      </c>
      <c r="K2867" s="113"/>
      <c r="L2867" s="113"/>
      <c r="M2867" s="113"/>
      <c r="N2867" s="113"/>
      <c r="O2867" s="113"/>
    </row>
    <row r="2868" spans="1:15" s="197" customFormat="1" hidden="1">
      <c r="A2868" s="197" t="str">
        <f t="shared" ref="A2868" si="108">C2868&amp;D2868&amp;E2868&amp;F2868&amp;G2868</f>
        <v>THLG.comDryerLG DryerLG เครื่องอบผ้า</v>
      </c>
      <c r="B2868" s="198" t="str">
        <f t="shared" ref="B2868" si="109">C2868&amp;"_"&amp;D2868</f>
        <v>TH_LG.com</v>
      </c>
      <c r="C2868" s="199" t="s">
        <v>230</v>
      </c>
      <c r="D2868" s="199" t="s">
        <v>567</v>
      </c>
      <c r="E2868" s="199" t="s">
        <v>2431</v>
      </c>
      <c r="F2868" s="199" t="s">
        <v>2434</v>
      </c>
      <c r="G2868" s="205" t="s">
        <v>3572</v>
      </c>
      <c r="H2868" s="206" t="s">
        <v>3573</v>
      </c>
      <c r="I2868" s="201">
        <v>46076</v>
      </c>
      <c r="J2868" s="202" t="s">
        <v>189</v>
      </c>
      <c r="K2868" s="199"/>
      <c r="L2868" s="199"/>
      <c r="M2868" s="199"/>
      <c r="N2868" s="199"/>
      <c r="O2868" s="199"/>
    </row>
    <row r="2869" spans="1:15" hidden="1">
      <c r="A2869" s="75" t="str">
        <f t="shared" si="106"/>
        <v>TRMEDIAMARKTBluetooth SpeakerBluetooth speakersBluetooth speakers</v>
      </c>
      <c r="B2869" s="94" t="str">
        <f t="shared" si="107"/>
        <v>TR_MEDIAMARKT</v>
      </c>
      <c r="C2869" s="93" t="s">
        <v>491</v>
      </c>
      <c r="D2869" s="93" t="s">
        <v>264</v>
      </c>
      <c r="E2869" s="93" t="s">
        <v>2307</v>
      </c>
      <c r="F2869" s="93" t="s">
        <v>2425</v>
      </c>
      <c r="G2869" s="93" t="s">
        <v>2425</v>
      </c>
      <c r="H2869" s="93" t="s">
        <v>3138</v>
      </c>
      <c r="I2869" s="105" t="s">
        <v>2310</v>
      </c>
      <c r="J2869" s="93" t="s">
        <v>189</v>
      </c>
      <c r="K2869" s="93" t="e">
        <v>#N/A</v>
      </c>
      <c r="L2869" s="93" t="e">
        <v>#N/A</v>
      </c>
      <c r="M2869" s="93" t="s">
        <v>2393</v>
      </c>
      <c r="N2869" s="93" t="e">
        <f>VLOOKUP(B2869,'[16]01.수집 카테고리(List)'!$A$2:$H$64,8,FALSE)</f>
        <v>#N/A</v>
      </c>
      <c r="O2869" s="93"/>
    </row>
    <row r="2870" spans="1:15" hidden="1">
      <c r="A2870" s="75" t="str">
        <f t="shared" si="106"/>
        <v>TRMEDIAMARKTBluetooth SpeakerPortable bluetooth speakersPortable bluetooth speakers</v>
      </c>
      <c r="B2870" s="94" t="str">
        <f t="shared" si="107"/>
        <v>TR_MEDIAMARKT</v>
      </c>
      <c r="C2870" s="93" t="s">
        <v>491</v>
      </c>
      <c r="D2870" s="93" t="s">
        <v>264</v>
      </c>
      <c r="E2870" s="93" t="s">
        <v>2307</v>
      </c>
      <c r="F2870" s="93" t="s">
        <v>2426</v>
      </c>
      <c r="G2870" s="93" t="s">
        <v>2426</v>
      </c>
      <c r="H2870" s="93" t="e">
        <v>#N/A</v>
      </c>
      <c r="I2870" s="105" t="s">
        <v>2310</v>
      </c>
      <c r="J2870" s="93" t="s">
        <v>189</v>
      </c>
      <c r="K2870" s="93">
        <v>7</v>
      </c>
      <c r="L2870" s="93">
        <v>7</v>
      </c>
      <c r="M2870" s="93" t="s">
        <v>2311</v>
      </c>
      <c r="N2870" s="93" t="e">
        <f>VLOOKUP(B2870,'[16]01.수집 카테고리(List)'!$A$2:$H$64,8,FALSE)</f>
        <v>#N/A</v>
      </c>
      <c r="O2870" s="93"/>
    </row>
    <row r="2871" spans="1:15" hidden="1">
      <c r="A2871" s="75" t="str">
        <f t="shared" si="106"/>
        <v>TRMEDIAMARKTBluetooth SpeakerPortable speakersPortable speakers</v>
      </c>
      <c r="B2871" s="94" t="str">
        <f t="shared" si="107"/>
        <v>TR_MEDIAMARKT</v>
      </c>
      <c r="C2871" s="93" t="s">
        <v>491</v>
      </c>
      <c r="D2871" s="93" t="s">
        <v>264</v>
      </c>
      <c r="E2871" s="93" t="s">
        <v>2307</v>
      </c>
      <c r="F2871" s="93" t="s">
        <v>2427</v>
      </c>
      <c r="G2871" s="93" t="s">
        <v>2427</v>
      </c>
      <c r="H2871" s="93" t="e">
        <v>#N/A</v>
      </c>
      <c r="I2871" s="105" t="s">
        <v>2310</v>
      </c>
      <c r="J2871" s="93" t="s">
        <v>189</v>
      </c>
      <c r="K2871" s="93">
        <v>4</v>
      </c>
      <c r="L2871" s="93">
        <v>4</v>
      </c>
      <c r="M2871" s="93" t="s">
        <v>2311</v>
      </c>
      <c r="N2871" s="93" t="e">
        <f>VLOOKUP(B2871,'[16]01.수집 카테고리(List)'!$A$2:$H$64,8,FALSE)</f>
        <v>#N/A</v>
      </c>
      <c r="O2871" s="93"/>
    </row>
    <row r="2872" spans="1:15" hidden="1">
      <c r="A2872" s="75" t="str">
        <f t="shared" si="106"/>
        <v>TRMEDIAMARKTBluetooth SpeakerSpeakerSpeaker</v>
      </c>
      <c r="B2872" s="94" t="str">
        <f t="shared" si="107"/>
        <v>TR_MEDIAMARKT</v>
      </c>
      <c r="C2872" s="93" t="s">
        <v>491</v>
      </c>
      <c r="D2872" s="93" t="s">
        <v>264</v>
      </c>
      <c r="E2872" s="93" t="s">
        <v>2307</v>
      </c>
      <c r="F2872" s="93" t="s">
        <v>2428</v>
      </c>
      <c r="G2872" s="93" t="s">
        <v>2428</v>
      </c>
      <c r="H2872" s="93" t="e">
        <v>#N/A</v>
      </c>
      <c r="I2872" s="105" t="s">
        <v>2310</v>
      </c>
      <c r="J2872" s="93" t="s">
        <v>189</v>
      </c>
      <c r="K2872" s="93">
        <v>31</v>
      </c>
      <c r="L2872" s="93">
        <v>31</v>
      </c>
      <c r="M2872" s="93" t="s">
        <v>2311</v>
      </c>
      <c r="N2872" s="93" t="e">
        <f>VLOOKUP(B2872,'[16]01.수집 카테고리(List)'!$A$2:$H$64,8,FALSE)</f>
        <v>#N/A</v>
      </c>
      <c r="O2872" s="93"/>
    </row>
    <row r="2873" spans="1:15" hidden="1">
      <c r="A2873" s="75" t="str">
        <f t="shared" si="106"/>
        <v>TRMEDIAMARKTBluetooth SpeakerSpeakersSpeakers</v>
      </c>
      <c r="B2873" s="94" t="str">
        <f t="shared" si="107"/>
        <v>TR_MEDIAMARKT</v>
      </c>
      <c r="C2873" s="93" t="s">
        <v>491</v>
      </c>
      <c r="D2873" s="93" t="s">
        <v>264</v>
      </c>
      <c r="E2873" s="93" t="s">
        <v>2307</v>
      </c>
      <c r="F2873" s="93" t="s">
        <v>2429</v>
      </c>
      <c r="G2873" s="93" t="s">
        <v>2429</v>
      </c>
      <c r="H2873" s="93" t="e">
        <v>#N/A</v>
      </c>
      <c r="I2873" s="105" t="s">
        <v>2310</v>
      </c>
      <c r="J2873" s="93" t="s">
        <v>189</v>
      </c>
      <c r="K2873" s="93">
        <v>3</v>
      </c>
      <c r="L2873" s="93">
        <v>3</v>
      </c>
      <c r="M2873" s="93" t="s">
        <v>2311</v>
      </c>
      <c r="N2873" s="93" t="e">
        <f>VLOOKUP(B2873,'[16]01.수집 카테고리(List)'!$A$2:$H$64,8,FALSE)</f>
        <v>#N/A</v>
      </c>
      <c r="O2873" s="93"/>
    </row>
    <row r="2874" spans="1:15" hidden="1">
      <c r="A2874" s="75" t="str">
        <f t="shared" si="106"/>
        <v>TRMEDIAMARKTDISHWASHERdishwasherbulaşık makinesi</v>
      </c>
      <c r="B2874" s="94" t="str">
        <f t="shared" si="107"/>
        <v>TR_MEDIAMARKT</v>
      </c>
      <c r="C2874" s="93" t="s">
        <v>491</v>
      </c>
      <c r="D2874" s="93" t="s">
        <v>264</v>
      </c>
      <c r="E2874" s="93" t="s">
        <v>169</v>
      </c>
      <c r="F2874" s="93" t="s">
        <v>2354</v>
      </c>
      <c r="G2874" s="93" t="s">
        <v>3574</v>
      </c>
      <c r="H2874" s="93" t="e">
        <v>#N/A</v>
      </c>
      <c r="I2874" s="105" t="s">
        <v>2310</v>
      </c>
      <c r="J2874" s="93" t="s">
        <v>189</v>
      </c>
      <c r="K2874" s="93">
        <v>106</v>
      </c>
      <c r="L2874" s="93" t="e">
        <v>#N/A</v>
      </c>
      <c r="M2874" s="93" t="s">
        <v>2311</v>
      </c>
      <c r="N2874" s="93" t="e">
        <f>VLOOKUP(B2874,'[16]01.수집 카테고리(List)'!$A$2:$H$64,8,FALSE)</f>
        <v>#N/A</v>
      </c>
      <c r="O2874" s="93"/>
    </row>
    <row r="2875" spans="1:15" hidden="1">
      <c r="A2875" s="75" t="str">
        <f t="shared" si="106"/>
        <v>TRMEDIAMARKTDISHWASHERBuilt in Dish washerDahili Bulaşık Makinesi</v>
      </c>
      <c r="B2875" s="94" t="str">
        <f t="shared" si="107"/>
        <v>TR_MEDIAMARKT</v>
      </c>
      <c r="C2875" s="93" t="s">
        <v>491</v>
      </c>
      <c r="D2875" s="93" t="s">
        <v>264</v>
      </c>
      <c r="E2875" s="93" t="s">
        <v>169</v>
      </c>
      <c r="F2875" s="93" t="s">
        <v>2356</v>
      </c>
      <c r="G2875" s="93" t="s">
        <v>3575</v>
      </c>
      <c r="H2875" s="93" t="s">
        <v>3138</v>
      </c>
      <c r="I2875" s="105" t="s">
        <v>2310</v>
      </c>
      <c r="J2875" s="93" t="s">
        <v>189</v>
      </c>
      <c r="K2875" s="93" t="e">
        <v>#N/A</v>
      </c>
      <c r="L2875" s="93" t="e">
        <v>#N/A</v>
      </c>
      <c r="M2875" s="93" t="s">
        <v>2393</v>
      </c>
      <c r="N2875" s="93" t="e">
        <f>VLOOKUP(B2875,'[16]01.수집 카테고리(List)'!$A$2:$H$64,8,FALSE)</f>
        <v>#N/A</v>
      </c>
      <c r="O2875" s="93"/>
    </row>
    <row r="2876" spans="1:15" hidden="1">
      <c r="A2876" s="75" t="str">
        <f t="shared" si="106"/>
        <v>TRMEDIAMARKTDISHWASHERFreestanding Dishwasher Solo Bulaşık Makinesi</v>
      </c>
      <c r="B2876" s="94" t="str">
        <f t="shared" si="107"/>
        <v>TR_MEDIAMARKT</v>
      </c>
      <c r="C2876" s="93" t="s">
        <v>491</v>
      </c>
      <c r="D2876" s="93" t="s">
        <v>264</v>
      </c>
      <c r="E2876" s="93" t="s">
        <v>169</v>
      </c>
      <c r="F2876" s="93" t="s">
        <v>2441</v>
      </c>
      <c r="G2876" s="93" t="s">
        <v>3576</v>
      </c>
      <c r="H2876" s="93" t="s">
        <v>3138</v>
      </c>
      <c r="I2876" s="105" t="s">
        <v>2310</v>
      </c>
      <c r="J2876" s="93" t="s">
        <v>189</v>
      </c>
      <c r="K2876" s="93" t="e">
        <v>#N/A</v>
      </c>
      <c r="L2876" s="93" t="e">
        <v>#N/A</v>
      </c>
      <c r="M2876" s="93" t="s">
        <v>2393</v>
      </c>
      <c r="N2876" s="93" t="e">
        <f>VLOOKUP(B2876,'[16]01.수집 카테고리(List)'!$A$2:$H$64,8,FALSE)</f>
        <v>#N/A</v>
      </c>
      <c r="O2876" s="93"/>
    </row>
    <row r="2877" spans="1:15" hidden="1">
      <c r="A2877" s="75" t="str">
        <f t="shared" si="106"/>
        <v>TRMEDIAMARKTRefrigeratorbottom freezer refrigeratoralttan donduruculu buzdolabı</v>
      </c>
      <c r="B2877" s="94" t="str">
        <f t="shared" si="107"/>
        <v>TR_MEDIAMARKT</v>
      </c>
      <c r="C2877" s="93" t="s">
        <v>491</v>
      </c>
      <c r="D2877" s="93" t="s">
        <v>264</v>
      </c>
      <c r="E2877" s="93" t="s">
        <v>2326</v>
      </c>
      <c r="F2877" s="93" t="s">
        <v>2327</v>
      </c>
      <c r="G2877" s="93" t="s">
        <v>3577</v>
      </c>
      <c r="H2877" s="93" t="e">
        <v>#N/A</v>
      </c>
      <c r="I2877" s="105" t="s">
        <v>2310</v>
      </c>
      <c r="J2877" s="93" t="s">
        <v>189</v>
      </c>
      <c r="K2877" s="93">
        <v>13</v>
      </c>
      <c r="L2877" s="93" t="e">
        <v>#N/A</v>
      </c>
      <c r="M2877" s="93" t="s">
        <v>2311</v>
      </c>
      <c r="N2877" s="93" t="e">
        <f>VLOOKUP(B2877,'[16]01.수집 카테고리(List)'!$A$2:$H$64,8,FALSE)</f>
        <v>#N/A</v>
      </c>
      <c r="O2877" s="93"/>
    </row>
    <row r="2878" spans="1:15" hidden="1">
      <c r="A2878" s="75" t="str">
        <f t="shared" si="106"/>
        <v>TRMEDIAMARKTRefrigeratorrefrigeratorbuzdolabı</v>
      </c>
      <c r="B2878" s="94" t="str">
        <f t="shared" si="107"/>
        <v>TR_MEDIAMARKT</v>
      </c>
      <c r="C2878" s="93" t="s">
        <v>491</v>
      </c>
      <c r="D2878" s="93" t="s">
        <v>264</v>
      </c>
      <c r="E2878" s="93" t="s">
        <v>2326</v>
      </c>
      <c r="F2878" s="93" t="s">
        <v>2329</v>
      </c>
      <c r="G2878" s="93" t="s">
        <v>3578</v>
      </c>
      <c r="H2878" s="93" t="e">
        <v>#N/A</v>
      </c>
      <c r="I2878" s="105" t="s">
        <v>2310</v>
      </c>
      <c r="J2878" s="93" t="s">
        <v>189</v>
      </c>
      <c r="K2878" s="93">
        <v>14</v>
      </c>
      <c r="L2878" s="93" t="e">
        <v>#N/A</v>
      </c>
      <c r="M2878" s="93" t="s">
        <v>2311</v>
      </c>
      <c r="N2878" s="93" t="e">
        <f>VLOOKUP(B2878,'[16]01.수집 카테고리(List)'!$A$2:$H$64,8,FALSE)</f>
        <v>#N/A</v>
      </c>
      <c r="O2878" s="93"/>
    </row>
    <row r="2879" spans="1:15" hidden="1">
      <c r="A2879" s="75" t="str">
        <f t="shared" si="106"/>
        <v>TRMEDIAMARKTRefrigeratorfrench door refrigeratorBuzdolabı Gardrop</v>
      </c>
      <c r="B2879" s="94" t="str">
        <f t="shared" si="107"/>
        <v>TR_MEDIAMARKT</v>
      </c>
      <c r="C2879" s="93" t="s">
        <v>491</v>
      </c>
      <c r="D2879" s="93" t="s">
        <v>264</v>
      </c>
      <c r="E2879" s="93" t="s">
        <v>2326</v>
      </c>
      <c r="F2879" s="93" t="s">
        <v>2328</v>
      </c>
      <c r="G2879" s="93" t="s">
        <v>3579</v>
      </c>
      <c r="H2879" s="93" t="e">
        <v>#N/A</v>
      </c>
      <c r="I2879" s="105" t="s">
        <v>2310</v>
      </c>
      <c r="J2879" s="93" t="s">
        <v>189</v>
      </c>
      <c r="K2879" s="93">
        <v>66</v>
      </c>
      <c r="L2879" s="93" t="e">
        <v>#N/A</v>
      </c>
      <c r="M2879" s="93" t="s">
        <v>2311</v>
      </c>
      <c r="N2879" s="93" t="e">
        <f>VLOOKUP(B2879,'[16]01.수집 카테고리(List)'!$A$2:$H$64,8,FALSE)</f>
        <v>#N/A</v>
      </c>
      <c r="O2879" s="93"/>
    </row>
    <row r="2880" spans="1:15" hidden="1">
      <c r="A2880" s="75" t="str">
        <f t="shared" si="106"/>
        <v>TRMEDIAMARKTRefrigeratorside by side refrigeratorGardırop Tipi buzdolabı</v>
      </c>
      <c r="B2880" s="94" t="str">
        <f t="shared" si="107"/>
        <v>TR_MEDIAMARKT</v>
      </c>
      <c r="C2880" s="93" t="s">
        <v>491</v>
      </c>
      <c r="D2880" s="93" t="s">
        <v>264</v>
      </c>
      <c r="E2880" s="93" t="s">
        <v>2326</v>
      </c>
      <c r="F2880" s="93" t="s">
        <v>2330</v>
      </c>
      <c r="G2880" s="93" t="s">
        <v>3580</v>
      </c>
      <c r="H2880" s="93" t="e">
        <v>#N/A</v>
      </c>
      <c r="I2880" s="105" t="s">
        <v>2310</v>
      </c>
      <c r="J2880" s="93" t="s">
        <v>189</v>
      </c>
      <c r="K2880" s="93">
        <v>21</v>
      </c>
      <c r="L2880" s="93" t="e">
        <v>#N/A</v>
      </c>
      <c r="M2880" s="93" t="s">
        <v>2311</v>
      </c>
      <c r="N2880" s="93" t="e">
        <f>VLOOKUP(B2880,'[16]01.수집 카테고리(List)'!$A$2:$H$64,8,FALSE)</f>
        <v>#N/A</v>
      </c>
      <c r="O2880" s="93"/>
    </row>
    <row r="2881" spans="1:15" hidden="1">
      <c r="A2881" s="75" t="str">
        <f t="shared" si="106"/>
        <v>TRMEDIAMARKTRefrigeratortop freezer refrigeratorüstten donduruculu buzdolabı</v>
      </c>
      <c r="B2881" s="94" t="str">
        <f t="shared" si="107"/>
        <v>TR_MEDIAMARKT</v>
      </c>
      <c r="C2881" s="93" t="s">
        <v>491</v>
      </c>
      <c r="D2881" s="93" t="s">
        <v>264</v>
      </c>
      <c r="E2881" s="93" t="s">
        <v>2326</v>
      </c>
      <c r="F2881" s="93" t="s">
        <v>2332</v>
      </c>
      <c r="G2881" s="93" t="s">
        <v>3581</v>
      </c>
      <c r="H2881" s="93" t="e">
        <v>#N/A</v>
      </c>
      <c r="I2881" s="105" t="s">
        <v>2310</v>
      </c>
      <c r="J2881" s="93" t="s">
        <v>189</v>
      </c>
      <c r="K2881" s="93">
        <v>29</v>
      </c>
      <c r="L2881" s="93" t="e">
        <v>#N/A</v>
      </c>
      <c r="M2881" s="93" t="s">
        <v>2311</v>
      </c>
      <c r="N2881" s="93" t="e">
        <f>VLOOKUP(B2881,'[16]01.수집 카테고리(List)'!$A$2:$H$64,8,FALSE)</f>
        <v>#N/A</v>
      </c>
      <c r="O2881" s="93"/>
    </row>
    <row r="2882" spans="1:15" hidden="1">
      <c r="A2882" s="75" t="str">
        <f t="shared" si="106"/>
        <v>TRMEDIAMARKTSOUNDBARSound barSound bar</v>
      </c>
      <c r="B2882" s="94" t="str">
        <f t="shared" si="107"/>
        <v>TR_MEDIAMARKT</v>
      </c>
      <c r="C2882" s="93" t="s">
        <v>491</v>
      </c>
      <c r="D2882" s="93" t="s">
        <v>264</v>
      </c>
      <c r="E2882" s="93" t="s">
        <v>165</v>
      </c>
      <c r="F2882" s="93" t="s">
        <v>2365</v>
      </c>
      <c r="G2882" s="93" t="s">
        <v>2365</v>
      </c>
      <c r="H2882" s="93" t="e">
        <v>#N/A</v>
      </c>
      <c r="I2882" s="105" t="s">
        <v>2310</v>
      </c>
      <c r="J2882" s="93" t="s">
        <v>189</v>
      </c>
      <c r="K2882" s="93">
        <v>3</v>
      </c>
      <c r="L2882" s="93">
        <v>3</v>
      </c>
      <c r="M2882" s="93" t="s">
        <v>2311</v>
      </c>
      <c r="N2882" s="93" t="e">
        <f>VLOOKUP(B2882,'[16]01.수집 카테고리(List)'!$A$2:$H$64,8,FALSE)</f>
        <v>#N/A</v>
      </c>
      <c r="O2882" s="93"/>
    </row>
    <row r="2883" spans="1:15" hidden="1">
      <c r="A2883" s="75" t="str">
        <f t="shared" si="106"/>
        <v>TRMEDIAMARKTSOUNDBARSound barsSound bars</v>
      </c>
      <c r="B2883" s="94" t="str">
        <f t="shared" si="107"/>
        <v>TR_MEDIAMARKT</v>
      </c>
      <c r="C2883" s="93" t="s">
        <v>491</v>
      </c>
      <c r="D2883" s="93" t="s">
        <v>264</v>
      </c>
      <c r="E2883" s="93" t="s">
        <v>165</v>
      </c>
      <c r="F2883" s="93" t="s">
        <v>2366</v>
      </c>
      <c r="G2883" s="93" t="s">
        <v>2366</v>
      </c>
      <c r="H2883" s="93" t="e">
        <v>#N/A</v>
      </c>
      <c r="I2883" s="105" t="s">
        <v>2310</v>
      </c>
      <c r="J2883" s="93" t="s">
        <v>189</v>
      </c>
      <c r="K2883" s="93">
        <v>12</v>
      </c>
      <c r="L2883" s="93">
        <v>12</v>
      </c>
      <c r="M2883" s="93" t="s">
        <v>2311</v>
      </c>
      <c r="N2883" s="93" t="e">
        <f>VLOOKUP(B2883,'[16]01.수집 카테고리(List)'!$A$2:$H$64,8,FALSE)</f>
        <v>#N/A</v>
      </c>
      <c r="O2883" s="93"/>
    </row>
    <row r="2884" spans="1:15" hidden="1">
      <c r="A2884" s="75" t="str">
        <f t="shared" si="106"/>
        <v>TRMEDIAMARKTSOUNDBARSound systemSound system</v>
      </c>
      <c r="B2884" s="94" t="str">
        <f t="shared" si="107"/>
        <v>TR_MEDIAMARKT</v>
      </c>
      <c r="C2884" s="93" t="s">
        <v>491</v>
      </c>
      <c r="D2884" s="93" t="s">
        <v>264</v>
      </c>
      <c r="E2884" s="93" t="s">
        <v>165</v>
      </c>
      <c r="F2884" s="93" t="s">
        <v>2359</v>
      </c>
      <c r="G2884" s="93" t="s">
        <v>2359</v>
      </c>
      <c r="H2884" s="93" t="e">
        <v>#N/A</v>
      </c>
      <c r="I2884" s="105" t="s">
        <v>2310</v>
      </c>
      <c r="J2884" s="93" t="s">
        <v>189</v>
      </c>
      <c r="K2884" s="93">
        <v>16</v>
      </c>
      <c r="L2884" s="93">
        <v>16</v>
      </c>
      <c r="M2884" s="93" t="s">
        <v>2311</v>
      </c>
      <c r="N2884" s="93" t="e">
        <f>VLOOKUP(B2884,'[16]01.수집 카테고리(List)'!$A$2:$H$64,8,FALSE)</f>
        <v>#N/A</v>
      </c>
      <c r="O2884" s="93"/>
    </row>
    <row r="2885" spans="1:15" hidden="1">
      <c r="A2885" s="75" t="str">
        <f t="shared" si="106"/>
        <v>TRMEDIAMARKTSOUNDBARSoundbarSoundbar</v>
      </c>
      <c r="B2885" s="94" t="str">
        <f t="shared" si="107"/>
        <v>TR_MEDIAMARKT</v>
      </c>
      <c r="C2885" s="93" t="s">
        <v>491</v>
      </c>
      <c r="D2885" s="93" t="s">
        <v>264</v>
      </c>
      <c r="E2885" s="93" t="s">
        <v>165</v>
      </c>
      <c r="F2885" s="93" t="s">
        <v>2363</v>
      </c>
      <c r="G2885" s="93" t="s">
        <v>2363</v>
      </c>
      <c r="H2885" s="93" t="e">
        <v>#N/A</v>
      </c>
      <c r="I2885" s="105" t="s">
        <v>2310</v>
      </c>
      <c r="J2885" s="93" t="s">
        <v>189</v>
      </c>
      <c r="K2885" s="93">
        <v>4</v>
      </c>
      <c r="L2885" s="93">
        <v>4</v>
      </c>
      <c r="M2885" s="93" t="s">
        <v>2311</v>
      </c>
      <c r="N2885" s="93" t="e">
        <f>VLOOKUP(B2885,'[16]01.수집 카테고리(List)'!$A$2:$H$64,8,FALSE)</f>
        <v>#N/A</v>
      </c>
      <c r="O2885" s="93"/>
    </row>
    <row r="2886" spans="1:15" hidden="1">
      <c r="A2886" s="75" t="str">
        <f t="shared" si="106"/>
        <v>TRMEDIAMARKTSOUNDBARSoundbarsSoundbars</v>
      </c>
      <c r="B2886" s="94" t="str">
        <f t="shared" si="107"/>
        <v>TR_MEDIAMARKT</v>
      </c>
      <c r="C2886" s="93" t="s">
        <v>491</v>
      </c>
      <c r="D2886" s="93" t="s">
        <v>264</v>
      </c>
      <c r="E2886" s="93" t="s">
        <v>165</v>
      </c>
      <c r="F2886" s="93" t="s">
        <v>2361</v>
      </c>
      <c r="G2886" s="93" t="s">
        <v>2361</v>
      </c>
      <c r="H2886" s="93" t="e">
        <v>#N/A</v>
      </c>
      <c r="I2886" s="105" t="s">
        <v>2310</v>
      </c>
      <c r="J2886" s="93" t="s">
        <v>189</v>
      </c>
      <c r="K2886" s="93">
        <v>6</v>
      </c>
      <c r="L2886" s="93">
        <v>6</v>
      </c>
      <c r="M2886" s="93" t="s">
        <v>2311</v>
      </c>
      <c r="N2886" s="93" t="e">
        <f>VLOOKUP(B2886,'[16]01.수집 카테고리(List)'!$A$2:$H$64,8,FALSE)</f>
        <v>#N/A</v>
      </c>
      <c r="O2886" s="93"/>
    </row>
    <row r="2887" spans="1:15" hidden="1">
      <c r="A2887" s="75" t="str">
        <f t="shared" si="106"/>
        <v>TRMEDIAMARKTTV4k TV4k TV</v>
      </c>
      <c r="B2887" s="94" t="str">
        <f t="shared" si="107"/>
        <v>TR_MEDIAMARKT</v>
      </c>
      <c r="C2887" s="93" t="s">
        <v>491</v>
      </c>
      <c r="D2887" s="93" t="s">
        <v>264</v>
      </c>
      <c r="E2887" s="93" t="s">
        <v>161</v>
      </c>
      <c r="F2887" s="93" t="s">
        <v>2368</v>
      </c>
      <c r="G2887" s="93" t="s">
        <v>2368</v>
      </c>
      <c r="H2887" s="93" t="e">
        <v>#N/A</v>
      </c>
      <c r="I2887" s="105" t="s">
        <v>2310</v>
      </c>
      <c r="J2887" s="93" t="s">
        <v>189</v>
      </c>
      <c r="K2887" s="93">
        <v>57</v>
      </c>
      <c r="L2887" s="93">
        <v>57</v>
      </c>
      <c r="M2887" s="93" t="s">
        <v>2311</v>
      </c>
      <c r="N2887" s="93" t="e">
        <f>VLOOKUP(B2887,'[16]01.수집 카테고리(List)'!$A$2:$H$64,8,FALSE)</f>
        <v>#N/A</v>
      </c>
      <c r="O2887" s="93"/>
    </row>
    <row r="2888" spans="1:15" hidden="1">
      <c r="A2888" s="75" t="str">
        <f t="shared" si="106"/>
        <v>TRMEDIAMARKTTVsmart TVakıllı televizyon</v>
      </c>
      <c r="B2888" s="94" t="str">
        <f t="shared" si="107"/>
        <v>TR_MEDIAMARKT</v>
      </c>
      <c r="C2888" s="93" t="s">
        <v>491</v>
      </c>
      <c r="D2888" s="93" t="s">
        <v>264</v>
      </c>
      <c r="E2888" s="93" t="s">
        <v>161</v>
      </c>
      <c r="F2888" s="93" t="s">
        <v>2371</v>
      </c>
      <c r="G2888" s="93" t="s">
        <v>3582</v>
      </c>
      <c r="H2888" s="93" t="e">
        <v>#N/A</v>
      </c>
      <c r="I2888" s="105" t="s">
        <v>2310</v>
      </c>
      <c r="J2888" s="93" t="s">
        <v>189</v>
      </c>
      <c r="K2888" s="93">
        <v>23</v>
      </c>
      <c r="L2888" s="93" t="e">
        <v>#N/A</v>
      </c>
      <c r="M2888" s="93" t="s">
        <v>2311</v>
      </c>
      <c r="N2888" s="93" t="e">
        <f>VLOOKUP(B2888,'[16]01.수집 카테고리(List)'!$A$2:$H$64,8,FALSE)</f>
        <v>#N/A</v>
      </c>
      <c r="O2888" s="93"/>
    </row>
    <row r="2889" spans="1:15" hidden="1">
      <c r="A2889" s="75" t="str">
        <f t="shared" si="106"/>
        <v>TRMEDIAMARKTTVoled TVoled TV</v>
      </c>
      <c r="B2889" s="94" t="str">
        <f t="shared" si="107"/>
        <v>TR_MEDIAMARKT</v>
      </c>
      <c r="C2889" s="93" t="s">
        <v>491</v>
      </c>
      <c r="D2889" s="93" t="s">
        <v>264</v>
      </c>
      <c r="E2889" s="93" t="s">
        <v>161</v>
      </c>
      <c r="F2889" s="93" t="s">
        <v>2369</v>
      </c>
      <c r="G2889" s="93" t="s">
        <v>2369</v>
      </c>
      <c r="H2889" s="93" t="e">
        <v>#N/A</v>
      </c>
      <c r="I2889" s="105" t="s">
        <v>2310</v>
      </c>
      <c r="J2889" s="93" t="s">
        <v>189</v>
      </c>
      <c r="K2889" s="93">
        <v>5</v>
      </c>
      <c r="L2889" s="93">
        <v>5</v>
      </c>
      <c r="M2889" s="93" t="s">
        <v>2311</v>
      </c>
      <c r="N2889" s="93" t="e">
        <f>VLOOKUP(B2889,'[16]01.수집 카테고리(List)'!$A$2:$H$64,8,FALSE)</f>
        <v>#N/A</v>
      </c>
      <c r="O2889" s="93"/>
    </row>
    <row r="2890" spans="1:15" hidden="1">
      <c r="A2890" s="75" t="str">
        <f t="shared" si="106"/>
        <v>TRMEDIAMARKTTVTVtelevizyon</v>
      </c>
      <c r="B2890" s="94" t="str">
        <f t="shared" si="107"/>
        <v>TR_MEDIAMARKT</v>
      </c>
      <c r="C2890" s="93" t="s">
        <v>491</v>
      </c>
      <c r="D2890" s="93" t="s">
        <v>264</v>
      </c>
      <c r="E2890" s="93" t="s">
        <v>161</v>
      </c>
      <c r="F2890" s="93" t="s">
        <v>161</v>
      </c>
      <c r="G2890" s="93" t="s">
        <v>3583</v>
      </c>
      <c r="H2890" s="93" t="e">
        <v>#N/A</v>
      </c>
      <c r="I2890" s="105" t="s">
        <v>2310</v>
      </c>
      <c r="J2890" s="93" t="s">
        <v>189</v>
      </c>
      <c r="K2890" s="93">
        <v>30</v>
      </c>
      <c r="L2890" s="93" t="e">
        <v>#N/A</v>
      </c>
      <c r="M2890" s="93" t="s">
        <v>2311</v>
      </c>
      <c r="N2890" s="93" t="e">
        <f>VLOOKUP(B2890,'[16]01.수집 카테고리(List)'!$A$2:$H$64,8,FALSE)</f>
        <v>#N/A</v>
      </c>
      <c r="O2890" s="93"/>
    </row>
    <row r="2891" spans="1:15" hidden="1">
      <c r="A2891" s="75" t="str">
        <f t="shared" si="106"/>
        <v>TRMEDIAMARKTTVuhd TVuhd TV</v>
      </c>
      <c r="B2891" s="94" t="str">
        <f t="shared" si="107"/>
        <v>TR_MEDIAMARKT</v>
      </c>
      <c r="C2891" s="93" t="s">
        <v>491</v>
      </c>
      <c r="D2891" s="93" t="s">
        <v>264</v>
      </c>
      <c r="E2891" s="93" t="s">
        <v>161</v>
      </c>
      <c r="F2891" s="93" t="s">
        <v>2399</v>
      </c>
      <c r="G2891" s="93" t="s">
        <v>2399</v>
      </c>
      <c r="H2891" s="93" t="e">
        <v>#N/A</v>
      </c>
      <c r="I2891" s="105" t="s">
        <v>2310</v>
      </c>
      <c r="J2891" s="93" t="s">
        <v>189</v>
      </c>
      <c r="K2891" s="93">
        <v>42</v>
      </c>
      <c r="L2891" s="93">
        <v>42</v>
      </c>
      <c r="M2891" s="93" t="s">
        <v>2311</v>
      </c>
      <c r="N2891" s="93" t="e">
        <f>VLOOKUP(B2891,'[16]01.수집 카테고리(List)'!$A$2:$H$64,8,FALSE)</f>
        <v>#N/A</v>
      </c>
      <c r="O2891" s="93"/>
    </row>
    <row r="2892" spans="1:15" hidden="1">
      <c r="A2892" s="75" t="str">
        <f t="shared" si="106"/>
        <v>TRMEDIAMARKTWashing Machinewashing machineçamaşır makinesi</v>
      </c>
      <c r="B2892" s="94" t="str">
        <f t="shared" si="107"/>
        <v>TR_MEDIAMARKT</v>
      </c>
      <c r="C2892" s="93" t="s">
        <v>491</v>
      </c>
      <c r="D2892" s="93" t="s">
        <v>264</v>
      </c>
      <c r="E2892" s="93" t="s">
        <v>2333</v>
      </c>
      <c r="F2892" s="93" t="s">
        <v>2340</v>
      </c>
      <c r="G2892" s="93" t="s">
        <v>3584</v>
      </c>
      <c r="H2892" s="93" t="e">
        <v>#N/A</v>
      </c>
      <c r="I2892" s="105" t="s">
        <v>2310</v>
      </c>
      <c r="J2892" s="93" t="s">
        <v>189</v>
      </c>
      <c r="K2892" s="93">
        <v>16</v>
      </c>
      <c r="L2892" s="93" t="e">
        <v>#N/A</v>
      </c>
      <c r="M2892" s="93" t="s">
        <v>2311</v>
      </c>
      <c r="N2892" s="93" t="e">
        <f>VLOOKUP(B2892,'[16]01.수집 카테고리(List)'!$A$2:$H$64,8,FALSE)</f>
        <v>#N/A</v>
      </c>
      <c r="O2892" s="93"/>
    </row>
    <row r="2893" spans="1:15" hidden="1">
      <c r="A2893" s="75" t="str">
        <f t="shared" si="106"/>
        <v>TRMEDIAMARKTWashing Machinefront loaderönden yüklemeli</v>
      </c>
      <c r="B2893" s="94" t="str">
        <f t="shared" si="107"/>
        <v>TR_MEDIAMARKT</v>
      </c>
      <c r="C2893" s="93" t="s">
        <v>491</v>
      </c>
      <c r="D2893" s="93" t="s">
        <v>264</v>
      </c>
      <c r="E2893" s="93" t="s">
        <v>2333</v>
      </c>
      <c r="F2893" s="93" t="s">
        <v>2334</v>
      </c>
      <c r="G2893" s="93" t="s">
        <v>3585</v>
      </c>
      <c r="H2893" s="93" t="e">
        <v>#N/A</v>
      </c>
      <c r="I2893" s="105" t="s">
        <v>2310</v>
      </c>
      <c r="J2893" s="93" t="s">
        <v>189</v>
      </c>
      <c r="K2893" s="93">
        <v>11</v>
      </c>
      <c r="L2893" s="93" t="e">
        <v>#N/A</v>
      </c>
      <c r="M2893" s="93" t="s">
        <v>2311</v>
      </c>
      <c r="N2893" s="93" t="e">
        <f>VLOOKUP(B2893,'[16]01.수집 카테고리(List)'!$A$2:$H$64,8,FALSE)</f>
        <v>#N/A</v>
      </c>
      <c r="O2893" s="93"/>
    </row>
    <row r="2894" spans="1:15" hidden="1">
      <c r="A2894" s="75" t="str">
        <f t="shared" si="106"/>
        <v>TRMEDIAMARKTWashing Machinewasher dryer comboyıkama ve kurutma</v>
      </c>
      <c r="B2894" s="94" t="str">
        <f t="shared" si="107"/>
        <v>TR_MEDIAMARKT</v>
      </c>
      <c r="C2894" s="93" t="s">
        <v>491</v>
      </c>
      <c r="D2894" s="93" t="s">
        <v>264</v>
      </c>
      <c r="E2894" s="93" t="s">
        <v>2333</v>
      </c>
      <c r="F2894" s="93" t="s">
        <v>2338</v>
      </c>
      <c r="G2894" s="93" t="s">
        <v>3586</v>
      </c>
      <c r="H2894" s="93" t="e">
        <v>#N/A</v>
      </c>
      <c r="I2894" s="105" t="s">
        <v>2310</v>
      </c>
      <c r="J2894" s="93" t="s">
        <v>189</v>
      </c>
      <c r="K2894" s="93">
        <v>19</v>
      </c>
      <c r="L2894" s="93" t="e">
        <v>#N/A</v>
      </c>
      <c r="M2894" s="93" t="s">
        <v>2311</v>
      </c>
      <c r="N2894" s="93" t="e">
        <f>VLOOKUP(B2894,'[16]01.수집 카테고리(List)'!$A$2:$H$64,8,FALSE)</f>
        <v>#N/A</v>
      </c>
      <c r="O2894" s="93"/>
    </row>
    <row r="2895" spans="1:15" hidden="1">
      <c r="A2895" s="75" t="str">
        <f t="shared" si="106"/>
        <v>TRMEDIAMARKTWIRELESS HEADSETBluetooth earbudsBluetooth earbuds</v>
      </c>
      <c r="B2895" s="94" t="str">
        <f t="shared" si="107"/>
        <v>TR_MEDIAMARKT</v>
      </c>
      <c r="C2895" s="93" t="s">
        <v>491</v>
      </c>
      <c r="D2895" s="93" t="s">
        <v>264</v>
      </c>
      <c r="E2895" s="93" t="s">
        <v>2201</v>
      </c>
      <c r="F2895" s="93" t="s">
        <v>2382</v>
      </c>
      <c r="G2895" s="93" t="s">
        <v>2382</v>
      </c>
      <c r="H2895" s="93" t="e">
        <v>#N/A</v>
      </c>
      <c r="I2895" s="105" t="s">
        <v>2310</v>
      </c>
      <c r="J2895" s="93" t="s">
        <v>189</v>
      </c>
      <c r="K2895" s="93">
        <v>31</v>
      </c>
      <c r="L2895" s="93">
        <v>31</v>
      </c>
      <c r="M2895" s="93" t="s">
        <v>2311</v>
      </c>
      <c r="N2895" s="93" t="e">
        <f>VLOOKUP(B2895,'[16]01.수집 카테고리(List)'!$A$2:$H$64,8,FALSE)</f>
        <v>#N/A</v>
      </c>
      <c r="O2895" s="93"/>
    </row>
    <row r="2896" spans="1:15" hidden="1">
      <c r="A2896" s="75" t="str">
        <f t="shared" si="106"/>
        <v>TRMEDIAMARKTWIRELESS HEADSETEar budsEar buds</v>
      </c>
      <c r="B2896" s="94" t="str">
        <f t="shared" si="107"/>
        <v>TR_MEDIAMARKT</v>
      </c>
      <c r="C2896" s="93" t="s">
        <v>491</v>
      </c>
      <c r="D2896" s="93" t="s">
        <v>264</v>
      </c>
      <c r="E2896" s="93" t="s">
        <v>2201</v>
      </c>
      <c r="F2896" s="93" t="s">
        <v>2380</v>
      </c>
      <c r="G2896" s="93" t="s">
        <v>2380</v>
      </c>
      <c r="H2896" s="93" t="e">
        <v>#N/A</v>
      </c>
      <c r="I2896" s="105" t="s">
        <v>2310</v>
      </c>
      <c r="J2896" s="93" t="s">
        <v>189</v>
      </c>
      <c r="K2896" s="93">
        <v>14</v>
      </c>
      <c r="L2896" s="93">
        <v>14</v>
      </c>
      <c r="M2896" s="93" t="s">
        <v>2311</v>
      </c>
      <c r="N2896" s="93" t="e">
        <f>VLOOKUP(B2896,'[16]01.수집 카테고리(List)'!$A$2:$H$64,8,FALSE)</f>
        <v>#N/A</v>
      </c>
      <c r="O2896" s="93"/>
    </row>
    <row r="2897" spans="1:15" hidden="1">
      <c r="A2897" s="75" t="str">
        <f t="shared" si="106"/>
        <v>TRMEDIAMARKTWIRELESS HEADSETNoise cancelling earbudsNoise cancelling earbuds</v>
      </c>
      <c r="B2897" s="94" t="str">
        <f t="shared" si="107"/>
        <v>TR_MEDIAMARKT</v>
      </c>
      <c r="C2897" s="93" t="s">
        <v>491</v>
      </c>
      <c r="D2897" s="93" t="s">
        <v>264</v>
      </c>
      <c r="E2897" s="93" t="s">
        <v>2201</v>
      </c>
      <c r="F2897" s="93" t="s">
        <v>2378</v>
      </c>
      <c r="G2897" s="93" t="s">
        <v>2378</v>
      </c>
      <c r="H2897" s="93" t="e">
        <v>#N/A</v>
      </c>
      <c r="I2897" s="105" t="s">
        <v>2310</v>
      </c>
      <c r="J2897" s="93" t="s">
        <v>189</v>
      </c>
      <c r="K2897" s="93">
        <v>8</v>
      </c>
      <c r="L2897" s="93">
        <v>8</v>
      </c>
      <c r="M2897" s="93" t="s">
        <v>2311</v>
      </c>
      <c r="N2897" s="93" t="e">
        <f>VLOOKUP(B2897,'[16]01.수집 카테고리(List)'!$A$2:$H$64,8,FALSE)</f>
        <v>#N/A</v>
      </c>
      <c r="O2897" s="93"/>
    </row>
    <row r="2898" spans="1:15" hidden="1">
      <c r="A2898" s="75" t="str">
        <f t="shared" si="106"/>
        <v>TRMEDIAMARKTWIRELESS HEADSETTrue wireless earbudsTrue wireless earbuds</v>
      </c>
      <c r="B2898" s="94" t="str">
        <f t="shared" si="107"/>
        <v>TR_MEDIAMARKT</v>
      </c>
      <c r="C2898" s="93" t="s">
        <v>491</v>
      </c>
      <c r="D2898" s="93" t="s">
        <v>264</v>
      </c>
      <c r="E2898" s="93" t="s">
        <v>2201</v>
      </c>
      <c r="F2898" s="93" t="s">
        <v>2374</v>
      </c>
      <c r="G2898" s="93" t="s">
        <v>2374</v>
      </c>
      <c r="H2898" s="93" t="e">
        <v>#N/A</v>
      </c>
      <c r="I2898" s="105" t="s">
        <v>2310</v>
      </c>
      <c r="J2898" s="93" t="s">
        <v>189</v>
      </c>
      <c r="K2898" s="93">
        <v>14</v>
      </c>
      <c r="L2898" s="93">
        <v>14</v>
      </c>
      <c r="M2898" s="93" t="s">
        <v>2311</v>
      </c>
      <c r="N2898" s="93" t="e">
        <f>VLOOKUP(B2898,'[16]01.수집 카테고리(List)'!$A$2:$H$64,8,FALSE)</f>
        <v>#N/A</v>
      </c>
      <c r="O2898" s="93"/>
    </row>
    <row r="2899" spans="1:15" hidden="1">
      <c r="A2899" s="75" t="str">
        <f t="shared" si="106"/>
        <v>TRMEDIAMARKTWIRELESS HEADSETWireless earbudsWireless earbuds</v>
      </c>
      <c r="B2899" s="94" t="str">
        <f t="shared" si="107"/>
        <v>TR_MEDIAMARKT</v>
      </c>
      <c r="C2899" s="93" t="s">
        <v>491</v>
      </c>
      <c r="D2899" s="93" t="s">
        <v>264</v>
      </c>
      <c r="E2899" s="93" t="s">
        <v>2201</v>
      </c>
      <c r="F2899" s="93" t="s">
        <v>2376</v>
      </c>
      <c r="G2899" s="93" t="s">
        <v>2376</v>
      </c>
      <c r="H2899" s="93" t="e">
        <v>#N/A</v>
      </c>
      <c r="I2899" s="105" t="s">
        <v>2310</v>
      </c>
      <c r="J2899" s="93" t="s">
        <v>189</v>
      </c>
      <c r="K2899" s="93">
        <v>17</v>
      </c>
      <c r="L2899" s="93">
        <v>17</v>
      </c>
      <c r="M2899" s="93" t="s">
        <v>2311</v>
      </c>
      <c r="N2899" s="93" t="e">
        <f>VLOOKUP(B2899,'[16]01.수집 카테고리(List)'!$A$2:$H$64,8,FALSE)</f>
        <v>#N/A</v>
      </c>
      <c r="O2899" s="93"/>
    </row>
    <row r="2900" spans="1:15" hidden="1">
      <c r="A2900" s="75" t="str">
        <f t="shared" si="106"/>
        <v>TRTEKNOSABluetooth SpeakerBluetooth speakersBluetooth speakers</v>
      </c>
      <c r="B2900" s="94" t="str">
        <f t="shared" si="107"/>
        <v>TR_TEKNOSA</v>
      </c>
      <c r="C2900" s="93" t="s">
        <v>491</v>
      </c>
      <c r="D2900" s="93" t="s">
        <v>493</v>
      </c>
      <c r="E2900" s="93" t="s">
        <v>2307</v>
      </c>
      <c r="F2900" s="93" t="s">
        <v>2425</v>
      </c>
      <c r="G2900" s="93" t="s">
        <v>2425</v>
      </c>
      <c r="H2900" s="93" t="e">
        <v>#N/A</v>
      </c>
      <c r="I2900" s="105" t="s">
        <v>2310</v>
      </c>
      <c r="J2900" s="93" t="s">
        <v>189</v>
      </c>
      <c r="K2900" s="93">
        <v>4871</v>
      </c>
      <c r="L2900" s="93">
        <v>4871</v>
      </c>
      <c r="M2900" s="93" t="s">
        <v>2311</v>
      </c>
      <c r="N2900" s="93" t="e">
        <f>VLOOKUP(B2900,'[16]01.수집 카테고리(List)'!$A$2:$H$64,8,FALSE)</f>
        <v>#N/A</v>
      </c>
      <c r="O2900" s="93"/>
    </row>
    <row r="2901" spans="1:15" hidden="1">
      <c r="A2901" s="75" t="str">
        <f t="shared" si="106"/>
        <v>TRTEKNOSABluetooth SpeakerPortable bluetooth speakersPortable bluetooth speakers</v>
      </c>
      <c r="B2901" s="94" t="str">
        <f t="shared" si="107"/>
        <v>TR_TEKNOSA</v>
      </c>
      <c r="C2901" s="93" t="s">
        <v>491</v>
      </c>
      <c r="D2901" s="93" t="s">
        <v>493</v>
      </c>
      <c r="E2901" s="93" t="s">
        <v>2307</v>
      </c>
      <c r="F2901" s="93" t="s">
        <v>2426</v>
      </c>
      <c r="G2901" s="93" t="s">
        <v>2426</v>
      </c>
      <c r="H2901" s="93" t="e">
        <v>#N/A</v>
      </c>
      <c r="I2901" s="105" t="s">
        <v>2310</v>
      </c>
      <c r="J2901" s="93" t="s">
        <v>189</v>
      </c>
      <c r="K2901" s="93">
        <v>4285</v>
      </c>
      <c r="L2901" s="93">
        <v>4285</v>
      </c>
      <c r="M2901" s="93" t="s">
        <v>2311</v>
      </c>
      <c r="N2901" s="93" t="e">
        <f>VLOOKUP(B2901,'[16]01.수집 카테고리(List)'!$A$2:$H$64,8,FALSE)</f>
        <v>#N/A</v>
      </c>
      <c r="O2901" s="93"/>
    </row>
    <row r="2902" spans="1:15" hidden="1">
      <c r="A2902" s="75" t="str">
        <f t="shared" si="106"/>
        <v>TRTEKNOSABluetooth SpeakerPortable speakersPortable speakers</v>
      </c>
      <c r="B2902" s="94" t="str">
        <f t="shared" si="107"/>
        <v>TR_TEKNOSA</v>
      </c>
      <c r="C2902" s="93" t="s">
        <v>491</v>
      </c>
      <c r="D2902" s="93" t="s">
        <v>493</v>
      </c>
      <c r="E2902" s="93" t="s">
        <v>2307</v>
      </c>
      <c r="F2902" s="93" t="s">
        <v>2427</v>
      </c>
      <c r="G2902" s="93" t="s">
        <v>2427</v>
      </c>
      <c r="H2902" s="93" t="e">
        <v>#N/A</v>
      </c>
      <c r="I2902" s="105" t="s">
        <v>2310</v>
      </c>
      <c r="J2902" s="93" t="s">
        <v>189</v>
      </c>
      <c r="K2902" s="93">
        <v>3786</v>
      </c>
      <c r="L2902" s="93">
        <v>3786</v>
      </c>
      <c r="M2902" s="93" t="s">
        <v>2311</v>
      </c>
      <c r="N2902" s="93" t="e">
        <f>VLOOKUP(B2902,'[16]01.수집 카테고리(List)'!$A$2:$H$64,8,FALSE)</f>
        <v>#N/A</v>
      </c>
      <c r="O2902" s="93"/>
    </row>
    <row r="2903" spans="1:15" hidden="1">
      <c r="A2903" s="75" t="str">
        <f t="shared" si="106"/>
        <v>TRTEKNOSABluetooth SpeakerSpeakerSpeaker</v>
      </c>
      <c r="B2903" s="94" t="str">
        <f t="shared" si="107"/>
        <v>TR_TEKNOSA</v>
      </c>
      <c r="C2903" s="93" t="s">
        <v>491</v>
      </c>
      <c r="D2903" s="93" t="s">
        <v>493</v>
      </c>
      <c r="E2903" s="93" t="s">
        <v>2307</v>
      </c>
      <c r="F2903" s="93" t="s">
        <v>2428</v>
      </c>
      <c r="G2903" s="93" t="s">
        <v>2428</v>
      </c>
      <c r="H2903" s="93" t="e">
        <v>#N/A</v>
      </c>
      <c r="I2903" s="105" t="s">
        <v>2310</v>
      </c>
      <c r="J2903" s="93" t="s">
        <v>189</v>
      </c>
      <c r="K2903" s="93">
        <v>2341</v>
      </c>
      <c r="L2903" s="93">
        <v>2341</v>
      </c>
      <c r="M2903" s="93" t="s">
        <v>2311</v>
      </c>
      <c r="N2903" s="93" t="e">
        <f>VLOOKUP(B2903,'[16]01.수집 카테고리(List)'!$A$2:$H$64,8,FALSE)</f>
        <v>#N/A</v>
      </c>
      <c r="O2903" s="93"/>
    </row>
    <row r="2904" spans="1:15" hidden="1">
      <c r="A2904" s="75" t="str">
        <f t="shared" si="106"/>
        <v>TRTEKNOSABluetooth SpeakerSpeakersSpeakers</v>
      </c>
      <c r="B2904" s="94" t="str">
        <f t="shared" si="107"/>
        <v>TR_TEKNOSA</v>
      </c>
      <c r="C2904" s="93" t="s">
        <v>491</v>
      </c>
      <c r="D2904" s="93" t="s">
        <v>493</v>
      </c>
      <c r="E2904" s="93" t="s">
        <v>2307</v>
      </c>
      <c r="F2904" s="93" t="s">
        <v>2429</v>
      </c>
      <c r="G2904" s="93" t="s">
        <v>2429</v>
      </c>
      <c r="H2904" s="93" t="e">
        <v>#N/A</v>
      </c>
      <c r="I2904" s="105" t="s">
        <v>2310</v>
      </c>
      <c r="J2904" s="93" t="s">
        <v>189</v>
      </c>
      <c r="K2904" s="93">
        <v>4300</v>
      </c>
      <c r="L2904" s="93">
        <v>4300</v>
      </c>
      <c r="M2904" s="93" t="s">
        <v>2311</v>
      </c>
      <c r="N2904" s="93" t="e">
        <f>VLOOKUP(B2904,'[16]01.수집 카테고리(List)'!$A$2:$H$64,8,FALSE)</f>
        <v>#N/A</v>
      </c>
      <c r="O2904" s="93"/>
    </row>
    <row r="2905" spans="1:15" hidden="1">
      <c r="A2905" s="75" t="str">
        <f t="shared" si="106"/>
        <v>TRTEKNOSADISHWASHERdishwasherbulaşık makinesi</v>
      </c>
      <c r="B2905" s="94" t="str">
        <f t="shared" si="107"/>
        <v>TR_TEKNOSA</v>
      </c>
      <c r="C2905" s="93" t="s">
        <v>491</v>
      </c>
      <c r="D2905" s="93" t="s">
        <v>493</v>
      </c>
      <c r="E2905" s="93" t="s">
        <v>169</v>
      </c>
      <c r="F2905" s="93" t="s">
        <v>2354</v>
      </c>
      <c r="G2905" s="93" t="s">
        <v>3574</v>
      </c>
      <c r="H2905" s="93" t="e">
        <v>#N/A</v>
      </c>
      <c r="I2905" s="105" t="s">
        <v>2310</v>
      </c>
      <c r="J2905" s="93" t="s">
        <v>189</v>
      </c>
      <c r="K2905" s="93">
        <v>3</v>
      </c>
      <c r="L2905" s="93" t="e">
        <v>#N/A</v>
      </c>
      <c r="M2905" s="93" t="s">
        <v>2311</v>
      </c>
      <c r="N2905" s="93" t="e">
        <f>VLOOKUP(B2905,'[16]01.수집 카테고리(List)'!$A$2:$H$64,8,FALSE)</f>
        <v>#N/A</v>
      </c>
      <c r="O2905" s="93"/>
    </row>
    <row r="2906" spans="1:15" hidden="1">
      <c r="A2906" s="75" t="str">
        <f t="shared" si="106"/>
        <v>TRTEKNOSADISHWASHERBuilt in Dish washerDahili Bulaşık Makinesi</v>
      </c>
      <c r="B2906" s="94" t="str">
        <f t="shared" si="107"/>
        <v>TR_TEKNOSA</v>
      </c>
      <c r="C2906" s="93" t="s">
        <v>491</v>
      </c>
      <c r="D2906" s="93" t="s">
        <v>493</v>
      </c>
      <c r="E2906" s="93" t="s">
        <v>169</v>
      </c>
      <c r="F2906" s="93" t="s">
        <v>2356</v>
      </c>
      <c r="G2906" s="93" t="s">
        <v>3575</v>
      </c>
      <c r="H2906" s="93" t="e">
        <v>#N/A</v>
      </c>
      <c r="I2906" s="105" t="s">
        <v>2310</v>
      </c>
      <c r="J2906" s="93" t="s">
        <v>189</v>
      </c>
      <c r="K2906" s="93">
        <v>4</v>
      </c>
      <c r="L2906" s="93" t="e">
        <v>#N/A</v>
      </c>
      <c r="M2906" s="93" t="s">
        <v>2311</v>
      </c>
      <c r="N2906" s="93" t="e">
        <f>VLOOKUP(B2906,'[16]01.수집 카테고리(List)'!$A$2:$H$64,8,FALSE)</f>
        <v>#N/A</v>
      </c>
      <c r="O2906" s="93"/>
    </row>
    <row r="2907" spans="1:15" hidden="1">
      <c r="A2907" s="75" t="str">
        <f t="shared" ref="A2907:A2970" si="110">C2907&amp;D2907&amp;E2907&amp;F2907&amp;G2907</f>
        <v>TRTEKNOSADISHWASHERFreestanding Dishwasher Solo Bulaşık Makinesi</v>
      </c>
      <c r="B2907" s="94" t="str">
        <f t="shared" ref="B2907:B2970" si="111">C2907&amp;"_"&amp;D2907</f>
        <v>TR_TEKNOSA</v>
      </c>
      <c r="C2907" s="93" t="s">
        <v>491</v>
      </c>
      <c r="D2907" s="93" t="s">
        <v>493</v>
      </c>
      <c r="E2907" s="93" t="s">
        <v>169</v>
      </c>
      <c r="F2907" s="93" t="s">
        <v>2441</v>
      </c>
      <c r="G2907" s="93" t="s">
        <v>3576</v>
      </c>
      <c r="H2907" s="93" t="e">
        <v>#N/A</v>
      </c>
      <c r="I2907" s="105" t="s">
        <v>2310</v>
      </c>
      <c r="J2907" s="93" t="s">
        <v>189</v>
      </c>
      <c r="K2907" s="93">
        <v>95156</v>
      </c>
      <c r="L2907" s="93" t="e">
        <v>#N/A</v>
      </c>
      <c r="M2907" s="93" t="s">
        <v>2311</v>
      </c>
      <c r="N2907" s="93" t="e">
        <f>VLOOKUP(B2907,'[16]01.수집 카테고리(List)'!$A$2:$H$64,8,FALSE)</f>
        <v>#N/A</v>
      </c>
      <c r="O2907" s="93"/>
    </row>
    <row r="2908" spans="1:15" hidden="1">
      <c r="A2908" s="75" t="str">
        <f t="shared" si="110"/>
        <v>TRTEKNOSAMonitormonitorMonitör</v>
      </c>
      <c r="B2908" s="94" t="str">
        <f t="shared" si="111"/>
        <v>TR_TEKNOSA</v>
      </c>
      <c r="C2908" s="93" t="s">
        <v>491</v>
      </c>
      <c r="D2908" s="93" t="s">
        <v>493</v>
      </c>
      <c r="E2908" s="93" t="s">
        <v>2320</v>
      </c>
      <c r="F2908" s="93" t="s">
        <v>2323</v>
      </c>
      <c r="G2908" s="93" t="s">
        <v>3587</v>
      </c>
      <c r="H2908" s="93" t="e">
        <v>#N/A</v>
      </c>
      <c r="I2908" s="105" t="s">
        <v>2310</v>
      </c>
      <c r="J2908" s="93" t="s">
        <v>189</v>
      </c>
      <c r="K2908" s="93">
        <v>7094</v>
      </c>
      <c r="L2908" s="93" t="e">
        <v>#N/A</v>
      </c>
      <c r="M2908" s="93" t="s">
        <v>2311</v>
      </c>
      <c r="N2908" s="93" t="e">
        <f>VLOOKUP(B2908,'[16]01.수집 카테고리(List)'!$A$2:$H$64,8,FALSE)</f>
        <v>#N/A</v>
      </c>
      <c r="O2908" s="93"/>
    </row>
    <row r="2909" spans="1:15" hidden="1">
      <c r="A2909" s="75" t="str">
        <f t="shared" si="110"/>
        <v>TRTEKNOSAMonitorgaming monitorOyuncu  monitör</v>
      </c>
      <c r="B2909" s="94" t="str">
        <f t="shared" si="111"/>
        <v>TR_TEKNOSA</v>
      </c>
      <c r="C2909" s="93" t="s">
        <v>491</v>
      </c>
      <c r="D2909" s="93" t="s">
        <v>493</v>
      </c>
      <c r="E2909" s="93" t="s">
        <v>2320</v>
      </c>
      <c r="F2909" s="93" t="s">
        <v>3588</v>
      </c>
      <c r="G2909" s="93" t="s">
        <v>3589</v>
      </c>
      <c r="H2909" s="93" t="e">
        <v>#N/A</v>
      </c>
      <c r="I2909" s="105" t="s">
        <v>2310</v>
      </c>
      <c r="J2909" s="93" t="s">
        <v>189</v>
      </c>
      <c r="K2909" s="93">
        <v>3385</v>
      </c>
      <c r="L2909" s="93" t="e">
        <v>#N/A</v>
      </c>
      <c r="M2909" s="93" t="s">
        <v>2311</v>
      </c>
      <c r="N2909" s="93" t="e">
        <f>VLOOKUP(B2909,'[16]01.수집 카테고리(List)'!$A$2:$H$64,8,FALSE)</f>
        <v>#N/A</v>
      </c>
      <c r="O2909" s="93"/>
    </row>
    <row r="2910" spans="1:15" hidden="1">
      <c r="A2910" s="75" t="str">
        <f t="shared" si="110"/>
        <v>TRTEKNOSAMonitorTV monitorTV monitör</v>
      </c>
      <c r="B2910" s="94" t="str">
        <f t="shared" si="111"/>
        <v>TR_TEKNOSA</v>
      </c>
      <c r="C2910" s="93" t="s">
        <v>491</v>
      </c>
      <c r="D2910" s="93" t="s">
        <v>493</v>
      </c>
      <c r="E2910" s="93" t="s">
        <v>2320</v>
      </c>
      <c r="F2910" s="93" t="s">
        <v>2967</v>
      </c>
      <c r="G2910" s="93" t="s">
        <v>3590</v>
      </c>
      <c r="H2910" s="93" t="e">
        <v>#N/A</v>
      </c>
      <c r="I2910" s="105" t="s">
        <v>2310</v>
      </c>
      <c r="J2910" s="93" t="s">
        <v>189</v>
      </c>
      <c r="K2910" s="93">
        <v>6764</v>
      </c>
      <c r="L2910" s="93" t="e">
        <v>#N/A</v>
      </c>
      <c r="M2910" s="93" t="s">
        <v>2311</v>
      </c>
      <c r="N2910" s="93" t="e">
        <f>VLOOKUP(B2910,'[16]01.수집 카테고리(List)'!$A$2:$H$64,8,FALSE)</f>
        <v>#N/A</v>
      </c>
      <c r="O2910" s="93"/>
    </row>
    <row r="2911" spans="1:15" hidden="1">
      <c r="A2911" s="75" t="str">
        <f t="shared" si="110"/>
        <v>TRTEKNOSAMonitoruhd monitoruhd monitör</v>
      </c>
      <c r="B2911" s="94" t="str">
        <f t="shared" si="111"/>
        <v>TR_TEKNOSA</v>
      </c>
      <c r="C2911" s="93" t="s">
        <v>491</v>
      </c>
      <c r="D2911" s="93" t="s">
        <v>493</v>
      </c>
      <c r="E2911" s="93" t="s">
        <v>2320</v>
      </c>
      <c r="F2911" s="93" t="s">
        <v>2324</v>
      </c>
      <c r="G2911" s="93" t="s">
        <v>3591</v>
      </c>
      <c r="H2911" s="93" t="e">
        <v>#N/A</v>
      </c>
      <c r="I2911" s="105" t="s">
        <v>2310</v>
      </c>
      <c r="J2911" s="93" t="s">
        <v>189</v>
      </c>
      <c r="K2911" s="93">
        <v>4315</v>
      </c>
      <c r="L2911" s="93" t="e">
        <v>#N/A</v>
      </c>
      <c r="M2911" s="93" t="s">
        <v>2311</v>
      </c>
      <c r="N2911" s="93" t="e">
        <f>VLOOKUP(B2911,'[16]01.수집 카테고리(List)'!$A$2:$H$64,8,FALSE)</f>
        <v>#N/A</v>
      </c>
      <c r="O2911" s="93"/>
    </row>
    <row r="2912" spans="1:15" hidden="1">
      <c r="A2912" s="75" t="str">
        <f t="shared" si="110"/>
        <v>TRTEKNOSAMonitorultrawide monitorUltra Geniş Monitör</v>
      </c>
      <c r="B2912" s="94" t="str">
        <f t="shared" si="111"/>
        <v>TR_TEKNOSA</v>
      </c>
      <c r="C2912" s="93" t="s">
        <v>491</v>
      </c>
      <c r="D2912" s="93" t="s">
        <v>493</v>
      </c>
      <c r="E2912" s="93" t="s">
        <v>2320</v>
      </c>
      <c r="F2912" s="93" t="s">
        <v>2325</v>
      </c>
      <c r="G2912" s="93" t="s">
        <v>3592</v>
      </c>
      <c r="H2912" s="93" t="e">
        <v>#N/A</v>
      </c>
      <c r="I2912" s="105" t="s">
        <v>2310</v>
      </c>
      <c r="J2912" s="93" t="s">
        <v>189</v>
      </c>
      <c r="K2912" s="93">
        <v>2960</v>
      </c>
      <c r="L2912" s="93" t="e">
        <v>#N/A</v>
      </c>
      <c r="M2912" s="93" t="s">
        <v>2311</v>
      </c>
      <c r="N2912" s="93" t="e">
        <f>VLOOKUP(B2912,'[16]01.수집 카테고리(List)'!$A$2:$H$64,8,FALSE)</f>
        <v>#N/A</v>
      </c>
      <c r="O2912" s="93"/>
    </row>
    <row r="2913" spans="1:15" hidden="1">
      <c r="A2913" s="75" t="str">
        <f t="shared" si="110"/>
        <v>TRTEKNOSARefrigeratorbottom freezer refrigeratoralttan donduruculu buzdolabı</v>
      </c>
      <c r="B2913" s="94" t="str">
        <f t="shared" si="111"/>
        <v>TR_TEKNOSA</v>
      </c>
      <c r="C2913" s="93" t="s">
        <v>491</v>
      </c>
      <c r="D2913" s="93" t="s">
        <v>493</v>
      </c>
      <c r="E2913" s="93" t="s">
        <v>2326</v>
      </c>
      <c r="F2913" s="93" t="s">
        <v>2327</v>
      </c>
      <c r="G2913" s="93" t="s">
        <v>3577</v>
      </c>
      <c r="H2913" s="93" t="e">
        <v>#N/A</v>
      </c>
      <c r="I2913" s="105" t="s">
        <v>2310</v>
      </c>
      <c r="J2913" s="93" t="s">
        <v>189</v>
      </c>
      <c r="K2913" s="93">
        <v>1408</v>
      </c>
      <c r="L2913" s="93" t="e">
        <v>#N/A</v>
      </c>
      <c r="M2913" s="93" t="s">
        <v>2311</v>
      </c>
      <c r="N2913" s="93" t="e">
        <f>VLOOKUP(B2913,'[16]01.수집 카테고리(List)'!$A$2:$H$64,8,FALSE)</f>
        <v>#N/A</v>
      </c>
      <c r="O2913" s="93"/>
    </row>
    <row r="2914" spans="1:15" hidden="1">
      <c r="A2914" s="75" t="str">
        <f t="shared" si="110"/>
        <v>TRTEKNOSARefrigeratorrefrigeratorbuzdolabı</v>
      </c>
      <c r="B2914" s="94" t="str">
        <f t="shared" si="111"/>
        <v>TR_TEKNOSA</v>
      </c>
      <c r="C2914" s="93" t="s">
        <v>491</v>
      </c>
      <c r="D2914" s="93" t="s">
        <v>493</v>
      </c>
      <c r="E2914" s="93" t="s">
        <v>2326</v>
      </c>
      <c r="F2914" s="93" t="s">
        <v>2329</v>
      </c>
      <c r="G2914" s="93" t="s">
        <v>3578</v>
      </c>
      <c r="H2914" s="93" t="e">
        <v>#N/A</v>
      </c>
      <c r="I2914" s="105" t="s">
        <v>2310</v>
      </c>
      <c r="J2914" s="93" t="s">
        <v>189</v>
      </c>
      <c r="K2914" s="93">
        <v>1809</v>
      </c>
      <c r="L2914" s="93" t="e">
        <v>#N/A</v>
      </c>
      <c r="M2914" s="93" t="s">
        <v>2311</v>
      </c>
      <c r="N2914" s="93" t="e">
        <f>VLOOKUP(B2914,'[16]01.수집 카테고리(List)'!$A$2:$H$64,8,FALSE)</f>
        <v>#N/A</v>
      </c>
      <c r="O2914" s="93"/>
    </row>
    <row r="2915" spans="1:15" hidden="1">
      <c r="A2915" s="75" t="str">
        <f t="shared" si="110"/>
        <v>TRTEKNOSARefrigeratorfrench door refrigeratorBuzdolabı Gardrop</v>
      </c>
      <c r="B2915" s="94" t="str">
        <f t="shared" si="111"/>
        <v>TR_TEKNOSA</v>
      </c>
      <c r="C2915" s="93" t="s">
        <v>491</v>
      </c>
      <c r="D2915" s="93" t="s">
        <v>493</v>
      </c>
      <c r="E2915" s="93" t="s">
        <v>2326</v>
      </c>
      <c r="F2915" s="93" t="s">
        <v>2328</v>
      </c>
      <c r="G2915" s="93" t="s">
        <v>3579</v>
      </c>
      <c r="H2915" s="93" t="e">
        <v>#N/A</v>
      </c>
      <c r="I2915" s="105" t="s">
        <v>2310</v>
      </c>
      <c r="J2915" s="93" t="s">
        <v>189</v>
      </c>
      <c r="K2915" s="93">
        <v>1400</v>
      </c>
      <c r="L2915" s="93" t="e">
        <v>#N/A</v>
      </c>
      <c r="M2915" s="93" t="s">
        <v>2311</v>
      </c>
      <c r="N2915" s="93" t="e">
        <f>VLOOKUP(B2915,'[16]01.수집 카테고리(List)'!$A$2:$H$64,8,FALSE)</f>
        <v>#N/A</v>
      </c>
      <c r="O2915" s="93"/>
    </row>
    <row r="2916" spans="1:15" hidden="1">
      <c r="A2916" s="75" t="str">
        <f t="shared" si="110"/>
        <v>TRTEKNOSARefrigeratorside by side refrigeratorGardırop Tipi buzdolabı</v>
      </c>
      <c r="B2916" s="94" t="str">
        <f t="shared" si="111"/>
        <v>TR_TEKNOSA</v>
      </c>
      <c r="C2916" s="93" t="s">
        <v>491</v>
      </c>
      <c r="D2916" s="93" t="s">
        <v>493</v>
      </c>
      <c r="E2916" s="93" t="s">
        <v>2326</v>
      </c>
      <c r="F2916" s="93" t="s">
        <v>2330</v>
      </c>
      <c r="G2916" s="93" t="s">
        <v>3580</v>
      </c>
      <c r="H2916" s="93" t="e">
        <v>#N/A</v>
      </c>
      <c r="I2916" s="105" t="s">
        <v>2310</v>
      </c>
      <c r="J2916" s="93" t="s">
        <v>189</v>
      </c>
      <c r="K2916" s="93">
        <v>2103</v>
      </c>
      <c r="L2916" s="93" t="e">
        <v>#N/A</v>
      </c>
      <c r="M2916" s="93" t="s">
        <v>2311</v>
      </c>
      <c r="N2916" s="93" t="e">
        <f>VLOOKUP(B2916,'[16]01.수집 카테고리(List)'!$A$2:$H$64,8,FALSE)</f>
        <v>#N/A</v>
      </c>
      <c r="O2916" s="93"/>
    </row>
    <row r="2917" spans="1:15" hidden="1">
      <c r="A2917" s="75" t="str">
        <f t="shared" si="110"/>
        <v>TRTEKNOSARefrigeratortop freezer refrigeratorüstten donduruculu buzdolabı</v>
      </c>
      <c r="B2917" s="94" t="str">
        <f t="shared" si="111"/>
        <v>TR_TEKNOSA</v>
      </c>
      <c r="C2917" s="93" t="s">
        <v>491</v>
      </c>
      <c r="D2917" s="93" t="s">
        <v>493</v>
      </c>
      <c r="E2917" s="93" t="s">
        <v>2326</v>
      </c>
      <c r="F2917" s="93" t="s">
        <v>2332</v>
      </c>
      <c r="G2917" s="93" t="s">
        <v>3581</v>
      </c>
      <c r="H2917" s="93" t="e">
        <v>#N/A</v>
      </c>
      <c r="I2917" s="105" t="s">
        <v>2310</v>
      </c>
      <c r="J2917" s="93" t="s">
        <v>189</v>
      </c>
      <c r="K2917" s="93">
        <v>1518</v>
      </c>
      <c r="L2917" s="93" t="e">
        <v>#N/A</v>
      </c>
      <c r="M2917" s="93" t="s">
        <v>2311</v>
      </c>
      <c r="N2917" s="93" t="e">
        <f>VLOOKUP(B2917,'[16]01.수집 카테고리(List)'!$A$2:$H$64,8,FALSE)</f>
        <v>#N/A</v>
      </c>
      <c r="O2917" s="93"/>
    </row>
    <row r="2918" spans="1:15" hidden="1">
      <c r="A2918" s="75" t="str">
        <f t="shared" si="110"/>
        <v>TRTEKNOSASOUNDBARSound barSound bar</v>
      </c>
      <c r="B2918" s="94" t="str">
        <f t="shared" si="111"/>
        <v>TR_TEKNOSA</v>
      </c>
      <c r="C2918" s="93" t="s">
        <v>491</v>
      </c>
      <c r="D2918" s="93" t="s">
        <v>493</v>
      </c>
      <c r="E2918" s="93" t="s">
        <v>165</v>
      </c>
      <c r="F2918" s="93" t="s">
        <v>2365</v>
      </c>
      <c r="G2918" s="93" t="s">
        <v>2365</v>
      </c>
      <c r="H2918" s="93" t="e">
        <v>#N/A</v>
      </c>
      <c r="I2918" s="105" t="s">
        <v>2310</v>
      </c>
      <c r="J2918" s="93" t="s">
        <v>189</v>
      </c>
      <c r="K2918" s="93">
        <v>2539</v>
      </c>
      <c r="L2918" s="93">
        <v>2539</v>
      </c>
      <c r="M2918" s="93" t="s">
        <v>2311</v>
      </c>
      <c r="N2918" s="93" t="e">
        <f>VLOOKUP(B2918,'[16]01.수집 카테고리(List)'!$A$2:$H$64,8,FALSE)</f>
        <v>#N/A</v>
      </c>
      <c r="O2918" s="93"/>
    </row>
    <row r="2919" spans="1:15" hidden="1">
      <c r="A2919" s="75" t="str">
        <f t="shared" si="110"/>
        <v>TRTEKNOSASOUNDBARSound barsSound bars</v>
      </c>
      <c r="B2919" s="94" t="str">
        <f t="shared" si="111"/>
        <v>TR_TEKNOSA</v>
      </c>
      <c r="C2919" s="93" t="s">
        <v>491</v>
      </c>
      <c r="D2919" s="93" t="s">
        <v>493</v>
      </c>
      <c r="E2919" s="93" t="s">
        <v>165</v>
      </c>
      <c r="F2919" s="93" t="s">
        <v>2366</v>
      </c>
      <c r="G2919" s="93" t="s">
        <v>2366</v>
      </c>
      <c r="H2919" s="93" t="e">
        <v>#N/A</v>
      </c>
      <c r="I2919" s="105" t="s">
        <v>2310</v>
      </c>
      <c r="J2919" s="93" t="s">
        <v>189</v>
      </c>
      <c r="K2919" s="93">
        <v>6529</v>
      </c>
      <c r="L2919" s="93">
        <v>6529</v>
      </c>
      <c r="M2919" s="93" t="s">
        <v>2311</v>
      </c>
      <c r="N2919" s="93" t="e">
        <f>VLOOKUP(B2919,'[16]01.수집 카테고리(List)'!$A$2:$H$64,8,FALSE)</f>
        <v>#N/A</v>
      </c>
      <c r="O2919" s="93"/>
    </row>
    <row r="2920" spans="1:15" hidden="1">
      <c r="A2920" s="75" t="str">
        <f t="shared" si="110"/>
        <v>TRTEKNOSASOUNDBARSound systemSound system</v>
      </c>
      <c r="B2920" s="94" t="str">
        <f t="shared" si="111"/>
        <v>TR_TEKNOSA</v>
      </c>
      <c r="C2920" s="93" t="s">
        <v>491</v>
      </c>
      <c r="D2920" s="93" t="s">
        <v>493</v>
      </c>
      <c r="E2920" s="93" t="s">
        <v>165</v>
      </c>
      <c r="F2920" s="93" t="s">
        <v>2359</v>
      </c>
      <c r="G2920" s="93" t="s">
        <v>2359</v>
      </c>
      <c r="H2920" s="93" t="e">
        <v>#N/A</v>
      </c>
      <c r="I2920" s="105" t="s">
        <v>2310</v>
      </c>
      <c r="J2920" s="93" t="s">
        <v>189</v>
      </c>
      <c r="K2920" s="93">
        <v>4617</v>
      </c>
      <c r="L2920" s="93">
        <v>4617</v>
      </c>
      <c r="M2920" s="93" t="s">
        <v>2311</v>
      </c>
      <c r="N2920" s="93" t="e">
        <f>VLOOKUP(B2920,'[16]01.수집 카테고리(List)'!$A$2:$H$64,8,FALSE)</f>
        <v>#N/A</v>
      </c>
      <c r="O2920" s="93"/>
    </row>
    <row r="2921" spans="1:15" hidden="1">
      <c r="A2921" s="75" t="str">
        <f t="shared" si="110"/>
        <v>TRTEKNOSASOUNDBARSoundbarSoundbar</v>
      </c>
      <c r="B2921" s="94" t="str">
        <f t="shared" si="111"/>
        <v>TR_TEKNOSA</v>
      </c>
      <c r="C2921" s="93" t="s">
        <v>491</v>
      </c>
      <c r="D2921" s="93" t="s">
        <v>493</v>
      </c>
      <c r="E2921" s="93" t="s">
        <v>165</v>
      </c>
      <c r="F2921" s="93" t="s">
        <v>2363</v>
      </c>
      <c r="G2921" s="93" t="s">
        <v>2363</v>
      </c>
      <c r="H2921" s="93" t="e">
        <v>#N/A</v>
      </c>
      <c r="I2921" s="105" t="s">
        <v>2310</v>
      </c>
      <c r="J2921" s="93" t="s">
        <v>189</v>
      </c>
      <c r="K2921" s="93">
        <v>463</v>
      </c>
      <c r="L2921" s="93">
        <v>463</v>
      </c>
      <c r="M2921" s="93" t="s">
        <v>2311</v>
      </c>
      <c r="N2921" s="93" t="e">
        <f>VLOOKUP(B2921,'[16]01.수집 카테고리(List)'!$A$2:$H$64,8,FALSE)</f>
        <v>#N/A</v>
      </c>
      <c r="O2921" s="93"/>
    </row>
    <row r="2922" spans="1:15" hidden="1">
      <c r="A2922" s="75" t="str">
        <f t="shared" si="110"/>
        <v>TRTEKNOSASOUNDBARSoundbarsSoundbars</v>
      </c>
      <c r="B2922" s="94" t="str">
        <f t="shared" si="111"/>
        <v>TR_TEKNOSA</v>
      </c>
      <c r="C2922" s="93" t="s">
        <v>491</v>
      </c>
      <c r="D2922" s="93" t="s">
        <v>493</v>
      </c>
      <c r="E2922" s="93" t="s">
        <v>165</v>
      </c>
      <c r="F2922" s="93" t="s">
        <v>2361</v>
      </c>
      <c r="G2922" s="93" t="s">
        <v>2361</v>
      </c>
      <c r="H2922" s="93" t="e">
        <v>#N/A</v>
      </c>
      <c r="I2922" s="105" t="s">
        <v>2310</v>
      </c>
      <c r="J2922" s="93" t="s">
        <v>189</v>
      </c>
      <c r="K2922" s="93">
        <v>782</v>
      </c>
      <c r="L2922" s="93">
        <v>782</v>
      </c>
      <c r="M2922" s="93" t="s">
        <v>2311</v>
      </c>
      <c r="N2922" s="93" t="e">
        <f>VLOOKUP(B2922,'[16]01.수집 카테고리(List)'!$A$2:$H$64,8,FALSE)</f>
        <v>#N/A</v>
      </c>
      <c r="O2922" s="93"/>
    </row>
    <row r="2923" spans="1:15" hidden="1">
      <c r="A2923" s="75" t="str">
        <f t="shared" si="110"/>
        <v>TRTEKNOSATV4k TV4k TV</v>
      </c>
      <c r="B2923" s="94" t="str">
        <f t="shared" si="111"/>
        <v>TR_TEKNOSA</v>
      </c>
      <c r="C2923" s="93" t="s">
        <v>491</v>
      </c>
      <c r="D2923" s="93" t="s">
        <v>493</v>
      </c>
      <c r="E2923" s="93" t="s">
        <v>161</v>
      </c>
      <c r="F2923" s="93" t="s">
        <v>2368</v>
      </c>
      <c r="G2923" s="93" t="s">
        <v>2368</v>
      </c>
      <c r="H2923" s="93" t="e">
        <v>#N/A</v>
      </c>
      <c r="I2923" s="105" t="s">
        <v>2310</v>
      </c>
      <c r="J2923" s="93" t="s">
        <v>189</v>
      </c>
      <c r="K2923" s="93">
        <v>3839</v>
      </c>
      <c r="L2923" s="93">
        <v>3839</v>
      </c>
      <c r="M2923" s="93" t="s">
        <v>2311</v>
      </c>
      <c r="N2923" s="93" t="e">
        <f>VLOOKUP(B2923,'[16]01.수집 카테고리(List)'!$A$2:$H$64,8,FALSE)</f>
        <v>#N/A</v>
      </c>
      <c r="O2923" s="93"/>
    </row>
    <row r="2924" spans="1:15" hidden="1">
      <c r="A2924" s="75" t="str">
        <f t="shared" si="110"/>
        <v>TRTEKNOSATVsmart TVakıllı televizyon</v>
      </c>
      <c r="B2924" s="94" t="str">
        <f t="shared" si="111"/>
        <v>TR_TEKNOSA</v>
      </c>
      <c r="C2924" s="93" t="s">
        <v>491</v>
      </c>
      <c r="D2924" s="93" t="s">
        <v>493</v>
      </c>
      <c r="E2924" s="93" t="s">
        <v>161</v>
      </c>
      <c r="F2924" s="93" t="s">
        <v>2371</v>
      </c>
      <c r="G2924" s="93" t="s">
        <v>3582</v>
      </c>
      <c r="H2924" s="93" t="e">
        <v>#N/A</v>
      </c>
      <c r="I2924" s="105" t="s">
        <v>2310</v>
      </c>
      <c r="J2924" s="93" t="s">
        <v>189</v>
      </c>
      <c r="K2924" s="93">
        <v>8237</v>
      </c>
      <c r="L2924" s="93" t="e">
        <v>#N/A</v>
      </c>
      <c r="M2924" s="93" t="s">
        <v>2311</v>
      </c>
      <c r="N2924" s="93" t="e">
        <f>VLOOKUP(B2924,'[16]01.수집 카테고리(List)'!$A$2:$H$64,8,FALSE)</f>
        <v>#N/A</v>
      </c>
      <c r="O2924" s="93"/>
    </row>
    <row r="2925" spans="1:15" hidden="1">
      <c r="A2925" s="75" t="str">
        <f t="shared" si="110"/>
        <v>TRTEKNOSATVoled TVoled TV</v>
      </c>
      <c r="B2925" s="94" t="str">
        <f t="shared" si="111"/>
        <v>TR_TEKNOSA</v>
      </c>
      <c r="C2925" s="93" t="s">
        <v>491</v>
      </c>
      <c r="D2925" s="93" t="s">
        <v>493</v>
      </c>
      <c r="E2925" s="93" t="s">
        <v>161</v>
      </c>
      <c r="F2925" s="93" t="s">
        <v>2369</v>
      </c>
      <c r="G2925" s="93" t="s">
        <v>2369</v>
      </c>
      <c r="H2925" s="93" t="e">
        <v>#N/A</v>
      </c>
      <c r="I2925" s="105" t="s">
        <v>2310</v>
      </c>
      <c r="J2925" s="93" t="s">
        <v>189</v>
      </c>
      <c r="K2925" s="93">
        <v>4658</v>
      </c>
      <c r="L2925" s="93">
        <v>4658</v>
      </c>
      <c r="M2925" s="93" t="s">
        <v>2311</v>
      </c>
      <c r="N2925" s="93" t="e">
        <f>VLOOKUP(B2925,'[16]01.수집 카테고리(List)'!$A$2:$H$64,8,FALSE)</f>
        <v>#N/A</v>
      </c>
      <c r="O2925" s="93"/>
    </row>
    <row r="2926" spans="1:15" hidden="1">
      <c r="A2926" s="75" t="str">
        <f t="shared" si="110"/>
        <v>TRTEKNOSATVTVtelevizyon</v>
      </c>
      <c r="B2926" s="94" t="str">
        <f t="shared" si="111"/>
        <v>TR_TEKNOSA</v>
      </c>
      <c r="C2926" s="93" t="s">
        <v>491</v>
      </c>
      <c r="D2926" s="93" t="s">
        <v>493</v>
      </c>
      <c r="E2926" s="93" t="s">
        <v>161</v>
      </c>
      <c r="F2926" s="93" t="s">
        <v>161</v>
      </c>
      <c r="G2926" s="93" t="s">
        <v>3583</v>
      </c>
      <c r="H2926" s="93" t="e">
        <v>#N/A</v>
      </c>
      <c r="I2926" s="105" t="s">
        <v>2310</v>
      </c>
      <c r="J2926" s="93" t="s">
        <v>189</v>
      </c>
      <c r="K2926" s="93">
        <v>4920</v>
      </c>
      <c r="L2926" s="93" t="e">
        <v>#N/A</v>
      </c>
      <c r="M2926" s="93" t="s">
        <v>2311</v>
      </c>
      <c r="N2926" s="93" t="e">
        <f>VLOOKUP(B2926,'[16]01.수집 카테고리(List)'!$A$2:$H$64,8,FALSE)</f>
        <v>#N/A</v>
      </c>
      <c r="O2926" s="93"/>
    </row>
    <row r="2927" spans="1:15" hidden="1">
      <c r="A2927" s="75" t="str">
        <f t="shared" si="110"/>
        <v>TRTEKNOSATVuhd TVuhd TV</v>
      </c>
      <c r="B2927" s="94" t="str">
        <f t="shared" si="111"/>
        <v>TR_TEKNOSA</v>
      </c>
      <c r="C2927" s="93" t="s">
        <v>491</v>
      </c>
      <c r="D2927" s="93" t="s">
        <v>493</v>
      </c>
      <c r="E2927" s="93" t="s">
        <v>161</v>
      </c>
      <c r="F2927" s="93" t="s">
        <v>2399</v>
      </c>
      <c r="G2927" s="93" t="s">
        <v>2399</v>
      </c>
      <c r="H2927" s="93" t="e">
        <v>#N/A</v>
      </c>
      <c r="I2927" s="105" t="s">
        <v>2310</v>
      </c>
      <c r="J2927" s="93" t="s">
        <v>189</v>
      </c>
      <c r="K2927" s="93">
        <v>4247</v>
      </c>
      <c r="L2927" s="93">
        <v>4247</v>
      </c>
      <c r="M2927" s="93" t="s">
        <v>2311</v>
      </c>
      <c r="N2927" s="93" t="e">
        <f>VLOOKUP(B2927,'[16]01.수집 카테고리(List)'!$A$2:$H$64,8,FALSE)</f>
        <v>#N/A</v>
      </c>
      <c r="O2927" s="93"/>
    </row>
    <row r="2928" spans="1:15" hidden="1">
      <c r="A2928" s="75" t="str">
        <f t="shared" si="110"/>
        <v>TRTEKNOSAWashing Machinewashing machineçamaşır makinesi</v>
      </c>
      <c r="B2928" s="94" t="str">
        <f t="shared" si="111"/>
        <v>TR_TEKNOSA</v>
      </c>
      <c r="C2928" s="93" t="s">
        <v>491</v>
      </c>
      <c r="D2928" s="93" t="s">
        <v>493</v>
      </c>
      <c r="E2928" s="93" t="s">
        <v>2333</v>
      </c>
      <c r="F2928" s="93" t="s">
        <v>2340</v>
      </c>
      <c r="G2928" s="93" t="s">
        <v>3584</v>
      </c>
      <c r="H2928" s="93" t="e">
        <v>#N/A</v>
      </c>
      <c r="I2928" s="105" t="s">
        <v>2310</v>
      </c>
      <c r="J2928" s="93" t="s">
        <v>189</v>
      </c>
      <c r="K2928" s="93">
        <v>1036</v>
      </c>
      <c r="L2928" s="93" t="e">
        <v>#N/A</v>
      </c>
      <c r="M2928" s="93" t="s">
        <v>2311</v>
      </c>
      <c r="N2928" s="93" t="e">
        <f>VLOOKUP(B2928,'[16]01.수집 카테고리(List)'!$A$2:$H$64,8,FALSE)</f>
        <v>#N/A</v>
      </c>
      <c r="O2928" s="93"/>
    </row>
    <row r="2929" spans="1:15" hidden="1">
      <c r="A2929" s="75" t="str">
        <f t="shared" si="110"/>
        <v>TRTEKNOSAWashing Machinefront loaderönden yüklemeli</v>
      </c>
      <c r="B2929" s="94" t="str">
        <f t="shared" si="111"/>
        <v>TR_TEKNOSA</v>
      </c>
      <c r="C2929" s="93" t="s">
        <v>491</v>
      </c>
      <c r="D2929" s="93" t="s">
        <v>493</v>
      </c>
      <c r="E2929" s="93" t="s">
        <v>2333</v>
      </c>
      <c r="F2929" s="93" t="s">
        <v>2334</v>
      </c>
      <c r="G2929" s="93" t="s">
        <v>3585</v>
      </c>
      <c r="H2929" s="93" t="e">
        <v>#N/A</v>
      </c>
      <c r="I2929" s="105" t="s">
        <v>2310</v>
      </c>
      <c r="J2929" s="93" t="s">
        <v>189</v>
      </c>
      <c r="K2929" s="93">
        <v>3369</v>
      </c>
      <c r="L2929" s="93" t="e">
        <v>#N/A</v>
      </c>
      <c r="M2929" s="93" t="s">
        <v>2311</v>
      </c>
      <c r="N2929" s="93" t="e">
        <f>VLOOKUP(B2929,'[16]01.수집 카테고리(List)'!$A$2:$H$64,8,FALSE)</f>
        <v>#N/A</v>
      </c>
      <c r="O2929" s="93"/>
    </row>
    <row r="2930" spans="1:15" hidden="1">
      <c r="A2930" s="75" t="str">
        <f t="shared" si="110"/>
        <v>TRTEKNOSAWashing Machinewasher dryer comboyıkama ve kurutma</v>
      </c>
      <c r="B2930" s="94" t="str">
        <f t="shared" si="111"/>
        <v>TR_TEKNOSA</v>
      </c>
      <c r="C2930" s="93" t="s">
        <v>491</v>
      </c>
      <c r="D2930" s="93" t="s">
        <v>493</v>
      </c>
      <c r="E2930" s="93" t="s">
        <v>2333</v>
      </c>
      <c r="F2930" s="93" t="s">
        <v>2338</v>
      </c>
      <c r="G2930" s="93" t="s">
        <v>3586</v>
      </c>
      <c r="H2930" s="93" t="e">
        <v>#N/A</v>
      </c>
      <c r="I2930" s="105" t="s">
        <v>2310</v>
      </c>
      <c r="J2930" s="93" t="s">
        <v>189</v>
      </c>
      <c r="K2930" s="93">
        <v>1804</v>
      </c>
      <c r="L2930" s="93" t="e">
        <v>#N/A</v>
      </c>
      <c r="M2930" s="93" t="s">
        <v>2311</v>
      </c>
      <c r="N2930" s="93" t="e">
        <f>VLOOKUP(B2930,'[16]01.수집 카테고리(List)'!$A$2:$H$64,8,FALSE)</f>
        <v>#N/A</v>
      </c>
      <c r="O2930" s="93"/>
    </row>
    <row r="2931" spans="1:15" hidden="1">
      <c r="A2931" s="75" t="str">
        <f t="shared" si="110"/>
        <v>TRTEKNOSAWIRELESS HEADSETBluetooth earbudsBluetooth earbuds</v>
      </c>
      <c r="B2931" s="94" t="str">
        <f t="shared" si="111"/>
        <v>TR_TEKNOSA</v>
      </c>
      <c r="C2931" s="93" t="s">
        <v>491</v>
      </c>
      <c r="D2931" s="93" t="s">
        <v>493</v>
      </c>
      <c r="E2931" s="93" t="s">
        <v>2201</v>
      </c>
      <c r="F2931" s="93" t="s">
        <v>2382</v>
      </c>
      <c r="G2931" s="93" t="s">
        <v>2382</v>
      </c>
      <c r="H2931" s="93" t="e">
        <v>#N/A</v>
      </c>
      <c r="I2931" s="105" t="s">
        <v>2310</v>
      </c>
      <c r="J2931" s="93" t="s">
        <v>189</v>
      </c>
      <c r="K2931" s="93">
        <v>6692</v>
      </c>
      <c r="L2931" s="93">
        <v>6692</v>
      </c>
      <c r="M2931" s="93" t="s">
        <v>2311</v>
      </c>
      <c r="N2931" s="93" t="e">
        <f>VLOOKUP(B2931,'[16]01.수집 카테고리(List)'!$A$2:$H$64,8,FALSE)</f>
        <v>#N/A</v>
      </c>
      <c r="O2931" s="93"/>
    </row>
    <row r="2932" spans="1:15" hidden="1">
      <c r="A2932" s="75" t="str">
        <f t="shared" si="110"/>
        <v>TRTEKNOSAWIRELESS HEADSETEar budsEar buds</v>
      </c>
      <c r="B2932" s="94" t="str">
        <f t="shared" si="111"/>
        <v>TR_TEKNOSA</v>
      </c>
      <c r="C2932" s="93" t="s">
        <v>491</v>
      </c>
      <c r="D2932" s="93" t="s">
        <v>493</v>
      </c>
      <c r="E2932" s="93" t="s">
        <v>2201</v>
      </c>
      <c r="F2932" s="93" t="s">
        <v>2380</v>
      </c>
      <c r="G2932" s="93" t="s">
        <v>2380</v>
      </c>
      <c r="H2932" s="93" t="e">
        <v>#N/A</v>
      </c>
      <c r="I2932" s="105" t="s">
        <v>2310</v>
      </c>
      <c r="J2932" s="93" t="s">
        <v>189</v>
      </c>
      <c r="K2932" s="93">
        <v>5549</v>
      </c>
      <c r="L2932" s="93">
        <v>5549</v>
      </c>
      <c r="M2932" s="93" t="s">
        <v>2311</v>
      </c>
      <c r="N2932" s="93" t="e">
        <f>VLOOKUP(B2932,'[16]01.수집 카테고리(List)'!$A$2:$H$64,8,FALSE)</f>
        <v>#N/A</v>
      </c>
      <c r="O2932" s="93"/>
    </row>
    <row r="2933" spans="1:15" hidden="1">
      <c r="A2933" s="75" t="str">
        <f t="shared" si="110"/>
        <v>TRTEKNOSAWIRELESS HEADSETNoise cancelling earbudsNoise cancelling earbuds</v>
      </c>
      <c r="B2933" s="94" t="str">
        <f t="shared" si="111"/>
        <v>TR_TEKNOSA</v>
      </c>
      <c r="C2933" s="93" t="s">
        <v>491</v>
      </c>
      <c r="D2933" s="93" t="s">
        <v>493</v>
      </c>
      <c r="E2933" s="93" t="s">
        <v>2201</v>
      </c>
      <c r="F2933" s="93" t="s">
        <v>2378</v>
      </c>
      <c r="G2933" s="93" t="s">
        <v>2378</v>
      </c>
      <c r="H2933" s="93" t="e">
        <v>#N/A</v>
      </c>
      <c r="I2933" s="105" t="s">
        <v>2310</v>
      </c>
      <c r="J2933" s="93" t="s">
        <v>189</v>
      </c>
      <c r="K2933" s="93">
        <v>4975</v>
      </c>
      <c r="L2933" s="93">
        <v>4975</v>
      </c>
      <c r="M2933" s="93" t="s">
        <v>2311</v>
      </c>
      <c r="N2933" s="93" t="e">
        <f>VLOOKUP(B2933,'[16]01.수집 카테고리(List)'!$A$2:$H$64,8,FALSE)</f>
        <v>#N/A</v>
      </c>
      <c r="O2933" s="93"/>
    </row>
    <row r="2934" spans="1:15" hidden="1">
      <c r="A2934" s="75" t="str">
        <f t="shared" si="110"/>
        <v>TRTEKNOSAWIRELESS HEADSETTrue wireless earbudsTrue wireless earbuds</v>
      </c>
      <c r="B2934" s="94" t="str">
        <f t="shared" si="111"/>
        <v>TR_TEKNOSA</v>
      </c>
      <c r="C2934" s="93" t="s">
        <v>491</v>
      </c>
      <c r="D2934" s="93" t="s">
        <v>493</v>
      </c>
      <c r="E2934" s="93" t="s">
        <v>2201</v>
      </c>
      <c r="F2934" s="93" t="s">
        <v>2374</v>
      </c>
      <c r="G2934" s="93" t="s">
        <v>2374</v>
      </c>
      <c r="H2934" s="93" t="e">
        <v>#N/A</v>
      </c>
      <c r="I2934" s="105" t="s">
        <v>2310</v>
      </c>
      <c r="J2934" s="93" t="s">
        <v>189</v>
      </c>
      <c r="K2934" s="93">
        <v>4500</v>
      </c>
      <c r="L2934" s="93">
        <v>4500</v>
      </c>
      <c r="M2934" s="93" t="s">
        <v>2311</v>
      </c>
      <c r="N2934" s="93" t="e">
        <f>VLOOKUP(B2934,'[16]01.수집 카테고리(List)'!$A$2:$H$64,8,FALSE)</f>
        <v>#N/A</v>
      </c>
      <c r="O2934" s="93"/>
    </row>
    <row r="2935" spans="1:15" hidden="1">
      <c r="A2935" s="75" t="str">
        <f t="shared" si="110"/>
        <v>TRTEKNOSAWIRELESS HEADSETWireless earbudsWireless earbuds</v>
      </c>
      <c r="B2935" s="94" t="str">
        <f t="shared" si="111"/>
        <v>TR_TEKNOSA</v>
      </c>
      <c r="C2935" s="93" t="s">
        <v>491</v>
      </c>
      <c r="D2935" s="93" t="s">
        <v>493</v>
      </c>
      <c r="E2935" s="93" t="s">
        <v>2201</v>
      </c>
      <c r="F2935" s="93" t="s">
        <v>2376</v>
      </c>
      <c r="G2935" s="93" t="s">
        <v>2376</v>
      </c>
      <c r="H2935" s="93" t="e">
        <v>#N/A</v>
      </c>
      <c r="I2935" s="105" t="s">
        <v>2310</v>
      </c>
      <c r="J2935" s="93" t="s">
        <v>189</v>
      </c>
      <c r="K2935" s="93">
        <v>4049</v>
      </c>
      <c r="L2935" s="93">
        <v>4049</v>
      </c>
      <c r="M2935" s="93" t="s">
        <v>2311</v>
      </c>
      <c r="N2935" s="93" t="e">
        <f>VLOOKUP(B2935,'[16]01.수집 카테고리(List)'!$A$2:$H$64,8,FALSE)</f>
        <v>#N/A</v>
      </c>
      <c r="O2935" s="93"/>
    </row>
    <row r="2936" spans="1:15" hidden="1">
      <c r="A2936" s="75" t="str">
        <f t="shared" si="110"/>
        <v>TRVATANBluetooth SpeakerBluetooth speakersBluetooth speakers</v>
      </c>
      <c r="B2936" s="94" t="str">
        <f t="shared" si="111"/>
        <v>TR_VATAN</v>
      </c>
      <c r="C2936" s="93" t="s">
        <v>491</v>
      </c>
      <c r="D2936" s="93" t="s">
        <v>495</v>
      </c>
      <c r="E2936" s="93" t="s">
        <v>2307</v>
      </c>
      <c r="F2936" s="93" t="s">
        <v>2425</v>
      </c>
      <c r="G2936" s="93" t="s">
        <v>2425</v>
      </c>
      <c r="H2936" s="93" t="e">
        <v>#N/A</v>
      </c>
      <c r="I2936" s="105" t="s">
        <v>2310</v>
      </c>
      <c r="J2936" s="93" t="s">
        <v>189</v>
      </c>
      <c r="K2936" s="93">
        <v>150</v>
      </c>
      <c r="L2936" s="93">
        <v>150</v>
      </c>
      <c r="M2936" s="93" t="s">
        <v>2311</v>
      </c>
      <c r="N2936" s="93" t="e">
        <f>VLOOKUP(B2936,'[16]01.수집 카테고리(List)'!$A$2:$H$64,8,FALSE)</f>
        <v>#N/A</v>
      </c>
      <c r="O2936" s="93"/>
    </row>
    <row r="2937" spans="1:15" hidden="1">
      <c r="A2937" s="75" t="str">
        <f t="shared" si="110"/>
        <v>TRVATANBluetooth SpeakerPortable bluetooth speakersPortable bluetooth speakers</v>
      </c>
      <c r="B2937" s="94" t="str">
        <f t="shared" si="111"/>
        <v>TR_VATAN</v>
      </c>
      <c r="C2937" s="93" t="s">
        <v>491</v>
      </c>
      <c r="D2937" s="93" t="s">
        <v>495</v>
      </c>
      <c r="E2937" s="93" t="s">
        <v>2307</v>
      </c>
      <c r="F2937" s="93" t="s">
        <v>2426</v>
      </c>
      <c r="G2937" s="93" t="s">
        <v>2426</v>
      </c>
      <c r="H2937" s="93" t="s">
        <v>3138</v>
      </c>
      <c r="I2937" s="105" t="s">
        <v>2310</v>
      </c>
      <c r="J2937" s="93" t="s">
        <v>189</v>
      </c>
      <c r="K2937" s="93" t="e">
        <v>#N/A</v>
      </c>
      <c r="L2937" s="93" t="e">
        <v>#N/A</v>
      </c>
      <c r="M2937" s="93" t="s">
        <v>2393</v>
      </c>
      <c r="N2937" s="93" t="e">
        <f>VLOOKUP(B2937,'[16]01.수집 카테고리(List)'!$A$2:$H$64,8,FALSE)</f>
        <v>#N/A</v>
      </c>
      <c r="O2937" s="93"/>
    </row>
    <row r="2938" spans="1:15" hidden="1">
      <c r="A2938" s="75" t="str">
        <f t="shared" si="110"/>
        <v>TRVATANBluetooth SpeakerPortable speakersPortable speakers</v>
      </c>
      <c r="B2938" s="94" t="str">
        <f t="shared" si="111"/>
        <v>TR_VATAN</v>
      </c>
      <c r="C2938" s="93" t="s">
        <v>491</v>
      </c>
      <c r="D2938" s="93" t="s">
        <v>495</v>
      </c>
      <c r="E2938" s="93" t="s">
        <v>2307</v>
      </c>
      <c r="F2938" s="93" t="s">
        <v>2427</v>
      </c>
      <c r="G2938" s="93" t="s">
        <v>2427</v>
      </c>
      <c r="H2938" s="93" t="s">
        <v>3138</v>
      </c>
      <c r="I2938" s="105" t="s">
        <v>2310</v>
      </c>
      <c r="J2938" s="93" t="s">
        <v>189</v>
      </c>
      <c r="K2938" s="93" t="e">
        <v>#N/A</v>
      </c>
      <c r="L2938" s="93" t="e">
        <v>#N/A</v>
      </c>
      <c r="M2938" s="93" t="s">
        <v>2393</v>
      </c>
      <c r="N2938" s="93" t="e">
        <f>VLOOKUP(B2938,'[16]01.수집 카테고리(List)'!$A$2:$H$64,8,FALSE)</f>
        <v>#N/A</v>
      </c>
      <c r="O2938" s="93"/>
    </row>
    <row r="2939" spans="1:15" hidden="1">
      <c r="A2939" s="75" t="str">
        <f t="shared" si="110"/>
        <v>TRVATANBluetooth SpeakerSpeakerSpeaker</v>
      </c>
      <c r="B2939" s="94" t="str">
        <f t="shared" si="111"/>
        <v>TR_VATAN</v>
      </c>
      <c r="C2939" s="93" t="s">
        <v>491</v>
      </c>
      <c r="D2939" s="93" t="s">
        <v>495</v>
      </c>
      <c r="E2939" s="93" t="s">
        <v>2307</v>
      </c>
      <c r="F2939" s="93" t="s">
        <v>2428</v>
      </c>
      <c r="G2939" s="93" t="s">
        <v>2428</v>
      </c>
      <c r="H2939" s="93" t="e">
        <v>#N/A</v>
      </c>
      <c r="I2939" s="105" t="s">
        <v>2310</v>
      </c>
      <c r="J2939" s="93" t="s">
        <v>189</v>
      </c>
      <c r="K2939" s="93">
        <v>1965</v>
      </c>
      <c r="L2939" s="93">
        <v>1965</v>
      </c>
      <c r="M2939" s="93" t="s">
        <v>2311</v>
      </c>
      <c r="N2939" s="93" t="e">
        <f>VLOOKUP(B2939,'[16]01.수집 카테고리(List)'!$A$2:$H$64,8,FALSE)</f>
        <v>#N/A</v>
      </c>
      <c r="O2939" s="93"/>
    </row>
    <row r="2940" spans="1:15" hidden="1">
      <c r="A2940" s="75" t="str">
        <f t="shared" si="110"/>
        <v>TRVATANBluetooth SpeakerSpeakersSpeakers</v>
      </c>
      <c r="B2940" s="94" t="str">
        <f t="shared" si="111"/>
        <v>TR_VATAN</v>
      </c>
      <c r="C2940" s="93" t="s">
        <v>491</v>
      </c>
      <c r="D2940" s="93" t="s">
        <v>495</v>
      </c>
      <c r="E2940" s="93" t="s">
        <v>2307</v>
      </c>
      <c r="F2940" s="93" t="s">
        <v>2429</v>
      </c>
      <c r="G2940" s="93" t="s">
        <v>2429</v>
      </c>
      <c r="H2940" s="93" t="e">
        <v>#N/A</v>
      </c>
      <c r="I2940" s="105" t="s">
        <v>2310</v>
      </c>
      <c r="J2940" s="93" t="s">
        <v>189</v>
      </c>
      <c r="K2940" s="93">
        <v>1965</v>
      </c>
      <c r="L2940" s="93">
        <v>1965</v>
      </c>
      <c r="M2940" s="93" t="s">
        <v>2311</v>
      </c>
      <c r="N2940" s="93" t="e">
        <f>VLOOKUP(B2940,'[16]01.수집 카테고리(List)'!$A$2:$H$64,8,FALSE)</f>
        <v>#N/A</v>
      </c>
      <c r="O2940" s="93"/>
    </row>
    <row r="2941" spans="1:15" hidden="1">
      <c r="A2941" s="75" t="str">
        <f t="shared" si="110"/>
        <v>TRVATANMonitormonitorMonitör</v>
      </c>
      <c r="B2941" s="94" t="str">
        <f t="shared" si="111"/>
        <v>TR_VATAN</v>
      </c>
      <c r="C2941" s="93" t="s">
        <v>491</v>
      </c>
      <c r="D2941" s="93" t="s">
        <v>495</v>
      </c>
      <c r="E2941" s="93" t="s">
        <v>2320</v>
      </c>
      <c r="F2941" s="93" t="s">
        <v>2323</v>
      </c>
      <c r="G2941" s="93" t="s">
        <v>3587</v>
      </c>
      <c r="H2941" s="93" t="e">
        <v>#N/A</v>
      </c>
      <c r="I2941" s="105" t="s">
        <v>2310</v>
      </c>
      <c r="J2941" s="93" t="s">
        <v>189</v>
      </c>
      <c r="K2941" s="93">
        <v>3172</v>
      </c>
      <c r="L2941" s="93" t="e">
        <v>#N/A</v>
      </c>
      <c r="M2941" s="93" t="s">
        <v>2311</v>
      </c>
      <c r="N2941" s="93" t="e">
        <f>VLOOKUP(B2941,'[16]01.수집 카테고리(List)'!$A$2:$H$64,8,FALSE)</f>
        <v>#N/A</v>
      </c>
      <c r="O2941" s="93"/>
    </row>
    <row r="2942" spans="1:15" hidden="1">
      <c r="A2942" s="75" t="str">
        <f t="shared" si="110"/>
        <v>TRVATANMonitorgaming monitorOyuncu  monitör</v>
      </c>
      <c r="B2942" s="94" t="str">
        <f t="shared" si="111"/>
        <v>TR_VATAN</v>
      </c>
      <c r="C2942" s="93" t="s">
        <v>491</v>
      </c>
      <c r="D2942" s="93" t="s">
        <v>495</v>
      </c>
      <c r="E2942" s="93" t="s">
        <v>2320</v>
      </c>
      <c r="F2942" s="93" t="s">
        <v>3588</v>
      </c>
      <c r="G2942" s="93" t="s">
        <v>3589</v>
      </c>
      <c r="H2942" s="93" t="e">
        <v>#N/A</v>
      </c>
      <c r="I2942" s="105" t="s">
        <v>2310</v>
      </c>
      <c r="J2942" s="93" t="s">
        <v>189</v>
      </c>
      <c r="K2942" s="93">
        <v>1294</v>
      </c>
      <c r="L2942" s="93" t="e">
        <v>#N/A</v>
      </c>
      <c r="M2942" s="93" t="s">
        <v>2311</v>
      </c>
      <c r="N2942" s="93" t="e">
        <f>VLOOKUP(B2942,'[16]01.수집 카테고리(List)'!$A$2:$H$64,8,FALSE)</f>
        <v>#N/A</v>
      </c>
      <c r="O2942" s="93"/>
    </row>
    <row r="2943" spans="1:15" hidden="1">
      <c r="A2943" s="75" t="str">
        <f t="shared" si="110"/>
        <v>TRVATANMonitorTV monitorTV monitör</v>
      </c>
      <c r="B2943" s="94" t="str">
        <f t="shared" si="111"/>
        <v>TR_VATAN</v>
      </c>
      <c r="C2943" s="93" t="s">
        <v>491</v>
      </c>
      <c r="D2943" s="93" t="s">
        <v>495</v>
      </c>
      <c r="E2943" s="93" t="s">
        <v>2320</v>
      </c>
      <c r="F2943" s="93" t="s">
        <v>2967</v>
      </c>
      <c r="G2943" s="93" t="s">
        <v>3590</v>
      </c>
      <c r="H2943" s="93" t="s">
        <v>3138</v>
      </c>
      <c r="I2943" s="105" t="s">
        <v>2310</v>
      </c>
      <c r="J2943" s="93" t="s">
        <v>189</v>
      </c>
      <c r="K2943" s="93" t="e">
        <v>#N/A</v>
      </c>
      <c r="L2943" s="93" t="e">
        <v>#N/A</v>
      </c>
      <c r="M2943" s="93" t="s">
        <v>2393</v>
      </c>
      <c r="N2943" s="93" t="e">
        <f>VLOOKUP(B2943,'[16]01.수집 카테고리(List)'!$A$2:$H$64,8,FALSE)</f>
        <v>#N/A</v>
      </c>
      <c r="O2943" s="93"/>
    </row>
    <row r="2944" spans="1:15" hidden="1">
      <c r="A2944" s="75" t="str">
        <f t="shared" si="110"/>
        <v>TRVATANMonitoruhd monitoruhd monitör</v>
      </c>
      <c r="B2944" s="94" t="str">
        <f t="shared" si="111"/>
        <v>TR_VATAN</v>
      </c>
      <c r="C2944" s="93" t="s">
        <v>491</v>
      </c>
      <c r="D2944" s="93" t="s">
        <v>495</v>
      </c>
      <c r="E2944" s="93" t="s">
        <v>2320</v>
      </c>
      <c r="F2944" s="93" t="s">
        <v>2324</v>
      </c>
      <c r="G2944" s="93" t="s">
        <v>3591</v>
      </c>
      <c r="H2944" s="93" t="e">
        <v>#N/A</v>
      </c>
      <c r="I2944" s="105" t="s">
        <v>2310</v>
      </c>
      <c r="J2944" s="93" t="s">
        <v>189</v>
      </c>
      <c r="K2944" s="93">
        <v>66</v>
      </c>
      <c r="L2944" s="93" t="e">
        <v>#N/A</v>
      </c>
      <c r="M2944" s="93" t="s">
        <v>2311</v>
      </c>
      <c r="N2944" s="93" t="e">
        <f>VLOOKUP(B2944,'[16]01.수집 카테고리(List)'!$A$2:$H$64,8,FALSE)</f>
        <v>#N/A</v>
      </c>
      <c r="O2944" s="93"/>
    </row>
    <row r="2945" spans="1:15" hidden="1">
      <c r="A2945" s="75" t="str">
        <f t="shared" si="110"/>
        <v>TRVATANMonitorultrawide monitorUltra Geniş Monitör</v>
      </c>
      <c r="B2945" s="94" t="str">
        <f t="shared" si="111"/>
        <v>TR_VATAN</v>
      </c>
      <c r="C2945" s="93" t="s">
        <v>491</v>
      </c>
      <c r="D2945" s="93" t="s">
        <v>495</v>
      </c>
      <c r="E2945" s="93" t="s">
        <v>2320</v>
      </c>
      <c r="F2945" s="93" t="s">
        <v>2325</v>
      </c>
      <c r="G2945" s="93" t="s">
        <v>3592</v>
      </c>
      <c r="H2945" s="93" t="e">
        <v>#N/A</v>
      </c>
      <c r="I2945" s="105" t="s">
        <v>2310</v>
      </c>
      <c r="J2945" s="93" t="s">
        <v>189</v>
      </c>
      <c r="K2945" s="93">
        <v>1888</v>
      </c>
      <c r="L2945" s="93" t="e">
        <v>#N/A</v>
      </c>
      <c r="M2945" s="93" t="s">
        <v>2311</v>
      </c>
      <c r="N2945" s="93" t="e">
        <f>VLOOKUP(B2945,'[16]01.수집 카테고리(List)'!$A$2:$H$64,8,FALSE)</f>
        <v>#N/A</v>
      </c>
      <c r="O2945" s="93"/>
    </row>
    <row r="2946" spans="1:15" hidden="1">
      <c r="A2946" s="75" t="str">
        <f t="shared" si="110"/>
        <v>TRVATANRefrigeratorbottom freezer refrigeratoralttan donduruculu buzdolabı</v>
      </c>
      <c r="B2946" s="94" t="str">
        <f t="shared" si="111"/>
        <v>TR_VATAN</v>
      </c>
      <c r="C2946" s="93" t="s">
        <v>491</v>
      </c>
      <c r="D2946" s="93" t="s">
        <v>495</v>
      </c>
      <c r="E2946" s="93" t="s">
        <v>2326</v>
      </c>
      <c r="F2946" s="93" t="s">
        <v>2327</v>
      </c>
      <c r="G2946" s="93" t="s">
        <v>3577</v>
      </c>
      <c r="H2946" s="93" t="s">
        <v>3138</v>
      </c>
      <c r="I2946" s="105" t="s">
        <v>2310</v>
      </c>
      <c r="J2946" s="93" t="s">
        <v>189</v>
      </c>
      <c r="K2946" s="93" t="e">
        <v>#N/A</v>
      </c>
      <c r="L2946" s="93" t="e">
        <v>#N/A</v>
      </c>
      <c r="M2946" s="93" t="s">
        <v>2393</v>
      </c>
      <c r="N2946" s="93" t="e">
        <f>VLOOKUP(B2946,'[16]01.수집 카테고리(List)'!$A$2:$H$64,8,FALSE)</f>
        <v>#N/A</v>
      </c>
      <c r="O2946" s="93"/>
    </row>
    <row r="2947" spans="1:15" hidden="1">
      <c r="A2947" s="75" t="str">
        <f t="shared" si="110"/>
        <v>TRVATANRefrigeratorrefrigeratorbuzdolabı</v>
      </c>
      <c r="B2947" s="94" t="str">
        <f t="shared" si="111"/>
        <v>TR_VATAN</v>
      </c>
      <c r="C2947" s="93" t="s">
        <v>491</v>
      </c>
      <c r="D2947" s="93" t="s">
        <v>495</v>
      </c>
      <c r="E2947" s="93" t="s">
        <v>2326</v>
      </c>
      <c r="F2947" s="93" t="s">
        <v>2329</v>
      </c>
      <c r="G2947" s="93" t="s">
        <v>3578</v>
      </c>
      <c r="H2947" s="93" t="s">
        <v>3138</v>
      </c>
      <c r="I2947" s="105" t="s">
        <v>2310</v>
      </c>
      <c r="J2947" s="93" t="s">
        <v>189</v>
      </c>
      <c r="K2947" s="93" t="e">
        <v>#N/A</v>
      </c>
      <c r="L2947" s="93" t="e">
        <v>#N/A</v>
      </c>
      <c r="M2947" s="93" t="s">
        <v>2393</v>
      </c>
      <c r="N2947" s="93" t="e">
        <f>VLOOKUP(B2947,'[16]01.수집 카테고리(List)'!$A$2:$H$64,8,FALSE)</f>
        <v>#N/A</v>
      </c>
      <c r="O2947" s="93"/>
    </row>
    <row r="2948" spans="1:15" hidden="1">
      <c r="A2948" s="75" t="str">
        <f t="shared" si="110"/>
        <v>TRVATANRefrigeratorfrench door refrigeratorBuzdolabı Gardrop</v>
      </c>
      <c r="B2948" s="94" t="str">
        <f t="shared" si="111"/>
        <v>TR_VATAN</v>
      </c>
      <c r="C2948" s="93" t="s">
        <v>491</v>
      </c>
      <c r="D2948" s="93" t="s">
        <v>495</v>
      </c>
      <c r="E2948" s="93" t="s">
        <v>2326</v>
      </c>
      <c r="F2948" s="93" t="s">
        <v>2328</v>
      </c>
      <c r="G2948" s="93" t="s">
        <v>3579</v>
      </c>
      <c r="H2948" s="93" t="s">
        <v>3138</v>
      </c>
      <c r="I2948" s="105" t="s">
        <v>2310</v>
      </c>
      <c r="J2948" s="93" t="s">
        <v>189</v>
      </c>
      <c r="K2948" s="93" t="e">
        <v>#N/A</v>
      </c>
      <c r="L2948" s="93" t="e">
        <v>#N/A</v>
      </c>
      <c r="M2948" s="93" t="s">
        <v>2393</v>
      </c>
      <c r="N2948" s="93" t="e">
        <f>VLOOKUP(B2948,'[16]01.수집 카테고리(List)'!$A$2:$H$64,8,FALSE)</f>
        <v>#N/A</v>
      </c>
      <c r="O2948" s="93"/>
    </row>
    <row r="2949" spans="1:15" hidden="1">
      <c r="A2949" s="75" t="str">
        <f t="shared" si="110"/>
        <v>TRVATANRefrigeratorside by side refrigeratorGardırop Tipi buzdolabı</v>
      </c>
      <c r="B2949" s="94" t="str">
        <f t="shared" si="111"/>
        <v>TR_VATAN</v>
      </c>
      <c r="C2949" s="93" t="s">
        <v>491</v>
      </c>
      <c r="D2949" s="93" t="s">
        <v>495</v>
      </c>
      <c r="E2949" s="93" t="s">
        <v>2326</v>
      </c>
      <c r="F2949" s="93" t="s">
        <v>2330</v>
      </c>
      <c r="G2949" s="93" t="s">
        <v>3580</v>
      </c>
      <c r="H2949" s="93" t="s">
        <v>3138</v>
      </c>
      <c r="I2949" s="105" t="s">
        <v>2310</v>
      </c>
      <c r="J2949" s="93" t="s">
        <v>189</v>
      </c>
      <c r="K2949" s="93" t="e">
        <v>#N/A</v>
      </c>
      <c r="L2949" s="93" t="e">
        <v>#N/A</v>
      </c>
      <c r="M2949" s="93" t="s">
        <v>2393</v>
      </c>
      <c r="N2949" s="93" t="e">
        <f>VLOOKUP(B2949,'[16]01.수집 카테고리(List)'!$A$2:$H$64,8,FALSE)</f>
        <v>#N/A</v>
      </c>
      <c r="O2949" s="93"/>
    </row>
    <row r="2950" spans="1:15" hidden="1">
      <c r="A2950" s="75" t="str">
        <f t="shared" si="110"/>
        <v>TRVATANRefrigeratortop freezer refrigeratorüstten donduruculu buzdolabı</v>
      </c>
      <c r="B2950" s="94" t="str">
        <f t="shared" si="111"/>
        <v>TR_VATAN</v>
      </c>
      <c r="C2950" s="93" t="s">
        <v>491</v>
      </c>
      <c r="D2950" s="93" t="s">
        <v>495</v>
      </c>
      <c r="E2950" s="93" t="s">
        <v>2326</v>
      </c>
      <c r="F2950" s="93" t="s">
        <v>2332</v>
      </c>
      <c r="G2950" s="93" t="s">
        <v>3581</v>
      </c>
      <c r="H2950" s="93" t="s">
        <v>3138</v>
      </c>
      <c r="I2950" s="105" t="s">
        <v>2310</v>
      </c>
      <c r="J2950" s="93" t="s">
        <v>189</v>
      </c>
      <c r="K2950" s="93" t="e">
        <v>#N/A</v>
      </c>
      <c r="L2950" s="93" t="e">
        <v>#N/A</v>
      </c>
      <c r="M2950" s="93" t="s">
        <v>2393</v>
      </c>
      <c r="N2950" s="93" t="e">
        <f>VLOOKUP(B2950,'[16]01.수집 카테고리(List)'!$A$2:$H$64,8,FALSE)</f>
        <v>#N/A</v>
      </c>
      <c r="O2950" s="93"/>
    </row>
    <row r="2951" spans="1:15" hidden="1">
      <c r="A2951" s="75" t="str">
        <f t="shared" si="110"/>
        <v>TRVATANSOUNDBARSound barSound bar</v>
      </c>
      <c r="B2951" s="94" t="str">
        <f t="shared" si="111"/>
        <v>TR_VATAN</v>
      </c>
      <c r="C2951" s="93" t="s">
        <v>491</v>
      </c>
      <c r="D2951" s="93" t="s">
        <v>495</v>
      </c>
      <c r="E2951" s="93" t="s">
        <v>165</v>
      </c>
      <c r="F2951" s="93" t="s">
        <v>2365</v>
      </c>
      <c r="G2951" s="93" t="s">
        <v>2365</v>
      </c>
      <c r="H2951" s="93" t="e">
        <v>#N/A</v>
      </c>
      <c r="I2951" s="105" t="s">
        <v>2310</v>
      </c>
      <c r="J2951" s="93" t="s">
        <v>189</v>
      </c>
      <c r="K2951" s="93">
        <v>474</v>
      </c>
      <c r="L2951" s="93">
        <v>474</v>
      </c>
      <c r="M2951" s="93" t="s">
        <v>2311</v>
      </c>
      <c r="N2951" s="93" t="e">
        <f>VLOOKUP(B2951,'[16]01.수집 카테고리(List)'!$A$2:$H$64,8,FALSE)</f>
        <v>#N/A</v>
      </c>
      <c r="O2951" s="93"/>
    </row>
    <row r="2952" spans="1:15" hidden="1">
      <c r="A2952" s="75" t="str">
        <f t="shared" si="110"/>
        <v>TRVATANSOUNDBARSound barsSound bars</v>
      </c>
      <c r="B2952" s="94" t="str">
        <f t="shared" si="111"/>
        <v>TR_VATAN</v>
      </c>
      <c r="C2952" s="93" t="s">
        <v>491</v>
      </c>
      <c r="D2952" s="93" t="s">
        <v>495</v>
      </c>
      <c r="E2952" s="93" t="s">
        <v>165</v>
      </c>
      <c r="F2952" s="93" t="s">
        <v>2366</v>
      </c>
      <c r="G2952" s="93" t="s">
        <v>2366</v>
      </c>
      <c r="H2952" s="93" t="e">
        <v>#N/A</v>
      </c>
      <c r="I2952" s="105" t="s">
        <v>2310</v>
      </c>
      <c r="J2952" s="93" t="s">
        <v>189</v>
      </c>
      <c r="K2952" s="93">
        <v>13</v>
      </c>
      <c r="L2952" s="93">
        <v>13</v>
      </c>
      <c r="M2952" s="93" t="s">
        <v>2311</v>
      </c>
      <c r="N2952" s="93" t="e">
        <f>VLOOKUP(B2952,'[16]01.수집 카테고리(List)'!$A$2:$H$64,8,FALSE)</f>
        <v>#N/A</v>
      </c>
      <c r="O2952" s="93"/>
    </row>
    <row r="2953" spans="1:15" hidden="1">
      <c r="A2953" s="75" t="str">
        <f t="shared" si="110"/>
        <v>TRVATANSOUNDBARSound systemSound system</v>
      </c>
      <c r="B2953" s="94" t="str">
        <f t="shared" si="111"/>
        <v>TR_VATAN</v>
      </c>
      <c r="C2953" s="93" t="s">
        <v>491</v>
      </c>
      <c r="D2953" s="93" t="s">
        <v>495</v>
      </c>
      <c r="E2953" s="93" t="s">
        <v>165</v>
      </c>
      <c r="F2953" s="93" t="s">
        <v>2359</v>
      </c>
      <c r="G2953" s="93" t="s">
        <v>2359</v>
      </c>
      <c r="H2953" s="93" t="e">
        <v>#N/A</v>
      </c>
      <c r="I2953" s="105" t="s">
        <v>2310</v>
      </c>
      <c r="J2953" s="93" t="s">
        <v>189</v>
      </c>
      <c r="K2953" s="93">
        <v>398</v>
      </c>
      <c r="L2953" s="93">
        <v>398</v>
      </c>
      <c r="M2953" s="93" t="s">
        <v>2311</v>
      </c>
      <c r="N2953" s="93" t="e">
        <f>VLOOKUP(B2953,'[16]01.수집 카테고리(List)'!$A$2:$H$64,8,FALSE)</f>
        <v>#N/A</v>
      </c>
      <c r="O2953" s="93"/>
    </row>
    <row r="2954" spans="1:15" hidden="1">
      <c r="A2954" s="75" t="str">
        <f t="shared" si="110"/>
        <v>TRVATANSOUNDBARSoundbarSoundbar</v>
      </c>
      <c r="B2954" s="94" t="str">
        <f t="shared" si="111"/>
        <v>TR_VATAN</v>
      </c>
      <c r="C2954" s="93" t="s">
        <v>491</v>
      </c>
      <c r="D2954" s="93" t="s">
        <v>495</v>
      </c>
      <c r="E2954" s="93" t="s">
        <v>165</v>
      </c>
      <c r="F2954" s="93" t="s">
        <v>2363</v>
      </c>
      <c r="G2954" s="93" t="s">
        <v>2363</v>
      </c>
      <c r="H2954" s="93" t="e">
        <v>#N/A</v>
      </c>
      <c r="I2954" s="105" t="s">
        <v>2310</v>
      </c>
      <c r="J2954" s="93" t="s">
        <v>189</v>
      </c>
      <c r="K2954" s="93">
        <v>1834</v>
      </c>
      <c r="L2954" s="93">
        <v>1834</v>
      </c>
      <c r="M2954" s="93" t="s">
        <v>2311</v>
      </c>
      <c r="N2954" s="93" t="e">
        <f>VLOOKUP(B2954,'[16]01.수집 카테고리(List)'!$A$2:$H$64,8,FALSE)</f>
        <v>#N/A</v>
      </c>
      <c r="O2954" s="93"/>
    </row>
    <row r="2955" spans="1:15" hidden="1">
      <c r="A2955" s="75" t="str">
        <f t="shared" si="110"/>
        <v>TRVATANSOUNDBARSoundbarsSoundbars</v>
      </c>
      <c r="B2955" s="94" t="str">
        <f t="shared" si="111"/>
        <v>TR_VATAN</v>
      </c>
      <c r="C2955" s="93" t="s">
        <v>491</v>
      </c>
      <c r="D2955" s="93" t="s">
        <v>495</v>
      </c>
      <c r="E2955" s="93" t="s">
        <v>165</v>
      </c>
      <c r="F2955" s="93" t="s">
        <v>2361</v>
      </c>
      <c r="G2955" s="93" t="s">
        <v>2361</v>
      </c>
      <c r="H2955" s="93" t="e">
        <v>#N/A</v>
      </c>
      <c r="I2955" s="105" t="s">
        <v>2310</v>
      </c>
      <c r="J2955" s="93" t="s">
        <v>189</v>
      </c>
      <c r="K2955" s="93">
        <v>13</v>
      </c>
      <c r="L2955" s="93">
        <v>13</v>
      </c>
      <c r="M2955" s="93" t="s">
        <v>2311</v>
      </c>
      <c r="N2955" s="93" t="e">
        <f>VLOOKUP(B2955,'[16]01.수집 카테고리(List)'!$A$2:$H$64,8,FALSE)</f>
        <v>#N/A</v>
      </c>
      <c r="O2955" s="93"/>
    </row>
    <row r="2956" spans="1:15" hidden="1">
      <c r="A2956" s="75" t="str">
        <f t="shared" si="110"/>
        <v>TRVATANTV4k TV4k TV</v>
      </c>
      <c r="B2956" s="94" t="str">
        <f t="shared" si="111"/>
        <v>TR_VATAN</v>
      </c>
      <c r="C2956" s="93" t="s">
        <v>491</v>
      </c>
      <c r="D2956" s="93" t="s">
        <v>495</v>
      </c>
      <c r="E2956" s="93" t="s">
        <v>161</v>
      </c>
      <c r="F2956" s="93" t="s">
        <v>2368</v>
      </c>
      <c r="G2956" s="93" t="s">
        <v>2368</v>
      </c>
      <c r="H2956" s="93" t="e">
        <v>#N/A</v>
      </c>
      <c r="I2956" s="105" t="s">
        <v>2310</v>
      </c>
      <c r="J2956" s="93" t="s">
        <v>189</v>
      </c>
      <c r="K2956" s="93">
        <v>2773</v>
      </c>
      <c r="L2956" s="93">
        <v>2773</v>
      </c>
      <c r="M2956" s="93" t="s">
        <v>2311</v>
      </c>
      <c r="N2956" s="93" t="e">
        <f>VLOOKUP(B2956,'[16]01.수집 카테고리(List)'!$A$2:$H$64,8,FALSE)</f>
        <v>#N/A</v>
      </c>
      <c r="O2956" s="93"/>
    </row>
    <row r="2957" spans="1:15" hidden="1">
      <c r="A2957" s="75" t="str">
        <f t="shared" si="110"/>
        <v>TRVATANTVsmart TVakıllı televizyon</v>
      </c>
      <c r="B2957" s="94" t="str">
        <f t="shared" si="111"/>
        <v>TR_VATAN</v>
      </c>
      <c r="C2957" s="93" t="s">
        <v>491</v>
      </c>
      <c r="D2957" s="93" t="s">
        <v>495</v>
      </c>
      <c r="E2957" s="93" t="s">
        <v>161</v>
      </c>
      <c r="F2957" s="93" t="s">
        <v>2371</v>
      </c>
      <c r="G2957" s="93" t="s">
        <v>3582</v>
      </c>
      <c r="H2957" s="93" t="e">
        <v>#N/A</v>
      </c>
      <c r="I2957" s="105" t="s">
        <v>2310</v>
      </c>
      <c r="J2957" s="93" t="s">
        <v>189</v>
      </c>
      <c r="K2957" s="93">
        <v>384</v>
      </c>
      <c r="L2957" s="93" t="e">
        <v>#N/A</v>
      </c>
      <c r="M2957" s="93" t="s">
        <v>2311</v>
      </c>
      <c r="N2957" s="93" t="e">
        <f>VLOOKUP(B2957,'[16]01.수집 카테고리(List)'!$A$2:$H$64,8,FALSE)</f>
        <v>#N/A</v>
      </c>
      <c r="O2957" s="93"/>
    </row>
    <row r="2958" spans="1:15" hidden="1">
      <c r="A2958" s="75" t="str">
        <f t="shared" si="110"/>
        <v>TRVATANTVoled TVoled TV</v>
      </c>
      <c r="B2958" s="94" t="str">
        <f t="shared" si="111"/>
        <v>TR_VATAN</v>
      </c>
      <c r="C2958" s="93" t="s">
        <v>491</v>
      </c>
      <c r="D2958" s="93" t="s">
        <v>495</v>
      </c>
      <c r="E2958" s="93" t="s">
        <v>161</v>
      </c>
      <c r="F2958" s="93" t="s">
        <v>2369</v>
      </c>
      <c r="G2958" s="93" t="s">
        <v>2369</v>
      </c>
      <c r="H2958" s="93" t="e">
        <v>#N/A</v>
      </c>
      <c r="I2958" s="105" t="s">
        <v>2310</v>
      </c>
      <c r="J2958" s="93" t="s">
        <v>189</v>
      </c>
      <c r="K2958" s="93">
        <v>674</v>
      </c>
      <c r="L2958" s="93">
        <v>674</v>
      </c>
      <c r="M2958" s="93" t="s">
        <v>2311</v>
      </c>
      <c r="N2958" s="93" t="e">
        <f>VLOOKUP(B2958,'[16]01.수집 카테고리(List)'!$A$2:$H$64,8,FALSE)</f>
        <v>#N/A</v>
      </c>
      <c r="O2958" s="93"/>
    </row>
    <row r="2959" spans="1:15" hidden="1">
      <c r="A2959" s="75" t="str">
        <f t="shared" si="110"/>
        <v>TRVATANTVTVtelevizyon</v>
      </c>
      <c r="B2959" s="94" t="str">
        <f t="shared" si="111"/>
        <v>TR_VATAN</v>
      </c>
      <c r="C2959" s="93" t="s">
        <v>491</v>
      </c>
      <c r="D2959" s="93" t="s">
        <v>495</v>
      </c>
      <c r="E2959" s="93" t="s">
        <v>161</v>
      </c>
      <c r="F2959" s="93" t="s">
        <v>161</v>
      </c>
      <c r="G2959" s="93" t="s">
        <v>3583</v>
      </c>
      <c r="H2959" s="93" t="e">
        <v>#N/A</v>
      </c>
      <c r="I2959" s="105" t="s">
        <v>2310</v>
      </c>
      <c r="J2959" s="93" t="s">
        <v>189</v>
      </c>
      <c r="K2959" s="93">
        <v>3204</v>
      </c>
      <c r="L2959" s="93" t="e">
        <v>#N/A</v>
      </c>
      <c r="M2959" s="93" t="s">
        <v>2311</v>
      </c>
      <c r="N2959" s="93" t="e">
        <f>VLOOKUP(B2959,'[16]01.수집 카테고리(List)'!$A$2:$H$64,8,FALSE)</f>
        <v>#N/A</v>
      </c>
      <c r="O2959" s="93"/>
    </row>
    <row r="2960" spans="1:15" hidden="1">
      <c r="A2960" s="75" t="str">
        <f t="shared" si="110"/>
        <v>TRVATANTVuhd TVuhd TV</v>
      </c>
      <c r="B2960" s="94" t="str">
        <f t="shared" si="111"/>
        <v>TR_VATAN</v>
      </c>
      <c r="C2960" s="93" t="s">
        <v>491</v>
      </c>
      <c r="D2960" s="93" t="s">
        <v>495</v>
      </c>
      <c r="E2960" s="93" t="s">
        <v>161</v>
      </c>
      <c r="F2960" s="93" t="s">
        <v>2399</v>
      </c>
      <c r="G2960" s="93" t="s">
        <v>2399</v>
      </c>
      <c r="H2960" s="93" t="e">
        <v>#N/A</v>
      </c>
      <c r="I2960" s="105" t="s">
        <v>2310</v>
      </c>
      <c r="J2960" s="93" t="s">
        <v>189</v>
      </c>
      <c r="K2960" s="93">
        <v>2181</v>
      </c>
      <c r="L2960" s="93">
        <v>2181</v>
      </c>
      <c r="M2960" s="93" t="s">
        <v>2311</v>
      </c>
      <c r="N2960" s="93" t="e">
        <f>VLOOKUP(B2960,'[16]01.수집 카테고리(List)'!$A$2:$H$64,8,FALSE)</f>
        <v>#N/A</v>
      </c>
      <c r="O2960" s="93"/>
    </row>
    <row r="2961" spans="1:15" hidden="1">
      <c r="A2961" s="75" t="str">
        <f t="shared" si="110"/>
        <v>TRVATANWashing Machinewashing machineçamaşır makinesi</v>
      </c>
      <c r="B2961" s="94" t="str">
        <f t="shared" si="111"/>
        <v>TR_VATAN</v>
      </c>
      <c r="C2961" s="93" t="s">
        <v>491</v>
      </c>
      <c r="D2961" s="93" t="s">
        <v>495</v>
      </c>
      <c r="E2961" s="93" t="s">
        <v>2333</v>
      </c>
      <c r="F2961" s="93" t="s">
        <v>2340</v>
      </c>
      <c r="G2961" s="93" t="s">
        <v>3584</v>
      </c>
      <c r="H2961" s="93" t="s">
        <v>3138</v>
      </c>
      <c r="I2961" s="105" t="s">
        <v>2310</v>
      </c>
      <c r="J2961" s="93" t="s">
        <v>189</v>
      </c>
      <c r="K2961" s="93" t="e">
        <v>#N/A</v>
      </c>
      <c r="L2961" s="93" t="e">
        <v>#N/A</v>
      </c>
      <c r="M2961" s="93" t="s">
        <v>2393</v>
      </c>
      <c r="N2961" s="93" t="e">
        <f>VLOOKUP(B2961,'[16]01.수집 카테고리(List)'!$A$2:$H$64,8,FALSE)</f>
        <v>#N/A</v>
      </c>
      <c r="O2961" s="93"/>
    </row>
    <row r="2962" spans="1:15" hidden="1">
      <c r="A2962" s="75" t="str">
        <f t="shared" si="110"/>
        <v>TRVATANWashing Machinefront loaderönden yüklemeli</v>
      </c>
      <c r="B2962" s="94" t="str">
        <f t="shared" si="111"/>
        <v>TR_VATAN</v>
      </c>
      <c r="C2962" s="93" t="s">
        <v>491</v>
      </c>
      <c r="D2962" s="93" t="s">
        <v>495</v>
      </c>
      <c r="E2962" s="93" t="s">
        <v>2333</v>
      </c>
      <c r="F2962" s="93" t="s">
        <v>2334</v>
      </c>
      <c r="G2962" s="93" t="s">
        <v>3585</v>
      </c>
      <c r="H2962" s="93" t="s">
        <v>3138</v>
      </c>
      <c r="I2962" s="105" t="s">
        <v>2310</v>
      </c>
      <c r="J2962" s="93" t="s">
        <v>189</v>
      </c>
      <c r="K2962" s="93" t="e">
        <v>#N/A</v>
      </c>
      <c r="L2962" s="93" t="e">
        <v>#N/A</v>
      </c>
      <c r="M2962" s="93" t="s">
        <v>2393</v>
      </c>
      <c r="N2962" s="93" t="e">
        <f>VLOOKUP(B2962,'[16]01.수집 카테고리(List)'!$A$2:$H$64,8,FALSE)</f>
        <v>#N/A</v>
      </c>
      <c r="O2962" s="93"/>
    </row>
    <row r="2963" spans="1:15" hidden="1">
      <c r="A2963" s="75" t="str">
        <f t="shared" si="110"/>
        <v>TRVATANWashing Machinewasher dryer comboyıkama ve kurutma</v>
      </c>
      <c r="B2963" s="94" t="str">
        <f t="shared" si="111"/>
        <v>TR_VATAN</v>
      </c>
      <c r="C2963" s="93" t="s">
        <v>491</v>
      </c>
      <c r="D2963" s="93" t="s">
        <v>495</v>
      </c>
      <c r="E2963" s="93" t="s">
        <v>2333</v>
      </c>
      <c r="F2963" s="93" t="s">
        <v>2338</v>
      </c>
      <c r="G2963" s="93" t="s">
        <v>3586</v>
      </c>
      <c r="H2963" s="93" t="s">
        <v>3138</v>
      </c>
      <c r="I2963" s="105" t="s">
        <v>2310</v>
      </c>
      <c r="J2963" s="93" t="s">
        <v>189</v>
      </c>
      <c r="K2963" s="93" t="e">
        <v>#N/A</v>
      </c>
      <c r="L2963" s="93" t="e">
        <v>#N/A</v>
      </c>
      <c r="M2963" s="93" t="s">
        <v>2393</v>
      </c>
      <c r="N2963" s="93" t="e">
        <f>VLOOKUP(B2963,'[16]01.수집 카테고리(List)'!$A$2:$H$64,8,FALSE)</f>
        <v>#N/A</v>
      </c>
      <c r="O2963" s="93"/>
    </row>
    <row r="2964" spans="1:15" hidden="1">
      <c r="A2964" s="75" t="str">
        <f t="shared" si="110"/>
        <v>TRVATANWIRELESS HEADSETBluetooth earbudsBluetooth earbuds</v>
      </c>
      <c r="B2964" s="94" t="str">
        <f t="shared" si="111"/>
        <v>TR_VATAN</v>
      </c>
      <c r="C2964" s="93" t="s">
        <v>491</v>
      </c>
      <c r="D2964" s="93" t="s">
        <v>495</v>
      </c>
      <c r="E2964" s="93" t="s">
        <v>2201</v>
      </c>
      <c r="F2964" s="93" t="s">
        <v>2382</v>
      </c>
      <c r="G2964" s="93" t="s">
        <v>2382</v>
      </c>
      <c r="H2964" s="93" t="e">
        <v>#N/A</v>
      </c>
      <c r="I2964" s="105" t="s">
        <v>2310</v>
      </c>
      <c r="J2964" s="93" t="s">
        <v>189</v>
      </c>
      <c r="K2964" s="93">
        <v>18</v>
      </c>
      <c r="L2964" s="93">
        <v>18</v>
      </c>
      <c r="M2964" s="93" t="s">
        <v>2311</v>
      </c>
      <c r="N2964" s="93" t="e">
        <f>VLOOKUP(B2964,'[16]01.수집 카테고리(List)'!$A$2:$H$64,8,FALSE)</f>
        <v>#N/A</v>
      </c>
      <c r="O2964" s="93"/>
    </row>
    <row r="2965" spans="1:15" hidden="1">
      <c r="A2965" s="75" t="str">
        <f t="shared" si="110"/>
        <v>TRVATANWIRELESS HEADSETEar budsEar buds</v>
      </c>
      <c r="B2965" s="94" t="str">
        <f t="shared" si="111"/>
        <v>TR_VATAN</v>
      </c>
      <c r="C2965" s="93" t="s">
        <v>491</v>
      </c>
      <c r="D2965" s="93" t="s">
        <v>495</v>
      </c>
      <c r="E2965" s="93" t="s">
        <v>2201</v>
      </c>
      <c r="F2965" s="93" t="s">
        <v>2380</v>
      </c>
      <c r="G2965" s="93" t="s">
        <v>2380</v>
      </c>
      <c r="H2965" s="93" t="e">
        <v>#N/A</v>
      </c>
      <c r="I2965" s="105" t="s">
        <v>2310</v>
      </c>
      <c r="J2965" s="93" t="s">
        <v>189</v>
      </c>
      <c r="K2965" s="93">
        <v>270</v>
      </c>
      <c r="L2965" s="93">
        <v>270</v>
      </c>
      <c r="M2965" s="93" t="s">
        <v>2311</v>
      </c>
      <c r="N2965" s="93" t="e">
        <f>VLOOKUP(B2965,'[16]01.수집 카테고리(List)'!$A$2:$H$64,8,FALSE)</f>
        <v>#N/A</v>
      </c>
      <c r="O2965" s="93"/>
    </row>
    <row r="2966" spans="1:15" hidden="1">
      <c r="A2966" s="75" t="str">
        <f t="shared" si="110"/>
        <v>TRVATANWIRELESS HEADSETNoise cancelling earbudsNoise cancelling earbuds</v>
      </c>
      <c r="B2966" s="94" t="str">
        <f t="shared" si="111"/>
        <v>TR_VATAN</v>
      </c>
      <c r="C2966" s="93" t="s">
        <v>491</v>
      </c>
      <c r="D2966" s="93" t="s">
        <v>495</v>
      </c>
      <c r="E2966" s="93" t="s">
        <v>2201</v>
      </c>
      <c r="F2966" s="93" t="s">
        <v>2378</v>
      </c>
      <c r="G2966" s="93" t="s">
        <v>2378</v>
      </c>
      <c r="H2966" s="93" t="s">
        <v>3138</v>
      </c>
      <c r="I2966" s="105" t="s">
        <v>2310</v>
      </c>
      <c r="J2966" s="93" t="s">
        <v>189</v>
      </c>
      <c r="K2966" s="93" t="e">
        <v>#N/A</v>
      </c>
      <c r="L2966" s="93" t="e">
        <v>#N/A</v>
      </c>
      <c r="M2966" s="93" t="s">
        <v>2393</v>
      </c>
      <c r="N2966" s="93" t="e">
        <f>VLOOKUP(B2966,'[16]01.수집 카테고리(List)'!$A$2:$H$64,8,FALSE)</f>
        <v>#N/A</v>
      </c>
      <c r="O2966" s="93"/>
    </row>
    <row r="2967" spans="1:15" hidden="1">
      <c r="A2967" s="75" t="str">
        <f t="shared" si="110"/>
        <v>TRVATANWIRELESS HEADSETTrue wireless earbudsTrue wireless earbuds</v>
      </c>
      <c r="B2967" s="94" t="str">
        <f t="shared" si="111"/>
        <v>TR_VATAN</v>
      </c>
      <c r="C2967" s="93" t="s">
        <v>491</v>
      </c>
      <c r="D2967" s="93" t="s">
        <v>495</v>
      </c>
      <c r="E2967" s="93" t="s">
        <v>2201</v>
      </c>
      <c r="F2967" s="93" t="s">
        <v>2374</v>
      </c>
      <c r="G2967" s="93" t="s">
        <v>2374</v>
      </c>
      <c r="H2967" s="93" t="e">
        <v>#N/A</v>
      </c>
      <c r="I2967" s="105" t="s">
        <v>2310</v>
      </c>
      <c r="J2967" s="93" t="s">
        <v>189</v>
      </c>
      <c r="K2967" s="93">
        <v>15</v>
      </c>
      <c r="L2967" s="93">
        <v>15</v>
      </c>
      <c r="M2967" s="93" t="s">
        <v>2311</v>
      </c>
      <c r="N2967" s="93" t="e">
        <f>VLOOKUP(B2967,'[16]01.수집 카테고리(List)'!$A$2:$H$64,8,FALSE)</f>
        <v>#N/A</v>
      </c>
      <c r="O2967" s="93"/>
    </row>
    <row r="2968" spans="1:15" hidden="1">
      <c r="A2968" s="75" t="str">
        <f t="shared" si="110"/>
        <v>TRVATANWIRELESS HEADSETWireless earbudsWireless earbuds</v>
      </c>
      <c r="B2968" s="94" t="str">
        <f t="shared" si="111"/>
        <v>TR_VATAN</v>
      </c>
      <c r="C2968" s="93" t="s">
        <v>491</v>
      </c>
      <c r="D2968" s="93" t="s">
        <v>495</v>
      </c>
      <c r="E2968" s="93" t="s">
        <v>2201</v>
      </c>
      <c r="F2968" s="93" t="s">
        <v>2376</v>
      </c>
      <c r="G2968" s="93" t="s">
        <v>2376</v>
      </c>
      <c r="H2968" s="93" t="e">
        <v>#N/A</v>
      </c>
      <c r="I2968" s="105" t="s">
        <v>2310</v>
      </c>
      <c r="J2968" s="93" t="s">
        <v>189</v>
      </c>
      <c r="K2968" s="93">
        <v>160</v>
      </c>
      <c r="L2968" s="93">
        <v>160</v>
      </c>
      <c r="M2968" s="93" t="s">
        <v>2311</v>
      </c>
      <c r="N2968" s="93" t="e">
        <f>VLOOKUP(B2968,'[16]01.수집 카테고리(List)'!$A$2:$H$64,8,FALSE)</f>
        <v>#N/A</v>
      </c>
      <c r="O2968" s="93"/>
    </row>
    <row r="2969" spans="1:15" hidden="1">
      <c r="A2969" s="75" t="str">
        <f t="shared" si="110"/>
        <v>TWMOMOSHOPAir cleanerAir Purifier空氣淨化器</v>
      </c>
      <c r="B2969" s="94" t="str">
        <f t="shared" si="111"/>
        <v>TW_MOMOSHOP</v>
      </c>
      <c r="C2969" s="93" t="s">
        <v>218</v>
      </c>
      <c r="D2969" s="93" t="s">
        <v>219</v>
      </c>
      <c r="E2969" s="93" t="s">
        <v>2341</v>
      </c>
      <c r="F2969" s="93" t="s">
        <v>2343</v>
      </c>
      <c r="G2969" s="93" t="s">
        <v>3593</v>
      </c>
      <c r="H2969" s="93" t="e">
        <v>#N/A</v>
      </c>
      <c r="I2969" s="105" t="s">
        <v>2310</v>
      </c>
      <c r="J2969" s="93" t="s">
        <v>189</v>
      </c>
      <c r="K2969" s="93">
        <v>731</v>
      </c>
      <c r="L2969" s="93" t="e">
        <v>#N/A</v>
      </c>
      <c r="M2969" s="93" t="s">
        <v>2311</v>
      </c>
      <c r="N2969" s="93">
        <f>VLOOKUP(B2969,'[16]01.수집 카테고리(List)'!$A$2:$H$64,8,FALSE)</f>
        <v>99991231</v>
      </c>
      <c r="O2969" s="93" t="s">
        <v>646</v>
      </c>
    </row>
    <row r="2970" spans="1:15" hidden="1">
      <c r="A2970" s="75" t="str">
        <f t="shared" si="110"/>
        <v>TWMOMOSHOPAir cleanerAir Cleaner空氣淨化器</v>
      </c>
      <c r="B2970" s="94" t="str">
        <f t="shared" si="111"/>
        <v>TW_MOMOSHOP</v>
      </c>
      <c r="C2970" s="93" t="s">
        <v>218</v>
      </c>
      <c r="D2970" s="93" t="s">
        <v>219</v>
      </c>
      <c r="E2970" s="93" t="s">
        <v>2341</v>
      </c>
      <c r="F2970" s="93" t="s">
        <v>2342</v>
      </c>
      <c r="G2970" s="93" t="s">
        <v>3593</v>
      </c>
      <c r="H2970" s="93" t="e">
        <v>#N/A</v>
      </c>
      <c r="I2970" s="105" t="s">
        <v>2310</v>
      </c>
      <c r="J2970" s="93" t="s">
        <v>189</v>
      </c>
      <c r="K2970" s="93">
        <v>731</v>
      </c>
      <c r="L2970" s="93" t="e">
        <v>#N/A</v>
      </c>
      <c r="M2970" s="93" t="s">
        <v>2311</v>
      </c>
      <c r="N2970" s="93">
        <f>VLOOKUP(B2970,'[16]01.수집 카테고리(List)'!$A$2:$H$64,8,FALSE)</f>
        <v>99991231</v>
      </c>
      <c r="O2970" s="93" t="s">
        <v>646</v>
      </c>
    </row>
    <row r="2971" spans="1:15" hidden="1">
      <c r="A2971" s="75" t="str">
        <f t="shared" ref="A2971:A3034" si="112">C2971&amp;D2971&amp;E2971&amp;F2971&amp;G2971</f>
        <v>TWMOMOSHOPAir cleanerAir Treatment空氣處理</v>
      </c>
      <c r="B2971" s="94" t="str">
        <f t="shared" ref="B2971:B3034" si="113">C2971&amp;"_"&amp;D2971</f>
        <v>TW_MOMOSHOP</v>
      </c>
      <c r="C2971" s="93" t="s">
        <v>218</v>
      </c>
      <c r="D2971" s="93" t="s">
        <v>219</v>
      </c>
      <c r="E2971" s="93" t="s">
        <v>2341</v>
      </c>
      <c r="F2971" s="93" t="s">
        <v>2345</v>
      </c>
      <c r="G2971" s="93" t="s">
        <v>3594</v>
      </c>
      <c r="H2971" s="93" t="e">
        <v>#N/A</v>
      </c>
      <c r="I2971" s="105" t="s">
        <v>2310</v>
      </c>
      <c r="J2971" s="93" t="s">
        <v>189</v>
      </c>
      <c r="K2971" s="93">
        <v>44</v>
      </c>
      <c r="L2971" s="93" t="e">
        <v>#N/A</v>
      </c>
      <c r="M2971" s="93" t="s">
        <v>2311</v>
      </c>
      <c r="N2971" s="93">
        <f>VLOOKUP(B2971,'[16]01.수집 카테고리(List)'!$A$2:$H$64,8,FALSE)</f>
        <v>99991231</v>
      </c>
      <c r="O2971" s="93" t="s">
        <v>646</v>
      </c>
    </row>
    <row r="2972" spans="1:15" ht="17.399999999999999" hidden="1">
      <c r="A2972" s="75" t="str">
        <f t="shared" si="112"/>
        <v>TWMOMOSHOPBluetooth Speakerportable bluetooth speaker可攜式藍牙喇叭</v>
      </c>
      <c r="B2972" s="94" t="str">
        <f t="shared" si="113"/>
        <v>TW_MOMOSHOP</v>
      </c>
      <c r="C2972" s="93" t="s">
        <v>218</v>
      </c>
      <c r="D2972" s="93" t="s">
        <v>219</v>
      </c>
      <c r="E2972" s="93" t="s">
        <v>2307</v>
      </c>
      <c r="F2972" s="93" t="s">
        <v>3070</v>
      </c>
      <c r="G2972" s="93" t="s">
        <v>3595</v>
      </c>
      <c r="H2972" s="93" t="e">
        <v>#N/A</v>
      </c>
      <c r="I2972" s="105" t="s">
        <v>2310</v>
      </c>
      <c r="J2972" s="93" t="s">
        <v>189</v>
      </c>
      <c r="K2972" s="93">
        <v>319</v>
      </c>
      <c r="L2972" s="93" t="e">
        <v>#N/A</v>
      </c>
      <c r="M2972" s="93" t="s">
        <v>2311</v>
      </c>
      <c r="N2972" s="93">
        <f>VLOOKUP(B2972,'[16]01.수집 카테고리(List)'!$A$2:$H$64,8,FALSE)</f>
        <v>99991231</v>
      </c>
      <c r="O2972" s="93" t="s">
        <v>646</v>
      </c>
    </row>
    <row r="2973" spans="1:15" hidden="1">
      <c r="A2973" s="75" t="str">
        <f t="shared" si="112"/>
        <v>TWMOMOSHOPBluetooth Speakerbluetooth speaker藍牙喇叭</v>
      </c>
      <c r="B2973" s="94" t="str">
        <f t="shared" si="113"/>
        <v>TW_MOMOSHOP</v>
      </c>
      <c r="C2973" s="93" t="s">
        <v>218</v>
      </c>
      <c r="D2973" s="93" t="s">
        <v>219</v>
      </c>
      <c r="E2973" s="93" t="s">
        <v>2307</v>
      </c>
      <c r="F2973" s="93" t="s">
        <v>2657</v>
      </c>
      <c r="G2973" s="93" t="s">
        <v>2873</v>
      </c>
      <c r="H2973" s="93" t="e">
        <v>#N/A</v>
      </c>
      <c r="I2973" s="105" t="s">
        <v>2310</v>
      </c>
      <c r="J2973" s="93" t="s">
        <v>189</v>
      </c>
      <c r="K2973" s="93">
        <v>2065</v>
      </c>
      <c r="L2973" s="93" t="e">
        <v>#N/A</v>
      </c>
      <c r="M2973" s="93" t="s">
        <v>2311</v>
      </c>
      <c r="N2973" s="93">
        <f>VLOOKUP(B2973,'[16]01.수집 카테고리(List)'!$A$2:$H$64,8,FALSE)</f>
        <v>99991231</v>
      </c>
      <c r="O2973" s="93" t="s">
        <v>646</v>
      </c>
    </row>
    <row r="2974" spans="1:15" hidden="1">
      <c r="A2974" s="75" t="str">
        <f t="shared" si="112"/>
        <v>TWMOMOSHOPCordless stick vacuumcordless vacuum無線吸塵器</v>
      </c>
      <c r="B2974" s="94" t="str">
        <f t="shared" si="113"/>
        <v>TW_MOMOSHOP</v>
      </c>
      <c r="C2974" s="93" t="s">
        <v>218</v>
      </c>
      <c r="D2974" s="93" t="s">
        <v>219</v>
      </c>
      <c r="E2974" s="93" t="s">
        <v>2435</v>
      </c>
      <c r="F2974" s="93" t="s">
        <v>3596</v>
      </c>
      <c r="G2974" s="93" t="s">
        <v>3597</v>
      </c>
      <c r="H2974" s="93" t="e">
        <v>#N/A</v>
      </c>
      <c r="I2974" s="105" t="s">
        <v>2310</v>
      </c>
      <c r="J2974" s="93" t="s">
        <v>189</v>
      </c>
      <c r="K2974" s="93">
        <v>1996</v>
      </c>
      <c r="L2974" s="93" t="e">
        <v>#N/A</v>
      </c>
      <c r="M2974" s="93" t="s">
        <v>2311</v>
      </c>
      <c r="N2974" s="93">
        <f>VLOOKUP(B2974,'[16]01.수집 카테고리(List)'!$A$2:$H$64,8,FALSE)</f>
        <v>99991231</v>
      </c>
      <c r="O2974" s="93" t="s">
        <v>646</v>
      </c>
    </row>
    <row r="2975" spans="1:15" hidden="1">
      <c r="A2975" s="75" t="str">
        <f t="shared" si="112"/>
        <v>TWMOMOSHOPCordless stick vacuumcordless vacuum cleaner無線吸塵器</v>
      </c>
      <c r="B2975" s="94" t="str">
        <f t="shared" si="113"/>
        <v>TW_MOMOSHOP</v>
      </c>
      <c r="C2975" s="93" t="s">
        <v>218</v>
      </c>
      <c r="D2975" s="93" t="s">
        <v>219</v>
      </c>
      <c r="E2975" s="93" t="s">
        <v>2435</v>
      </c>
      <c r="F2975" s="93" t="s">
        <v>3361</v>
      </c>
      <c r="G2975" s="93" t="s">
        <v>3597</v>
      </c>
      <c r="H2975" s="93" t="e">
        <v>#N/A</v>
      </c>
      <c r="I2975" s="105" t="s">
        <v>2310</v>
      </c>
      <c r="J2975" s="93" t="s">
        <v>189</v>
      </c>
      <c r="K2975" s="93">
        <v>1996</v>
      </c>
      <c r="L2975" s="93" t="e">
        <v>#N/A</v>
      </c>
      <c r="M2975" s="93" t="s">
        <v>2311</v>
      </c>
      <c r="N2975" s="93">
        <f>VLOOKUP(B2975,'[16]01.수집 카테고리(List)'!$A$2:$H$64,8,FALSE)</f>
        <v>99991231</v>
      </c>
      <c r="O2975" s="93" t="s">
        <v>646</v>
      </c>
    </row>
    <row r="2976" spans="1:15" hidden="1">
      <c r="A2976" s="75" t="str">
        <f t="shared" si="112"/>
        <v>TWMOMOSHOPCordless stick vacuumhandstick Vacuum手持吸塵器</v>
      </c>
      <c r="B2976" s="94" t="str">
        <f t="shared" si="113"/>
        <v>TW_MOMOSHOP</v>
      </c>
      <c r="C2976" s="93" t="s">
        <v>218</v>
      </c>
      <c r="D2976" s="93" t="s">
        <v>219</v>
      </c>
      <c r="E2976" s="93" t="s">
        <v>2435</v>
      </c>
      <c r="F2976" s="93" t="s">
        <v>2437</v>
      </c>
      <c r="G2976" s="93" t="s">
        <v>3598</v>
      </c>
      <c r="H2976" s="93" t="e">
        <v>#N/A</v>
      </c>
      <c r="I2976" s="105" t="s">
        <v>2310</v>
      </c>
      <c r="J2976" s="93" t="s">
        <v>189</v>
      </c>
      <c r="K2976" s="93">
        <v>1264</v>
      </c>
      <c r="L2976" s="93" t="e">
        <v>#N/A</v>
      </c>
      <c r="M2976" s="93" t="s">
        <v>2311</v>
      </c>
      <c r="N2976" s="93">
        <f>VLOOKUP(B2976,'[16]01.수집 카테고리(List)'!$A$2:$H$64,8,FALSE)</f>
        <v>99991231</v>
      </c>
      <c r="O2976" s="93" t="s">
        <v>646</v>
      </c>
    </row>
    <row r="2977" spans="1:15" hidden="1">
      <c r="A2977" s="75" t="str">
        <f t="shared" si="112"/>
        <v>TWMOMOSHOPCordless stick vacuumstick vacuum cleaner直立無線手持吸塵器</v>
      </c>
      <c r="B2977" s="94" t="str">
        <f t="shared" si="113"/>
        <v>TW_MOMOSHOP</v>
      </c>
      <c r="C2977" s="93" t="s">
        <v>218</v>
      </c>
      <c r="D2977" s="93" t="s">
        <v>219</v>
      </c>
      <c r="E2977" s="93" t="s">
        <v>2435</v>
      </c>
      <c r="F2977" s="93" t="s">
        <v>2439</v>
      </c>
      <c r="G2977" s="93" t="s">
        <v>3599</v>
      </c>
      <c r="H2977" s="93" t="e">
        <v>#N/A</v>
      </c>
      <c r="I2977" s="105" t="s">
        <v>2310</v>
      </c>
      <c r="J2977" s="93" t="s">
        <v>189</v>
      </c>
      <c r="K2977" s="93">
        <v>99</v>
      </c>
      <c r="L2977" s="93" t="e">
        <v>#N/A</v>
      </c>
      <c r="M2977" s="93" t="s">
        <v>2311</v>
      </c>
      <c r="N2977" s="93">
        <f>VLOOKUP(B2977,'[16]01.수집 카테고리(List)'!$A$2:$H$64,8,FALSE)</f>
        <v>99991231</v>
      </c>
      <c r="O2977" s="93" t="s">
        <v>646</v>
      </c>
    </row>
    <row r="2978" spans="1:15" hidden="1">
      <c r="A2978" s="75" t="str">
        <f t="shared" si="112"/>
        <v>TWMOMOSHOPDryerLG DryerLG 乾衣機</v>
      </c>
      <c r="B2978" s="94" t="str">
        <f t="shared" si="113"/>
        <v>TW_MOMOSHOP</v>
      </c>
      <c r="C2978" s="93" t="s">
        <v>218</v>
      </c>
      <c r="D2978" s="93" t="s">
        <v>219</v>
      </c>
      <c r="E2978" s="93" t="s">
        <v>2431</v>
      </c>
      <c r="F2978" s="93" t="s">
        <v>2434</v>
      </c>
      <c r="G2978" s="93" t="s">
        <v>3600</v>
      </c>
      <c r="H2978" s="93" t="e">
        <v>#N/A</v>
      </c>
      <c r="I2978" s="105" t="s">
        <v>2310</v>
      </c>
      <c r="J2978" s="93" t="s">
        <v>189</v>
      </c>
      <c r="K2978" s="93">
        <v>47</v>
      </c>
      <c r="L2978" s="93" t="e">
        <v>#N/A</v>
      </c>
      <c r="M2978" s="93" t="s">
        <v>2311</v>
      </c>
      <c r="N2978" s="93">
        <f>VLOOKUP(B2978,'[16]01.수집 카테고리(List)'!$A$2:$H$64,8,FALSE)</f>
        <v>99991231</v>
      </c>
      <c r="O2978" s="93" t="s">
        <v>646</v>
      </c>
    </row>
    <row r="2979" spans="1:15" ht="17.399999999999999" hidden="1">
      <c r="A2979" s="75" t="str">
        <f t="shared" si="112"/>
        <v>TWMOMOSHOPDryerLG heatPumpLG熱泵</v>
      </c>
      <c r="B2979" s="94" t="str">
        <f t="shared" si="113"/>
        <v>TW_MOMOSHOP</v>
      </c>
      <c r="C2979" s="93" t="s">
        <v>218</v>
      </c>
      <c r="D2979" s="93" t="s">
        <v>219</v>
      </c>
      <c r="E2979" s="93" t="s">
        <v>2431</v>
      </c>
      <c r="F2979" s="93" t="s">
        <v>3601</v>
      </c>
      <c r="G2979" s="93" t="s">
        <v>3602</v>
      </c>
      <c r="H2979" s="93" t="e">
        <v>#N/A</v>
      </c>
      <c r="I2979" s="105" t="s">
        <v>2310</v>
      </c>
      <c r="J2979" s="93" t="s">
        <v>189</v>
      </c>
      <c r="K2979" s="93">
        <v>104</v>
      </c>
      <c r="L2979" s="93" t="e">
        <v>#N/A</v>
      </c>
      <c r="M2979" s="93" t="s">
        <v>2311</v>
      </c>
      <c r="N2979" s="93">
        <f>VLOOKUP(B2979,'[16]01.수집 카테고리(List)'!$A$2:$H$64,8,FALSE)</f>
        <v>99991231</v>
      </c>
      <c r="O2979" s="93" t="s">
        <v>646</v>
      </c>
    </row>
    <row r="2980" spans="1:15" hidden="1">
      <c r="A2980" s="75" t="str">
        <f t="shared" si="112"/>
        <v>TWMOMOSHOPDryerDual Inverter雙逆變器</v>
      </c>
      <c r="B2980" s="94" t="str">
        <f t="shared" si="113"/>
        <v>TW_MOMOSHOP</v>
      </c>
      <c r="C2980" s="93" t="s">
        <v>218</v>
      </c>
      <c r="D2980" s="93" t="s">
        <v>219</v>
      </c>
      <c r="E2980" s="93" t="s">
        <v>2431</v>
      </c>
      <c r="F2980" s="93" t="s">
        <v>3603</v>
      </c>
      <c r="G2980" s="93" t="s">
        <v>3604</v>
      </c>
      <c r="H2980" s="93" t="e">
        <v>#N/A</v>
      </c>
      <c r="I2980" s="105" t="s">
        <v>2310</v>
      </c>
      <c r="J2980" s="93" t="s">
        <v>189</v>
      </c>
      <c r="K2980" s="93">
        <v>4</v>
      </c>
      <c r="L2980" s="93" t="e">
        <v>#N/A</v>
      </c>
      <c r="M2980" s="93" t="s">
        <v>2311</v>
      </c>
      <c r="N2980" s="93">
        <f>VLOOKUP(B2980,'[16]01.수집 카테고리(List)'!$A$2:$H$64,8,FALSE)</f>
        <v>99991231</v>
      </c>
      <c r="O2980" s="93" t="s">
        <v>646</v>
      </c>
    </row>
    <row r="2981" spans="1:15" ht="17.399999999999999" hidden="1">
      <c r="A2981" s="75" t="str">
        <f t="shared" si="112"/>
        <v>TWMOMOSHOPDryerHeatPump熱泵</v>
      </c>
      <c r="B2981" s="94" t="str">
        <f t="shared" si="113"/>
        <v>TW_MOMOSHOP</v>
      </c>
      <c r="C2981" s="93" t="s">
        <v>218</v>
      </c>
      <c r="D2981" s="93" t="s">
        <v>219</v>
      </c>
      <c r="E2981" s="93" t="s">
        <v>2431</v>
      </c>
      <c r="F2981" s="93" t="s">
        <v>3605</v>
      </c>
      <c r="G2981" s="93" t="s">
        <v>3606</v>
      </c>
      <c r="H2981" s="93" t="e">
        <v>#N/A</v>
      </c>
      <c r="I2981" s="105" t="s">
        <v>2310</v>
      </c>
      <c r="J2981" s="93" t="s">
        <v>189</v>
      </c>
      <c r="K2981" s="93">
        <v>162</v>
      </c>
      <c r="L2981" s="93" t="e">
        <v>#N/A</v>
      </c>
      <c r="M2981" s="93" t="s">
        <v>2311</v>
      </c>
      <c r="N2981" s="93">
        <f>VLOOKUP(B2981,'[16]01.수집 카테고리(List)'!$A$2:$H$64,8,FALSE)</f>
        <v>99991231</v>
      </c>
      <c r="O2981" s="93" t="s">
        <v>646</v>
      </c>
    </row>
    <row r="2982" spans="1:15" ht="17.399999999999999" hidden="1">
      <c r="A2982" s="75" t="str">
        <f t="shared" si="112"/>
        <v>TWMOMOSHOPDryerHeatpump Dryer熱泵乾衣機</v>
      </c>
      <c r="B2982" s="94" t="str">
        <f t="shared" si="113"/>
        <v>TW_MOMOSHOP</v>
      </c>
      <c r="C2982" s="93" t="s">
        <v>218</v>
      </c>
      <c r="D2982" s="93" t="s">
        <v>219</v>
      </c>
      <c r="E2982" s="93" t="s">
        <v>2431</v>
      </c>
      <c r="F2982" s="93" t="s">
        <v>3607</v>
      </c>
      <c r="G2982" s="93" t="s">
        <v>3608</v>
      </c>
      <c r="H2982" s="93" t="e">
        <v>#N/A</v>
      </c>
      <c r="I2982" s="105" t="s">
        <v>2310</v>
      </c>
      <c r="J2982" s="93" t="s">
        <v>189</v>
      </c>
      <c r="K2982" s="93">
        <v>31</v>
      </c>
      <c r="L2982" s="93" t="e">
        <v>#N/A</v>
      </c>
      <c r="M2982" s="93" t="s">
        <v>2311</v>
      </c>
      <c r="N2982" s="93">
        <f>VLOOKUP(B2982,'[16]01.수집 카테고리(List)'!$A$2:$H$64,8,FALSE)</f>
        <v>99991231</v>
      </c>
      <c r="O2982" s="93" t="s">
        <v>646</v>
      </c>
    </row>
    <row r="2983" spans="1:15" hidden="1">
      <c r="A2983" s="75" t="str">
        <f t="shared" si="112"/>
        <v>TWMOMOSHOPDryerUltimate Laundry終極洗衣</v>
      </c>
      <c r="B2983" s="94" t="str">
        <f t="shared" si="113"/>
        <v>TW_MOMOSHOP</v>
      </c>
      <c r="C2983" s="93" t="s">
        <v>218</v>
      </c>
      <c r="D2983" s="93" t="s">
        <v>219</v>
      </c>
      <c r="E2983" s="93" t="s">
        <v>2431</v>
      </c>
      <c r="F2983" s="93" t="s">
        <v>3609</v>
      </c>
      <c r="G2983" s="93" t="s">
        <v>3610</v>
      </c>
      <c r="H2983" s="93" t="e">
        <v>#N/A</v>
      </c>
      <c r="I2983" s="105" t="s">
        <v>2310</v>
      </c>
      <c r="J2983" s="93" t="s">
        <v>189</v>
      </c>
      <c r="K2983" s="93">
        <v>26</v>
      </c>
      <c r="L2983" s="93" t="e">
        <v>#N/A</v>
      </c>
      <c r="M2983" s="93" t="s">
        <v>2311</v>
      </c>
      <c r="N2983" s="93">
        <f>VLOOKUP(B2983,'[16]01.수집 카테고리(List)'!$A$2:$H$64,8,FALSE)</f>
        <v>99991231</v>
      </c>
      <c r="O2983" s="93" t="s">
        <v>646</v>
      </c>
    </row>
    <row r="2984" spans="1:15" hidden="1">
      <c r="A2984" s="75" t="str">
        <f t="shared" si="112"/>
        <v>TWMOMOSHOPLaptop15inch Laptop15吋筆記型電腦</v>
      </c>
      <c r="B2984" s="94" t="str">
        <f t="shared" si="113"/>
        <v>TW_MOMOSHOP</v>
      </c>
      <c r="C2984" s="93" t="s">
        <v>218</v>
      </c>
      <c r="D2984" s="93" t="s">
        <v>219</v>
      </c>
      <c r="E2984" s="93" t="s">
        <v>2407</v>
      </c>
      <c r="F2984" s="93" t="s">
        <v>2408</v>
      </c>
      <c r="G2984" s="93" t="s">
        <v>3611</v>
      </c>
      <c r="H2984" s="93" t="e">
        <v>#N/A</v>
      </c>
      <c r="I2984" s="105" t="s">
        <v>2310</v>
      </c>
      <c r="J2984" s="93" t="s">
        <v>189</v>
      </c>
      <c r="K2984" s="93">
        <v>3520</v>
      </c>
      <c r="L2984" s="93" t="e">
        <v>#N/A</v>
      </c>
      <c r="M2984" s="93" t="s">
        <v>2311</v>
      </c>
      <c r="N2984" s="93">
        <f>VLOOKUP(B2984,'[16]01.수집 카테고리(List)'!$A$2:$H$64,8,FALSE)</f>
        <v>99991231</v>
      </c>
      <c r="O2984" s="93" t="s">
        <v>646</v>
      </c>
    </row>
    <row r="2985" spans="1:15" hidden="1">
      <c r="A2985" s="75" t="str">
        <f t="shared" si="112"/>
        <v>TWMOMOSHOPLaptop17inch Laptop17吋筆記型電腦</v>
      </c>
      <c r="B2985" s="94" t="str">
        <f t="shared" si="113"/>
        <v>TW_MOMOSHOP</v>
      </c>
      <c r="C2985" s="93" t="s">
        <v>218</v>
      </c>
      <c r="D2985" s="93" t="s">
        <v>219</v>
      </c>
      <c r="E2985" s="93" t="s">
        <v>2407</v>
      </c>
      <c r="F2985" s="93" t="s">
        <v>2409</v>
      </c>
      <c r="G2985" s="93" t="s">
        <v>3612</v>
      </c>
      <c r="H2985" s="93" t="e">
        <v>#N/A</v>
      </c>
      <c r="I2985" s="105" t="s">
        <v>2310</v>
      </c>
      <c r="J2985" s="93" t="s">
        <v>189</v>
      </c>
      <c r="K2985" s="93">
        <v>1005</v>
      </c>
      <c r="L2985" s="93" t="e">
        <v>#N/A</v>
      </c>
      <c r="M2985" s="93" t="s">
        <v>2311</v>
      </c>
      <c r="N2985" s="93">
        <f>VLOOKUP(B2985,'[16]01.수집 카테고리(List)'!$A$2:$H$64,8,FALSE)</f>
        <v>99991231</v>
      </c>
      <c r="O2985" s="93" t="s">
        <v>646</v>
      </c>
    </row>
    <row r="2986" spans="1:15" hidden="1">
      <c r="A2986" s="75" t="str">
        <f t="shared" si="112"/>
        <v>TWMOMOSHOPLaptopi7 laptopi7 筆記型電腦</v>
      </c>
      <c r="B2986" s="94" t="str">
        <f t="shared" si="113"/>
        <v>TW_MOMOSHOP</v>
      </c>
      <c r="C2986" s="93" t="s">
        <v>218</v>
      </c>
      <c r="D2986" s="93" t="s">
        <v>219</v>
      </c>
      <c r="E2986" s="93" t="s">
        <v>2407</v>
      </c>
      <c r="F2986" s="93" t="s">
        <v>2410</v>
      </c>
      <c r="G2986" s="93" t="s">
        <v>3613</v>
      </c>
      <c r="H2986" s="93" t="e">
        <v>#N/A</v>
      </c>
      <c r="I2986" s="105" t="s">
        <v>2310</v>
      </c>
      <c r="J2986" s="93" t="s">
        <v>189</v>
      </c>
      <c r="K2986" s="93">
        <v>3332</v>
      </c>
      <c r="L2986" s="93" t="e">
        <v>#N/A</v>
      </c>
      <c r="M2986" s="93" t="s">
        <v>2311</v>
      </c>
      <c r="N2986" s="93">
        <f>VLOOKUP(B2986,'[16]01.수집 카테고리(List)'!$A$2:$H$64,8,FALSE)</f>
        <v>99991231</v>
      </c>
      <c r="O2986" s="93" t="s">
        <v>646</v>
      </c>
    </row>
    <row r="2987" spans="1:15" hidden="1">
      <c r="A2987" s="75" t="str">
        <f t="shared" si="112"/>
        <v>TWMOMOSHOPLaptopLightweight Laptop輕薄筆記型電腦</v>
      </c>
      <c r="B2987" s="94" t="str">
        <f t="shared" si="113"/>
        <v>TW_MOMOSHOP</v>
      </c>
      <c r="C2987" s="93" t="s">
        <v>218</v>
      </c>
      <c r="D2987" s="93" t="s">
        <v>219</v>
      </c>
      <c r="E2987" s="93" t="s">
        <v>2407</v>
      </c>
      <c r="F2987" s="93" t="s">
        <v>2411</v>
      </c>
      <c r="G2987" s="93" t="s">
        <v>3614</v>
      </c>
      <c r="H2987" s="93" t="e">
        <v>#N/A</v>
      </c>
      <c r="I2987" s="105" t="s">
        <v>2310</v>
      </c>
      <c r="J2987" s="93" t="s">
        <v>189</v>
      </c>
      <c r="K2987" s="93">
        <v>4786</v>
      </c>
      <c r="L2987" s="93" t="e">
        <v>#N/A</v>
      </c>
      <c r="M2987" s="93" t="s">
        <v>2311</v>
      </c>
      <c r="N2987" s="93">
        <f>VLOOKUP(B2987,'[16]01.수집 카테고리(List)'!$A$2:$H$64,8,FALSE)</f>
        <v>99991231</v>
      </c>
      <c r="O2987" s="93" t="s">
        <v>646</v>
      </c>
    </row>
    <row r="2988" spans="1:15" hidden="1">
      <c r="A2988" s="75" t="str">
        <f t="shared" si="112"/>
        <v>TWMOMOSHOPLaptopLaptop筆記型電腦</v>
      </c>
      <c r="B2988" s="94" t="str">
        <f t="shared" si="113"/>
        <v>TW_MOMOSHOP</v>
      </c>
      <c r="C2988" s="93" t="s">
        <v>218</v>
      </c>
      <c r="D2988" s="93" t="s">
        <v>219</v>
      </c>
      <c r="E2988" s="93" t="s">
        <v>2407</v>
      </c>
      <c r="F2988" s="93" t="s">
        <v>2407</v>
      </c>
      <c r="G2988" s="93" t="s">
        <v>3615</v>
      </c>
      <c r="H2988" s="93" t="e">
        <v>#N/A</v>
      </c>
      <c r="I2988" s="105" t="s">
        <v>2310</v>
      </c>
      <c r="J2988" s="93" t="s">
        <v>189</v>
      </c>
      <c r="K2988" s="93">
        <v>14574</v>
      </c>
      <c r="L2988" s="93" t="e">
        <v>#N/A</v>
      </c>
      <c r="M2988" s="93" t="s">
        <v>2311</v>
      </c>
      <c r="N2988" s="93">
        <f>VLOOKUP(B2988,'[16]01.수집 카테고리(List)'!$A$2:$H$64,8,FALSE)</f>
        <v>99991231</v>
      </c>
      <c r="O2988" s="93" t="s">
        <v>646</v>
      </c>
    </row>
    <row r="2989" spans="1:15" hidden="1">
      <c r="A2989" s="75" t="str">
        <f t="shared" si="112"/>
        <v>TWMOMOSHOPMonitorultrawide monitor21:9螢幕</v>
      </c>
      <c r="B2989" s="94" t="str">
        <f t="shared" si="113"/>
        <v>TW_MOMOSHOP</v>
      </c>
      <c r="C2989" s="93" t="s">
        <v>218</v>
      </c>
      <c r="D2989" s="93" t="s">
        <v>219</v>
      </c>
      <c r="E2989" s="93" t="s">
        <v>2320</v>
      </c>
      <c r="F2989" s="93" t="s">
        <v>2325</v>
      </c>
      <c r="G2989" s="93" t="s">
        <v>3616</v>
      </c>
      <c r="H2989" s="93" t="e">
        <v>#N/A</v>
      </c>
      <c r="I2989" s="105" t="s">
        <v>2310</v>
      </c>
      <c r="J2989" s="93" t="s">
        <v>189</v>
      </c>
      <c r="K2989" s="93">
        <v>241</v>
      </c>
      <c r="L2989" s="93" t="e">
        <v>#N/A</v>
      </c>
      <c r="M2989" s="93" t="s">
        <v>2311</v>
      </c>
      <c r="N2989" s="93">
        <f>VLOOKUP(B2989,'[16]01.수집 카테고리(List)'!$A$2:$H$64,8,FALSE)</f>
        <v>99991231</v>
      </c>
      <c r="O2989" s="93" t="s">
        <v>646</v>
      </c>
    </row>
    <row r="2990" spans="1:15" hidden="1">
      <c r="A2990" s="75" t="str">
        <f t="shared" si="112"/>
        <v>TWMOMOSHOPMonitor4k monitor4K螢幕</v>
      </c>
      <c r="B2990" s="94" t="str">
        <f t="shared" si="113"/>
        <v>TW_MOMOSHOP</v>
      </c>
      <c r="C2990" s="93" t="s">
        <v>218</v>
      </c>
      <c r="D2990" s="93" t="s">
        <v>219</v>
      </c>
      <c r="E2990" s="93" t="s">
        <v>2320</v>
      </c>
      <c r="F2990" s="93" t="s">
        <v>2321</v>
      </c>
      <c r="G2990" s="93" t="s">
        <v>3617</v>
      </c>
      <c r="H2990" s="93" t="e">
        <v>#N/A</v>
      </c>
      <c r="I2990" s="105" t="s">
        <v>2310</v>
      </c>
      <c r="J2990" s="93" t="s">
        <v>189</v>
      </c>
      <c r="K2990" s="93">
        <v>796</v>
      </c>
      <c r="L2990" s="93" t="e">
        <v>#N/A</v>
      </c>
      <c r="M2990" s="93" t="s">
        <v>2311</v>
      </c>
      <c r="N2990" s="93">
        <f>VLOOKUP(B2990,'[16]01.수집 카테고리(List)'!$A$2:$H$64,8,FALSE)</f>
        <v>99991231</v>
      </c>
      <c r="O2990" s="93" t="s">
        <v>646</v>
      </c>
    </row>
    <row r="2991" spans="1:15" hidden="1">
      <c r="A2991" s="75" t="str">
        <f t="shared" si="112"/>
        <v>TWMOMOSHOPMonitorgaming monitor電競螢幕</v>
      </c>
      <c r="B2991" s="94" t="str">
        <f t="shared" si="113"/>
        <v>TW_MOMOSHOP</v>
      </c>
      <c r="C2991" s="93" t="s">
        <v>218</v>
      </c>
      <c r="D2991" s="93" t="s">
        <v>219</v>
      </c>
      <c r="E2991" s="93" t="s">
        <v>2320</v>
      </c>
      <c r="F2991" s="93" t="s">
        <v>2322</v>
      </c>
      <c r="G2991" s="93" t="s">
        <v>3618</v>
      </c>
      <c r="H2991" s="93" t="e">
        <v>#N/A</v>
      </c>
      <c r="I2991" s="105" t="s">
        <v>2310</v>
      </c>
      <c r="J2991" s="93" t="s">
        <v>189</v>
      </c>
      <c r="K2991" s="93">
        <v>11943</v>
      </c>
      <c r="L2991" s="93" t="e">
        <v>#N/A</v>
      </c>
      <c r="M2991" s="93" t="s">
        <v>2311</v>
      </c>
      <c r="N2991" s="93">
        <f>VLOOKUP(B2991,'[16]01.수집 카테고리(List)'!$A$2:$H$64,8,FALSE)</f>
        <v>99991231</v>
      </c>
      <c r="O2991" s="93" t="s">
        <v>646</v>
      </c>
    </row>
    <row r="2992" spans="1:15" hidden="1">
      <c r="A2992" s="75" t="str">
        <f t="shared" si="112"/>
        <v>TWMOMOSHOPMonitormonitor螢幕</v>
      </c>
      <c r="B2992" s="94" t="str">
        <f t="shared" si="113"/>
        <v>TW_MOMOSHOP</v>
      </c>
      <c r="C2992" s="93" t="s">
        <v>218</v>
      </c>
      <c r="D2992" s="93" t="s">
        <v>219</v>
      </c>
      <c r="E2992" s="93" t="s">
        <v>2320</v>
      </c>
      <c r="F2992" s="93" t="s">
        <v>2323</v>
      </c>
      <c r="G2992" s="93" t="s">
        <v>3619</v>
      </c>
      <c r="H2992" s="93" t="e">
        <v>#N/A</v>
      </c>
      <c r="I2992" s="105" t="s">
        <v>2310</v>
      </c>
      <c r="J2992" s="93" t="s">
        <v>189</v>
      </c>
      <c r="K2992" s="93">
        <v>17934</v>
      </c>
      <c r="L2992" s="93" t="e">
        <v>#N/A</v>
      </c>
      <c r="M2992" s="93" t="s">
        <v>2311</v>
      </c>
      <c r="N2992" s="93">
        <f>VLOOKUP(B2992,'[16]01.수집 카테고리(List)'!$A$2:$H$64,8,FALSE)</f>
        <v>99991231</v>
      </c>
      <c r="O2992" s="93" t="s">
        <v>646</v>
      </c>
    </row>
    <row r="2993" spans="1:15" hidden="1">
      <c r="A2993" s="75" t="str">
        <f t="shared" si="112"/>
        <v>TWMOMOSHOPRefrigeratorside by side refrigerator對開冰箱</v>
      </c>
      <c r="B2993" s="94" t="str">
        <f t="shared" si="113"/>
        <v>TW_MOMOSHOP</v>
      </c>
      <c r="C2993" s="93" t="s">
        <v>218</v>
      </c>
      <c r="D2993" s="93" t="s">
        <v>219</v>
      </c>
      <c r="E2993" s="93" t="s">
        <v>2326</v>
      </c>
      <c r="F2993" s="93" t="s">
        <v>2330</v>
      </c>
      <c r="G2993" s="93" t="s">
        <v>3620</v>
      </c>
      <c r="H2993" s="93" t="e">
        <v>#N/A</v>
      </c>
      <c r="I2993" s="105" t="s">
        <v>2310</v>
      </c>
      <c r="J2993" s="93" t="s">
        <v>189</v>
      </c>
      <c r="K2993" s="93">
        <v>711</v>
      </c>
      <c r="L2993" s="93" t="e">
        <v>#N/A</v>
      </c>
      <c r="M2993" s="93" t="s">
        <v>2311</v>
      </c>
      <c r="N2993" s="93">
        <f>VLOOKUP(B2993,'[16]01.수집 카테고리(List)'!$A$2:$H$64,8,FALSE)</f>
        <v>99991231</v>
      </c>
      <c r="O2993" s="93" t="s">
        <v>646</v>
      </c>
    </row>
    <row r="2994" spans="1:15" hidden="1">
      <c r="A2994" s="75" t="str">
        <f t="shared" si="112"/>
        <v>TWMOMOSHOPRefrigeratorrefrigerator冰箱</v>
      </c>
      <c r="B2994" s="94" t="str">
        <f t="shared" si="113"/>
        <v>TW_MOMOSHOP</v>
      </c>
      <c r="C2994" s="93" t="s">
        <v>218</v>
      </c>
      <c r="D2994" s="93" t="s">
        <v>219</v>
      </c>
      <c r="E2994" s="93" t="s">
        <v>2326</v>
      </c>
      <c r="F2994" s="93" t="s">
        <v>2329</v>
      </c>
      <c r="G2994" s="93" t="s">
        <v>3621</v>
      </c>
      <c r="H2994" s="93" t="e">
        <v>#N/A</v>
      </c>
      <c r="I2994" s="105" t="s">
        <v>2310</v>
      </c>
      <c r="J2994" s="93" t="s">
        <v>189</v>
      </c>
      <c r="K2994" s="93">
        <v>2692</v>
      </c>
      <c r="L2994" s="93" t="e">
        <v>#N/A</v>
      </c>
      <c r="M2994" s="93" t="s">
        <v>2311</v>
      </c>
      <c r="N2994" s="93">
        <f>VLOOKUP(B2994,'[16]01.수집 카테고리(List)'!$A$2:$H$64,8,FALSE)</f>
        <v>99991231</v>
      </c>
      <c r="O2994" s="93" t="s">
        <v>646</v>
      </c>
    </row>
    <row r="2995" spans="1:15" hidden="1">
      <c r="A2995" s="75" t="str">
        <f t="shared" si="112"/>
        <v>TWMOMOSHOPRefrigeratorfrench door refrigerator雙門冰箱</v>
      </c>
      <c r="B2995" s="94" t="str">
        <f t="shared" si="113"/>
        <v>TW_MOMOSHOP</v>
      </c>
      <c r="C2995" s="93" t="s">
        <v>218</v>
      </c>
      <c r="D2995" s="93" t="s">
        <v>219</v>
      </c>
      <c r="E2995" s="93" t="s">
        <v>2326</v>
      </c>
      <c r="F2995" s="93" t="s">
        <v>2328</v>
      </c>
      <c r="G2995" s="93" t="s">
        <v>3622</v>
      </c>
      <c r="H2995" s="93" t="e">
        <v>#N/A</v>
      </c>
      <c r="I2995" s="105" t="s">
        <v>2310</v>
      </c>
      <c r="J2995" s="93" t="s">
        <v>189</v>
      </c>
      <c r="K2995" s="93">
        <v>107</v>
      </c>
      <c r="L2995" s="93" t="e">
        <v>#N/A</v>
      </c>
      <c r="M2995" s="93" t="s">
        <v>2311</v>
      </c>
      <c r="N2995" s="93">
        <f>VLOOKUP(B2995,'[16]01.수집 카테고리(List)'!$A$2:$H$64,8,FALSE)</f>
        <v>99991231</v>
      </c>
      <c r="O2995" s="93" t="s">
        <v>646</v>
      </c>
    </row>
    <row r="2996" spans="1:15" hidden="1">
      <c r="A2996" s="75" t="str">
        <f t="shared" si="112"/>
        <v>TWMOMOSHOPSOUNDBARsoundbarSoundbar</v>
      </c>
      <c r="B2996" s="94" t="str">
        <f t="shared" si="113"/>
        <v>TW_MOMOSHOP</v>
      </c>
      <c r="C2996" s="93" t="s">
        <v>218</v>
      </c>
      <c r="D2996" s="93" t="s">
        <v>219</v>
      </c>
      <c r="E2996" s="93" t="s">
        <v>165</v>
      </c>
      <c r="F2996" s="93" t="s">
        <v>2987</v>
      </c>
      <c r="G2996" s="93" t="s">
        <v>2363</v>
      </c>
      <c r="H2996" s="93" t="e">
        <v>#N/A</v>
      </c>
      <c r="I2996" s="105" t="s">
        <v>2310</v>
      </c>
      <c r="J2996" s="93" t="s">
        <v>189</v>
      </c>
      <c r="K2996" s="93">
        <v>434</v>
      </c>
      <c r="L2996" s="93">
        <v>434</v>
      </c>
      <c r="M2996" s="93" t="s">
        <v>2311</v>
      </c>
      <c r="N2996" s="93">
        <f>VLOOKUP(B2996,'[16]01.수집 카테고리(List)'!$A$2:$H$64,8,FALSE)</f>
        <v>99991231</v>
      </c>
      <c r="O2996" s="93" t="s">
        <v>646</v>
      </c>
    </row>
    <row r="2997" spans="1:15" ht="17.399999999999999" hidden="1">
      <c r="A2997" s="75" t="str">
        <f t="shared" si="112"/>
        <v>TWMOMOSHOPSTYELERstyler蒸氣電子衣櫥</v>
      </c>
      <c r="B2997" s="94" t="str">
        <f t="shared" si="113"/>
        <v>TW_MOMOSHOP</v>
      </c>
      <c r="C2997" s="93" t="s">
        <v>218</v>
      </c>
      <c r="D2997" s="93" t="s">
        <v>219</v>
      </c>
      <c r="E2997" s="93" t="s">
        <v>3623</v>
      </c>
      <c r="F2997" s="93" t="s">
        <v>2550</v>
      </c>
      <c r="G2997" s="93" t="s">
        <v>3624</v>
      </c>
      <c r="H2997" s="93" t="e">
        <v>#N/A</v>
      </c>
      <c r="I2997" s="105" t="s">
        <v>2310</v>
      </c>
      <c r="J2997" s="93" t="s">
        <v>189</v>
      </c>
      <c r="K2997" s="93">
        <v>37</v>
      </c>
      <c r="L2997" s="93" t="e">
        <v>#N/A</v>
      </c>
      <c r="M2997" s="93" t="s">
        <v>2311</v>
      </c>
      <c r="N2997" s="93">
        <f>VLOOKUP(B2997,'[16]01.수집 카테고리(List)'!$A$2:$H$64,8,FALSE)</f>
        <v>99991231</v>
      </c>
      <c r="O2997" s="93" t="s">
        <v>646</v>
      </c>
    </row>
    <row r="2998" spans="1:15" ht="17.399999999999999" hidden="1">
      <c r="A2998" s="75" t="str">
        <f t="shared" si="112"/>
        <v>TWMOMOSHOPSTYLERsteam styler蒸氣電子衣櫥</v>
      </c>
      <c r="B2998" s="94" t="str">
        <f t="shared" si="113"/>
        <v>TW_MOMOSHOP</v>
      </c>
      <c r="C2998" s="93" t="s">
        <v>218</v>
      </c>
      <c r="D2998" s="93" t="s">
        <v>219</v>
      </c>
      <c r="E2998" s="93" t="s">
        <v>174</v>
      </c>
      <c r="F2998" s="93" t="s">
        <v>3625</v>
      </c>
      <c r="G2998" s="93" t="s">
        <v>3624</v>
      </c>
      <c r="H2998" s="93" t="e">
        <v>#N/A</v>
      </c>
      <c r="I2998" s="105" t="s">
        <v>2310</v>
      </c>
      <c r="J2998" s="93" t="s">
        <v>189</v>
      </c>
      <c r="K2998" s="93">
        <v>37</v>
      </c>
      <c r="L2998" s="93" t="e">
        <v>#N/A</v>
      </c>
      <c r="M2998" s="93" t="s">
        <v>2311</v>
      </c>
      <c r="N2998" s="93">
        <f>VLOOKUP(B2998,'[16]01.수집 카테고리(List)'!$A$2:$H$64,8,FALSE)</f>
        <v>99991231</v>
      </c>
      <c r="O2998" s="93" t="s">
        <v>646</v>
      </c>
    </row>
    <row r="2999" spans="1:15" hidden="1">
      <c r="A2999" s="75" t="str">
        <f t="shared" si="112"/>
        <v>TWMOMOSHOPTV4k TV4k電視</v>
      </c>
      <c r="B2999" s="94" t="str">
        <f t="shared" si="113"/>
        <v>TW_MOMOSHOP</v>
      </c>
      <c r="C2999" s="93" t="s">
        <v>218</v>
      </c>
      <c r="D2999" s="93" t="s">
        <v>219</v>
      </c>
      <c r="E2999" s="93" t="s">
        <v>161</v>
      </c>
      <c r="F2999" s="93" t="s">
        <v>2368</v>
      </c>
      <c r="G2999" s="93" t="s">
        <v>3626</v>
      </c>
      <c r="H2999" s="93" t="e">
        <v>#N/A</v>
      </c>
      <c r="I2999" s="105" t="s">
        <v>2310</v>
      </c>
      <c r="J2999" s="93" t="s">
        <v>189</v>
      </c>
      <c r="K2999" s="93">
        <v>3500</v>
      </c>
      <c r="L2999" s="93" t="e">
        <v>#N/A</v>
      </c>
      <c r="M2999" s="93" t="s">
        <v>2311</v>
      </c>
      <c r="N2999" s="93">
        <f>VLOOKUP(B2999,'[16]01.수집 카테고리(List)'!$A$2:$H$64,8,FALSE)</f>
        <v>99991231</v>
      </c>
      <c r="O2999" s="93" t="s">
        <v>646</v>
      </c>
    </row>
    <row r="3000" spans="1:15" hidden="1">
      <c r="A3000" s="75" t="str">
        <f t="shared" si="112"/>
        <v>TWMOMOSHOPTVoled TVoled電視</v>
      </c>
      <c r="B3000" s="94" t="str">
        <f t="shared" si="113"/>
        <v>TW_MOMOSHOP</v>
      </c>
      <c r="C3000" s="93" t="s">
        <v>218</v>
      </c>
      <c r="D3000" s="93" t="s">
        <v>219</v>
      </c>
      <c r="E3000" s="93" t="s">
        <v>161</v>
      </c>
      <c r="F3000" s="93" t="s">
        <v>2369</v>
      </c>
      <c r="G3000" s="93" t="s">
        <v>2901</v>
      </c>
      <c r="H3000" s="93" t="e">
        <v>#N/A</v>
      </c>
      <c r="I3000" s="105" t="s">
        <v>2310</v>
      </c>
      <c r="J3000" s="93" t="s">
        <v>189</v>
      </c>
      <c r="K3000" s="93">
        <v>472</v>
      </c>
      <c r="L3000" s="93" t="e">
        <v>#N/A</v>
      </c>
      <c r="M3000" s="93" t="s">
        <v>2311</v>
      </c>
      <c r="N3000" s="93">
        <f>VLOOKUP(B3000,'[16]01.수집 카테고리(List)'!$A$2:$H$64,8,FALSE)</f>
        <v>99991231</v>
      </c>
      <c r="O3000" s="93" t="s">
        <v>646</v>
      </c>
    </row>
    <row r="3001" spans="1:15" hidden="1">
      <c r="A3001" s="75" t="str">
        <f t="shared" si="112"/>
        <v>TWMOMOSHOPTVTV電視</v>
      </c>
      <c r="B3001" s="94" t="str">
        <f t="shared" si="113"/>
        <v>TW_MOMOSHOP</v>
      </c>
      <c r="C3001" s="93" t="s">
        <v>218</v>
      </c>
      <c r="D3001" s="93" t="s">
        <v>219</v>
      </c>
      <c r="E3001" s="93" t="s">
        <v>161</v>
      </c>
      <c r="F3001" s="93" t="s">
        <v>161</v>
      </c>
      <c r="G3001" s="93" t="s">
        <v>2904</v>
      </c>
      <c r="H3001" s="93" t="e">
        <v>#N/A</v>
      </c>
      <c r="I3001" s="105" t="s">
        <v>2310</v>
      </c>
      <c r="J3001" s="93" t="s">
        <v>189</v>
      </c>
      <c r="K3001" s="93">
        <v>4022</v>
      </c>
      <c r="L3001" s="93" t="e">
        <v>#N/A</v>
      </c>
      <c r="M3001" s="93" t="s">
        <v>2311</v>
      </c>
      <c r="N3001" s="93">
        <f>VLOOKUP(B3001,'[16]01.수집 카테고리(List)'!$A$2:$H$64,8,FALSE)</f>
        <v>99991231</v>
      </c>
      <c r="O3001" s="93" t="s">
        <v>646</v>
      </c>
    </row>
    <row r="3002" spans="1:15" hidden="1">
      <c r="A3002" s="75" t="str">
        <f t="shared" si="112"/>
        <v>TWMOMOSHOPTVsmart TV智慧電視</v>
      </c>
      <c r="B3002" s="94" t="str">
        <f t="shared" si="113"/>
        <v>TW_MOMOSHOP</v>
      </c>
      <c r="C3002" s="93" t="s">
        <v>218</v>
      </c>
      <c r="D3002" s="93" t="s">
        <v>219</v>
      </c>
      <c r="E3002" s="93" t="s">
        <v>161</v>
      </c>
      <c r="F3002" s="93" t="s">
        <v>2371</v>
      </c>
      <c r="G3002" s="93" t="s">
        <v>3627</v>
      </c>
      <c r="H3002" s="93" t="e">
        <v>#N/A</v>
      </c>
      <c r="I3002" s="105" t="s">
        <v>2310</v>
      </c>
      <c r="J3002" s="93" t="s">
        <v>189</v>
      </c>
      <c r="K3002" s="93">
        <v>2232</v>
      </c>
      <c r="L3002" s="93" t="e">
        <v>#N/A</v>
      </c>
      <c r="M3002" s="93" t="s">
        <v>2311</v>
      </c>
      <c r="N3002" s="93">
        <f>VLOOKUP(B3002,'[16]01.수집 카테고리(List)'!$A$2:$H$64,8,FALSE)</f>
        <v>99991231</v>
      </c>
      <c r="O3002" s="93" t="s">
        <v>646</v>
      </c>
    </row>
    <row r="3003" spans="1:15" hidden="1">
      <c r="A3003" s="75" t="str">
        <f t="shared" si="112"/>
        <v>TWMOMOSHOPWashing Machinefront loader滾筒洗衣機</v>
      </c>
      <c r="B3003" s="94" t="str">
        <f t="shared" si="113"/>
        <v>TW_MOMOSHOP</v>
      </c>
      <c r="C3003" s="93" t="s">
        <v>218</v>
      </c>
      <c r="D3003" s="93" t="s">
        <v>219</v>
      </c>
      <c r="E3003" s="93" t="s">
        <v>2333</v>
      </c>
      <c r="F3003" s="93" t="s">
        <v>2334</v>
      </c>
      <c r="G3003" s="93" t="s">
        <v>3628</v>
      </c>
      <c r="H3003" s="93" t="e">
        <v>#N/A</v>
      </c>
      <c r="I3003" s="105" t="s">
        <v>2310</v>
      </c>
      <c r="J3003" s="93" t="s">
        <v>189</v>
      </c>
      <c r="K3003" s="93">
        <v>628</v>
      </c>
      <c r="L3003" s="93" t="e">
        <v>#N/A</v>
      </c>
      <c r="M3003" s="93" t="s">
        <v>2311</v>
      </c>
      <c r="N3003" s="93">
        <f>VLOOKUP(B3003,'[16]01.수집 카테고리(List)'!$A$2:$H$64,8,FALSE)</f>
        <v>99991231</v>
      </c>
      <c r="O3003" s="93" t="s">
        <v>646</v>
      </c>
    </row>
    <row r="3004" spans="1:15" hidden="1">
      <c r="A3004" s="75" t="str">
        <f t="shared" si="112"/>
        <v>TWMOMOSHOPWashing Machinewashing machine洗衣機</v>
      </c>
      <c r="B3004" s="94" t="str">
        <f t="shared" si="113"/>
        <v>TW_MOMOSHOP</v>
      </c>
      <c r="C3004" s="93" t="s">
        <v>218</v>
      </c>
      <c r="D3004" s="93" t="s">
        <v>219</v>
      </c>
      <c r="E3004" s="93" t="s">
        <v>2333</v>
      </c>
      <c r="F3004" s="93" t="s">
        <v>2340</v>
      </c>
      <c r="G3004" s="93" t="s">
        <v>2908</v>
      </c>
      <c r="H3004" s="93" t="e">
        <v>#N/A</v>
      </c>
      <c r="I3004" s="105" t="s">
        <v>2310</v>
      </c>
      <c r="J3004" s="93" t="s">
        <v>189</v>
      </c>
      <c r="K3004" s="93">
        <v>3319</v>
      </c>
      <c r="L3004" s="93" t="e">
        <v>#N/A</v>
      </c>
      <c r="M3004" s="93" t="s">
        <v>2311</v>
      </c>
      <c r="N3004" s="93">
        <f>VLOOKUP(B3004,'[16]01.수집 카테고리(List)'!$A$2:$H$64,8,FALSE)</f>
        <v>99991231</v>
      </c>
      <c r="O3004" s="93" t="s">
        <v>646</v>
      </c>
    </row>
    <row r="3005" spans="1:15" hidden="1">
      <c r="A3005" s="75" t="str">
        <f t="shared" si="112"/>
        <v>TWMOMOSHOPWashing Machinewasher dryer combo洗脫烘</v>
      </c>
      <c r="B3005" s="94" t="str">
        <f t="shared" si="113"/>
        <v>TW_MOMOSHOP</v>
      </c>
      <c r="C3005" s="93" t="s">
        <v>218</v>
      </c>
      <c r="D3005" s="93" t="s">
        <v>219</v>
      </c>
      <c r="E3005" s="93" t="s">
        <v>2333</v>
      </c>
      <c r="F3005" s="93" t="s">
        <v>2338</v>
      </c>
      <c r="G3005" s="93" t="s">
        <v>3629</v>
      </c>
      <c r="H3005" s="93" t="e">
        <v>#N/A</v>
      </c>
      <c r="I3005" s="105" t="s">
        <v>2310</v>
      </c>
      <c r="J3005" s="93" t="s">
        <v>189</v>
      </c>
      <c r="K3005" s="93">
        <v>306</v>
      </c>
      <c r="L3005" s="93" t="e">
        <v>#N/A</v>
      </c>
      <c r="M3005" s="93" t="s">
        <v>2311</v>
      </c>
      <c r="N3005" s="93">
        <f>VLOOKUP(B3005,'[16]01.수집 카테고리(List)'!$A$2:$H$64,8,FALSE)</f>
        <v>99991231</v>
      </c>
      <c r="O3005" s="93" t="s">
        <v>646</v>
      </c>
    </row>
    <row r="3006" spans="1:15" hidden="1">
      <c r="A3006" s="75" t="str">
        <f t="shared" si="112"/>
        <v>TWMOMOSHOPWashing Machinetop loader直立式洗衣機</v>
      </c>
      <c r="B3006" s="94" t="str">
        <f t="shared" si="113"/>
        <v>TW_MOMOSHOP</v>
      </c>
      <c r="C3006" s="93" t="s">
        <v>218</v>
      </c>
      <c r="D3006" s="93" t="s">
        <v>219</v>
      </c>
      <c r="E3006" s="93" t="s">
        <v>2333</v>
      </c>
      <c r="F3006" s="93" t="s">
        <v>2336</v>
      </c>
      <c r="G3006" s="93" t="s">
        <v>3630</v>
      </c>
      <c r="H3006" s="93" t="e">
        <v>#N/A</v>
      </c>
      <c r="I3006" s="105" t="s">
        <v>2310</v>
      </c>
      <c r="J3006" s="93" t="s">
        <v>189</v>
      </c>
      <c r="K3006" s="93">
        <v>1121</v>
      </c>
      <c r="L3006" s="93" t="e">
        <v>#N/A</v>
      </c>
      <c r="M3006" s="93" t="s">
        <v>2311</v>
      </c>
      <c r="N3006" s="93">
        <f>VLOOKUP(B3006,'[16]01.수집 카테고리(List)'!$A$2:$H$64,8,FALSE)</f>
        <v>99991231</v>
      </c>
      <c r="O3006" s="93" t="s">
        <v>646</v>
      </c>
    </row>
    <row r="3007" spans="1:15" hidden="1">
      <c r="A3007" s="75" t="str">
        <f t="shared" si="112"/>
        <v>TWMOMOSHOPWireless Headsetnoise canceling headphones降噪耳機</v>
      </c>
      <c r="B3007" s="94" t="str">
        <f t="shared" si="113"/>
        <v>TW_MOMOSHOP</v>
      </c>
      <c r="C3007" s="93" t="s">
        <v>218</v>
      </c>
      <c r="D3007" s="93" t="s">
        <v>219</v>
      </c>
      <c r="E3007" s="93" t="s">
        <v>2373</v>
      </c>
      <c r="F3007" s="93" t="s">
        <v>3631</v>
      </c>
      <c r="G3007" s="93" t="s">
        <v>3632</v>
      </c>
      <c r="H3007" s="93" t="e">
        <v>#N/A</v>
      </c>
      <c r="I3007" s="105" t="s">
        <v>2310</v>
      </c>
      <c r="J3007" s="93" t="s">
        <v>189</v>
      </c>
      <c r="K3007" s="93">
        <v>294</v>
      </c>
      <c r="L3007" s="93" t="e">
        <v>#N/A</v>
      </c>
      <c r="M3007" s="93" t="s">
        <v>2311</v>
      </c>
      <c r="N3007" s="93">
        <f>VLOOKUP(B3007,'[16]01.수집 카테고리(List)'!$A$2:$H$64,8,FALSE)</f>
        <v>99991231</v>
      </c>
      <c r="O3007" s="93" t="s">
        <v>646</v>
      </c>
    </row>
    <row r="3008" spans="1:15" hidden="1">
      <c r="A3008" s="75" t="str">
        <f t="shared" si="112"/>
        <v>TWMOMOSHOPWireless HeadsetTrue Wireless Earbuds藍牙耳機</v>
      </c>
      <c r="B3008" s="94" t="str">
        <f t="shared" si="113"/>
        <v>TW_MOMOSHOP</v>
      </c>
      <c r="C3008" s="93" t="s">
        <v>218</v>
      </c>
      <c r="D3008" s="93" t="s">
        <v>219</v>
      </c>
      <c r="E3008" s="93" t="s">
        <v>2373</v>
      </c>
      <c r="F3008" s="93" t="s">
        <v>3023</v>
      </c>
      <c r="G3008" s="93" t="s">
        <v>2910</v>
      </c>
      <c r="H3008" s="93" t="e">
        <v>#N/A</v>
      </c>
      <c r="I3008" s="105" t="s">
        <v>2310</v>
      </c>
      <c r="J3008" s="93" t="s">
        <v>189</v>
      </c>
      <c r="K3008" s="93">
        <v>1654</v>
      </c>
      <c r="L3008" s="93" t="e">
        <v>#N/A</v>
      </c>
      <c r="M3008" s="93" t="s">
        <v>2311</v>
      </c>
      <c r="N3008" s="93">
        <f>VLOOKUP(B3008,'[16]01.수집 카테고리(List)'!$A$2:$H$64,8,FALSE)</f>
        <v>99991231</v>
      </c>
      <c r="O3008" s="93" t="s">
        <v>646</v>
      </c>
    </row>
    <row r="3009" spans="1:15" hidden="1">
      <c r="A3009" s="75" t="str">
        <f t="shared" si="112"/>
        <v>TWMOMOSHOPWireless HeadsetWireless Earbuds無線耳機</v>
      </c>
      <c r="B3009" s="94" t="str">
        <f t="shared" si="113"/>
        <v>TW_MOMOSHOP</v>
      </c>
      <c r="C3009" s="93" t="s">
        <v>218</v>
      </c>
      <c r="D3009" s="93" t="s">
        <v>219</v>
      </c>
      <c r="E3009" s="93" t="s">
        <v>2373</v>
      </c>
      <c r="F3009" s="93" t="s">
        <v>2760</v>
      </c>
      <c r="G3009" s="93" t="s">
        <v>2912</v>
      </c>
      <c r="H3009" s="93" t="e">
        <v>#N/A</v>
      </c>
      <c r="I3009" s="105" t="s">
        <v>2310</v>
      </c>
      <c r="J3009" s="93" t="s">
        <v>189</v>
      </c>
      <c r="K3009" s="93">
        <v>3812</v>
      </c>
      <c r="L3009" s="93" t="e">
        <v>#N/A</v>
      </c>
      <c r="M3009" s="93" t="s">
        <v>2311</v>
      </c>
      <c r="N3009" s="93">
        <f>VLOOKUP(B3009,'[16]01.수집 카테고리(List)'!$A$2:$H$64,8,FALSE)</f>
        <v>99991231</v>
      </c>
      <c r="O3009" s="93" t="s">
        <v>646</v>
      </c>
    </row>
    <row r="3010" spans="1:15" ht="17.399999999999999" hidden="1">
      <c r="A3010" s="75" t="str">
        <f t="shared" si="112"/>
        <v>TWMOMOSHOPWireless Headsetearbuds真無線藍牙耳機</v>
      </c>
      <c r="B3010" s="94" t="str">
        <f t="shared" si="113"/>
        <v>TW_MOMOSHOP</v>
      </c>
      <c r="C3010" s="93" t="s">
        <v>218</v>
      </c>
      <c r="D3010" s="93" t="s">
        <v>219</v>
      </c>
      <c r="E3010" s="93" t="s">
        <v>2373</v>
      </c>
      <c r="F3010" s="93" t="s">
        <v>2913</v>
      </c>
      <c r="G3010" s="93" t="s">
        <v>2916</v>
      </c>
      <c r="H3010" s="93" t="e">
        <v>#N/A</v>
      </c>
      <c r="I3010" s="105" t="s">
        <v>2310</v>
      </c>
      <c r="J3010" s="93" t="s">
        <v>189</v>
      </c>
      <c r="K3010" s="93">
        <v>2749</v>
      </c>
      <c r="L3010" s="93" t="e">
        <v>#N/A</v>
      </c>
      <c r="M3010" s="93" t="s">
        <v>2311</v>
      </c>
      <c r="N3010" s="93">
        <f>VLOOKUP(B3010,'[16]01.수집 카테고리(List)'!$A$2:$H$64,8,FALSE)</f>
        <v>99991231</v>
      </c>
      <c r="O3010" s="93" t="s">
        <v>646</v>
      </c>
    </row>
    <row r="3011" spans="1:15" s="108" customFormat="1" hidden="1">
      <c r="A3011" s="108" t="str">
        <f t="shared" si="112"/>
        <v>TWMOMOSHOPAir Conditionerair conditioner空調</v>
      </c>
      <c r="B3011" s="109" t="str">
        <f t="shared" si="113"/>
        <v>TW_MOMOSHOP</v>
      </c>
      <c r="C3011" s="110" t="s">
        <v>218</v>
      </c>
      <c r="D3011" s="110" t="s">
        <v>219</v>
      </c>
      <c r="E3011" s="110" t="s">
        <v>2524</v>
      </c>
      <c r="F3011" s="110" t="s">
        <v>2607</v>
      </c>
      <c r="G3011" s="110" t="s">
        <v>3633</v>
      </c>
      <c r="H3011" s="93" t="e">
        <v>#N/A</v>
      </c>
      <c r="I3011" s="99">
        <v>46076</v>
      </c>
      <c r="J3011" s="83" t="s">
        <v>189</v>
      </c>
      <c r="K3011" s="110"/>
      <c r="L3011" s="110"/>
      <c r="M3011" s="110"/>
      <c r="N3011" s="110"/>
      <c r="O3011" s="110"/>
    </row>
    <row r="3012" spans="1:15" s="108" customFormat="1" hidden="1">
      <c r="A3012" s="108" t="str">
        <f t="shared" si="112"/>
        <v>TWMOMOSHOPAir Conditionerinverter air conditioner變頻空調</v>
      </c>
      <c r="B3012" s="109" t="str">
        <f t="shared" si="113"/>
        <v>TW_MOMOSHOP</v>
      </c>
      <c r="C3012" s="110" t="s">
        <v>218</v>
      </c>
      <c r="D3012" s="110" t="s">
        <v>219</v>
      </c>
      <c r="E3012" s="110" t="s">
        <v>2524</v>
      </c>
      <c r="F3012" s="110" t="s">
        <v>2609</v>
      </c>
      <c r="G3012" s="110" t="s">
        <v>3634</v>
      </c>
      <c r="H3012" s="93" t="e">
        <v>#N/A</v>
      </c>
      <c r="I3012" s="99">
        <v>46076</v>
      </c>
      <c r="J3012" s="83" t="s">
        <v>189</v>
      </c>
      <c r="K3012" s="110"/>
      <c r="L3012" s="110"/>
      <c r="M3012" s="110"/>
      <c r="N3012" s="110"/>
      <c r="O3012" s="110"/>
    </row>
    <row r="3013" spans="1:15" s="108" customFormat="1" hidden="1">
      <c r="A3013" s="108" t="str">
        <f t="shared" si="112"/>
        <v>TWMOMOSHOPAir Conditionersplit air conditioner分離式空調</v>
      </c>
      <c r="B3013" s="109" t="str">
        <f t="shared" si="113"/>
        <v>TW_MOMOSHOP</v>
      </c>
      <c r="C3013" s="110" t="s">
        <v>218</v>
      </c>
      <c r="D3013" s="110" t="s">
        <v>219</v>
      </c>
      <c r="E3013" s="110" t="s">
        <v>2524</v>
      </c>
      <c r="F3013" s="110" t="s">
        <v>2611</v>
      </c>
      <c r="G3013" s="110" t="s">
        <v>3635</v>
      </c>
      <c r="H3013" s="93" t="e">
        <v>#N/A</v>
      </c>
      <c r="I3013" s="99">
        <v>46076</v>
      </c>
      <c r="J3013" s="83" t="s">
        <v>189</v>
      </c>
      <c r="K3013" s="110"/>
      <c r="L3013" s="110"/>
      <c r="M3013" s="110"/>
      <c r="N3013" s="110"/>
      <c r="O3013" s="110"/>
    </row>
    <row r="3014" spans="1:15" s="108" customFormat="1" hidden="1">
      <c r="A3014" s="108" t="str">
        <f t="shared" si="112"/>
        <v>TWMOMOSHOPAir Conditionersplit inverter air conditioner分離式變頻空調</v>
      </c>
      <c r="B3014" s="109" t="str">
        <f t="shared" si="113"/>
        <v>TW_MOMOSHOP</v>
      </c>
      <c r="C3014" s="110" t="s">
        <v>218</v>
      </c>
      <c r="D3014" s="110" t="s">
        <v>219</v>
      </c>
      <c r="E3014" s="110" t="s">
        <v>2524</v>
      </c>
      <c r="F3014" s="110" t="s">
        <v>2614</v>
      </c>
      <c r="G3014" s="110" t="s">
        <v>3636</v>
      </c>
      <c r="H3014" s="93" t="e">
        <v>#N/A</v>
      </c>
      <c r="I3014" s="99">
        <v>46076</v>
      </c>
      <c r="J3014" s="83" t="s">
        <v>189</v>
      </c>
      <c r="K3014" s="110"/>
      <c r="L3014" s="110"/>
      <c r="M3014" s="110"/>
      <c r="N3014" s="110"/>
      <c r="O3014" s="110"/>
    </row>
    <row r="3015" spans="1:15" s="108" customFormat="1" ht="14.4" hidden="1">
      <c r="A3015" s="108" t="str">
        <f t="shared" si="112"/>
        <v>TWMOMOSHOPAir Conditionerwindow air conditioner窗型空調</v>
      </c>
      <c r="B3015" s="109" t="str">
        <f t="shared" si="113"/>
        <v>TW_MOMOSHOP</v>
      </c>
      <c r="C3015" s="110" t="s">
        <v>218</v>
      </c>
      <c r="D3015" s="110" t="s">
        <v>219</v>
      </c>
      <c r="E3015" s="110" t="s">
        <v>2524</v>
      </c>
      <c r="F3015" s="110" t="s">
        <v>2616</v>
      </c>
      <c r="G3015" s="125" t="s">
        <v>3637</v>
      </c>
      <c r="H3015" s="93" t="e">
        <v>#N/A</v>
      </c>
      <c r="I3015" s="99">
        <v>46076</v>
      </c>
      <c r="J3015" s="83" t="s">
        <v>189</v>
      </c>
      <c r="K3015" s="110"/>
      <c r="L3015" s="110"/>
      <c r="M3015" s="110"/>
      <c r="N3015" s="110"/>
      <c r="O3015" s="110"/>
    </row>
    <row r="3016" spans="1:15" s="108" customFormat="1" ht="14.4" hidden="1">
      <c r="A3016" s="108" t="str">
        <f t="shared" si="112"/>
        <v>TWMOMOSHOPAir Conditionerwindow inverter air conditioner窗型變頻空調</v>
      </c>
      <c r="B3016" s="109" t="str">
        <f t="shared" si="113"/>
        <v>TW_MOMOSHOP</v>
      </c>
      <c r="C3016" s="110" t="s">
        <v>218</v>
      </c>
      <c r="D3016" s="110" t="s">
        <v>219</v>
      </c>
      <c r="E3016" s="110" t="s">
        <v>2524</v>
      </c>
      <c r="F3016" s="110" t="s">
        <v>2618</v>
      </c>
      <c r="G3016" s="125" t="s">
        <v>3638</v>
      </c>
      <c r="H3016" s="93" t="e">
        <v>#N/A</v>
      </c>
      <c r="I3016" s="99">
        <v>46076</v>
      </c>
      <c r="J3016" s="83" t="s">
        <v>189</v>
      </c>
      <c r="K3016" s="110"/>
      <c r="L3016" s="110"/>
      <c r="M3016" s="110"/>
      <c r="N3016" s="110"/>
      <c r="O3016" s="110"/>
    </row>
    <row r="3017" spans="1:15" hidden="1">
      <c r="A3017" s="75" t="str">
        <f t="shared" si="112"/>
        <v>TWPCHOMEAir cleanerAir Purifier空氣淨化器</v>
      </c>
      <c r="B3017" s="94" t="str">
        <f t="shared" si="113"/>
        <v>TW_PCHOME</v>
      </c>
      <c r="C3017" s="93" t="s">
        <v>218</v>
      </c>
      <c r="D3017" s="93" t="s">
        <v>222</v>
      </c>
      <c r="E3017" s="93" t="s">
        <v>2341</v>
      </c>
      <c r="F3017" s="93" t="s">
        <v>2343</v>
      </c>
      <c r="G3017" s="93" t="s">
        <v>3593</v>
      </c>
      <c r="H3017" s="93" t="e">
        <v>#N/A</v>
      </c>
      <c r="I3017" s="105" t="s">
        <v>2310</v>
      </c>
      <c r="J3017" s="93" t="s">
        <v>189</v>
      </c>
      <c r="K3017" s="93">
        <v>13445</v>
      </c>
      <c r="L3017" s="93" t="e">
        <v>#N/A</v>
      </c>
      <c r="M3017" s="93" t="s">
        <v>2311</v>
      </c>
      <c r="N3017" s="93">
        <f>VLOOKUP(B3017,'[16]01.수집 카테고리(List)'!$A$2:$H$64,8,FALSE)</f>
        <v>99991231</v>
      </c>
      <c r="O3017" s="93" t="s">
        <v>646</v>
      </c>
    </row>
    <row r="3018" spans="1:15" hidden="1">
      <c r="A3018" s="75" t="str">
        <f t="shared" si="112"/>
        <v>TWPCHOMEAir cleanerAir Cleaner空氣淨化器</v>
      </c>
      <c r="B3018" s="94" t="str">
        <f t="shared" si="113"/>
        <v>TW_PCHOME</v>
      </c>
      <c r="C3018" s="93" t="s">
        <v>218</v>
      </c>
      <c r="D3018" s="93" t="s">
        <v>222</v>
      </c>
      <c r="E3018" s="93" t="s">
        <v>2341</v>
      </c>
      <c r="F3018" s="93" t="s">
        <v>2342</v>
      </c>
      <c r="G3018" s="93" t="s">
        <v>3593</v>
      </c>
      <c r="H3018" s="93" t="e">
        <v>#N/A</v>
      </c>
      <c r="I3018" s="105" t="s">
        <v>2310</v>
      </c>
      <c r="J3018" s="93" t="s">
        <v>189</v>
      </c>
      <c r="K3018" s="93">
        <v>13445</v>
      </c>
      <c r="L3018" s="93" t="e">
        <v>#N/A</v>
      </c>
      <c r="M3018" s="93" t="s">
        <v>2311</v>
      </c>
      <c r="N3018" s="93">
        <f>VLOOKUP(B3018,'[16]01.수집 카테고리(List)'!$A$2:$H$64,8,FALSE)</f>
        <v>99991231</v>
      </c>
      <c r="O3018" s="93" t="s">
        <v>646</v>
      </c>
    </row>
    <row r="3019" spans="1:15" hidden="1">
      <c r="A3019" s="75" t="str">
        <f t="shared" si="112"/>
        <v>TWPCHOMEAir cleanerAir Treatment空氣處理</v>
      </c>
      <c r="B3019" s="94" t="str">
        <f t="shared" si="113"/>
        <v>TW_PCHOME</v>
      </c>
      <c r="C3019" s="93" t="s">
        <v>218</v>
      </c>
      <c r="D3019" s="93" t="s">
        <v>222</v>
      </c>
      <c r="E3019" s="93" t="s">
        <v>2341</v>
      </c>
      <c r="F3019" s="93" t="s">
        <v>2345</v>
      </c>
      <c r="G3019" s="93" t="s">
        <v>3594</v>
      </c>
      <c r="H3019" s="93" t="e">
        <v>#N/A</v>
      </c>
      <c r="I3019" s="105" t="s">
        <v>2310</v>
      </c>
      <c r="J3019" s="93" t="s">
        <v>189</v>
      </c>
      <c r="K3019" s="93">
        <v>3898</v>
      </c>
      <c r="L3019" s="93" t="e">
        <v>#N/A</v>
      </c>
      <c r="M3019" s="93" t="s">
        <v>2311</v>
      </c>
      <c r="N3019" s="93">
        <f>VLOOKUP(B3019,'[16]01.수집 카테고리(List)'!$A$2:$H$64,8,FALSE)</f>
        <v>99991231</v>
      </c>
      <c r="O3019" s="93" t="s">
        <v>646</v>
      </c>
    </row>
    <row r="3020" spans="1:15" ht="17.399999999999999" hidden="1">
      <c r="A3020" s="75" t="str">
        <f t="shared" si="112"/>
        <v>TWPCHOMEBluetooth Speakerportable bluetooth speaker可攜式藍牙喇叭</v>
      </c>
      <c r="B3020" s="94" t="str">
        <f t="shared" si="113"/>
        <v>TW_PCHOME</v>
      </c>
      <c r="C3020" s="93" t="s">
        <v>218</v>
      </c>
      <c r="D3020" s="93" t="s">
        <v>222</v>
      </c>
      <c r="E3020" s="93" t="s">
        <v>2307</v>
      </c>
      <c r="F3020" s="93" t="s">
        <v>3070</v>
      </c>
      <c r="G3020" s="93" t="s">
        <v>3595</v>
      </c>
      <c r="H3020" s="93" t="e">
        <v>#N/A</v>
      </c>
      <c r="I3020" s="105" t="s">
        <v>2310</v>
      </c>
      <c r="J3020" s="93" t="s">
        <v>189</v>
      </c>
      <c r="K3020" s="93">
        <v>9551</v>
      </c>
      <c r="L3020" s="93" t="e">
        <v>#N/A</v>
      </c>
      <c r="M3020" s="93" t="s">
        <v>2311</v>
      </c>
      <c r="N3020" s="93">
        <f>VLOOKUP(B3020,'[16]01.수집 카테고리(List)'!$A$2:$H$64,8,FALSE)</f>
        <v>99991231</v>
      </c>
      <c r="O3020" s="93" t="s">
        <v>646</v>
      </c>
    </row>
    <row r="3021" spans="1:15" hidden="1">
      <c r="A3021" s="75" t="str">
        <f t="shared" si="112"/>
        <v>TWPCHOMEBluetooth Speakerbluetooth speaker藍牙喇叭</v>
      </c>
      <c r="B3021" s="94" t="str">
        <f t="shared" si="113"/>
        <v>TW_PCHOME</v>
      </c>
      <c r="C3021" s="93" t="s">
        <v>218</v>
      </c>
      <c r="D3021" s="93" t="s">
        <v>222</v>
      </c>
      <c r="E3021" s="93" t="s">
        <v>2307</v>
      </c>
      <c r="F3021" s="93" t="s">
        <v>2657</v>
      </c>
      <c r="G3021" s="93" t="s">
        <v>2873</v>
      </c>
      <c r="H3021" s="93" t="e">
        <v>#N/A</v>
      </c>
      <c r="I3021" s="105" t="s">
        <v>2310</v>
      </c>
      <c r="J3021" s="93" t="s">
        <v>189</v>
      </c>
      <c r="K3021" s="93">
        <v>85592</v>
      </c>
      <c r="L3021" s="93" t="e">
        <v>#N/A</v>
      </c>
      <c r="M3021" s="93" t="s">
        <v>2311</v>
      </c>
      <c r="N3021" s="93">
        <f>VLOOKUP(B3021,'[16]01.수집 카테고리(List)'!$A$2:$H$64,8,FALSE)</f>
        <v>99991231</v>
      </c>
      <c r="O3021" s="93" t="s">
        <v>646</v>
      </c>
    </row>
    <row r="3022" spans="1:15" hidden="1">
      <c r="A3022" s="75" t="str">
        <f t="shared" si="112"/>
        <v>TWPCHOMEDryerLG DryerLG 乾衣機</v>
      </c>
      <c r="B3022" s="94" t="str">
        <f t="shared" si="113"/>
        <v>TW_PCHOME</v>
      </c>
      <c r="C3022" s="93" t="s">
        <v>218</v>
      </c>
      <c r="D3022" s="93" t="s">
        <v>222</v>
      </c>
      <c r="E3022" s="93" t="s">
        <v>2431</v>
      </c>
      <c r="F3022" s="93" t="s">
        <v>2434</v>
      </c>
      <c r="G3022" s="93" t="s">
        <v>3600</v>
      </c>
      <c r="H3022" s="93" t="e">
        <v>#N/A</v>
      </c>
      <c r="I3022" s="105" t="s">
        <v>2310</v>
      </c>
      <c r="J3022" s="93" t="s">
        <v>189</v>
      </c>
      <c r="K3022" s="93">
        <v>730</v>
      </c>
      <c r="L3022" s="93" t="e">
        <v>#N/A</v>
      </c>
      <c r="M3022" s="93" t="s">
        <v>2311</v>
      </c>
      <c r="N3022" s="93">
        <f>VLOOKUP(B3022,'[16]01.수집 카테고리(List)'!$A$2:$H$64,8,FALSE)</f>
        <v>99991231</v>
      </c>
      <c r="O3022" s="93" t="s">
        <v>646</v>
      </c>
    </row>
    <row r="3023" spans="1:15" ht="17.399999999999999" hidden="1">
      <c r="A3023" s="75" t="str">
        <f t="shared" si="112"/>
        <v>TWPCHOMEDryerLG heatPumpLG熱泵</v>
      </c>
      <c r="B3023" s="94" t="str">
        <f t="shared" si="113"/>
        <v>TW_PCHOME</v>
      </c>
      <c r="C3023" s="93" t="s">
        <v>218</v>
      </c>
      <c r="D3023" s="93" t="s">
        <v>222</v>
      </c>
      <c r="E3023" s="93" t="s">
        <v>2431</v>
      </c>
      <c r="F3023" s="93" t="s">
        <v>3601</v>
      </c>
      <c r="G3023" s="93" t="s">
        <v>3602</v>
      </c>
      <c r="H3023" s="93" t="e">
        <v>#N/A</v>
      </c>
      <c r="I3023" s="105" t="s">
        <v>2310</v>
      </c>
      <c r="J3023" s="93" t="s">
        <v>189</v>
      </c>
      <c r="K3023" s="93">
        <v>3315</v>
      </c>
      <c r="L3023" s="93" t="e">
        <v>#N/A</v>
      </c>
      <c r="M3023" s="93" t="s">
        <v>2311</v>
      </c>
      <c r="N3023" s="93">
        <f>VLOOKUP(B3023,'[16]01.수집 카테고리(List)'!$A$2:$H$64,8,FALSE)</f>
        <v>99991231</v>
      </c>
      <c r="O3023" s="93" t="s">
        <v>646</v>
      </c>
    </row>
    <row r="3024" spans="1:15" hidden="1">
      <c r="A3024" s="75" t="str">
        <f t="shared" si="112"/>
        <v>TWPCHOMEDryerDual Inverter雙逆變器</v>
      </c>
      <c r="B3024" s="94" t="str">
        <f t="shared" si="113"/>
        <v>TW_PCHOME</v>
      </c>
      <c r="C3024" s="93" t="s">
        <v>218</v>
      </c>
      <c r="D3024" s="93" t="s">
        <v>222</v>
      </c>
      <c r="E3024" s="93" t="s">
        <v>2431</v>
      </c>
      <c r="F3024" s="93" t="s">
        <v>3603</v>
      </c>
      <c r="G3024" s="93" t="s">
        <v>3604</v>
      </c>
      <c r="H3024" s="93" t="e">
        <v>#N/A</v>
      </c>
      <c r="I3024" s="105" t="s">
        <v>2310</v>
      </c>
      <c r="J3024" s="93" t="s">
        <v>189</v>
      </c>
      <c r="K3024" s="93">
        <v>2</v>
      </c>
      <c r="L3024" s="93" t="e">
        <v>#N/A</v>
      </c>
      <c r="M3024" s="93" t="s">
        <v>2311</v>
      </c>
      <c r="N3024" s="93">
        <f>VLOOKUP(B3024,'[16]01.수집 카테고리(List)'!$A$2:$H$64,8,FALSE)</f>
        <v>99991231</v>
      </c>
      <c r="O3024" s="93" t="s">
        <v>646</v>
      </c>
    </row>
    <row r="3025" spans="1:15" ht="17.399999999999999" hidden="1">
      <c r="A3025" s="75" t="str">
        <f t="shared" si="112"/>
        <v>TWPCHOMEDryerHeatPump熱泵</v>
      </c>
      <c r="B3025" s="94" t="str">
        <f t="shared" si="113"/>
        <v>TW_PCHOME</v>
      </c>
      <c r="C3025" s="93" t="s">
        <v>218</v>
      </c>
      <c r="D3025" s="93" t="s">
        <v>222</v>
      </c>
      <c r="E3025" s="93" t="s">
        <v>2431</v>
      </c>
      <c r="F3025" s="93" t="s">
        <v>3605</v>
      </c>
      <c r="G3025" s="93" t="s">
        <v>3606</v>
      </c>
      <c r="H3025" s="93" t="e">
        <v>#N/A</v>
      </c>
      <c r="I3025" s="105" t="s">
        <v>2310</v>
      </c>
      <c r="J3025" s="93" t="s">
        <v>189</v>
      </c>
      <c r="K3025" s="93">
        <v>1511</v>
      </c>
      <c r="L3025" s="93" t="e">
        <v>#N/A</v>
      </c>
      <c r="M3025" s="93" t="s">
        <v>2311</v>
      </c>
      <c r="N3025" s="93">
        <f>VLOOKUP(B3025,'[16]01.수집 카테고리(List)'!$A$2:$H$64,8,FALSE)</f>
        <v>99991231</v>
      </c>
      <c r="O3025" s="93" t="s">
        <v>646</v>
      </c>
    </row>
    <row r="3026" spans="1:15" ht="17.399999999999999" hidden="1">
      <c r="A3026" s="75" t="str">
        <f t="shared" si="112"/>
        <v>TWPCHOMEDryerHeatpump Dryer熱泵乾衣機</v>
      </c>
      <c r="B3026" s="94" t="str">
        <f t="shared" si="113"/>
        <v>TW_PCHOME</v>
      </c>
      <c r="C3026" s="93" t="s">
        <v>218</v>
      </c>
      <c r="D3026" s="93" t="s">
        <v>222</v>
      </c>
      <c r="E3026" s="93" t="s">
        <v>2431</v>
      </c>
      <c r="F3026" s="93" t="s">
        <v>3607</v>
      </c>
      <c r="G3026" s="93" t="s">
        <v>3608</v>
      </c>
      <c r="H3026" s="93" t="e">
        <v>#N/A</v>
      </c>
      <c r="I3026" s="105" t="s">
        <v>2310</v>
      </c>
      <c r="J3026" s="93" t="s">
        <v>189</v>
      </c>
      <c r="K3026" s="93">
        <v>356</v>
      </c>
      <c r="L3026" s="93" t="e">
        <v>#N/A</v>
      </c>
      <c r="M3026" s="93" t="s">
        <v>2311</v>
      </c>
      <c r="N3026" s="93">
        <f>VLOOKUP(B3026,'[16]01.수집 카테고리(List)'!$A$2:$H$64,8,FALSE)</f>
        <v>99991231</v>
      </c>
      <c r="O3026" s="93" t="s">
        <v>646</v>
      </c>
    </row>
    <row r="3027" spans="1:15" hidden="1">
      <c r="A3027" s="75" t="str">
        <f t="shared" si="112"/>
        <v>TWPCHOMEDryerUltimate Laundry終極洗衣</v>
      </c>
      <c r="B3027" s="94" t="str">
        <f t="shared" si="113"/>
        <v>TW_PCHOME</v>
      </c>
      <c r="C3027" s="93" t="s">
        <v>218</v>
      </c>
      <c r="D3027" s="93" t="s">
        <v>222</v>
      </c>
      <c r="E3027" s="93" t="s">
        <v>2431</v>
      </c>
      <c r="F3027" s="93" t="s">
        <v>3609</v>
      </c>
      <c r="G3027" s="93" t="s">
        <v>3610</v>
      </c>
      <c r="H3027" s="93" t="e">
        <v>#N/A</v>
      </c>
      <c r="I3027" s="105" t="s">
        <v>2310</v>
      </c>
      <c r="J3027" s="93" t="s">
        <v>189</v>
      </c>
      <c r="K3027" s="93">
        <v>118254</v>
      </c>
      <c r="L3027" s="93" t="e">
        <v>#N/A</v>
      </c>
      <c r="M3027" s="93" t="s">
        <v>2311</v>
      </c>
      <c r="N3027" s="93">
        <f>VLOOKUP(B3027,'[16]01.수집 카테고리(List)'!$A$2:$H$64,8,FALSE)</f>
        <v>99991231</v>
      </c>
      <c r="O3027" s="93" t="s">
        <v>646</v>
      </c>
    </row>
    <row r="3028" spans="1:15" hidden="1">
      <c r="A3028" s="75" t="str">
        <f t="shared" si="112"/>
        <v>TWPCHOMELaptop15inch Laptop15吋筆記型電腦</v>
      </c>
      <c r="B3028" s="94" t="str">
        <f t="shared" si="113"/>
        <v>TW_PCHOME</v>
      </c>
      <c r="C3028" s="93" t="s">
        <v>218</v>
      </c>
      <c r="D3028" s="93" t="s">
        <v>222</v>
      </c>
      <c r="E3028" s="93" t="s">
        <v>2407</v>
      </c>
      <c r="F3028" s="93" t="s">
        <v>2408</v>
      </c>
      <c r="G3028" s="93" t="s">
        <v>3611</v>
      </c>
      <c r="H3028" s="93" t="e">
        <v>#N/A</v>
      </c>
      <c r="I3028" s="105" t="s">
        <v>2310</v>
      </c>
      <c r="J3028" s="93" t="s">
        <v>189</v>
      </c>
      <c r="K3028" s="93">
        <v>97800</v>
      </c>
      <c r="L3028" s="93" t="e">
        <v>#N/A</v>
      </c>
      <c r="M3028" s="93" t="s">
        <v>2311</v>
      </c>
      <c r="N3028" s="93">
        <f>VLOOKUP(B3028,'[16]01.수집 카테고리(List)'!$A$2:$H$64,8,FALSE)</f>
        <v>99991231</v>
      </c>
      <c r="O3028" s="93" t="s">
        <v>646</v>
      </c>
    </row>
    <row r="3029" spans="1:15" hidden="1">
      <c r="A3029" s="75" t="str">
        <f t="shared" si="112"/>
        <v>TWPCHOMELaptop17inch Laptop17吋筆記型電腦</v>
      </c>
      <c r="B3029" s="94" t="str">
        <f t="shared" si="113"/>
        <v>TW_PCHOME</v>
      </c>
      <c r="C3029" s="93" t="s">
        <v>218</v>
      </c>
      <c r="D3029" s="93" t="s">
        <v>222</v>
      </c>
      <c r="E3029" s="93" t="s">
        <v>2407</v>
      </c>
      <c r="F3029" s="93" t="s">
        <v>2409</v>
      </c>
      <c r="G3029" s="93" t="s">
        <v>3612</v>
      </c>
      <c r="H3029" s="93" t="e">
        <v>#N/A</v>
      </c>
      <c r="I3029" s="105" t="s">
        <v>2310</v>
      </c>
      <c r="J3029" s="93" t="s">
        <v>189</v>
      </c>
      <c r="K3029" s="93">
        <v>20221</v>
      </c>
      <c r="L3029" s="93" t="e">
        <v>#N/A</v>
      </c>
      <c r="M3029" s="93" t="s">
        <v>2311</v>
      </c>
      <c r="N3029" s="93">
        <f>VLOOKUP(B3029,'[16]01.수집 카테고리(List)'!$A$2:$H$64,8,FALSE)</f>
        <v>99991231</v>
      </c>
      <c r="O3029" s="93" t="s">
        <v>646</v>
      </c>
    </row>
    <row r="3030" spans="1:15" hidden="1">
      <c r="A3030" s="75" t="str">
        <f t="shared" si="112"/>
        <v>TWPCHOMELaptopi7 laptopi7 筆記型電腦</v>
      </c>
      <c r="B3030" s="94" t="str">
        <f t="shared" si="113"/>
        <v>TW_PCHOME</v>
      </c>
      <c r="C3030" s="93" t="s">
        <v>218</v>
      </c>
      <c r="D3030" s="93" t="s">
        <v>222</v>
      </c>
      <c r="E3030" s="93" t="s">
        <v>2407</v>
      </c>
      <c r="F3030" s="93" t="s">
        <v>2410</v>
      </c>
      <c r="G3030" s="93" t="s">
        <v>3613</v>
      </c>
      <c r="H3030" s="93" t="e">
        <v>#N/A</v>
      </c>
      <c r="I3030" s="105" t="s">
        <v>2310</v>
      </c>
      <c r="J3030" s="93" t="s">
        <v>189</v>
      </c>
      <c r="K3030" s="93">
        <v>40187</v>
      </c>
      <c r="L3030" s="93" t="e">
        <v>#N/A</v>
      </c>
      <c r="M3030" s="93" t="s">
        <v>2311</v>
      </c>
      <c r="N3030" s="93">
        <f>VLOOKUP(B3030,'[16]01.수집 카테고리(List)'!$A$2:$H$64,8,FALSE)</f>
        <v>99991231</v>
      </c>
      <c r="O3030" s="93" t="s">
        <v>646</v>
      </c>
    </row>
    <row r="3031" spans="1:15" hidden="1">
      <c r="A3031" s="75" t="str">
        <f t="shared" si="112"/>
        <v>TWPCHOMELaptopLightweight Laptop輕薄筆記型電腦</v>
      </c>
      <c r="B3031" s="94" t="str">
        <f t="shared" si="113"/>
        <v>TW_PCHOME</v>
      </c>
      <c r="C3031" s="93" t="s">
        <v>218</v>
      </c>
      <c r="D3031" s="93" t="s">
        <v>222</v>
      </c>
      <c r="E3031" s="93" t="s">
        <v>2407</v>
      </c>
      <c r="F3031" s="93" t="s">
        <v>2411</v>
      </c>
      <c r="G3031" s="93" t="s">
        <v>3614</v>
      </c>
      <c r="H3031" s="93" t="e">
        <v>#N/A</v>
      </c>
      <c r="I3031" s="105" t="s">
        <v>2310</v>
      </c>
      <c r="J3031" s="93" t="s">
        <v>189</v>
      </c>
      <c r="K3031" s="93">
        <v>29230</v>
      </c>
      <c r="L3031" s="93" t="e">
        <v>#N/A</v>
      </c>
      <c r="M3031" s="93" t="s">
        <v>2311</v>
      </c>
      <c r="N3031" s="93">
        <f>VLOOKUP(B3031,'[16]01.수집 카테고리(List)'!$A$2:$H$64,8,FALSE)</f>
        <v>99991231</v>
      </c>
      <c r="O3031" s="93" t="s">
        <v>646</v>
      </c>
    </row>
    <row r="3032" spans="1:15" hidden="1">
      <c r="A3032" s="75" t="str">
        <f t="shared" si="112"/>
        <v>TWPCHOMELaptopLaptop筆記型電腦</v>
      </c>
      <c r="B3032" s="94" t="str">
        <f t="shared" si="113"/>
        <v>TW_PCHOME</v>
      </c>
      <c r="C3032" s="93" t="s">
        <v>218</v>
      </c>
      <c r="D3032" s="93" t="s">
        <v>222</v>
      </c>
      <c r="E3032" s="93" t="s">
        <v>2407</v>
      </c>
      <c r="F3032" s="93" t="s">
        <v>2407</v>
      </c>
      <c r="G3032" s="93" t="s">
        <v>3615</v>
      </c>
      <c r="H3032" s="93" t="e">
        <v>#N/A</v>
      </c>
      <c r="I3032" s="105" t="s">
        <v>2310</v>
      </c>
      <c r="J3032" s="93" t="s">
        <v>189</v>
      </c>
      <c r="K3032" s="93">
        <v>111981</v>
      </c>
      <c r="L3032" s="93" t="e">
        <v>#N/A</v>
      </c>
      <c r="M3032" s="93" t="s">
        <v>2311</v>
      </c>
      <c r="N3032" s="93">
        <f>VLOOKUP(B3032,'[16]01.수집 카테고리(List)'!$A$2:$H$64,8,FALSE)</f>
        <v>99991231</v>
      </c>
      <c r="O3032" s="93" t="s">
        <v>646</v>
      </c>
    </row>
    <row r="3033" spans="1:15" hidden="1">
      <c r="A3033" s="75" t="str">
        <f t="shared" si="112"/>
        <v>TWPCHOMEMonitorultrawide monitor21:9螢幕</v>
      </c>
      <c r="B3033" s="94" t="str">
        <f t="shared" si="113"/>
        <v>TW_PCHOME</v>
      </c>
      <c r="C3033" s="93" t="s">
        <v>218</v>
      </c>
      <c r="D3033" s="93" t="s">
        <v>222</v>
      </c>
      <c r="E3033" s="93" t="s">
        <v>2320</v>
      </c>
      <c r="F3033" s="93" t="s">
        <v>2325</v>
      </c>
      <c r="G3033" s="93" t="s">
        <v>3616</v>
      </c>
      <c r="H3033" s="93" t="e">
        <v>#N/A</v>
      </c>
      <c r="I3033" s="105" t="s">
        <v>2310</v>
      </c>
      <c r="J3033" s="93" t="s">
        <v>189</v>
      </c>
      <c r="K3033" s="93">
        <v>8050</v>
      </c>
      <c r="L3033" s="93" t="e">
        <v>#N/A</v>
      </c>
      <c r="M3033" s="93" t="s">
        <v>2311</v>
      </c>
      <c r="N3033" s="93">
        <f>VLOOKUP(B3033,'[16]01.수집 카테고리(List)'!$A$2:$H$64,8,FALSE)</f>
        <v>99991231</v>
      </c>
      <c r="O3033" s="93" t="s">
        <v>646</v>
      </c>
    </row>
    <row r="3034" spans="1:15" hidden="1">
      <c r="A3034" s="75" t="str">
        <f t="shared" si="112"/>
        <v>TWPCHOMEMonitor4k monitor4K螢幕</v>
      </c>
      <c r="B3034" s="94" t="str">
        <f t="shared" si="113"/>
        <v>TW_PCHOME</v>
      </c>
      <c r="C3034" s="93" t="s">
        <v>218</v>
      </c>
      <c r="D3034" s="93" t="s">
        <v>222</v>
      </c>
      <c r="E3034" s="93" t="s">
        <v>2320</v>
      </c>
      <c r="F3034" s="93" t="s">
        <v>2321</v>
      </c>
      <c r="G3034" s="93" t="s">
        <v>3617</v>
      </c>
      <c r="H3034" s="93" t="e">
        <v>#N/A</v>
      </c>
      <c r="I3034" s="105" t="s">
        <v>2310</v>
      </c>
      <c r="J3034" s="93" t="s">
        <v>189</v>
      </c>
      <c r="K3034" s="93">
        <v>42779</v>
      </c>
      <c r="L3034" s="93" t="e">
        <v>#N/A</v>
      </c>
      <c r="M3034" s="93" t="s">
        <v>2311</v>
      </c>
      <c r="N3034" s="93">
        <f>VLOOKUP(B3034,'[16]01.수집 카테고리(List)'!$A$2:$H$64,8,FALSE)</f>
        <v>99991231</v>
      </c>
      <c r="O3034" s="93" t="s">
        <v>646</v>
      </c>
    </row>
    <row r="3035" spans="1:15" hidden="1">
      <c r="A3035" s="75" t="str">
        <f t="shared" ref="A3035:A3096" si="114">C3035&amp;D3035&amp;E3035&amp;F3035&amp;G3035</f>
        <v>TWPCHOMEMonitorgaming monitor電競螢幕</v>
      </c>
      <c r="B3035" s="94" t="str">
        <f t="shared" ref="B3035:B3096" si="115">C3035&amp;"_"&amp;D3035</f>
        <v>TW_PCHOME</v>
      </c>
      <c r="C3035" s="93" t="s">
        <v>218</v>
      </c>
      <c r="D3035" s="93" t="s">
        <v>222</v>
      </c>
      <c r="E3035" s="93" t="s">
        <v>2320</v>
      </c>
      <c r="F3035" s="93" t="s">
        <v>2322</v>
      </c>
      <c r="G3035" s="93" t="s">
        <v>3618</v>
      </c>
      <c r="H3035" s="93" t="e">
        <v>#N/A</v>
      </c>
      <c r="I3035" s="105" t="s">
        <v>2310</v>
      </c>
      <c r="J3035" s="93" t="s">
        <v>189</v>
      </c>
      <c r="K3035" s="93">
        <v>59258</v>
      </c>
      <c r="L3035" s="93" t="e">
        <v>#N/A</v>
      </c>
      <c r="M3035" s="93" t="s">
        <v>2311</v>
      </c>
      <c r="N3035" s="93">
        <f>VLOOKUP(B3035,'[16]01.수집 카테고리(List)'!$A$2:$H$64,8,FALSE)</f>
        <v>99991231</v>
      </c>
      <c r="O3035" s="93" t="s">
        <v>646</v>
      </c>
    </row>
    <row r="3036" spans="1:15" hidden="1">
      <c r="A3036" s="75" t="str">
        <f t="shared" si="114"/>
        <v>TWPCHOMEMonitormonitor螢幕</v>
      </c>
      <c r="B3036" s="94" t="str">
        <f t="shared" si="115"/>
        <v>TW_PCHOME</v>
      </c>
      <c r="C3036" s="93" t="s">
        <v>218</v>
      </c>
      <c r="D3036" s="93" t="s">
        <v>222</v>
      </c>
      <c r="E3036" s="93" t="s">
        <v>2320</v>
      </c>
      <c r="F3036" s="93" t="s">
        <v>2323</v>
      </c>
      <c r="G3036" s="93" t="s">
        <v>3619</v>
      </c>
      <c r="H3036" s="93" t="e">
        <v>#N/A</v>
      </c>
      <c r="I3036" s="105" t="s">
        <v>2310</v>
      </c>
      <c r="J3036" s="93" t="s">
        <v>189</v>
      </c>
      <c r="K3036" s="93">
        <v>81489</v>
      </c>
      <c r="L3036" s="93" t="e">
        <v>#N/A</v>
      </c>
      <c r="M3036" s="93" t="s">
        <v>2311</v>
      </c>
      <c r="N3036" s="93">
        <f>VLOOKUP(B3036,'[16]01.수집 카테고리(List)'!$A$2:$H$64,8,FALSE)</f>
        <v>99991231</v>
      </c>
      <c r="O3036" s="93" t="s">
        <v>646</v>
      </c>
    </row>
    <row r="3037" spans="1:15" hidden="1">
      <c r="A3037" s="75" t="str">
        <f t="shared" si="114"/>
        <v>TWPCHOMERefrigeratorside by side refrigerator對開冰箱</v>
      </c>
      <c r="B3037" s="94" t="str">
        <f t="shared" si="115"/>
        <v>TW_PCHOME</v>
      </c>
      <c r="C3037" s="93" t="s">
        <v>218</v>
      </c>
      <c r="D3037" s="93" t="s">
        <v>222</v>
      </c>
      <c r="E3037" s="93" t="s">
        <v>2326</v>
      </c>
      <c r="F3037" s="93" t="s">
        <v>2330</v>
      </c>
      <c r="G3037" s="93" t="s">
        <v>3620</v>
      </c>
      <c r="H3037" s="93" t="e">
        <v>#N/A</v>
      </c>
      <c r="I3037" s="105" t="s">
        <v>2310</v>
      </c>
      <c r="J3037" s="93" t="s">
        <v>189</v>
      </c>
      <c r="K3037" s="93">
        <v>723</v>
      </c>
      <c r="L3037" s="93" t="e">
        <v>#N/A</v>
      </c>
      <c r="M3037" s="93" t="s">
        <v>2311</v>
      </c>
      <c r="N3037" s="93">
        <f>VLOOKUP(B3037,'[16]01.수집 카테고리(List)'!$A$2:$H$64,8,FALSE)</f>
        <v>99991231</v>
      </c>
      <c r="O3037" s="93" t="s">
        <v>646</v>
      </c>
    </row>
    <row r="3038" spans="1:15" hidden="1">
      <c r="A3038" s="75" t="str">
        <f t="shared" si="114"/>
        <v>TWPCHOMERefrigeratorrefrigerator冰箱</v>
      </c>
      <c r="B3038" s="94" t="str">
        <f t="shared" si="115"/>
        <v>TW_PCHOME</v>
      </c>
      <c r="C3038" s="93" t="s">
        <v>218</v>
      </c>
      <c r="D3038" s="93" t="s">
        <v>222</v>
      </c>
      <c r="E3038" s="93" t="s">
        <v>2326</v>
      </c>
      <c r="F3038" s="93" t="s">
        <v>2329</v>
      </c>
      <c r="G3038" s="93" t="s">
        <v>3621</v>
      </c>
      <c r="H3038" s="93" t="e">
        <v>#N/A</v>
      </c>
      <c r="I3038" s="105" t="s">
        <v>2310</v>
      </c>
      <c r="J3038" s="93" t="s">
        <v>189</v>
      </c>
      <c r="K3038" s="93">
        <v>63585</v>
      </c>
      <c r="L3038" s="93" t="e">
        <v>#N/A</v>
      </c>
      <c r="M3038" s="93" t="s">
        <v>2311</v>
      </c>
      <c r="N3038" s="93">
        <f>VLOOKUP(B3038,'[16]01.수집 카테고리(List)'!$A$2:$H$64,8,FALSE)</f>
        <v>99991231</v>
      </c>
      <c r="O3038" s="93" t="s">
        <v>646</v>
      </c>
    </row>
    <row r="3039" spans="1:15" hidden="1">
      <c r="A3039" s="75" t="str">
        <f t="shared" si="114"/>
        <v>TWPCHOMERefrigeratorfrench door refrigerator雙門冰箱</v>
      </c>
      <c r="B3039" s="94" t="str">
        <f t="shared" si="115"/>
        <v>TW_PCHOME</v>
      </c>
      <c r="C3039" s="93" t="s">
        <v>218</v>
      </c>
      <c r="D3039" s="93" t="s">
        <v>222</v>
      </c>
      <c r="E3039" s="93" t="s">
        <v>2326</v>
      </c>
      <c r="F3039" s="93" t="s">
        <v>2328</v>
      </c>
      <c r="G3039" s="93" t="s">
        <v>3622</v>
      </c>
      <c r="H3039" s="93" t="e">
        <v>#N/A</v>
      </c>
      <c r="I3039" s="105" t="s">
        <v>2310</v>
      </c>
      <c r="J3039" s="93" t="s">
        <v>189</v>
      </c>
      <c r="K3039" s="93">
        <v>26</v>
      </c>
      <c r="L3039" s="93" t="e">
        <v>#N/A</v>
      </c>
      <c r="M3039" s="93" t="s">
        <v>2311</v>
      </c>
      <c r="N3039" s="93">
        <f>VLOOKUP(B3039,'[16]01.수집 카테고리(List)'!$A$2:$H$64,8,FALSE)</f>
        <v>99991231</v>
      </c>
      <c r="O3039" s="93" t="s">
        <v>646</v>
      </c>
    </row>
    <row r="3040" spans="1:15" hidden="1">
      <c r="A3040" s="75" t="str">
        <f t="shared" si="114"/>
        <v>TWPCHOMESOUNDBARsoundbarSoundbar</v>
      </c>
      <c r="B3040" s="94" t="str">
        <f t="shared" si="115"/>
        <v>TW_PCHOME</v>
      </c>
      <c r="C3040" s="93" t="s">
        <v>218</v>
      </c>
      <c r="D3040" s="93" t="s">
        <v>222</v>
      </c>
      <c r="E3040" s="93" t="s">
        <v>165</v>
      </c>
      <c r="F3040" s="93" t="s">
        <v>2987</v>
      </c>
      <c r="G3040" s="93" t="s">
        <v>2363</v>
      </c>
      <c r="H3040" s="93" t="e">
        <v>#N/A</v>
      </c>
      <c r="I3040" s="105" t="s">
        <v>2310</v>
      </c>
      <c r="J3040" s="93" t="s">
        <v>189</v>
      </c>
      <c r="K3040" s="93">
        <v>17261</v>
      </c>
      <c r="L3040" s="93">
        <v>17261</v>
      </c>
      <c r="M3040" s="93" t="s">
        <v>2311</v>
      </c>
      <c r="N3040" s="93">
        <f>VLOOKUP(B3040,'[16]01.수집 카테고리(List)'!$A$2:$H$64,8,FALSE)</f>
        <v>99991231</v>
      </c>
      <c r="O3040" s="93" t="s">
        <v>646</v>
      </c>
    </row>
    <row r="3041" spans="1:15" ht="17.399999999999999" hidden="1">
      <c r="A3041" s="75" t="str">
        <f t="shared" si="114"/>
        <v>TWPCHOMESTYELERstyler蒸氣電子衣櫥</v>
      </c>
      <c r="B3041" s="94" t="str">
        <f t="shared" si="115"/>
        <v>TW_PCHOME</v>
      </c>
      <c r="C3041" s="93" t="s">
        <v>218</v>
      </c>
      <c r="D3041" s="93" t="s">
        <v>222</v>
      </c>
      <c r="E3041" s="93" t="s">
        <v>3623</v>
      </c>
      <c r="F3041" s="93" t="s">
        <v>2550</v>
      </c>
      <c r="G3041" s="93" t="s">
        <v>3624</v>
      </c>
      <c r="H3041" s="93" t="e">
        <v>#N/A</v>
      </c>
      <c r="I3041" s="105" t="s">
        <v>2310</v>
      </c>
      <c r="J3041" s="93" t="s">
        <v>189</v>
      </c>
      <c r="K3041" s="93">
        <v>457</v>
      </c>
      <c r="L3041" s="93" t="e">
        <v>#N/A</v>
      </c>
      <c r="M3041" s="93" t="s">
        <v>2311</v>
      </c>
      <c r="N3041" s="93">
        <f>VLOOKUP(B3041,'[16]01.수집 카테고리(List)'!$A$2:$H$64,8,FALSE)</f>
        <v>99991231</v>
      </c>
      <c r="O3041" s="93" t="s">
        <v>646</v>
      </c>
    </row>
    <row r="3042" spans="1:15" ht="17.399999999999999" hidden="1">
      <c r="A3042" s="75" t="str">
        <f t="shared" si="114"/>
        <v>TWPCHOMESTYLERsteam styler蒸氣電子衣櫥</v>
      </c>
      <c r="B3042" s="94" t="str">
        <f t="shared" si="115"/>
        <v>TW_PCHOME</v>
      </c>
      <c r="C3042" s="93" t="s">
        <v>218</v>
      </c>
      <c r="D3042" s="93" t="s">
        <v>222</v>
      </c>
      <c r="E3042" s="93" t="s">
        <v>174</v>
      </c>
      <c r="F3042" s="93" t="s">
        <v>3625</v>
      </c>
      <c r="G3042" s="93" t="s">
        <v>3624</v>
      </c>
      <c r="H3042" s="93" t="e">
        <v>#N/A</v>
      </c>
      <c r="I3042" s="105" t="s">
        <v>2310</v>
      </c>
      <c r="J3042" s="93" t="s">
        <v>189</v>
      </c>
      <c r="K3042" s="93">
        <v>457</v>
      </c>
      <c r="L3042" s="93" t="e">
        <v>#N/A</v>
      </c>
      <c r="M3042" s="93" t="s">
        <v>2311</v>
      </c>
      <c r="N3042" s="93">
        <f>VLOOKUP(B3042,'[16]01.수집 카테고리(List)'!$A$2:$H$64,8,FALSE)</f>
        <v>99991231</v>
      </c>
      <c r="O3042" s="93" t="s">
        <v>646</v>
      </c>
    </row>
    <row r="3043" spans="1:15" hidden="1">
      <c r="A3043" s="75" t="str">
        <f t="shared" si="114"/>
        <v>TWPCHOMETV4k TV4k電視</v>
      </c>
      <c r="B3043" s="94" t="str">
        <f t="shared" si="115"/>
        <v>TW_PCHOME</v>
      </c>
      <c r="C3043" s="93" t="s">
        <v>218</v>
      </c>
      <c r="D3043" s="93" t="s">
        <v>222</v>
      </c>
      <c r="E3043" s="93" t="s">
        <v>161</v>
      </c>
      <c r="F3043" s="93" t="s">
        <v>2368</v>
      </c>
      <c r="G3043" s="93" t="s">
        <v>3626</v>
      </c>
      <c r="H3043" s="93" t="e">
        <v>#N/A</v>
      </c>
      <c r="I3043" s="105" t="s">
        <v>2310</v>
      </c>
      <c r="J3043" s="93" t="s">
        <v>189</v>
      </c>
      <c r="K3043" s="93">
        <v>54303</v>
      </c>
      <c r="L3043" s="93" t="e">
        <v>#N/A</v>
      </c>
      <c r="M3043" s="93" t="s">
        <v>2311</v>
      </c>
      <c r="N3043" s="93">
        <f>VLOOKUP(B3043,'[16]01.수집 카테고리(List)'!$A$2:$H$64,8,FALSE)</f>
        <v>99991231</v>
      </c>
      <c r="O3043" s="93" t="s">
        <v>646</v>
      </c>
    </row>
    <row r="3044" spans="1:15" hidden="1">
      <c r="A3044" s="75" t="str">
        <f t="shared" si="114"/>
        <v>TWPCHOMETVoled TVoled電視</v>
      </c>
      <c r="B3044" s="94" t="str">
        <f t="shared" si="115"/>
        <v>TW_PCHOME</v>
      </c>
      <c r="C3044" s="93" t="s">
        <v>218</v>
      </c>
      <c r="D3044" s="93" t="s">
        <v>222</v>
      </c>
      <c r="E3044" s="93" t="s">
        <v>161</v>
      </c>
      <c r="F3044" s="93" t="s">
        <v>2369</v>
      </c>
      <c r="G3044" s="93" t="s">
        <v>2901</v>
      </c>
      <c r="H3044" s="93" t="e">
        <v>#N/A</v>
      </c>
      <c r="I3044" s="105" t="s">
        <v>2310</v>
      </c>
      <c r="J3044" s="93" t="s">
        <v>189</v>
      </c>
      <c r="K3044" s="93">
        <v>322</v>
      </c>
      <c r="L3044" s="93" t="e">
        <v>#N/A</v>
      </c>
      <c r="M3044" s="93" t="s">
        <v>2311</v>
      </c>
      <c r="N3044" s="93">
        <f>VLOOKUP(B3044,'[16]01.수집 카테고리(List)'!$A$2:$H$64,8,FALSE)</f>
        <v>99991231</v>
      </c>
      <c r="O3044" s="93" t="s">
        <v>646</v>
      </c>
    </row>
    <row r="3045" spans="1:15" hidden="1">
      <c r="A3045" s="75" t="str">
        <f t="shared" si="114"/>
        <v>TWPCHOMETVTV電視</v>
      </c>
      <c r="B3045" s="94" t="str">
        <f t="shared" si="115"/>
        <v>TW_PCHOME</v>
      </c>
      <c r="C3045" s="93" t="s">
        <v>218</v>
      </c>
      <c r="D3045" s="93" t="s">
        <v>222</v>
      </c>
      <c r="E3045" s="93" t="s">
        <v>161</v>
      </c>
      <c r="F3045" s="93" t="s">
        <v>161</v>
      </c>
      <c r="G3045" s="93" t="s">
        <v>2904</v>
      </c>
      <c r="H3045" s="93" t="e">
        <v>#N/A</v>
      </c>
      <c r="I3045" s="105" t="s">
        <v>2310</v>
      </c>
      <c r="J3045" s="93" t="s">
        <v>189</v>
      </c>
      <c r="K3045" s="93">
        <v>67408</v>
      </c>
      <c r="L3045" s="93" t="e">
        <v>#N/A</v>
      </c>
      <c r="M3045" s="93" t="s">
        <v>2311</v>
      </c>
      <c r="N3045" s="93">
        <f>VLOOKUP(B3045,'[16]01.수집 카테고리(List)'!$A$2:$H$64,8,FALSE)</f>
        <v>99991231</v>
      </c>
      <c r="O3045" s="93" t="s">
        <v>646</v>
      </c>
    </row>
    <row r="3046" spans="1:15" hidden="1">
      <c r="A3046" s="75" t="str">
        <f t="shared" si="114"/>
        <v>TWPCHOMETVsmart TV智慧電視</v>
      </c>
      <c r="B3046" s="94" t="str">
        <f t="shared" si="115"/>
        <v>TW_PCHOME</v>
      </c>
      <c r="C3046" s="93" t="s">
        <v>218</v>
      </c>
      <c r="D3046" s="93" t="s">
        <v>222</v>
      </c>
      <c r="E3046" s="93" t="s">
        <v>161</v>
      </c>
      <c r="F3046" s="93" t="s">
        <v>2371</v>
      </c>
      <c r="G3046" s="93" t="s">
        <v>3627</v>
      </c>
      <c r="H3046" s="93" t="e">
        <v>#N/A</v>
      </c>
      <c r="I3046" s="105" t="s">
        <v>2310</v>
      </c>
      <c r="J3046" s="93" t="s">
        <v>189</v>
      </c>
      <c r="K3046" s="93">
        <v>12359</v>
      </c>
      <c r="L3046" s="93" t="e">
        <v>#N/A</v>
      </c>
      <c r="M3046" s="93" t="s">
        <v>2311</v>
      </c>
      <c r="N3046" s="93">
        <f>VLOOKUP(B3046,'[16]01.수집 카테고리(List)'!$A$2:$H$64,8,FALSE)</f>
        <v>99991231</v>
      </c>
      <c r="O3046" s="93" t="s">
        <v>646</v>
      </c>
    </row>
    <row r="3047" spans="1:15" hidden="1">
      <c r="A3047" s="75" t="str">
        <f t="shared" si="114"/>
        <v>TWPCHOMEWashing Machinefront loader滾筒洗衣機</v>
      </c>
      <c r="B3047" s="94" t="str">
        <f t="shared" si="115"/>
        <v>TW_PCHOME</v>
      </c>
      <c r="C3047" s="93" t="s">
        <v>218</v>
      </c>
      <c r="D3047" s="93" t="s">
        <v>222</v>
      </c>
      <c r="E3047" s="93" t="s">
        <v>2333</v>
      </c>
      <c r="F3047" s="93" t="s">
        <v>2334</v>
      </c>
      <c r="G3047" s="93" t="s">
        <v>3628</v>
      </c>
      <c r="H3047" s="93" t="e">
        <v>#N/A</v>
      </c>
      <c r="I3047" s="105" t="s">
        <v>2310</v>
      </c>
      <c r="J3047" s="93" t="s">
        <v>189</v>
      </c>
      <c r="K3047" s="93">
        <v>20794</v>
      </c>
      <c r="L3047" s="93" t="e">
        <v>#N/A</v>
      </c>
      <c r="M3047" s="93" t="s">
        <v>2311</v>
      </c>
      <c r="N3047" s="93">
        <f>VLOOKUP(B3047,'[16]01.수집 카테고리(List)'!$A$2:$H$64,8,FALSE)</f>
        <v>99991231</v>
      </c>
      <c r="O3047" s="93" t="s">
        <v>646</v>
      </c>
    </row>
    <row r="3048" spans="1:15" hidden="1">
      <c r="A3048" s="75" t="str">
        <f t="shared" si="114"/>
        <v>TWPCHOMEWashing Machinewashing machine洗衣機</v>
      </c>
      <c r="B3048" s="94" t="str">
        <f t="shared" si="115"/>
        <v>TW_PCHOME</v>
      </c>
      <c r="C3048" s="93" t="s">
        <v>218</v>
      </c>
      <c r="D3048" s="93" t="s">
        <v>222</v>
      </c>
      <c r="E3048" s="93" t="s">
        <v>2333</v>
      </c>
      <c r="F3048" s="93" t="s">
        <v>2340</v>
      </c>
      <c r="G3048" s="93" t="s">
        <v>2908</v>
      </c>
      <c r="H3048" s="93" t="e">
        <v>#N/A</v>
      </c>
      <c r="I3048" s="105" t="s">
        <v>2310</v>
      </c>
      <c r="J3048" s="93" t="s">
        <v>189</v>
      </c>
      <c r="K3048" s="93">
        <v>103935</v>
      </c>
      <c r="L3048" s="93" t="e">
        <v>#N/A</v>
      </c>
      <c r="M3048" s="93" t="s">
        <v>2311</v>
      </c>
      <c r="N3048" s="93">
        <f>VLOOKUP(B3048,'[16]01.수집 카테고리(List)'!$A$2:$H$64,8,FALSE)</f>
        <v>99991231</v>
      </c>
      <c r="O3048" s="93" t="s">
        <v>646</v>
      </c>
    </row>
    <row r="3049" spans="1:15" hidden="1">
      <c r="A3049" s="75" t="str">
        <f t="shared" si="114"/>
        <v>TWPCHOMEWashing Machinewasher dryer combo洗脫烘</v>
      </c>
      <c r="B3049" s="94" t="str">
        <f t="shared" si="115"/>
        <v>TW_PCHOME</v>
      </c>
      <c r="C3049" s="93" t="s">
        <v>218</v>
      </c>
      <c r="D3049" s="93" t="s">
        <v>222</v>
      </c>
      <c r="E3049" s="93" t="s">
        <v>2333</v>
      </c>
      <c r="F3049" s="93" t="s">
        <v>2338</v>
      </c>
      <c r="G3049" s="93" t="s">
        <v>3629</v>
      </c>
      <c r="H3049" s="93" t="e">
        <v>#N/A</v>
      </c>
      <c r="I3049" s="105" t="s">
        <v>2310</v>
      </c>
      <c r="J3049" s="93" t="s">
        <v>189</v>
      </c>
      <c r="K3049" s="93">
        <v>6411</v>
      </c>
      <c r="L3049" s="93" t="e">
        <v>#N/A</v>
      </c>
      <c r="M3049" s="93" t="s">
        <v>2311</v>
      </c>
      <c r="N3049" s="93">
        <f>VLOOKUP(B3049,'[16]01.수집 카테고리(List)'!$A$2:$H$64,8,FALSE)</f>
        <v>99991231</v>
      </c>
      <c r="O3049" s="93" t="s">
        <v>646</v>
      </c>
    </row>
    <row r="3050" spans="1:15" hidden="1">
      <c r="A3050" s="75" t="str">
        <f t="shared" si="114"/>
        <v>TWPCHOMEWashing Machinetop loader直立式洗衣機</v>
      </c>
      <c r="B3050" s="94" t="str">
        <f t="shared" si="115"/>
        <v>TW_PCHOME</v>
      </c>
      <c r="C3050" s="93" t="s">
        <v>218</v>
      </c>
      <c r="D3050" s="93" t="s">
        <v>222</v>
      </c>
      <c r="E3050" s="93" t="s">
        <v>2333</v>
      </c>
      <c r="F3050" s="93" t="s">
        <v>2336</v>
      </c>
      <c r="G3050" s="93" t="s">
        <v>3630</v>
      </c>
      <c r="H3050" s="93" t="e">
        <v>#N/A</v>
      </c>
      <c r="I3050" s="105" t="s">
        <v>2310</v>
      </c>
      <c r="J3050" s="93" t="s">
        <v>189</v>
      </c>
      <c r="K3050" s="93">
        <v>10848</v>
      </c>
      <c r="L3050" s="93" t="e">
        <v>#N/A</v>
      </c>
      <c r="M3050" s="93" t="s">
        <v>2311</v>
      </c>
      <c r="N3050" s="93">
        <f>VLOOKUP(B3050,'[16]01.수집 카테고리(List)'!$A$2:$H$64,8,FALSE)</f>
        <v>99991231</v>
      </c>
      <c r="O3050" s="93" t="s">
        <v>646</v>
      </c>
    </row>
    <row r="3051" spans="1:15" hidden="1">
      <c r="A3051" s="75" t="str">
        <f t="shared" si="114"/>
        <v>TWPCHOMEWireless Headsetnoise canceling headphones降噪耳機</v>
      </c>
      <c r="B3051" s="94" t="str">
        <f t="shared" si="115"/>
        <v>TW_PCHOME</v>
      </c>
      <c r="C3051" s="93" t="s">
        <v>218</v>
      </c>
      <c r="D3051" s="93" t="s">
        <v>222</v>
      </c>
      <c r="E3051" s="93" t="s">
        <v>2373</v>
      </c>
      <c r="F3051" s="93" t="s">
        <v>3631</v>
      </c>
      <c r="G3051" s="93" t="s">
        <v>3639</v>
      </c>
      <c r="H3051" s="93" t="e">
        <v>#N/A</v>
      </c>
      <c r="I3051" s="105" t="s">
        <v>2310</v>
      </c>
      <c r="J3051" s="93" t="s">
        <v>189</v>
      </c>
      <c r="K3051" s="93">
        <v>162</v>
      </c>
      <c r="L3051" s="93" t="e">
        <v>#N/A</v>
      </c>
      <c r="M3051" s="93" t="s">
        <v>2311</v>
      </c>
      <c r="N3051" s="93">
        <f>VLOOKUP(B3051,'[16]01.수집 카테고리(List)'!$A$2:$H$64,8,FALSE)</f>
        <v>99991231</v>
      </c>
      <c r="O3051" s="93" t="s">
        <v>646</v>
      </c>
    </row>
    <row r="3052" spans="1:15" hidden="1">
      <c r="A3052" s="75" t="str">
        <f t="shared" si="114"/>
        <v>TWPCHOMEWireless HeadsetTrue Wireless Earbuds藍牙耳機</v>
      </c>
      <c r="B3052" s="94" t="str">
        <f t="shared" si="115"/>
        <v>TW_PCHOME</v>
      </c>
      <c r="C3052" s="93" t="s">
        <v>218</v>
      </c>
      <c r="D3052" s="93" t="s">
        <v>222</v>
      </c>
      <c r="E3052" s="93" t="s">
        <v>2373</v>
      </c>
      <c r="F3052" s="93" t="s">
        <v>3023</v>
      </c>
      <c r="G3052" s="93" t="s">
        <v>2910</v>
      </c>
      <c r="H3052" s="93" t="e">
        <v>#N/A</v>
      </c>
      <c r="I3052" s="105" t="s">
        <v>2310</v>
      </c>
      <c r="J3052" s="93" t="s">
        <v>189</v>
      </c>
      <c r="K3052" s="93">
        <v>32924</v>
      </c>
      <c r="L3052" s="93" t="e">
        <v>#N/A</v>
      </c>
      <c r="M3052" s="93" t="s">
        <v>2311</v>
      </c>
      <c r="N3052" s="93">
        <f>VLOOKUP(B3052,'[16]01.수집 카테고리(List)'!$A$2:$H$64,8,FALSE)</f>
        <v>99991231</v>
      </c>
      <c r="O3052" s="93" t="s">
        <v>646</v>
      </c>
    </row>
    <row r="3053" spans="1:15" hidden="1">
      <c r="A3053" s="75" t="str">
        <f t="shared" si="114"/>
        <v>TWPCHOMEWireless HeadsetWireless Earbuds無線耳機</v>
      </c>
      <c r="B3053" s="94" t="str">
        <f t="shared" si="115"/>
        <v>TW_PCHOME</v>
      </c>
      <c r="C3053" s="93" t="s">
        <v>218</v>
      </c>
      <c r="D3053" s="93" t="s">
        <v>222</v>
      </c>
      <c r="E3053" s="93" t="s">
        <v>2373</v>
      </c>
      <c r="F3053" s="93" t="s">
        <v>2760</v>
      </c>
      <c r="G3053" s="93" t="s">
        <v>2912</v>
      </c>
      <c r="H3053" s="93" t="e">
        <v>#N/A</v>
      </c>
      <c r="I3053" s="105" t="s">
        <v>2310</v>
      </c>
      <c r="J3053" s="93" t="s">
        <v>189</v>
      </c>
      <c r="K3053" s="93">
        <v>38054</v>
      </c>
      <c r="L3053" s="93" t="e">
        <v>#N/A</v>
      </c>
      <c r="M3053" s="93" t="s">
        <v>2311</v>
      </c>
      <c r="N3053" s="93">
        <f>VLOOKUP(B3053,'[16]01.수집 카테고리(List)'!$A$2:$H$64,8,FALSE)</f>
        <v>99991231</v>
      </c>
      <c r="O3053" s="93" t="s">
        <v>646</v>
      </c>
    </row>
    <row r="3054" spans="1:15" ht="17.399999999999999" hidden="1">
      <c r="A3054" s="75" t="str">
        <f t="shared" si="114"/>
        <v>TWPCHOMEWireless Headsetearbuds真無線藍牙耳機</v>
      </c>
      <c r="B3054" s="94" t="str">
        <f t="shared" si="115"/>
        <v>TW_PCHOME</v>
      </c>
      <c r="C3054" s="93" t="s">
        <v>218</v>
      </c>
      <c r="D3054" s="93" t="s">
        <v>222</v>
      </c>
      <c r="E3054" s="93" t="s">
        <v>2373</v>
      </c>
      <c r="F3054" s="93" t="s">
        <v>2913</v>
      </c>
      <c r="G3054" s="93" t="s">
        <v>2916</v>
      </c>
      <c r="H3054" s="93" t="e">
        <v>#N/A</v>
      </c>
      <c r="I3054" s="105" t="s">
        <v>2310</v>
      </c>
      <c r="J3054" s="93" t="s">
        <v>189</v>
      </c>
      <c r="K3054" s="93">
        <v>30504</v>
      </c>
      <c r="L3054" s="93" t="e">
        <v>#N/A</v>
      </c>
      <c r="M3054" s="93" t="s">
        <v>2311</v>
      </c>
      <c r="N3054" s="93">
        <f>VLOOKUP(B3054,'[16]01.수집 카테고리(List)'!$A$2:$H$64,8,FALSE)</f>
        <v>99991231</v>
      </c>
      <c r="O3054" s="93" t="s">
        <v>646</v>
      </c>
    </row>
    <row r="3055" spans="1:15" s="108" customFormat="1" hidden="1">
      <c r="A3055" s="108" t="str">
        <f t="shared" si="114"/>
        <v>TWPCHOMEAir Conditionerair conditioner空調</v>
      </c>
      <c r="B3055" s="109" t="str">
        <f t="shared" si="115"/>
        <v>TW_PCHOME</v>
      </c>
      <c r="C3055" s="110" t="s">
        <v>218</v>
      </c>
      <c r="D3055" s="110" t="s">
        <v>222</v>
      </c>
      <c r="E3055" s="110" t="s">
        <v>2524</v>
      </c>
      <c r="F3055" s="110" t="s">
        <v>2607</v>
      </c>
      <c r="G3055" s="110" t="s">
        <v>3633</v>
      </c>
      <c r="H3055" s="93" t="e">
        <v>#N/A</v>
      </c>
      <c r="I3055" s="99">
        <v>46076</v>
      </c>
      <c r="J3055" s="83" t="s">
        <v>189</v>
      </c>
      <c r="K3055" s="110"/>
      <c r="L3055" s="110"/>
      <c r="M3055" s="110"/>
      <c r="N3055" s="110"/>
      <c r="O3055" s="110"/>
    </row>
    <row r="3056" spans="1:15" s="108" customFormat="1" hidden="1">
      <c r="A3056" s="108" t="str">
        <f t="shared" si="114"/>
        <v>TWPCHOMEAir Conditionerinverter air conditioner變頻空調</v>
      </c>
      <c r="B3056" s="109" t="str">
        <f t="shared" si="115"/>
        <v>TW_PCHOME</v>
      </c>
      <c r="C3056" s="110" t="s">
        <v>218</v>
      </c>
      <c r="D3056" s="110" t="s">
        <v>222</v>
      </c>
      <c r="E3056" s="110" t="s">
        <v>2524</v>
      </c>
      <c r="F3056" s="110" t="s">
        <v>2609</v>
      </c>
      <c r="G3056" s="110" t="s">
        <v>3634</v>
      </c>
      <c r="H3056" s="93" t="e">
        <v>#N/A</v>
      </c>
      <c r="I3056" s="99">
        <v>46076</v>
      </c>
      <c r="J3056" s="83" t="s">
        <v>189</v>
      </c>
      <c r="K3056" s="110"/>
      <c r="L3056" s="110"/>
      <c r="M3056" s="110"/>
      <c r="N3056" s="110"/>
      <c r="O3056" s="110"/>
    </row>
    <row r="3057" spans="1:15" s="108" customFormat="1" hidden="1">
      <c r="A3057" s="108" t="str">
        <f t="shared" si="114"/>
        <v>TWPCHOMEAir Conditionersplit air conditioner分離式空調</v>
      </c>
      <c r="B3057" s="109" t="str">
        <f t="shared" si="115"/>
        <v>TW_PCHOME</v>
      </c>
      <c r="C3057" s="110" t="s">
        <v>218</v>
      </c>
      <c r="D3057" s="110" t="s">
        <v>222</v>
      </c>
      <c r="E3057" s="110" t="s">
        <v>2524</v>
      </c>
      <c r="F3057" s="110" t="s">
        <v>2611</v>
      </c>
      <c r="G3057" s="110" t="s">
        <v>3635</v>
      </c>
      <c r="H3057" s="93" t="e">
        <v>#N/A</v>
      </c>
      <c r="I3057" s="99">
        <v>46076</v>
      </c>
      <c r="J3057" s="83" t="s">
        <v>189</v>
      </c>
      <c r="K3057" s="110"/>
      <c r="L3057" s="110"/>
      <c r="M3057" s="110"/>
      <c r="N3057" s="110"/>
      <c r="O3057" s="110"/>
    </row>
    <row r="3058" spans="1:15" s="108" customFormat="1" hidden="1">
      <c r="A3058" s="108" t="str">
        <f t="shared" si="114"/>
        <v>TWPCHOMEAir Conditionersplit inverter air conditioner分離式變頻空調</v>
      </c>
      <c r="B3058" s="109" t="str">
        <f t="shared" si="115"/>
        <v>TW_PCHOME</v>
      </c>
      <c r="C3058" s="110" t="s">
        <v>218</v>
      </c>
      <c r="D3058" s="110" t="s">
        <v>222</v>
      </c>
      <c r="E3058" s="110" t="s">
        <v>2524</v>
      </c>
      <c r="F3058" s="110" t="s">
        <v>2423</v>
      </c>
      <c r="G3058" s="110" t="s">
        <v>3636</v>
      </c>
      <c r="H3058" s="93" t="e">
        <v>#N/A</v>
      </c>
      <c r="I3058" s="99">
        <v>46076</v>
      </c>
      <c r="J3058" s="83" t="s">
        <v>189</v>
      </c>
      <c r="K3058" s="110"/>
      <c r="L3058" s="110"/>
      <c r="M3058" s="110"/>
      <c r="N3058" s="110"/>
      <c r="O3058" s="110"/>
    </row>
    <row r="3059" spans="1:15" s="108" customFormat="1" ht="14.4" hidden="1">
      <c r="A3059" s="108" t="str">
        <f t="shared" si="114"/>
        <v>TWPCHOMEAir Conditionerwindow air conditioner窗型空調</v>
      </c>
      <c r="B3059" s="109" t="str">
        <f t="shared" si="115"/>
        <v>TW_PCHOME</v>
      </c>
      <c r="C3059" s="110" t="s">
        <v>218</v>
      </c>
      <c r="D3059" s="110" t="s">
        <v>222</v>
      </c>
      <c r="E3059" s="110" t="s">
        <v>2524</v>
      </c>
      <c r="F3059" s="110" t="s">
        <v>2350</v>
      </c>
      <c r="G3059" s="125" t="s">
        <v>3637</v>
      </c>
      <c r="H3059" s="93" t="e">
        <v>#N/A</v>
      </c>
      <c r="I3059" s="99">
        <v>46076</v>
      </c>
      <c r="J3059" s="83" t="s">
        <v>189</v>
      </c>
      <c r="K3059" s="110"/>
      <c r="L3059" s="110"/>
      <c r="M3059" s="110"/>
      <c r="N3059" s="110"/>
      <c r="O3059" s="110"/>
    </row>
    <row r="3060" spans="1:15" s="108" customFormat="1" ht="14.4" hidden="1">
      <c r="A3060" s="108" t="str">
        <f t="shared" si="114"/>
        <v>TWPCHOMEAir Conditionerwindow inverter air conditioner窗型變頻空調</v>
      </c>
      <c r="B3060" s="109" t="str">
        <f t="shared" si="115"/>
        <v>TW_PCHOME</v>
      </c>
      <c r="C3060" s="110" t="s">
        <v>218</v>
      </c>
      <c r="D3060" s="110" t="s">
        <v>222</v>
      </c>
      <c r="E3060" s="110" t="s">
        <v>2524</v>
      </c>
      <c r="F3060" s="110" t="s">
        <v>2424</v>
      </c>
      <c r="G3060" s="125" t="s">
        <v>3638</v>
      </c>
      <c r="H3060" s="93" t="e">
        <v>#N/A</v>
      </c>
      <c r="I3060" s="99">
        <v>46076</v>
      </c>
      <c r="J3060" s="83" t="s">
        <v>189</v>
      </c>
      <c r="K3060" s="110"/>
      <c r="L3060" s="110"/>
      <c r="M3060" s="110"/>
      <c r="N3060" s="110"/>
      <c r="O3060" s="110"/>
    </row>
    <row r="3061" spans="1:15" s="108" customFormat="1" hidden="1">
      <c r="A3061" s="108" t="str">
        <f t="shared" si="114"/>
        <v>TWSS.comAir Conditionerair conditioner空調</v>
      </c>
      <c r="B3061" s="109" t="str">
        <f t="shared" si="115"/>
        <v>TW_SS.com</v>
      </c>
      <c r="C3061" s="110" t="s">
        <v>3640</v>
      </c>
      <c r="D3061" s="110" t="s">
        <v>2443</v>
      </c>
      <c r="E3061" s="110" t="s">
        <v>2346</v>
      </c>
      <c r="F3061" s="110" t="s">
        <v>2347</v>
      </c>
      <c r="G3061" s="110" t="s">
        <v>3633</v>
      </c>
      <c r="H3061" s="93" t="e">
        <v>#N/A</v>
      </c>
      <c r="I3061" s="99">
        <v>46076</v>
      </c>
      <c r="J3061" s="83" t="s">
        <v>189</v>
      </c>
      <c r="K3061" s="110"/>
      <c r="L3061" s="110"/>
      <c r="M3061" s="110"/>
      <c r="N3061" s="110"/>
      <c r="O3061" s="110"/>
    </row>
    <row r="3062" spans="1:15" s="197" customFormat="1" hidden="1">
      <c r="A3062" s="197" t="str">
        <f t="shared" ref="A3062" si="116">C3062&amp;D3062&amp;E3062&amp;F3062&amp;G3062</f>
        <v>TWSS.comMonitormonitor顯示器</v>
      </c>
      <c r="B3062" s="198" t="str">
        <f t="shared" ref="B3062" si="117">C3062&amp;"_"&amp;D3062</f>
        <v>TW_SS.com</v>
      </c>
      <c r="C3062" s="199" t="s">
        <v>3640</v>
      </c>
      <c r="D3062" s="199" t="s">
        <v>184</v>
      </c>
      <c r="E3062" s="199" t="s">
        <v>2320</v>
      </c>
      <c r="F3062" s="199" t="s">
        <v>2449</v>
      </c>
      <c r="G3062" s="199" t="s">
        <v>3641</v>
      </c>
      <c r="H3062" s="199" t="s">
        <v>3642</v>
      </c>
      <c r="I3062" s="201">
        <v>46076</v>
      </c>
      <c r="J3062" s="202" t="s">
        <v>189</v>
      </c>
      <c r="K3062" s="199"/>
      <c r="L3062" s="199"/>
      <c r="M3062" s="199"/>
      <c r="N3062" s="199"/>
      <c r="O3062" s="199"/>
    </row>
    <row r="3063" spans="1:15" s="108" customFormat="1" ht="14.4" hidden="1">
      <c r="A3063" s="108" t="str">
        <f t="shared" si="114"/>
        <v>TWSS.comMonitorgaming monitor遊戲顯示器</v>
      </c>
      <c r="B3063" s="109" t="str">
        <f t="shared" si="115"/>
        <v>TW_SS.com</v>
      </c>
      <c r="C3063" s="110" t="s">
        <v>3640</v>
      </c>
      <c r="D3063" s="110" t="s">
        <v>184</v>
      </c>
      <c r="E3063" s="110" t="s">
        <v>2320</v>
      </c>
      <c r="F3063" s="110" t="s">
        <v>2602</v>
      </c>
      <c r="G3063" s="110" t="s">
        <v>3643</v>
      </c>
      <c r="H3063" s="93" t="e">
        <v>#N/A</v>
      </c>
      <c r="I3063" s="99">
        <v>46076</v>
      </c>
      <c r="J3063" s="83" t="s">
        <v>189</v>
      </c>
      <c r="K3063" s="110"/>
      <c r="L3063" s="110"/>
      <c r="M3063" s="110"/>
      <c r="N3063" s="110"/>
      <c r="O3063" s="110"/>
    </row>
    <row r="3064" spans="1:15" s="108" customFormat="1" ht="14.4" hidden="1">
      <c r="A3064" s="108" t="str">
        <f t="shared" si="114"/>
        <v>TWSS.comRefrigeratorrefrigerator冰箱</v>
      </c>
      <c r="B3064" s="109" t="str">
        <f t="shared" si="115"/>
        <v>TW_SS.com</v>
      </c>
      <c r="C3064" s="110" t="s">
        <v>3640</v>
      </c>
      <c r="D3064" s="110" t="s">
        <v>184</v>
      </c>
      <c r="E3064" s="110" t="s">
        <v>2326</v>
      </c>
      <c r="F3064" s="110" t="s">
        <v>3547</v>
      </c>
      <c r="G3064" s="125" t="s">
        <v>3644</v>
      </c>
      <c r="H3064" s="93" t="e">
        <v>#N/A</v>
      </c>
      <c r="I3064" s="99">
        <v>46076</v>
      </c>
      <c r="J3064" s="83" t="s">
        <v>189</v>
      </c>
      <c r="K3064" s="110"/>
      <c r="L3064" s="110"/>
      <c r="M3064" s="110"/>
      <c r="N3064" s="110"/>
      <c r="O3064" s="110"/>
    </row>
    <row r="3065" spans="1:15" s="108" customFormat="1" hidden="1">
      <c r="A3065" s="108" t="str">
        <f t="shared" si="114"/>
        <v>TWSS.comTVtv電視</v>
      </c>
      <c r="B3065" s="109" t="str">
        <f t="shared" si="115"/>
        <v>TW_SS.com</v>
      </c>
      <c r="C3065" s="110" t="s">
        <v>3640</v>
      </c>
      <c r="D3065" s="110" t="s">
        <v>184</v>
      </c>
      <c r="E3065" s="110" t="s">
        <v>161</v>
      </c>
      <c r="F3065" s="110" t="s">
        <v>2444</v>
      </c>
      <c r="G3065" s="110" t="s">
        <v>3645</v>
      </c>
      <c r="H3065" s="93" t="e">
        <v>#N/A</v>
      </c>
      <c r="I3065" s="99">
        <v>46076</v>
      </c>
      <c r="J3065" s="83" t="s">
        <v>189</v>
      </c>
      <c r="K3065" s="110"/>
      <c r="L3065" s="110"/>
      <c r="M3065" s="110"/>
      <c r="N3065" s="110"/>
      <c r="O3065" s="110"/>
    </row>
    <row r="3066" spans="1:15" s="108" customFormat="1" hidden="1">
      <c r="A3066" s="108" t="str">
        <f t="shared" si="114"/>
        <v>TWSS.comWashing Machinewasher dryer洗衣機烘乾機</v>
      </c>
      <c r="B3066" s="109" t="str">
        <f t="shared" si="115"/>
        <v>TW_SS.com</v>
      </c>
      <c r="C3066" s="110" t="s">
        <v>3640</v>
      </c>
      <c r="D3066" s="110" t="s">
        <v>184</v>
      </c>
      <c r="E3066" s="110" t="s">
        <v>2333</v>
      </c>
      <c r="F3066" s="110" t="s">
        <v>3476</v>
      </c>
      <c r="G3066" s="110" t="s">
        <v>3646</v>
      </c>
      <c r="H3066" s="93" t="e">
        <v>#N/A</v>
      </c>
      <c r="I3066" s="99">
        <v>46076</v>
      </c>
      <c r="J3066" s="83" t="s">
        <v>189</v>
      </c>
      <c r="K3066" s="110"/>
      <c r="L3066" s="110"/>
      <c r="M3066" s="110"/>
      <c r="N3066" s="110"/>
      <c r="O3066" s="110"/>
    </row>
    <row r="3067" spans="1:15" s="108" customFormat="1" hidden="1">
      <c r="A3067" s="108" t="str">
        <f t="shared" si="114"/>
        <v>TWSS.comWashing Machinewashing machine洗衣機</v>
      </c>
      <c r="B3067" s="109" t="str">
        <f t="shared" si="115"/>
        <v>TW_SS.com</v>
      </c>
      <c r="C3067" s="110" t="s">
        <v>3640</v>
      </c>
      <c r="D3067" s="110" t="s">
        <v>184</v>
      </c>
      <c r="E3067" s="110" t="s">
        <v>2517</v>
      </c>
      <c r="F3067" s="110" t="s">
        <v>2445</v>
      </c>
      <c r="G3067" s="110" t="s">
        <v>3647</v>
      </c>
      <c r="H3067" s="93" t="e">
        <v>#N/A</v>
      </c>
      <c r="I3067" s="99">
        <v>46076</v>
      </c>
      <c r="J3067" s="83" t="s">
        <v>189</v>
      </c>
      <c r="K3067" s="110"/>
      <c r="L3067" s="110"/>
      <c r="M3067" s="110"/>
      <c r="N3067" s="110"/>
      <c r="O3067" s="110"/>
    </row>
    <row r="3068" spans="1:15" s="111" customFormat="1" hidden="1">
      <c r="A3068" s="111" t="str">
        <f t="shared" si="114"/>
        <v>TWSS.comBluetooth Speakerbluetooth speaker藍牙喇叭</v>
      </c>
      <c r="B3068" s="112" t="str">
        <f t="shared" si="115"/>
        <v>TW_SS.com</v>
      </c>
      <c r="C3068" s="113" t="s">
        <v>218</v>
      </c>
      <c r="D3068" s="113" t="s">
        <v>184</v>
      </c>
      <c r="E3068" s="113" t="s">
        <v>2307</v>
      </c>
      <c r="F3068" s="113" t="s">
        <v>2657</v>
      </c>
      <c r="G3068" s="113" t="s">
        <v>2873</v>
      </c>
      <c r="H3068" s="93" t="e">
        <v>#N/A</v>
      </c>
      <c r="I3068" s="99">
        <v>46076</v>
      </c>
      <c r="J3068" s="83" t="s">
        <v>189</v>
      </c>
      <c r="K3068" s="113"/>
      <c r="L3068" s="113"/>
      <c r="M3068" s="113"/>
      <c r="N3068" s="113"/>
      <c r="O3068" s="113"/>
    </row>
    <row r="3069" spans="1:15" s="111" customFormat="1" hidden="1">
      <c r="A3069" s="111" t="str">
        <f t="shared" si="114"/>
        <v>TWSS.comSOUNDBARsoundbarSoundbar</v>
      </c>
      <c r="B3069" s="112" t="str">
        <f t="shared" si="115"/>
        <v>TW_SS.com</v>
      </c>
      <c r="C3069" s="113" t="s">
        <v>218</v>
      </c>
      <c r="D3069" s="113" t="s">
        <v>184</v>
      </c>
      <c r="E3069" s="113" t="s">
        <v>165</v>
      </c>
      <c r="F3069" s="113" t="s">
        <v>2987</v>
      </c>
      <c r="G3069" s="113" t="s">
        <v>2363</v>
      </c>
      <c r="H3069" s="93" t="e">
        <v>#N/A</v>
      </c>
      <c r="I3069" s="99">
        <v>46076</v>
      </c>
      <c r="J3069" s="83" t="s">
        <v>189</v>
      </c>
      <c r="K3069" s="113"/>
      <c r="L3069" s="113"/>
      <c r="M3069" s="113"/>
      <c r="N3069" s="113"/>
      <c r="O3069" s="113"/>
    </row>
    <row r="3070" spans="1:15" s="111" customFormat="1" hidden="1">
      <c r="A3070" s="111" t="str">
        <f t="shared" si="114"/>
        <v>TWSS.comWireless Headsetnoise canceling headphones降噪耳機</v>
      </c>
      <c r="B3070" s="112" t="str">
        <f t="shared" si="115"/>
        <v>TW_SS.com</v>
      </c>
      <c r="C3070" s="113" t="s">
        <v>218</v>
      </c>
      <c r="D3070" s="113" t="s">
        <v>184</v>
      </c>
      <c r="E3070" s="113" t="s">
        <v>2373</v>
      </c>
      <c r="F3070" s="113" t="s">
        <v>3631</v>
      </c>
      <c r="G3070" s="113" t="s">
        <v>3632</v>
      </c>
      <c r="H3070" s="93" t="e">
        <v>#N/A</v>
      </c>
      <c r="I3070" s="99">
        <v>46076</v>
      </c>
      <c r="J3070" s="83" t="s">
        <v>189</v>
      </c>
      <c r="K3070" s="113"/>
      <c r="L3070" s="113"/>
      <c r="M3070" s="113"/>
      <c r="N3070" s="113"/>
      <c r="O3070" s="113"/>
    </row>
    <row r="3071" spans="1:15" s="111" customFormat="1" hidden="1">
      <c r="A3071" s="111" t="str">
        <f t="shared" si="114"/>
        <v>TWSS.comWireless HeadsetTrue Wireless Earbuds藍牙耳機</v>
      </c>
      <c r="B3071" s="112" t="str">
        <f t="shared" si="115"/>
        <v>TW_SS.com</v>
      </c>
      <c r="C3071" s="113" t="s">
        <v>218</v>
      </c>
      <c r="D3071" s="113" t="s">
        <v>184</v>
      </c>
      <c r="E3071" s="113" t="s">
        <v>2373</v>
      </c>
      <c r="F3071" s="113" t="s">
        <v>3023</v>
      </c>
      <c r="G3071" s="113" t="s">
        <v>2910</v>
      </c>
      <c r="H3071" s="93" t="e">
        <v>#N/A</v>
      </c>
      <c r="I3071" s="99">
        <v>46076</v>
      </c>
      <c r="J3071" s="83" t="s">
        <v>189</v>
      </c>
      <c r="K3071" s="113"/>
      <c r="L3071" s="113"/>
      <c r="M3071" s="113"/>
      <c r="N3071" s="113"/>
      <c r="O3071" s="113"/>
    </row>
    <row r="3072" spans="1:15" s="111" customFormat="1" hidden="1">
      <c r="A3072" s="111" t="str">
        <f t="shared" si="114"/>
        <v>TWSS.comWireless HeadsetWireless Earbuds無線耳機</v>
      </c>
      <c r="B3072" s="112" t="str">
        <f t="shared" si="115"/>
        <v>TW_SS.com</v>
      </c>
      <c r="C3072" s="113" t="s">
        <v>218</v>
      </c>
      <c r="D3072" s="113" t="s">
        <v>184</v>
      </c>
      <c r="E3072" s="113" t="s">
        <v>2373</v>
      </c>
      <c r="F3072" s="113" t="s">
        <v>2760</v>
      </c>
      <c r="G3072" s="113" t="s">
        <v>2912</v>
      </c>
      <c r="H3072" s="93" t="e">
        <v>#N/A</v>
      </c>
      <c r="I3072" s="99">
        <v>46076</v>
      </c>
      <c r="J3072" s="83" t="s">
        <v>189</v>
      </c>
      <c r="K3072" s="113"/>
      <c r="L3072" s="113"/>
      <c r="M3072" s="113"/>
      <c r="N3072" s="113"/>
      <c r="O3072" s="113"/>
    </row>
    <row r="3073" spans="1:15" s="111" customFormat="1" hidden="1">
      <c r="A3073" s="111" t="str">
        <f t="shared" si="114"/>
        <v>TWSS.comWireless Headsetearbuds真無線藍牙耳機</v>
      </c>
      <c r="B3073" s="112" t="str">
        <f t="shared" si="115"/>
        <v>TW_SS.com</v>
      </c>
      <c r="C3073" s="113" t="s">
        <v>218</v>
      </c>
      <c r="D3073" s="113" t="s">
        <v>184</v>
      </c>
      <c r="E3073" s="113" t="s">
        <v>2373</v>
      </c>
      <c r="F3073" s="113" t="s">
        <v>2913</v>
      </c>
      <c r="G3073" s="113" t="s">
        <v>3648</v>
      </c>
      <c r="H3073" s="93" t="e">
        <v>#N/A</v>
      </c>
      <c r="I3073" s="99">
        <v>46076</v>
      </c>
      <c r="J3073" s="83" t="s">
        <v>189</v>
      </c>
      <c r="K3073" s="113"/>
      <c r="L3073" s="113"/>
      <c r="M3073" s="113"/>
      <c r="N3073" s="113"/>
      <c r="O3073" s="113"/>
    </row>
    <row r="3074" spans="1:15" s="111" customFormat="1" hidden="1">
      <c r="A3074" s="111" t="str">
        <f t="shared" si="114"/>
        <v>TWSS.comDryerLG DryerLG 乾衣機</v>
      </c>
      <c r="B3074" s="112" t="str">
        <f t="shared" si="115"/>
        <v>TW_SS.com</v>
      </c>
      <c r="C3074" s="113" t="s">
        <v>218</v>
      </c>
      <c r="D3074" s="113" t="s">
        <v>184</v>
      </c>
      <c r="E3074" s="113" t="s">
        <v>2431</v>
      </c>
      <c r="F3074" s="113" t="s">
        <v>2434</v>
      </c>
      <c r="G3074" s="113" t="s">
        <v>3600</v>
      </c>
      <c r="H3074" s="93" t="e">
        <v>#N/A</v>
      </c>
      <c r="I3074" s="99">
        <v>46076</v>
      </c>
      <c r="J3074" s="83" t="s">
        <v>189</v>
      </c>
      <c r="K3074" s="113"/>
      <c r="L3074" s="113"/>
      <c r="M3074" s="113"/>
      <c r="N3074" s="113"/>
      <c r="O3074" s="113"/>
    </row>
    <row r="3075" spans="1:15" s="111" customFormat="1" hidden="1">
      <c r="A3075" s="111" t="str">
        <f t="shared" si="114"/>
        <v>TWSS.comDryerLG heatPumpLG熱泵</v>
      </c>
      <c r="B3075" s="112" t="str">
        <f t="shared" si="115"/>
        <v>TW_SS.com</v>
      </c>
      <c r="C3075" s="113" t="s">
        <v>218</v>
      </c>
      <c r="D3075" s="113" t="s">
        <v>184</v>
      </c>
      <c r="E3075" s="113" t="s">
        <v>2431</v>
      </c>
      <c r="F3075" s="113" t="s">
        <v>3601</v>
      </c>
      <c r="G3075" s="113" t="s">
        <v>3649</v>
      </c>
      <c r="H3075" s="93" t="e">
        <v>#N/A</v>
      </c>
      <c r="I3075" s="99">
        <v>46076</v>
      </c>
      <c r="J3075" s="83" t="s">
        <v>189</v>
      </c>
      <c r="K3075" s="113"/>
      <c r="L3075" s="113"/>
      <c r="M3075" s="113"/>
      <c r="N3075" s="113"/>
      <c r="O3075" s="113"/>
    </row>
    <row r="3076" spans="1:15" s="111" customFormat="1" hidden="1">
      <c r="A3076" s="111" t="str">
        <f t="shared" si="114"/>
        <v>TWSS.comDryerDual Inverter雙逆變器</v>
      </c>
      <c r="B3076" s="112" t="str">
        <f t="shared" si="115"/>
        <v>TW_SS.com</v>
      </c>
      <c r="C3076" s="113" t="s">
        <v>218</v>
      </c>
      <c r="D3076" s="113" t="s">
        <v>184</v>
      </c>
      <c r="E3076" s="113" t="s">
        <v>2431</v>
      </c>
      <c r="F3076" s="113" t="s">
        <v>3603</v>
      </c>
      <c r="G3076" s="113" t="s">
        <v>3604</v>
      </c>
      <c r="H3076" s="93" t="e">
        <v>#N/A</v>
      </c>
      <c r="I3076" s="99">
        <v>46076</v>
      </c>
      <c r="J3076" s="83" t="s">
        <v>189</v>
      </c>
      <c r="K3076" s="113"/>
      <c r="L3076" s="113"/>
      <c r="M3076" s="113"/>
      <c r="N3076" s="113"/>
      <c r="O3076" s="113"/>
    </row>
    <row r="3077" spans="1:15" s="111" customFormat="1" hidden="1">
      <c r="A3077" s="111" t="str">
        <f t="shared" si="114"/>
        <v>TWSS.comDryerHeatPump熱泵</v>
      </c>
      <c r="B3077" s="112" t="str">
        <f t="shared" si="115"/>
        <v>TW_SS.com</v>
      </c>
      <c r="C3077" s="113" t="s">
        <v>218</v>
      </c>
      <c r="D3077" s="113" t="s">
        <v>184</v>
      </c>
      <c r="E3077" s="113" t="s">
        <v>2431</v>
      </c>
      <c r="F3077" s="113" t="s">
        <v>3605</v>
      </c>
      <c r="G3077" s="113" t="s">
        <v>3650</v>
      </c>
      <c r="H3077" s="93" t="e">
        <v>#N/A</v>
      </c>
      <c r="I3077" s="99">
        <v>46076</v>
      </c>
      <c r="J3077" s="83" t="s">
        <v>189</v>
      </c>
      <c r="K3077" s="113"/>
      <c r="L3077" s="113"/>
      <c r="M3077" s="113"/>
      <c r="N3077" s="113"/>
      <c r="O3077" s="113"/>
    </row>
    <row r="3078" spans="1:15" s="111" customFormat="1" hidden="1">
      <c r="A3078" s="111" t="str">
        <f t="shared" si="114"/>
        <v>TWSS.comDryerHeatpump Dryer熱泵乾衣機</v>
      </c>
      <c r="B3078" s="112" t="str">
        <f t="shared" si="115"/>
        <v>TW_SS.com</v>
      </c>
      <c r="C3078" s="113" t="s">
        <v>218</v>
      </c>
      <c r="D3078" s="113" t="s">
        <v>184</v>
      </c>
      <c r="E3078" s="113" t="s">
        <v>2431</v>
      </c>
      <c r="F3078" s="113" t="s">
        <v>3607</v>
      </c>
      <c r="G3078" s="113" t="s">
        <v>3651</v>
      </c>
      <c r="H3078" s="93" t="e">
        <v>#N/A</v>
      </c>
      <c r="I3078" s="99">
        <v>46076</v>
      </c>
      <c r="J3078" s="83" t="s">
        <v>189</v>
      </c>
      <c r="K3078" s="113"/>
      <c r="L3078" s="113"/>
      <c r="M3078" s="113"/>
      <c r="N3078" s="113"/>
      <c r="O3078" s="113"/>
    </row>
    <row r="3079" spans="1:15" s="111" customFormat="1" hidden="1">
      <c r="A3079" s="111" t="str">
        <f t="shared" si="114"/>
        <v>TWSS.comDryerUltimate Laundry終極洗衣</v>
      </c>
      <c r="B3079" s="112" t="str">
        <f t="shared" si="115"/>
        <v>TW_SS.com</v>
      </c>
      <c r="C3079" s="113" t="s">
        <v>218</v>
      </c>
      <c r="D3079" s="113" t="s">
        <v>184</v>
      </c>
      <c r="E3079" s="113" t="s">
        <v>2431</v>
      </c>
      <c r="F3079" s="113" t="s">
        <v>3609</v>
      </c>
      <c r="G3079" s="113" t="s">
        <v>3610</v>
      </c>
      <c r="H3079" s="93" t="e">
        <v>#N/A</v>
      </c>
      <c r="I3079" s="99">
        <v>46076</v>
      </c>
      <c r="J3079" s="83" t="s">
        <v>189</v>
      </c>
      <c r="K3079" s="113"/>
      <c r="L3079" s="113"/>
      <c r="M3079" s="113"/>
      <c r="N3079" s="113"/>
      <c r="O3079" s="113"/>
    </row>
    <row r="3080" spans="1:15" s="108" customFormat="1" hidden="1">
      <c r="A3080" s="108" t="str">
        <f t="shared" si="114"/>
        <v>TWLG.comAir Conditionerair conditioner空調</v>
      </c>
      <c r="B3080" s="109" t="str">
        <f t="shared" si="115"/>
        <v>TW_LG.com</v>
      </c>
      <c r="C3080" s="110" t="s">
        <v>3640</v>
      </c>
      <c r="D3080" s="110" t="s">
        <v>321</v>
      </c>
      <c r="E3080" s="110" t="s">
        <v>2346</v>
      </c>
      <c r="F3080" s="110" t="s">
        <v>2347</v>
      </c>
      <c r="G3080" s="110" t="s">
        <v>3633</v>
      </c>
      <c r="H3080" s="93" t="e">
        <v>#N/A</v>
      </c>
      <c r="I3080" s="99">
        <v>46076</v>
      </c>
      <c r="J3080" s="83" t="s">
        <v>189</v>
      </c>
      <c r="K3080" s="110"/>
      <c r="L3080" s="110"/>
      <c r="M3080" s="110"/>
      <c r="N3080" s="110"/>
      <c r="O3080" s="110"/>
    </row>
    <row r="3081" spans="1:15" s="108" customFormat="1" hidden="1">
      <c r="A3081" s="108" t="str">
        <f t="shared" si="114"/>
        <v>TWLG.comMonitormonitor監視器</v>
      </c>
      <c r="B3081" s="109" t="str">
        <f t="shared" si="115"/>
        <v>TW_LG.com</v>
      </c>
      <c r="C3081" s="110" t="s">
        <v>3640</v>
      </c>
      <c r="D3081" s="110" t="s">
        <v>321</v>
      </c>
      <c r="E3081" s="110" t="s">
        <v>2320</v>
      </c>
      <c r="F3081" s="110" t="s">
        <v>2323</v>
      </c>
      <c r="G3081" s="110" t="s">
        <v>3652</v>
      </c>
      <c r="H3081" s="93" t="e">
        <v>#N/A</v>
      </c>
      <c r="I3081" s="99">
        <v>46076</v>
      </c>
      <c r="J3081" s="83" t="s">
        <v>189</v>
      </c>
      <c r="K3081" s="110"/>
      <c r="L3081" s="110"/>
      <c r="M3081" s="110"/>
      <c r="N3081" s="110"/>
      <c r="O3081" s="110"/>
    </row>
    <row r="3082" spans="1:15" s="108" customFormat="1" ht="14.4" hidden="1">
      <c r="A3082" s="108" t="str">
        <f t="shared" si="114"/>
        <v>TWLG.comMonitorgaming monitor遊戲顯示器</v>
      </c>
      <c r="B3082" s="109" t="str">
        <f t="shared" si="115"/>
        <v>TW_LG.com</v>
      </c>
      <c r="C3082" s="110" t="s">
        <v>3640</v>
      </c>
      <c r="D3082" s="110" t="s">
        <v>321</v>
      </c>
      <c r="E3082" s="110" t="s">
        <v>2320</v>
      </c>
      <c r="F3082" s="110" t="s">
        <v>2322</v>
      </c>
      <c r="G3082" s="110" t="s">
        <v>3643</v>
      </c>
      <c r="H3082" s="93" t="e">
        <v>#N/A</v>
      </c>
      <c r="I3082" s="99">
        <v>46076</v>
      </c>
      <c r="J3082" s="83" t="s">
        <v>189</v>
      </c>
      <c r="K3082" s="110"/>
      <c r="L3082" s="110"/>
      <c r="M3082" s="110"/>
      <c r="N3082" s="110"/>
      <c r="O3082" s="110"/>
    </row>
    <row r="3083" spans="1:15" s="108" customFormat="1" ht="14.4" hidden="1">
      <c r="A3083" s="108" t="str">
        <f t="shared" si="114"/>
        <v>TWLG.comRefrigeratorrefrigerator冰箱</v>
      </c>
      <c r="B3083" s="109" t="str">
        <f t="shared" si="115"/>
        <v>TW_LG.com</v>
      </c>
      <c r="C3083" s="110" t="s">
        <v>3640</v>
      </c>
      <c r="D3083" s="110" t="s">
        <v>321</v>
      </c>
      <c r="E3083" s="110" t="s">
        <v>2326</v>
      </c>
      <c r="F3083" s="110" t="s">
        <v>2329</v>
      </c>
      <c r="G3083" s="125" t="s">
        <v>3644</v>
      </c>
      <c r="H3083" s="93" t="e">
        <v>#N/A</v>
      </c>
      <c r="I3083" s="99">
        <v>46076</v>
      </c>
      <c r="J3083" s="83" t="s">
        <v>189</v>
      </c>
      <c r="K3083" s="110"/>
      <c r="L3083" s="110"/>
      <c r="M3083" s="110"/>
      <c r="N3083" s="110"/>
      <c r="O3083" s="110"/>
    </row>
    <row r="3084" spans="1:15" s="108" customFormat="1" hidden="1">
      <c r="A3084" s="108" t="str">
        <f t="shared" si="114"/>
        <v>TWLG.comTVtv電視</v>
      </c>
      <c r="B3084" s="109" t="str">
        <f t="shared" si="115"/>
        <v>TW_LG.com</v>
      </c>
      <c r="C3084" s="110" t="s">
        <v>3640</v>
      </c>
      <c r="D3084" s="110" t="s">
        <v>321</v>
      </c>
      <c r="E3084" s="110" t="s">
        <v>161</v>
      </c>
      <c r="F3084" s="110" t="s">
        <v>2444</v>
      </c>
      <c r="G3084" s="110" t="s">
        <v>3645</v>
      </c>
      <c r="H3084" s="93" t="e">
        <v>#N/A</v>
      </c>
      <c r="I3084" s="99">
        <v>46076</v>
      </c>
      <c r="J3084" s="83" t="s">
        <v>189</v>
      </c>
      <c r="K3084" s="110"/>
      <c r="L3084" s="110"/>
      <c r="M3084" s="110"/>
      <c r="N3084" s="110"/>
      <c r="O3084" s="110"/>
    </row>
    <row r="3085" spans="1:15" s="108" customFormat="1" hidden="1">
      <c r="A3085" s="108" t="str">
        <f t="shared" si="114"/>
        <v>TWLG.comWashing Machinewasher dryer洗衣機烘乾機</v>
      </c>
      <c r="B3085" s="109" t="str">
        <f t="shared" si="115"/>
        <v>TW_LG.com</v>
      </c>
      <c r="C3085" s="110" t="s">
        <v>3640</v>
      </c>
      <c r="D3085" s="110" t="s">
        <v>321</v>
      </c>
      <c r="E3085" s="110" t="s">
        <v>2333</v>
      </c>
      <c r="F3085" s="110" t="s">
        <v>2339</v>
      </c>
      <c r="G3085" s="110" t="s">
        <v>3646</v>
      </c>
      <c r="H3085" s="93" t="e">
        <v>#N/A</v>
      </c>
      <c r="I3085" s="99">
        <v>46076</v>
      </c>
      <c r="J3085" s="83" t="s">
        <v>189</v>
      </c>
      <c r="K3085" s="110"/>
      <c r="L3085" s="110"/>
      <c r="M3085" s="110"/>
      <c r="N3085" s="110"/>
      <c r="O3085" s="110"/>
    </row>
    <row r="3086" spans="1:15" s="108" customFormat="1" hidden="1">
      <c r="A3086" s="108" t="str">
        <f t="shared" si="114"/>
        <v>TWLG.comWashing Machinewashing machine洗衣機</v>
      </c>
      <c r="B3086" s="109" t="str">
        <f t="shared" si="115"/>
        <v>TW_LG.com</v>
      </c>
      <c r="C3086" s="110" t="s">
        <v>3640</v>
      </c>
      <c r="D3086" s="110" t="s">
        <v>321</v>
      </c>
      <c r="E3086" s="110" t="s">
        <v>2333</v>
      </c>
      <c r="F3086" s="110" t="s">
        <v>2340</v>
      </c>
      <c r="G3086" s="110" t="s">
        <v>3647</v>
      </c>
      <c r="H3086" s="93" t="e">
        <v>#N/A</v>
      </c>
      <c r="I3086" s="99">
        <v>46076</v>
      </c>
      <c r="J3086" s="83" t="s">
        <v>189</v>
      </c>
      <c r="K3086" s="110"/>
      <c r="L3086" s="110"/>
      <c r="M3086" s="110"/>
      <c r="N3086" s="110"/>
      <c r="O3086" s="110"/>
    </row>
    <row r="3087" spans="1:15" s="111" customFormat="1" ht="17.399999999999999" hidden="1">
      <c r="A3087" s="111" t="str">
        <f t="shared" si="114"/>
        <v>TWLG.comBluetooth Speakerportable bluetooth speaker可攜式藍牙喇叭</v>
      </c>
      <c r="B3087" s="112" t="str">
        <f t="shared" si="115"/>
        <v>TW_LG.com</v>
      </c>
      <c r="C3087" s="113" t="s">
        <v>218</v>
      </c>
      <c r="D3087" s="113" t="s">
        <v>567</v>
      </c>
      <c r="E3087" s="113" t="s">
        <v>2307</v>
      </c>
      <c r="F3087" s="113" t="s">
        <v>3070</v>
      </c>
      <c r="G3087" s="113" t="s">
        <v>3595</v>
      </c>
      <c r="H3087" s="93" t="e">
        <v>#N/A</v>
      </c>
      <c r="I3087" s="99">
        <v>46076</v>
      </c>
      <c r="J3087" s="83" t="s">
        <v>189</v>
      </c>
      <c r="K3087" s="113"/>
      <c r="L3087" s="113"/>
      <c r="M3087" s="113"/>
      <c r="N3087" s="113"/>
      <c r="O3087" s="113"/>
    </row>
    <row r="3088" spans="1:15" s="111" customFormat="1" hidden="1">
      <c r="A3088" s="111" t="str">
        <f t="shared" si="114"/>
        <v>TWLG.comBluetooth Speakerbluetooth speaker藍牙喇叭</v>
      </c>
      <c r="B3088" s="112" t="str">
        <f t="shared" si="115"/>
        <v>TW_LG.com</v>
      </c>
      <c r="C3088" s="113" t="s">
        <v>218</v>
      </c>
      <c r="D3088" s="113" t="s">
        <v>567</v>
      </c>
      <c r="E3088" s="113" t="s">
        <v>2307</v>
      </c>
      <c r="F3088" s="113" t="s">
        <v>2657</v>
      </c>
      <c r="G3088" s="113" t="s">
        <v>2873</v>
      </c>
      <c r="H3088" s="93" t="e">
        <v>#N/A</v>
      </c>
      <c r="I3088" s="99">
        <v>46076</v>
      </c>
      <c r="J3088" s="83" t="s">
        <v>189</v>
      </c>
      <c r="K3088" s="113"/>
      <c r="L3088" s="113"/>
      <c r="M3088" s="113"/>
      <c r="N3088" s="113"/>
      <c r="O3088" s="113"/>
    </row>
    <row r="3089" spans="1:15" s="111" customFormat="1" hidden="1">
      <c r="A3089" s="111" t="str">
        <f t="shared" si="114"/>
        <v>TWLG.comSOUNDBARsoundbarSoundbar</v>
      </c>
      <c r="B3089" s="112" t="str">
        <f t="shared" si="115"/>
        <v>TW_LG.com</v>
      </c>
      <c r="C3089" s="113" t="s">
        <v>218</v>
      </c>
      <c r="D3089" s="113" t="s">
        <v>567</v>
      </c>
      <c r="E3089" s="113" t="s">
        <v>165</v>
      </c>
      <c r="F3089" s="113" t="s">
        <v>2987</v>
      </c>
      <c r="G3089" s="113" t="s">
        <v>2363</v>
      </c>
      <c r="H3089" s="93" t="e">
        <v>#N/A</v>
      </c>
      <c r="I3089" s="99">
        <v>46076</v>
      </c>
      <c r="J3089" s="83" t="s">
        <v>189</v>
      </c>
      <c r="K3089" s="113"/>
      <c r="L3089" s="113"/>
      <c r="M3089" s="113"/>
      <c r="N3089" s="113"/>
      <c r="O3089" s="113"/>
    </row>
    <row r="3090" spans="1:15" s="111" customFormat="1" hidden="1">
      <c r="A3090" s="111" t="str">
        <f t="shared" si="114"/>
        <v>TWLG.comWireless Headsetnoise canceling headphones降噪耳機</v>
      </c>
      <c r="B3090" s="112" t="str">
        <f t="shared" si="115"/>
        <v>TW_LG.com</v>
      </c>
      <c r="C3090" s="113" t="s">
        <v>218</v>
      </c>
      <c r="D3090" s="113" t="s">
        <v>567</v>
      </c>
      <c r="E3090" s="113" t="s">
        <v>2373</v>
      </c>
      <c r="F3090" s="113" t="s">
        <v>3631</v>
      </c>
      <c r="G3090" s="113" t="s">
        <v>3632</v>
      </c>
      <c r="H3090" s="93" t="e">
        <v>#N/A</v>
      </c>
      <c r="I3090" s="99">
        <v>46076</v>
      </c>
      <c r="J3090" s="83" t="s">
        <v>189</v>
      </c>
      <c r="K3090" s="113"/>
      <c r="L3090" s="113"/>
      <c r="M3090" s="113"/>
      <c r="N3090" s="113"/>
      <c r="O3090" s="113"/>
    </row>
    <row r="3091" spans="1:15" s="111" customFormat="1" hidden="1">
      <c r="A3091" s="111" t="str">
        <f t="shared" si="114"/>
        <v>TWLG.comWireless HeadsetTrue Wireless Earbuds藍牙耳機</v>
      </c>
      <c r="B3091" s="112" t="str">
        <f t="shared" si="115"/>
        <v>TW_LG.com</v>
      </c>
      <c r="C3091" s="113" t="s">
        <v>218</v>
      </c>
      <c r="D3091" s="113" t="s">
        <v>567</v>
      </c>
      <c r="E3091" s="113" t="s">
        <v>2373</v>
      </c>
      <c r="F3091" s="113" t="s">
        <v>3023</v>
      </c>
      <c r="G3091" s="113" t="s">
        <v>2910</v>
      </c>
      <c r="H3091" s="93" t="e">
        <v>#N/A</v>
      </c>
      <c r="I3091" s="99">
        <v>46076</v>
      </c>
      <c r="J3091" s="83" t="s">
        <v>189</v>
      </c>
      <c r="K3091" s="113"/>
      <c r="L3091" s="113"/>
      <c r="M3091" s="113"/>
      <c r="N3091" s="113"/>
      <c r="O3091" s="113"/>
    </row>
    <row r="3092" spans="1:15" s="111" customFormat="1" hidden="1">
      <c r="A3092" s="111" t="str">
        <f t="shared" si="114"/>
        <v>TWLG.comWireless HeadsetWireless Earbuds無線耳機</v>
      </c>
      <c r="B3092" s="112" t="str">
        <f t="shared" si="115"/>
        <v>TW_LG.com</v>
      </c>
      <c r="C3092" s="113" t="s">
        <v>218</v>
      </c>
      <c r="D3092" s="113" t="s">
        <v>567</v>
      </c>
      <c r="E3092" s="113" t="s">
        <v>2373</v>
      </c>
      <c r="F3092" s="113" t="s">
        <v>2760</v>
      </c>
      <c r="G3092" s="113" t="s">
        <v>2912</v>
      </c>
      <c r="H3092" s="93" t="e">
        <v>#N/A</v>
      </c>
      <c r="I3092" s="99">
        <v>46076</v>
      </c>
      <c r="J3092" s="83" t="s">
        <v>189</v>
      </c>
      <c r="K3092" s="113"/>
      <c r="L3092" s="113"/>
      <c r="M3092" s="113"/>
      <c r="N3092" s="113"/>
      <c r="O3092" s="113"/>
    </row>
    <row r="3093" spans="1:15" s="111" customFormat="1" hidden="1">
      <c r="A3093" s="111" t="str">
        <f t="shared" si="114"/>
        <v>TWLG.comWireless Headsetearbuds真無線藍牙耳機</v>
      </c>
      <c r="B3093" s="112" t="str">
        <f t="shared" si="115"/>
        <v>TW_LG.com</v>
      </c>
      <c r="C3093" s="113" t="s">
        <v>218</v>
      </c>
      <c r="D3093" s="113" t="s">
        <v>567</v>
      </c>
      <c r="E3093" s="113" t="s">
        <v>2373</v>
      </c>
      <c r="F3093" s="113" t="s">
        <v>2913</v>
      </c>
      <c r="G3093" s="113" t="s">
        <v>3648</v>
      </c>
      <c r="H3093" s="93" t="e">
        <v>#N/A</v>
      </c>
      <c r="I3093" s="99">
        <v>46076</v>
      </c>
      <c r="J3093" s="83" t="s">
        <v>189</v>
      </c>
      <c r="K3093" s="113"/>
      <c r="L3093" s="113"/>
      <c r="M3093" s="113"/>
      <c r="N3093" s="113"/>
      <c r="O3093" s="113"/>
    </row>
    <row r="3094" spans="1:15" s="111" customFormat="1" hidden="1">
      <c r="A3094" s="111" t="str">
        <f t="shared" si="114"/>
        <v>TWLG.comDryerLG DryerLG 乾衣機</v>
      </c>
      <c r="B3094" s="112" t="str">
        <f t="shared" si="115"/>
        <v>TW_LG.com</v>
      </c>
      <c r="C3094" s="113" t="s">
        <v>218</v>
      </c>
      <c r="D3094" s="113" t="s">
        <v>567</v>
      </c>
      <c r="E3094" s="113" t="s">
        <v>2431</v>
      </c>
      <c r="F3094" s="113" t="s">
        <v>2434</v>
      </c>
      <c r="G3094" s="113" t="s">
        <v>3600</v>
      </c>
      <c r="H3094" s="93" t="e">
        <v>#N/A</v>
      </c>
      <c r="I3094" s="99">
        <v>46076</v>
      </c>
      <c r="J3094" s="83" t="s">
        <v>189</v>
      </c>
      <c r="K3094" s="113"/>
      <c r="L3094" s="113"/>
      <c r="M3094" s="113"/>
      <c r="N3094" s="113"/>
      <c r="O3094" s="113"/>
    </row>
    <row r="3095" spans="1:15" s="111" customFormat="1" hidden="1">
      <c r="A3095" s="111" t="str">
        <f t="shared" si="114"/>
        <v>TWLG.comDryerLG heatPumpLG熱泵</v>
      </c>
      <c r="B3095" s="112" t="str">
        <f t="shared" si="115"/>
        <v>TW_LG.com</v>
      </c>
      <c r="C3095" s="113" t="s">
        <v>218</v>
      </c>
      <c r="D3095" s="113" t="s">
        <v>567</v>
      </c>
      <c r="E3095" s="113" t="s">
        <v>2431</v>
      </c>
      <c r="F3095" s="113" t="s">
        <v>3601</v>
      </c>
      <c r="G3095" s="113" t="s">
        <v>3649</v>
      </c>
      <c r="H3095" s="93" t="e">
        <v>#N/A</v>
      </c>
      <c r="I3095" s="99">
        <v>46076</v>
      </c>
      <c r="J3095" s="83" t="s">
        <v>189</v>
      </c>
      <c r="K3095" s="113"/>
      <c r="L3095" s="113"/>
      <c r="M3095" s="113"/>
      <c r="N3095" s="113"/>
      <c r="O3095" s="113"/>
    </row>
    <row r="3096" spans="1:15" s="111" customFormat="1" hidden="1">
      <c r="A3096" s="111" t="str">
        <f t="shared" si="114"/>
        <v>TWLG.comDryerHeatPump熱泵</v>
      </c>
      <c r="B3096" s="112" t="str">
        <f t="shared" si="115"/>
        <v>TW_LG.com</v>
      </c>
      <c r="C3096" s="113" t="s">
        <v>218</v>
      </c>
      <c r="D3096" s="113" t="s">
        <v>567</v>
      </c>
      <c r="E3096" s="113" t="s">
        <v>2431</v>
      </c>
      <c r="F3096" s="113" t="s">
        <v>3605</v>
      </c>
      <c r="G3096" s="113" t="s">
        <v>3650</v>
      </c>
      <c r="H3096" s="93" t="e">
        <v>#N/A</v>
      </c>
      <c r="I3096" s="99">
        <v>46076</v>
      </c>
      <c r="J3096" s="83" t="s">
        <v>189</v>
      </c>
      <c r="K3096" s="113"/>
      <c r="L3096" s="113"/>
      <c r="M3096" s="113"/>
      <c r="N3096" s="113"/>
      <c r="O3096" s="113"/>
    </row>
    <row r="3097" spans="1:15" s="111" customFormat="1" hidden="1">
      <c r="A3097" s="111" t="str">
        <f t="shared" ref="A3097:A3151" si="118">C3097&amp;D3097&amp;E3097&amp;F3097&amp;G3097</f>
        <v>TWLG.comDryerHeatpump Dryer熱泵乾衣機</v>
      </c>
      <c r="B3097" s="112" t="str">
        <f t="shared" ref="B3097:B3151" si="119">C3097&amp;"_"&amp;D3097</f>
        <v>TW_LG.com</v>
      </c>
      <c r="C3097" s="113" t="s">
        <v>218</v>
      </c>
      <c r="D3097" s="113" t="s">
        <v>567</v>
      </c>
      <c r="E3097" s="113" t="s">
        <v>2431</v>
      </c>
      <c r="F3097" s="113" t="s">
        <v>3607</v>
      </c>
      <c r="G3097" s="113" t="s">
        <v>3651</v>
      </c>
      <c r="H3097" s="93" t="e">
        <v>#N/A</v>
      </c>
      <c r="I3097" s="99">
        <v>46076</v>
      </c>
      <c r="J3097" s="83" t="s">
        <v>189</v>
      </c>
      <c r="K3097" s="113"/>
      <c r="L3097" s="113"/>
      <c r="M3097" s="113"/>
      <c r="N3097" s="113"/>
      <c r="O3097" s="113"/>
    </row>
    <row r="3098" spans="1:15" hidden="1">
      <c r="A3098" s="75" t="str">
        <f t="shared" si="118"/>
        <v>UKAMAZONBluetooth Speakerbluetooth speakerbluetooth speaker</v>
      </c>
      <c r="B3098" s="94" t="str">
        <f t="shared" si="119"/>
        <v>UK_AMAZON</v>
      </c>
      <c r="C3098" s="93" t="s">
        <v>27</v>
      </c>
      <c r="D3098" s="93" t="s">
        <v>262</v>
      </c>
      <c r="E3098" s="93" t="s">
        <v>2307</v>
      </c>
      <c r="F3098" s="93" t="s">
        <v>2657</v>
      </c>
      <c r="G3098" s="93" t="s">
        <v>2657</v>
      </c>
      <c r="H3098" s="93" t="e">
        <v>#N/A</v>
      </c>
      <c r="I3098" s="105" t="s">
        <v>2310</v>
      </c>
      <c r="J3098" s="93" t="s">
        <v>189</v>
      </c>
      <c r="K3098" s="93">
        <v>1443</v>
      </c>
      <c r="L3098" s="93">
        <v>1443</v>
      </c>
      <c r="M3098" s="93" t="s">
        <v>2311</v>
      </c>
      <c r="N3098" s="93">
        <f>VLOOKUP(B3098,'[16]01.수집 카테고리(List)'!$A$2:$H$64,8,FALSE)</f>
        <v>99991231</v>
      </c>
      <c r="O3098" s="93" t="s">
        <v>646</v>
      </c>
    </row>
    <row r="3099" spans="1:15" hidden="1">
      <c r="A3099" s="75" t="str">
        <f t="shared" si="118"/>
        <v>UKAMAZONBluetooth Speakerbluetooth speaker portablebluetooth speaker portable</v>
      </c>
      <c r="B3099" s="94" t="str">
        <f t="shared" si="119"/>
        <v>UK_AMAZON</v>
      </c>
      <c r="C3099" s="93" t="s">
        <v>27</v>
      </c>
      <c r="D3099" s="93" t="s">
        <v>262</v>
      </c>
      <c r="E3099" s="93" t="s">
        <v>2307</v>
      </c>
      <c r="F3099" s="93" t="s">
        <v>2479</v>
      </c>
      <c r="G3099" s="93" t="s">
        <v>2479</v>
      </c>
      <c r="H3099" s="93" t="e">
        <v>#N/A</v>
      </c>
      <c r="I3099" s="105" t="s">
        <v>2310</v>
      </c>
      <c r="J3099" s="93" t="s">
        <v>189</v>
      </c>
      <c r="K3099" s="93">
        <v>1438</v>
      </c>
      <c r="L3099" s="93">
        <v>1438</v>
      </c>
      <c r="M3099" s="93" t="s">
        <v>2311</v>
      </c>
      <c r="N3099" s="93">
        <f>VLOOKUP(B3099,'[16]01.수집 카테고리(List)'!$A$2:$H$64,8,FALSE)</f>
        <v>99991231</v>
      </c>
      <c r="O3099" s="93" t="s">
        <v>646</v>
      </c>
    </row>
    <row r="3100" spans="1:15" hidden="1">
      <c r="A3100" s="75" t="str">
        <f t="shared" si="118"/>
        <v>UKAMAZONBluetooth Speakerportable speakersportable speakers</v>
      </c>
      <c r="B3100" s="94" t="str">
        <f t="shared" si="119"/>
        <v>UK_AMAZON</v>
      </c>
      <c r="C3100" s="93" t="s">
        <v>27</v>
      </c>
      <c r="D3100" s="93" t="s">
        <v>262</v>
      </c>
      <c r="E3100" s="93" t="s">
        <v>2307</v>
      </c>
      <c r="F3100" s="93" t="s">
        <v>2473</v>
      </c>
      <c r="G3100" s="93" t="s">
        <v>2473</v>
      </c>
      <c r="H3100" s="93" t="e">
        <v>#N/A</v>
      </c>
      <c r="I3100" s="105" t="s">
        <v>2310</v>
      </c>
      <c r="J3100" s="93" t="s">
        <v>189</v>
      </c>
      <c r="K3100" s="93">
        <v>1285</v>
      </c>
      <c r="L3100" s="93">
        <v>1285</v>
      </c>
      <c r="M3100" s="93" t="s">
        <v>2311</v>
      </c>
      <c r="N3100" s="93">
        <f>VLOOKUP(B3100,'[16]01.수집 카테고리(List)'!$A$2:$H$64,8,FALSE)</f>
        <v>99991231</v>
      </c>
      <c r="O3100" s="93" t="s">
        <v>646</v>
      </c>
    </row>
    <row r="3101" spans="1:15" hidden="1">
      <c r="A3101" s="75" t="str">
        <f t="shared" si="118"/>
        <v>UKAMAZONBluetooth Speakerspeakersspeakers</v>
      </c>
      <c r="B3101" s="94" t="str">
        <f t="shared" si="119"/>
        <v>UK_AMAZON</v>
      </c>
      <c r="C3101" s="93" t="s">
        <v>27</v>
      </c>
      <c r="D3101" s="93" t="s">
        <v>262</v>
      </c>
      <c r="E3101" s="93" t="s">
        <v>2307</v>
      </c>
      <c r="F3101" s="93" t="s">
        <v>2471</v>
      </c>
      <c r="G3101" s="93" t="s">
        <v>2471</v>
      </c>
      <c r="H3101" s="93" t="e">
        <v>#N/A</v>
      </c>
      <c r="I3101" s="105" t="s">
        <v>2310</v>
      </c>
      <c r="J3101" s="93" t="s">
        <v>189</v>
      </c>
      <c r="K3101" s="93">
        <v>1255</v>
      </c>
      <c r="L3101" s="93">
        <v>1255</v>
      </c>
      <c r="M3101" s="93" t="s">
        <v>2311</v>
      </c>
      <c r="N3101" s="93">
        <f>VLOOKUP(B3101,'[16]01.수집 카테고리(List)'!$A$2:$H$64,8,FALSE)</f>
        <v>99991231</v>
      </c>
      <c r="O3101" s="93" t="s">
        <v>646</v>
      </c>
    </row>
    <row r="3102" spans="1:15" hidden="1">
      <c r="A3102" s="75" t="str">
        <f t="shared" si="118"/>
        <v>UKAMAZONBluetooth Speakerwireless portable speakerswireless portable speakers</v>
      </c>
      <c r="B3102" s="94" t="str">
        <f t="shared" si="119"/>
        <v>UK_AMAZON</v>
      </c>
      <c r="C3102" s="93" t="s">
        <v>27</v>
      </c>
      <c r="D3102" s="93" t="s">
        <v>262</v>
      </c>
      <c r="E3102" s="93" t="s">
        <v>2307</v>
      </c>
      <c r="F3102" s="93" t="s">
        <v>2475</v>
      </c>
      <c r="G3102" s="93" t="s">
        <v>2475</v>
      </c>
      <c r="H3102" s="93" t="e">
        <v>#N/A</v>
      </c>
      <c r="I3102" s="105" t="s">
        <v>2310</v>
      </c>
      <c r="J3102" s="93" t="s">
        <v>189</v>
      </c>
      <c r="K3102" s="93">
        <v>1694</v>
      </c>
      <c r="L3102" s="93">
        <v>1694</v>
      </c>
      <c r="M3102" s="93" t="s">
        <v>2311</v>
      </c>
      <c r="N3102" s="93">
        <f>VLOOKUP(B3102,'[16]01.수집 카테고리(List)'!$A$2:$H$64,8,FALSE)</f>
        <v>99991231</v>
      </c>
      <c r="O3102" s="93" t="s">
        <v>646</v>
      </c>
    </row>
    <row r="3103" spans="1:15" hidden="1">
      <c r="A3103" s="75" t="str">
        <f t="shared" si="118"/>
        <v>UKAMAZONBluetooth SpeakerPortable bluetooth speakersPortable bluetooth speakers</v>
      </c>
      <c r="B3103" s="94" t="str">
        <f t="shared" si="119"/>
        <v>UK_AMAZON</v>
      </c>
      <c r="C3103" s="93" t="s">
        <v>27</v>
      </c>
      <c r="D3103" s="93" t="s">
        <v>262</v>
      </c>
      <c r="E3103" s="93" t="s">
        <v>2307</v>
      </c>
      <c r="F3103" s="93" t="s">
        <v>2426</v>
      </c>
      <c r="G3103" s="93" t="s">
        <v>2426</v>
      </c>
      <c r="H3103" s="93" t="e">
        <v>#N/A</v>
      </c>
      <c r="I3103" s="105" t="s">
        <v>2310</v>
      </c>
      <c r="J3103" s="93" t="s">
        <v>189</v>
      </c>
      <c r="K3103" s="93">
        <v>564</v>
      </c>
      <c r="L3103" s="93">
        <v>564</v>
      </c>
      <c r="M3103" s="93" t="s">
        <v>2311</v>
      </c>
      <c r="N3103" s="93">
        <f>VLOOKUP(B3103,'[16]01.수집 카테고리(List)'!$A$2:$H$64,8,FALSE)</f>
        <v>99991231</v>
      </c>
      <c r="O3103" s="93" t="s">
        <v>646</v>
      </c>
    </row>
    <row r="3104" spans="1:15" hidden="1">
      <c r="A3104" s="75" t="str">
        <f t="shared" si="118"/>
        <v>UKAMAZONLaptop15inch Laptop15inch Laptop</v>
      </c>
      <c r="B3104" s="94" t="str">
        <f t="shared" si="119"/>
        <v>UK_AMAZON</v>
      </c>
      <c r="C3104" s="93" t="s">
        <v>27</v>
      </c>
      <c r="D3104" s="93" t="s">
        <v>262</v>
      </c>
      <c r="E3104" s="93" t="s">
        <v>2407</v>
      </c>
      <c r="F3104" s="93" t="s">
        <v>2408</v>
      </c>
      <c r="G3104" s="93" t="s">
        <v>2408</v>
      </c>
      <c r="H3104" s="93" t="e">
        <v>#N/A</v>
      </c>
      <c r="I3104" s="105" t="s">
        <v>2310</v>
      </c>
      <c r="J3104" s="93" t="s">
        <v>189</v>
      </c>
      <c r="K3104" s="93">
        <v>2146</v>
      </c>
      <c r="L3104" s="93">
        <v>2146</v>
      </c>
      <c r="M3104" s="93" t="s">
        <v>2311</v>
      </c>
      <c r="N3104" s="93">
        <f>VLOOKUP(B3104,'[16]01.수집 카테고리(List)'!$A$2:$H$64,8,FALSE)</f>
        <v>99991231</v>
      </c>
      <c r="O3104" s="93" t="s">
        <v>646</v>
      </c>
    </row>
    <row r="3105" spans="1:15" hidden="1">
      <c r="A3105" s="75" t="str">
        <f t="shared" si="118"/>
        <v>UKAMAZONLaptop17inch Laptop17inch Laptop</v>
      </c>
      <c r="B3105" s="94" t="str">
        <f t="shared" si="119"/>
        <v>UK_AMAZON</v>
      </c>
      <c r="C3105" s="93" t="s">
        <v>27</v>
      </c>
      <c r="D3105" s="93" t="s">
        <v>262</v>
      </c>
      <c r="E3105" s="93" t="s">
        <v>2407</v>
      </c>
      <c r="F3105" s="93" t="s">
        <v>2409</v>
      </c>
      <c r="G3105" s="93" t="s">
        <v>2409</v>
      </c>
      <c r="H3105" s="93" t="e">
        <v>#N/A</v>
      </c>
      <c r="I3105" s="105" t="s">
        <v>2310</v>
      </c>
      <c r="J3105" s="93" t="s">
        <v>189</v>
      </c>
      <c r="K3105" s="93">
        <v>1898</v>
      </c>
      <c r="L3105" s="93">
        <v>1898</v>
      </c>
      <c r="M3105" s="93" t="s">
        <v>2311</v>
      </c>
      <c r="N3105" s="93">
        <f>VLOOKUP(B3105,'[16]01.수집 카테고리(List)'!$A$2:$H$64,8,FALSE)</f>
        <v>99991231</v>
      </c>
      <c r="O3105" s="93" t="s">
        <v>646</v>
      </c>
    </row>
    <row r="3106" spans="1:15" hidden="1">
      <c r="A3106" s="75" t="str">
        <f t="shared" si="118"/>
        <v>UKAMAZONLaptopi7 laptopi7 laptop</v>
      </c>
      <c r="B3106" s="94" t="str">
        <f t="shared" si="119"/>
        <v>UK_AMAZON</v>
      </c>
      <c r="C3106" s="93" t="s">
        <v>27</v>
      </c>
      <c r="D3106" s="93" t="s">
        <v>262</v>
      </c>
      <c r="E3106" s="93" t="s">
        <v>2407</v>
      </c>
      <c r="F3106" s="93" t="s">
        <v>2410</v>
      </c>
      <c r="G3106" s="93" t="s">
        <v>2410</v>
      </c>
      <c r="H3106" s="93" t="e">
        <v>#N/A</v>
      </c>
      <c r="I3106" s="105" t="s">
        <v>2310</v>
      </c>
      <c r="J3106" s="93" t="s">
        <v>189</v>
      </c>
      <c r="K3106" s="93">
        <v>2725</v>
      </c>
      <c r="L3106" s="93">
        <v>2725</v>
      </c>
      <c r="M3106" s="93" t="s">
        <v>2311</v>
      </c>
      <c r="N3106" s="93">
        <f>VLOOKUP(B3106,'[16]01.수집 카테고리(List)'!$A$2:$H$64,8,FALSE)</f>
        <v>99991231</v>
      </c>
      <c r="O3106" s="93" t="s">
        <v>646</v>
      </c>
    </row>
    <row r="3107" spans="1:15" hidden="1">
      <c r="A3107" s="75" t="str">
        <f t="shared" si="118"/>
        <v>UKAMAZONLaptopLaptopLaptop</v>
      </c>
      <c r="B3107" s="94" t="str">
        <f t="shared" si="119"/>
        <v>UK_AMAZON</v>
      </c>
      <c r="C3107" s="93" t="s">
        <v>27</v>
      </c>
      <c r="D3107" s="93" t="s">
        <v>262</v>
      </c>
      <c r="E3107" s="93" t="s">
        <v>2407</v>
      </c>
      <c r="F3107" s="93" t="s">
        <v>2407</v>
      </c>
      <c r="G3107" s="93" t="s">
        <v>2407</v>
      </c>
      <c r="H3107" s="93" t="e">
        <v>#N/A</v>
      </c>
      <c r="I3107" s="105" t="s">
        <v>2310</v>
      </c>
      <c r="J3107" s="93" t="s">
        <v>189</v>
      </c>
      <c r="K3107" s="93">
        <v>1894</v>
      </c>
      <c r="L3107" s="93">
        <v>1894</v>
      </c>
      <c r="M3107" s="93" t="s">
        <v>2311</v>
      </c>
      <c r="N3107" s="93">
        <f>VLOOKUP(B3107,'[16]01.수집 카테고리(List)'!$A$2:$H$64,8,FALSE)</f>
        <v>99991231</v>
      </c>
      <c r="O3107" s="93" t="s">
        <v>646</v>
      </c>
    </row>
    <row r="3108" spans="1:15" hidden="1">
      <c r="A3108" s="75" t="str">
        <f t="shared" si="118"/>
        <v>UKAMAZONLaptopLightweight LaptopLightweight Laptop</v>
      </c>
      <c r="B3108" s="94" t="str">
        <f t="shared" si="119"/>
        <v>UK_AMAZON</v>
      </c>
      <c r="C3108" s="93" t="s">
        <v>27</v>
      </c>
      <c r="D3108" s="93" t="s">
        <v>262</v>
      </c>
      <c r="E3108" s="93" t="s">
        <v>2407</v>
      </c>
      <c r="F3108" s="93" t="s">
        <v>2411</v>
      </c>
      <c r="G3108" s="93" t="s">
        <v>2411</v>
      </c>
      <c r="H3108" s="93" t="e">
        <v>#N/A</v>
      </c>
      <c r="I3108" s="105" t="s">
        <v>2310</v>
      </c>
      <c r="J3108" s="93" t="s">
        <v>189</v>
      </c>
      <c r="K3108" s="93">
        <v>827</v>
      </c>
      <c r="L3108" s="93">
        <v>827</v>
      </c>
      <c r="M3108" s="93" t="s">
        <v>2311</v>
      </c>
      <c r="N3108" s="93">
        <f>VLOOKUP(B3108,'[16]01.수집 카테고리(List)'!$A$2:$H$64,8,FALSE)</f>
        <v>99991231</v>
      </c>
      <c r="O3108" s="93" t="s">
        <v>646</v>
      </c>
    </row>
    <row r="3109" spans="1:15" hidden="1">
      <c r="A3109" s="75" t="str">
        <f t="shared" si="118"/>
        <v>UKAMAZONMonitor4k monitor4k monitor</v>
      </c>
      <c r="B3109" s="94" t="str">
        <f t="shared" si="119"/>
        <v>UK_AMAZON</v>
      </c>
      <c r="C3109" s="93" t="s">
        <v>27</v>
      </c>
      <c r="D3109" s="93" t="s">
        <v>262</v>
      </c>
      <c r="E3109" s="93" t="s">
        <v>2320</v>
      </c>
      <c r="F3109" s="93" t="s">
        <v>2321</v>
      </c>
      <c r="G3109" s="93" t="s">
        <v>2321</v>
      </c>
      <c r="H3109" s="93" t="e">
        <v>#N/A</v>
      </c>
      <c r="I3109" s="105" t="s">
        <v>2310</v>
      </c>
      <c r="J3109" s="93" t="s">
        <v>189</v>
      </c>
      <c r="K3109" s="93">
        <v>1526</v>
      </c>
      <c r="L3109" s="93">
        <v>1526</v>
      </c>
      <c r="M3109" s="93" t="s">
        <v>2311</v>
      </c>
      <c r="N3109" s="93">
        <f>VLOOKUP(B3109,'[16]01.수집 카테고리(List)'!$A$2:$H$64,8,FALSE)</f>
        <v>99991231</v>
      </c>
      <c r="O3109" s="93" t="s">
        <v>646</v>
      </c>
    </row>
    <row r="3110" spans="1:15" hidden="1">
      <c r="A3110" s="75" t="str">
        <f t="shared" si="118"/>
        <v>UKAMAZONMonitorgaming monitorgaming monitor</v>
      </c>
      <c r="B3110" s="94" t="str">
        <f t="shared" si="119"/>
        <v>UK_AMAZON</v>
      </c>
      <c r="C3110" s="93" t="s">
        <v>27</v>
      </c>
      <c r="D3110" s="93" t="s">
        <v>262</v>
      </c>
      <c r="E3110" s="93" t="s">
        <v>2320</v>
      </c>
      <c r="F3110" s="93" t="s">
        <v>2322</v>
      </c>
      <c r="G3110" s="93" t="s">
        <v>2322</v>
      </c>
      <c r="H3110" s="93" t="e">
        <v>#N/A</v>
      </c>
      <c r="I3110" s="105" t="s">
        <v>2310</v>
      </c>
      <c r="J3110" s="93" t="s">
        <v>189</v>
      </c>
      <c r="K3110" s="93">
        <v>3725</v>
      </c>
      <c r="L3110" s="93">
        <v>3725</v>
      </c>
      <c r="M3110" s="93" t="s">
        <v>2311</v>
      </c>
      <c r="N3110" s="93">
        <f>VLOOKUP(B3110,'[16]01.수집 카테고리(List)'!$A$2:$H$64,8,FALSE)</f>
        <v>99991231</v>
      </c>
      <c r="O3110" s="93" t="s">
        <v>646</v>
      </c>
    </row>
    <row r="3111" spans="1:15" hidden="1">
      <c r="A3111" s="75" t="str">
        <f t="shared" si="118"/>
        <v>UKAMAZONMonitormonitormonitor</v>
      </c>
      <c r="B3111" s="94" t="str">
        <f t="shared" si="119"/>
        <v>UK_AMAZON</v>
      </c>
      <c r="C3111" s="93" t="s">
        <v>27</v>
      </c>
      <c r="D3111" s="93" t="s">
        <v>262</v>
      </c>
      <c r="E3111" s="93" t="s">
        <v>2320</v>
      </c>
      <c r="F3111" s="93" t="s">
        <v>2323</v>
      </c>
      <c r="G3111" s="93" t="s">
        <v>2323</v>
      </c>
      <c r="H3111" s="93" t="e">
        <v>#N/A</v>
      </c>
      <c r="I3111" s="105" t="s">
        <v>2310</v>
      </c>
      <c r="J3111" s="93" t="s">
        <v>189</v>
      </c>
      <c r="K3111" s="93">
        <v>3328</v>
      </c>
      <c r="L3111" s="93">
        <v>3328</v>
      </c>
      <c r="M3111" s="93" t="s">
        <v>2311</v>
      </c>
      <c r="N3111" s="93">
        <f>VLOOKUP(B3111,'[16]01.수집 카테고리(List)'!$A$2:$H$64,8,FALSE)</f>
        <v>99991231</v>
      </c>
      <c r="O3111" s="93" t="s">
        <v>646</v>
      </c>
    </row>
    <row r="3112" spans="1:15" hidden="1">
      <c r="A3112" s="75" t="str">
        <f t="shared" si="118"/>
        <v>UKAMAZONMonitoruhd monitoruhd monitor</v>
      </c>
      <c r="B3112" s="94" t="str">
        <f t="shared" si="119"/>
        <v>UK_AMAZON</v>
      </c>
      <c r="C3112" s="93" t="s">
        <v>27</v>
      </c>
      <c r="D3112" s="93" t="s">
        <v>262</v>
      </c>
      <c r="E3112" s="93" t="s">
        <v>2320</v>
      </c>
      <c r="F3112" s="93" t="s">
        <v>2324</v>
      </c>
      <c r="G3112" s="93" t="s">
        <v>2324</v>
      </c>
      <c r="H3112" s="93" t="e">
        <v>#N/A</v>
      </c>
      <c r="I3112" s="105" t="s">
        <v>2310</v>
      </c>
      <c r="J3112" s="93" t="s">
        <v>189</v>
      </c>
      <c r="K3112" s="93">
        <v>713</v>
      </c>
      <c r="L3112" s="93">
        <v>713</v>
      </c>
      <c r="M3112" s="93" t="s">
        <v>2311</v>
      </c>
      <c r="N3112" s="93">
        <f>VLOOKUP(B3112,'[16]01.수집 카테고리(List)'!$A$2:$H$64,8,FALSE)</f>
        <v>99991231</v>
      </c>
      <c r="O3112" s="93" t="s">
        <v>646</v>
      </c>
    </row>
    <row r="3113" spans="1:15" hidden="1">
      <c r="A3113" s="75" t="str">
        <f t="shared" si="118"/>
        <v>UKAMAZONMonitorultrawide monitorultrawide monitor</v>
      </c>
      <c r="B3113" s="94" t="str">
        <f t="shared" si="119"/>
        <v>UK_AMAZON</v>
      </c>
      <c r="C3113" s="93" t="s">
        <v>27</v>
      </c>
      <c r="D3113" s="93" t="s">
        <v>262</v>
      </c>
      <c r="E3113" s="93" t="s">
        <v>2320</v>
      </c>
      <c r="F3113" s="93" t="s">
        <v>2325</v>
      </c>
      <c r="G3113" s="93" t="s">
        <v>2325</v>
      </c>
      <c r="H3113" s="93" t="e">
        <v>#N/A</v>
      </c>
      <c r="I3113" s="105" t="s">
        <v>2310</v>
      </c>
      <c r="J3113" s="93" t="s">
        <v>189</v>
      </c>
      <c r="K3113" s="93">
        <v>645</v>
      </c>
      <c r="L3113" s="93">
        <v>645</v>
      </c>
      <c r="M3113" s="93" t="s">
        <v>2311</v>
      </c>
      <c r="N3113" s="93">
        <f>VLOOKUP(B3113,'[16]01.수집 카테고리(List)'!$A$2:$H$64,8,FALSE)</f>
        <v>99991231</v>
      </c>
      <c r="O3113" s="93" t="s">
        <v>646</v>
      </c>
    </row>
    <row r="3114" spans="1:15" hidden="1">
      <c r="A3114" s="75" t="str">
        <f t="shared" si="118"/>
        <v>UKAMAZONRefrigeratorside by side refrigeratoramerican style fridge freezer</v>
      </c>
      <c r="B3114" s="94" t="str">
        <f t="shared" si="119"/>
        <v>UK_AMAZON</v>
      </c>
      <c r="C3114" s="93" t="s">
        <v>27</v>
      </c>
      <c r="D3114" s="93" t="s">
        <v>262</v>
      </c>
      <c r="E3114" s="93" t="s">
        <v>2326</v>
      </c>
      <c r="F3114" s="93" t="s">
        <v>2330</v>
      </c>
      <c r="G3114" s="93" t="s">
        <v>3653</v>
      </c>
      <c r="H3114" s="93" t="e">
        <v>#N/A</v>
      </c>
      <c r="I3114" s="105" t="s">
        <v>2310</v>
      </c>
      <c r="J3114" s="93" t="s">
        <v>189</v>
      </c>
      <c r="K3114" s="93">
        <v>1</v>
      </c>
      <c r="L3114" s="93" t="e">
        <v>#N/A</v>
      </c>
      <c r="M3114" s="93" t="s">
        <v>2311</v>
      </c>
      <c r="N3114" s="93">
        <f>VLOOKUP(B3114,'[16]01.수집 카테고리(List)'!$A$2:$H$64,8,FALSE)</f>
        <v>99991231</v>
      </c>
      <c r="O3114" s="93" t="s">
        <v>646</v>
      </c>
    </row>
    <row r="3115" spans="1:15" hidden="1">
      <c r="A3115" s="75" t="str">
        <f t="shared" si="118"/>
        <v>UKAMAZONRefrigeratorbottom freezer refrigeratorbottom freezer</v>
      </c>
      <c r="B3115" s="94" t="str">
        <f t="shared" si="119"/>
        <v>UK_AMAZON</v>
      </c>
      <c r="C3115" s="93" t="s">
        <v>27</v>
      </c>
      <c r="D3115" s="93" t="s">
        <v>262</v>
      </c>
      <c r="E3115" s="93" t="s">
        <v>2326</v>
      </c>
      <c r="F3115" s="93" t="s">
        <v>2327</v>
      </c>
      <c r="G3115" s="93" t="s">
        <v>2520</v>
      </c>
      <c r="H3115" s="93" t="e">
        <v>#N/A</v>
      </c>
      <c r="I3115" s="105" t="s">
        <v>2310</v>
      </c>
      <c r="J3115" s="93" t="s">
        <v>189</v>
      </c>
      <c r="K3115" s="93">
        <v>15</v>
      </c>
      <c r="L3115" s="93" t="e">
        <v>#N/A</v>
      </c>
      <c r="M3115" s="93" t="s">
        <v>2311</v>
      </c>
      <c r="N3115" s="93">
        <f>VLOOKUP(B3115,'[16]01.수집 카테고리(List)'!$A$2:$H$64,8,FALSE)</f>
        <v>99991231</v>
      </c>
      <c r="O3115" s="93" t="s">
        <v>646</v>
      </c>
    </row>
    <row r="3116" spans="1:15" hidden="1">
      <c r="A3116" s="75" t="str">
        <f t="shared" si="118"/>
        <v>UKAMAZONRefrigeratorrefrigeratorfridge freezer</v>
      </c>
      <c r="B3116" s="94" t="str">
        <f t="shared" si="119"/>
        <v>UK_AMAZON</v>
      </c>
      <c r="C3116" s="93" t="s">
        <v>27</v>
      </c>
      <c r="D3116" s="93" t="s">
        <v>262</v>
      </c>
      <c r="E3116" s="93" t="s">
        <v>2326</v>
      </c>
      <c r="F3116" s="93" t="s">
        <v>2329</v>
      </c>
      <c r="G3116" s="93" t="s">
        <v>3654</v>
      </c>
      <c r="H3116" s="93" t="e">
        <v>#N/A</v>
      </c>
      <c r="I3116" s="105" t="s">
        <v>2310</v>
      </c>
      <c r="J3116" s="93" t="s">
        <v>189</v>
      </c>
      <c r="K3116" s="93">
        <v>7</v>
      </c>
      <c r="L3116" s="93" t="e">
        <v>#N/A</v>
      </c>
      <c r="M3116" s="93" t="s">
        <v>2311</v>
      </c>
      <c r="N3116" s="93">
        <f>VLOOKUP(B3116,'[16]01.수집 카테고리(List)'!$A$2:$H$64,8,FALSE)</f>
        <v>99991231</v>
      </c>
      <c r="O3116" s="93" t="s">
        <v>646</v>
      </c>
    </row>
    <row r="3117" spans="1:15" hidden="1">
      <c r="A3117" s="75" t="str">
        <f t="shared" si="118"/>
        <v>UKAMAZONRefrigeratorfrench door refrigeratormulti door fridge freezer</v>
      </c>
      <c r="B3117" s="94" t="str">
        <f t="shared" si="119"/>
        <v>UK_AMAZON</v>
      </c>
      <c r="C3117" s="93" t="s">
        <v>27</v>
      </c>
      <c r="D3117" s="93" t="s">
        <v>262</v>
      </c>
      <c r="E3117" s="93" t="s">
        <v>2326</v>
      </c>
      <c r="F3117" s="93" t="s">
        <v>2328</v>
      </c>
      <c r="G3117" s="93" t="s">
        <v>3655</v>
      </c>
      <c r="H3117" s="93" t="e">
        <v>#N/A</v>
      </c>
      <c r="I3117" s="105" t="s">
        <v>2310</v>
      </c>
      <c r="J3117" s="93" t="s">
        <v>189</v>
      </c>
      <c r="K3117" s="93">
        <v>1708</v>
      </c>
      <c r="L3117" s="93" t="e">
        <v>#N/A</v>
      </c>
      <c r="M3117" s="93" t="s">
        <v>2311</v>
      </c>
      <c r="N3117" s="93">
        <f>VLOOKUP(B3117,'[16]01.수집 카테고리(List)'!$A$2:$H$64,8,FALSE)</f>
        <v>99991231</v>
      </c>
      <c r="O3117" s="93" t="s">
        <v>646</v>
      </c>
    </row>
    <row r="3118" spans="1:15" hidden="1">
      <c r="A3118" s="75" t="str">
        <f t="shared" si="118"/>
        <v>UKAMAZONSOUNDBARSound barSound bar</v>
      </c>
      <c r="B3118" s="94" t="str">
        <f t="shared" si="119"/>
        <v>UK_AMAZON</v>
      </c>
      <c r="C3118" s="93" t="s">
        <v>27</v>
      </c>
      <c r="D3118" s="93" t="s">
        <v>262</v>
      </c>
      <c r="E3118" s="93" t="s">
        <v>165</v>
      </c>
      <c r="F3118" s="93" t="s">
        <v>2365</v>
      </c>
      <c r="G3118" s="93" t="s">
        <v>2365</v>
      </c>
      <c r="H3118" s="93" t="e">
        <v>#N/A</v>
      </c>
      <c r="I3118" s="105" t="s">
        <v>2310</v>
      </c>
      <c r="J3118" s="93" t="s">
        <v>189</v>
      </c>
      <c r="K3118" s="93">
        <v>2757</v>
      </c>
      <c r="L3118" s="93">
        <v>2757</v>
      </c>
      <c r="M3118" s="93" t="s">
        <v>2311</v>
      </c>
      <c r="N3118" s="93">
        <f>VLOOKUP(B3118,'[16]01.수집 카테고리(List)'!$A$2:$H$64,8,FALSE)</f>
        <v>99991231</v>
      </c>
      <c r="O3118" s="93" t="s">
        <v>646</v>
      </c>
    </row>
    <row r="3119" spans="1:15" hidden="1">
      <c r="A3119" s="75" t="str">
        <f t="shared" si="118"/>
        <v>UKAMAZONSOUNDBARSound bars for tvSound bars for tv</v>
      </c>
      <c r="B3119" s="94" t="str">
        <f t="shared" si="119"/>
        <v>UK_AMAZON</v>
      </c>
      <c r="C3119" s="93" t="s">
        <v>27</v>
      </c>
      <c r="D3119" s="93" t="s">
        <v>262</v>
      </c>
      <c r="E3119" s="93" t="s">
        <v>165</v>
      </c>
      <c r="F3119" s="93" t="s">
        <v>2430</v>
      </c>
      <c r="G3119" s="93" t="s">
        <v>2430</v>
      </c>
      <c r="H3119" s="93" t="e">
        <v>#N/A</v>
      </c>
      <c r="I3119" s="105" t="s">
        <v>2310</v>
      </c>
      <c r="J3119" s="93" t="s">
        <v>189</v>
      </c>
      <c r="K3119" s="93">
        <v>3023</v>
      </c>
      <c r="L3119" s="93">
        <v>3023</v>
      </c>
      <c r="M3119" s="93" t="s">
        <v>2311</v>
      </c>
      <c r="N3119" s="93">
        <f>VLOOKUP(B3119,'[16]01.수집 카테고리(List)'!$A$2:$H$64,8,FALSE)</f>
        <v>99991231</v>
      </c>
      <c r="O3119" s="93" t="s">
        <v>646</v>
      </c>
    </row>
    <row r="3120" spans="1:15" hidden="1">
      <c r="A3120" s="75" t="str">
        <f t="shared" si="118"/>
        <v>UKAMAZONSOUNDBARSoundbarSoundbar</v>
      </c>
      <c r="B3120" s="94" t="str">
        <f t="shared" si="119"/>
        <v>UK_AMAZON</v>
      </c>
      <c r="C3120" s="93" t="s">
        <v>27</v>
      </c>
      <c r="D3120" s="93" t="s">
        <v>262</v>
      </c>
      <c r="E3120" s="93" t="s">
        <v>165</v>
      </c>
      <c r="F3120" s="93" t="s">
        <v>2363</v>
      </c>
      <c r="G3120" s="93" t="s">
        <v>2363</v>
      </c>
      <c r="H3120" s="93" t="e">
        <v>#N/A</v>
      </c>
      <c r="I3120" s="105" t="s">
        <v>2310</v>
      </c>
      <c r="J3120" s="93" t="s">
        <v>189</v>
      </c>
      <c r="K3120" s="93">
        <v>1373</v>
      </c>
      <c r="L3120" s="93">
        <v>1373</v>
      </c>
      <c r="M3120" s="93" t="s">
        <v>2311</v>
      </c>
      <c r="N3120" s="93">
        <f>VLOOKUP(B3120,'[16]01.수집 카테고리(List)'!$A$2:$H$64,8,FALSE)</f>
        <v>99991231</v>
      </c>
      <c r="O3120" s="93" t="s">
        <v>646</v>
      </c>
    </row>
    <row r="3121" spans="1:15" hidden="1">
      <c r="A3121" s="75" t="str">
        <f t="shared" si="118"/>
        <v>UKAMAZONSoundbarsoundbar with subwoofersoundbar with subwoofer</v>
      </c>
      <c r="B3121" s="94" t="str">
        <f t="shared" si="119"/>
        <v>UK_AMAZON</v>
      </c>
      <c r="C3121" s="93" t="s">
        <v>27</v>
      </c>
      <c r="D3121" s="93" t="s">
        <v>262</v>
      </c>
      <c r="E3121" s="93" t="s">
        <v>2363</v>
      </c>
      <c r="F3121" s="93" t="s">
        <v>3656</v>
      </c>
      <c r="G3121" s="93" t="s">
        <v>3656</v>
      </c>
      <c r="H3121" s="93" t="e">
        <v>#N/A</v>
      </c>
      <c r="I3121" s="105" t="s">
        <v>2310</v>
      </c>
      <c r="J3121" s="93" t="s">
        <v>189</v>
      </c>
      <c r="K3121" s="93">
        <v>1685</v>
      </c>
      <c r="L3121" s="93">
        <v>1685</v>
      </c>
      <c r="M3121" s="93" t="s">
        <v>2311</v>
      </c>
      <c r="N3121" s="93">
        <f>VLOOKUP(B3121,'[16]01.수집 카테고리(List)'!$A$2:$H$64,8,FALSE)</f>
        <v>99991231</v>
      </c>
      <c r="O3121" s="93" t="s">
        <v>646</v>
      </c>
    </row>
    <row r="3122" spans="1:15" hidden="1">
      <c r="A3122" s="75" t="str">
        <f t="shared" si="118"/>
        <v>UKAMAZONSOUNDBARtv sound bartv sound bar</v>
      </c>
      <c r="B3122" s="94" t="str">
        <f t="shared" si="119"/>
        <v>UK_AMAZON</v>
      </c>
      <c r="C3122" s="93" t="s">
        <v>27</v>
      </c>
      <c r="D3122" s="93" t="s">
        <v>262</v>
      </c>
      <c r="E3122" s="93" t="s">
        <v>165</v>
      </c>
      <c r="F3122" s="93" t="s">
        <v>2833</v>
      </c>
      <c r="G3122" s="93" t="s">
        <v>2833</v>
      </c>
      <c r="H3122" s="93" t="e">
        <v>#N/A</v>
      </c>
      <c r="I3122" s="105" t="s">
        <v>2310</v>
      </c>
      <c r="J3122" s="93" t="s">
        <v>189</v>
      </c>
      <c r="K3122" s="93">
        <v>1797</v>
      </c>
      <c r="L3122" s="93">
        <v>1797</v>
      </c>
      <c r="M3122" s="93" t="s">
        <v>2311</v>
      </c>
      <c r="N3122" s="93">
        <f>VLOOKUP(B3122,'[16]01.수집 카테고리(List)'!$A$2:$H$64,8,FALSE)</f>
        <v>99991231</v>
      </c>
      <c r="O3122" s="93" t="s">
        <v>646</v>
      </c>
    </row>
    <row r="3123" spans="1:15" hidden="1">
      <c r="A3123" s="75" t="str">
        <f t="shared" si="118"/>
        <v>UKAMAZONTV4k TV4k TV</v>
      </c>
      <c r="B3123" s="94" t="str">
        <f t="shared" si="119"/>
        <v>UK_AMAZON</v>
      </c>
      <c r="C3123" s="93" t="s">
        <v>27</v>
      </c>
      <c r="D3123" s="93" t="s">
        <v>262</v>
      </c>
      <c r="E3123" s="93" t="s">
        <v>161</v>
      </c>
      <c r="F3123" s="93" t="s">
        <v>2368</v>
      </c>
      <c r="G3123" s="93" t="s">
        <v>2368</v>
      </c>
      <c r="H3123" s="93" t="e">
        <v>#N/A</v>
      </c>
      <c r="I3123" s="105" t="s">
        <v>2310</v>
      </c>
      <c r="J3123" s="93" t="s">
        <v>189</v>
      </c>
      <c r="K3123" s="93">
        <v>6287</v>
      </c>
      <c r="L3123" s="93">
        <v>6287</v>
      </c>
      <c r="M3123" s="93" t="s">
        <v>2311</v>
      </c>
      <c r="N3123" s="93">
        <f>VLOOKUP(B3123,'[16]01.수집 카테고리(List)'!$A$2:$H$64,8,FALSE)</f>
        <v>99991231</v>
      </c>
      <c r="O3123" s="93" t="s">
        <v>646</v>
      </c>
    </row>
    <row r="3124" spans="1:15" hidden="1">
      <c r="A3124" s="75" t="str">
        <f t="shared" si="118"/>
        <v>UKAMAZONTVoled TVoled TV</v>
      </c>
      <c r="B3124" s="94" t="str">
        <f t="shared" si="119"/>
        <v>UK_AMAZON</v>
      </c>
      <c r="C3124" s="93" t="s">
        <v>27</v>
      </c>
      <c r="D3124" s="93" t="s">
        <v>262</v>
      </c>
      <c r="E3124" s="93" t="s">
        <v>161</v>
      </c>
      <c r="F3124" s="93" t="s">
        <v>2369</v>
      </c>
      <c r="G3124" s="93" t="s">
        <v>2369</v>
      </c>
      <c r="H3124" s="93" t="e">
        <v>#N/A</v>
      </c>
      <c r="I3124" s="105" t="s">
        <v>2310</v>
      </c>
      <c r="J3124" s="93" t="s">
        <v>189</v>
      </c>
      <c r="K3124" s="93">
        <v>6332</v>
      </c>
      <c r="L3124" s="93">
        <v>6332</v>
      </c>
      <c r="M3124" s="93" t="s">
        <v>2311</v>
      </c>
      <c r="N3124" s="93">
        <f>VLOOKUP(B3124,'[16]01.수집 카테고리(List)'!$A$2:$H$64,8,FALSE)</f>
        <v>99991231</v>
      </c>
      <c r="O3124" s="93" t="s">
        <v>646</v>
      </c>
    </row>
    <row r="3125" spans="1:15" hidden="1">
      <c r="A3125" s="75" t="str">
        <f t="shared" si="118"/>
        <v>UKAMAZONTVsmart TVsmart TV</v>
      </c>
      <c r="B3125" s="94" t="str">
        <f t="shared" si="119"/>
        <v>UK_AMAZON</v>
      </c>
      <c r="C3125" s="93" t="s">
        <v>27</v>
      </c>
      <c r="D3125" s="93" t="s">
        <v>262</v>
      </c>
      <c r="E3125" s="93" t="s">
        <v>161</v>
      </c>
      <c r="F3125" s="93" t="s">
        <v>2371</v>
      </c>
      <c r="G3125" s="93" t="s">
        <v>2371</v>
      </c>
      <c r="H3125" s="93" t="e">
        <v>#N/A</v>
      </c>
      <c r="I3125" s="105" t="s">
        <v>2310</v>
      </c>
      <c r="J3125" s="93" t="s">
        <v>189</v>
      </c>
      <c r="K3125" s="93">
        <v>2039</v>
      </c>
      <c r="L3125" s="93">
        <v>2039</v>
      </c>
      <c r="M3125" s="93" t="s">
        <v>2311</v>
      </c>
      <c r="N3125" s="93">
        <f>VLOOKUP(B3125,'[16]01.수집 카테고리(List)'!$A$2:$H$64,8,FALSE)</f>
        <v>99991231</v>
      </c>
      <c r="O3125" s="93" t="s">
        <v>646</v>
      </c>
    </row>
    <row r="3126" spans="1:15" hidden="1">
      <c r="A3126" s="75" t="str">
        <f t="shared" si="118"/>
        <v>UKAMAZONTVTVTV</v>
      </c>
      <c r="B3126" s="94" t="str">
        <f t="shared" si="119"/>
        <v>UK_AMAZON</v>
      </c>
      <c r="C3126" s="93" t="s">
        <v>27</v>
      </c>
      <c r="D3126" s="93" t="s">
        <v>262</v>
      </c>
      <c r="E3126" s="93" t="s">
        <v>161</v>
      </c>
      <c r="F3126" s="93" t="s">
        <v>161</v>
      </c>
      <c r="G3126" s="93" t="s">
        <v>161</v>
      </c>
      <c r="H3126" s="93" t="e">
        <v>#N/A</v>
      </c>
      <c r="I3126" s="105" t="s">
        <v>2310</v>
      </c>
      <c r="J3126" s="93" t="s">
        <v>189</v>
      </c>
      <c r="K3126" s="93">
        <v>2172</v>
      </c>
      <c r="L3126" s="93">
        <v>2172</v>
      </c>
      <c r="M3126" s="93" t="s">
        <v>2311</v>
      </c>
      <c r="N3126" s="93">
        <f>VLOOKUP(B3126,'[16]01.수집 카테고리(List)'!$A$2:$H$64,8,FALSE)</f>
        <v>99991231</v>
      </c>
      <c r="O3126" s="93" t="s">
        <v>646</v>
      </c>
    </row>
    <row r="3127" spans="1:15" hidden="1">
      <c r="A3127" s="75" t="str">
        <f t="shared" si="118"/>
        <v>UKAMAZONTVuhd TVuhd TV</v>
      </c>
      <c r="B3127" s="94" t="str">
        <f t="shared" si="119"/>
        <v>UK_AMAZON</v>
      </c>
      <c r="C3127" s="93" t="s">
        <v>27</v>
      </c>
      <c r="D3127" s="93" t="s">
        <v>262</v>
      </c>
      <c r="E3127" s="93" t="s">
        <v>161</v>
      </c>
      <c r="F3127" s="93" t="s">
        <v>2399</v>
      </c>
      <c r="G3127" s="93" t="s">
        <v>2399</v>
      </c>
      <c r="H3127" s="93" t="e">
        <v>#N/A</v>
      </c>
      <c r="I3127" s="105" t="s">
        <v>2310</v>
      </c>
      <c r="J3127" s="93" t="s">
        <v>189</v>
      </c>
      <c r="K3127" s="93">
        <v>1095</v>
      </c>
      <c r="L3127" s="93">
        <v>1095</v>
      </c>
      <c r="M3127" s="93" t="s">
        <v>2311</v>
      </c>
      <c r="N3127" s="93">
        <f>VLOOKUP(B3127,'[16]01.수집 카테고리(List)'!$A$2:$H$64,8,FALSE)</f>
        <v>99991231</v>
      </c>
      <c r="O3127" s="93" t="s">
        <v>646</v>
      </c>
    </row>
    <row r="3128" spans="1:15" hidden="1">
      <c r="A3128" s="75" t="str">
        <f t="shared" si="118"/>
        <v>UKAMAZONWashing Machinewasher dryerWasher Dryer</v>
      </c>
      <c r="B3128" s="94" t="str">
        <f t="shared" si="119"/>
        <v>UK_AMAZON</v>
      </c>
      <c r="C3128" s="93" t="s">
        <v>27</v>
      </c>
      <c r="D3128" s="93" t="s">
        <v>262</v>
      </c>
      <c r="E3128" s="93" t="s">
        <v>2333</v>
      </c>
      <c r="F3128" s="93" t="s">
        <v>2339</v>
      </c>
      <c r="G3128" s="93" t="s">
        <v>3657</v>
      </c>
      <c r="H3128" s="93" t="e">
        <v>#N/A</v>
      </c>
      <c r="I3128" s="105" t="s">
        <v>2310</v>
      </c>
      <c r="J3128" s="93" t="s">
        <v>189</v>
      </c>
      <c r="K3128" s="93">
        <v>1130</v>
      </c>
      <c r="L3128" s="93">
        <v>1130</v>
      </c>
      <c r="M3128" s="93" t="s">
        <v>2311</v>
      </c>
      <c r="N3128" s="93">
        <f>VLOOKUP(B3128,'[16]01.수집 카테고리(List)'!$A$2:$H$64,8,FALSE)</f>
        <v>99991231</v>
      </c>
      <c r="O3128" s="93" t="s">
        <v>646</v>
      </c>
    </row>
    <row r="3129" spans="1:15" hidden="1">
      <c r="A3129" s="75" t="str">
        <f t="shared" si="118"/>
        <v>UKAMAZONWashing Machinewashing machinewashing machine</v>
      </c>
      <c r="B3129" s="94" t="str">
        <f t="shared" si="119"/>
        <v>UK_AMAZON</v>
      </c>
      <c r="C3129" s="93" t="s">
        <v>27</v>
      </c>
      <c r="D3129" s="93" t="s">
        <v>262</v>
      </c>
      <c r="E3129" s="93" t="s">
        <v>2333</v>
      </c>
      <c r="F3129" s="93" t="s">
        <v>2340</v>
      </c>
      <c r="G3129" s="93" t="s">
        <v>2340</v>
      </c>
      <c r="H3129" s="93" t="e">
        <v>#N/A</v>
      </c>
      <c r="I3129" s="105" t="s">
        <v>2310</v>
      </c>
      <c r="J3129" s="93" t="s">
        <v>189</v>
      </c>
      <c r="K3129" s="93">
        <v>1</v>
      </c>
      <c r="L3129" s="93">
        <v>1</v>
      </c>
      <c r="M3129" s="93" t="s">
        <v>2311</v>
      </c>
      <c r="N3129" s="93">
        <f>VLOOKUP(B3129,'[16]01.수집 카테고리(List)'!$A$2:$H$64,8,FALSE)</f>
        <v>99991231</v>
      </c>
      <c r="O3129" s="93" t="s">
        <v>646</v>
      </c>
    </row>
    <row r="3130" spans="1:15" hidden="1">
      <c r="A3130" s="75" t="str">
        <f t="shared" si="118"/>
        <v>UKAMAZONWireless Headsetbluetooth earbudsbluetooth earbuds</v>
      </c>
      <c r="B3130" s="94" t="str">
        <f t="shared" si="119"/>
        <v>UK_AMAZON</v>
      </c>
      <c r="C3130" s="93" t="s">
        <v>27</v>
      </c>
      <c r="D3130" s="93" t="s">
        <v>262</v>
      </c>
      <c r="E3130" s="93" t="s">
        <v>2373</v>
      </c>
      <c r="F3130" s="93" t="s">
        <v>2909</v>
      </c>
      <c r="G3130" s="93" t="s">
        <v>2909</v>
      </c>
      <c r="H3130" s="93" t="e">
        <v>#N/A</v>
      </c>
      <c r="I3130" s="105" t="s">
        <v>2310</v>
      </c>
      <c r="J3130" s="93" t="s">
        <v>189</v>
      </c>
      <c r="K3130" s="93">
        <v>2080</v>
      </c>
      <c r="L3130" s="93">
        <v>2080</v>
      </c>
      <c r="M3130" s="93" t="s">
        <v>2311</v>
      </c>
      <c r="N3130" s="93">
        <f>VLOOKUP(B3130,'[16]01.수집 카테고리(List)'!$A$2:$H$64,8,FALSE)</f>
        <v>99991231</v>
      </c>
      <c r="O3130" s="93" t="s">
        <v>646</v>
      </c>
    </row>
    <row r="3131" spans="1:15" hidden="1">
      <c r="A3131" s="75" t="str">
        <f t="shared" si="118"/>
        <v>UKAMAZONWireless HeadsetEarbudsEarbuds</v>
      </c>
      <c r="B3131" s="94" t="str">
        <f t="shared" si="119"/>
        <v>UK_AMAZON</v>
      </c>
      <c r="C3131" s="93" t="s">
        <v>27</v>
      </c>
      <c r="D3131" s="93" t="s">
        <v>262</v>
      </c>
      <c r="E3131" s="93" t="s">
        <v>2373</v>
      </c>
      <c r="F3131" s="93" t="s">
        <v>2534</v>
      </c>
      <c r="G3131" s="93" t="s">
        <v>2534</v>
      </c>
      <c r="H3131" s="93" t="e">
        <v>#N/A</v>
      </c>
      <c r="I3131" s="105" t="s">
        <v>2310</v>
      </c>
      <c r="J3131" s="93" t="s">
        <v>189</v>
      </c>
      <c r="K3131" s="93">
        <v>2183</v>
      </c>
      <c r="L3131" s="93">
        <v>2183</v>
      </c>
      <c r="M3131" s="93" t="s">
        <v>2311</v>
      </c>
      <c r="N3131" s="93">
        <f>VLOOKUP(B3131,'[16]01.수집 카테고리(List)'!$A$2:$H$64,8,FALSE)</f>
        <v>99991231</v>
      </c>
      <c r="O3131" s="93" t="s">
        <v>646</v>
      </c>
    </row>
    <row r="3132" spans="1:15" hidden="1">
      <c r="A3132" s="75" t="str">
        <f t="shared" si="118"/>
        <v>UKAMAZONWireless HeadsetIn ear headphones In ear headphones</v>
      </c>
      <c r="B3132" s="94" t="str">
        <f t="shared" si="119"/>
        <v>UK_AMAZON</v>
      </c>
      <c r="C3132" s="93" t="s">
        <v>27</v>
      </c>
      <c r="D3132" s="93" t="s">
        <v>262</v>
      </c>
      <c r="E3132" s="93" t="s">
        <v>2373</v>
      </c>
      <c r="F3132" s="93" t="s">
        <v>3658</v>
      </c>
      <c r="G3132" s="93" t="s">
        <v>2690</v>
      </c>
      <c r="H3132" s="93" t="e">
        <v>#N/A</v>
      </c>
      <c r="I3132" s="105" t="s">
        <v>2310</v>
      </c>
      <c r="J3132" s="93" t="s">
        <v>189</v>
      </c>
      <c r="K3132" s="93">
        <v>1783</v>
      </c>
      <c r="L3132" s="93" t="e">
        <v>#N/A</v>
      </c>
      <c r="M3132" s="93" t="s">
        <v>2311</v>
      </c>
      <c r="N3132" s="93">
        <f>VLOOKUP(B3132,'[16]01.수집 카테고리(List)'!$A$2:$H$64,8,FALSE)</f>
        <v>99991231</v>
      </c>
      <c r="O3132" s="93" t="s">
        <v>646</v>
      </c>
    </row>
    <row r="3133" spans="1:15" hidden="1">
      <c r="A3133" s="75" t="str">
        <f t="shared" si="118"/>
        <v>UKAMAZONWireless HeadsetTrue wireless earbudsTrue wireless earbuds</v>
      </c>
      <c r="B3133" s="94" t="str">
        <f t="shared" si="119"/>
        <v>UK_AMAZON</v>
      </c>
      <c r="C3133" s="93" t="s">
        <v>27</v>
      </c>
      <c r="D3133" s="93" t="s">
        <v>262</v>
      </c>
      <c r="E3133" s="93" t="s">
        <v>2373</v>
      </c>
      <c r="F3133" s="93" t="s">
        <v>2374</v>
      </c>
      <c r="G3133" s="93" t="s">
        <v>2374</v>
      </c>
      <c r="H3133" s="93" t="e">
        <v>#N/A</v>
      </c>
      <c r="I3133" s="105" t="s">
        <v>2310</v>
      </c>
      <c r="J3133" s="93" t="s">
        <v>189</v>
      </c>
      <c r="K3133" s="93">
        <v>1997</v>
      </c>
      <c r="L3133" s="93">
        <v>1997</v>
      </c>
      <c r="M3133" s="93" t="s">
        <v>2311</v>
      </c>
      <c r="N3133" s="93">
        <f>VLOOKUP(B3133,'[16]01.수집 카테고리(List)'!$A$2:$H$64,8,FALSE)</f>
        <v>99991231</v>
      </c>
      <c r="O3133" s="93" t="s">
        <v>646</v>
      </c>
    </row>
    <row r="3134" spans="1:15" hidden="1">
      <c r="A3134" s="75" t="str">
        <f t="shared" si="118"/>
        <v>UKAMAZONWireless HeadsetWireless EarbudsWireless Earbuds</v>
      </c>
      <c r="B3134" s="94" t="str">
        <f t="shared" si="119"/>
        <v>UK_AMAZON</v>
      </c>
      <c r="C3134" s="93" t="s">
        <v>27</v>
      </c>
      <c r="D3134" s="93" t="s">
        <v>262</v>
      </c>
      <c r="E3134" s="93" t="s">
        <v>2373</v>
      </c>
      <c r="F3134" s="93" t="s">
        <v>2760</v>
      </c>
      <c r="G3134" s="93" t="s">
        <v>2760</v>
      </c>
      <c r="H3134" s="93" t="e">
        <v>#N/A</v>
      </c>
      <c r="I3134" s="105" t="s">
        <v>2310</v>
      </c>
      <c r="J3134" s="93" t="s">
        <v>189</v>
      </c>
      <c r="K3134" s="93">
        <v>1963</v>
      </c>
      <c r="L3134" s="93">
        <v>1963</v>
      </c>
      <c r="M3134" s="93" t="s">
        <v>2311</v>
      </c>
      <c r="N3134" s="93">
        <f>VLOOKUP(B3134,'[16]01.수집 카테고리(List)'!$A$2:$H$64,8,FALSE)</f>
        <v>99991231</v>
      </c>
      <c r="O3134" s="93" t="s">
        <v>646</v>
      </c>
    </row>
    <row r="3135" spans="1:15" s="108" customFormat="1" hidden="1">
      <c r="A3135" s="108" t="str">
        <f t="shared" si="118"/>
        <v>UKAMAZONAir Conditionerair conditionerair conditioner</v>
      </c>
      <c r="B3135" s="109" t="str">
        <f t="shared" si="119"/>
        <v>UK_AMAZON</v>
      </c>
      <c r="C3135" s="110" t="s">
        <v>27</v>
      </c>
      <c r="D3135" s="110" t="s">
        <v>262</v>
      </c>
      <c r="E3135" s="110" t="s">
        <v>2524</v>
      </c>
      <c r="F3135" s="110" t="s">
        <v>2347</v>
      </c>
      <c r="G3135" s="110" t="s">
        <v>2347</v>
      </c>
      <c r="H3135" s="93" t="e">
        <v>#N/A</v>
      </c>
      <c r="I3135" s="99">
        <v>46076</v>
      </c>
      <c r="J3135" s="83" t="s">
        <v>189</v>
      </c>
      <c r="K3135" s="110"/>
      <c r="L3135" s="110"/>
      <c r="M3135" s="110"/>
      <c r="N3135" s="110"/>
      <c r="O3135" s="110"/>
    </row>
    <row r="3136" spans="1:15" s="108" customFormat="1" hidden="1">
      <c r="A3136" s="108" t="str">
        <f t="shared" si="118"/>
        <v>UKAMAZONAir Conditionerinverter air conditionerinverter air conditioner</v>
      </c>
      <c r="B3136" s="109" t="str">
        <f t="shared" si="119"/>
        <v>UK_AMAZON</v>
      </c>
      <c r="C3136" s="110" t="s">
        <v>27</v>
      </c>
      <c r="D3136" s="110" t="s">
        <v>262</v>
      </c>
      <c r="E3136" s="110" t="s">
        <v>2524</v>
      </c>
      <c r="F3136" s="110" t="s">
        <v>2348</v>
      </c>
      <c r="G3136" s="110" t="s">
        <v>2348</v>
      </c>
      <c r="H3136" s="93" t="e">
        <v>#N/A</v>
      </c>
      <c r="I3136" s="99">
        <v>46076</v>
      </c>
      <c r="J3136" s="83" t="s">
        <v>189</v>
      </c>
      <c r="K3136" s="110"/>
      <c r="L3136" s="110"/>
      <c r="M3136" s="110"/>
      <c r="N3136" s="110"/>
      <c r="O3136" s="110"/>
    </row>
    <row r="3137" spans="1:15" s="108" customFormat="1" hidden="1">
      <c r="A3137" s="108" t="str">
        <f t="shared" si="118"/>
        <v>UKAMAZONAir Conditionersplit air conditionersplit air conditioner</v>
      </c>
      <c r="B3137" s="109" t="str">
        <f t="shared" si="119"/>
        <v>UK_AMAZON</v>
      </c>
      <c r="C3137" s="110" t="s">
        <v>27</v>
      </c>
      <c r="D3137" s="110" t="s">
        <v>262</v>
      </c>
      <c r="E3137" s="110" t="s">
        <v>2524</v>
      </c>
      <c r="F3137" s="110" t="s">
        <v>2422</v>
      </c>
      <c r="G3137" s="110" t="s">
        <v>2422</v>
      </c>
      <c r="H3137" s="93" t="e">
        <v>#N/A</v>
      </c>
      <c r="I3137" s="99">
        <v>46076</v>
      </c>
      <c r="J3137" s="83" t="s">
        <v>189</v>
      </c>
      <c r="K3137" s="110"/>
      <c r="L3137" s="110"/>
      <c r="M3137" s="110"/>
      <c r="N3137" s="110"/>
      <c r="O3137" s="110"/>
    </row>
    <row r="3138" spans="1:15" s="108" customFormat="1" hidden="1">
      <c r="A3138" s="108" t="str">
        <f t="shared" si="118"/>
        <v>UKAMAZONAir Conditionersplit inverter air conditionersplit inverter air conditioner</v>
      </c>
      <c r="B3138" s="109" t="str">
        <f t="shared" si="119"/>
        <v>UK_AMAZON</v>
      </c>
      <c r="C3138" s="110" t="s">
        <v>27</v>
      </c>
      <c r="D3138" s="110" t="s">
        <v>262</v>
      </c>
      <c r="E3138" s="110" t="s">
        <v>2524</v>
      </c>
      <c r="F3138" s="110" t="s">
        <v>2423</v>
      </c>
      <c r="G3138" s="110" t="s">
        <v>2423</v>
      </c>
      <c r="H3138" s="93" t="e">
        <v>#N/A</v>
      </c>
      <c r="I3138" s="99">
        <v>46076</v>
      </c>
      <c r="J3138" s="83" t="s">
        <v>189</v>
      </c>
      <c r="K3138" s="110"/>
      <c r="L3138" s="110"/>
      <c r="M3138" s="110"/>
      <c r="N3138" s="110"/>
      <c r="O3138" s="110"/>
    </row>
    <row r="3139" spans="1:15" s="108" customFormat="1" hidden="1">
      <c r="A3139" s="108" t="str">
        <f t="shared" si="118"/>
        <v>UKAMAZONAir Conditionerwindow air conditionerwindow air conditioner</v>
      </c>
      <c r="B3139" s="109" t="str">
        <f t="shared" si="119"/>
        <v>UK_AMAZON</v>
      </c>
      <c r="C3139" s="110" t="s">
        <v>27</v>
      </c>
      <c r="D3139" s="110" t="s">
        <v>262</v>
      </c>
      <c r="E3139" s="110" t="s">
        <v>2524</v>
      </c>
      <c r="F3139" s="110" t="s">
        <v>2350</v>
      </c>
      <c r="G3139" s="110" t="s">
        <v>2350</v>
      </c>
      <c r="H3139" s="93" t="e">
        <v>#N/A</v>
      </c>
      <c r="I3139" s="99">
        <v>46076</v>
      </c>
      <c r="J3139" s="83" t="s">
        <v>189</v>
      </c>
      <c r="K3139" s="110"/>
      <c r="L3139" s="110"/>
      <c r="M3139" s="110"/>
      <c r="N3139" s="110"/>
      <c r="O3139" s="110"/>
    </row>
    <row r="3140" spans="1:15" s="108" customFormat="1" hidden="1">
      <c r="A3140" s="108" t="str">
        <f t="shared" si="118"/>
        <v>UKAMAZONAir Conditionerwindow inverter air conditionerwindow inverter air conditioner</v>
      </c>
      <c r="B3140" s="109" t="str">
        <f t="shared" si="119"/>
        <v>UK_AMAZON</v>
      </c>
      <c r="C3140" s="110" t="s">
        <v>27</v>
      </c>
      <c r="D3140" s="110" t="s">
        <v>262</v>
      </c>
      <c r="E3140" s="110" t="s">
        <v>2524</v>
      </c>
      <c r="F3140" s="110" t="s">
        <v>2424</v>
      </c>
      <c r="G3140" s="110" t="s">
        <v>2424</v>
      </c>
      <c r="H3140" s="93" t="e">
        <v>#N/A</v>
      </c>
      <c r="I3140" s="99">
        <v>46076</v>
      </c>
      <c r="J3140" s="83" t="s">
        <v>189</v>
      </c>
      <c r="K3140" s="110"/>
      <c r="L3140" s="110"/>
      <c r="M3140" s="110"/>
      <c r="N3140" s="110"/>
      <c r="O3140" s="110"/>
    </row>
    <row r="3141" spans="1:15" s="108" customFormat="1" hidden="1">
      <c r="A3141" s="108" t="str">
        <f t="shared" si="118"/>
        <v>UKAMAZONDryerDryerDryer</v>
      </c>
      <c r="B3141" s="109" t="str">
        <f t="shared" si="119"/>
        <v>UK_AMAZON</v>
      </c>
      <c r="C3141" s="110" t="s">
        <v>27</v>
      </c>
      <c r="D3141" s="110" t="s">
        <v>262</v>
      </c>
      <c r="E3141" s="110" t="s">
        <v>2535</v>
      </c>
      <c r="F3141" s="110" t="s">
        <v>2431</v>
      </c>
      <c r="G3141" s="110" t="s">
        <v>2431</v>
      </c>
      <c r="H3141" s="93" t="e">
        <v>#N/A</v>
      </c>
      <c r="I3141" s="99">
        <v>46076</v>
      </c>
      <c r="J3141" s="83" t="s">
        <v>189</v>
      </c>
      <c r="K3141" s="110"/>
      <c r="L3141" s="110"/>
      <c r="M3141" s="110"/>
      <c r="N3141" s="110"/>
      <c r="O3141" s="110"/>
    </row>
    <row r="3142" spans="1:15" s="108" customFormat="1" hidden="1">
      <c r="A3142" s="108" t="str">
        <f t="shared" si="118"/>
        <v>UKAMAZONDryerheatpump  heatpump</v>
      </c>
      <c r="B3142" s="109" t="str">
        <f t="shared" si="119"/>
        <v>UK_AMAZON</v>
      </c>
      <c r="C3142" s="110" t="s">
        <v>27</v>
      </c>
      <c r="D3142" s="110" t="s">
        <v>262</v>
      </c>
      <c r="E3142" s="110" t="s">
        <v>2535</v>
      </c>
      <c r="F3142" s="110" t="s">
        <v>2432</v>
      </c>
      <c r="G3142" s="110" t="s">
        <v>2433</v>
      </c>
      <c r="H3142" s="93" t="e">
        <v>#N/A</v>
      </c>
      <c r="I3142" s="99">
        <v>46076</v>
      </c>
      <c r="J3142" s="83" t="s">
        <v>189</v>
      </c>
      <c r="K3142" s="110"/>
      <c r="L3142" s="110"/>
      <c r="M3142" s="110"/>
      <c r="N3142" s="110"/>
      <c r="O3142" s="110"/>
    </row>
    <row r="3143" spans="1:15" s="108" customFormat="1" hidden="1">
      <c r="A3143" s="108" t="str">
        <f t="shared" si="118"/>
        <v>UKAMAZONDryerLG DryerLG Dryer</v>
      </c>
      <c r="B3143" s="109" t="str">
        <f t="shared" si="119"/>
        <v>UK_AMAZON</v>
      </c>
      <c r="C3143" s="110" t="s">
        <v>27</v>
      </c>
      <c r="D3143" s="110" t="s">
        <v>262</v>
      </c>
      <c r="E3143" s="110" t="s">
        <v>2535</v>
      </c>
      <c r="F3143" s="110" t="s">
        <v>2434</v>
      </c>
      <c r="G3143" s="110" t="s">
        <v>2434</v>
      </c>
      <c r="H3143" s="93" t="e">
        <v>#N/A</v>
      </c>
      <c r="I3143" s="99">
        <v>46076</v>
      </c>
      <c r="J3143" s="83" t="s">
        <v>189</v>
      </c>
      <c r="K3143" s="110"/>
      <c r="L3143" s="110"/>
      <c r="M3143" s="110"/>
      <c r="N3143" s="110"/>
      <c r="O3143" s="110"/>
    </row>
    <row r="3144" spans="1:15" hidden="1">
      <c r="A3144" s="75" t="str">
        <f t="shared" si="118"/>
        <v>UKAOBluetooth Speakerbluetooth speakerbluetooth speaker</v>
      </c>
      <c r="B3144" s="94" t="str">
        <f t="shared" si="119"/>
        <v>UK_AO</v>
      </c>
      <c r="C3144" s="93" t="s">
        <v>27</v>
      </c>
      <c r="D3144" s="93" t="s">
        <v>297</v>
      </c>
      <c r="E3144" s="93" t="s">
        <v>2307</v>
      </c>
      <c r="F3144" s="93" t="s">
        <v>2657</v>
      </c>
      <c r="G3144" s="93" t="s">
        <v>2657</v>
      </c>
      <c r="H3144" s="93" t="e">
        <v>#N/A</v>
      </c>
      <c r="I3144" s="105" t="s">
        <v>2310</v>
      </c>
      <c r="J3144" s="93" t="s">
        <v>189</v>
      </c>
      <c r="K3144" s="93">
        <v>428</v>
      </c>
      <c r="L3144" s="93">
        <v>428</v>
      </c>
      <c r="M3144" s="93" t="s">
        <v>2311</v>
      </c>
      <c r="N3144" s="93">
        <f>VLOOKUP(B3144,'[16]01.수집 카테고리(List)'!$A$2:$H$64,8,FALSE)</f>
        <v>99991231</v>
      </c>
      <c r="O3144" s="93" t="s">
        <v>646</v>
      </c>
    </row>
    <row r="3145" spans="1:15" hidden="1">
      <c r="A3145" s="75" t="str">
        <f t="shared" si="118"/>
        <v>UKAOBluetooth Speakerbluetooth speaker portablebluetooth speaker portable</v>
      </c>
      <c r="B3145" s="94" t="str">
        <f t="shared" si="119"/>
        <v>UK_AO</v>
      </c>
      <c r="C3145" s="93" t="s">
        <v>27</v>
      </c>
      <c r="D3145" s="93" t="s">
        <v>297</v>
      </c>
      <c r="E3145" s="93" t="s">
        <v>2307</v>
      </c>
      <c r="F3145" s="93" t="s">
        <v>2479</v>
      </c>
      <c r="G3145" s="93" t="s">
        <v>2479</v>
      </c>
      <c r="H3145" s="93" t="e">
        <v>#N/A</v>
      </c>
      <c r="I3145" s="105" t="s">
        <v>2310</v>
      </c>
      <c r="J3145" s="93" t="s">
        <v>189</v>
      </c>
      <c r="K3145" s="93">
        <v>21</v>
      </c>
      <c r="L3145" s="93">
        <v>21</v>
      </c>
      <c r="M3145" s="93" t="s">
        <v>2311</v>
      </c>
      <c r="N3145" s="93">
        <f>VLOOKUP(B3145,'[16]01.수집 카테고리(List)'!$A$2:$H$64,8,FALSE)</f>
        <v>99991231</v>
      </c>
      <c r="O3145" s="93" t="s">
        <v>646</v>
      </c>
    </row>
    <row r="3146" spans="1:15" hidden="1">
      <c r="A3146" s="75" t="str">
        <f t="shared" si="118"/>
        <v>UKAOBluetooth Speakerportable speakersportable speakers</v>
      </c>
      <c r="B3146" s="94" t="str">
        <f t="shared" si="119"/>
        <v>UK_AO</v>
      </c>
      <c r="C3146" s="93" t="s">
        <v>27</v>
      </c>
      <c r="D3146" s="93" t="s">
        <v>297</v>
      </c>
      <c r="E3146" s="93" t="s">
        <v>2307</v>
      </c>
      <c r="F3146" s="93" t="s">
        <v>2473</v>
      </c>
      <c r="G3146" s="93" t="s">
        <v>2473</v>
      </c>
      <c r="H3146" s="93" t="e">
        <v>#N/A</v>
      </c>
      <c r="I3146" s="105" t="s">
        <v>2310</v>
      </c>
      <c r="J3146" s="93" t="s">
        <v>189</v>
      </c>
      <c r="K3146" s="93">
        <v>6221</v>
      </c>
      <c r="L3146" s="93">
        <v>6221</v>
      </c>
      <c r="M3146" s="93" t="s">
        <v>2311</v>
      </c>
      <c r="N3146" s="93">
        <f>VLOOKUP(B3146,'[16]01.수집 카테고리(List)'!$A$2:$H$64,8,FALSE)</f>
        <v>99991231</v>
      </c>
      <c r="O3146" s="93" t="s">
        <v>646</v>
      </c>
    </row>
    <row r="3147" spans="1:15" hidden="1">
      <c r="A3147" s="75" t="str">
        <f t="shared" si="118"/>
        <v>UKAOBluetooth Speakerspeakersspeakers</v>
      </c>
      <c r="B3147" s="94" t="str">
        <f t="shared" si="119"/>
        <v>UK_AO</v>
      </c>
      <c r="C3147" s="93" t="s">
        <v>27</v>
      </c>
      <c r="D3147" s="93" t="s">
        <v>297</v>
      </c>
      <c r="E3147" s="93" t="s">
        <v>2307</v>
      </c>
      <c r="F3147" s="93" t="s">
        <v>2471</v>
      </c>
      <c r="G3147" s="93" t="s">
        <v>2471</v>
      </c>
      <c r="H3147" s="93" t="e">
        <v>#N/A</v>
      </c>
      <c r="I3147" s="105" t="s">
        <v>2310</v>
      </c>
      <c r="J3147" s="93" t="s">
        <v>189</v>
      </c>
      <c r="K3147" s="93">
        <v>13555</v>
      </c>
      <c r="L3147" s="93">
        <v>13555</v>
      </c>
      <c r="M3147" s="93" t="s">
        <v>2311</v>
      </c>
      <c r="N3147" s="93">
        <f>VLOOKUP(B3147,'[16]01.수집 카테고리(List)'!$A$2:$H$64,8,FALSE)</f>
        <v>99991231</v>
      </c>
      <c r="O3147" s="93" t="s">
        <v>646</v>
      </c>
    </row>
    <row r="3148" spans="1:15" hidden="1">
      <c r="A3148" s="75" t="str">
        <f t="shared" si="118"/>
        <v>UKAOBluetooth Speakerwireless portable speakerswireless portable speakers</v>
      </c>
      <c r="B3148" s="94" t="str">
        <f t="shared" si="119"/>
        <v>UK_AO</v>
      </c>
      <c r="C3148" s="93" t="s">
        <v>27</v>
      </c>
      <c r="D3148" s="93" t="s">
        <v>297</v>
      </c>
      <c r="E3148" s="93" t="s">
        <v>2307</v>
      </c>
      <c r="F3148" s="93" t="s">
        <v>2475</v>
      </c>
      <c r="G3148" s="93" t="s">
        <v>2475</v>
      </c>
      <c r="H3148" s="93" t="e">
        <v>#N/A</v>
      </c>
      <c r="I3148" s="105" t="s">
        <v>2310</v>
      </c>
      <c r="J3148" s="93" t="s">
        <v>189</v>
      </c>
      <c r="K3148" s="93">
        <v>4726</v>
      </c>
      <c r="L3148" s="93">
        <v>4726</v>
      </c>
      <c r="M3148" s="93" t="s">
        <v>2311</v>
      </c>
      <c r="N3148" s="93">
        <f>VLOOKUP(B3148,'[16]01.수집 카테고리(List)'!$A$2:$H$64,8,FALSE)</f>
        <v>99991231</v>
      </c>
      <c r="O3148" s="93" t="s">
        <v>646</v>
      </c>
    </row>
    <row r="3149" spans="1:15" hidden="1">
      <c r="A3149" s="75" t="str">
        <f t="shared" si="118"/>
        <v>UKAOBluetooth SpeakerPortable bluetooth speakersPortable bluetooth speakers</v>
      </c>
      <c r="B3149" s="94" t="str">
        <f t="shared" si="119"/>
        <v>UK_AO</v>
      </c>
      <c r="C3149" s="93" t="s">
        <v>27</v>
      </c>
      <c r="D3149" s="93" t="s">
        <v>297</v>
      </c>
      <c r="E3149" s="93" t="s">
        <v>2307</v>
      </c>
      <c r="F3149" s="93" t="s">
        <v>2426</v>
      </c>
      <c r="G3149" s="93" t="s">
        <v>2426</v>
      </c>
      <c r="H3149" s="93" t="e">
        <v>#N/A</v>
      </c>
      <c r="I3149" s="105" t="s">
        <v>2310</v>
      </c>
      <c r="J3149" s="93" t="s">
        <v>189</v>
      </c>
      <c r="K3149" s="93">
        <v>21</v>
      </c>
      <c r="L3149" s="93">
        <v>21</v>
      </c>
      <c r="M3149" s="93" t="s">
        <v>2311</v>
      </c>
      <c r="N3149" s="93">
        <f>VLOOKUP(B3149,'[16]01.수집 카테고리(List)'!$A$2:$H$64,8,FALSE)</f>
        <v>99991231</v>
      </c>
      <c r="O3149" s="93" t="s">
        <v>646</v>
      </c>
    </row>
    <row r="3150" spans="1:15" hidden="1">
      <c r="A3150" s="75" t="str">
        <f t="shared" si="118"/>
        <v>UKAODISHWASHERBuilt in Dish washerBuilt in Dish washer</v>
      </c>
      <c r="B3150" s="94" t="str">
        <f t="shared" si="119"/>
        <v>UK_AO</v>
      </c>
      <c r="C3150" s="93" t="s">
        <v>27</v>
      </c>
      <c r="D3150" s="93" t="s">
        <v>297</v>
      </c>
      <c r="E3150" s="93" t="s">
        <v>169</v>
      </c>
      <c r="F3150" s="93" t="s">
        <v>2356</v>
      </c>
      <c r="G3150" s="93" t="s">
        <v>2356</v>
      </c>
      <c r="H3150" s="93" t="e">
        <v>#N/A</v>
      </c>
      <c r="I3150" s="105" t="s">
        <v>2310</v>
      </c>
      <c r="J3150" s="93" t="s">
        <v>189</v>
      </c>
      <c r="K3150" s="93">
        <v>4</v>
      </c>
      <c r="L3150" s="93">
        <v>4</v>
      </c>
      <c r="M3150" s="93" t="s">
        <v>2311</v>
      </c>
      <c r="N3150" s="93">
        <f>VLOOKUP(B3150,'[16]01.수집 카테고리(List)'!$A$2:$H$64,8,FALSE)</f>
        <v>99991231</v>
      </c>
      <c r="O3150" s="93" t="s">
        <v>646</v>
      </c>
    </row>
    <row r="3151" spans="1:15" hidden="1">
      <c r="A3151" s="75" t="str">
        <f t="shared" si="118"/>
        <v>UKAODISHWASHERdishwasherdishwasher</v>
      </c>
      <c r="B3151" s="94" t="str">
        <f t="shared" si="119"/>
        <v>UK_AO</v>
      </c>
      <c r="C3151" s="93" t="s">
        <v>27</v>
      </c>
      <c r="D3151" s="93" t="s">
        <v>297</v>
      </c>
      <c r="E3151" s="93" t="s">
        <v>169</v>
      </c>
      <c r="F3151" s="93" t="s">
        <v>2354</v>
      </c>
      <c r="G3151" s="93" t="s">
        <v>2354</v>
      </c>
      <c r="H3151" s="93" t="e">
        <v>#N/A</v>
      </c>
      <c r="I3151" s="105" t="s">
        <v>2310</v>
      </c>
      <c r="J3151" s="93" t="s">
        <v>189</v>
      </c>
      <c r="K3151" s="93">
        <v>10</v>
      </c>
      <c r="L3151" s="93">
        <v>10</v>
      </c>
      <c r="M3151" s="93" t="s">
        <v>2311</v>
      </c>
      <c r="N3151" s="93">
        <f>VLOOKUP(B3151,'[16]01.수집 카테고리(List)'!$A$2:$H$64,8,FALSE)</f>
        <v>99991231</v>
      </c>
      <c r="O3151" s="93" t="s">
        <v>646</v>
      </c>
    </row>
    <row r="3152" spans="1:15" hidden="1">
      <c r="A3152" s="75" t="str">
        <f t="shared" ref="A3152:A3209" si="120">C3152&amp;D3152&amp;E3152&amp;F3152&amp;G3152</f>
        <v>UKAODISHWASHERFreestanding Dishwasher Freestanding Dishwasher</v>
      </c>
      <c r="B3152" s="94" t="str">
        <f t="shared" ref="B3152:B3209" si="121">C3152&amp;"_"&amp;D3152</f>
        <v>UK_AO</v>
      </c>
      <c r="C3152" s="93" t="s">
        <v>27</v>
      </c>
      <c r="D3152" s="93" t="s">
        <v>297</v>
      </c>
      <c r="E3152" s="93" t="s">
        <v>169</v>
      </c>
      <c r="F3152" s="93" t="s">
        <v>2441</v>
      </c>
      <c r="G3152" s="93" t="s">
        <v>2352</v>
      </c>
      <c r="H3152" s="93" t="e">
        <v>#N/A</v>
      </c>
      <c r="I3152" s="105" t="s">
        <v>2310</v>
      </c>
      <c r="J3152" s="93" t="s">
        <v>189</v>
      </c>
      <c r="K3152" s="93">
        <v>155</v>
      </c>
      <c r="L3152" s="93" t="e">
        <v>#N/A</v>
      </c>
      <c r="M3152" s="93" t="s">
        <v>2311</v>
      </c>
      <c r="N3152" s="93">
        <f>VLOOKUP(B3152,'[16]01.수집 카테고리(List)'!$A$2:$H$64,8,FALSE)</f>
        <v>99991231</v>
      </c>
      <c r="O3152" s="93" t="s">
        <v>646</v>
      </c>
    </row>
    <row r="3153" spans="1:15" hidden="1">
      <c r="A3153" s="75" t="str">
        <f t="shared" si="120"/>
        <v>UKAORefrigeratorside by side refrigeratoramerican style fridge freezer</v>
      </c>
      <c r="B3153" s="94" t="str">
        <f t="shared" si="121"/>
        <v>UK_AO</v>
      </c>
      <c r="C3153" s="93" t="s">
        <v>27</v>
      </c>
      <c r="D3153" s="93" t="s">
        <v>297</v>
      </c>
      <c r="E3153" s="93" t="s">
        <v>2326</v>
      </c>
      <c r="F3153" s="93" t="s">
        <v>2330</v>
      </c>
      <c r="G3153" s="93" t="s">
        <v>3653</v>
      </c>
      <c r="H3153" s="93" t="e">
        <v>#N/A</v>
      </c>
      <c r="I3153" s="105" t="s">
        <v>2310</v>
      </c>
      <c r="J3153" s="93" t="s">
        <v>189</v>
      </c>
      <c r="K3153" s="93">
        <v>10</v>
      </c>
      <c r="L3153" s="93" t="e">
        <v>#N/A</v>
      </c>
      <c r="M3153" s="93" t="s">
        <v>2311</v>
      </c>
      <c r="N3153" s="93">
        <f>VLOOKUP(B3153,'[16]01.수집 카테고리(List)'!$A$2:$H$64,8,FALSE)</f>
        <v>99991231</v>
      </c>
      <c r="O3153" s="93" t="s">
        <v>646</v>
      </c>
    </row>
    <row r="3154" spans="1:15" hidden="1">
      <c r="A3154" s="75" t="str">
        <f t="shared" si="120"/>
        <v>UKAORefrigeratorbottom freezer refrigeratorbottom freezer</v>
      </c>
      <c r="B3154" s="94" t="str">
        <f t="shared" si="121"/>
        <v>UK_AO</v>
      </c>
      <c r="C3154" s="93" t="s">
        <v>27</v>
      </c>
      <c r="D3154" s="93" t="s">
        <v>297</v>
      </c>
      <c r="E3154" s="93" t="s">
        <v>2326</v>
      </c>
      <c r="F3154" s="93" t="s">
        <v>2327</v>
      </c>
      <c r="G3154" s="93" t="s">
        <v>2520</v>
      </c>
      <c r="H3154" s="93" t="e">
        <v>#N/A</v>
      </c>
      <c r="I3154" s="105" t="s">
        <v>2310</v>
      </c>
      <c r="J3154" s="93" t="s">
        <v>189</v>
      </c>
      <c r="K3154" s="93">
        <v>8743</v>
      </c>
      <c r="L3154" s="93" t="e">
        <v>#N/A</v>
      </c>
      <c r="M3154" s="93" t="s">
        <v>2311</v>
      </c>
      <c r="N3154" s="93">
        <f>VLOOKUP(B3154,'[16]01.수집 카테고리(List)'!$A$2:$H$64,8,FALSE)</f>
        <v>99991231</v>
      </c>
      <c r="O3154" s="93" t="s">
        <v>646</v>
      </c>
    </row>
    <row r="3155" spans="1:15" hidden="1">
      <c r="A3155" s="75" t="str">
        <f t="shared" si="120"/>
        <v>UKAORefrigeratorrefrigeratorfridge freezer</v>
      </c>
      <c r="B3155" s="94" t="str">
        <f t="shared" si="121"/>
        <v>UK_AO</v>
      </c>
      <c r="C3155" s="93" t="s">
        <v>27</v>
      </c>
      <c r="D3155" s="93" t="s">
        <v>297</v>
      </c>
      <c r="E3155" s="93" t="s">
        <v>2326</v>
      </c>
      <c r="F3155" s="93" t="s">
        <v>2329</v>
      </c>
      <c r="G3155" s="93" t="s">
        <v>3654</v>
      </c>
      <c r="H3155" s="93" t="e">
        <v>#N/A</v>
      </c>
      <c r="I3155" s="105" t="s">
        <v>2310</v>
      </c>
      <c r="J3155" s="93" t="s">
        <v>189</v>
      </c>
      <c r="K3155" s="93">
        <v>7</v>
      </c>
      <c r="L3155" s="93" t="e">
        <v>#N/A</v>
      </c>
      <c r="M3155" s="93" t="s">
        <v>2311</v>
      </c>
      <c r="N3155" s="93">
        <f>VLOOKUP(B3155,'[16]01.수집 카테고리(List)'!$A$2:$H$64,8,FALSE)</f>
        <v>99991231</v>
      </c>
      <c r="O3155" s="93" t="s">
        <v>646</v>
      </c>
    </row>
    <row r="3156" spans="1:15" hidden="1">
      <c r="A3156" s="75" t="str">
        <f t="shared" si="120"/>
        <v>UKAORefrigeratorfrench door refrigeratormulti door fridge freezer</v>
      </c>
      <c r="B3156" s="94" t="str">
        <f t="shared" si="121"/>
        <v>UK_AO</v>
      </c>
      <c r="C3156" s="93" t="s">
        <v>27</v>
      </c>
      <c r="D3156" s="93" t="s">
        <v>297</v>
      </c>
      <c r="E3156" s="93" t="s">
        <v>2326</v>
      </c>
      <c r="F3156" s="93" t="s">
        <v>2328</v>
      </c>
      <c r="G3156" s="93" t="s">
        <v>3655</v>
      </c>
      <c r="H3156" s="93" t="e">
        <v>#N/A</v>
      </c>
      <c r="I3156" s="105" t="s">
        <v>2310</v>
      </c>
      <c r="J3156" s="93" t="s">
        <v>189</v>
      </c>
      <c r="K3156" s="93">
        <v>2</v>
      </c>
      <c r="L3156" s="93" t="e">
        <v>#N/A</v>
      </c>
      <c r="M3156" s="93" t="s">
        <v>2311</v>
      </c>
      <c r="N3156" s="93">
        <f>VLOOKUP(B3156,'[16]01.수집 카테고리(List)'!$A$2:$H$64,8,FALSE)</f>
        <v>99991231</v>
      </c>
      <c r="O3156" s="93" t="s">
        <v>646</v>
      </c>
    </row>
    <row r="3157" spans="1:15" hidden="1">
      <c r="A3157" s="75" t="str">
        <f t="shared" si="120"/>
        <v>UKAOSOUNDBARSound barSound bar</v>
      </c>
      <c r="B3157" s="94" t="str">
        <f t="shared" si="121"/>
        <v>UK_AO</v>
      </c>
      <c r="C3157" s="93" t="s">
        <v>27</v>
      </c>
      <c r="D3157" s="93" t="s">
        <v>297</v>
      </c>
      <c r="E3157" s="93" t="s">
        <v>165</v>
      </c>
      <c r="F3157" s="93" t="s">
        <v>2365</v>
      </c>
      <c r="G3157" s="93" t="s">
        <v>2365</v>
      </c>
      <c r="H3157" s="93" t="e">
        <v>#N/A</v>
      </c>
      <c r="I3157" s="105" t="s">
        <v>2310</v>
      </c>
      <c r="J3157" s="93" t="s">
        <v>189</v>
      </c>
      <c r="K3157" s="93">
        <v>151</v>
      </c>
      <c r="L3157" s="93">
        <v>151</v>
      </c>
      <c r="M3157" s="93" t="s">
        <v>2311</v>
      </c>
      <c r="N3157" s="93">
        <f>VLOOKUP(B3157,'[16]01.수집 카테고리(List)'!$A$2:$H$64,8,FALSE)</f>
        <v>99991231</v>
      </c>
      <c r="O3157" s="93" t="s">
        <v>646</v>
      </c>
    </row>
    <row r="3158" spans="1:15" hidden="1">
      <c r="A3158" s="75" t="str">
        <f t="shared" si="120"/>
        <v>UKAOSOUNDBARSound bars for tvSound bars for tv</v>
      </c>
      <c r="B3158" s="94" t="str">
        <f t="shared" si="121"/>
        <v>UK_AO</v>
      </c>
      <c r="C3158" s="93" t="s">
        <v>27</v>
      </c>
      <c r="D3158" s="93" t="s">
        <v>297</v>
      </c>
      <c r="E3158" s="93" t="s">
        <v>165</v>
      </c>
      <c r="F3158" s="93" t="s">
        <v>2430</v>
      </c>
      <c r="G3158" s="93" t="s">
        <v>2430</v>
      </c>
      <c r="H3158" s="93" t="e">
        <v>#N/A</v>
      </c>
      <c r="I3158" s="105" t="s">
        <v>2310</v>
      </c>
      <c r="J3158" s="93" t="s">
        <v>189</v>
      </c>
      <c r="K3158" s="93">
        <v>187</v>
      </c>
      <c r="L3158" s="93">
        <v>187</v>
      </c>
      <c r="M3158" s="93" t="s">
        <v>2311</v>
      </c>
      <c r="N3158" s="93">
        <f>VLOOKUP(B3158,'[16]01.수집 카테고리(List)'!$A$2:$H$64,8,FALSE)</f>
        <v>99991231</v>
      </c>
      <c r="O3158" s="93" t="s">
        <v>646</v>
      </c>
    </row>
    <row r="3159" spans="1:15" hidden="1">
      <c r="A3159" s="75" t="str">
        <f t="shared" si="120"/>
        <v>UKAOSOUNDBARSoundbarSoundbar</v>
      </c>
      <c r="B3159" s="94" t="str">
        <f t="shared" si="121"/>
        <v>UK_AO</v>
      </c>
      <c r="C3159" s="93" t="s">
        <v>27</v>
      </c>
      <c r="D3159" s="93" t="s">
        <v>297</v>
      </c>
      <c r="E3159" s="93" t="s">
        <v>165</v>
      </c>
      <c r="F3159" s="93" t="s">
        <v>2363</v>
      </c>
      <c r="G3159" s="93" t="s">
        <v>2363</v>
      </c>
      <c r="H3159" s="93" t="e">
        <v>#N/A</v>
      </c>
      <c r="I3159" s="105" t="s">
        <v>2310</v>
      </c>
      <c r="J3159" s="93" t="s">
        <v>189</v>
      </c>
      <c r="K3159" s="93">
        <v>151</v>
      </c>
      <c r="L3159" s="93">
        <v>151</v>
      </c>
      <c r="M3159" s="93" t="s">
        <v>2311</v>
      </c>
      <c r="N3159" s="93">
        <f>VLOOKUP(B3159,'[16]01.수집 카테고리(List)'!$A$2:$H$64,8,FALSE)</f>
        <v>99991231</v>
      </c>
      <c r="O3159" s="93" t="s">
        <v>646</v>
      </c>
    </row>
    <row r="3160" spans="1:15" hidden="1">
      <c r="A3160" s="75" t="str">
        <f t="shared" si="120"/>
        <v>UKAOSoundbarsoundbar with subwoofersoundbar with subwoofer</v>
      </c>
      <c r="B3160" s="94" t="str">
        <f t="shared" si="121"/>
        <v>UK_AO</v>
      </c>
      <c r="C3160" s="93" t="s">
        <v>27</v>
      </c>
      <c r="D3160" s="93" t="s">
        <v>297</v>
      </c>
      <c r="E3160" s="93" t="s">
        <v>2363</v>
      </c>
      <c r="F3160" s="93" t="s">
        <v>3656</v>
      </c>
      <c r="G3160" s="93" t="s">
        <v>3656</v>
      </c>
      <c r="H3160" s="93" t="e">
        <v>#N/A</v>
      </c>
      <c r="I3160" s="105" t="s">
        <v>2310</v>
      </c>
      <c r="J3160" s="93" t="s">
        <v>189</v>
      </c>
      <c r="K3160" s="93">
        <v>11868</v>
      </c>
      <c r="L3160" s="93">
        <v>11868</v>
      </c>
      <c r="M3160" s="93" t="s">
        <v>2311</v>
      </c>
      <c r="N3160" s="93">
        <f>VLOOKUP(B3160,'[16]01.수집 카테고리(List)'!$A$2:$H$64,8,FALSE)</f>
        <v>99991231</v>
      </c>
      <c r="O3160" s="93" t="s">
        <v>646</v>
      </c>
    </row>
    <row r="3161" spans="1:15" hidden="1">
      <c r="A3161" s="75" t="str">
        <f t="shared" si="120"/>
        <v>UKAOSOUNDBARtv sound bartv sound bar</v>
      </c>
      <c r="B3161" s="94" t="str">
        <f t="shared" si="121"/>
        <v>UK_AO</v>
      </c>
      <c r="C3161" s="93" t="s">
        <v>27</v>
      </c>
      <c r="D3161" s="93" t="s">
        <v>297</v>
      </c>
      <c r="E3161" s="93" t="s">
        <v>165</v>
      </c>
      <c r="F3161" s="93" t="s">
        <v>2833</v>
      </c>
      <c r="G3161" s="93" t="s">
        <v>2833</v>
      </c>
      <c r="H3161" s="93" t="e">
        <v>#N/A</v>
      </c>
      <c r="I3161" s="105" t="s">
        <v>2310</v>
      </c>
      <c r="J3161" s="93" t="s">
        <v>189</v>
      </c>
      <c r="K3161" s="93">
        <v>3224</v>
      </c>
      <c r="L3161" s="93">
        <v>3224</v>
      </c>
      <c r="M3161" s="93" t="s">
        <v>2311</v>
      </c>
      <c r="N3161" s="93">
        <f>VLOOKUP(B3161,'[16]01.수집 카테고리(List)'!$A$2:$H$64,8,FALSE)</f>
        <v>99991231</v>
      </c>
      <c r="O3161" s="93" t="s">
        <v>646</v>
      </c>
    </row>
    <row r="3162" spans="1:15" hidden="1">
      <c r="A3162" s="75" t="str">
        <f t="shared" si="120"/>
        <v>UKAOTV4k TV4k TV</v>
      </c>
      <c r="B3162" s="94" t="str">
        <f t="shared" si="121"/>
        <v>UK_AO</v>
      </c>
      <c r="C3162" s="93" t="s">
        <v>27</v>
      </c>
      <c r="D3162" s="93" t="s">
        <v>297</v>
      </c>
      <c r="E3162" s="93" t="s">
        <v>161</v>
      </c>
      <c r="F3162" s="93" t="s">
        <v>2368</v>
      </c>
      <c r="G3162" s="93" t="s">
        <v>2368</v>
      </c>
      <c r="H3162" s="93" t="e">
        <v>#N/A</v>
      </c>
      <c r="I3162" s="105" t="s">
        <v>2310</v>
      </c>
      <c r="J3162" s="93" t="s">
        <v>189</v>
      </c>
      <c r="K3162" s="93">
        <v>5</v>
      </c>
      <c r="L3162" s="93">
        <v>5</v>
      </c>
      <c r="M3162" s="93" t="s">
        <v>2311</v>
      </c>
      <c r="N3162" s="93">
        <f>VLOOKUP(B3162,'[16]01.수집 카테고리(List)'!$A$2:$H$64,8,FALSE)</f>
        <v>99991231</v>
      </c>
      <c r="O3162" s="93" t="s">
        <v>646</v>
      </c>
    </row>
    <row r="3163" spans="1:15" hidden="1">
      <c r="A3163" s="75" t="str">
        <f t="shared" si="120"/>
        <v>UKAOTVoled TVoled TV</v>
      </c>
      <c r="B3163" s="94" t="str">
        <f t="shared" si="121"/>
        <v>UK_AO</v>
      </c>
      <c r="C3163" s="93" t="s">
        <v>27</v>
      </c>
      <c r="D3163" s="93" t="s">
        <v>297</v>
      </c>
      <c r="E3163" s="93" t="s">
        <v>161</v>
      </c>
      <c r="F3163" s="93" t="s">
        <v>2369</v>
      </c>
      <c r="G3163" s="93" t="s">
        <v>2369</v>
      </c>
      <c r="H3163" s="93" t="e">
        <v>#N/A</v>
      </c>
      <c r="I3163" s="105" t="s">
        <v>2310</v>
      </c>
      <c r="J3163" s="93" t="s">
        <v>189</v>
      </c>
      <c r="K3163" s="93">
        <v>15236</v>
      </c>
      <c r="L3163" s="93">
        <v>15236</v>
      </c>
      <c r="M3163" s="93" t="s">
        <v>2311</v>
      </c>
      <c r="N3163" s="93">
        <f>VLOOKUP(B3163,'[16]01.수집 카테고리(List)'!$A$2:$H$64,8,FALSE)</f>
        <v>99991231</v>
      </c>
      <c r="O3163" s="93" t="s">
        <v>646</v>
      </c>
    </row>
    <row r="3164" spans="1:15" hidden="1">
      <c r="A3164" s="75" t="str">
        <f t="shared" si="120"/>
        <v>UKAOTVsmart TVsmart TV</v>
      </c>
      <c r="B3164" s="94" t="str">
        <f t="shared" si="121"/>
        <v>UK_AO</v>
      </c>
      <c r="C3164" s="93" t="s">
        <v>27</v>
      </c>
      <c r="D3164" s="93" t="s">
        <v>297</v>
      </c>
      <c r="E3164" s="93" t="s">
        <v>161</v>
      </c>
      <c r="F3164" s="93" t="s">
        <v>2371</v>
      </c>
      <c r="G3164" s="93" t="s">
        <v>2371</v>
      </c>
      <c r="H3164" s="93" t="e">
        <v>#N/A</v>
      </c>
      <c r="I3164" s="105" t="s">
        <v>2310</v>
      </c>
      <c r="J3164" s="93" t="s">
        <v>189</v>
      </c>
      <c r="K3164" s="93">
        <v>5</v>
      </c>
      <c r="L3164" s="93">
        <v>5</v>
      </c>
      <c r="M3164" s="93" t="s">
        <v>2311</v>
      </c>
      <c r="N3164" s="93">
        <f>VLOOKUP(B3164,'[16]01.수집 카테고리(List)'!$A$2:$H$64,8,FALSE)</f>
        <v>99991231</v>
      </c>
      <c r="O3164" s="93" t="s">
        <v>646</v>
      </c>
    </row>
    <row r="3165" spans="1:15" hidden="1">
      <c r="A3165" s="75" t="str">
        <f t="shared" si="120"/>
        <v>UKAOTVTVTV</v>
      </c>
      <c r="B3165" s="94" t="str">
        <f t="shared" si="121"/>
        <v>UK_AO</v>
      </c>
      <c r="C3165" s="93" t="s">
        <v>27</v>
      </c>
      <c r="D3165" s="93" t="s">
        <v>297</v>
      </c>
      <c r="E3165" s="93" t="s">
        <v>161</v>
      </c>
      <c r="F3165" s="93" t="s">
        <v>161</v>
      </c>
      <c r="G3165" s="93" t="s">
        <v>161</v>
      </c>
      <c r="H3165" s="93" t="e">
        <v>#N/A</v>
      </c>
      <c r="I3165" s="105" t="s">
        <v>2310</v>
      </c>
      <c r="J3165" s="93" t="s">
        <v>189</v>
      </c>
      <c r="K3165" s="93">
        <v>5</v>
      </c>
      <c r="L3165" s="93">
        <v>5</v>
      </c>
      <c r="M3165" s="93" t="s">
        <v>2311</v>
      </c>
      <c r="N3165" s="93">
        <f>VLOOKUP(B3165,'[16]01.수집 카테고리(List)'!$A$2:$H$64,8,FALSE)</f>
        <v>99991231</v>
      </c>
      <c r="O3165" s="93" t="s">
        <v>646</v>
      </c>
    </row>
    <row r="3166" spans="1:15" hidden="1">
      <c r="A3166" s="75" t="str">
        <f t="shared" si="120"/>
        <v>UKAOTVuhd TVuhd TV</v>
      </c>
      <c r="B3166" s="94" t="str">
        <f t="shared" si="121"/>
        <v>UK_AO</v>
      </c>
      <c r="C3166" s="93" t="s">
        <v>27</v>
      </c>
      <c r="D3166" s="93" t="s">
        <v>297</v>
      </c>
      <c r="E3166" s="93" t="s">
        <v>161</v>
      </c>
      <c r="F3166" s="93" t="s">
        <v>2399</v>
      </c>
      <c r="G3166" s="93" t="s">
        <v>2399</v>
      </c>
      <c r="H3166" s="93" t="e">
        <v>#N/A</v>
      </c>
      <c r="I3166" s="105" t="s">
        <v>2310</v>
      </c>
      <c r="J3166" s="93" t="s">
        <v>189</v>
      </c>
      <c r="K3166" s="93">
        <v>5</v>
      </c>
      <c r="L3166" s="93">
        <v>5</v>
      </c>
      <c r="M3166" s="93" t="s">
        <v>2311</v>
      </c>
      <c r="N3166" s="93">
        <f>VLOOKUP(B3166,'[16]01.수집 카테고리(List)'!$A$2:$H$64,8,FALSE)</f>
        <v>99991231</v>
      </c>
      <c r="O3166" s="93" t="s">
        <v>646</v>
      </c>
    </row>
    <row r="3167" spans="1:15" hidden="1">
      <c r="A3167" s="75" t="str">
        <f t="shared" si="120"/>
        <v>UKAOWashing Machinewasher dryerWasher Dryer</v>
      </c>
      <c r="B3167" s="94" t="str">
        <f t="shared" si="121"/>
        <v>UK_AO</v>
      </c>
      <c r="C3167" s="93" t="s">
        <v>27</v>
      </c>
      <c r="D3167" s="93" t="s">
        <v>297</v>
      </c>
      <c r="E3167" s="93" t="s">
        <v>2333</v>
      </c>
      <c r="F3167" s="93" t="s">
        <v>2339</v>
      </c>
      <c r="G3167" s="93" t="s">
        <v>3659</v>
      </c>
      <c r="H3167" s="93" t="e">
        <v>#N/A</v>
      </c>
      <c r="I3167" s="105" t="s">
        <v>2310</v>
      </c>
      <c r="J3167" s="93" t="s">
        <v>189</v>
      </c>
      <c r="K3167" s="93">
        <v>14</v>
      </c>
      <c r="L3167" s="93">
        <v>14</v>
      </c>
      <c r="M3167" s="93" t="s">
        <v>2311</v>
      </c>
      <c r="N3167" s="93">
        <f>VLOOKUP(B3167,'[16]01.수집 카테고리(List)'!$A$2:$H$64,8,FALSE)</f>
        <v>99991231</v>
      </c>
      <c r="O3167" s="93" t="s">
        <v>646</v>
      </c>
    </row>
    <row r="3168" spans="1:15" hidden="1">
      <c r="A3168" s="75" t="str">
        <f t="shared" si="120"/>
        <v>UKAOWashing Machinewashing machinewashing machine</v>
      </c>
      <c r="B3168" s="94" t="str">
        <f t="shared" si="121"/>
        <v>UK_AO</v>
      </c>
      <c r="C3168" s="93" t="s">
        <v>27</v>
      </c>
      <c r="D3168" s="93" t="s">
        <v>297</v>
      </c>
      <c r="E3168" s="93" t="s">
        <v>2333</v>
      </c>
      <c r="F3168" s="93" t="s">
        <v>2340</v>
      </c>
      <c r="G3168" s="93" t="s">
        <v>2445</v>
      </c>
      <c r="H3168" s="93" t="e">
        <v>#N/A</v>
      </c>
      <c r="I3168" s="105" t="s">
        <v>2310</v>
      </c>
      <c r="J3168" s="93" t="s">
        <v>189</v>
      </c>
      <c r="K3168" s="93" t="e">
        <v>#N/A</v>
      </c>
      <c r="L3168" s="93">
        <v>13</v>
      </c>
      <c r="M3168" s="93" t="s">
        <v>2351</v>
      </c>
      <c r="N3168" s="93">
        <f>VLOOKUP(B3168,'[16]01.수집 카테고리(List)'!$A$2:$H$64,8,FALSE)</f>
        <v>99991231</v>
      </c>
      <c r="O3168" s="93" t="s">
        <v>646</v>
      </c>
    </row>
    <row r="3169" spans="1:15" hidden="1">
      <c r="A3169" s="75" t="str">
        <f t="shared" si="120"/>
        <v>UKAOWireless Headsetbluetooth earbudsbluetooth earbuds</v>
      </c>
      <c r="B3169" s="94" t="str">
        <f t="shared" si="121"/>
        <v>UK_AO</v>
      </c>
      <c r="C3169" s="93" t="s">
        <v>27</v>
      </c>
      <c r="D3169" s="93" t="s">
        <v>297</v>
      </c>
      <c r="E3169" s="93" t="s">
        <v>2373</v>
      </c>
      <c r="F3169" s="93" t="s">
        <v>2909</v>
      </c>
      <c r="G3169" s="93" t="s">
        <v>3660</v>
      </c>
      <c r="H3169" s="93" t="e">
        <v>#N/A</v>
      </c>
      <c r="I3169" s="105" t="s">
        <v>2310</v>
      </c>
      <c r="J3169" s="93" t="s">
        <v>189</v>
      </c>
      <c r="K3169" s="93">
        <v>1279</v>
      </c>
      <c r="L3169" s="93">
        <v>1279</v>
      </c>
      <c r="M3169" s="93" t="s">
        <v>2311</v>
      </c>
      <c r="N3169" s="93">
        <f>VLOOKUP(B3169,'[16]01.수집 카테고리(List)'!$A$2:$H$64,8,FALSE)</f>
        <v>99991231</v>
      </c>
      <c r="O3169" s="93" t="s">
        <v>646</v>
      </c>
    </row>
    <row r="3170" spans="1:15" hidden="1">
      <c r="A3170" s="75" t="str">
        <f t="shared" si="120"/>
        <v>UKAOWireless HeadsetEarbudsEarbuds</v>
      </c>
      <c r="B3170" s="94" t="str">
        <f t="shared" si="121"/>
        <v>UK_AO</v>
      </c>
      <c r="C3170" s="93" t="s">
        <v>27</v>
      </c>
      <c r="D3170" s="93" t="s">
        <v>297</v>
      </c>
      <c r="E3170" s="93" t="s">
        <v>2373</v>
      </c>
      <c r="F3170" s="93" t="s">
        <v>2534</v>
      </c>
      <c r="G3170" s="93" t="s">
        <v>2534</v>
      </c>
      <c r="H3170" s="93" t="e">
        <v>#N/A</v>
      </c>
      <c r="I3170" s="105" t="s">
        <v>2310</v>
      </c>
      <c r="J3170" s="93" t="s">
        <v>189</v>
      </c>
      <c r="K3170" s="93">
        <v>1</v>
      </c>
      <c r="L3170" s="93">
        <v>1</v>
      </c>
      <c r="M3170" s="93" t="s">
        <v>2311</v>
      </c>
      <c r="N3170" s="93">
        <f>VLOOKUP(B3170,'[16]01.수집 카테고리(List)'!$A$2:$H$64,8,FALSE)</f>
        <v>99991231</v>
      </c>
      <c r="O3170" s="93" t="s">
        <v>646</v>
      </c>
    </row>
    <row r="3171" spans="1:15" hidden="1">
      <c r="A3171" s="75" t="str">
        <f t="shared" si="120"/>
        <v>UKAOWireless HeadsetIn ear headphones In ear headphones</v>
      </c>
      <c r="B3171" s="94" t="str">
        <f t="shared" si="121"/>
        <v>UK_AO</v>
      </c>
      <c r="C3171" s="93" t="s">
        <v>27</v>
      </c>
      <c r="D3171" s="93" t="s">
        <v>297</v>
      </c>
      <c r="E3171" s="93" t="s">
        <v>2373</v>
      </c>
      <c r="F3171" s="93" t="s">
        <v>3661</v>
      </c>
      <c r="G3171" s="93" t="s">
        <v>3662</v>
      </c>
      <c r="H3171" s="93" t="e">
        <v>#N/A</v>
      </c>
      <c r="I3171" s="105" t="s">
        <v>2310</v>
      </c>
      <c r="J3171" s="93" t="s">
        <v>189</v>
      </c>
      <c r="K3171" s="93">
        <v>1</v>
      </c>
      <c r="L3171" s="93" t="e">
        <v>#N/A</v>
      </c>
      <c r="M3171" s="93" t="s">
        <v>2311</v>
      </c>
      <c r="N3171" s="93">
        <f>VLOOKUP(B3171,'[16]01.수집 카테고리(List)'!$A$2:$H$64,8,FALSE)</f>
        <v>99991231</v>
      </c>
      <c r="O3171" s="93" t="s">
        <v>646</v>
      </c>
    </row>
    <row r="3172" spans="1:15" hidden="1">
      <c r="A3172" s="75" t="str">
        <f t="shared" si="120"/>
        <v>UKAOWireless HeadsetTrue wireless earbudsTrue wireless earbuds</v>
      </c>
      <c r="B3172" s="94" t="str">
        <f t="shared" si="121"/>
        <v>UK_AO</v>
      </c>
      <c r="C3172" s="93" t="s">
        <v>27</v>
      </c>
      <c r="D3172" s="93" t="s">
        <v>297</v>
      </c>
      <c r="E3172" s="93" t="s">
        <v>2373</v>
      </c>
      <c r="F3172" s="93" t="s">
        <v>3186</v>
      </c>
      <c r="G3172" s="93" t="s">
        <v>3186</v>
      </c>
      <c r="H3172" s="93" t="e">
        <v>#N/A</v>
      </c>
      <c r="I3172" s="105" t="s">
        <v>2310</v>
      </c>
      <c r="J3172" s="93" t="s">
        <v>189</v>
      </c>
      <c r="K3172" s="93">
        <v>8669</v>
      </c>
      <c r="L3172" s="93">
        <v>8669</v>
      </c>
      <c r="M3172" s="93" t="s">
        <v>2311</v>
      </c>
      <c r="N3172" s="93">
        <f>VLOOKUP(B3172,'[16]01.수집 카테고리(List)'!$A$2:$H$64,8,FALSE)</f>
        <v>99991231</v>
      </c>
      <c r="O3172" s="93" t="s">
        <v>646</v>
      </c>
    </row>
    <row r="3173" spans="1:15" hidden="1">
      <c r="A3173" s="75" t="str">
        <f t="shared" si="120"/>
        <v>UKAOWireless HeadsetWireless EarbudsWireless Earbuds</v>
      </c>
      <c r="B3173" s="94" t="str">
        <f t="shared" si="121"/>
        <v>UK_AO</v>
      </c>
      <c r="C3173" s="93" t="s">
        <v>27</v>
      </c>
      <c r="D3173" s="93" t="s">
        <v>297</v>
      </c>
      <c r="E3173" s="93" t="s">
        <v>2373</v>
      </c>
      <c r="F3173" s="93" t="s">
        <v>2760</v>
      </c>
      <c r="G3173" s="93" t="s">
        <v>2760</v>
      </c>
      <c r="H3173" s="93" t="e">
        <v>#N/A</v>
      </c>
      <c r="I3173" s="105" t="s">
        <v>2310</v>
      </c>
      <c r="J3173" s="93" t="s">
        <v>189</v>
      </c>
      <c r="K3173" s="93">
        <v>18881</v>
      </c>
      <c r="L3173" s="93">
        <v>18881</v>
      </c>
      <c r="M3173" s="93" t="s">
        <v>2311</v>
      </c>
      <c r="N3173" s="93">
        <f>VLOOKUP(B3173,'[16]01.수집 카테고리(List)'!$A$2:$H$64,8,FALSE)</f>
        <v>99991231</v>
      </c>
      <c r="O3173" s="93" t="s">
        <v>646</v>
      </c>
    </row>
    <row r="3174" spans="1:15" s="108" customFormat="1" hidden="1">
      <c r="A3174" s="108" t="str">
        <f t="shared" si="120"/>
        <v>UKAOAir Conditionerair conditionerair conditioner</v>
      </c>
      <c r="B3174" s="109" t="str">
        <f t="shared" si="121"/>
        <v>UK_AO</v>
      </c>
      <c r="C3174" s="110" t="s">
        <v>27</v>
      </c>
      <c r="D3174" s="110" t="s">
        <v>297</v>
      </c>
      <c r="E3174" s="110" t="s">
        <v>2524</v>
      </c>
      <c r="F3174" s="110" t="s">
        <v>2347</v>
      </c>
      <c r="G3174" s="110" t="s">
        <v>2347</v>
      </c>
      <c r="H3174" s="93" t="e">
        <v>#N/A</v>
      </c>
      <c r="I3174" s="99">
        <v>46076</v>
      </c>
      <c r="J3174" s="83" t="s">
        <v>189</v>
      </c>
      <c r="K3174" s="110"/>
      <c r="L3174" s="110"/>
      <c r="M3174" s="110"/>
      <c r="N3174" s="110"/>
      <c r="O3174" s="110"/>
    </row>
    <row r="3175" spans="1:15" s="108" customFormat="1" hidden="1">
      <c r="A3175" s="108" t="str">
        <f t="shared" si="120"/>
        <v>UKAOAir Conditionerinverter air conditionerinverter air conditioner</v>
      </c>
      <c r="B3175" s="109" t="str">
        <f t="shared" si="121"/>
        <v>UK_AO</v>
      </c>
      <c r="C3175" s="110" t="s">
        <v>27</v>
      </c>
      <c r="D3175" s="110" t="s">
        <v>297</v>
      </c>
      <c r="E3175" s="110" t="s">
        <v>2524</v>
      </c>
      <c r="F3175" s="110" t="s">
        <v>2348</v>
      </c>
      <c r="G3175" s="110" t="s">
        <v>2348</v>
      </c>
      <c r="H3175" s="93" t="e">
        <v>#N/A</v>
      </c>
      <c r="I3175" s="99">
        <v>46076</v>
      </c>
      <c r="J3175" s="83" t="s">
        <v>189</v>
      </c>
      <c r="K3175" s="110"/>
      <c r="L3175" s="110"/>
      <c r="M3175" s="110"/>
      <c r="N3175" s="110"/>
      <c r="O3175" s="110"/>
    </row>
    <row r="3176" spans="1:15" s="108" customFormat="1" hidden="1">
      <c r="A3176" s="108" t="str">
        <f t="shared" si="120"/>
        <v>UKAOAir Conditionersplit air conditionersplit air conditioner</v>
      </c>
      <c r="B3176" s="109" t="str">
        <f t="shared" si="121"/>
        <v>UK_AO</v>
      </c>
      <c r="C3176" s="110" t="s">
        <v>27</v>
      </c>
      <c r="D3176" s="110" t="s">
        <v>297</v>
      </c>
      <c r="E3176" s="110" t="s">
        <v>2524</v>
      </c>
      <c r="F3176" s="110" t="s">
        <v>2422</v>
      </c>
      <c r="G3176" s="110" t="s">
        <v>2422</v>
      </c>
      <c r="H3176" s="93" t="e">
        <v>#N/A</v>
      </c>
      <c r="I3176" s="99">
        <v>46076</v>
      </c>
      <c r="J3176" s="83" t="s">
        <v>189</v>
      </c>
      <c r="K3176" s="110"/>
      <c r="L3176" s="110"/>
      <c r="M3176" s="110"/>
      <c r="N3176" s="110"/>
      <c r="O3176" s="110"/>
    </row>
    <row r="3177" spans="1:15" s="108" customFormat="1" hidden="1">
      <c r="A3177" s="108" t="str">
        <f t="shared" si="120"/>
        <v>UKAOAir Conditionersplit inverter air conditionersplit inverter air conditioner</v>
      </c>
      <c r="B3177" s="109" t="str">
        <f t="shared" si="121"/>
        <v>UK_AO</v>
      </c>
      <c r="C3177" s="110" t="s">
        <v>27</v>
      </c>
      <c r="D3177" s="110" t="s">
        <v>297</v>
      </c>
      <c r="E3177" s="110" t="s">
        <v>2524</v>
      </c>
      <c r="F3177" s="110" t="s">
        <v>2423</v>
      </c>
      <c r="G3177" s="110" t="s">
        <v>2423</v>
      </c>
      <c r="H3177" s="93" t="e">
        <v>#N/A</v>
      </c>
      <c r="I3177" s="99">
        <v>46076</v>
      </c>
      <c r="J3177" s="83" t="s">
        <v>189</v>
      </c>
      <c r="K3177" s="110"/>
      <c r="L3177" s="110"/>
      <c r="M3177" s="110"/>
      <c r="N3177" s="110"/>
      <c r="O3177" s="110"/>
    </row>
    <row r="3178" spans="1:15" s="108" customFormat="1" hidden="1">
      <c r="A3178" s="108" t="str">
        <f t="shared" si="120"/>
        <v>UKAOAir Conditionerwindow air conditionerwindow air conditioner</v>
      </c>
      <c r="B3178" s="109" t="str">
        <f t="shared" si="121"/>
        <v>UK_AO</v>
      </c>
      <c r="C3178" s="110" t="s">
        <v>27</v>
      </c>
      <c r="D3178" s="110" t="s">
        <v>297</v>
      </c>
      <c r="E3178" s="110" t="s">
        <v>2524</v>
      </c>
      <c r="F3178" s="110" t="s">
        <v>2350</v>
      </c>
      <c r="G3178" s="110" t="s">
        <v>2350</v>
      </c>
      <c r="H3178" s="93" t="e">
        <v>#N/A</v>
      </c>
      <c r="I3178" s="99">
        <v>46076</v>
      </c>
      <c r="J3178" s="83" t="s">
        <v>189</v>
      </c>
      <c r="K3178" s="110"/>
      <c r="L3178" s="110"/>
      <c r="M3178" s="110"/>
      <c r="N3178" s="110"/>
      <c r="O3178" s="110"/>
    </row>
    <row r="3179" spans="1:15" s="108" customFormat="1" hidden="1">
      <c r="A3179" s="108" t="str">
        <f t="shared" si="120"/>
        <v>UKAOAir Conditionerwindow inverter air conditionerwindow inverter air conditioner</v>
      </c>
      <c r="B3179" s="109" t="str">
        <f t="shared" si="121"/>
        <v>UK_AO</v>
      </c>
      <c r="C3179" s="110" t="s">
        <v>27</v>
      </c>
      <c r="D3179" s="110" t="s">
        <v>297</v>
      </c>
      <c r="E3179" s="110" t="s">
        <v>2524</v>
      </c>
      <c r="F3179" s="110" t="s">
        <v>2424</v>
      </c>
      <c r="G3179" s="110" t="s">
        <v>2424</v>
      </c>
      <c r="H3179" s="93" t="e">
        <v>#N/A</v>
      </c>
      <c r="I3179" s="99">
        <v>46076</v>
      </c>
      <c r="J3179" s="83" t="s">
        <v>189</v>
      </c>
      <c r="K3179" s="110"/>
      <c r="L3179" s="110"/>
      <c r="M3179" s="110"/>
      <c r="N3179" s="110"/>
      <c r="O3179" s="110"/>
    </row>
    <row r="3180" spans="1:15" s="108" customFormat="1" hidden="1">
      <c r="A3180" s="108" t="str">
        <f t="shared" si="120"/>
        <v>UKAODryerheatpump  heatpump</v>
      </c>
      <c r="B3180" s="109" t="str">
        <f t="shared" si="121"/>
        <v>UK_AO</v>
      </c>
      <c r="C3180" s="110" t="s">
        <v>27</v>
      </c>
      <c r="D3180" s="110" t="s">
        <v>297</v>
      </c>
      <c r="E3180" s="110" t="s">
        <v>2535</v>
      </c>
      <c r="F3180" s="110" t="s">
        <v>2432</v>
      </c>
      <c r="G3180" s="110" t="s">
        <v>2433</v>
      </c>
      <c r="H3180" s="93" t="e">
        <v>#N/A</v>
      </c>
      <c r="I3180" s="99">
        <v>46076</v>
      </c>
      <c r="J3180" s="83" t="s">
        <v>189</v>
      </c>
      <c r="K3180" s="110"/>
      <c r="L3180" s="110"/>
      <c r="M3180" s="110"/>
      <c r="N3180" s="110"/>
      <c r="O3180" s="110"/>
    </row>
    <row r="3181" spans="1:15" s="108" customFormat="1" hidden="1">
      <c r="A3181" s="108" t="str">
        <f t="shared" si="120"/>
        <v>UKAODryerLG DryerLG Dryer</v>
      </c>
      <c r="B3181" s="109" t="str">
        <f t="shared" si="121"/>
        <v>UK_AO</v>
      </c>
      <c r="C3181" s="110" t="s">
        <v>27</v>
      </c>
      <c r="D3181" s="110" t="s">
        <v>297</v>
      </c>
      <c r="E3181" s="110" t="s">
        <v>2535</v>
      </c>
      <c r="F3181" s="110" t="s">
        <v>2434</v>
      </c>
      <c r="G3181" s="110" t="s">
        <v>2434</v>
      </c>
      <c r="H3181" s="93" t="e">
        <v>#N/A</v>
      </c>
      <c r="I3181" s="99">
        <v>46076</v>
      </c>
      <c r="J3181" s="83" t="s">
        <v>189</v>
      </c>
      <c r="K3181" s="110"/>
      <c r="L3181" s="110"/>
      <c r="M3181" s="110"/>
      <c r="N3181" s="110"/>
      <c r="O3181" s="110"/>
    </row>
    <row r="3182" spans="1:15" hidden="1">
      <c r="A3182" s="75" t="str">
        <f t="shared" si="120"/>
        <v>UKCURRYSBluetooth Speakerbluetooth speakerbluetooth speaker</v>
      </c>
      <c r="B3182" s="94" t="str">
        <f t="shared" si="121"/>
        <v>UK_CURRYS</v>
      </c>
      <c r="C3182" s="93" t="s">
        <v>27</v>
      </c>
      <c r="D3182" s="93" t="s">
        <v>615</v>
      </c>
      <c r="E3182" s="93" t="s">
        <v>2307</v>
      </c>
      <c r="F3182" s="93" t="s">
        <v>2657</v>
      </c>
      <c r="G3182" s="93" t="s">
        <v>2657</v>
      </c>
      <c r="H3182" s="93" t="e">
        <v>#N/A</v>
      </c>
      <c r="I3182" s="105" t="s">
        <v>2310</v>
      </c>
      <c r="J3182" s="93" t="s">
        <v>189</v>
      </c>
      <c r="K3182" s="93">
        <v>5</v>
      </c>
      <c r="L3182" s="93">
        <v>5</v>
      </c>
      <c r="M3182" s="93" t="s">
        <v>2311</v>
      </c>
      <c r="N3182" s="93">
        <f>VLOOKUP(B3182,'[16]01.수집 카테고리(List)'!$A$2:$H$64,8,FALSE)</f>
        <v>99991231</v>
      </c>
      <c r="O3182" s="93" t="s">
        <v>646</v>
      </c>
    </row>
    <row r="3183" spans="1:15" hidden="1">
      <c r="A3183" s="75" t="str">
        <f t="shared" si="120"/>
        <v>UKCURRYSBluetooth Speakerbluetooth speaker portablebluetooth speaker portable</v>
      </c>
      <c r="B3183" s="94" t="str">
        <f t="shared" si="121"/>
        <v>UK_CURRYS</v>
      </c>
      <c r="C3183" s="93" t="s">
        <v>27</v>
      </c>
      <c r="D3183" s="93" t="s">
        <v>615</v>
      </c>
      <c r="E3183" s="93" t="s">
        <v>2307</v>
      </c>
      <c r="F3183" s="93" t="s">
        <v>2479</v>
      </c>
      <c r="G3183" s="93" t="s">
        <v>2479</v>
      </c>
      <c r="H3183" s="93" t="e">
        <v>#N/A</v>
      </c>
      <c r="I3183" s="105" t="s">
        <v>2310</v>
      </c>
      <c r="J3183" s="93" t="s">
        <v>189</v>
      </c>
      <c r="K3183" s="93">
        <v>1</v>
      </c>
      <c r="L3183" s="93">
        <v>1</v>
      </c>
      <c r="M3183" s="93" t="s">
        <v>2311</v>
      </c>
      <c r="N3183" s="93">
        <f>VLOOKUP(B3183,'[16]01.수집 카테고리(List)'!$A$2:$H$64,8,FALSE)</f>
        <v>99991231</v>
      </c>
      <c r="O3183" s="93" t="s">
        <v>646</v>
      </c>
    </row>
    <row r="3184" spans="1:15" hidden="1">
      <c r="A3184" s="75" t="str">
        <f t="shared" si="120"/>
        <v>UKCURRYSBluetooth Speakerportable speakersportable speakers</v>
      </c>
      <c r="B3184" s="94" t="str">
        <f t="shared" si="121"/>
        <v>UK_CURRYS</v>
      </c>
      <c r="C3184" s="93" t="s">
        <v>27</v>
      </c>
      <c r="D3184" s="93" t="s">
        <v>615</v>
      </c>
      <c r="E3184" s="93" t="s">
        <v>2307</v>
      </c>
      <c r="F3184" s="93" t="s">
        <v>2473</v>
      </c>
      <c r="G3184" s="93" t="s">
        <v>2473</v>
      </c>
      <c r="H3184" s="93" t="e">
        <v>#N/A</v>
      </c>
      <c r="I3184" s="105" t="s">
        <v>2310</v>
      </c>
      <c r="J3184" s="93" t="s">
        <v>189</v>
      </c>
      <c r="K3184" s="93">
        <v>1</v>
      </c>
      <c r="L3184" s="93">
        <v>1</v>
      </c>
      <c r="M3184" s="93" t="s">
        <v>2311</v>
      </c>
      <c r="N3184" s="93">
        <f>VLOOKUP(B3184,'[16]01.수집 카테고리(List)'!$A$2:$H$64,8,FALSE)</f>
        <v>99991231</v>
      </c>
      <c r="O3184" s="93" t="s">
        <v>646</v>
      </c>
    </row>
    <row r="3185" spans="1:15" hidden="1">
      <c r="A3185" s="75" t="str">
        <f t="shared" si="120"/>
        <v>UKCURRYSBluetooth Speakerspeakersspeakers</v>
      </c>
      <c r="B3185" s="94" t="str">
        <f t="shared" si="121"/>
        <v>UK_CURRYS</v>
      </c>
      <c r="C3185" s="93" t="s">
        <v>27</v>
      </c>
      <c r="D3185" s="93" t="s">
        <v>615</v>
      </c>
      <c r="E3185" s="93" t="s">
        <v>2307</v>
      </c>
      <c r="F3185" s="93" t="s">
        <v>2471</v>
      </c>
      <c r="G3185" s="93" t="s">
        <v>2471</v>
      </c>
      <c r="H3185" s="93" t="e">
        <v>#N/A</v>
      </c>
      <c r="I3185" s="105" t="s">
        <v>2310</v>
      </c>
      <c r="J3185" s="93" t="s">
        <v>189</v>
      </c>
      <c r="K3185" s="93">
        <v>10</v>
      </c>
      <c r="L3185" s="93">
        <v>10</v>
      </c>
      <c r="M3185" s="93" t="s">
        <v>2311</v>
      </c>
      <c r="N3185" s="93">
        <f>VLOOKUP(B3185,'[16]01.수집 카테고리(List)'!$A$2:$H$64,8,FALSE)</f>
        <v>99991231</v>
      </c>
      <c r="O3185" s="93" t="s">
        <v>646</v>
      </c>
    </row>
    <row r="3186" spans="1:15" hidden="1">
      <c r="A3186" s="75" t="str">
        <f t="shared" si="120"/>
        <v>UKCURRYSBluetooth Speakerwireless portable speakerswireless portable speakers</v>
      </c>
      <c r="B3186" s="94" t="str">
        <f t="shared" si="121"/>
        <v>UK_CURRYS</v>
      </c>
      <c r="C3186" s="93" t="s">
        <v>27</v>
      </c>
      <c r="D3186" s="93" t="s">
        <v>615</v>
      </c>
      <c r="E3186" s="93" t="s">
        <v>2307</v>
      </c>
      <c r="F3186" s="93" t="s">
        <v>2475</v>
      </c>
      <c r="G3186" s="93" t="s">
        <v>2475</v>
      </c>
      <c r="H3186" s="93" t="e">
        <v>#N/A</v>
      </c>
      <c r="I3186" s="105" t="s">
        <v>2310</v>
      </c>
      <c r="J3186" s="93" t="s">
        <v>189</v>
      </c>
      <c r="K3186" s="93">
        <v>79268</v>
      </c>
      <c r="L3186" s="93">
        <v>79268</v>
      </c>
      <c r="M3186" s="93" t="s">
        <v>2311</v>
      </c>
      <c r="N3186" s="93">
        <f>VLOOKUP(B3186,'[16]01.수집 카테고리(List)'!$A$2:$H$64,8,FALSE)</f>
        <v>99991231</v>
      </c>
      <c r="O3186" s="93" t="s">
        <v>646</v>
      </c>
    </row>
    <row r="3187" spans="1:15" hidden="1">
      <c r="A3187" s="75" t="str">
        <f t="shared" si="120"/>
        <v>UKCURRYSBluetooth SpeakerPortable bluetooth speakersPortable bluetooth speakers</v>
      </c>
      <c r="B3187" s="94" t="str">
        <f t="shared" si="121"/>
        <v>UK_CURRYS</v>
      </c>
      <c r="C3187" s="93" t="s">
        <v>27</v>
      </c>
      <c r="D3187" s="93" t="s">
        <v>615</v>
      </c>
      <c r="E3187" s="93" t="s">
        <v>2307</v>
      </c>
      <c r="F3187" s="93" t="s">
        <v>2426</v>
      </c>
      <c r="G3187" s="93" t="s">
        <v>2426</v>
      </c>
      <c r="H3187" s="93" t="e">
        <v>#N/A</v>
      </c>
      <c r="I3187" s="105" t="s">
        <v>2310</v>
      </c>
      <c r="J3187" s="93" t="s">
        <v>189</v>
      </c>
      <c r="K3187" s="93">
        <v>1</v>
      </c>
      <c r="L3187" s="93">
        <v>1</v>
      </c>
      <c r="M3187" s="93" t="s">
        <v>2311</v>
      </c>
      <c r="N3187" s="93">
        <f>VLOOKUP(B3187,'[16]01.수집 카테고리(List)'!$A$2:$H$64,8,FALSE)</f>
        <v>99991231</v>
      </c>
      <c r="O3187" s="93" t="s">
        <v>646</v>
      </c>
    </row>
    <row r="3188" spans="1:15" hidden="1">
      <c r="A3188" s="75" t="str">
        <f t="shared" si="120"/>
        <v>UKCURRYSDISHWASHERBuilt in Dish washerBuilt in Dish washer</v>
      </c>
      <c r="B3188" s="94" t="str">
        <f t="shared" si="121"/>
        <v>UK_CURRYS</v>
      </c>
      <c r="C3188" s="93" t="s">
        <v>27</v>
      </c>
      <c r="D3188" s="93" t="s">
        <v>615</v>
      </c>
      <c r="E3188" s="93" t="s">
        <v>169</v>
      </c>
      <c r="F3188" s="93" t="s">
        <v>2356</v>
      </c>
      <c r="G3188" s="93" t="s">
        <v>2356</v>
      </c>
      <c r="H3188" s="93" t="e">
        <v>#N/A</v>
      </c>
      <c r="I3188" s="105" t="s">
        <v>2310</v>
      </c>
      <c r="J3188" s="93" t="s">
        <v>189</v>
      </c>
      <c r="K3188" s="93">
        <v>36209</v>
      </c>
      <c r="L3188" s="93">
        <v>36209</v>
      </c>
      <c r="M3188" s="93" t="s">
        <v>2311</v>
      </c>
      <c r="N3188" s="93">
        <f>VLOOKUP(B3188,'[16]01.수집 카테고리(List)'!$A$2:$H$64,8,FALSE)</f>
        <v>99991231</v>
      </c>
      <c r="O3188" s="93" t="s">
        <v>646</v>
      </c>
    </row>
    <row r="3189" spans="1:15" hidden="1">
      <c r="A3189" s="75" t="str">
        <f t="shared" si="120"/>
        <v>UKCURRYSDISHWASHERdishwasherdishwasher</v>
      </c>
      <c r="B3189" s="94" t="str">
        <f t="shared" si="121"/>
        <v>UK_CURRYS</v>
      </c>
      <c r="C3189" s="93" t="s">
        <v>27</v>
      </c>
      <c r="D3189" s="93" t="s">
        <v>615</v>
      </c>
      <c r="E3189" s="93" t="s">
        <v>169</v>
      </c>
      <c r="F3189" s="93" t="s">
        <v>2354</v>
      </c>
      <c r="G3189" s="93" t="s">
        <v>2354</v>
      </c>
      <c r="H3189" s="93" t="e">
        <v>#N/A</v>
      </c>
      <c r="I3189" s="105" t="s">
        <v>2310</v>
      </c>
      <c r="J3189" s="93" t="s">
        <v>189</v>
      </c>
      <c r="K3189" s="93">
        <v>74709</v>
      </c>
      <c r="L3189" s="93">
        <v>74709</v>
      </c>
      <c r="M3189" s="93" t="s">
        <v>2311</v>
      </c>
      <c r="N3189" s="93">
        <f>VLOOKUP(B3189,'[16]01.수집 카테고리(List)'!$A$2:$H$64,8,FALSE)</f>
        <v>99991231</v>
      </c>
      <c r="O3189" s="93" t="s">
        <v>646</v>
      </c>
    </row>
    <row r="3190" spans="1:15" hidden="1">
      <c r="A3190" s="75" t="str">
        <f t="shared" si="120"/>
        <v>UKCURRYSDISHWASHERFreestanding Dishwasher Freestanding Dishwasher</v>
      </c>
      <c r="B3190" s="94" t="str">
        <f t="shared" si="121"/>
        <v>UK_CURRYS</v>
      </c>
      <c r="C3190" s="93" t="s">
        <v>27</v>
      </c>
      <c r="D3190" s="93" t="s">
        <v>615</v>
      </c>
      <c r="E3190" s="93" t="s">
        <v>169</v>
      </c>
      <c r="F3190" s="93" t="s">
        <v>2441</v>
      </c>
      <c r="G3190" s="93" t="s">
        <v>2352</v>
      </c>
      <c r="H3190" s="93" t="e">
        <v>#N/A</v>
      </c>
      <c r="I3190" s="105" t="s">
        <v>2310</v>
      </c>
      <c r="J3190" s="93" t="s">
        <v>189</v>
      </c>
      <c r="K3190" s="93">
        <v>43398</v>
      </c>
      <c r="L3190" s="93" t="e">
        <v>#N/A</v>
      </c>
      <c r="M3190" s="93" t="s">
        <v>2311</v>
      </c>
      <c r="N3190" s="93">
        <f>VLOOKUP(B3190,'[16]01.수집 카테고리(List)'!$A$2:$H$64,8,FALSE)</f>
        <v>99991231</v>
      </c>
      <c r="O3190" s="93" t="s">
        <v>646</v>
      </c>
    </row>
    <row r="3191" spans="1:15" hidden="1">
      <c r="A3191" s="75" t="str">
        <f t="shared" si="120"/>
        <v>UKCURRYSLaptop15inch Laptop15inch Laptop</v>
      </c>
      <c r="B3191" s="94" t="str">
        <f t="shared" si="121"/>
        <v>UK_CURRYS</v>
      </c>
      <c r="C3191" s="93" t="s">
        <v>27</v>
      </c>
      <c r="D3191" s="93" t="s">
        <v>615</v>
      </c>
      <c r="E3191" s="93" t="s">
        <v>2407</v>
      </c>
      <c r="F3191" s="93" t="s">
        <v>2408</v>
      </c>
      <c r="G3191" s="93" t="s">
        <v>2408</v>
      </c>
      <c r="H3191" s="93" t="e">
        <v>#N/A</v>
      </c>
      <c r="I3191" s="105" t="s">
        <v>2310</v>
      </c>
      <c r="J3191" s="93" t="s">
        <v>189</v>
      </c>
      <c r="K3191" s="93">
        <v>2288</v>
      </c>
      <c r="L3191" s="93">
        <v>2288</v>
      </c>
      <c r="M3191" s="93" t="s">
        <v>2311</v>
      </c>
      <c r="N3191" s="93">
        <f>VLOOKUP(B3191,'[16]01.수집 카테고리(List)'!$A$2:$H$64,8,FALSE)</f>
        <v>99991231</v>
      </c>
      <c r="O3191" s="93" t="s">
        <v>646</v>
      </c>
    </row>
    <row r="3192" spans="1:15" hidden="1">
      <c r="A3192" s="75" t="str">
        <f t="shared" si="120"/>
        <v>UKCURRYSLaptop17inch Laptop17inch Laptop</v>
      </c>
      <c r="B3192" s="94" t="str">
        <f t="shared" si="121"/>
        <v>UK_CURRYS</v>
      </c>
      <c r="C3192" s="93" t="s">
        <v>27</v>
      </c>
      <c r="D3192" s="93" t="s">
        <v>615</v>
      </c>
      <c r="E3192" s="93" t="s">
        <v>2407</v>
      </c>
      <c r="F3192" s="93" t="s">
        <v>2409</v>
      </c>
      <c r="G3192" s="93" t="s">
        <v>2409</v>
      </c>
      <c r="H3192" s="93" t="e">
        <v>#N/A</v>
      </c>
      <c r="I3192" s="105" t="s">
        <v>2310</v>
      </c>
      <c r="J3192" s="93" t="s">
        <v>189</v>
      </c>
      <c r="K3192" s="93">
        <v>128</v>
      </c>
      <c r="L3192" s="93">
        <v>128</v>
      </c>
      <c r="M3192" s="93" t="s">
        <v>2311</v>
      </c>
      <c r="N3192" s="93">
        <f>VLOOKUP(B3192,'[16]01.수집 카테고리(List)'!$A$2:$H$64,8,FALSE)</f>
        <v>99991231</v>
      </c>
      <c r="O3192" s="93" t="s">
        <v>646</v>
      </c>
    </row>
    <row r="3193" spans="1:15" hidden="1">
      <c r="A3193" s="75" t="str">
        <f t="shared" si="120"/>
        <v>UKCURRYSLaptopi7 laptopi7 laptop</v>
      </c>
      <c r="B3193" s="94" t="str">
        <f t="shared" si="121"/>
        <v>UK_CURRYS</v>
      </c>
      <c r="C3193" s="93" t="s">
        <v>27</v>
      </c>
      <c r="D3193" s="93" t="s">
        <v>615</v>
      </c>
      <c r="E3193" s="93" t="s">
        <v>2407</v>
      </c>
      <c r="F3193" s="93" t="s">
        <v>2410</v>
      </c>
      <c r="G3193" s="93" t="s">
        <v>2410</v>
      </c>
      <c r="H3193" s="93" t="e">
        <v>#N/A</v>
      </c>
      <c r="I3193" s="105" t="s">
        <v>2310</v>
      </c>
      <c r="J3193" s="93" t="s">
        <v>189</v>
      </c>
      <c r="K3193" s="93">
        <v>9</v>
      </c>
      <c r="L3193" s="93">
        <v>9</v>
      </c>
      <c r="M3193" s="93" t="s">
        <v>2311</v>
      </c>
      <c r="N3193" s="93">
        <f>VLOOKUP(B3193,'[16]01.수집 카테고리(List)'!$A$2:$H$64,8,FALSE)</f>
        <v>99991231</v>
      </c>
      <c r="O3193" s="93" t="s">
        <v>646</v>
      </c>
    </row>
    <row r="3194" spans="1:15" hidden="1">
      <c r="A3194" s="75" t="str">
        <f t="shared" si="120"/>
        <v>UKCURRYSLaptopLaptopLaptop</v>
      </c>
      <c r="B3194" s="94" t="str">
        <f t="shared" si="121"/>
        <v>UK_CURRYS</v>
      </c>
      <c r="C3194" s="93" t="s">
        <v>27</v>
      </c>
      <c r="D3194" s="93" t="s">
        <v>615</v>
      </c>
      <c r="E3194" s="93" t="s">
        <v>2407</v>
      </c>
      <c r="F3194" s="93" t="s">
        <v>2407</v>
      </c>
      <c r="G3194" s="93" t="s">
        <v>2407</v>
      </c>
      <c r="H3194" s="93" t="e">
        <v>#N/A</v>
      </c>
      <c r="I3194" s="105" t="s">
        <v>2310</v>
      </c>
      <c r="J3194" s="93" t="s">
        <v>189</v>
      </c>
      <c r="K3194" s="93">
        <v>84</v>
      </c>
      <c r="L3194" s="93">
        <v>84</v>
      </c>
      <c r="M3194" s="93" t="s">
        <v>2311</v>
      </c>
      <c r="N3194" s="93">
        <f>VLOOKUP(B3194,'[16]01.수집 카테고리(List)'!$A$2:$H$64,8,FALSE)</f>
        <v>99991231</v>
      </c>
      <c r="O3194" s="93" t="s">
        <v>646</v>
      </c>
    </row>
    <row r="3195" spans="1:15" hidden="1">
      <c r="A3195" s="75" t="str">
        <f t="shared" si="120"/>
        <v>UKCURRYSLaptopLightweight LaptopLightweight Laptop</v>
      </c>
      <c r="B3195" s="94" t="str">
        <f t="shared" si="121"/>
        <v>UK_CURRYS</v>
      </c>
      <c r="C3195" s="93" t="s">
        <v>27</v>
      </c>
      <c r="D3195" s="93" t="s">
        <v>615</v>
      </c>
      <c r="E3195" s="93" t="s">
        <v>2407</v>
      </c>
      <c r="F3195" s="93" t="s">
        <v>2411</v>
      </c>
      <c r="G3195" s="93" t="s">
        <v>2411</v>
      </c>
      <c r="H3195" s="93" t="e">
        <v>#N/A</v>
      </c>
      <c r="I3195" s="105" t="s">
        <v>2310</v>
      </c>
      <c r="J3195" s="93" t="s">
        <v>189</v>
      </c>
      <c r="K3195" s="93">
        <v>372</v>
      </c>
      <c r="L3195" s="93">
        <v>372</v>
      </c>
      <c r="M3195" s="93" t="s">
        <v>2311</v>
      </c>
      <c r="N3195" s="93">
        <f>VLOOKUP(B3195,'[16]01.수집 카테고리(List)'!$A$2:$H$64,8,FALSE)</f>
        <v>99991231</v>
      </c>
      <c r="O3195" s="93" t="s">
        <v>646</v>
      </c>
    </row>
    <row r="3196" spans="1:15" hidden="1">
      <c r="A3196" s="75" t="str">
        <f t="shared" si="120"/>
        <v>UKCURRYSMonitor4k monitor4k monitor</v>
      </c>
      <c r="B3196" s="94" t="str">
        <f t="shared" si="121"/>
        <v>UK_CURRYS</v>
      </c>
      <c r="C3196" s="93" t="s">
        <v>27</v>
      </c>
      <c r="D3196" s="93" t="s">
        <v>615</v>
      </c>
      <c r="E3196" s="93" t="s">
        <v>2320</v>
      </c>
      <c r="F3196" s="93" t="s">
        <v>2321</v>
      </c>
      <c r="G3196" s="93" t="s">
        <v>2321</v>
      </c>
      <c r="H3196" s="93" t="e">
        <v>#N/A</v>
      </c>
      <c r="I3196" s="105" t="s">
        <v>2310</v>
      </c>
      <c r="J3196" s="93" t="s">
        <v>189</v>
      </c>
      <c r="K3196" s="93">
        <v>3</v>
      </c>
      <c r="L3196" s="93">
        <v>3</v>
      </c>
      <c r="M3196" s="93" t="s">
        <v>2311</v>
      </c>
      <c r="N3196" s="93">
        <f>VLOOKUP(B3196,'[16]01.수집 카테고리(List)'!$A$2:$H$64,8,FALSE)</f>
        <v>99991231</v>
      </c>
      <c r="O3196" s="93" t="s">
        <v>646</v>
      </c>
    </row>
    <row r="3197" spans="1:15" hidden="1">
      <c r="A3197" s="75" t="str">
        <f t="shared" si="120"/>
        <v>UKCURRYSMonitorgaming monitorgaming monitor</v>
      </c>
      <c r="B3197" s="94" t="str">
        <f t="shared" si="121"/>
        <v>UK_CURRYS</v>
      </c>
      <c r="C3197" s="93" t="s">
        <v>27</v>
      </c>
      <c r="D3197" s="93" t="s">
        <v>615</v>
      </c>
      <c r="E3197" s="93" t="s">
        <v>2320</v>
      </c>
      <c r="F3197" s="93" t="s">
        <v>2322</v>
      </c>
      <c r="G3197" s="93" t="s">
        <v>2322</v>
      </c>
      <c r="H3197" s="93" t="e">
        <v>#N/A</v>
      </c>
      <c r="I3197" s="105" t="s">
        <v>2310</v>
      </c>
      <c r="J3197" s="93" t="s">
        <v>189</v>
      </c>
      <c r="K3197" s="93">
        <v>156</v>
      </c>
      <c r="L3197" s="93">
        <v>156</v>
      </c>
      <c r="M3197" s="93" t="s">
        <v>2311</v>
      </c>
      <c r="N3197" s="93">
        <f>VLOOKUP(B3197,'[16]01.수집 카테고리(List)'!$A$2:$H$64,8,FALSE)</f>
        <v>99991231</v>
      </c>
      <c r="O3197" s="93" t="s">
        <v>646</v>
      </c>
    </row>
    <row r="3198" spans="1:15" hidden="1">
      <c r="A3198" s="75" t="str">
        <f t="shared" si="120"/>
        <v>UKCURRYSMonitormonitormonitor</v>
      </c>
      <c r="B3198" s="94" t="str">
        <f t="shared" si="121"/>
        <v>UK_CURRYS</v>
      </c>
      <c r="C3198" s="93" t="s">
        <v>27</v>
      </c>
      <c r="D3198" s="93" t="s">
        <v>615</v>
      </c>
      <c r="E3198" s="93" t="s">
        <v>2320</v>
      </c>
      <c r="F3198" s="93" t="s">
        <v>2323</v>
      </c>
      <c r="G3198" s="93" t="s">
        <v>2323</v>
      </c>
      <c r="H3198" s="93" t="e">
        <v>#N/A</v>
      </c>
      <c r="I3198" s="105" t="s">
        <v>2310</v>
      </c>
      <c r="J3198" s="93" t="s">
        <v>189</v>
      </c>
      <c r="K3198" s="93">
        <v>138</v>
      </c>
      <c r="L3198" s="93">
        <v>138</v>
      </c>
      <c r="M3198" s="93" t="s">
        <v>2311</v>
      </c>
      <c r="N3198" s="93">
        <f>VLOOKUP(B3198,'[16]01.수집 카테고리(List)'!$A$2:$H$64,8,FALSE)</f>
        <v>99991231</v>
      </c>
      <c r="O3198" s="93" t="s">
        <v>646</v>
      </c>
    </row>
    <row r="3199" spans="1:15" hidden="1">
      <c r="A3199" s="75" t="str">
        <f t="shared" si="120"/>
        <v>UKCURRYSMonitoruhd monitoruhd monitor</v>
      </c>
      <c r="B3199" s="94" t="str">
        <f t="shared" si="121"/>
        <v>UK_CURRYS</v>
      </c>
      <c r="C3199" s="93" t="s">
        <v>27</v>
      </c>
      <c r="D3199" s="93" t="s">
        <v>615</v>
      </c>
      <c r="E3199" s="93" t="s">
        <v>2320</v>
      </c>
      <c r="F3199" s="93" t="s">
        <v>2324</v>
      </c>
      <c r="G3199" s="93" t="s">
        <v>2604</v>
      </c>
      <c r="H3199" s="93" t="s">
        <v>3663</v>
      </c>
      <c r="I3199" s="105" t="s">
        <v>2310</v>
      </c>
      <c r="J3199" s="93" t="s">
        <v>189</v>
      </c>
      <c r="K3199" s="93">
        <v>14</v>
      </c>
      <c r="L3199" s="93">
        <v>14</v>
      </c>
      <c r="M3199" s="93" t="s">
        <v>2311</v>
      </c>
      <c r="N3199" s="93">
        <f>VLOOKUP(B3199,'[16]01.수집 카테고리(List)'!$A$2:$H$64,8,FALSE)</f>
        <v>99991231</v>
      </c>
      <c r="O3199" s="93" t="s">
        <v>646</v>
      </c>
    </row>
    <row r="3200" spans="1:15" hidden="1">
      <c r="A3200" s="75" t="str">
        <f t="shared" si="120"/>
        <v>UKCURRYSRefrigeratorside by side refrigeratoramerican style fridge freezer</v>
      </c>
      <c r="B3200" s="94" t="str">
        <f t="shared" si="121"/>
        <v>UK_CURRYS</v>
      </c>
      <c r="C3200" s="93" t="s">
        <v>27</v>
      </c>
      <c r="D3200" s="93" t="s">
        <v>615</v>
      </c>
      <c r="E3200" s="93" t="s">
        <v>2326</v>
      </c>
      <c r="F3200" s="93" t="s">
        <v>2330</v>
      </c>
      <c r="G3200" s="93" t="s">
        <v>3653</v>
      </c>
      <c r="H3200" s="93" t="e">
        <v>#N/A</v>
      </c>
      <c r="I3200" s="105" t="s">
        <v>2310</v>
      </c>
      <c r="J3200" s="93" t="s">
        <v>189</v>
      </c>
      <c r="K3200" s="93">
        <v>295</v>
      </c>
      <c r="L3200" s="93" t="e">
        <v>#N/A</v>
      </c>
      <c r="M3200" s="93" t="s">
        <v>2311</v>
      </c>
      <c r="N3200" s="93">
        <f>VLOOKUP(B3200,'[16]01.수집 카테고리(List)'!$A$2:$H$64,8,FALSE)</f>
        <v>99991231</v>
      </c>
      <c r="O3200" s="93" t="s">
        <v>646</v>
      </c>
    </row>
    <row r="3201" spans="1:15" hidden="1">
      <c r="A3201" s="75" t="str">
        <f t="shared" si="120"/>
        <v>UKCURRYSRefrigeratorbottom freezer refrigeratorbottom freezer</v>
      </c>
      <c r="B3201" s="94" t="str">
        <f t="shared" si="121"/>
        <v>UK_CURRYS</v>
      </c>
      <c r="C3201" s="93" t="s">
        <v>27</v>
      </c>
      <c r="D3201" s="93" t="s">
        <v>615</v>
      </c>
      <c r="E3201" s="93" t="s">
        <v>2326</v>
      </c>
      <c r="F3201" s="93" t="s">
        <v>2327</v>
      </c>
      <c r="G3201" s="93" t="s">
        <v>2520</v>
      </c>
      <c r="H3201" s="93" t="e">
        <v>#N/A</v>
      </c>
      <c r="I3201" s="105" t="s">
        <v>2310</v>
      </c>
      <c r="J3201" s="93" t="s">
        <v>189</v>
      </c>
      <c r="K3201" s="93">
        <v>19</v>
      </c>
      <c r="L3201" s="93" t="e">
        <v>#N/A</v>
      </c>
      <c r="M3201" s="93" t="s">
        <v>2311</v>
      </c>
      <c r="N3201" s="93">
        <f>VLOOKUP(B3201,'[16]01.수집 카테고리(List)'!$A$2:$H$64,8,FALSE)</f>
        <v>99991231</v>
      </c>
      <c r="O3201" s="93" t="s">
        <v>646</v>
      </c>
    </row>
    <row r="3202" spans="1:15" hidden="1">
      <c r="A3202" s="75" t="str">
        <f t="shared" si="120"/>
        <v>UKCURRYSRefrigeratorrefrigeratorfridge freezer</v>
      </c>
      <c r="B3202" s="94" t="str">
        <f t="shared" si="121"/>
        <v>UK_CURRYS</v>
      </c>
      <c r="C3202" s="93" t="s">
        <v>27</v>
      </c>
      <c r="D3202" s="93" t="s">
        <v>615</v>
      </c>
      <c r="E3202" s="93" t="s">
        <v>2326</v>
      </c>
      <c r="F3202" s="93" t="s">
        <v>2329</v>
      </c>
      <c r="G3202" s="93" t="s">
        <v>3654</v>
      </c>
      <c r="H3202" s="93" t="e">
        <v>#N/A</v>
      </c>
      <c r="I3202" s="105" t="s">
        <v>2310</v>
      </c>
      <c r="J3202" s="93" t="s">
        <v>189</v>
      </c>
      <c r="K3202" s="93">
        <v>485</v>
      </c>
      <c r="L3202" s="93" t="e">
        <v>#N/A</v>
      </c>
      <c r="M3202" s="93" t="s">
        <v>2311</v>
      </c>
      <c r="N3202" s="93">
        <f>VLOOKUP(B3202,'[16]01.수집 카테고리(List)'!$A$2:$H$64,8,FALSE)</f>
        <v>99991231</v>
      </c>
      <c r="O3202" s="93" t="s">
        <v>646</v>
      </c>
    </row>
    <row r="3203" spans="1:15" hidden="1">
      <c r="A3203" s="75" t="str">
        <f t="shared" si="120"/>
        <v>UKCURRYSRefrigeratorfrench door refrigeratormulti door fridge freezer</v>
      </c>
      <c r="B3203" s="94" t="str">
        <f t="shared" si="121"/>
        <v>UK_CURRYS</v>
      </c>
      <c r="C3203" s="93" t="s">
        <v>27</v>
      </c>
      <c r="D3203" s="93" t="s">
        <v>615</v>
      </c>
      <c r="E3203" s="93" t="s">
        <v>2326</v>
      </c>
      <c r="F3203" s="93" t="s">
        <v>2328</v>
      </c>
      <c r="G3203" s="93" t="s">
        <v>3655</v>
      </c>
      <c r="H3203" s="93" t="e">
        <v>#N/A</v>
      </c>
      <c r="I3203" s="105" t="s">
        <v>2310</v>
      </c>
      <c r="J3203" s="93" t="s">
        <v>189</v>
      </c>
      <c r="K3203" s="93">
        <v>252</v>
      </c>
      <c r="L3203" s="93" t="e">
        <v>#N/A</v>
      </c>
      <c r="M3203" s="93" t="s">
        <v>2311</v>
      </c>
      <c r="N3203" s="93">
        <f>VLOOKUP(B3203,'[16]01.수집 카테고리(List)'!$A$2:$H$64,8,FALSE)</f>
        <v>99991231</v>
      </c>
      <c r="O3203" s="93" t="s">
        <v>646</v>
      </c>
    </row>
    <row r="3204" spans="1:15" hidden="1">
      <c r="A3204" s="75" t="str">
        <f t="shared" si="120"/>
        <v>UKCURRYSSOUNDBARSound barSound bar</v>
      </c>
      <c r="B3204" s="94" t="str">
        <f t="shared" si="121"/>
        <v>UK_CURRYS</v>
      </c>
      <c r="C3204" s="93" t="s">
        <v>27</v>
      </c>
      <c r="D3204" s="93" t="s">
        <v>615</v>
      </c>
      <c r="E3204" s="93" t="s">
        <v>165</v>
      </c>
      <c r="F3204" s="93" t="s">
        <v>2365</v>
      </c>
      <c r="G3204" s="93" t="s">
        <v>2365</v>
      </c>
      <c r="H3204" s="93" t="e">
        <v>#N/A</v>
      </c>
      <c r="I3204" s="105" t="s">
        <v>2310</v>
      </c>
      <c r="J3204" s="93" t="s">
        <v>189</v>
      </c>
      <c r="K3204" s="93">
        <v>1508</v>
      </c>
      <c r="L3204" s="93">
        <v>1508</v>
      </c>
      <c r="M3204" s="93" t="s">
        <v>2311</v>
      </c>
      <c r="N3204" s="93">
        <f>VLOOKUP(B3204,'[16]01.수집 카테고리(List)'!$A$2:$H$64,8,FALSE)</f>
        <v>99991231</v>
      </c>
      <c r="O3204" s="93" t="s">
        <v>646</v>
      </c>
    </row>
    <row r="3205" spans="1:15" hidden="1">
      <c r="A3205" s="75" t="str">
        <f t="shared" si="120"/>
        <v>UKCURRYSSOUNDBARSound bars for tvSound bars for tv</v>
      </c>
      <c r="B3205" s="94" t="str">
        <f t="shared" si="121"/>
        <v>UK_CURRYS</v>
      </c>
      <c r="C3205" s="93" t="s">
        <v>27</v>
      </c>
      <c r="D3205" s="93" t="s">
        <v>615</v>
      </c>
      <c r="E3205" s="93" t="s">
        <v>165</v>
      </c>
      <c r="F3205" s="93" t="s">
        <v>2430</v>
      </c>
      <c r="G3205" s="93" t="s">
        <v>2430</v>
      </c>
      <c r="H3205" s="93" t="e">
        <v>#N/A</v>
      </c>
      <c r="I3205" s="105" t="s">
        <v>2310</v>
      </c>
      <c r="J3205" s="93" t="s">
        <v>189</v>
      </c>
      <c r="K3205" s="93">
        <v>6</v>
      </c>
      <c r="L3205" s="93">
        <v>6</v>
      </c>
      <c r="M3205" s="93" t="s">
        <v>2311</v>
      </c>
      <c r="N3205" s="93">
        <f>VLOOKUP(B3205,'[16]01.수집 카테고리(List)'!$A$2:$H$64,8,FALSE)</f>
        <v>99991231</v>
      </c>
      <c r="O3205" s="93" t="s">
        <v>646</v>
      </c>
    </row>
    <row r="3206" spans="1:15" hidden="1">
      <c r="A3206" s="75" t="str">
        <f t="shared" si="120"/>
        <v>UKCURRYSSOUNDBARSoundbarSoundbar</v>
      </c>
      <c r="B3206" s="94" t="str">
        <f t="shared" si="121"/>
        <v>UK_CURRYS</v>
      </c>
      <c r="C3206" s="93" t="s">
        <v>27</v>
      </c>
      <c r="D3206" s="93" t="s">
        <v>615</v>
      </c>
      <c r="E3206" s="93" t="s">
        <v>165</v>
      </c>
      <c r="F3206" s="93" t="s">
        <v>2363</v>
      </c>
      <c r="G3206" s="93" t="s">
        <v>2363</v>
      </c>
      <c r="H3206" s="93" t="e">
        <v>#N/A</v>
      </c>
      <c r="I3206" s="105" t="s">
        <v>2310</v>
      </c>
      <c r="J3206" s="93" t="s">
        <v>189</v>
      </c>
      <c r="K3206" s="93">
        <v>1502</v>
      </c>
      <c r="L3206" s="93">
        <v>1502</v>
      </c>
      <c r="M3206" s="93" t="s">
        <v>2311</v>
      </c>
      <c r="N3206" s="93">
        <f>VLOOKUP(B3206,'[16]01.수집 카테고리(List)'!$A$2:$H$64,8,FALSE)</f>
        <v>99991231</v>
      </c>
      <c r="O3206" s="93" t="s">
        <v>646</v>
      </c>
    </row>
    <row r="3207" spans="1:15" hidden="1">
      <c r="A3207" s="75" t="str">
        <f t="shared" si="120"/>
        <v>UKCURRYSSoundbarsoundbar with subwoofersoundbar with subwoofer</v>
      </c>
      <c r="B3207" s="94" t="str">
        <f t="shared" si="121"/>
        <v>UK_CURRYS</v>
      </c>
      <c r="C3207" s="93" t="s">
        <v>27</v>
      </c>
      <c r="D3207" s="93" t="s">
        <v>615</v>
      </c>
      <c r="E3207" s="93" t="s">
        <v>2363</v>
      </c>
      <c r="F3207" s="93" t="s">
        <v>3656</v>
      </c>
      <c r="G3207" s="93" t="s">
        <v>3656</v>
      </c>
      <c r="H3207" s="93" t="e">
        <v>#N/A</v>
      </c>
      <c r="I3207" s="105" t="s">
        <v>2310</v>
      </c>
      <c r="J3207" s="93" t="s">
        <v>189</v>
      </c>
      <c r="K3207" s="93">
        <v>1387</v>
      </c>
      <c r="L3207" s="93">
        <v>1387</v>
      </c>
      <c r="M3207" s="93" t="s">
        <v>2311</v>
      </c>
      <c r="N3207" s="93">
        <f>VLOOKUP(B3207,'[16]01.수집 카테고리(List)'!$A$2:$H$64,8,FALSE)</f>
        <v>99991231</v>
      </c>
      <c r="O3207" s="93" t="s">
        <v>646</v>
      </c>
    </row>
    <row r="3208" spans="1:15" hidden="1">
      <c r="A3208" s="75" t="str">
        <f t="shared" si="120"/>
        <v>UKCURRYSSOUNDBARtv sound bartv sound bar</v>
      </c>
      <c r="B3208" s="94" t="str">
        <f t="shared" si="121"/>
        <v>UK_CURRYS</v>
      </c>
      <c r="C3208" s="93" t="s">
        <v>27</v>
      </c>
      <c r="D3208" s="93" t="s">
        <v>615</v>
      </c>
      <c r="E3208" s="93" t="s">
        <v>165</v>
      </c>
      <c r="F3208" s="93" t="s">
        <v>2833</v>
      </c>
      <c r="G3208" s="93" t="s">
        <v>2833</v>
      </c>
      <c r="H3208" s="93" t="e">
        <v>#N/A</v>
      </c>
      <c r="I3208" s="105" t="s">
        <v>2310</v>
      </c>
      <c r="J3208" s="93" t="s">
        <v>189</v>
      </c>
      <c r="K3208" s="93">
        <v>6</v>
      </c>
      <c r="L3208" s="93">
        <v>6</v>
      </c>
      <c r="M3208" s="93" t="s">
        <v>2311</v>
      </c>
      <c r="N3208" s="93">
        <f>VLOOKUP(B3208,'[16]01.수집 카테고리(List)'!$A$2:$H$64,8,FALSE)</f>
        <v>99991231</v>
      </c>
      <c r="O3208" s="93" t="s">
        <v>646</v>
      </c>
    </row>
    <row r="3209" spans="1:15" hidden="1">
      <c r="A3209" s="75" t="str">
        <f t="shared" si="120"/>
        <v>UKCURRYSTV4k TV4k TV</v>
      </c>
      <c r="B3209" s="94" t="str">
        <f t="shared" si="121"/>
        <v>UK_CURRYS</v>
      </c>
      <c r="C3209" s="93" t="s">
        <v>27</v>
      </c>
      <c r="D3209" s="93" t="s">
        <v>615</v>
      </c>
      <c r="E3209" s="93" t="s">
        <v>161</v>
      </c>
      <c r="F3209" s="93" t="s">
        <v>2368</v>
      </c>
      <c r="G3209" s="93" t="s">
        <v>2368</v>
      </c>
      <c r="H3209" s="93" t="e">
        <v>#N/A</v>
      </c>
      <c r="I3209" s="105" t="s">
        <v>2310</v>
      </c>
      <c r="J3209" s="93" t="s">
        <v>189</v>
      </c>
      <c r="K3209" s="93">
        <v>843</v>
      </c>
      <c r="L3209" s="93">
        <v>843</v>
      </c>
      <c r="M3209" s="93" t="s">
        <v>2311</v>
      </c>
      <c r="N3209" s="93">
        <f>VLOOKUP(B3209,'[16]01.수집 카테고리(List)'!$A$2:$H$64,8,FALSE)</f>
        <v>99991231</v>
      </c>
      <c r="O3209" s="93" t="s">
        <v>646</v>
      </c>
    </row>
    <row r="3210" spans="1:15" hidden="1">
      <c r="A3210" s="75" t="str">
        <f t="shared" ref="A3210:A3261" si="122">C3210&amp;D3210&amp;E3210&amp;F3210&amp;G3210</f>
        <v>UKCURRYSTVoled TVoled TV</v>
      </c>
      <c r="B3210" s="94" t="str">
        <f t="shared" ref="B3210:B3261" si="123">C3210&amp;"_"&amp;D3210</f>
        <v>UK_CURRYS</v>
      </c>
      <c r="C3210" s="93" t="s">
        <v>27</v>
      </c>
      <c r="D3210" s="93" t="s">
        <v>615</v>
      </c>
      <c r="E3210" s="93" t="s">
        <v>161</v>
      </c>
      <c r="F3210" s="93" t="s">
        <v>2369</v>
      </c>
      <c r="G3210" s="93" t="s">
        <v>2369</v>
      </c>
      <c r="H3210" s="93" t="e">
        <v>#N/A</v>
      </c>
      <c r="I3210" s="105" t="s">
        <v>2310</v>
      </c>
      <c r="J3210" s="93" t="s">
        <v>189</v>
      </c>
      <c r="K3210" s="93">
        <v>522</v>
      </c>
      <c r="L3210" s="93">
        <v>522</v>
      </c>
      <c r="M3210" s="93" t="s">
        <v>2311</v>
      </c>
      <c r="N3210" s="93">
        <f>VLOOKUP(B3210,'[16]01.수집 카테고리(List)'!$A$2:$H$64,8,FALSE)</f>
        <v>99991231</v>
      </c>
      <c r="O3210" s="93" t="s">
        <v>646</v>
      </c>
    </row>
    <row r="3211" spans="1:15" hidden="1">
      <c r="A3211" s="75" t="str">
        <f t="shared" si="122"/>
        <v>UKCURRYSTVsmart TVsmart TV</v>
      </c>
      <c r="B3211" s="94" t="str">
        <f t="shared" si="123"/>
        <v>UK_CURRYS</v>
      </c>
      <c r="C3211" s="93" t="s">
        <v>27</v>
      </c>
      <c r="D3211" s="93" t="s">
        <v>615</v>
      </c>
      <c r="E3211" s="93" t="s">
        <v>161</v>
      </c>
      <c r="F3211" s="93" t="s">
        <v>2371</v>
      </c>
      <c r="G3211" s="93" t="s">
        <v>2371</v>
      </c>
      <c r="H3211" s="93" t="e">
        <v>#N/A</v>
      </c>
      <c r="I3211" s="105" t="s">
        <v>2310</v>
      </c>
      <c r="J3211" s="93" t="s">
        <v>189</v>
      </c>
      <c r="K3211" s="93">
        <v>1329</v>
      </c>
      <c r="L3211" s="93">
        <v>1329</v>
      </c>
      <c r="M3211" s="93" t="s">
        <v>2311</v>
      </c>
      <c r="N3211" s="93">
        <f>VLOOKUP(B3211,'[16]01.수집 카테고리(List)'!$A$2:$H$64,8,FALSE)</f>
        <v>99991231</v>
      </c>
      <c r="O3211" s="93" t="s">
        <v>646</v>
      </c>
    </row>
    <row r="3212" spans="1:15" hidden="1">
      <c r="A3212" s="75" t="str">
        <f t="shared" si="122"/>
        <v>UKCURRYSTVTVTV</v>
      </c>
      <c r="B3212" s="94" t="str">
        <f t="shared" si="123"/>
        <v>UK_CURRYS</v>
      </c>
      <c r="C3212" s="93" t="s">
        <v>27</v>
      </c>
      <c r="D3212" s="93" t="s">
        <v>615</v>
      </c>
      <c r="E3212" s="93" t="s">
        <v>161</v>
      </c>
      <c r="F3212" s="93" t="s">
        <v>161</v>
      </c>
      <c r="G3212" s="93" t="s">
        <v>161</v>
      </c>
      <c r="H3212" s="93" t="e">
        <v>#N/A</v>
      </c>
      <c r="I3212" s="105" t="s">
        <v>2310</v>
      </c>
      <c r="J3212" s="93" t="s">
        <v>189</v>
      </c>
      <c r="K3212" s="93">
        <v>1340</v>
      </c>
      <c r="L3212" s="93">
        <v>1340</v>
      </c>
      <c r="M3212" s="93" t="s">
        <v>2311</v>
      </c>
      <c r="N3212" s="93">
        <f>VLOOKUP(B3212,'[16]01.수집 카테고리(List)'!$A$2:$H$64,8,FALSE)</f>
        <v>99991231</v>
      </c>
      <c r="O3212" s="93" t="s">
        <v>646</v>
      </c>
    </row>
    <row r="3213" spans="1:15" hidden="1">
      <c r="A3213" s="75" t="str">
        <f t="shared" si="122"/>
        <v>UKCURRYSTVuhd TVuhd TV</v>
      </c>
      <c r="B3213" s="94" t="str">
        <f t="shared" si="123"/>
        <v>UK_CURRYS</v>
      </c>
      <c r="C3213" s="93" t="s">
        <v>27</v>
      </c>
      <c r="D3213" s="93" t="s">
        <v>615</v>
      </c>
      <c r="E3213" s="93" t="s">
        <v>161</v>
      </c>
      <c r="F3213" s="93" t="s">
        <v>2399</v>
      </c>
      <c r="G3213" s="93" t="s">
        <v>2399</v>
      </c>
      <c r="H3213" s="93" t="e">
        <v>#N/A</v>
      </c>
      <c r="I3213" s="105" t="s">
        <v>2310</v>
      </c>
      <c r="J3213" s="93" t="s">
        <v>189</v>
      </c>
      <c r="K3213" s="93">
        <v>823</v>
      </c>
      <c r="L3213" s="93">
        <v>823</v>
      </c>
      <c r="M3213" s="93" t="s">
        <v>2311</v>
      </c>
      <c r="N3213" s="93">
        <f>VLOOKUP(B3213,'[16]01.수집 카테고리(List)'!$A$2:$H$64,8,FALSE)</f>
        <v>99991231</v>
      </c>
      <c r="O3213" s="93" t="s">
        <v>646</v>
      </c>
    </row>
    <row r="3214" spans="1:15" hidden="1">
      <c r="A3214" s="75" t="str">
        <f t="shared" si="122"/>
        <v>UKCURRYSWashing Machinewasher dryerWasher Dryer</v>
      </c>
      <c r="B3214" s="94" t="str">
        <f t="shared" si="123"/>
        <v>UK_CURRYS</v>
      </c>
      <c r="C3214" s="93" t="s">
        <v>27</v>
      </c>
      <c r="D3214" s="93" t="s">
        <v>615</v>
      </c>
      <c r="E3214" s="93" t="s">
        <v>2333</v>
      </c>
      <c r="F3214" s="93" t="s">
        <v>2339</v>
      </c>
      <c r="G3214" s="93" t="s">
        <v>3657</v>
      </c>
      <c r="H3214" s="93" t="e">
        <v>#N/A</v>
      </c>
      <c r="I3214" s="105" t="s">
        <v>2310</v>
      </c>
      <c r="J3214" s="93" t="s">
        <v>189</v>
      </c>
      <c r="K3214" s="93">
        <v>245</v>
      </c>
      <c r="L3214" s="93">
        <v>245</v>
      </c>
      <c r="M3214" s="93" t="s">
        <v>2311</v>
      </c>
      <c r="N3214" s="93">
        <f>VLOOKUP(B3214,'[16]01.수집 카테고리(List)'!$A$2:$H$64,8,FALSE)</f>
        <v>99991231</v>
      </c>
      <c r="O3214" s="93" t="s">
        <v>646</v>
      </c>
    </row>
    <row r="3215" spans="1:15" hidden="1">
      <c r="A3215" s="75" t="str">
        <f t="shared" si="122"/>
        <v>UKCURRYSWashing Machinewashing machinewashing machine</v>
      </c>
      <c r="B3215" s="94" t="str">
        <f t="shared" si="123"/>
        <v>UK_CURRYS</v>
      </c>
      <c r="C3215" s="93" t="s">
        <v>27</v>
      </c>
      <c r="D3215" s="93" t="s">
        <v>615</v>
      </c>
      <c r="E3215" s="93" t="s">
        <v>2333</v>
      </c>
      <c r="F3215" s="93" t="s">
        <v>2340</v>
      </c>
      <c r="G3215" s="93" t="s">
        <v>2445</v>
      </c>
      <c r="H3215" s="93" t="e">
        <v>#N/A</v>
      </c>
      <c r="I3215" s="105" t="s">
        <v>2310</v>
      </c>
      <c r="J3215" s="93" t="s">
        <v>189</v>
      </c>
      <c r="K3215" s="93" t="e">
        <v>#N/A</v>
      </c>
      <c r="L3215" s="93">
        <v>771</v>
      </c>
      <c r="M3215" s="93" t="s">
        <v>2351</v>
      </c>
      <c r="N3215" s="93">
        <f>VLOOKUP(B3215,'[16]01.수집 카테고리(List)'!$A$2:$H$64,8,FALSE)</f>
        <v>99991231</v>
      </c>
      <c r="O3215" s="93" t="s">
        <v>646</v>
      </c>
    </row>
    <row r="3216" spans="1:15" hidden="1">
      <c r="A3216" s="75" t="str">
        <f t="shared" si="122"/>
        <v>UKCURRYSWireless Headsetbluetooth earbudsbluetooth earbuds</v>
      </c>
      <c r="B3216" s="94" t="str">
        <f t="shared" si="123"/>
        <v>UK_CURRYS</v>
      </c>
      <c r="C3216" s="93" t="s">
        <v>27</v>
      </c>
      <c r="D3216" s="93" t="s">
        <v>615</v>
      </c>
      <c r="E3216" s="93" t="s">
        <v>2373</v>
      </c>
      <c r="F3216" s="93" t="s">
        <v>2909</v>
      </c>
      <c r="G3216" s="93" t="s">
        <v>3660</v>
      </c>
      <c r="H3216" s="93" t="e">
        <v>#N/A</v>
      </c>
      <c r="I3216" s="105" t="s">
        <v>2310</v>
      </c>
      <c r="J3216" s="93" t="s">
        <v>189</v>
      </c>
      <c r="K3216" s="93">
        <v>192</v>
      </c>
      <c r="L3216" s="93">
        <v>192</v>
      </c>
      <c r="M3216" s="93" t="s">
        <v>2311</v>
      </c>
      <c r="N3216" s="93">
        <f>VLOOKUP(B3216,'[16]01.수집 카테고리(List)'!$A$2:$H$64,8,FALSE)</f>
        <v>99991231</v>
      </c>
      <c r="O3216" s="93" t="s">
        <v>646</v>
      </c>
    </row>
    <row r="3217" spans="1:15" hidden="1">
      <c r="A3217" s="75" t="str">
        <f t="shared" si="122"/>
        <v>UKCURRYSWireless HeadsetEarbudsEarbuds</v>
      </c>
      <c r="B3217" s="94" t="str">
        <f t="shared" si="123"/>
        <v>UK_CURRYS</v>
      </c>
      <c r="C3217" s="93" t="s">
        <v>27</v>
      </c>
      <c r="D3217" s="93" t="s">
        <v>615</v>
      </c>
      <c r="E3217" s="93" t="s">
        <v>2373</v>
      </c>
      <c r="F3217" s="93" t="s">
        <v>2534</v>
      </c>
      <c r="G3217" s="93" t="s">
        <v>2534</v>
      </c>
      <c r="H3217" s="93" t="e">
        <v>#N/A</v>
      </c>
      <c r="I3217" s="105" t="s">
        <v>2310</v>
      </c>
      <c r="J3217" s="93" t="s">
        <v>189</v>
      </c>
      <c r="K3217" s="93">
        <v>189</v>
      </c>
      <c r="L3217" s="93">
        <v>189</v>
      </c>
      <c r="M3217" s="93" t="s">
        <v>2311</v>
      </c>
      <c r="N3217" s="93">
        <f>VLOOKUP(B3217,'[16]01.수집 카테고리(List)'!$A$2:$H$64,8,FALSE)</f>
        <v>99991231</v>
      </c>
      <c r="O3217" s="93" t="s">
        <v>646</v>
      </c>
    </row>
    <row r="3218" spans="1:15" hidden="1">
      <c r="A3218" s="75" t="str">
        <f t="shared" si="122"/>
        <v>UKCURRYSWireless HeadsetIn ear headphones In ear headphones</v>
      </c>
      <c r="B3218" s="94" t="str">
        <f t="shared" si="123"/>
        <v>UK_CURRYS</v>
      </c>
      <c r="C3218" s="93" t="s">
        <v>27</v>
      </c>
      <c r="D3218" s="93" t="s">
        <v>615</v>
      </c>
      <c r="E3218" s="93" t="s">
        <v>2373</v>
      </c>
      <c r="F3218" s="93" t="s">
        <v>3658</v>
      </c>
      <c r="G3218" s="93" t="s">
        <v>2690</v>
      </c>
      <c r="H3218" s="93" t="e">
        <v>#N/A</v>
      </c>
      <c r="I3218" s="105" t="s">
        <v>2310</v>
      </c>
      <c r="J3218" s="93" t="s">
        <v>189</v>
      </c>
      <c r="K3218" s="93">
        <v>190</v>
      </c>
      <c r="L3218" s="93" t="e">
        <v>#N/A</v>
      </c>
      <c r="M3218" s="93" t="s">
        <v>2311</v>
      </c>
      <c r="N3218" s="93">
        <f>VLOOKUP(B3218,'[16]01.수집 카테고리(List)'!$A$2:$H$64,8,FALSE)</f>
        <v>99991231</v>
      </c>
      <c r="O3218" s="93" t="s">
        <v>646</v>
      </c>
    </row>
    <row r="3219" spans="1:15" hidden="1">
      <c r="A3219" s="75" t="str">
        <f t="shared" si="122"/>
        <v>UKCURRYSWireless HeadsetTrue wireless earbudsTrue wireless earbuds</v>
      </c>
      <c r="B3219" s="94" t="str">
        <f t="shared" si="123"/>
        <v>UK_CURRYS</v>
      </c>
      <c r="C3219" s="93" t="s">
        <v>27</v>
      </c>
      <c r="D3219" s="93" t="s">
        <v>615</v>
      </c>
      <c r="E3219" s="93" t="s">
        <v>2373</v>
      </c>
      <c r="F3219" s="93" t="s">
        <v>2374</v>
      </c>
      <c r="G3219" s="93" t="s">
        <v>2374</v>
      </c>
      <c r="H3219" s="93" t="e">
        <v>#N/A</v>
      </c>
      <c r="I3219" s="105" t="s">
        <v>2310</v>
      </c>
      <c r="J3219" s="93" t="s">
        <v>189</v>
      </c>
      <c r="K3219" s="93">
        <v>195</v>
      </c>
      <c r="L3219" s="93">
        <v>195</v>
      </c>
      <c r="M3219" s="93" t="s">
        <v>2311</v>
      </c>
      <c r="N3219" s="93">
        <f>VLOOKUP(B3219,'[16]01.수집 카테고리(List)'!$A$2:$H$64,8,FALSE)</f>
        <v>99991231</v>
      </c>
      <c r="O3219" s="93" t="s">
        <v>646</v>
      </c>
    </row>
    <row r="3220" spans="1:15" hidden="1">
      <c r="A3220" s="75" t="str">
        <f t="shared" si="122"/>
        <v>UKCURRYSWireless HeadsetWireless EarbudsWireless Earbuds</v>
      </c>
      <c r="B3220" s="94" t="str">
        <f t="shared" si="123"/>
        <v>UK_CURRYS</v>
      </c>
      <c r="C3220" s="93" t="s">
        <v>27</v>
      </c>
      <c r="D3220" s="93" t="s">
        <v>615</v>
      </c>
      <c r="E3220" s="93" t="s">
        <v>2373</v>
      </c>
      <c r="F3220" s="93" t="s">
        <v>2760</v>
      </c>
      <c r="G3220" s="93" t="s">
        <v>2760</v>
      </c>
      <c r="H3220" s="93" t="e">
        <v>#N/A</v>
      </c>
      <c r="I3220" s="105" t="s">
        <v>2310</v>
      </c>
      <c r="J3220" s="93" t="s">
        <v>189</v>
      </c>
      <c r="K3220" s="93">
        <v>193</v>
      </c>
      <c r="L3220" s="93">
        <v>193</v>
      </c>
      <c r="M3220" s="93" t="s">
        <v>2311</v>
      </c>
      <c r="N3220" s="93">
        <f>VLOOKUP(B3220,'[16]01.수집 카테고리(List)'!$A$2:$H$64,8,FALSE)</f>
        <v>99991231</v>
      </c>
      <c r="O3220" s="93" t="s">
        <v>646</v>
      </c>
    </row>
    <row r="3221" spans="1:15" s="108" customFormat="1" hidden="1">
      <c r="A3221" s="108" t="str">
        <f t="shared" si="122"/>
        <v>UKCURRYSAir Conditionerair conditionerair conditioner</v>
      </c>
      <c r="B3221" s="109" t="str">
        <f t="shared" si="123"/>
        <v>UK_CURRYS</v>
      </c>
      <c r="C3221" s="110" t="s">
        <v>27</v>
      </c>
      <c r="D3221" s="110" t="s">
        <v>615</v>
      </c>
      <c r="E3221" s="110" t="s">
        <v>2524</v>
      </c>
      <c r="F3221" s="110" t="s">
        <v>2347</v>
      </c>
      <c r="G3221" s="110" t="s">
        <v>2347</v>
      </c>
      <c r="H3221" s="93" t="e">
        <v>#N/A</v>
      </c>
      <c r="I3221" s="99">
        <v>46076</v>
      </c>
      <c r="J3221" s="83" t="s">
        <v>189</v>
      </c>
      <c r="K3221" s="110"/>
      <c r="L3221" s="110"/>
      <c r="M3221" s="110"/>
      <c r="N3221" s="110"/>
      <c r="O3221" s="110"/>
    </row>
    <row r="3222" spans="1:15" s="108" customFormat="1" hidden="1">
      <c r="A3222" s="108" t="str">
        <f t="shared" si="122"/>
        <v>UKCURRYSAir Conditionersplit air conditionersplit air conditioner</v>
      </c>
      <c r="B3222" s="109" t="str">
        <f t="shared" si="123"/>
        <v>UK_CURRYS</v>
      </c>
      <c r="C3222" s="110" t="s">
        <v>27</v>
      </c>
      <c r="D3222" s="110" t="s">
        <v>615</v>
      </c>
      <c r="E3222" s="110" t="s">
        <v>2524</v>
      </c>
      <c r="F3222" s="110" t="s">
        <v>2422</v>
      </c>
      <c r="G3222" s="110" t="s">
        <v>2422</v>
      </c>
      <c r="H3222" s="93" t="e">
        <v>#N/A</v>
      </c>
      <c r="I3222" s="99">
        <v>46076</v>
      </c>
      <c r="J3222" s="83" t="s">
        <v>189</v>
      </c>
      <c r="K3222" s="110"/>
      <c r="L3222" s="110"/>
      <c r="M3222" s="110"/>
      <c r="N3222" s="110"/>
      <c r="O3222" s="110"/>
    </row>
    <row r="3223" spans="1:15" s="108" customFormat="1" hidden="1">
      <c r="A3223" s="108" t="str">
        <f t="shared" si="122"/>
        <v>UKCURRYSAir Conditionersplit inverter air conditionersplit inverter air conditioner</v>
      </c>
      <c r="B3223" s="109" t="str">
        <f t="shared" si="123"/>
        <v>UK_CURRYS</v>
      </c>
      <c r="C3223" s="110" t="s">
        <v>27</v>
      </c>
      <c r="D3223" s="110" t="s">
        <v>615</v>
      </c>
      <c r="E3223" s="110" t="s">
        <v>2524</v>
      </c>
      <c r="F3223" s="110" t="s">
        <v>2423</v>
      </c>
      <c r="G3223" s="110" t="s">
        <v>2423</v>
      </c>
      <c r="H3223" s="93" t="e">
        <v>#N/A</v>
      </c>
      <c r="I3223" s="99">
        <v>46076</v>
      </c>
      <c r="J3223" s="83" t="s">
        <v>189</v>
      </c>
      <c r="K3223" s="110"/>
      <c r="L3223" s="110"/>
      <c r="M3223" s="110"/>
      <c r="N3223" s="110"/>
      <c r="O3223" s="110"/>
    </row>
    <row r="3224" spans="1:15" s="108" customFormat="1" hidden="1">
      <c r="A3224" s="108" t="str">
        <f t="shared" si="122"/>
        <v>UKCURRYSAir Conditionerwindow air conditionerwindow air conditioner</v>
      </c>
      <c r="B3224" s="109" t="str">
        <f t="shared" si="123"/>
        <v>UK_CURRYS</v>
      </c>
      <c r="C3224" s="110" t="s">
        <v>27</v>
      </c>
      <c r="D3224" s="110" t="s">
        <v>615</v>
      </c>
      <c r="E3224" s="110" t="s">
        <v>2524</v>
      </c>
      <c r="F3224" s="110" t="s">
        <v>2350</v>
      </c>
      <c r="G3224" s="110" t="s">
        <v>2350</v>
      </c>
      <c r="H3224" s="93" t="e">
        <v>#N/A</v>
      </c>
      <c r="I3224" s="99">
        <v>46076</v>
      </c>
      <c r="J3224" s="83" t="s">
        <v>189</v>
      </c>
      <c r="K3224" s="110"/>
      <c r="L3224" s="110"/>
      <c r="M3224" s="110"/>
      <c r="N3224" s="110"/>
      <c r="O3224" s="110"/>
    </row>
    <row r="3225" spans="1:15" s="108" customFormat="1" hidden="1">
      <c r="A3225" s="108" t="str">
        <f t="shared" si="122"/>
        <v>UKCURRYSAir Conditionerwindow inverter air conditionerwindow inverter air conditioner</v>
      </c>
      <c r="B3225" s="109" t="str">
        <f t="shared" si="123"/>
        <v>UK_CURRYS</v>
      </c>
      <c r="C3225" s="110" t="s">
        <v>27</v>
      </c>
      <c r="D3225" s="110" t="s">
        <v>615</v>
      </c>
      <c r="E3225" s="110" t="s">
        <v>2524</v>
      </c>
      <c r="F3225" s="110" t="s">
        <v>2424</v>
      </c>
      <c r="G3225" s="110" t="s">
        <v>2424</v>
      </c>
      <c r="H3225" s="93" t="e">
        <v>#N/A</v>
      </c>
      <c r="I3225" s="99">
        <v>46076</v>
      </c>
      <c r="J3225" s="83" t="s">
        <v>189</v>
      </c>
      <c r="K3225" s="110"/>
      <c r="L3225" s="110"/>
      <c r="M3225" s="110"/>
      <c r="N3225" s="110"/>
      <c r="O3225" s="110"/>
    </row>
    <row r="3226" spans="1:15" s="108" customFormat="1" hidden="1">
      <c r="A3226" s="108" t="str">
        <f t="shared" si="122"/>
        <v>UKCURRYSDryerDryerDryer</v>
      </c>
      <c r="B3226" s="109" t="str">
        <f t="shared" si="123"/>
        <v>UK_CURRYS</v>
      </c>
      <c r="C3226" s="110" t="s">
        <v>27</v>
      </c>
      <c r="D3226" s="110" t="s">
        <v>615</v>
      </c>
      <c r="E3226" s="110" t="s">
        <v>2535</v>
      </c>
      <c r="F3226" s="110" t="s">
        <v>2431</v>
      </c>
      <c r="G3226" s="110" t="s">
        <v>2431</v>
      </c>
      <c r="H3226" s="93" t="e">
        <v>#N/A</v>
      </c>
      <c r="I3226" s="99">
        <v>46076</v>
      </c>
      <c r="J3226" s="83" t="s">
        <v>189</v>
      </c>
      <c r="K3226" s="110"/>
      <c r="L3226" s="110"/>
      <c r="M3226" s="110"/>
      <c r="N3226" s="110"/>
      <c r="O3226" s="110"/>
    </row>
    <row r="3227" spans="1:15" s="108" customFormat="1" hidden="1">
      <c r="A3227" s="108" t="str">
        <f t="shared" si="122"/>
        <v>UKCURRYSDryerheatpump  heatpump</v>
      </c>
      <c r="B3227" s="109" t="str">
        <f t="shared" si="123"/>
        <v>UK_CURRYS</v>
      </c>
      <c r="C3227" s="110" t="s">
        <v>27</v>
      </c>
      <c r="D3227" s="110" t="s">
        <v>615</v>
      </c>
      <c r="E3227" s="110" t="s">
        <v>2535</v>
      </c>
      <c r="F3227" s="110" t="s">
        <v>2432</v>
      </c>
      <c r="G3227" s="110" t="s">
        <v>2433</v>
      </c>
      <c r="H3227" s="93" t="e">
        <v>#N/A</v>
      </c>
      <c r="I3227" s="99">
        <v>46076</v>
      </c>
      <c r="J3227" s="83" t="s">
        <v>189</v>
      </c>
      <c r="K3227" s="110"/>
      <c r="L3227" s="110"/>
      <c r="M3227" s="110"/>
      <c r="N3227" s="110"/>
      <c r="O3227" s="110"/>
    </row>
    <row r="3228" spans="1:15" s="108" customFormat="1" hidden="1">
      <c r="A3228" s="108" t="str">
        <f t="shared" si="122"/>
        <v>UKCURRYSDryerLG DryerLG Dryer</v>
      </c>
      <c r="B3228" s="109" t="str">
        <f t="shared" si="123"/>
        <v>UK_CURRYS</v>
      </c>
      <c r="C3228" s="110" t="s">
        <v>27</v>
      </c>
      <c r="D3228" s="110" t="s">
        <v>615</v>
      </c>
      <c r="E3228" s="110" t="s">
        <v>2535</v>
      </c>
      <c r="F3228" s="110" t="s">
        <v>2434</v>
      </c>
      <c r="G3228" s="110" t="s">
        <v>2434</v>
      </c>
      <c r="H3228" s="93" t="e">
        <v>#N/A</v>
      </c>
      <c r="I3228" s="99">
        <v>46076</v>
      </c>
      <c r="J3228" s="83" t="s">
        <v>189</v>
      </c>
      <c r="K3228" s="110"/>
      <c r="L3228" s="110"/>
      <c r="M3228" s="110"/>
      <c r="N3228" s="110"/>
      <c r="O3228" s="110"/>
    </row>
    <row r="3229" spans="1:15" hidden="1">
      <c r="A3229" s="75" t="str">
        <f t="shared" si="122"/>
        <v>UKSS.comAir Conditionerair conditionerair conditioner</v>
      </c>
      <c r="B3229" s="94" t="str">
        <f t="shared" si="123"/>
        <v>UK_SS.com</v>
      </c>
      <c r="C3229" s="93" t="s">
        <v>27</v>
      </c>
      <c r="D3229" s="93" t="s">
        <v>2443</v>
      </c>
      <c r="E3229" s="93" t="s">
        <v>2346</v>
      </c>
      <c r="F3229" s="93" t="s">
        <v>2347</v>
      </c>
      <c r="G3229" s="93" t="s">
        <v>2607</v>
      </c>
      <c r="H3229" s="93" t="e">
        <v>#N/A</v>
      </c>
      <c r="I3229" s="105" t="s">
        <v>2310</v>
      </c>
      <c r="J3229" s="93" t="s">
        <v>189</v>
      </c>
      <c r="K3229" s="93">
        <v>2</v>
      </c>
      <c r="L3229" s="93">
        <v>2</v>
      </c>
      <c r="M3229" s="93" t="s">
        <v>2311</v>
      </c>
      <c r="N3229" s="93">
        <f>VLOOKUP(B3229,'[16]01.수집 카테고리(List)'!$A$2:$H$64,8,FALSE)</f>
        <v>99991231</v>
      </c>
      <c r="O3229" s="93" t="s">
        <v>646</v>
      </c>
    </row>
    <row r="3230" spans="1:15" hidden="1">
      <c r="A3230" s="75" t="str">
        <f t="shared" si="122"/>
        <v>UKSS.comMonitorgaming monitorgaming monitor</v>
      </c>
      <c r="B3230" s="94" t="str">
        <f t="shared" si="123"/>
        <v>UK_SS.com</v>
      </c>
      <c r="C3230" s="93" t="s">
        <v>27</v>
      </c>
      <c r="D3230" s="93" t="s">
        <v>184</v>
      </c>
      <c r="E3230" s="93" t="s">
        <v>2320</v>
      </c>
      <c r="F3230" s="93" t="s">
        <v>2322</v>
      </c>
      <c r="G3230" s="93" t="s">
        <v>2322</v>
      </c>
      <c r="H3230" s="93" t="e">
        <v>#N/A</v>
      </c>
      <c r="I3230" s="105" t="s">
        <v>2310</v>
      </c>
      <c r="J3230" s="93" t="s">
        <v>189</v>
      </c>
      <c r="K3230" s="93">
        <v>38</v>
      </c>
      <c r="L3230" s="93">
        <v>38</v>
      </c>
      <c r="M3230" s="93" t="s">
        <v>2311</v>
      </c>
      <c r="N3230" s="93">
        <f>VLOOKUP(B3230,'[16]01.수집 카테고리(List)'!$A$2:$H$64,8,FALSE)</f>
        <v>99991231</v>
      </c>
      <c r="O3230" s="93" t="s">
        <v>646</v>
      </c>
    </row>
    <row r="3231" spans="1:15" hidden="1">
      <c r="A3231" s="75" t="str">
        <f t="shared" si="122"/>
        <v>UKSS.comMonitormonitormonitor</v>
      </c>
      <c r="B3231" s="94" t="str">
        <f t="shared" si="123"/>
        <v>UK_SS.com</v>
      </c>
      <c r="C3231" s="93" t="s">
        <v>27</v>
      </c>
      <c r="D3231" s="93" t="s">
        <v>184</v>
      </c>
      <c r="E3231" s="93" t="s">
        <v>2320</v>
      </c>
      <c r="F3231" s="93" t="s">
        <v>2323</v>
      </c>
      <c r="G3231" s="93" t="s">
        <v>2323</v>
      </c>
      <c r="H3231" s="93" t="e">
        <v>#N/A</v>
      </c>
      <c r="I3231" s="105" t="s">
        <v>2310</v>
      </c>
      <c r="J3231" s="93" t="s">
        <v>189</v>
      </c>
      <c r="K3231" s="93">
        <v>63</v>
      </c>
      <c r="L3231" s="93">
        <v>63</v>
      </c>
      <c r="M3231" s="93" t="s">
        <v>2311</v>
      </c>
      <c r="N3231" s="93">
        <f>VLOOKUP(B3231,'[16]01.수집 카테고리(List)'!$A$2:$H$64,8,FALSE)</f>
        <v>99991231</v>
      </c>
      <c r="O3231" s="93" t="s">
        <v>646</v>
      </c>
    </row>
    <row r="3232" spans="1:15" hidden="1">
      <c r="A3232" s="75" t="str">
        <f t="shared" si="122"/>
        <v>UKSS.comRefrigeratorfridgefridge</v>
      </c>
      <c r="B3232" s="94" t="str">
        <f t="shared" si="123"/>
        <v>UK_SS.com</v>
      </c>
      <c r="C3232" s="93" t="s">
        <v>27</v>
      </c>
      <c r="D3232" s="93" t="s">
        <v>184</v>
      </c>
      <c r="E3232" s="93" t="s">
        <v>2326</v>
      </c>
      <c r="F3232" s="93" t="s">
        <v>2414</v>
      </c>
      <c r="G3232" s="93" t="s">
        <v>2414</v>
      </c>
      <c r="H3232" s="93" t="e">
        <v>#N/A</v>
      </c>
      <c r="I3232" s="105" t="s">
        <v>2310</v>
      </c>
      <c r="J3232" s="93" t="s">
        <v>189</v>
      </c>
      <c r="K3232" s="93">
        <v>66</v>
      </c>
      <c r="L3232" s="93">
        <v>66</v>
      </c>
      <c r="M3232" s="93" t="s">
        <v>2311</v>
      </c>
      <c r="N3232" s="93">
        <f>VLOOKUP(B3232,'[16]01.수집 카테고리(List)'!$A$2:$H$64,8,FALSE)</f>
        <v>99991231</v>
      </c>
      <c r="O3232" s="93" t="s">
        <v>646</v>
      </c>
    </row>
    <row r="3233" spans="1:15" hidden="1">
      <c r="A3233" s="75" t="str">
        <f t="shared" si="122"/>
        <v>UKSS.comRefrigeratorrefrigeratorrefrigerator</v>
      </c>
      <c r="B3233" s="94" t="str">
        <f t="shared" si="123"/>
        <v>UK_SS.com</v>
      </c>
      <c r="C3233" s="93" t="s">
        <v>27</v>
      </c>
      <c r="D3233" s="93" t="s">
        <v>184</v>
      </c>
      <c r="E3233" s="93" t="s">
        <v>2326</v>
      </c>
      <c r="F3233" s="93" t="s">
        <v>2329</v>
      </c>
      <c r="G3233" s="93" t="s">
        <v>2329</v>
      </c>
      <c r="H3233" s="93" t="e">
        <v>#N/A</v>
      </c>
      <c r="I3233" s="105" t="s">
        <v>2310</v>
      </c>
      <c r="J3233" s="93" t="s">
        <v>189</v>
      </c>
      <c r="K3233" s="93">
        <v>66</v>
      </c>
      <c r="L3233" s="93">
        <v>66</v>
      </c>
      <c r="M3233" s="93" t="s">
        <v>2311</v>
      </c>
      <c r="N3233" s="93">
        <f>VLOOKUP(B3233,'[16]01.수집 카테고리(List)'!$A$2:$H$64,8,FALSE)</f>
        <v>99991231</v>
      </c>
      <c r="O3233" s="93" t="s">
        <v>646</v>
      </c>
    </row>
    <row r="3234" spans="1:15" hidden="1">
      <c r="A3234" s="75" t="str">
        <f t="shared" si="122"/>
        <v>UKSS.comTVtvtv</v>
      </c>
      <c r="B3234" s="94" t="str">
        <f t="shared" si="123"/>
        <v>UK_SS.com</v>
      </c>
      <c r="C3234" s="93" t="s">
        <v>27</v>
      </c>
      <c r="D3234" s="93" t="s">
        <v>184</v>
      </c>
      <c r="E3234" s="93" t="s">
        <v>161</v>
      </c>
      <c r="F3234" s="93" t="s">
        <v>2444</v>
      </c>
      <c r="G3234" s="93" t="s">
        <v>2444</v>
      </c>
      <c r="H3234" s="93" t="e">
        <v>#N/A</v>
      </c>
      <c r="I3234" s="105" t="s">
        <v>2310</v>
      </c>
      <c r="J3234" s="93" t="s">
        <v>189</v>
      </c>
      <c r="K3234" s="93">
        <v>14</v>
      </c>
      <c r="L3234" s="93">
        <v>14</v>
      </c>
      <c r="M3234" s="93" t="s">
        <v>2311</v>
      </c>
      <c r="N3234" s="93">
        <f>VLOOKUP(B3234,'[16]01.수집 카테고리(List)'!$A$2:$H$64,8,FALSE)</f>
        <v>99991231</v>
      </c>
      <c r="O3234" s="93" t="s">
        <v>646</v>
      </c>
    </row>
    <row r="3235" spans="1:15" hidden="1">
      <c r="A3235" s="75" t="str">
        <f t="shared" si="122"/>
        <v>UKSS.comWashing Machinewasher dryerwasher dryer</v>
      </c>
      <c r="B3235" s="94" t="str">
        <f t="shared" si="123"/>
        <v>UK_SS.com</v>
      </c>
      <c r="C3235" s="93" t="s">
        <v>27</v>
      </c>
      <c r="D3235" s="93" t="s">
        <v>184</v>
      </c>
      <c r="E3235" s="93" t="s">
        <v>2333</v>
      </c>
      <c r="F3235" s="93" t="s">
        <v>2339</v>
      </c>
      <c r="G3235" s="93" t="s">
        <v>2339</v>
      </c>
      <c r="H3235" s="93" t="e">
        <v>#N/A</v>
      </c>
      <c r="I3235" s="105" t="s">
        <v>2310</v>
      </c>
      <c r="J3235" s="93" t="s">
        <v>189</v>
      </c>
      <c r="K3235" s="93">
        <v>4</v>
      </c>
      <c r="L3235" s="93">
        <v>4</v>
      </c>
      <c r="M3235" s="93" t="s">
        <v>2311</v>
      </c>
      <c r="N3235" s="93">
        <f>VLOOKUP(B3235,'[16]01.수집 카테고리(List)'!$A$2:$H$64,8,FALSE)</f>
        <v>99991231</v>
      </c>
      <c r="O3235" s="93" t="s">
        <v>646</v>
      </c>
    </row>
    <row r="3236" spans="1:15" hidden="1">
      <c r="A3236" s="75" t="str">
        <f t="shared" si="122"/>
        <v>UKSS.comWashing Machinewashing machinewashing machine</v>
      </c>
      <c r="B3236" s="94" t="str">
        <f t="shared" si="123"/>
        <v>UK_SS.com</v>
      </c>
      <c r="C3236" s="93" t="s">
        <v>27</v>
      </c>
      <c r="D3236" s="93" t="s">
        <v>184</v>
      </c>
      <c r="E3236" s="93" t="s">
        <v>2333</v>
      </c>
      <c r="F3236" s="93" t="s">
        <v>2340</v>
      </c>
      <c r="G3236" s="93" t="s">
        <v>2340</v>
      </c>
      <c r="H3236" s="93" t="e">
        <v>#N/A</v>
      </c>
      <c r="I3236" s="105" t="s">
        <v>2310</v>
      </c>
      <c r="J3236" s="93" t="s">
        <v>189</v>
      </c>
      <c r="K3236" s="93">
        <v>23</v>
      </c>
      <c r="L3236" s="93">
        <v>23</v>
      </c>
      <c r="M3236" s="93" t="s">
        <v>2311</v>
      </c>
      <c r="N3236" s="93">
        <f>VLOOKUP(B3236,'[16]01.수집 카테고리(List)'!$A$2:$H$64,8,FALSE)</f>
        <v>99991231</v>
      </c>
      <c r="O3236" s="93" t="s">
        <v>646</v>
      </c>
    </row>
    <row r="3237" spans="1:15" s="111" customFormat="1" hidden="1">
      <c r="A3237" s="111" t="str">
        <f t="shared" si="122"/>
        <v>UKSS.comBluetooth Speakerbluetooth speakerbluetooth speaker</v>
      </c>
      <c r="B3237" s="112" t="str">
        <f t="shared" si="123"/>
        <v>UK_SS.com</v>
      </c>
      <c r="C3237" s="113" t="s">
        <v>27</v>
      </c>
      <c r="D3237" s="113" t="s">
        <v>184</v>
      </c>
      <c r="E3237" s="113" t="s">
        <v>2470</v>
      </c>
      <c r="F3237" s="113" t="s">
        <v>2657</v>
      </c>
      <c r="G3237" s="113" t="s">
        <v>2657</v>
      </c>
      <c r="H3237" s="93" t="e">
        <v>#N/A</v>
      </c>
      <c r="I3237" s="99">
        <v>46076</v>
      </c>
      <c r="J3237" s="83" t="s">
        <v>189</v>
      </c>
      <c r="K3237" s="113"/>
      <c r="L3237" s="113"/>
      <c r="M3237" s="113"/>
      <c r="N3237" s="113"/>
      <c r="O3237" s="113"/>
    </row>
    <row r="3238" spans="1:15" s="111" customFormat="1" hidden="1">
      <c r="A3238" s="111" t="str">
        <f t="shared" si="122"/>
        <v>UKSS.comBluetooth Speakerbluetooth speaker portablebluetooth speaker portable</v>
      </c>
      <c r="B3238" s="112" t="str">
        <f t="shared" si="123"/>
        <v>UK_SS.com</v>
      </c>
      <c r="C3238" s="113" t="s">
        <v>27</v>
      </c>
      <c r="D3238" s="113" t="s">
        <v>184</v>
      </c>
      <c r="E3238" s="113" t="s">
        <v>2470</v>
      </c>
      <c r="F3238" s="113" t="s">
        <v>2479</v>
      </c>
      <c r="G3238" s="113" t="s">
        <v>2479</v>
      </c>
      <c r="H3238" s="93" t="e">
        <v>#N/A</v>
      </c>
      <c r="I3238" s="99">
        <v>46076</v>
      </c>
      <c r="J3238" s="83" t="s">
        <v>189</v>
      </c>
      <c r="K3238" s="113"/>
      <c r="L3238" s="113"/>
      <c r="M3238" s="113"/>
      <c r="N3238" s="113"/>
      <c r="O3238" s="113"/>
    </row>
    <row r="3239" spans="1:15" s="111" customFormat="1" hidden="1">
      <c r="A3239" s="111" t="str">
        <f t="shared" si="122"/>
        <v>UKSS.comBluetooth Speakerportable speakersportable speakers</v>
      </c>
      <c r="B3239" s="112" t="str">
        <f t="shared" si="123"/>
        <v>UK_SS.com</v>
      </c>
      <c r="C3239" s="113" t="s">
        <v>27</v>
      </c>
      <c r="D3239" s="113" t="s">
        <v>184</v>
      </c>
      <c r="E3239" s="113" t="s">
        <v>2470</v>
      </c>
      <c r="F3239" s="113" t="s">
        <v>2473</v>
      </c>
      <c r="G3239" s="113" t="s">
        <v>2473</v>
      </c>
      <c r="H3239" s="93" t="e">
        <v>#N/A</v>
      </c>
      <c r="I3239" s="99">
        <v>46076</v>
      </c>
      <c r="J3239" s="83" t="s">
        <v>189</v>
      </c>
      <c r="K3239" s="113"/>
      <c r="L3239" s="113"/>
      <c r="M3239" s="113"/>
      <c r="N3239" s="113"/>
      <c r="O3239" s="113"/>
    </row>
    <row r="3240" spans="1:15" s="111" customFormat="1" hidden="1">
      <c r="A3240" s="111" t="str">
        <f t="shared" si="122"/>
        <v>UKSS.comBluetooth Speakerspeakersspeakers</v>
      </c>
      <c r="B3240" s="112" t="str">
        <f t="shared" si="123"/>
        <v>UK_SS.com</v>
      </c>
      <c r="C3240" s="113" t="s">
        <v>27</v>
      </c>
      <c r="D3240" s="113" t="s">
        <v>184</v>
      </c>
      <c r="E3240" s="113" t="s">
        <v>2470</v>
      </c>
      <c r="F3240" s="113" t="s">
        <v>2471</v>
      </c>
      <c r="G3240" s="113" t="s">
        <v>2471</v>
      </c>
      <c r="H3240" s="93" t="e">
        <v>#N/A</v>
      </c>
      <c r="I3240" s="99">
        <v>46076</v>
      </c>
      <c r="J3240" s="83" t="s">
        <v>189</v>
      </c>
      <c r="K3240" s="113"/>
      <c r="L3240" s="113"/>
      <c r="M3240" s="113"/>
      <c r="N3240" s="113"/>
      <c r="O3240" s="113"/>
    </row>
    <row r="3241" spans="1:15" s="111" customFormat="1" hidden="1">
      <c r="A3241" s="111" t="str">
        <f t="shared" si="122"/>
        <v>UKSS.comBluetooth Speakerwireless portable speakerswireless portable speakers</v>
      </c>
      <c r="B3241" s="112" t="str">
        <f t="shared" si="123"/>
        <v>UK_SS.com</v>
      </c>
      <c r="C3241" s="113" t="s">
        <v>27</v>
      </c>
      <c r="D3241" s="113" t="s">
        <v>184</v>
      </c>
      <c r="E3241" s="113" t="s">
        <v>2470</v>
      </c>
      <c r="F3241" s="113" t="s">
        <v>2475</v>
      </c>
      <c r="G3241" s="113" t="s">
        <v>2475</v>
      </c>
      <c r="H3241" s="93" t="e">
        <v>#N/A</v>
      </c>
      <c r="I3241" s="99">
        <v>46076</v>
      </c>
      <c r="J3241" s="83" t="s">
        <v>189</v>
      </c>
      <c r="K3241" s="113"/>
      <c r="L3241" s="113"/>
      <c r="M3241" s="113"/>
      <c r="N3241" s="113"/>
      <c r="O3241" s="113"/>
    </row>
    <row r="3242" spans="1:15" s="111" customFormat="1" hidden="1">
      <c r="A3242" s="111" t="str">
        <f t="shared" si="122"/>
        <v>UKSS.comBluetooth SpeakerPortable bluetooth speakersPortable bluetooth speakers</v>
      </c>
      <c r="B3242" s="112" t="str">
        <f t="shared" si="123"/>
        <v>UK_SS.com</v>
      </c>
      <c r="C3242" s="113" t="s">
        <v>27</v>
      </c>
      <c r="D3242" s="113" t="s">
        <v>184</v>
      </c>
      <c r="E3242" s="113" t="s">
        <v>2470</v>
      </c>
      <c r="F3242" s="113" t="s">
        <v>2426</v>
      </c>
      <c r="G3242" s="113" t="s">
        <v>2426</v>
      </c>
      <c r="H3242" s="93" t="e">
        <v>#N/A</v>
      </c>
      <c r="I3242" s="99">
        <v>46076</v>
      </c>
      <c r="J3242" s="83" t="s">
        <v>189</v>
      </c>
      <c r="K3242" s="113"/>
      <c r="L3242" s="113"/>
      <c r="M3242" s="113"/>
      <c r="N3242" s="113"/>
      <c r="O3242" s="113"/>
    </row>
    <row r="3243" spans="1:15" s="111" customFormat="1" hidden="1">
      <c r="A3243" s="111" t="str">
        <f t="shared" si="122"/>
        <v>UKSS.comSOUNDBARSound barSound bar</v>
      </c>
      <c r="B3243" s="112" t="str">
        <f t="shared" si="123"/>
        <v>UK_SS.com</v>
      </c>
      <c r="C3243" s="113" t="s">
        <v>27</v>
      </c>
      <c r="D3243" s="113" t="s">
        <v>184</v>
      </c>
      <c r="E3243" s="113" t="s">
        <v>165</v>
      </c>
      <c r="F3243" s="113" t="s">
        <v>2365</v>
      </c>
      <c r="G3243" s="113" t="s">
        <v>2365</v>
      </c>
      <c r="H3243" s="93" t="e">
        <v>#N/A</v>
      </c>
      <c r="I3243" s="99">
        <v>46076</v>
      </c>
      <c r="J3243" s="83" t="s">
        <v>189</v>
      </c>
      <c r="K3243" s="113"/>
      <c r="L3243" s="113"/>
      <c r="M3243" s="113"/>
      <c r="N3243" s="113"/>
      <c r="O3243" s="113"/>
    </row>
    <row r="3244" spans="1:15" s="111" customFormat="1" hidden="1">
      <c r="A3244" s="111" t="str">
        <f t="shared" si="122"/>
        <v>UKSS.comSOUNDBARSound bars for tvSound bars for tv</v>
      </c>
      <c r="B3244" s="112" t="str">
        <f t="shared" si="123"/>
        <v>UK_SS.com</v>
      </c>
      <c r="C3244" s="113" t="s">
        <v>27</v>
      </c>
      <c r="D3244" s="113" t="s">
        <v>184</v>
      </c>
      <c r="E3244" s="113" t="s">
        <v>165</v>
      </c>
      <c r="F3244" s="113" t="s">
        <v>2430</v>
      </c>
      <c r="G3244" s="113" t="s">
        <v>2430</v>
      </c>
      <c r="H3244" s="93" t="e">
        <v>#N/A</v>
      </c>
      <c r="I3244" s="99">
        <v>46076</v>
      </c>
      <c r="J3244" s="83" t="s">
        <v>189</v>
      </c>
      <c r="K3244" s="113"/>
      <c r="L3244" s="113"/>
      <c r="M3244" s="113"/>
      <c r="N3244" s="113"/>
      <c r="O3244" s="113"/>
    </row>
    <row r="3245" spans="1:15" s="111" customFormat="1" hidden="1">
      <c r="A3245" s="111" t="str">
        <f t="shared" si="122"/>
        <v>UKSS.comSOUNDBARSoundbarSoundbar</v>
      </c>
      <c r="B3245" s="112" t="str">
        <f t="shared" si="123"/>
        <v>UK_SS.com</v>
      </c>
      <c r="C3245" s="113" t="s">
        <v>27</v>
      </c>
      <c r="D3245" s="113" t="s">
        <v>184</v>
      </c>
      <c r="E3245" s="113" t="s">
        <v>165</v>
      </c>
      <c r="F3245" s="113" t="s">
        <v>2363</v>
      </c>
      <c r="G3245" s="113" t="s">
        <v>2363</v>
      </c>
      <c r="H3245" s="93" t="e">
        <v>#N/A</v>
      </c>
      <c r="I3245" s="99">
        <v>46076</v>
      </c>
      <c r="J3245" s="83" t="s">
        <v>189</v>
      </c>
      <c r="K3245" s="113"/>
      <c r="L3245" s="113"/>
      <c r="M3245" s="113"/>
      <c r="N3245" s="113"/>
      <c r="O3245" s="113"/>
    </row>
    <row r="3246" spans="1:15" s="111" customFormat="1" hidden="1">
      <c r="A3246" s="111" t="str">
        <f t="shared" si="122"/>
        <v>UKSS.comSoundbarsoundbar with subwoofersoundbar with subwoofer</v>
      </c>
      <c r="B3246" s="112" t="str">
        <f t="shared" si="123"/>
        <v>UK_SS.com</v>
      </c>
      <c r="C3246" s="113" t="s">
        <v>27</v>
      </c>
      <c r="D3246" s="113" t="s">
        <v>184</v>
      </c>
      <c r="E3246" s="113" t="s">
        <v>2363</v>
      </c>
      <c r="F3246" s="113" t="s">
        <v>3656</v>
      </c>
      <c r="G3246" s="113" t="s">
        <v>3656</v>
      </c>
      <c r="H3246" s="93" t="e">
        <v>#N/A</v>
      </c>
      <c r="I3246" s="99">
        <v>46076</v>
      </c>
      <c r="J3246" s="83" t="s">
        <v>189</v>
      </c>
      <c r="K3246" s="113"/>
      <c r="L3246" s="113"/>
      <c r="M3246" s="113"/>
      <c r="N3246" s="113"/>
      <c r="O3246" s="113"/>
    </row>
    <row r="3247" spans="1:15" s="111" customFormat="1" hidden="1">
      <c r="A3247" s="111" t="str">
        <f t="shared" si="122"/>
        <v>UKSS.comSOUNDBARtv sound bartv sound bar</v>
      </c>
      <c r="B3247" s="112" t="str">
        <f t="shared" si="123"/>
        <v>UK_SS.com</v>
      </c>
      <c r="C3247" s="113" t="s">
        <v>27</v>
      </c>
      <c r="D3247" s="113" t="s">
        <v>184</v>
      </c>
      <c r="E3247" s="113" t="s">
        <v>165</v>
      </c>
      <c r="F3247" s="113" t="s">
        <v>2833</v>
      </c>
      <c r="G3247" s="113" t="s">
        <v>2833</v>
      </c>
      <c r="H3247" s="93" t="e">
        <v>#N/A</v>
      </c>
      <c r="I3247" s="99">
        <v>46076</v>
      </c>
      <c r="J3247" s="83" t="s">
        <v>189</v>
      </c>
      <c r="K3247" s="113"/>
      <c r="L3247" s="113"/>
      <c r="M3247" s="113"/>
      <c r="N3247" s="113"/>
      <c r="O3247" s="113"/>
    </row>
    <row r="3248" spans="1:15" s="111" customFormat="1" hidden="1">
      <c r="A3248" s="111" t="str">
        <f t="shared" si="122"/>
        <v>UKSS.comWireless Headsetbluetooth earbudsbluetooth earbuds</v>
      </c>
      <c r="B3248" s="112" t="str">
        <f t="shared" si="123"/>
        <v>UK_SS.com</v>
      </c>
      <c r="C3248" s="113" t="s">
        <v>27</v>
      </c>
      <c r="D3248" s="113" t="s">
        <v>184</v>
      </c>
      <c r="E3248" s="113" t="s">
        <v>2373</v>
      </c>
      <c r="F3248" s="113" t="s">
        <v>2909</v>
      </c>
      <c r="G3248" s="113" t="s">
        <v>2909</v>
      </c>
      <c r="H3248" s="93" t="e">
        <v>#N/A</v>
      </c>
      <c r="I3248" s="99">
        <v>46076</v>
      </c>
      <c r="J3248" s="83" t="s">
        <v>189</v>
      </c>
      <c r="K3248" s="113"/>
      <c r="L3248" s="113"/>
      <c r="M3248" s="113"/>
      <c r="N3248" s="113"/>
      <c r="O3248" s="113"/>
    </row>
    <row r="3249" spans="1:15" s="111" customFormat="1" hidden="1">
      <c r="A3249" s="111" t="str">
        <f t="shared" si="122"/>
        <v>UKSS.comWireless HeadsetEarbudsEarbuds</v>
      </c>
      <c r="B3249" s="112" t="str">
        <f t="shared" si="123"/>
        <v>UK_SS.com</v>
      </c>
      <c r="C3249" s="113" t="s">
        <v>27</v>
      </c>
      <c r="D3249" s="113" t="s">
        <v>184</v>
      </c>
      <c r="E3249" s="113" t="s">
        <v>2373</v>
      </c>
      <c r="F3249" s="113" t="s">
        <v>2534</v>
      </c>
      <c r="G3249" s="113" t="s">
        <v>2534</v>
      </c>
      <c r="H3249" s="93" t="e">
        <v>#N/A</v>
      </c>
      <c r="I3249" s="99">
        <v>46076</v>
      </c>
      <c r="J3249" s="83" t="s">
        <v>189</v>
      </c>
      <c r="K3249" s="113"/>
      <c r="L3249" s="113"/>
      <c r="M3249" s="113"/>
      <c r="N3249" s="113"/>
      <c r="O3249" s="113"/>
    </row>
    <row r="3250" spans="1:15" s="111" customFormat="1" hidden="1">
      <c r="A3250" s="111" t="str">
        <f t="shared" si="122"/>
        <v>UKSS.comWireless HeadsetIn ear headphones In ear headphones</v>
      </c>
      <c r="B3250" s="112" t="str">
        <f t="shared" si="123"/>
        <v>UK_SS.com</v>
      </c>
      <c r="C3250" s="113" t="s">
        <v>27</v>
      </c>
      <c r="D3250" s="113" t="s">
        <v>184</v>
      </c>
      <c r="E3250" s="113" t="s">
        <v>2373</v>
      </c>
      <c r="F3250" s="113" t="s">
        <v>3658</v>
      </c>
      <c r="G3250" s="113" t="s">
        <v>2690</v>
      </c>
      <c r="H3250" s="93" t="e">
        <v>#N/A</v>
      </c>
      <c r="I3250" s="99">
        <v>46076</v>
      </c>
      <c r="J3250" s="83" t="s">
        <v>189</v>
      </c>
      <c r="K3250" s="113"/>
      <c r="L3250" s="113"/>
      <c r="M3250" s="113"/>
      <c r="N3250" s="113"/>
      <c r="O3250" s="113"/>
    </row>
    <row r="3251" spans="1:15" s="111" customFormat="1" hidden="1">
      <c r="A3251" s="111" t="str">
        <f t="shared" si="122"/>
        <v>UKSS.comWireless HeadsetTrue wireless earbudsTrue wireless earbuds</v>
      </c>
      <c r="B3251" s="112" t="str">
        <f t="shared" si="123"/>
        <v>UK_SS.com</v>
      </c>
      <c r="C3251" s="113" t="s">
        <v>27</v>
      </c>
      <c r="D3251" s="113" t="s">
        <v>184</v>
      </c>
      <c r="E3251" s="113" t="s">
        <v>2373</v>
      </c>
      <c r="F3251" s="113" t="s">
        <v>2374</v>
      </c>
      <c r="G3251" s="113" t="s">
        <v>2374</v>
      </c>
      <c r="H3251" s="93" t="e">
        <v>#N/A</v>
      </c>
      <c r="I3251" s="99">
        <v>46076</v>
      </c>
      <c r="J3251" s="83" t="s">
        <v>189</v>
      </c>
      <c r="K3251" s="113"/>
      <c r="L3251" s="113"/>
      <c r="M3251" s="113"/>
      <c r="N3251" s="113"/>
      <c r="O3251" s="113"/>
    </row>
    <row r="3252" spans="1:15" s="111" customFormat="1" hidden="1">
      <c r="A3252" s="111" t="str">
        <f t="shared" si="122"/>
        <v>UKSS.comWireless HeadsetWireless EarbudsWireless Earbuds</v>
      </c>
      <c r="B3252" s="112" t="str">
        <f t="shared" si="123"/>
        <v>UK_SS.com</v>
      </c>
      <c r="C3252" s="113" t="s">
        <v>27</v>
      </c>
      <c r="D3252" s="113" t="s">
        <v>184</v>
      </c>
      <c r="E3252" s="113" t="s">
        <v>2373</v>
      </c>
      <c r="F3252" s="113" t="s">
        <v>2760</v>
      </c>
      <c r="G3252" s="113" t="s">
        <v>2760</v>
      </c>
      <c r="H3252" s="93" t="e">
        <v>#N/A</v>
      </c>
      <c r="I3252" s="99">
        <v>46076</v>
      </c>
      <c r="J3252" s="83" t="s">
        <v>189</v>
      </c>
      <c r="K3252" s="113"/>
      <c r="L3252" s="113"/>
      <c r="M3252" s="113"/>
      <c r="N3252" s="113"/>
      <c r="O3252" s="113"/>
    </row>
    <row r="3253" spans="1:15" s="111" customFormat="1" hidden="1">
      <c r="A3253" s="111" t="str">
        <f t="shared" si="122"/>
        <v>UKSS.comDryerheatpump  heatpump</v>
      </c>
      <c r="B3253" s="112" t="str">
        <f t="shared" si="123"/>
        <v>UK_SS.com</v>
      </c>
      <c r="C3253" s="113" t="s">
        <v>27</v>
      </c>
      <c r="D3253" s="113" t="s">
        <v>184</v>
      </c>
      <c r="E3253" s="113" t="s">
        <v>2431</v>
      </c>
      <c r="F3253" s="113" t="s">
        <v>2432</v>
      </c>
      <c r="G3253" s="113" t="s">
        <v>2433</v>
      </c>
      <c r="H3253" s="93" t="e">
        <v>#N/A</v>
      </c>
      <c r="I3253" s="99">
        <v>46076</v>
      </c>
      <c r="J3253" s="83" t="s">
        <v>189</v>
      </c>
      <c r="K3253" s="113"/>
      <c r="L3253" s="113"/>
      <c r="M3253" s="113"/>
      <c r="N3253" s="113"/>
      <c r="O3253" s="113"/>
    </row>
    <row r="3254" spans="1:15" s="111" customFormat="1" hidden="1">
      <c r="A3254" s="111" t="str">
        <f t="shared" si="122"/>
        <v>UKSS.comDryerLG DryerLG Dryer</v>
      </c>
      <c r="B3254" s="112" t="str">
        <f t="shared" si="123"/>
        <v>UK_SS.com</v>
      </c>
      <c r="C3254" s="113" t="s">
        <v>27</v>
      </c>
      <c r="D3254" s="113" t="s">
        <v>184</v>
      </c>
      <c r="E3254" s="113" t="s">
        <v>2431</v>
      </c>
      <c r="F3254" s="113" t="s">
        <v>2434</v>
      </c>
      <c r="G3254" s="113" t="s">
        <v>2434</v>
      </c>
      <c r="H3254" s="93" t="e">
        <v>#N/A</v>
      </c>
      <c r="I3254" s="99">
        <v>46076</v>
      </c>
      <c r="J3254" s="83" t="s">
        <v>189</v>
      </c>
      <c r="K3254" s="113"/>
      <c r="L3254" s="113"/>
      <c r="M3254" s="113"/>
      <c r="N3254" s="113"/>
      <c r="O3254" s="113"/>
    </row>
    <row r="3255" spans="1:15" s="108" customFormat="1" hidden="1">
      <c r="A3255" s="108" t="str">
        <f t="shared" si="122"/>
        <v>UKLG.comAir Conditionerair conditionerair conditioner</v>
      </c>
      <c r="B3255" s="109" t="str">
        <f t="shared" si="123"/>
        <v>UK_LG.com</v>
      </c>
      <c r="C3255" s="110" t="s">
        <v>44</v>
      </c>
      <c r="D3255" s="110" t="s">
        <v>321</v>
      </c>
      <c r="E3255" s="110" t="s">
        <v>2346</v>
      </c>
      <c r="F3255" s="110" t="s">
        <v>2347</v>
      </c>
      <c r="G3255" s="110" t="s">
        <v>2347</v>
      </c>
      <c r="H3255" s="93" t="e">
        <v>#N/A</v>
      </c>
      <c r="I3255" s="99">
        <v>46076</v>
      </c>
      <c r="J3255" s="83" t="s">
        <v>189</v>
      </c>
      <c r="K3255" s="110"/>
      <c r="L3255" s="110"/>
      <c r="M3255" s="110"/>
      <c r="N3255" s="110"/>
      <c r="O3255" s="110"/>
    </row>
    <row r="3256" spans="1:15" s="108" customFormat="1" hidden="1">
      <c r="A3256" s="108" t="str">
        <f t="shared" si="122"/>
        <v>UKLG.comMonitormonitormonitor</v>
      </c>
      <c r="B3256" s="109" t="str">
        <f t="shared" si="123"/>
        <v>UK_LG.com</v>
      </c>
      <c r="C3256" s="110" t="s">
        <v>44</v>
      </c>
      <c r="D3256" s="110" t="s">
        <v>321</v>
      </c>
      <c r="E3256" s="110" t="s">
        <v>2320</v>
      </c>
      <c r="F3256" s="110" t="s">
        <v>2323</v>
      </c>
      <c r="G3256" s="110" t="s">
        <v>2323</v>
      </c>
      <c r="H3256" s="93" t="e">
        <v>#N/A</v>
      </c>
      <c r="I3256" s="99">
        <v>46076</v>
      </c>
      <c r="J3256" s="83" t="s">
        <v>189</v>
      </c>
      <c r="K3256" s="110"/>
      <c r="L3256" s="110"/>
      <c r="M3256" s="110"/>
      <c r="N3256" s="110"/>
      <c r="O3256" s="110"/>
    </row>
    <row r="3257" spans="1:15" s="108" customFormat="1" hidden="1">
      <c r="A3257" s="108" t="str">
        <f t="shared" si="122"/>
        <v>UKLG.comMonitorgaming monitorgaming monitor</v>
      </c>
      <c r="B3257" s="109" t="str">
        <f t="shared" si="123"/>
        <v>UK_LG.com</v>
      </c>
      <c r="C3257" s="110" t="s">
        <v>44</v>
      </c>
      <c r="D3257" s="110" t="s">
        <v>321</v>
      </c>
      <c r="E3257" s="110" t="s">
        <v>2320</v>
      </c>
      <c r="F3257" s="110" t="s">
        <v>2322</v>
      </c>
      <c r="G3257" s="110" t="s">
        <v>2322</v>
      </c>
      <c r="H3257" s="93" t="e">
        <v>#N/A</v>
      </c>
      <c r="I3257" s="99">
        <v>46076</v>
      </c>
      <c r="J3257" s="83" t="s">
        <v>189</v>
      </c>
      <c r="K3257" s="110"/>
      <c r="L3257" s="110"/>
      <c r="M3257" s="110"/>
      <c r="N3257" s="110"/>
      <c r="O3257" s="110"/>
    </row>
    <row r="3258" spans="1:15" s="108" customFormat="1" hidden="1">
      <c r="A3258" s="108" t="str">
        <f t="shared" si="122"/>
        <v>UKLG.comRefrigeratorrefrigeratorrefrigerator</v>
      </c>
      <c r="B3258" s="109" t="str">
        <f t="shared" si="123"/>
        <v>UK_LG.com</v>
      </c>
      <c r="C3258" s="110" t="s">
        <v>44</v>
      </c>
      <c r="D3258" s="110" t="s">
        <v>321</v>
      </c>
      <c r="E3258" s="110" t="s">
        <v>2326</v>
      </c>
      <c r="F3258" s="110" t="s">
        <v>2329</v>
      </c>
      <c r="G3258" s="110" t="s">
        <v>2329</v>
      </c>
      <c r="H3258" s="93" t="e">
        <v>#N/A</v>
      </c>
      <c r="I3258" s="99">
        <v>46076</v>
      </c>
      <c r="J3258" s="83" t="s">
        <v>189</v>
      </c>
      <c r="K3258" s="110"/>
      <c r="L3258" s="110"/>
      <c r="M3258" s="110"/>
      <c r="N3258" s="110"/>
      <c r="O3258" s="110"/>
    </row>
    <row r="3259" spans="1:15" s="108" customFormat="1" hidden="1">
      <c r="A3259" s="108" t="str">
        <f t="shared" si="122"/>
        <v>UKLG.comTVtvtv</v>
      </c>
      <c r="B3259" s="109" t="str">
        <f t="shared" si="123"/>
        <v>UK_LG.com</v>
      </c>
      <c r="C3259" s="110" t="s">
        <v>44</v>
      </c>
      <c r="D3259" s="110" t="s">
        <v>321</v>
      </c>
      <c r="E3259" s="110" t="s">
        <v>161</v>
      </c>
      <c r="F3259" s="110" t="s">
        <v>2444</v>
      </c>
      <c r="G3259" s="110" t="s">
        <v>2444</v>
      </c>
      <c r="H3259" s="93" t="e">
        <v>#N/A</v>
      </c>
      <c r="I3259" s="99">
        <v>46076</v>
      </c>
      <c r="J3259" s="83" t="s">
        <v>189</v>
      </c>
      <c r="K3259" s="110"/>
      <c r="L3259" s="110"/>
      <c r="M3259" s="110"/>
      <c r="N3259" s="110"/>
      <c r="O3259" s="110"/>
    </row>
    <row r="3260" spans="1:15" s="108" customFormat="1" hidden="1">
      <c r="A3260" s="108" t="str">
        <f t="shared" si="122"/>
        <v>UKLG.comWashing Machinewasher dryerwasher dryer</v>
      </c>
      <c r="B3260" s="109" t="str">
        <f t="shared" si="123"/>
        <v>UK_LG.com</v>
      </c>
      <c r="C3260" s="110" t="s">
        <v>44</v>
      </c>
      <c r="D3260" s="110" t="s">
        <v>321</v>
      </c>
      <c r="E3260" s="110" t="s">
        <v>2333</v>
      </c>
      <c r="F3260" s="110" t="s">
        <v>2339</v>
      </c>
      <c r="G3260" s="110" t="s">
        <v>2339</v>
      </c>
      <c r="H3260" s="93" t="e">
        <v>#N/A</v>
      </c>
      <c r="I3260" s="99">
        <v>46076</v>
      </c>
      <c r="J3260" s="83" t="s">
        <v>189</v>
      </c>
      <c r="K3260" s="110"/>
      <c r="L3260" s="110"/>
      <c r="M3260" s="110"/>
      <c r="N3260" s="110"/>
      <c r="O3260" s="110"/>
    </row>
    <row r="3261" spans="1:15" s="108" customFormat="1" hidden="1">
      <c r="A3261" s="108" t="str">
        <f t="shared" si="122"/>
        <v>UKLG.comWashing Machinewashing machinewashing machine</v>
      </c>
      <c r="B3261" s="109" t="str">
        <f t="shared" si="123"/>
        <v>UK_LG.com</v>
      </c>
      <c r="C3261" s="110" t="s">
        <v>44</v>
      </c>
      <c r="D3261" s="110" t="s">
        <v>321</v>
      </c>
      <c r="E3261" s="110" t="s">
        <v>2333</v>
      </c>
      <c r="F3261" s="110" t="s">
        <v>2340</v>
      </c>
      <c r="G3261" s="110" t="s">
        <v>2340</v>
      </c>
      <c r="H3261" s="93" t="e">
        <v>#N/A</v>
      </c>
      <c r="I3261" s="99">
        <v>46076</v>
      </c>
      <c r="J3261" s="83" t="s">
        <v>189</v>
      </c>
      <c r="K3261" s="110"/>
      <c r="L3261" s="110"/>
      <c r="M3261" s="110"/>
      <c r="N3261" s="110"/>
      <c r="O3261" s="110"/>
    </row>
    <row r="3262" spans="1:15" s="111" customFormat="1" hidden="1">
      <c r="A3262" s="111" t="s">
        <v>3664</v>
      </c>
      <c r="B3262" s="112" t="s">
        <v>3665</v>
      </c>
      <c r="C3262" s="113" t="s">
        <v>27</v>
      </c>
      <c r="D3262" s="113" t="s">
        <v>567</v>
      </c>
      <c r="E3262" s="113" t="s">
        <v>2470</v>
      </c>
      <c r="F3262" s="113" t="s">
        <v>2657</v>
      </c>
      <c r="G3262" s="113" t="s">
        <v>2657</v>
      </c>
      <c r="H3262" s="93" t="e">
        <v>#N/A</v>
      </c>
      <c r="I3262" s="99">
        <v>46076</v>
      </c>
      <c r="J3262" s="83" t="s">
        <v>189</v>
      </c>
      <c r="K3262" s="113"/>
      <c r="L3262" s="113"/>
      <c r="M3262" s="113"/>
      <c r="N3262" s="113"/>
      <c r="O3262" s="113"/>
    </row>
    <row r="3263" spans="1:15" s="111" customFormat="1" hidden="1">
      <c r="A3263" s="111" t="s">
        <v>3664</v>
      </c>
      <c r="B3263" s="112" t="s">
        <v>3665</v>
      </c>
      <c r="C3263" s="113" t="s">
        <v>27</v>
      </c>
      <c r="D3263" s="113" t="s">
        <v>567</v>
      </c>
      <c r="E3263" s="113" t="s">
        <v>2470</v>
      </c>
      <c r="F3263" s="113" t="s">
        <v>2479</v>
      </c>
      <c r="G3263" s="113" t="s">
        <v>2479</v>
      </c>
      <c r="H3263" s="93" t="e">
        <v>#N/A</v>
      </c>
      <c r="I3263" s="99">
        <v>46076</v>
      </c>
      <c r="J3263" s="83" t="s">
        <v>189</v>
      </c>
      <c r="K3263" s="113"/>
      <c r="L3263" s="113"/>
      <c r="M3263" s="113"/>
      <c r="N3263" s="113"/>
      <c r="O3263" s="113"/>
    </row>
    <row r="3264" spans="1:15" s="111" customFormat="1" hidden="1">
      <c r="A3264" s="111" t="s">
        <v>3664</v>
      </c>
      <c r="B3264" s="112" t="s">
        <v>3665</v>
      </c>
      <c r="C3264" s="113" t="s">
        <v>27</v>
      </c>
      <c r="D3264" s="113" t="s">
        <v>567</v>
      </c>
      <c r="E3264" s="113" t="s">
        <v>2470</v>
      </c>
      <c r="F3264" s="113" t="s">
        <v>2473</v>
      </c>
      <c r="G3264" s="113" t="s">
        <v>2473</v>
      </c>
      <c r="H3264" s="93" t="e">
        <v>#N/A</v>
      </c>
      <c r="I3264" s="99">
        <v>46076</v>
      </c>
      <c r="J3264" s="83" t="s">
        <v>189</v>
      </c>
      <c r="K3264" s="113"/>
      <c r="L3264" s="113"/>
      <c r="M3264" s="113"/>
      <c r="N3264" s="113"/>
      <c r="O3264" s="113"/>
    </row>
    <row r="3265" spans="1:15" s="111" customFormat="1" hidden="1">
      <c r="A3265" s="111" t="s">
        <v>3664</v>
      </c>
      <c r="B3265" s="112" t="s">
        <v>3665</v>
      </c>
      <c r="C3265" s="113" t="s">
        <v>27</v>
      </c>
      <c r="D3265" s="113" t="s">
        <v>567</v>
      </c>
      <c r="E3265" s="113" t="s">
        <v>2470</v>
      </c>
      <c r="F3265" s="113" t="s">
        <v>2471</v>
      </c>
      <c r="G3265" s="113" t="s">
        <v>2471</v>
      </c>
      <c r="H3265" s="93" t="e">
        <v>#N/A</v>
      </c>
      <c r="I3265" s="99">
        <v>46076</v>
      </c>
      <c r="J3265" s="83" t="s">
        <v>189</v>
      </c>
      <c r="K3265" s="113"/>
      <c r="L3265" s="113"/>
      <c r="M3265" s="113"/>
      <c r="N3265" s="113"/>
      <c r="O3265" s="113"/>
    </row>
    <row r="3266" spans="1:15" s="111" customFormat="1" hidden="1">
      <c r="A3266" s="111" t="s">
        <v>3664</v>
      </c>
      <c r="B3266" s="112" t="s">
        <v>3665</v>
      </c>
      <c r="C3266" s="113" t="s">
        <v>27</v>
      </c>
      <c r="D3266" s="113" t="s">
        <v>567</v>
      </c>
      <c r="E3266" s="113" t="s">
        <v>2470</v>
      </c>
      <c r="F3266" s="113" t="s">
        <v>2475</v>
      </c>
      <c r="G3266" s="113" t="s">
        <v>2475</v>
      </c>
      <c r="H3266" s="93" t="e">
        <v>#N/A</v>
      </c>
      <c r="I3266" s="99">
        <v>46076</v>
      </c>
      <c r="J3266" s="83" t="s">
        <v>189</v>
      </c>
      <c r="K3266" s="113"/>
      <c r="L3266" s="113"/>
      <c r="M3266" s="113"/>
      <c r="N3266" s="113"/>
      <c r="O3266" s="113"/>
    </row>
    <row r="3267" spans="1:15" s="111" customFormat="1" hidden="1">
      <c r="A3267" s="111" t="s">
        <v>3664</v>
      </c>
      <c r="B3267" s="112" t="s">
        <v>3665</v>
      </c>
      <c r="C3267" s="113" t="s">
        <v>27</v>
      </c>
      <c r="D3267" s="113" t="s">
        <v>567</v>
      </c>
      <c r="E3267" s="113" t="s">
        <v>2470</v>
      </c>
      <c r="F3267" s="113" t="s">
        <v>2426</v>
      </c>
      <c r="G3267" s="113" t="s">
        <v>2426</v>
      </c>
      <c r="H3267" s="93" t="e">
        <v>#N/A</v>
      </c>
      <c r="I3267" s="99">
        <v>46076</v>
      </c>
      <c r="J3267" s="83" t="s">
        <v>189</v>
      </c>
      <c r="K3267" s="113"/>
      <c r="L3267" s="113"/>
      <c r="M3267" s="113"/>
      <c r="N3267" s="113"/>
      <c r="O3267" s="113"/>
    </row>
    <row r="3268" spans="1:15" s="111" customFormat="1" hidden="1">
      <c r="A3268" s="111" t="s">
        <v>3664</v>
      </c>
      <c r="B3268" s="112" t="s">
        <v>3665</v>
      </c>
      <c r="C3268" s="113" t="s">
        <v>27</v>
      </c>
      <c r="D3268" s="113" t="s">
        <v>567</v>
      </c>
      <c r="E3268" s="113" t="s">
        <v>165</v>
      </c>
      <c r="F3268" s="113" t="s">
        <v>2365</v>
      </c>
      <c r="G3268" s="113" t="s">
        <v>2365</v>
      </c>
      <c r="H3268" s="93" t="e">
        <v>#N/A</v>
      </c>
      <c r="I3268" s="99">
        <v>46076</v>
      </c>
      <c r="J3268" s="83" t="s">
        <v>189</v>
      </c>
      <c r="K3268" s="113"/>
      <c r="L3268" s="113"/>
      <c r="M3268" s="113"/>
      <c r="N3268" s="113"/>
      <c r="O3268" s="113"/>
    </row>
    <row r="3269" spans="1:15" s="111" customFormat="1" hidden="1">
      <c r="A3269" s="111" t="s">
        <v>3664</v>
      </c>
      <c r="B3269" s="112" t="s">
        <v>3665</v>
      </c>
      <c r="C3269" s="113" t="s">
        <v>27</v>
      </c>
      <c r="D3269" s="113" t="s">
        <v>567</v>
      </c>
      <c r="E3269" s="113" t="s">
        <v>165</v>
      </c>
      <c r="F3269" s="113" t="s">
        <v>2430</v>
      </c>
      <c r="G3269" s="113" t="s">
        <v>2430</v>
      </c>
      <c r="H3269" s="93" t="e">
        <v>#N/A</v>
      </c>
      <c r="I3269" s="99">
        <v>46076</v>
      </c>
      <c r="J3269" s="83" t="s">
        <v>189</v>
      </c>
      <c r="K3269" s="113"/>
      <c r="L3269" s="113"/>
      <c r="M3269" s="113"/>
      <c r="N3269" s="113"/>
      <c r="O3269" s="113"/>
    </row>
    <row r="3270" spans="1:15" s="111" customFormat="1" hidden="1">
      <c r="A3270" s="111" t="s">
        <v>3664</v>
      </c>
      <c r="B3270" s="112" t="s">
        <v>3665</v>
      </c>
      <c r="C3270" s="113" t="s">
        <v>27</v>
      </c>
      <c r="D3270" s="113" t="s">
        <v>567</v>
      </c>
      <c r="E3270" s="113" t="s">
        <v>165</v>
      </c>
      <c r="F3270" s="113" t="s">
        <v>2363</v>
      </c>
      <c r="G3270" s="113" t="s">
        <v>2363</v>
      </c>
      <c r="H3270" s="93" t="e">
        <v>#N/A</v>
      </c>
      <c r="I3270" s="99">
        <v>46076</v>
      </c>
      <c r="J3270" s="83" t="s">
        <v>189</v>
      </c>
      <c r="K3270" s="113"/>
      <c r="L3270" s="113"/>
      <c r="M3270" s="113"/>
      <c r="N3270" s="113"/>
      <c r="O3270" s="113"/>
    </row>
    <row r="3271" spans="1:15" s="111" customFormat="1" hidden="1">
      <c r="A3271" s="111" t="s">
        <v>3664</v>
      </c>
      <c r="B3271" s="112" t="s">
        <v>3665</v>
      </c>
      <c r="C3271" s="113" t="s">
        <v>27</v>
      </c>
      <c r="D3271" s="113" t="s">
        <v>567</v>
      </c>
      <c r="E3271" s="113" t="s">
        <v>2363</v>
      </c>
      <c r="F3271" s="113" t="s">
        <v>3656</v>
      </c>
      <c r="G3271" s="113" t="s">
        <v>3656</v>
      </c>
      <c r="H3271" s="93" t="e">
        <v>#N/A</v>
      </c>
      <c r="I3271" s="99">
        <v>46076</v>
      </c>
      <c r="J3271" s="83" t="s">
        <v>189</v>
      </c>
      <c r="K3271" s="113"/>
      <c r="L3271" s="113"/>
      <c r="M3271" s="113"/>
      <c r="N3271" s="113"/>
      <c r="O3271" s="113"/>
    </row>
    <row r="3272" spans="1:15" s="111" customFormat="1" hidden="1">
      <c r="A3272" s="111" t="s">
        <v>3664</v>
      </c>
      <c r="B3272" s="112" t="s">
        <v>3665</v>
      </c>
      <c r="C3272" s="113" t="s">
        <v>27</v>
      </c>
      <c r="D3272" s="113" t="s">
        <v>567</v>
      </c>
      <c r="E3272" s="113" t="s">
        <v>165</v>
      </c>
      <c r="F3272" s="113" t="s">
        <v>2833</v>
      </c>
      <c r="G3272" s="113" t="s">
        <v>2833</v>
      </c>
      <c r="H3272" s="93" t="e">
        <v>#N/A</v>
      </c>
      <c r="I3272" s="99">
        <v>46076</v>
      </c>
      <c r="J3272" s="83" t="s">
        <v>189</v>
      </c>
      <c r="K3272" s="113"/>
      <c r="L3272" s="113"/>
      <c r="M3272" s="113"/>
      <c r="N3272" s="113"/>
      <c r="O3272" s="113"/>
    </row>
    <row r="3273" spans="1:15" s="111" customFormat="1" hidden="1">
      <c r="A3273" s="111" t="s">
        <v>3664</v>
      </c>
      <c r="B3273" s="112" t="s">
        <v>3665</v>
      </c>
      <c r="C3273" s="113" t="s">
        <v>27</v>
      </c>
      <c r="D3273" s="113" t="s">
        <v>567</v>
      </c>
      <c r="E3273" s="113" t="s">
        <v>2373</v>
      </c>
      <c r="F3273" s="113" t="s">
        <v>2909</v>
      </c>
      <c r="G3273" s="113" t="s">
        <v>2909</v>
      </c>
      <c r="H3273" s="93" t="e">
        <v>#N/A</v>
      </c>
      <c r="I3273" s="99">
        <v>46076</v>
      </c>
      <c r="J3273" s="83" t="s">
        <v>189</v>
      </c>
      <c r="K3273" s="113"/>
      <c r="L3273" s="113"/>
      <c r="M3273" s="113"/>
      <c r="N3273" s="113"/>
      <c r="O3273" s="113"/>
    </row>
    <row r="3274" spans="1:15" s="111" customFormat="1" hidden="1">
      <c r="A3274" s="111" t="s">
        <v>3664</v>
      </c>
      <c r="B3274" s="112" t="s">
        <v>3665</v>
      </c>
      <c r="C3274" s="113" t="s">
        <v>27</v>
      </c>
      <c r="D3274" s="113" t="s">
        <v>567</v>
      </c>
      <c r="E3274" s="113" t="s">
        <v>2373</v>
      </c>
      <c r="F3274" s="113" t="s">
        <v>2534</v>
      </c>
      <c r="G3274" s="113" t="s">
        <v>2534</v>
      </c>
      <c r="H3274" s="93" t="e">
        <v>#N/A</v>
      </c>
      <c r="I3274" s="99">
        <v>46076</v>
      </c>
      <c r="J3274" s="83" t="s">
        <v>189</v>
      </c>
      <c r="K3274" s="113"/>
      <c r="L3274" s="113"/>
      <c r="M3274" s="113"/>
      <c r="N3274" s="113"/>
      <c r="O3274" s="113"/>
    </row>
    <row r="3275" spans="1:15" s="111" customFormat="1" hidden="1">
      <c r="A3275" s="111" t="s">
        <v>3664</v>
      </c>
      <c r="B3275" s="112" t="s">
        <v>3665</v>
      </c>
      <c r="C3275" s="113" t="s">
        <v>27</v>
      </c>
      <c r="D3275" s="113" t="s">
        <v>567</v>
      </c>
      <c r="E3275" s="113" t="s">
        <v>2373</v>
      </c>
      <c r="F3275" s="113" t="s">
        <v>3658</v>
      </c>
      <c r="G3275" s="113" t="s">
        <v>2690</v>
      </c>
      <c r="H3275" s="93" t="e">
        <v>#N/A</v>
      </c>
      <c r="I3275" s="99">
        <v>46076</v>
      </c>
      <c r="J3275" s="83" t="s">
        <v>189</v>
      </c>
      <c r="K3275" s="113"/>
      <c r="L3275" s="113"/>
      <c r="M3275" s="113"/>
      <c r="N3275" s="113"/>
      <c r="O3275" s="113"/>
    </row>
    <row r="3276" spans="1:15" s="111" customFormat="1" hidden="1">
      <c r="A3276" s="111" t="s">
        <v>3664</v>
      </c>
      <c r="B3276" s="112" t="s">
        <v>3665</v>
      </c>
      <c r="C3276" s="113" t="s">
        <v>27</v>
      </c>
      <c r="D3276" s="113" t="s">
        <v>567</v>
      </c>
      <c r="E3276" s="113" t="s">
        <v>2373</v>
      </c>
      <c r="F3276" s="113" t="s">
        <v>2374</v>
      </c>
      <c r="G3276" s="113" t="s">
        <v>2374</v>
      </c>
      <c r="H3276" s="93" t="e">
        <v>#N/A</v>
      </c>
      <c r="I3276" s="99">
        <v>46076</v>
      </c>
      <c r="J3276" s="83" t="s">
        <v>189</v>
      </c>
      <c r="K3276" s="113"/>
      <c r="L3276" s="113"/>
      <c r="M3276" s="113"/>
      <c r="N3276" s="113"/>
      <c r="O3276" s="113"/>
    </row>
    <row r="3277" spans="1:15" s="111" customFormat="1" hidden="1">
      <c r="A3277" s="111" t="s">
        <v>3664</v>
      </c>
      <c r="B3277" s="112" t="s">
        <v>3665</v>
      </c>
      <c r="C3277" s="113" t="s">
        <v>27</v>
      </c>
      <c r="D3277" s="113" t="s">
        <v>567</v>
      </c>
      <c r="E3277" s="113" t="s">
        <v>2373</v>
      </c>
      <c r="F3277" s="113" t="s">
        <v>2760</v>
      </c>
      <c r="G3277" s="113" t="s">
        <v>2760</v>
      </c>
      <c r="H3277" s="93" t="e">
        <v>#N/A</v>
      </c>
      <c r="I3277" s="99">
        <v>46076</v>
      </c>
      <c r="J3277" s="83" t="s">
        <v>189</v>
      </c>
      <c r="K3277" s="113"/>
      <c r="L3277" s="113"/>
      <c r="M3277" s="113"/>
      <c r="N3277" s="113"/>
      <c r="O3277" s="113"/>
    </row>
    <row r="3278" spans="1:15" s="111" customFormat="1" hidden="1">
      <c r="A3278" s="111" t="s">
        <v>3664</v>
      </c>
      <c r="B3278" s="112" t="s">
        <v>3665</v>
      </c>
      <c r="C3278" s="113" t="s">
        <v>27</v>
      </c>
      <c r="D3278" s="113" t="s">
        <v>567</v>
      </c>
      <c r="E3278" s="113" t="s">
        <v>2431</v>
      </c>
      <c r="F3278" s="113" t="s">
        <v>2431</v>
      </c>
      <c r="G3278" s="113" t="s">
        <v>2431</v>
      </c>
      <c r="H3278" s="93" t="e">
        <v>#N/A</v>
      </c>
      <c r="I3278" s="99">
        <v>46076</v>
      </c>
      <c r="J3278" s="83" t="s">
        <v>189</v>
      </c>
      <c r="K3278" s="113"/>
      <c r="L3278" s="113"/>
      <c r="M3278" s="113"/>
      <c r="N3278" s="113"/>
      <c r="O3278" s="113"/>
    </row>
    <row r="3279" spans="1:15" s="111" customFormat="1" hidden="1">
      <c r="A3279" s="111" t="s">
        <v>3664</v>
      </c>
      <c r="B3279" s="112" t="s">
        <v>3665</v>
      </c>
      <c r="C3279" s="113" t="s">
        <v>27</v>
      </c>
      <c r="D3279" s="113" t="s">
        <v>567</v>
      </c>
      <c r="E3279" s="113" t="s">
        <v>2431</v>
      </c>
      <c r="F3279" s="113" t="s">
        <v>2432</v>
      </c>
      <c r="G3279" s="113" t="s">
        <v>2433</v>
      </c>
      <c r="H3279" s="93" t="e">
        <v>#N/A</v>
      </c>
      <c r="I3279" s="99">
        <v>46076</v>
      </c>
      <c r="J3279" s="83" t="s">
        <v>189</v>
      </c>
      <c r="K3279" s="113"/>
      <c r="L3279" s="113"/>
      <c r="M3279" s="113"/>
      <c r="N3279" s="113"/>
      <c r="O3279" s="113"/>
    </row>
    <row r="3280" spans="1:15" s="111" customFormat="1" hidden="1">
      <c r="A3280" s="111" t="s">
        <v>3664</v>
      </c>
      <c r="B3280" s="112" t="s">
        <v>3665</v>
      </c>
      <c r="C3280" s="113" t="s">
        <v>27</v>
      </c>
      <c r="D3280" s="113" t="s">
        <v>567</v>
      </c>
      <c r="E3280" s="113" t="s">
        <v>2431</v>
      </c>
      <c r="F3280" s="113" t="s">
        <v>2434</v>
      </c>
      <c r="G3280" s="113" t="s">
        <v>2434</v>
      </c>
      <c r="H3280" s="93" t="e">
        <v>#N/A</v>
      </c>
      <c r="I3280" s="99">
        <v>46076</v>
      </c>
      <c r="J3280" s="83" t="s">
        <v>189</v>
      </c>
      <c r="K3280" s="113"/>
      <c r="L3280" s="113"/>
      <c r="M3280" s="113"/>
      <c r="N3280" s="113"/>
      <c r="O3280" s="113"/>
    </row>
    <row r="3281" spans="1:15" hidden="1">
      <c r="A3281" s="75" t="str">
        <f t="shared" ref="A3281:A3345" si="124">C3281&amp;D3281&amp;E3281&amp;F3281&amp;G3281</f>
        <v>USAMAZON_LGAir Conditionerair conditionerair conditioner</v>
      </c>
      <c r="B3281" s="94" t="str">
        <f t="shared" ref="B3281:B3345" si="125">C3281&amp;"_"&amp;D3281</f>
        <v>US_AMAZON_LG</v>
      </c>
      <c r="C3281" s="93" t="s">
        <v>359</v>
      </c>
      <c r="D3281" s="93" t="s">
        <v>303</v>
      </c>
      <c r="E3281" s="93" t="s">
        <v>2346</v>
      </c>
      <c r="F3281" s="93" t="s">
        <v>2347</v>
      </c>
      <c r="G3281" s="93" t="s">
        <v>2347</v>
      </c>
      <c r="H3281" s="93" t="e">
        <v>#N/A</v>
      </c>
      <c r="I3281" s="105" t="s">
        <v>2310</v>
      </c>
      <c r="J3281" s="93" t="s">
        <v>189</v>
      </c>
      <c r="K3281" s="93">
        <v>974</v>
      </c>
      <c r="L3281" s="93">
        <v>974</v>
      </c>
      <c r="M3281" s="93" t="s">
        <v>2311</v>
      </c>
      <c r="N3281" s="93">
        <f>VLOOKUP(B3281,'[16]01.수집 카테고리(List)'!$A$2:$H$64,8,FALSE)</f>
        <v>99991231</v>
      </c>
      <c r="O3281" s="93" t="s">
        <v>646</v>
      </c>
    </row>
    <row r="3282" spans="1:15" hidden="1">
      <c r="A3282" s="75" t="str">
        <f t="shared" si="124"/>
        <v>USAMAZON_LGAir Conditionerinverter air conditionerinverter air conditioner</v>
      </c>
      <c r="B3282" s="94" t="str">
        <f t="shared" si="125"/>
        <v>US_AMAZON_LG</v>
      </c>
      <c r="C3282" s="93" t="s">
        <v>359</v>
      </c>
      <c r="D3282" s="93" t="s">
        <v>303</v>
      </c>
      <c r="E3282" s="93" t="s">
        <v>2346</v>
      </c>
      <c r="F3282" s="93" t="s">
        <v>2348</v>
      </c>
      <c r="G3282" s="93" t="s">
        <v>2348</v>
      </c>
      <c r="H3282" s="93" t="e">
        <v>#N/A</v>
      </c>
      <c r="I3282" s="105" t="s">
        <v>2310</v>
      </c>
      <c r="J3282" s="93" t="s">
        <v>189</v>
      </c>
      <c r="K3282" s="93">
        <v>2023</v>
      </c>
      <c r="L3282" s="93">
        <v>2023</v>
      </c>
      <c r="M3282" s="93" t="s">
        <v>2311</v>
      </c>
      <c r="N3282" s="93">
        <f>VLOOKUP(B3282,'[16]01.수집 카테고리(List)'!$A$2:$H$64,8,FALSE)</f>
        <v>99991231</v>
      </c>
      <c r="O3282" s="93" t="s">
        <v>646</v>
      </c>
    </row>
    <row r="3283" spans="1:15" hidden="1">
      <c r="A3283" s="75" t="str">
        <f t="shared" si="124"/>
        <v>USAMAZON_LGAir Conditionerportable air conditionerportable air conditioner</v>
      </c>
      <c r="B3283" s="94" t="str">
        <f t="shared" si="125"/>
        <v>US_AMAZON_LG</v>
      </c>
      <c r="C3283" s="93" t="s">
        <v>359</v>
      </c>
      <c r="D3283" s="93" t="s">
        <v>303</v>
      </c>
      <c r="E3283" s="93" t="s">
        <v>2346</v>
      </c>
      <c r="F3283" s="93" t="s">
        <v>2349</v>
      </c>
      <c r="G3283" s="93" t="s">
        <v>2349</v>
      </c>
      <c r="H3283" s="93" t="e">
        <v>#N/A</v>
      </c>
      <c r="I3283" s="105" t="s">
        <v>2310</v>
      </c>
      <c r="J3283" s="93" t="s">
        <v>189</v>
      </c>
      <c r="K3283" s="93">
        <v>2658</v>
      </c>
      <c r="L3283" s="93">
        <v>2658</v>
      </c>
      <c r="M3283" s="93" t="s">
        <v>2311</v>
      </c>
      <c r="N3283" s="93">
        <f>VLOOKUP(B3283,'[16]01.수집 카테고리(List)'!$A$2:$H$64,8,FALSE)</f>
        <v>99991231</v>
      </c>
      <c r="O3283" s="93" t="s">
        <v>646</v>
      </c>
    </row>
    <row r="3284" spans="1:15" hidden="1">
      <c r="A3284" s="75" t="str">
        <f t="shared" si="124"/>
        <v>USAMAZON_LGAir Conditionerwall air conditionerwall air conditioner</v>
      </c>
      <c r="B3284" s="94" t="str">
        <f t="shared" si="125"/>
        <v>US_AMAZON_LG</v>
      </c>
      <c r="C3284" s="93" t="s">
        <v>359</v>
      </c>
      <c r="D3284" s="93" t="s">
        <v>303</v>
      </c>
      <c r="E3284" s="93" t="s">
        <v>2346</v>
      </c>
      <c r="F3284" s="93" t="s">
        <v>3666</v>
      </c>
      <c r="G3284" s="93" t="s">
        <v>3666</v>
      </c>
      <c r="H3284" s="93" t="e">
        <v>#N/A</v>
      </c>
      <c r="I3284" s="105" t="s">
        <v>2310</v>
      </c>
      <c r="J3284" s="93" t="s">
        <v>189</v>
      </c>
      <c r="K3284" s="93">
        <v>2199</v>
      </c>
      <c r="L3284" s="93">
        <v>2199</v>
      </c>
      <c r="M3284" s="93" t="s">
        <v>2311</v>
      </c>
      <c r="N3284" s="93">
        <f>VLOOKUP(B3284,'[16]01.수집 카테고리(List)'!$A$2:$H$64,8,FALSE)</f>
        <v>99991231</v>
      </c>
      <c r="O3284" s="93" t="s">
        <v>646</v>
      </c>
    </row>
    <row r="3285" spans="1:15" hidden="1">
      <c r="A3285" s="75" t="str">
        <f t="shared" si="124"/>
        <v>USAMAZON_LGAir Conditionerwindow air conditionerwindow air conditioner</v>
      </c>
      <c r="B3285" s="94" t="str">
        <f t="shared" si="125"/>
        <v>US_AMAZON_LG</v>
      </c>
      <c r="C3285" s="93" t="s">
        <v>359</v>
      </c>
      <c r="D3285" s="93" t="s">
        <v>303</v>
      </c>
      <c r="E3285" s="93" t="s">
        <v>2346</v>
      </c>
      <c r="F3285" s="93" t="s">
        <v>2350</v>
      </c>
      <c r="G3285" s="93" t="s">
        <v>2350</v>
      </c>
      <c r="H3285" s="93" t="e">
        <v>#N/A</v>
      </c>
      <c r="I3285" s="105" t="s">
        <v>2310</v>
      </c>
      <c r="J3285" s="93" t="s">
        <v>189</v>
      </c>
      <c r="K3285" s="93">
        <v>1850</v>
      </c>
      <c r="L3285" s="93">
        <v>1850</v>
      </c>
      <c r="M3285" s="93" t="s">
        <v>2311</v>
      </c>
      <c r="N3285" s="93">
        <f>VLOOKUP(B3285,'[16]01.수집 카테고리(List)'!$A$2:$H$64,8,FALSE)</f>
        <v>99991231</v>
      </c>
      <c r="O3285" s="93" t="s">
        <v>646</v>
      </c>
    </row>
    <row r="3286" spans="1:15" hidden="1">
      <c r="A3286" s="75" t="str">
        <f t="shared" si="124"/>
        <v>USAMAZON_LGBluetooth Speakerbluetooth speakerbluetooth speaker</v>
      </c>
      <c r="B3286" s="94" t="str">
        <f t="shared" si="125"/>
        <v>US_AMAZON_LG</v>
      </c>
      <c r="C3286" s="93" t="s">
        <v>359</v>
      </c>
      <c r="D3286" s="93" t="s">
        <v>303</v>
      </c>
      <c r="E3286" s="93" t="s">
        <v>2307</v>
      </c>
      <c r="F3286" s="93" t="s">
        <v>2657</v>
      </c>
      <c r="G3286" s="93" t="s">
        <v>2657</v>
      </c>
      <c r="H3286" s="93" t="e">
        <v>#N/A</v>
      </c>
      <c r="I3286" s="105" t="s">
        <v>2310</v>
      </c>
      <c r="J3286" s="93" t="s">
        <v>189</v>
      </c>
      <c r="K3286" s="93">
        <v>3316</v>
      </c>
      <c r="L3286" s="93">
        <v>3316</v>
      </c>
      <c r="M3286" s="93" t="s">
        <v>2311</v>
      </c>
      <c r="N3286" s="93">
        <f>VLOOKUP(B3286,'[16]01.수집 카테고리(List)'!$A$2:$H$64,8,FALSE)</f>
        <v>99991231</v>
      </c>
      <c r="O3286" s="93" t="s">
        <v>646</v>
      </c>
    </row>
    <row r="3287" spans="1:15" hidden="1">
      <c r="A3287" s="75" t="str">
        <f t="shared" si="124"/>
        <v>USAMAZON_LGBluetooth Speakerbluetooth speaker portablebluetooth speaker portable</v>
      </c>
      <c r="B3287" s="94" t="str">
        <f t="shared" si="125"/>
        <v>US_AMAZON_LG</v>
      </c>
      <c r="C3287" s="93" t="s">
        <v>359</v>
      </c>
      <c r="D3287" s="93" t="s">
        <v>303</v>
      </c>
      <c r="E3287" s="93" t="s">
        <v>2307</v>
      </c>
      <c r="F3287" s="93" t="s">
        <v>2479</v>
      </c>
      <c r="G3287" s="93" t="s">
        <v>2479</v>
      </c>
      <c r="H3287" s="93" t="e">
        <v>#N/A</v>
      </c>
      <c r="I3287" s="105" t="s">
        <v>2310</v>
      </c>
      <c r="J3287" s="93" t="s">
        <v>189</v>
      </c>
      <c r="K3287" s="93">
        <v>7159</v>
      </c>
      <c r="L3287" s="93">
        <v>7159</v>
      </c>
      <c r="M3287" s="93" t="s">
        <v>2311</v>
      </c>
      <c r="N3287" s="93">
        <f>VLOOKUP(B3287,'[16]01.수집 카테고리(List)'!$A$2:$H$64,8,FALSE)</f>
        <v>99991231</v>
      </c>
      <c r="O3287" s="93" t="s">
        <v>646</v>
      </c>
    </row>
    <row r="3288" spans="1:15" hidden="1">
      <c r="A3288" s="75" t="str">
        <f t="shared" si="124"/>
        <v>USAMAZON_LGBluetooth Speakerwireless portable speakersPortable bluetooth speakers</v>
      </c>
      <c r="B3288" s="94" t="str">
        <f t="shared" si="125"/>
        <v>US_AMAZON_LG</v>
      </c>
      <c r="C3288" s="93" t="s">
        <v>359</v>
      </c>
      <c r="D3288" s="93" t="s">
        <v>303</v>
      </c>
      <c r="E3288" s="93" t="s">
        <v>2307</v>
      </c>
      <c r="F3288" s="93" t="s">
        <v>2475</v>
      </c>
      <c r="G3288" s="93" t="s">
        <v>2426</v>
      </c>
      <c r="H3288" s="93" t="e">
        <v>#N/A</v>
      </c>
      <c r="I3288" s="105" t="s">
        <v>2310</v>
      </c>
      <c r="J3288" s="93" t="s">
        <v>189</v>
      </c>
      <c r="K3288" s="93">
        <v>849</v>
      </c>
      <c r="L3288" s="93">
        <v>4743</v>
      </c>
      <c r="M3288" s="93" t="s">
        <v>2311</v>
      </c>
      <c r="N3288" s="93">
        <f>VLOOKUP(B3288,'[16]01.수집 카테고리(List)'!$A$2:$H$64,8,FALSE)</f>
        <v>99991231</v>
      </c>
      <c r="O3288" s="93" t="s">
        <v>646</v>
      </c>
    </row>
    <row r="3289" spans="1:15" hidden="1">
      <c r="A3289" s="75" t="str">
        <f t="shared" si="124"/>
        <v>USAMAZON_LGBluetooth Speakerportable speakersportable speakers</v>
      </c>
      <c r="B3289" s="94" t="str">
        <f t="shared" si="125"/>
        <v>US_AMAZON_LG</v>
      </c>
      <c r="C3289" s="93" t="s">
        <v>359</v>
      </c>
      <c r="D3289" s="93" t="s">
        <v>303</v>
      </c>
      <c r="E3289" s="93" t="s">
        <v>2307</v>
      </c>
      <c r="F3289" s="93" t="s">
        <v>2473</v>
      </c>
      <c r="G3289" s="93" t="s">
        <v>2473</v>
      </c>
      <c r="H3289" s="93" t="e">
        <v>#N/A</v>
      </c>
      <c r="I3289" s="105" t="s">
        <v>2310</v>
      </c>
      <c r="J3289" s="93" t="s">
        <v>189</v>
      </c>
      <c r="K3289" s="93">
        <v>7521</v>
      </c>
      <c r="L3289" s="93">
        <v>7521</v>
      </c>
      <c r="M3289" s="93" t="s">
        <v>2311</v>
      </c>
      <c r="N3289" s="93">
        <f>VLOOKUP(B3289,'[16]01.수집 카테고리(List)'!$A$2:$H$64,8,FALSE)</f>
        <v>99991231</v>
      </c>
      <c r="O3289" s="93" t="s">
        <v>646</v>
      </c>
    </row>
    <row r="3290" spans="1:15" hidden="1">
      <c r="A3290" s="75" t="str">
        <f t="shared" si="124"/>
        <v>USAMAZON_LGBluetooth Speakerspeakersspeakers</v>
      </c>
      <c r="B3290" s="94" t="str">
        <f t="shared" si="125"/>
        <v>US_AMAZON_LG</v>
      </c>
      <c r="C3290" s="93" t="s">
        <v>359</v>
      </c>
      <c r="D3290" s="93" t="s">
        <v>303</v>
      </c>
      <c r="E3290" s="93" t="s">
        <v>2307</v>
      </c>
      <c r="F3290" s="93" t="s">
        <v>2471</v>
      </c>
      <c r="G3290" s="93" t="s">
        <v>2471</v>
      </c>
      <c r="H3290" s="93" t="e">
        <v>#N/A</v>
      </c>
      <c r="I3290" s="105" t="s">
        <v>2310</v>
      </c>
      <c r="J3290" s="93" t="s">
        <v>189</v>
      </c>
      <c r="K3290" s="93">
        <v>5769</v>
      </c>
      <c r="L3290" s="93">
        <v>5769</v>
      </c>
      <c r="M3290" s="93" t="s">
        <v>2311</v>
      </c>
      <c r="N3290" s="93">
        <f>VLOOKUP(B3290,'[16]01.수집 카테고리(List)'!$A$2:$H$64,8,FALSE)</f>
        <v>99991231</v>
      </c>
      <c r="O3290" s="93" t="s">
        <v>646</v>
      </c>
    </row>
    <row r="3291" spans="1:15" hidden="1">
      <c r="A3291" s="75" t="str">
        <f t="shared" si="124"/>
        <v>USAMAZON_LGCordless stick vacuumcordless stick vacuumcordless stick vacuum</v>
      </c>
      <c r="B3291" s="94" t="str">
        <f t="shared" si="125"/>
        <v>US_AMAZON_LG</v>
      </c>
      <c r="C3291" s="93" t="s">
        <v>359</v>
      </c>
      <c r="D3291" s="93" t="s">
        <v>303</v>
      </c>
      <c r="E3291" s="93" t="s">
        <v>2435</v>
      </c>
      <c r="F3291" s="93" t="s">
        <v>2436</v>
      </c>
      <c r="G3291" s="93" t="s">
        <v>2436</v>
      </c>
      <c r="H3291" s="93" t="e">
        <v>#N/A</v>
      </c>
      <c r="I3291" s="105" t="s">
        <v>2310</v>
      </c>
      <c r="J3291" s="93" t="s">
        <v>189</v>
      </c>
      <c r="K3291" s="93">
        <v>405</v>
      </c>
      <c r="L3291" s="93">
        <v>405</v>
      </c>
      <c r="M3291" s="93" t="s">
        <v>2311</v>
      </c>
      <c r="N3291" s="93">
        <f>VLOOKUP(B3291,'[16]01.수집 카테고리(List)'!$A$2:$H$64,8,FALSE)</f>
        <v>99991231</v>
      </c>
      <c r="O3291" s="93" t="s">
        <v>646</v>
      </c>
    </row>
    <row r="3292" spans="1:15" hidden="1">
      <c r="A3292" s="75" t="str">
        <f t="shared" si="124"/>
        <v>USAMAZON_LGCordless stick vacuumhandstick vacuumhandstick vacuum</v>
      </c>
      <c r="B3292" s="94" t="str">
        <f t="shared" si="125"/>
        <v>US_AMAZON_LG</v>
      </c>
      <c r="C3292" s="93" t="s">
        <v>359</v>
      </c>
      <c r="D3292" s="93" t="s">
        <v>303</v>
      </c>
      <c r="E3292" s="93" t="s">
        <v>2435</v>
      </c>
      <c r="F3292" s="93" t="s">
        <v>3667</v>
      </c>
      <c r="G3292" s="93" t="s">
        <v>3667</v>
      </c>
      <c r="H3292" s="93" t="e">
        <v>#N/A</v>
      </c>
      <c r="I3292" s="105" t="s">
        <v>2310</v>
      </c>
      <c r="J3292" s="93" t="s">
        <v>189</v>
      </c>
      <c r="K3292" s="93">
        <v>808</v>
      </c>
      <c r="L3292" s="93">
        <v>808</v>
      </c>
      <c r="M3292" s="93" t="s">
        <v>2311</v>
      </c>
      <c r="N3292" s="93">
        <f>VLOOKUP(B3292,'[16]01.수집 카테고리(List)'!$A$2:$H$64,8,FALSE)</f>
        <v>99991231</v>
      </c>
      <c r="O3292" s="93" t="s">
        <v>646</v>
      </c>
    </row>
    <row r="3293" spans="1:15" hidden="1">
      <c r="A3293" s="75" t="str">
        <f t="shared" si="124"/>
        <v>USAMAZON_LGCordless stick vacuumstick vacuumstick vacuum</v>
      </c>
      <c r="B3293" s="94" t="str">
        <f t="shared" si="125"/>
        <v>US_AMAZON_LG</v>
      </c>
      <c r="C3293" s="93" t="s">
        <v>359</v>
      </c>
      <c r="D3293" s="93" t="s">
        <v>303</v>
      </c>
      <c r="E3293" s="93" t="s">
        <v>2435</v>
      </c>
      <c r="F3293" s="93" t="s">
        <v>2438</v>
      </c>
      <c r="G3293" s="93" t="s">
        <v>2438</v>
      </c>
      <c r="H3293" s="93" t="e">
        <v>#N/A</v>
      </c>
      <c r="I3293" s="105" t="s">
        <v>2310</v>
      </c>
      <c r="J3293" s="93" t="s">
        <v>189</v>
      </c>
      <c r="K3293" s="93">
        <v>1926</v>
      </c>
      <c r="L3293" s="93">
        <v>1926</v>
      </c>
      <c r="M3293" s="93" t="s">
        <v>2311</v>
      </c>
      <c r="N3293" s="93">
        <f>VLOOKUP(B3293,'[16]01.수집 카테고리(List)'!$A$2:$H$64,8,FALSE)</f>
        <v>99991231</v>
      </c>
      <c r="O3293" s="93" t="s">
        <v>646</v>
      </c>
    </row>
    <row r="3294" spans="1:15" hidden="1">
      <c r="A3294" s="75" t="str">
        <f t="shared" si="124"/>
        <v>USAMAZON_LGCordless stick vacuumstick vacuum cleanerstick vacuum cleaner</v>
      </c>
      <c r="B3294" s="94" t="str">
        <f t="shared" si="125"/>
        <v>US_AMAZON_LG</v>
      </c>
      <c r="C3294" s="93" t="s">
        <v>359</v>
      </c>
      <c r="D3294" s="93" t="s">
        <v>303</v>
      </c>
      <c r="E3294" s="93" t="s">
        <v>2435</v>
      </c>
      <c r="F3294" s="93" t="s">
        <v>2439</v>
      </c>
      <c r="G3294" s="93" t="s">
        <v>2439</v>
      </c>
      <c r="H3294" s="93" t="e">
        <v>#N/A</v>
      </c>
      <c r="I3294" s="105" t="s">
        <v>2310</v>
      </c>
      <c r="J3294" s="93" t="s">
        <v>189</v>
      </c>
      <c r="K3294" s="93">
        <v>3634</v>
      </c>
      <c r="L3294" s="93">
        <v>3634</v>
      </c>
      <c r="M3294" s="93" t="s">
        <v>2311</v>
      </c>
      <c r="N3294" s="93">
        <f>VLOOKUP(B3294,'[16]01.수집 카테고리(List)'!$A$2:$H$64,8,FALSE)</f>
        <v>99991231</v>
      </c>
      <c r="O3294" s="93" t="s">
        <v>646</v>
      </c>
    </row>
    <row r="3295" spans="1:15" hidden="1">
      <c r="A3295" s="75" t="str">
        <f t="shared" si="124"/>
        <v>USAMAZON_LGDishwasherBuilt in Dish washerBuilt in Dish washer</v>
      </c>
      <c r="B3295" s="94" t="str">
        <f t="shared" si="125"/>
        <v>US_AMAZON_LG</v>
      </c>
      <c r="C3295" s="93" t="s">
        <v>359</v>
      </c>
      <c r="D3295" s="93" t="s">
        <v>303</v>
      </c>
      <c r="E3295" s="93" t="s">
        <v>2440</v>
      </c>
      <c r="F3295" s="93" t="s">
        <v>2356</v>
      </c>
      <c r="G3295" s="93" t="s">
        <v>2356</v>
      </c>
      <c r="H3295" s="93" t="e">
        <v>#N/A</v>
      </c>
      <c r="I3295" s="105" t="s">
        <v>2310</v>
      </c>
      <c r="J3295" s="93" t="s">
        <v>189</v>
      </c>
      <c r="K3295" s="93">
        <v>1066</v>
      </c>
      <c r="L3295" s="93">
        <v>1066</v>
      </c>
      <c r="M3295" s="93" t="s">
        <v>2311</v>
      </c>
      <c r="N3295" s="93">
        <f>VLOOKUP(B3295,'[16]01.수집 카테고리(List)'!$A$2:$H$64,8,FALSE)</f>
        <v>99991231</v>
      </c>
      <c r="O3295" s="93" t="s">
        <v>646</v>
      </c>
    </row>
    <row r="3296" spans="1:15" hidden="1">
      <c r="A3296" s="75" t="str">
        <f t="shared" si="124"/>
        <v>USAMAZON_LGDishwasherbuilt in front controlbuilt in front control</v>
      </c>
      <c r="B3296" s="94" t="str">
        <f t="shared" si="125"/>
        <v>US_AMAZON_LG</v>
      </c>
      <c r="C3296" s="93" t="s">
        <v>359</v>
      </c>
      <c r="D3296" s="93" t="s">
        <v>303</v>
      </c>
      <c r="E3296" s="93" t="s">
        <v>2440</v>
      </c>
      <c r="F3296" s="93" t="s">
        <v>3668</v>
      </c>
      <c r="G3296" s="93" t="s">
        <v>3668</v>
      </c>
      <c r="H3296" s="93" t="e">
        <v>#N/A</v>
      </c>
      <c r="I3296" s="105" t="s">
        <v>2310</v>
      </c>
      <c r="J3296" s="93" t="s">
        <v>189</v>
      </c>
      <c r="K3296" s="93">
        <v>18189</v>
      </c>
      <c r="L3296" s="93">
        <v>18189</v>
      </c>
      <c r="M3296" s="93" t="s">
        <v>2311</v>
      </c>
      <c r="N3296" s="93">
        <f>VLOOKUP(B3296,'[16]01.수집 카테고리(List)'!$A$2:$H$64,8,FALSE)</f>
        <v>99991231</v>
      </c>
      <c r="O3296" s="93" t="s">
        <v>646</v>
      </c>
    </row>
    <row r="3297" spans="1:15" hidden="1">
      <c r="A3297" s="75" t="str">
        <f t="shared" si="124"/>
        <v>USAMAZON_LGDishwasherbuilt in top controlbuilt in top control</v>
      </c>
      <c r="B3297" s="94" t="str">
        <f t="shared" si="125"/>
        <v>US_AMAZON_LG</v>
      </c>
      <c r="C3297" s="93" t="s">
        <v>359</v>
      </c>
      <c r="D3297" s="93" t="s">
        <v>303</v>
      </c>
      <c r="E3297" s="93" t="s">
        <v>2440</v>
      </c>
      <c r="F3297" s="93" t="s">
        <v>3669</v>
      </c>
      <c r="G3297" s="93" t="s">
        <v>3669</v>
      </c>
      <c r="H3297" s="93" t="e">
        <v>#N/A</v>
      </c>
      <c r="I3297" s="105" t="s">
        <v>2310</v>
      </c>
      <c r="J3297" s="93" t="s">
        <v>189</v>
      </c>
      <c r="K3297" s="93">
        <v>9310</v>
      </c>
      <c r="L3297" s="93">
        <v>9310</v>
      </c>
      <c r="M3297" s="93" t="s">
        <v>2311</v>
      </c>
      <c r="N3297" s="93">
        <f>VLOOKUP(B3297,'[16]01.수집 카테고리(List)'!$A$2:$H$64,8,FALSE)</f>
        <v>99991231</v>
      </c>
      <c r="O3297" s="93" t="s">
        <v>646</v>
      </c>
    </row>
    <row r="3298" spans="1:15" hidden="1">
      <c r="A3298" s="75" t="str">
        <f t="shared" si="124"/>
        <v>USAMAZON_LGDryerElectric DryerElectric Dryer</v>
      </c>
      <c r="B3298" s="94" t="str">
        <f t="shared" si="125"/>
        <v>US_AMAZON_LG</v>
      </c>
      <c r="C3298" s="93" t="s">
        <v>359</v>
      </c>
      <c r="D3298" s="93" t="s">
        <v>303</v>
      </c>
      <c r="E3298" s="93" t="s">
        <v>2431</v>
      </c>
      <c r="F3298" s="93" t="s">
        <v>3670</v>
      </c>
      <c r="G3298" s="93" t="s">
        <v>3670</v>
      </c>
      <c r="H3298" s="93" t="e">
        <v>#N/A</v>
      </c>
      <c r="I3298" s="105" t="s">
        <v>2310</v>
      </c>
      <c r="J3298" s="93" t="s">
        <v>189</v>
      </c>
      <c r="K3298" s="93">
        <v>3182</v>
      </c>
      <c r="L3298" s="93">
        <v>3182</v>
      </c>
      <c r="M3298" s="93" t="s">
        <v>2311</v>
      </c>
      <c r="N3298" s="93">
        <f>VLOOKUP(B3298,'[16]01.수집 카테고리(List)'!$A$2:$H$64,8,FALSE)</f>
        <v>99991231</v>
      </c>
      <c r="O3298" s="93" t="s">
        <v>646</v>
      </c>
    </row>
    <row r="3299" spans="1:15" hidden="1">
      <c r="A3299" s="75" t="str">
        <f t="shared" si="124"/>
        <v>USAMAZON_LGDryerGas DryerGas Dryer</v>
      </c>
      <c r="B3299" s="94" t="str">
        <f t="shared" si="125"/>
        <v>US_AMAZON_LG</v>
      </c>
      <c r="C3299" s="93" t="s">
        <v>359</v>
      </c>
      <c r="D3299" s="93" t="s">
        <v>303</v>
      </c>
      <c r="E3299" s="93" t="s">
        <v>2431</v>
      </c>
      <c r="F3299" s="93" t="s">
        <v>3671</v>
      </c>
      <c r="G3299" s="93" t="s">
        <v>3671</v>
      </c>
      <c r="H3299" s="93" t="e">
        <v>#N/A</v>
      </c>
      <c r="I3299" s="105" t="s">
        <v>2310</v>
      </c>
      <c r="J3299" s="93" t="s">
        <v>189</v>
      </c>
      <c r="K3299" s="93">
        <v>1211</v>
      </c>
      <c r="L3299" s="93">
        <v>1211</v>
      </c>
      <c r="M3299" s="93" t="s">
        <v>2311</v>
      </c>
      <c r="N3299" s="93">
        <f>VLOOKUP(B3299,'[16]01.수집 카테고리(List)'!$A$2:$H$64,8,FALSE)</f>
        <v>99991231</v>
      </c>
      <c r="O3299" s="93" t="s">
        <v>646</v>
      </c>
    </row>
    <row r="3300" spans="1:15" hidden="1">
      <c r="A3300" s="75" t="str">
        <f t="shared" si="124"/>
        <v>USAMAZON_LGDryerSteam DryerSteam Dryer</v>
      </c>
      <c r="B3300" s="94" t="str">
        <f t="shared" si="125"/>
        <v>US_AMAZON_LG</v>
      </c>
      <c r="C3300" s="93" t="s">
        <v>359</v>
      </c>
      <c r="D3300" s="93" t="s">
        <v>303</v>
      </c>
      <c r="E3300" s="93" t="s">
        <v>2431</v>
      </c>
      <c r="F3300" s="93" t="s">
        <v>3672</v>
      </c>
      <c r="G3300" s="93" t="s">
        <v>3672</v>
      </c>
      <c r="H3300" s="93" t="e">
        <v>#N/A</v>
      </c>
      <c r="I3300" s="105" t="s">
        <v>2310</v>
      </c>
      <c r="J3300" s="93" t="s">
        <v>189</v>
      </c>
      <c r="K3300" s="93">
        <v>9388</v>
      </c>
      <c r="L3300" s="93">
        <v>9388</v>
      </c>
      <c r="M3300" s="93" t="s">
        <v>2311</v>
      </c>
      <c r="N3300" s="93">
        <f>VLOOKUP(B3300,'[16]01.수집 카테고리(List)'!$A$2:$H$64,8,FALSE)</f>
        <v>99991231</v>
      </c>
      <c r="O3300" s="93" t="s">
        <v>646</v>
      </c>
    </row>
    <row r="3301" spans="1:15" hidden="1">
      <c r="A3301" s="75" t="str">
        <f t="shared" si="124"/>
        <v>USAMAZON_LGLaptop15inch Laptop15inch Laptop</v>
      </c>
      <c r="B3301" s="94" t="str">
        <f t="shared" si="125"/>
        <v>US_AMAZON_LG</v>
      </c>
      <c r="C3301" s="93" t="s">
        <v>359</v>
      </c>
      <c r="D3301" s="93" t="s">
        <v>303</v>
      </c>
      <c r="E3301" s="93" t="s">
        <v>2407</v>
      </c>
      <c r="F3301" s="93" t="s">
        <v>2408</v>
      </c>
      <c r="G3301" s="93" t="s">
        <v>2408</v>
      </c>
      <c r="H3301" s="93" t="e">
        <v>#N/A</v>
      </c>
      <c r="I3301" s="105" t="s">
        <v>2310</v>
      </c>
      <c r="J3301" s="93" t="s">
        <v>189</v>
      </c>
      <c r="K3301" s="93">
        <v>3351</v>
      </c>
      <c r="L3301" s="93">
        <v>3351</v>
      </c>
      <c r="M3301" s="93" t="s">
        <v>2311</v>
      </c>
      <c r="N3301" s="93">
        <f>VLOOKUP(B3301,'[16]01.수집 카테고리(List)'!$A$2:$H$64,8,FALSE)</f>
        <v>99991231</v>
      </c>
      <c r="O3301" s="93" t="s">
        <v>646</v>
      </c>
    </row>
    <row r="3302" spans="1:15" hidden="1">
      <c r="A3302" s="75" t="str">
        <f t="shared" si="124"/>
        <v>USAMAZON_LGLaptop17inch Laptop17inch Laptop</v>
      </c>
      <c r="B3302" s="94" t="str">
        <f t="shared" si="125"/>
        <v>US_AMAZON_LG</v>
      </c>
      <c r="C3302" s="93" t="s">
        <v>359</v>
      </c>
      <c r="D3302" s="93" t="s">
        <v>303</v>
      </c>
      <c r="E3302" s="93" t="s">
        <v>2407</v>
      </c>
      <c r="F3302" s="93" t="s">
        <v>2409</v>
      </c>
      <c r="G3302" s="93" t="s">
        <v>2409</v>
      </c>
      <c r="H3302" s="93" t="e">
        <v>#N/A</v>
      </c>
      <c r="I3302" s="105" t="s">
        <v>2310</v>
      </c>
      <c r="J3302" s="93" t="s">
        <v>189</v>
      </c>
      <c r="K3302" s="93">
        <v>1870</v>
      </c>
      <c r="L3302" s="93">
        <v>1870</v>
      </c>
      <c r="M3302" s="93" t="s">
        <v>2311</v>
      </c>
      <c r="N3302" s="93">
        <f>VLOOKUP(B3302,'[16]01.수집 카테고리(List)'!$A$2:$H$64,8,FALSE)</f>
        <v>99991231</v>
      </c>
      <c r="O3302" s="93" t="s">
        <v>646</v>
      </c>
    </row>
    <row r="3303" spans="1:15" hidden="1">
      <c r="A3303" s="75" t="str">
        <f t="shared" si="124"/>
        <v>USAMAZON_LGLaptopi7 laptopi7 laptop</v>
      </c>
      <c r="B3303" s="94" t="str">
        <f t="shared" si="125"/>
        <v>US_AMAZON_LG</v>
      </c>
      <c r="C3303" s="93" t="s">
        <v>359</v>
      </c>
      <c r="D3303" s="93" t="s">
        <v>303</v>
      </c>
      <c r="E3303" s="93" t="s">
        <v>2407</v>
      </c>
      <c r="F3303" s="93" t="s">
        <v>2410</v>
      </c>
      <c r="G3303" s="93" t="s">
        <v>2410</v>
      </c>
      <c r="H3303" s="93" t="e">
        <v>#N/A</v>
      </c>
      <c r="I3303" s="105" t="s">
        <v>2310</v>
      </c>
      <c r="J3303" s="93" t="s">
        <v>189</v>
      </c>
      <c r="K3303" s="93">
        <v>4704</v>
      </c>
      <c r="L3303" s="93">
        <v>4704</v>
      </c>
      <c r="M3303" s="93" t="s">
        <v>2311</v>
      </c>
      <c r="N3303" s="93">
        <f>VLOOKUP(B3303,'[16]01.수집 카테고리(List)'!$A$2:$H$64,8,FALSE)</f>
        <v>99991231</v>
      </c>
      <c r="O3303" s="93" t="s">
        <v>646</v>
      </c>
    </row>
    <row r="3304" spans="1:15" hidden="1">
      <c r="A3304" s="75" t="str">
        <f t="shared" si="124"/>
        <v>USAMAZON_LGLaptopLaptopLaptop</v>
      </c>
      <c r="B3304" s="94" t="str">
        <f t="shared" si="125"/>
        <v>US_AMAZON_LG</v>
      </c>
      <c r="C3304" s="93" t="s">
        <v>359</v>
      </c>
      <c r="D3304" s="93" t="s">
        <v>303</v>
      </c>
      <c r="E3304" s="93" t="s">
        <v>2407</v>
      </c>
      <c r="F3304" s="93" t="s">
        <v>2407</v>
      </c>
      <c r="G3304" s="93" t="s">
        <v>2407</v>
      </c>
      <c r="H3304" s="93" t="e">
        <v>#N/A</v>
      </c>
      <c r="I3304" s="105" t="s">
        <v>2310</v>
      </c>
      <c r="J3304" s="93" t="s">
        <v>189</v>
      </c>
      <c r="K3304" s="93">
        <v>575</v>
      </c>
      <c r="L3304" s="93">
        <v>575</v>
      </c>
      <c r="M3304" s="93" t="s">
        <v>2311</v>
      </c>
      <c r="N3304" s="93">
        <f>VLOOKUP(B3304,'[16]01.수집 카테고리(List)'!$A$2:$H$64,8,FALSE)</f>
        <v>99991231</v>
      </c>
      <c r="O3304" s="93" t="s">
        <v>646</v>
      </c>
    </row>
    <row r="3305" spans="1:15" hidden="1">
      <c r="A3305" s="75" t="str">
        <f t="shared" si="124"/>
        <v>USAMAZON_LGLaptopLightweight LaptopLightweight Laptop</v>
      </c>
      <c r="B3305" s="94" t="str">
        <f t="shared" si="125"/>
        <v>US_AMAZON_LG</v>
      </c>
      <c r="C3305" s="93" t="s">
        <v>359</v>
      </c>
      <c r="D3305" s="93" t="s">
        <v>303</v>
      </c>
      <c r="E3305" s="93" t="s">
        <v>2407</v>
      </c>
      <c r="F3305" s="93" t="s">
        <v>2411</v>
      </c>
      <c r="G3305" s="93" t="s">
        <v>2411</v>
      </c>
      <c r="H3305" s="93" t="e">
        <v>#N/A</v>
      </c>
      <c r="I3305" s="105" t="s">
        <v>2310</v>
      </c>
      <c r="J3305" s="93" t="s">
        <v>189</v>
      </c>
      <c r="K3305" s="93">
        <v>7621</v>
      </c>
      <c r="L3305" s="93">
        <v>7621</v>
      </c>
      <c r="M3305" s="93" t="s">
        <v>2311</v>
      </c>
      <c r="N3305" s="93">
        <f>VLOOKUP(B3305,'[16]01.수집 카테고리(List)'!$A$2:$H$64,8,FALSE)</f>
        <v>99991231</v>
      </c>
      <c r="O3305" s="93" t="s">
        <v>646</v>
      </c>
    </row>
    <row r="3306" spans="1:15" hidden="1">
      <c r="A3306" s="75" t="str">
        <f t="shared" si="124"/>
        <v>USAMAZON_LGMonitor4k monitor4k monitor</v>
      </c>
      <c r="B3306" s="94" t="str">
        <f t="shared" si="125"/>
        <v>US_AMAZON_LG</v>
      </c>
      <c r="C3306" s="93" t="s">
        <v>359</v>
      </c>
      <c r="D3306" s="93" t="s">
        <v>303</v>
      </c>
      <c r="E3306" s="93" t="s">
        <v>2320</v>
      </c>
      <c r="F3306" s="93" t="s">
        <v>2321</v>
      </c>
      <c r="G3306" s="93" t="s">
        <v>2321</v>
      </c>
      <c r="H3306" s="93" t="e">
        <v>#N/A</v>
      </c>
      <c r="I3306" s="105" t="s">
        <v>2310</v>
      </c>
      <c r="J3306" s="93" t="s">
        <v>189</v>
      </c>
      <c r="K3306" s="93">
        <v>3661</v>
      </c>
      <c r="L3306" s="93">
        <v>3661</v>
      </c>
      <c r="M3306" s="93" t="s">
        <v>2311</v>
      </c>
      <c r="N3306" s="93">
        <f>VLOOKUP(B3306,'[16]01.수집 카테고리(List)'!$A$2:$H$64,8,FALSE)</f>
        <v>99991231</v>
      </c>
      <c r="O3306" s="93" t="s">
        <v>646</v>
      </c>
    </row>
    <row r="3307" spans="1:15" hidden="1">
      <c r="A3307" s="75" t="str">
        <f t="shared" si="124"/>
        <v>USAMAZON_LGMonitorgaming monitorgaming monitor</v>
      </c>
      <c r="B3307" s="94" t="str">
        <f t="shared" si="125"/>
        <v>US_AMAZON_LG</v>
      </c>
      <c r="C3307" s="93" t="s">
        <v>359</v>
      </c>
      <c r="D3307" s="93" t="s">
        <v>303</v>
      </c>
      <c r="E3307" s="93" t="s">
        <v>2320</v>
      </c>
      <c r="F3307" s="93" t="s">
        <v>2322</v>
      </c>
      <c r="G3307" s="93" t="s">
        <v>2322</v>
      </c>
      <c r="H3307" s="93" t="e">
        <v>#N/A</v>
      </c>
      <c r="I3307" s="105" t="s">
        <v>2310</v>
      </c>
      <c r="J3307" s="93" t="s">
        <v>189</v>
      </c>
      <c r="K3307" s="93">
        <v>4767</v>
      </c>
      <c r="L3307" s="93">
        <v>4767</v>
      </c>
      <c r="M3307" s="93" t="s">
        <v>2311</v>
      </c>
      <c r="N3307" s="93">
        <f>VLOOKUP(B3307,'[16]01.수집 카테고리(List)'!$A$2:$H$64,8,FALSE)</f>
        <v>99991231</v>
      </c>
      <c r="O3307" s="93" t="s">
        <v>646</v>
      </c>
    </row>
    <row r="3308" spans="1:15" hidden="1">
      <c r="A3308" s="75" t="str">
        <f t="shared" si="124"/>
        <v>USAMAZON_LGMonitormonitormonitor</v>
      </c>
      <c r="B3308" s="94" t="str">
        <f t="shared" si="125"/>
        <v>US_AMAZON_LG</v>
      </c>
      <c r="C3308" s="93" t="s">
        <v>359</v>
      </c>
      <c r="D3308" s="93" t="s">
        <v>303</v>
      </c>
      <c r="E3308" s="93" t="s">
        <v>2320</v>
      </c>
      <c r="F3308" s="93" t="s">
        <v>2323</v>
      </c>
      <c r="G3308" s="93" t="s">
        <v>2323</v>
      </c>
      <c r="H3308" s="93" t="e">
        <v>#N/A</v>
      </c>
      <c r="I3308" s="105" t="s">
        <v>2310</v>
      </c>
      <c r="J3308" s="93" t="s">
        <v>189</v>
      </c>
      <c r="K3308" s="93">
        <v>6574</v>
      </c>
      <c r="L3308" s="93">
        <v>6574</v>
      </c>
      <c r="M3308" s="93" t="s">
        <v>2311</v>
      </c>
      <c r="N3308" s="93">
        <f>VLOOKUP(B3308,'[16]01.수집 카테고리(List)'!$A$2:$H$64,8,FALSE)</f>
        <v>99991231</v>
      </c>
      <c r="O3308" s="93" t="s">
        <v>646</v>
      </c>
    </row>
    <row r="3309" spans="1:15" hidden="1">
      <c r="A3309" s="75" t="str">
        <f t="shared" si="124"/>
        <v>USAMAZON_LGMonitoruhd monitoruhd monitor</v>
      </c>
      <c r="B3309" s="94" t="str">
        <f t="shared" si="125"/>
        <v>US_AMAZON_LG</v>
      </c>
      <c r="C3309" s="93" t="s">
        <v>359</v>
      </c>
      <c r="D3309" s="93" t="s">
        <v>303</v>
      </c>
      <c r="E3309" s="93" t="s">
        <v>2320</v>
      </c>
      <c r="F3309" s="93" t="s">
        <v>2324</v>
      </c>
      <c r="G3309" s="93" t="s">
        <v>2324</v>
      </c>
      <c r="H3309" s="93" t="e">
        <v>#N/A</v>
      </c>
      <c r="I3309" s="105" t="s">
        <v>2310</v>
      </c>
      <c r="J3309" s="93" t="s">
        <v>189</v>
      </c>
      <c r="K3309" s="93">
        <v>1807</v>
      </c>
      <c r="L3309" s="93">
        <v>1807</v>
      </c>
      <c r="M3309" s="93" t="s">
        <v>2311</v>
      </c>
      <c r="N3309" s="93">
        <f>VLOOKUP(B3309,'[16]01.수집 카테고리(List)'!$A$2:$H$64,8,FALSE)</f>
        <v>99991231</v>
      </c>
      <c r="O3309" s="93" t="s">
        <v>646</v>
      </c>
    </row>
    <row r="3310" spans="1:15" hidden="1">
      <c r="A3310" s="75" t="str">
        <f t="shared" si="124"/>
        <v>USAMAZON_LGMonitorultrawide monitorultrawide monitor</v>
      </c>
      <c r="B3310" s="94" t="str">
        <f t="shared" si="125"/>
        <v>US_AMAZON_LG</v>
      </c>
      <c r="C3310" s="93" t="s">
        <v>359</v>
      </c>
      <c r="D3310" s="93" t="s">
        <v>303</v>
      </c>
      <c r="E3310" s="93" t="s">
        <v>2320</v>
      </c>
      <c r="F3310" s="93" t="s">
        <v>2325</v>
      </c>
      <c r="G3310" s="93" t="s">
        <v>2325</v>
      </c>
      <c r="H3310" s="93" t="e">
        <v>#N/A</v>
      </c>
      <c r="I3310" s="105" t="s">
        <v>2310</v>
      </c>
      <c r="J3310" s="93" t="s">
        <v>189</v>
      </c>
      <c r="K3310" s="93">
        <v>1544</v>
      </c>
      <c r="L3310" s="93">
        <v>1544</v>
      </c>
      <c r="M3310" s="93" t="s">
        <v>2311</v>
      </c>
      <c r="N3310" s="93">
        <f>VLOOKUP(B3310,'[16]01.수집 카테고리(List)'!$A$2:$H$64,8,FALSE)</f>
        <v>99991231</v>
      </c>
      <c r="O3310" s="93" t="s">
        <v>646</v>
      </c>
    </row>
    <row r="3311" spans="1:15" hidden="1">
      <c r="A3311" s="75" t="str">
        <f t="shared" si="124"/>
        <v>USAMAZON_LGOvenCooktopCooktop</v>
      </c>
      <c r="B3311" s="94" t="str">
        <f t="shared" si="125"/>
        <v>US_AMAZON_LG</v>
      </c>
      <c r="C3311" s="93" t="s">
        <v>359</v>
      </c>
      <c r="D3311" s="93" t="s">
        <v>303</v>
      </c>
      <c r="E3311" s="93" t="s">
        <v>2540</v>
      </c>
      <c r="F3311" s="93" t="s">
        <v>2541</v>
      </c>
      <c r="G3311" s="93" t="s">
        <v>2541</v>
      </c>
      <c r="H3311" s="93" t="e">
        <v>#N/A</v>
      </c>
      <c r="I3311" s="105" t="s">
        <v>2310</v>
      </c>
      <c r="J3311" s="93" t="s">
        <v>189</v>
      </c>
      <c r="K3311" s="93">
        <v>45885</v>
      </c>
      <c r="L3311" s="93">
        <v>45885</v>
      </c>
      <c r="M3311" s="93" t="s">
        <v>2311</v>
      </c>
      <c r="N3311" s="93">
        <f>VLOOKUP(B3311,'[16]01.수집 카테고리(List)'!$A$2:$H$64,8,FALSE)</f>
        <v>99991231</v>
      </c>
      <c r="O3311" s="93" t="s">
        <v>646</v>
      </c>
    </row>
    <row r="3312" spans="1:15" hidden="1">
      <c r="A3312" s="75" t="str">
        <f t="shared" si="124"/>
        <v>USAMAZON_LGOvenFreestanding RangeFreestanding Range</v>
      </c>
      <c r="B3312" s="94" t="str">
        <f t="shared" si="125"/>
        <v>US_AMAZON_LG</v>
      </c>
      <c r="C3312" s="93" t="s">
        <v>359</v>
      </c>
      <c r="D3312" s="93" t="s">
        <v>303</v>
      </c>
      <c r="E3312" s="93" t="s">
        <v>2540</v>
      </c>
      <c r="F3312" s="93" t="s">
        <v>3673</v>
      </c>
      <c r="G3312" s="93" t="s">
        <v>3673</v>
      </c>
      <c r="H3312" s="93" t="e">
        <v>#N/A</v>
      </c>
      <c r="I3312" s="105" t="s">
        <v>2310</v>
      </c>
      <c r="J3312" s="93" t="s">
        <v>189</v>
      </c>
      <c r="K3312" s="93">
        <v>2285</v>
      </c>
      <c r="L3312" s="93">
        <v>2285</v>
      </c>
      <c r="M3312" s="93" t="s">
        <v>2311</v>
      </c>
      <c r="N3312" s="93">
        <f>VLOOKUP(B3312,'[16]01.수집 카테고리(List)'!$A$2:$H$64,8,FALSE)</f>
        <v>99991231</v>
      </c>
      <c r="O3312" s="93" t="s">
        <v>646</v>
      </c>
    </row>
    <row r="3313" spans="1:15" hidden="1">
      <c r="A3313" s="75" t="str">
        <f t="shared" si="124"/>
        <v>USAMAZON_LGOvenSlide-in RangeSlide-in Range</v>
      </c>
      <c r="B3313" s="94" t="str">
        <f t="shared" si="125"/>
        <v>US_AMAZON_LG</v>
      </c>
      <c r="C3313" s="93" t="s">
        <v>359</v>
      </c>
      <c r="D3313" s="93" t="s">
        <v>303</v>
      </c>
      <c r="E3313" s="93" t="s">
        <v>2540</v>
      </c>
      <c r="F3313" s="93" t="s">
        <v>2676</v>
      </c>
      <c r="G3313" s="93" t="s">
        <v>2676</v>
      </c>
      <c r="H3313" s="93" t="e">
        <v>#N/A</v>
      </c>
      <c r="I3313" s="105" t="s">
        <v>2310</v>
      </c>
      <c r="J3313" s="93" t="s">
        <v>189</v>
      </c>
      <c r="K3313" s="93">
        <v>4179</v>
      </c>
      <c r="L3313" s="93">
        <v>4179</v>
      </c>
      <c r="M3313" s="93" t="s">
        <v>2311</v>
      </c>
      <c r="N3313" s="93">
        <f>VLOOKUP(B3313,'[16]01.수집 카테고리(List)'!$A$2:$H$64,8,FALSE)</f>
        <v>99991231</v>
      </c>
      <c r="O3313" s="93" t="s">
        <v>646</v>
      </c>
    </row>
    <row r="3314" spans="1:15" hidden="1">
      <c r="A3314" s="75" t="str">
        <f t="shared" si="124"/>
        <v>USAMAZON_LGOvenWall OvenWall Oven</v>
      </c>
      <c r="B3314" s="94" t="str">
        <f t="shared" si="125"/>
        <v>US_AMAZON_LG</v>
      </c>
      <c r="C3314" s="93" t="s">
        <v>359</v>
      </c>
      <c r="D3314" s="93" t="s">
        <v>303</v>
      </c>
      <c r="E3314" s="93" t="s">
        <v>2540</v>
      </c>
      <c r="F3314" s="93" t="s">
        <v>2544</v>
      </c>
      <c r="G3314" s="93" t="s">
        <v>2544</v>
      </c>
      <c r="H3314" s="93" t="e">
        <v>#N/A</v>
      </c>
      <c r="I3314" s="105" t="s">
        <v>2310</v>
      </c>
      <c r="J3314" s="93" t="s">
        <v>189</v>
      </c>
      <c r="K3314" s="93">
        <v>2862</v>
      </c>
      <c r="L3314" s="93">
        <v>2862</v>
      </c>
      <c r="M3314" s="93" t="s">
        <v>2311</v>
      </c>
      <c r="N3314" s="93">
        <f>VLOOKUP(B3314,'[16]01.수집 카테고리(List)'!$A$2:$H$64,8,FALSE)</f>
        <v>99991231</v>
      </c>
      <c r="O3314" s="93" t="s">
        <v>646</v>
      </c>
    </row>
    <row r="3315" spans="1:15" hidden="1">
      <c r="A3315" s="75" t="str">
        <f t="shared" si="124"/>
        <v>USAMAZON_LGRefrigerator4 door french door refrigerator4 door french door refrigerator</v>
      </c>
      <c r="B3315" s="94" t="str">
        <f t="shared" si="125"/>
        <v>US_AMAZON_LG</v>
      </c>
      <c r="C3315" s="93" t="s">
        <v>359</v>
      </c>
      <c r="D3315" s="93" t="s">
        <v>303</v>
      </c>
      <c r="E3315" s="93" t="s">
        <v>2326</v>
      </c>
      <c r="F3315" s="93" t="s">
        <v>2519</v>
      </c>
      <c r="G3315" s="93" t="s">
        <v>2519</v>
      </c>
      <c r="H3315" s="93" t="e">
        <v>#N/A</v>
      </c>
      <c r="I3315" s="105" t="s">
        <v>2310</v>
      </c>
      <c r="J3315" s="93" t="s">
        <v>189</v>
      </c>
      <c r="K3315" s="93">
        <v>1571</v>
      </c>
      <c r="L3315" s="93">
        <v>1571</v>
      </c>
      <c r="M3315" s="93" t="s">
        <v>2311</v>
      </c>
      <c r="N3315" s="93">
        <f>VLOOKUP(B3315,'[16]01.수집 카테고리(List)'!$A$2:$H$64,8,FALSE)</f>
        <v>99991231</v>
      </c>
      <c r="O3315" s="93" t="s">
        <v>646</v>
      </c>
    </row>
    <row r="3316" spans="1:15" hidden="1">
      <c r="A3316" s="75" t="str">
        <f t="shared" si="124"/>
        <v>USAMAZON_LGRefrigeratorbottom freezer refrigeratorbottom freezer refrigerator</v>
      </c>
      <c r="B3316" s="94" t="str">
        <f t="shared" si="125"/>
        <v>US_AMAZON_LG</v>
      </c>
      <c r="C3316" s="93" t="s">
        <v>359</v>
      </c>
      <c r="D3316" s="93" t="s">
        <v>303</v>
      </c>
      <c r="E3316" s="93" t="s">
        <v>2326</v>
      </c>
      <c r="F3316" s="93" t="s">
        <v>2327</v>
      </c>
      <c r="G3316" s="93" t="s">
        <v>2327</v>
      </c>
      <c r="H3316" s="93" t="e">
        <v>#N/A</v>
      </c>
      <c r="I3316" s="105" t="s">
        <v>2310</v>
      </c>
      <c r="J3316" s="93" t="s">
        <v>189</v>
      </c>
      <c r="K3316" s="93">
        <v>1809</v>
      </c>
      <c r="L3316" s="93">
        <v>1809</v>
      </c>
      <c r="M3316" s="93" t="s">
        <v>2311</v>
      </c>
      <c r="N3316" s="93">
        <f>VLOOKUP(B3316,'[16]01.수집 카테고리(List)'!$A$2:$H$64,8,FALSE)</f>
        <v>99991231</v>
      </c>
      <c r="O3316" s="93" t="s">
        <v>646</v>
      </c>
    </row>
    <row r="3317" spans="1:15" hidden="1">
      <c r="A3317" s="75" t="str">
        <f t="shared" si="124"/>
        <v>USAMAZON_LGRefrigeratorcounter depth refrigeratorcounter depth refrigerator</v>
      </c>
      <c r="B3317" s="94" t="str">
        <f t="shared" si="125"/>
        <v>US_AMAZON_LG</v>
      </c>
      <c r="C3317" s="93" t="s">
        <v>359</v>
      </c>
      <c r="D3317" s="93" t="s">
        <v>303</v>
      </c>
      <c r="E3317" s="93" t="s">
        <v>2326</v>
      </c>
      <c r="F3317" s="93" t="s">
        <v>2521</v>
      </c>
      <c r="G3317" s="93" t="s">
        <v>2521</v>
      </c>
      <c r="H3317" s="93" t="e">
        <v>#N/A</v>
      </c>
      <c r="I3317" s="105" t="s">
        <v>2310</v>
      </c>
      <c r="J3317" s="93" t="s">
        <v>189</v>
      </c>
      <c r="K3317" s="93">
        <v>887</v>
      </c>
      <c r="L3317" s="93">
        <v>887</v>
      </c>
      <c r="M3317" s="93" t="s">
        <v>2311</v>
      </c>
      <c r="N3317" s="93">
        <f>VLOOKUP(B3317,'[16]01.수집 카테고리(List)'!$A$2:$H$64,8,FALSE)</f>
        <v>99991231</v>
      </c>
      <c r="O3317" s="93" t="s">
        <v>646</v>
      </c>
    </row>
    <row r="3318" spans="1:15" hidden="1">
      <c r="A3318" s="75" t="str">
        <f t="shared" si="124"/>
        <v>USAMAZON_LGRefrigeratorfrench door refrigeratorfrench door refrigerator</v>
      </c>
      <c r="B3318" s="94" t="str">
        <f t="shared" si="125"/>
        <v>US_AMAZON_LG</v>
      </c>
      <c r="C3318" s="93" t="s">
        <v>359</v>
      </c>
      <c r="D3318" s="93" t="s">
        <v>303</v>
      </c>
      <c r="E3318" s="93" t="s">
        <v>2326</v>
      </c>
      <c r="F3318" s="93" t="s">
        <v>2328</v>
      </c>
      <c r="G3318" s="93" t="s">
        <v>2328</v>
      </c>
      <c r="H3318" s="93" t="e">
        <v>#N/A</v>
      </c>
      <c r="I3318" s="105" t="s">
        <v>2310</v>
      </c>
      <c r="J3318" s="93" t="s">
        <v>189</v>
      </c>
      <c r="K3318" s="93">
        <v>1164</v>
      </c>
      <c r="L3318" s="93">
        <v>1164</v>
      </c>
      <c r="M3318" s="93" t="s">
        <v>2311</v>
      </c>
      <c r="N3318" s="93">
        <f>VLOOKUP(B3318,'[16]01.수집 카테고리(List)'!$A$2:$H$64,8,FALSE)</f>
        <v>99991231</v>
      </c>
      <c r="O3318" s="93" t="s">
        <v>646</v>
      </c>
    </row>
    <row r="3319" spans="1:15" hidden="1">
      <c r="A3319" s="75" t="str">
        <f t="shared" si="124"/>
        <v>USAMAZON_LGRefrigeratorRefrigeradorRefrigerador</v>
      </c>
      <c r="B3319" s="94" t="str">
        <f t="shared" si="125"/>
        <v>US_AMAZON_LG</v>
      </c>
      <c r="C3319" s="93" t="s">
        <v>359</v>
      </c>
      <c r="D3319" s="93" t="s">
        <v>303</v>
      </c>
      <c r="E3319" s="93" t="s">
        <v>2326</v>
      </c>
      <c r="F3319" s="93" t="s">
        <v>3159</v>
      </c>
      <c r="G3319" s="93" t="s">
        <v>3674</v>
      </c>
      <c r="H3319" s="93" t="e">
        <v>#N/A</v>
      </c>
      <c r="I3319" s="105" t="s">
        <v>2310</v>
      </c>
      <c r="J3319" s="93" t="s">
        <v>189</v>
      </c>
      <c r="K3319" s="93">
        <v>1304</v>
      </c>
      <c r="L3319" s="93">
        <v>1304</v>
      </c>
      <c r="M3319" s="93" t="s">
        <v>2311</v>
      </c>
      <c r="N3319" s="93">
        <f>VLOOKUP(B3319,'[16]01.수집 카테고리(List)'!$A$2:$H$64,8,FALSE)</f>
        <v>99991231</v>
      </c>
      <c r="O3319" s="93" t="s">
        <v>646</v>
      </c>
    </row>
    <row r="3320" spans="1:15" hidden="1">
      <c r="A3320" s="75" t="str">
        <f t="shared" si="124"/>
        <v>USAMAZON_LGRefrigeratorrefrigeratorrefrigerator</v>
      </c>
      <c r="B3320" s="94" t="str">
        <f t="shared" si="125"/>
        <v>US_AMAZON_LG</v>
      </c>
      <c r="C3320" s="93" t="s">
        <v>359</v>
      </c>
      <c r="D3320" s="93" t="s">
        <v>303</v>
      </c>
      <c r="E3320" s="93" t="s">
        <v>2326</v>
      </c>
      <c r="F3320" s="93" t="s">
        <v>2329</v>
      </c>
      <c r="G3320" s="93" t="s">
        <v>3547</v>
      </c>
      <c r="H3320" s="93" t="e">
        <v>#N/A</v>
      </c>
      <c r="I3320" s="105" t="s">
        <v>2310</v>
      </c>
      <c r="J3320" s="93" t="s">
        <v>189</v>
      </c>
      <c r="K3320" s="93">
        <v>987</v>
      </c>
      <c r="L3320" s="93">
        <v>987</v>
      </c>
      <c r="M3320" s="93" t="s">
        <v>2311</v>
      </c>
      <c r="N3320" s="93">
        <f>VLOOKUP(B3320,'[16]01.수집 카테고리(List)'!$A$2:$H$64,8,FALSE)</f>
        <v>99991231</v>
      </c>
      <c r="O3320" s="93" t="s">
        <v>646</v>
      </c>
    </row>
    <row r="3321" spans="1:15" hidden="1">
      <c r="A3321" s="75" t="str">
        <f t="shared" si="124"/>
        <v>USAMAZON_LGRefrigeratorrefrigerator congelador inferiorrefrigerator congelador inferior</v>
      </c>
      <c r="B3321" s="94" t="str">
        <f t="shared" si="125"/>
        <v>US_AMAZON_LG</v>
      </c>
      <c r="C3321" s="93" t="s">
        <v>359</v>
      </c>
      <c r="D3321" s="93" t="s">
        <v>303</v>
      </c>
      <c r="E3321" s="93" t="s">
        <v>2326</v>
      </c>
      <c r="F3321" s="93" t="s">
        <v>3675</v>
      </c>
      <c r="G3321" s="93" t="s">
        <v>3675</v>
      </c>
      <c r="H3321" s="93" t="e">
        <v>#N/A</v>
      </c>
      <c r="I3321" s="105" t="s">
        <v>2310</v>
      </c>
      <c r="J3321" s="93" t="s">
        <v>189</v>
      </c>
      <c r="K3321" s="93">
        <v>983</v>
      </c>
      <c r="L3321" s="93">
        <v>983</v>
      </c>
      <c r="M3321" s="93" t="s">
        <v>2311</v>
      </c>
      <c r="N3321" s="93">
        <f>VLOOKUP(B3321,'[16]01.수집 카테고리(List)'!$A$2:$H$64,8,FALSE)</f>
        <v>99991231</v>
      </c>
      <c r="O3321" s="93" t="s">
        <v>646</v>
      </c>
    </row>
    <row r="3322" spans="1:15" hidden="1">
      <c r="A3322" s="75" t="str">
        <f t="shared" si="124"/>
        <v>USAMAZON_LGRefrigeratorrefrigerator congelador superiorrefrigerator congelador superior</v>
      </c>
      <c r="B3322" s="94" t="str">
        <f t="shared" si="125"/>
        <v>US_AMAZON_LG</v>
      </c>
      <c r="C3322" s="93" t="s">
        <v>359</v>
      </c>
      <c r="D3322" s="93" t="s">
        <v>303</v>
      </c>
      <c r="E3322" s="93" t="s">
        <v>2326</v>
      </c>
      <c r="F3322" s="93" t="s">
        <v>3676</v>
      </c>
      <c r="G3322" s="93" t="s">
        <v>3676</v>
      </c>
      <c r="H3322" s="93" t="e">
        <v>#N/A</v>
      </c>
      <c r="I3322" s="105" t="s">
        <v>2310</v>
      </c>
      <c r="J3322" s="93" t="s">
        <v>189</v>
      </c>
      <c r="K3322" s="93">
        <v>1045</v>
      </c>
      <c r="L3322" s="93">
        <v>1045</v>
      </c>
      <c r="M3322" s="93" t="s">
        <v>2311</v>
      </c>
      <c r="N3322" s="93">
        <f>VLOOKUP(B3322,'[16]01.수집 카테고리(List)'!$A$2:$H$64,8,FALSE)</f>
        <v>99991231</v>
      </c>
      <c r="O3322" s="93" t="s">
        <v>646</v>
      </c>
    </row>
    <row r="3323" spans="1:15" hidden="1">
      <c r="A3323" s="75" t="str">
        <f t="shared" si="124"/>
        <v>USAMAZON_LGRefrigeratorrefrigerator duplexrefrigerator duplex</v>
      </c>
      <c r="B3323" s="94" t="str">
        <f t="shared" si="125"/>
        <v>US_AMAZON_LG</v>
      </c>
      <c r="C3323" s="93" t="s">
        <v>359</v>
      </c>
      <c r="D3323" s="93" t="s">
        <v>303</v>
      </c>
      <c r="E3323" s="93" t="s">
        <v>2326</v>
      </c>
      <c r="F3323" s="93" t="s">
        <v>3677</v>
      </c>
      <c r="G3323" s="93" t="s">
        <v>3677</v>
      </c>
      <c r="H3323" s="93" t="e">
        <v>#N/A</v>
      </c>
      <c r="I3323" s="105" t="s">
        <v>2310</v>
      </c>
      <c r="J3323" s="93" t="s">
        <v>189</v>
      </c>
      <c r="K3323" s="93">
        <v>56</v>
      </c>
      <c r="L3323" s="93">
        <v>56</v>
      </c>
      <c r="M3323" s="93" t="s">
        <v>2311</v>
      </c>
      <c r="N3323" s="93">
        <f>VLOOKUP(B3323,'[16]01.수집 카테고리(List)'!$A$2:$H$64,8,FALSE)</f>
        <v>99991231</v>
      </c>
      <c r="O3323" s="93" t="s">
        <v>646</v>
      </c>
    </row>
    <row r="3324" spans="1:15" hidden="1">
      <c r="A3324" s="75" t="str">
        <f t="shared" si="124"/>
        <v>USAMAZON_LGRefrigeratorside by side refrigeratorside by side refrigerator</v>
      </c>
      <c r="B3324" s="94" t="str">
        <f t="shared" si="125"/>
        <v>US_AMAZON_LG</v>
      </c>
      <c r="C3324" s="93" t="s">
        <v>359</v>
      </c>
      <c r="D3324" s="93" t="s">
        <v>303</v>
      </c>
      <c r="E3324" s="93" t="s">
        <v>2326</v>
      </c>
      <c r="F3324" s="93" t="s">
        <v>2330</v>
      </c>
      <c r="G3324" s="93" t="s">
        <v>2330</v>
      </c>
      <c r="H3324" s="93" t="e">
        <v>#N/A</v>
      </c>
      <c r="I3324" s="105" t="s">
        <v>2310</v>
      </c>
      <c r="J3324" s="93" t="s">
        <v>189</v>
      </c>
      <c r="K3324" s="93">
        <v>4383</v>
      </c>
      <c r="L3324" s="93">
        <v>4383</v>
      </c>
      <c r="M3324" s="93" t="s">
        <v>2311</v>
      </c>
      <c r="N3324" s="93">
        <f>VLOOKUP(B3324,'[16]01.수집 카테고리(List)'!$A$2:$H$64,8,FALSE)</f>
        <v>99991231</v>
      </c>
      <c r="O3324" s="93" t="s">
        <v>646</v>
      </c>
    </row>
    <row r="3325" spans="1:15" hidden="1">
      <c r="A3325" s="75" t="str">
        <f t="shared" si="124"/>
        <v>USAMAZON_LGRefrigeratortop freezer refrigeratortop freezer refrigerator</v>
      </c>
      <c r="B3325" s="94" t="str">
        <f t="shared" si="125"/>
        <v>US_AMAZON_LG</v>
      </c>
      <c r="C3325" s="93" t="s">
        <v>359</v>
      </c>
      <c r="D3325" s="93" t="s">
        <v>303</v>
      </c>
      <c r="E3325" s="93" t="s">
        <v>2326</v>
      </c>
      <c r="F3325" s="93" t="s">
        <v>2332</v>
      </c>
      <c r="G3325" s="93" t="s">
        <v>2332</v>
      </c>
      <c r="H3325" s="93" t="e">
        <v>#N/A</v>
      </c>
      <c r="I3325" s="105" t="s">
        <v>2310</v>
      </c>
      <c r="J3325" s="93" t="s">
        <v>189</v>
      </c>
      <c r="K3325" s="93">
        <v>2628</v>
      </c>
      <c r="L3325" s="93">
        <v>2628</v>
      </c>
      <c r="M3325" s="93" t="s">
        <v>2311</v>
      </c>
      <c r="N3325" s="93">
        <f>VLOOKUP(B3325,'[16]01.수집 카테고리(List)'!$A$2:$H$64,8,FALSE)</f>
        <v>99991231</v>
      </c>
      <c r="O3325" s="93" t="s">
        <v>646</v>
      </c>
    </row>
    <row r="3326" spans="1:15" hidden="1">
      <c r="A3326" s="75" t="str">
        <f t="shared" si="124"/>
        <v>USAMAZON_LGSoundbarsound barsound bar</v>
      </c>
      <c r="B3326" s="94" t="str">
        <f t="shared" si="125"/>
        <v>US_AMAZON_LG</v>
      </c>
      <c r="C3326" s="93" t="s">
        <v>359</v>
      </c>
      <c r="D3326" s="93" t="s">
        <v>303</v>
      </c>
      <c r="E3326" s="93" t="s">
        <v>2363</v>
      </c>
      <c r="F3326" s="93" t="s">
        <v>2529</v>
      </c>
      <c r="G3326" s="93" t="s">
        <v>2529</v>
      </c>
      <c r="H3326" s="93" t="e">
        <v>#N/A</v>
      </c>
      <c r="I3326" s="105" t="s">
        <v>2310</v>
      </c>
      <c r="J3326" s="93" t="s">
        <v>189</v>
      </c>
      <c r="K3326" s="93">
        <v>597</v>
      </c>
      <c r="L3326" s="93">
        <v>597</v>
      </c>
      <c r="M3326" s="93" t="s">
        <v>2311</v>
      </c>
      <c r="N3326" s="93">
        <f>VLOOKUP(B3326,'[16]01.수집 카테고리(List)'!$A$2:$H$64,8,FALSE)</f>
        <v>99991231</v>
      </c>
      <c r="O3326" s="93" t="s">
        <v>646</v>
      </c>
    </row>
    <row r="3327" spans="1:15" hidden="1">
      <c r="A3327" s="75" t="str">
        <f t="shared" si="124"/>
        <v>USAMAZON_LGSoundbaraudioSoundbar</v>
      </c>
      <c r="B3327" s="94" t="str">
        <f t="shared" si="125"/>
        <v>US_AMAZON_LG</v>
      </c>
      <c r="C3327" s="93" t="s">
        <v>359</v>
      </c>
      <c r="D3327" s="93" t="s">
        <v>303</v>
      </c>
      <c r="E3327" s="93" t="s">
        <v>2363</v>
      </c>
      <c r="F3327" s="93" t="s">
        <v>2528</v>
      </c>
      <c r="G3327" s="93" t="s">
        <v>2363</v>
      </c>
      <c r="H3327" s="93" t="e">
        <v>#N/A</v>
      </c>
      <c r="I3327" s="105" t="s">
        <v>2310</v>
      </c>
      <c r="J3327" s="93" t="s">
        <v>189</v>
      </c>
      <c r="K3327" s="93">
        <v>1040</v>
      </c>
      <c r="L3327" s="93">
        <v>57804</v>
      </c>
      <c r="M3327" s="93" t="s">
        <v>2311</v>
      </c>
      <c r="N3327" s="93">
        <f>VLOOKUP(B3327,'[16]01.수집 카테고리(List)'!$A$2:$H$64,8,FALSE)</f>
        <v>99991231</v>
      </c>
      <c r="O3327" s="93" t="s">
        <v>646</v>
      </c>
    </row>
    <row r="3328" spans="1:15" hidden="1">
      <c r="A3328" s="75" t="str">
        <f t="shared" si="124"/>
        <v>USAMAZON_LGSoundbarsoundbarssoundbars</v>
      </c>
      <c r="B3328" s="94" t="str">
        <f t="shared" si="125"/>
        <v>US_AMAZON_LG</v>
      </c>
      <c r="C3328" s="93" t="s">
        <v>359</v>
      </c>
      <c r="D3328" s="93" t="s">
        <v>303</v>
      </c>
      <c r="E3328" s="93" t="s">
        <v>2363</v>
      </c>
      <c r="F3328" s="93" t="s">
        <v>2531</v>
      </c>
      <c r="G3328" s="93" t="s">
        <v>2531</v>
      </c>
      <c r="H3328" s="93" t="e">
        <v>#N/A</v>
      </c>
      <c r="I3328" s="105" t="s">
        <v>2310</v>
      </c>
      <c r="J3328" s="93" t="s">
        <v>189</v>
      </c>
      <c r="K3328" s="93">
        <v>3439</v>
      </c>
      <c r="L3328" s="93">
        <v>3439</v>
      </c>
      <c r="M3328" s="93" t="s">
        <v>2311</v>
      </c>
      <c r="N3328" s="93">
        <f>VLOOKUP(B3328,'[16]01.수집 카테고리(List)'!$A$2:$H$64,8,FALSE)</f>
        <v>99991231</v>
      </c>
      <c r="O3328" s="93" t="s">
        <v>646</v>
      </c>
    </row>
    <row r="3329" spans="1:15" hidden="1">
      <c r="A3329" s="75" t="str">
        <f t="shared" si="124"/>
        <v>USAMAZON_LGSoundbarsound systemSoundbars for tv</v>
      </c>
      <c r="B3329" s="94" t="str">
        <f t="shared" si="125"/>
        <v>US_AMAZON_LG</v>
      </c>
      <c r="C3329" s="93" t="s">
        <v>359</v>
      </c>
      <c r="D3329" s="93" t="s">
        <v>303</v>
      </c>
      <c r="E3329" s="93" t="s">
        <v>2363</v>
      </c>
      <c r="F3329" s="93" t="s">
        <v>2530</v>
      </c>
      <c r="G3329" s="93" t="s">
        <v>3678</v>
      </c>
      <c r="H3329" s="93" t="e">
        <v>#N/A</v>
      </c>
      <c r="I3329" s="105" t="s">
        <v>2310</v>
      </c>
      <c r="J3329" s="93" t="s">
        <v>189</v>
      </c>
      <c r="K3329" s="93">
        <v>1928</v>
      </c>
      <c r="L3329" s="93">
        <v>8235</v>
      </c>
      <c r="M3329" s="93" t="s">
        <v>2311</v>
      </c>
      <c r="N3329" s="93">
        <f>VLOOKUP(B3329,'[16]01.수집 카테고리(List)'!$A$2:$H$64,8,FALSE)</f>
        <v>99991231</v>
      </c>
      <c r="O3329" s="93" t="s">
        <v>646</v>
      </c>
    </row>
    <row r="3330" spans="1:15" hidden="1">
      <c r="A3330" s="75" t="str">
        <f t="shared" si="124"/>
        <v>USAMAZON_LGSoundbarspeakersSoundbars with subwoofer</v>
      </c>
      <c r="B3330" s="94" t="str">
        <f t="shared" si="125"/>
        <v>US_AMAZON_LG</v>
      </c>
      <c r="C3330" s="93" t="s">
        <v>359</v>
      </c>
      <c r="D3330" s="93" t="s">
        <v>303</v>
      </c>
      <c r="E3330" s="93" t="s">
        <v>2363</v>
      </c>
      <c r="F3330" s="93" t="s">
        <v>2471</v>
      </c>
      <c r="G3330" s="93" t="s">
        <v>3240</v>
      </c>
      <c r="H3330" s="93" t="e">
        <v>#N/A</v>
      </c>
      <c r="I3330" s="105" t="s">
        <v>2310</v>
      </c>
      <c r="J3330" s="93" t="s">
        <v>189</v>
      </c>
      <c r="K3330" s="93">
        <v>1477</v>
      </c>
      <c r="L3330" s="93">
        <v>5769</v>
      </c>
      <c r="M3330" s="93" t="s">
        <v>2311</v>
      </c>
      <c r="N3330" s="93">
        <f>VLOOKUP(B3330,'[16]01.수집 카테고리(List)'!$A$2:$H$64,8,FALSE)</f>
        <v>99991231</v>
      </c>
      <c r="O3330" s="93" t="s">
        <v>646</v>
      </c>
    </row>
    <row r="3331" spans="1:15" hidden="1">
      <c r="A3331" s="75" t="str">
        <f t="shared" si="124"/>
        <v>USAMAZON_LGStylerlg stylerlg styler</v>
      </c>
      <c r="B3331" s="94" t="str">
        <f t="shared" si="125"/>
        <v>US_AMAZON_LG</v>
      </c>
      <c r="C3331" s="93" t="s">
        <v>359</v>
      </c>
      <c r="D3331" s="93" t="s">
        <v>303</v>
      </c>
      <c r="E3331" s="93" t="s">
        <v>3281</v>
      </c>
      <c r="F3331" s="93" t="s">
        <v>3383</v>
      </c>
      <c r="G3331" s="93" t="s">
        <v>3383</v>
      </c>
      <c r="H3331" s="93" t="e">
        <v>#N/A</v>
      </c>
      <c r="I3331" s="105" t="s">
        <v>2310</v>
      </c>
      <c r="J3331" s="93" t="s">
        <v>189</v>
      </c>
      <c r="K3331" s="93">
        <v>2862</v>
      </c>
      <c r="L3331" s="93">
        <v>2862</v>
      </c>
      <c r="M3331" s="93" t="s">
        <v>2311</v>
      </c>
      <c r="N3331" s="93">
        <f>VLOOKUP(B3331,'[16]01.수집 카테고리(List)'!$A$2:$H$64,8,FALSE)</f>
        <v>99991231</v>
      </c>
      <c r="O3331" s="93" t="s">
        <v>646</v>
      </c>
    </row>
    <row r="3332" spans="1:15" hidden="1">
      <c r="A3332" s="75" t="str">
        <f t="shared" si="124"/>
        <v>USAMAZON_LGStylerStylerStyler</v>
      </c>
      <c r="B3332" s="94" t="str">
        <f t="shared" si="125"/>
        <v>US_AMAZON_LG</v>
      </c>
      <c r="C3332" s="93" t="s">
        <v>359</v>
      </c>
      <c r="D3332" s="93" t="s">
        <v>303</v>
      </c>
      <c r="E3332" s="93" t="s">
        <v>3281</v>
      </c>
      <c r="F3332" s="93" t="s">
        <v>3281</v>
      </c>
      <c r="G3332" s="93" t="s">
        <v>3281</v>
      </c>
      <c r="H3332" s="93" t="e">
        <v>#N/A</v>
      </c>
      <c r="I3332" s="105" t="s">
        <v>2310</v>
      </c>
      <c r="J3332" s="93" t="s">
        <v>189</v>
      </c>
      <c r="K3332" s="93">
        <v>511</v>
      </c>
      <c r="L3332" s="93">
        <v>511</v>
      </c>
      <c r="M3332" s="93" t="s">
        <v>2311</v>
      </c>
      <c r="N3332" s="93">
        <f>VLOOKUP(B3332,'[16]01.수집 카테고리(List)'!$A$2:$H$64,8,FALSE)</f>
        <v>99991231</v>
      </c>
      <c r="O3332" s="93" t="s">
        <v>646</v>
      </c>
    </row>
    <row r="3333" spans="1:15" hidden="1">
      <c r="A3333" s="75" t="str">
        <f t="shared" si="124"/>
        <v>USAMAZON_LGTV4k TV4k TV</v>
      </c>
      <c r="B3333" s="94" t="str">
        <f t="shared" si="125"/>
        <v>US_AMAZON_LG</v>
      </c>
      <c r="C3333" s="93" t="s">
        <v>359</v>
      </c>
      <c r="D3333" s="93" t="s">
        <v>303</v>
      </c>
      <c r="E3333" s="93" t="s">
        <v>161</v>
      </c>
      <c r="F3333" s="93" t="s">
        <v>2368</v>
      </c>
      <c r="G3333" s="93" t="s">
        <v>2368</v>
      </c>
      <c r="H3333" s="93" t="e">
        <v>#N/A</v>
      </c>
      <c r="I3333" s="105" t="s">
        <v>2310</v>
      </c>
      <c r="J3333" s="93" t="s">
        <v>189</v>
      </c>
      <c r="K3333" s="93">
        <v>6139</v>
      </c>
      <c r="L3333" s="93">
        <v>6139</v>
      </c>
      <c r="M3333" s="93" t="s">
        <v>2311</v>
      </c>
      <c r="N3333" s="93">
        <f>VLOOKUP(B3333,'[16]01.수집 카테고리(List)'!$A$2:$H$64,8,FALSE)</f>
        <v>99991231</v>
      </c>
      <c r="O3333" s="93" t="s">
        <v>646</v>
      </c>
    </row>
    <row r="3334" spans="1:15" hidden="1">
      <c r="A3334" s="75" t="str">
        <f t="shared" si="124"/>
        <v>USAMAZON_LGTVoled TVoled TV</v>
      </c>
      <c r="B3334" s="94" t="str">
        <f t="shared" si="125"/>
        <v>US_AMAZON_LG</v>
      </c>
      <c r="C3334" s="93" t="s">
        <v>359</v>
      </c>
      <c r="D3334" s="93" t="s">
        <v>303</v>
      </c>
      <c r="E3334" s="93" t="s">
        <v>161</v>
      </c>
      <c r="F3334" s="93" t="s">
        <v>2369</v>
      </c>
      <c r="G3334" s="93" t="s">
        <v>2369</v>
      </c>
      <c r="H3334" s="93" t="e">
        <v>#N/A</v>
      </c>
      <c r="I3334" s="105" t="s">
        <v>2310</v>
      </c>
      <c r="J3334" s="93" t="s">
        <v>189</v>
      </c>
      <c r="K3334" s="93">
        <v>2799</v>
      </c>
      <c r="L3334" s="93">
        <v>2799</v>
      </c>
      <c r="M3334" s="93" t="s">
        <v>2311</v>
      </c>
      <c r="N3334" s="93">
        <f>VLOOKUP(B3334,'[16]01.수집 카테고리(List)'!$A$2:$H$64,8,FALSE)</f>
        <v>99991231</v>
      </c>
      <c r="O3334" s="93" t="s">
        <v>646</v>
      </c>
    </row>
    <row r="3335" spans="1:15" hidden="1">
      <c r="A3335" s="75" t="str">
        <f t="shared" si="124"/>
        <v>USAMAZON_LGTVsmart TVsmart TV</v>
      </c>
      <c r="B3335" s="94" t="str">
        <f t="shared" si="125"/>
        <v>US_AMAZON_LG</v>
      </c>
      <c r="C3335" s="93" t="s">
        <v>359</v>
      </c>
      <c r="D3335" s="93" t="s">
        <v>303</v>
      </c>
      <c r="E3335" s="93" t="s">
        <v>161</v>
      </c>
      <c r="F3335" s="93" t="s">
        <v>2371</v>
      </c>
      <c r="G3335" s="93" t="s">
        <v>2371</v>
      </c>
      <c r="H3335" s="93" t="e">
        <v>#N/A</v>
      </c>
      <c r="I3335" s="105" t="s">
        <v>2310</v>
      </c>
      <c r="J3335" s="93" t="s">
        <v>189</v>
      </c>
      <c r="K3335" s="93">
        <v>4842</v>
      </c>
      <c r="L3335" s="93">
        <v>4842</v>
      </c>
      <c r="M3335" s="93" t="s">
        <v>2311</v>
      </c>
      <c r="N3335" s="93">
        <f>VLOOKUP(B3335,'[16]01.수집 카테고리(List)'!$A$2:$H$64,8,FALSE)</f>
        <v>99991231</v>
      </c>
      <c r="O3335" s="93" t="s">
        <v>646</v>
      </c>
    </row>
    <row r="3336" spans="1:15" hidden="1">
      <c r="A3336" s="75" t="str">
        <f t="shared" si="124"/>
        <v>USAMAZON_LGTVTVTV</v>
      </c>
      <c r="B3336" s="94" t="str">
        <f t="shared" si="125"/>
        <v>US_AMAZON_LG</v>
      </c>
      <c r="C3336" s="93" t="s">
        <v>359</v>
      </c>
      <c r="D3336" s="93" t="s">
        <v>303</v>
      </c>
      <c r="E3336" s="93" t="s">
        <v>161</v>
      </c>
      <c r="F3336" s="93" t="s">
        <v>161</v>
      </c>
      <c r="G3336" s="93" t="s">
        <v>161</v>
      </c>
      <c r="H3336" s="93" t="e">
        <v>#N/A</v>
      </c>
      <c r="I3336" s="105" t="s">
        <v>2310</v>
      </c>
      <c r="J3336" s="93" t="s">
        <v>189</v>
      </c>
      <c r="K3336" s="93">
        <v>8087</v>
      </c>
      <c r="L3336" s="93">
        <v>8087</v>
      </c>
      <c r="M3336" s="93" t="s">
        <v>2311</v>
      </c>
      <c r="N3336" s="93">
        <f>VLOOKUP(B3336,'[16]01.수집 카테고리(List)'!$A$2:$H$64,8,FALSE)</f>
        <v>99991231</v>
      </c>
      <c r="O3336" s="93" t="s">
        <v>646</v>
      </c>
    </row>
    <row r="3337" spans="1:15" hidden="1">
      <c r="A3337" s="75" t="str">
        <f t="shared" si="124"/>
        <v>USAMAZON_LGTVuhd TVuhd TV</v>
      </c>
      <c r="B3337" s="94" t="str">
        <f t="shared" si="125"/>
        <v>US_AMAZON_LG</v>
      </c>
      <c r="C3337" s="93" t="s">
        <v>359</v>
      </c>
      <c r="D3337" s="93" t="s">
        <v>303</v>
      </c>
      <c r="E3337" s="93" t="s">
        <v>161</v>
      </c>
      <c r="F3337" s="93" t="s">
        <v>2399</v>
      </c>
      <c r="G3337" s="93" t="s">
        <v>2399</v>
      </c>
      <c r="H3337" s="93" t="e">
        <v>#N/A</v>
      </c>
      <c r="I3337" s="105" t="s">
        <v>2310</v>
      </c>
      <c r="J3337" s="93" t="s">
        <v>189</v>
      </c>
      <c r="K3337" s="93">
        <v>4178</v>
      </c>
      <c r="L3337" s="93">
        <v>4178</v>
      </c>
      <c r="M3337" s="93" t="s">
        <v>2311</v>
      </c>
      <c r="N3337" s="93">
        <f>VLOOKUP(B3337,'[16]01.수집 카테고리(List)'!$A$2:$H$64,8,FALSE)</f>
        <v>99991231</v>
      </c>
      <c r="O3337" s="93" t="s">
        <v>646</v>
      </c>
    </row>
    <row r="3338" spans="1:15" hidden="1">
      <c r="A3338" s="75" t="str">
        <f t="shared" si="124"/>
        <v>USAMAZON_LGWashing Machinefront load washerCarga frontal</v>
      </c>
      <c r="B3338" s="94" t="str">
        <f t="shared" si="125"/>
        <v>US_AMAZON_LG</v>
      </c>
      <c r="C3338" s="93" t="s">
        <v>359</v>
      </c>
      <c r="D3338" s="93" t="s">
        <v>303</v>
      </c>
      <c r="E3338" s="93" t="s">
        <v>2333</v>
      </c>
      <c r="F3338" s="93" t="s">
        <v>2335</v>
      </c>
      <c r="G3338" s="93" t="s">
        <v>3679</v>
      </c>
      <c r="H3338" s="93" t="s">
        <v>3680</v>
      </c>
      <c r="I3338" s="105" t="s">
        <v>2310</v>
      </c>
      <c r="J3338" s="93" t="s">
        <v>189</v>
      </c>
      <c r="K3338" s="93" t="e">
        <v>#N/A</v>
      </c>
      <c r="L3338" s="93">
        <v>7472</v>
      </c>
      <c r="M3338" s="93" t="s">
        <v>2351</v>
      </c>
      <c r="N3338" s="93">
        <f>VLOOKUP(B3338,'[16]01.수집 카테고리(List)'!$A$2:$H$64,8,FALSE)</f>
        <v>99991231</v>
      </c>
      <c r="O3338" s="93" t="s">
        <v>646</v>
      </c>
    </row>
    <row r="3339" spans="1:15" hidden="1">
      <c r="A3339" s="75" t="str">
        <f t="shared" si="124"/>
        <v>USAMAZON_LGWashing Machinerefrigerator congelador superiorcarga superior</v>
      </c>
      <c r="B3339" s="94" t="str">
        <f t="shared" si="125"/>
        <v>US_AMAZON_LG</v>
      </c>
      <c r="C3339" s="93" t="s">
        <v>359</v>
      </c>
      <c r="D3339" s="93" t="s">
        <v>303</v>
      </c>
      <c r="E3339" s="93" t="s">
        <v>2333</v>
      </c>
      <c r="F3339" s="93" t="s">
        <v>3676</v>
      </c>
      <c r="G3339" s="93" t="s">
        <v>3681</v>
      </c>
      <c r="H3339" s="93" t="s">
        <v>3680</v>
      </c>
      <c r="I3339" s="105" t="s">
        <v>2310</v>
      </c>
      <c r="J3339" s="93" t="s">
        <v>189</v>
      </c>
      <c r="K3339" s="93">
        <v>3581</v>
      </c>
      <c r="L3339" s="93">
        <v>1045</v>
      </c>
      <c r="M3339" s="93" t="s">
        <v>2311</v>
      </c>
      <c r="N3339" s="93">
        <f>VLOOKUP(B3339,'[16]01.수집 카테고리(List)'!$A$2:$H$64,8,FALSE)</f>
        <v>99991231</v>
      </c>
      <c r="O3339" s="93" t="s">
        <v>646</v>
      </c>
    </row>
    <row r="3340" spans="1:15" hidden="1">
      <c r="A3340" s="75" t="str">
        <f t="shared" si="124"/>
        <v>USAMAZON_LGWashing Machinefront load washerfront load washer</v>
      </c>
      <c r="B3340" s="94" t="str">
        <f t="shared" si="125"/>
        <v>US_AMAZON_LG</v>
      </c>
      <c r="C3340" s="93" t="s">
        <v>359</v>
      </c>
      <c r="D3340" s="93" t="s">
        <v>303</v>
      </c>
      <c r="E3340" s="93" t="s">
        <v>2333</v>
      </c>
      <c r="F3340" s="93" t="s">
        <v>2335</v>
      </c>
      <c r="G3340" s="93" t="s">
        <v>2335</v>
      </c>
      <c r="H3340" s="93" t="e">
        <v>#N/A</v>
      </c>
      <c r="I3340" s="105" t="s">
        <v>2310</v>
      </c>
      <c r="J3340" s="93" t="s">
        <v>189</v>
      </c>
      <c r="K3340" s="93">
        <v>7472</v>
      </c>
      <c r="L3340" s="93">
        <v>7472</v>
      </c>
      <c r="M3340" s="93" t="s">
        <v>2311</v>
      </c>
      <c r="N3340" s="93">
        <f>VLOOKUP(B3340,'[16]01.수집 카테고리(List)'!$A$2:$H$64,8,FALSE)</f>
        <v>99991231</v>
      </c>
      <c r="O3340" s="93" t="s">
        <v>646</v>
      </c>
    </row>
    <row r="3341" spans="1:15" hidden="1">
      <c r="A3341" s="75" t="str">
        <f t="shared" si="124"/>
        <v>USAMAZON_LGWashing Machinewashing machinelavadora</v>
      </c>
      <c r="B3341" s="94" t="str">
        <f t="shared" si="125"/>
        <v>US_AMAZON_LG</v>
      </c>
      <c r="C3341" s="93" t="s">
        <v>359</v>
      </c>
      <c r="D3341" s="93" t="s">
        <v>303</v>
      </c>
      <c r="E3341" s="93" t="s">
        <v>2333</v>
      </c>
      <c r="F3341" s="93" t="s">
        <v>2340</v>
      </c>
      <c r="G3341" s="93" t="s">
        <v>3682</v>
      </c>
      <c r="H3341" s="93" t="s">
        <v>3680</v>
      </c>
      <c r="I3341" s="105" t="s">
        <v>2310</v>
      </c>
      <c r="J3341" s="93" t="s">
        <v>189</v>
      </c>
      <c r="K3341" s="93" t="e">
        <v>#N/A</v>
      </c>
      <c r="L3341" s="93">
        <v>5638</v>
      </c>
      <c r="M3341" s="93" t="s">
        <v>2351</v>
      </c>
      <c r="N3341" s="93">
        <f>VLOOKUP(B3341,'[16]01.수집 카테고리(List)'!$A$2:$H$64,8,FALSE)</f>
        <v>99991231</v>
      </c>
      <c r="O3341" s="93" t="s">
        <v>646</v>
      </c>
    </row>
    <row r="3342" spans="1:15" hidden="1">
      <c r="A3342" s="75" t="str">
        <f t="shared" si="124"/>
        <v>USAMAZON_LGWashing Machinewasher dryerlavasecadora</v>
      </c>
      <c r="B3342" s="94" t="str">
        <f t="shared" si="125"/>
        <v>US_AMAZON_LG</v>
      </c>
      <c r="C3342" s="93" t="s">
        <v>359</v>
      </c>
      <c r="D3342" s="93" t="s">
        <v>303</v>
      </c>
      <c r="E3342" s="93" t="s">
        <v>2333</v>
      </c>
      <c r="F3342" s="93" t="s">
        <v>2339</v>
      </c>
      <c r="G3342" s="93" t="s">
        <v>2791</v>
      </c>
      <c r="H3342" s="93" t="s">
        <v>3680</v>
      </c>
      <c r="I3342" s="105" t="s">
        <v>2310</v>
      </c>
      <c r="J3342" s="93" t="s">
        <v>189</v>
      </c>
      <c r="K3342" s="93">
        <v>266</v>
      </c>
      <c r="L3342" s="93" t="e">
        <v>#N/A</v>
      </c>
      <c r="M3342" s="93" t="s">
        <v>2311</v>
      </c>
      <c r="N3342" s="93">
        <f>VLOOKUP(B3342,'[16]01.수집 카테고리(List)'!$A$2:$H$64,8,FALSE)</f>
        <v>99991231</v>
      </c>
      <c r="O3342" s="93" t="s">
        <v>646</v>
      </c>
    </row>
    <row r="3343" spans="1:15" hidden="1">
      <c r="A3343" s="75" t="str">
        <f t="shared" si="124"/>
        <v>USAMAZON_LGWashing Machinewasher dryerwasher dryer</v>
      </c>
      <c r="B3343" s="94" t="str">
        <f t="shared" ref="B3343" si="126">C3343&amp;"_"&amp;D3343</f>
        <v>US_AMAZON_LG</v>
      </c>
      <c r="C3343" s="93" t="s">
        <v>359</v>
      </c>
      <c r="D3343" s="93" t="s">
        <v>303</v>
      </c>
      <c r="E3343" s="93" t="s">
        <v>2333</v>
      </c>
      <c r="F3343" s="93" t="s">
        <v>2339</v>
      </c>
      <c r="G3343" s="93" t="s">
        <v>2339</v>
      </c>
      <c r="H3343" s="93" t="e">
        <v>#N/A</v>
      </c>
      <c r="I3343" s="105" t="s">
        <v>2310</v>
      </c>
      <c r="J3343" s="93" t="s">
        <v>189</v>
      </c>
      <c r="K3343" s="93"/>
      <c r="L3343" s="93"/>
      <c r="M3343" s="93"/>
      <c r="N3343" s="93"/>
      <c r="O3343" s="93"/>
    </row>
    <row r="3344" spans="1:15" hidden="1">
      <c r="A3344" s="75" t="str">
        <f t="shared" si="124"/>
        <v>USAMAZON_LGWashing Machinetop load washertop load washer</v>
      </c>
      <c r="B3344" s="94" t="str">
        <f t="shared" si="125"/>
        <v>US_AMAZON_LG</v>
      </c>
      <c r="C3344" s="93" t="s">
        <v>359</v>
      </c>
      <c r="D3344" s="93" t="s">
        <v>303</v>
      </c>
      <c r="E3344" s="93" t="s">
        <v>2333</v>
      </c>
      <c r="F3344" s="93" t="s">
        <v>2337</v>
      </c>
      <c r="G3344" s="93" t="s">
        <v>2337</v>
      </c>
      <c r="H3344" s="93" t="e">
        <v>#N/A</v>
      </c>
      <c r="I3344" s="105" t="s">
        <v>2310</v>
      </c>
      <c r="J3344" s="93" t="s">
        <v>189</v>
      </c>
      <c r="K3344" s="93">
        <v>1647</v>
      </c>
      <c r="L3344" s="93">
        <v>1647</v>
      </c>
      <c r="M3344" s="93" t="s">
        <v>2311</v>
      </c>
      <c r="N3344" s="93">
        <f>VLOOKUP(B3344,'[16]01.수집 카테고리(List)'!$A$2:$H$64,8,FALSE)</f>
        <v>99991231</v>
      </c>
      <c r="O3344" s="93" t="s">
        <v>646</v>
      </c>
    </row>
    <row r="3345" spans="1:15" hidden="1">
      <c r="A3345" s="75" t="str">
        <f t="shared" si="124"/>
        <v>USAMAZON_LGWashing Machinewasher dryer combowasher dryer combo</v>
      </c>
      <c r="B3345" s="94" t="str">
        <f t="shared" si="125"/>
        <v>US_AMAZON_LG</v>
      </c>
      <c r="C3345" s="93" t="s">
        <v>359</v>
      </c>
      <c r="D3345" s="93" t="s">
        <v>303</v>
      </c>
      <c r="E3345" s="93" t="s">
        <v>2333</v>
      </c>
      <c r="F3345" s="93" t="s">
        <v>2338</v>
      </c>
      <c r="G3345" s="93" t="s">
        <v>2338</v>
      </c>
      <c r="H3345" s="93" t="e">
        <v>#N/A</v>
      </c>
      <c r="I3345" s="105" t="s">
        <v>2310</v>
      </c>
      <c r="J3345" s="93" t="s">
        <v>189</v>
      </c>
      <c r="K3345" s="93">
        <v>1889</v>
      </c>
      <c r="L3345" s="93">
        <v>1889</v>
      </c>
      <c r="M3345" s="93" t="s">
        <v>2311</v>
      </c>
      <c r="N3345" s="93">
        <f>VLOOKUP(B3345,'[16]01.수집 카테고리(List)'!$A$2:$H$64,8,FALSE)</f>
        <v>99991231</v>
      </c>
      <c r="O3345" s="93" t="s">
        <v>646</v>
      </c>
    </row>
    <row r="3346" spans="1:15" hidden="1">
      <c r="A3346" s="75" t="str">
        <f t="shared" ref="A3346:A3410" si="127">C3346&amp;D3346&amp;E3346&amp;F3346&amp;G3346</f>
        <v>USAMAZON_LGWashing Machinewashing machinewashing machine</v>
      </c>
      <c r="B3346" s="94" t="str">
        <f t="shared" ref="B3346:B3410" si="128">C3346&amp;"_"&amp;D3346</f>
        <v>US_AMAZON_LG</v>
      </c>
      <c r="C3346" s="93" t="s">
        <v>359</v>
      </c>
      <c r="D3346" s="93" t="s">
        <v>303</v>
      </c>
      <c r="E3346" s="93" t="s">
        <v>2333</v>
      </c>
      <c r="F3346" s="93" t="s">
        <v>2340</v>
      </c>
      <c r="G3346" s="93" t="s">
        <v>2340</v>
      </c>
      <c r="H3346" s="93" t="e">
        <v>#N/A</v>
      </c>
      <c r="I3346" s="105" t="s">
        <v>2310</v>
      </c>
      <c r="J3346" s="93" t="s">
        <v>189</v>
      </c>
      <c r="K3346" s="93">
        <v>5638</v>
      </c>
      <c r="L3346" s="93">
        <v>5638</v>
      </c>
      <c r="M3346" s="93" t="s">
        <v>2311</v>
      </c>
      <c r="N3346" s="93">
        <f>VLOOKUP(B3346,'[16]01.수집 카테고리(List)'!$A$2:$H$64,8,FALSE)</f>
        <v>99991231</v>
      </c>
      <c r="O3346" s="93" t="s">
        <v>646</v>
      </c>
    </row>
    <row r="3347" spans="1:15" hidden="1">
      <c r="A3347" s="75" t="str">
        <f t="shared" si="127"/>
        <v>USAMAZON_LGWIRELESS HEADSETBluetooth earbudsBluetooth earbuds</v>
      </c>
      <c r="B3347" s="94" t="str">
        <f t="shared" si="128"/>
        <v>US_AMAZON_LG</v>
      </c>
      <c r="C3347" s="93" t="s">
        <v>359</v>
      </c>
      <c r="D3347" s="93" t="s">
        <v>303</v>
      </c>
      <c r="E3347" s="93" t="s">
        <v>2201</v>
      </c>
      <c r="F3347" s="93" t="s">
        <v>2382</v>
      </c>
      <c r="G3347" s="93" t="s">
        <v>2382</v>
      </c>
      <c r="H3347" s="93" t="e">
        <v>#N/A</v>
      </c>
      <c r="I3347" s="105" t="s">
        <v>2310</v>
      </c>
      <c r="J3347" s="93" t="s">
        <v>189</v>
      </c>
      <c r="K3347" s="93">
        <v>5289</v>
      </c>
      <c r="L3347" s="93">
        <v>5289</v>
      </c>
      <c r="M3347" s="93" t="s">
        <v>2311</v>
      </c>
      <c r="N3347" s="93">
        <f>VLOOKUP(B3347,'[16]01.수집 카테고리(List)'!$A$2:$H$64,8,FALSE)</f>
        <v>99991231</v>
      </c>
      <c r="O3347" s="93" t="s">
        <v>646</v>
      </c>
    </row>
    <row r="3348" spans="1:15" hidden="1">
      <c r="A3348" s="75" t="str">
        <f t="shared" si="127"/>
        <v>USAMAZON_LGWIRELESS HEADSETEar budsEar buds</v>
      </c>
      <c r="B3348" s="94" t="str">
        <f t="shared" si="128"/>
        <v>US_AMAZON_LG</v>
      </c>
      <c r="C3348" s="93" t="s">
        <v>359</v>
      </c>
      <c r="D3348" s="93" t="s">
        <v>303</v>
      </c>
      <c r="E3348" s="93" t="s">
        <v>2201</v>
      </c>
      <c r="F3348" s="93" t="s">
        <v>2380</v>
      </c>
      <c r="G3348" s="93" t="s">
        <v>2380</v>
      </c>
      <c r="H3348" s="93" t="e">
        <v>#N/A</v>
      </c>
      <c r="I3348" s="105" t="s">
        <v>2310</v>
      </c>
      <c r="J3348" s="93" t="s">
        <v>189</v>
      </c>
      <c r="K3348" s="93">
        <v>4795</v>
      </c>
      <c r="L3348" s="93">
        <v>4795</v>
      </c>
      <c r="M3348" s="93" t="s">
        <v>2311</v>
      </c>
      <c r="N3348" s="93">
        <f>VLOOKUP(B3348,'[16]01.수집 카테고리(List)'!$A$2:$H$64,8,FALSE)</f>
        <v>99991231</v>
      </c>
      <c r="O3348" s="93" t="s">
        <v>646</v>
      </c>
    </row>
    <row r="3349" spans="1:15" hidden="1">
      <c r="A3349" s="75" t="str">
        <f t="shared" si="127"/>
        <v>USAMAZON_LGWIRELESS HEADSETEarbudsEarbuds</v>
      </c>
      <c r="B3349" s="94" t="str">
        <f t="shared" si="128"/>
        <v>US_AMAZON_LG</v>
      </c>
      <c r="C3349" s="93" t="s">
        <v>359</v>
      </c>
      <c r="D3349" s="93" t="s">
        <v>303</v>
      </c>
      <c r="E3349" s="93" t="s">
        <v>2201</v>
      </c>
      <c r="F3349" s="93" t="s">
        <v>2534</v>
      </c>
      <c r="G3349" s="93" t="s">
        <v>2534</v>
      </c>
      <c r="H3349" s="93" t="e">
        <v>#N/A</v>
      </c>
      <c r="I3349" s="105" t="s">
        <v>2310</v>
      </c>
      <c r="J3349" s="93" t="s">
        <v>189</v>
      </c>
      <c r="K3349" s="93">
        <v>6177</v>
      </c>
      <c r="L3349" s="93">
        <v>6177</v>
      </c>
      <c r="M3349" s="93" t="s">
        <v>2311</v>
      </c>
      <c r="N3349" s="93">
        <f>VLOOKUP(B3349,'[16]01.수집 카테고리(List)'!$A$2:$H$64,8,FALSE)</f>
        <v>99991231</v>
      </c>
      <c r="O3349" s="93" t="s">
        <v>646</v>
      </c>
    </row>
    <row r="3350" spans="1:15" hidden="1">
      <c r="A3350" s="75" t="str">
        <f t="shared" si="127"/>
        <v>USAMAZON_LGWIRELESS HEADSETBluetooth HeadphonesNoise cancelling earbuds</v>
      </c>
      <c r="B3350" s="94" t="str">
        <f t="shared" si="128"/>
        <v>US_AMAZON_LG</v>
      </c>
      <c r="C3350" s="93" t="s">
        <v>359</v>
      </c>
      <c r="D3350" s="93" t="s">
        <v>303</v>
      </c>
      <c r="E3350" s="93" t="s">
        <v>2201</v>
      </c>
      <c r="F3350" s="93" t="s">
        <v>2533</v>
      </c>
      <c r="G3350" s="93" t="s">
        <v>2378</v>
      </c>
      <c r="H3350" s="93" t="e">
        <v>#N/A</v>
      </c>
      <c r="I3350" s="105" t="s">
        <v>2310</v>
      </c>
      <c r="J3350" s="93" t="s">
        <v>189</v>
      </c>
      <c r="K3350" s="93">
        <v>1029</v>
      </c>
      <c r="L3350" s="93">
        <v>4154</v>
      </c>
      <c r="M3350" s="93" t="s">
        <v>2311</v>
      </c>
      <c r="N3350" s="93">
        <f>VLOOKUP(B3350,'[16]01.수집 카테고리(List)'!$A$2:$H$64,8,FALSE)</f>
        <v>99991231</v>
      </c>
      <c r="O3350" s="93" t="s">
        <v>646</v>
      </c>
    </row>
    <row r="3351" spans="1:15" hidden="1">
      <c r="A3351" s="75" t="str">
        <f t="shared" si="127"/>
        <v>USAMAZON_LGWIRELESS HEADSETWireless earbudsWireless earbuds</v>
      </c>
      <c r="B3351" s="94" t="str">
        <f t="shared" si="128"/>
        <v>US_AMAZON_LG</v>
      </c>
      <c r="C3351" s="93" t="s">
        <v>359</v>
      </c>
      <c r="D3351" s="93" t="s">
        <v>303</v>
      </c>
      <c r="E3351" s="93" t="s">
        <v>2201</v>
      </c>
      <c r="F3351" s="93" t="s">
        <v>2376</v>
      </c>
      <c r="G3351" s="93" t="s">
        <v>2376</v>
      </c>
      <c r="H3351" s="93" t="e">
        <v>#N/A</v>
      </c>
      <c r="I3351" s="105" t="s">
        <v>2310</v>
      </c>
      <c r="J3351" s="93" t="s">
        <v>189</v>
      </c>
      <c r="K3351" s="93">
        <v>5287</v>
      </c>
      <c r="L3351" s="93">
        <v>5287</v>
      </c>
      <c r="M3351" s="93" t="s">
        <v>2311</v>
      </c>
      <c r="N3351" s="93">
        <f>VLOOKUP(B3351,'[16]01.수집 카테고리(List)'!$A$2:$H$64,8,FALSE)</f>
        <v>99991231</v>
      </c>
      <c r="O3351" s="93" t="s">
        <v>646</v>
      </c>
    </row>
    <row r="3352" spans="1:15" hidden="1">
      <c r="A3352" s="75" t="str">
        <f t="shared" si="127"/>
        <v>USBESTBUY_LGBluetooth Speakerbluetooth speakerbluetooth speaker</v>
      </c>
      <c r="B3352" s="94" t="str">
        <f t="shared" si="128"/>
        <v>US_BESTBUY_LG</v>
      </c>
      <c r="C3352" s="93" t="s">
        <v>359</v>
      </c>
      <c r="D3352" s="93" t="s">
        <v>362</v>
      </c>
      <c r="E3352" s="93" t="s">
        <v>2307</v>
      </c>
      <c r="F3352" s="93" t="s">
        <v>2657</v>
      </c>
      <c r="G3352" s="93" t="s">
        <v>2657</v>
      </c>
      <c r="H3352" s="93" t="e">
        <v>#N/A</v>
      </c>
      <c r="I3352" s="105" t="s">
        <v>2310</v>
      </c>
      <c r="J3352" s="93" t="s">
        <v>189</v>
      </c>
      <c r="K3352" s="93">
        <v>500</v>
      </c>
      <c r="L3352" s="93">
        <v>500</v>
      </c>
      <c r="M3352" s="93" t="s">
        <v>2311</v>
      </c>
      <c r="N3352" s="93">
        <f>VLOOKUP(B3352,'[16]01.수집 카테고리(List)'!$A$2:$H$64,8,FALSE)</f>
        <v>99991231</v>
      </c>
      <c r="O3352" s="93" t="s">
        <v>646</v>
      </c>
    </row>
    <row r="3353" spans="1:15" hidden="1">
      <c r="A3353" s="75" t="str">
        <f t="shared" si="127"/>
        <v>USBESTBUY_LGBluetooth Speakerbluetooth speaker portablebluetooth speaker portable</v>
      </c>
      <c r="B3353" s="94" t="str">
        <f t="shared" si="128"/>
        <v>US_BESTBUY_LG</v>
      </c>
      <c r="C3353" s="93" t="s">
        <v>359</v>
      </c>
      <c r="D3353" s="93" t="s">
        <v>362</v>
      </c>
      <c r="E3353" s="93" t="s">
        <v>2307</v>
      </c>
      <c r="F3353" s="93" t="s">
        <v>2479</v>
      </c>
      <c r="G3353" s="93" t="s">
        <v>2479</v>
      </c>
      <c r="H3353" s="93" t="e">
        <v>#N/A</v>
      </c>
      <c r="I3353" s="105" t="s">
        <v>2310</v>
      </c>
      <c r="J3353" s="93" t="s">
        <v>189</v>
      </c>
      <c r="K3353" s="93">
        <v>432</v>
      </c>
      <c r="L3353" s="93">
        <v>432</v>
      </c>
      <c r="M3353" s="93" t="s">
        <v>2311</v>
      </c>
      <c r="N3353" s="93">
        <f>VLOOKUP(B3353,'[16]01.수집 카테고리(List)'!$A$2:$H$64,8,FALSE)</f>
        <v>99991231</v>
      </c>
      <c r="O3353" s="93" t="s">
        <v>646</v>
      </c>
    </row>
    <row r="3354" spans="1:15" hidden="1">
      <c r="A3354" s="75" t="str">
        <f t="shared" si="127"/>
        <v>USBESTBUY_LGBluetooth Speakerwireless portable speakersPortable bluetooth speakers</v>
      </c>
      <c r="B3354" s="94" t="str">
        <f t="shared" si="128"/>
        <v>US_BESTBUY_LG</v>
      </c>
      <c r="C3354" s="93" t="s">
        <v>359</v>
      </c>
      <c r="D3354" s="93" t="s">
        <v>362</v>
      </c>
      <c r="E3354" s="93" t="s">
        <v>2307</v>
      </c>
      <c r="F3354" s="93" t="s">
        <v>2475</v>
      </c>
      <c r="G3354" s="93" t="s">
        <v>2426</v>
      </c>
      <c r="H3354" s="93" t="e">
        <v>#N/A</v>
      </c>
      <c r="I3354" s="105" t="s">
        <v>2310</v>
      </c>
      <c r="J3354" s="93" t="s">
        <v>189</v>
      </c>
      <c r="K3354" s="93">
        <v>293</v>
      </c>
      <c r="L3354" s="93">
        <v>263</v>
      </c>
      <c r="M3354" s="93" t="s">
        <v>2311</v>
      </c>
      <c r="N3354" s="93">
        <f>VLOOKUP(B3354,'[16]01.수집 카테고리(List)'!$A$2:$H$64,8,FALSE)</f>
        <v>99991231</v>
      </c>
      <c r="O3354" s="93" t="s">
        <v>646</v>
      </c>
    </row>
    <row r="3355" spans="1:15" hidden="1">
      <c r="A3355" s="75" t="str">
        <f t="shared" si="127"/>
        <v>USBESTBUY_LGBluetooth Speakerportable speakersportable speakers</v>
      </c>
      <c r="B3355" s="94" t="str">
        <f t="shared" si="128"/>
        <v>US_BESTBUY_LG</v>
      </c>
      <c r="C3355" s="93" t="s">
        <v>359</v>
      </c>
      <c r="D3355" s="93" t="s">
        <v>362</v>
      </c>
      <c r="E3355" s="93" t="s">
        <v>2307</v>
      </c>
      <c r="F3355" s="93" t="s">
        <v>2473</v>
      </c>
      <c r="G3355" s="93" t="s">
        <v>2473</v>
      </c>
      <c r="H3355" s="93" t="e">
        <v>#N/A</v>
      </c>
      <c r="I3355" s="105" t="s">
        <v>2310</v>
      </c>
      <c r="J3355" s="93" t="s">
        <v>189</v>
      </c>
      <c r="K3355" s="93">
        <v>805</v>
      </c>
      <c r="L3355" s="93">
        <v>805</v>
      </c>
      <c r="M3355" s="93" t="s">
        <v>2311</v>
      </c>
      <c r="N3355" s="93">
        <f>VLOOKUP(B3355,'[16]01.수집 카테고리(List)'!$A$2:$H$64,8,FALSE)</f>
        <v>99991231</v>
      </c>
      <c r="O3355" s="93" t="s">
        <v>646</v>
      </c>
    </row>
    <row r="3356" spans="1:15" hidden="1">
      <c r="A3356" s="75" t="str">
        <f t="shared" si="127"/>
        <v>USBESTBUY_LGBluetooth Speakerspeakersspeakers</v>
      </c>
      <c r="B3356" s="94" t="str">
        <f t="shared" si="128"/>
        <v>US_BESTBUY_LG</v>
      </c>
      <c r="C3356" s="93" t="s">
        <v>359</v>
      </c>
      <c r="D3356" s="93" t="s">
        <v>362</v>
      </c>
      <c r="E3356" s="93" t="s">
        <v>2307</v>
      </c>
      <c r="F3356" s="93" t="s">
        <v>2471</v>
      </c>
      <c r="G3356" s="93" t="s">
        <v>2471</v>
      </c>
      <c r="H3356" s="93" t="e">
        <v>#N/A</v>
      </c>
      <c r="I3356" s="105" t="s">
        <v>2310</v>
      </c>
      <c r="J3356" s="93" t="s">
        <v>189</v>
      </c>
      <c r="K3356" s="93">
        <v>3143</v>
      </c>
      <c r="L3356" s="93">
        <v>3143</v>
      </c>
      <c r="M3356" s="93" t="s">
        <v>2311</v>
      </c>
      <c r="N3356" s="93">
        <f>VLOOKUP(B3356,'[16]01.수집 카테고리(List)'!$A$2:$H$64,8,FALSE)</f>
        <v>99991231</v>
      </c>
      <c r="O3356" s="93" t="s">
        <v>646</v>
      </c>
    </row>
    <row r="3357" spans="1:15" hidden="1">
      <c r="A3357" s="75" t="str">
        <f t="shared" si="127"/>
        <v>USBESTBUY_LGCordless stick vacuumcordless stick vacuumcordless stick vacuum</v>
      </c>
      <c r="B3357" s="94" t="str">
        <f t="shared" si="128"/>
        <v>US_BESTBUY_LG</v>
      </c>
      <c r="C3357" s="93" t="s">
        <v>359</v>
      </c>
      <c r="D3357" s="93" t="s">
        <v>362</v>
      </c>
      <c r="E3357" s="93" t="s">
        <v>2435</v>
      </c>
      <c r="F3357" s="93" t="s">
        <v>2436</v>
      </c>
      <c r="G3357" s="93" t="s">
        <v>2436</v>
      </c>
      <c r="H3357" s="93" t="e">
        <v>#N/A</v>
      </c>
      <c r="I3357" s="105" t="s">
        <v>2310</v>
      </c>
      <c r="J3357" s="93" t="s">
        <v>189</v>
      </c>
      <c r="K3357" s="93">
        <v>65</v>
      </c>
      <c r="L3357" s="93">
        <v>65</v>
      </c>
      <c r="M3357" s="93" t="s">
        <v>2311</v>
      </c>
      <c r="N3357" s="93">
        <f>VLOOKUP(B3357,'[16]01.수집 카테고리(List)'!$A$2:$H$64,8,FALSE)</f>
        <v>99991231</v>
      </c>
      <c r="O3357" s="93" t="s">
        <v>646</v>
      </c>
    </row>
    <row r="3358" spans="1:15" hidden="1">
      <c r="A3358" s="75" t="str">
        <f t="shared" si="127"/>
        <v>USBESTBUY_LGCordless stick vacuumhandstick vacuumhandstick vacuum</v>
      </c>
      <c r="B3358" s="94" t="str">
        <f t="shared" si="128"/>
        <v>US_BESTBUY_LG</v>
      </c>
      <c r="C3358" s="93" t="s">
        <v>359</v>
      </c>
      <c r="D3358" s="93" t="s">
        <v>362</v>
      </c>
      <c r="E3358" s="93" t="s">
        <v>2435</v>
      </c>
      <c r="F3358" s="93" t="s">
        <v>3667</v>
      </c>
      <c r="G3358" s="93" t="s">
        <v>3667</v>
      </c>
      <c r="H3358" s="93" t="e">
        <v>#N/A</v>
      </c>
      <c r="I3358" s="105" t="s">
        <v>2310</v>
      </c>
      <c r="J3358" s="93" t="s">
        <v>189</v>
      </c>
      <c r="K3358" s="93">
        <v>19</v>
      </c>
      <c r="L3358" s="93">
        <v>19</v>
      </c>
      <c r="M3358" s="93" t="s">
        <v>2311</v>
      </c>
      <c r="N3358" s="93">
        <f>VLOOKUP(B3358,'[16]01.수집 카테고리(List)'!$A$2:$H$64,8,FALSE)</f>
        <v>99991231</v>
      </c>
      <c r="O3358" s="93" t="s">
        <v>646</v>
      </c>
    </row>
    <row r="3359" spans="1:15" hidden="1">
      <c r="A3359" s="75" t="str">
        <f t="shared" si="127"/>
        <v>USBESTBUY_LGCordless stick vacuumstick vacuumstick vacuum</v>
      </c>
      <c r="B3359" s="94" t="str">
        <f t="shared" si="128"/>
        <v>US_BESTBUY_LG</v>
      </c>
      <c r="C3359" s="93" t="s">
        <v>359</v>
      </c>
      <c r="D3359" s="93" t="s">
        <v>362</v>
      </c>
      <c r="E3359" s="93" t="s">
        <v>2435</v>
      </c>
      <c r="F3359" s="93" t="s">
        <v>2438</v>
      </c>
      <c r="G3359" s="93" t="s">
        <v>2438</v>
      </c>
      <c r="H3359" s="93" t="e">
        <v>#N/A</v>
      </c>
      <c r="I3359" s="105" t="s">
        <v>2310</v>
      </c>
      <c r="J3359" s="93" t="s">
        <v>189</v>
      </c>
      <c r="K3359" s="93">
        <v>80</v>
      </c>
      <c r="L3359" s="93">
        <v>80</v>
      </c>
      <c r="M3359" s="93" t="s">
        <v>2311</v>
      </c>
      <c r="N3359" s="93">
        <f>VLOOKUP(B3359,'[16]01.수집 카테고리(List)'!$A$2:$H$64,8,FALSE)</f>
        <v>99991231</v>
      </c>
      <c r="O3359" s="93" t="s">
        <v>646</v>
      </c>
    </row>
    <row r="3360" spans="1:15" hidden="1">
      <c r="A3360" s="75" t="str">
        <f t="shared" si="127"/>
        <v>USBESTBUY_LGCordless stick vacuumstick vacuum cleanerstick vacuum cleaner</v>
      </c>
      <c r="B3360" s="94" t="str">
        <f t="shared" si="128"/>
        <v>US_BESTBUY_LG</v>
      </c>
      <c r="C3360" s="93" t="s">
        <v>359</v>
      </c>
      <c r="D3360" s="93" t="s">
        <v>362</v>
      </c>
      <c r="E3360" s="93" t="s">
        <v>2435</v>
      </c>
      <c r="F3360" s="93" t="s">
        <v>2439</v>
      </c>
      <c r="G3360" s="93" t="s">
        <v>2439</v>
      </c>
      <c r="H3360" s="93" t="e">
        <v>#N/A</v>
      </c>
      <c r="I3360" s="105" t="s">
        <v>2310</v>
      </c>
      <c r="J3360" s="93" t="s">
        <v>189</v>
      </c>
      <c r="K3360" s="93">
        <v>73</v>
      </c>
      <c r="L3360" s="93">
        <v>73</v>
      </c>
      <c r="M3360" s="93" t="s">
        <v>2311</v>
      </c>
      <c r="N3360" s="93">
        <f>VLOOKUP(B3360,'[16]01.수집 카테고리(List)'!$A$2:$H$64,8,FALSE)</f>
        <v>99991231</v>
      </c>
      <c r="O3360" s="93" t="s">
        <v>646</v>
      </c>
    </row>
    <row r="3361" spans="1:15" hidden="1">
      <c r="A3361" s="75" t="str">
        <f t="shared" si="127"/>
        <v>USBESTBUY_LGDishwasherBuilt in Dish washerBuilt in Dish washer</v>
      </c>
      <c r="B3361" s="94" t="str">
        <f t="shared" si="128"/>
        <v>US_BESTBUY_LG</v>
      </c>
      <c r="C3361" s="93" t="s">
        <v>359</v>
      </c>
      <c r="D3361" s="93" t="s">
        <v>362</v>
      </c>
      <c r="E3361" s="93" t="s">
        <v>2440</v>
      </c>
      <c r="F3361" s="93" t="s">
        <v>2356</v>
      </c>
      <c r="G3361" s="93" t="s">
        <v>2356</v>
      </c>
      <c r="H3361" s="93" t="e">
        <v>#N/A</v>
      </c>
      <c r="I3361" s="105" t="s">
        <v>2310</v>
      </c>
      <c r="J3361" s="93" t="s">
        <v>189</v>
      </c>
      <c r="K3361" s="93">
        <v>571</v>
      </c>
      <c r="L3361" s="93">
        <v>571</v>
      </c>
      <c r="M3361" s="93" t="s">
        <v>2311</v>
      </c>
      <c r="N3361" s="93">
        <f>VLOOKUP(B3361,'[16]01.수집 카테고리(List)'!$A$2:$H$64,8,FALSE)</f>
        <v>99991231</v>
      </c>
      <c r="O3361" s="93" t="s">
        <v>646</v>
      </c>
    </row>
    <row r="3362" spans="1:15" hidden="1">
      <c r="A3362" s="75" t="str">
        <f t="shared" si="127"/>
        <v>USBESTBUY_LGDishwasherbuilt in front controlbuilt in front control</v>
      </c>
      <c r="B3362" s="94" t="str">
        <f t="shared" si="128"/>
        <v>US_BESTBUY_LG</v>
      </c>
      <c r="C3362" s="93" t="s">
        <v>359</v>
      </c>
      <c r="D3362" s="93" t="s">
        <v>362</v>
      </c>
      <c r="E3362" s="93" t="s">
        <v>2440</v>
      </c>
      <c r="F3362" s="93" t="s">
        <v>3668</v>
      </c>
      <c r="G3362" s="93" t="s">
        <v>3668</v>
      </c>
      <c r="H3362" s="93" t="e">
        <v>#N/A</v>
      </c>
      <c r="I3362" s="105" t="s">
        <v>2310</v>
      </c>
      <c r="J3362" s="93" t="s">
        <v>189</v>
      </c>
      <c r="K3362" s="93">
        <v>668</v>
      </c>
      <c r="L3362" s="93">
        <v>668</v>
      </c>
      <c r="M3362" s="93" t="s">
        <v>2311</v>
      </c>
      <c r="N3362" s="93">
        <f>VLOOKUP(B3362,'[16]01.수집 카테고리(List)'!$A$2:$H$64,8,FALSE)</f>
        <v>99991231</v>
      </c>
      <c r="O3362" s="93" t="s">
        <v>646</v>
      </c>
    </row>
    <row r="3363" spans="1:15" hidden="1">
      <c r="A3363" s="75" t="str">
        <f t="shared" si="127"/>
        <v>USBESTBUY_LGDishwasherbuilt in top controlbuilt in top control</v>
      </c>
      <c r="B3363" s="94" t="str">
        <f t="shared" si="128"/>
        <v>US_BESTBUY_LG</v>
      </c>
      <c r="C3363" s="93" t="s">
        <v>359</v>
      </c>
      <c r="D3363" s="93" t="s">
        <v>362</v>
      </c>
      <c r="E3363" s="93" t="s">
        <v>2440</v>
      </c>
      <c r="F3363" s="93" t="s">
        <v>3669</v>
      </c>
      <c r="G3363" s="93" t="s">
        <v>3669</v>
      </c>
      <c r="H3363" s="93" t="e">
        <v>#N/A</v>
      </c>
      <c r="I3363" s="105" t="s">
        <v>2310</v>
      </c>
      <c r="J3363" s="93" t="s">
        <v>189</v>
      </c>
      <c r="K3363" s="93">
        <v>555</v>
      </c>
      <c r="L3363" s="93">
        <v>555</v>
      </c>
      <c r="M3363" s="93" t="s">
        <v>2311</v>
      </c>
      <c r="N3363" s="93">
        <f>VLOOKUP(B3363,'[16]01.수집 카테고리(List)'!$A$2:$H$64,8,FALSE)</f>
        <v>99991231</v>
      </c>
      <c r="O3363" s="93" t="s">
        <v>646</v>
      </c>
    </row>
    <row r="3364" spans="1:15" hidden="1">
      <c r="A3364" s="75" t="str">
        <f t="shared" si="127"/>
        <v>USBESTBUY_LGDryerElectric DryerElectric Dryer</v>
      </c>
      <c r="B3364" s="94" t="str">
        <f t="shared" si="128"/>
        <v>US_BESTBUY_LG</v>
      </c>
      <c r="C3364" s="93" t="s">
        <v>359</v>
      </c>
      <c r="D3364" s="93" t="s">
        <v>362</v>
      </c>
      <c r="E3364" s="93" t="s">
        <v>2431</v>
      </c>
      <c r="F3364" s="93" t="s">
        <v>3670</v>
      </c>
      <c r="G3364" s="93" t="s">
        <v>3670</v>
      </c>
      <c r="H3364" s="93" t="e">
        <v>#N/A</v>
      </c>
      <c r="I3364" s="105" t="s">
        <v>2310</v>
      </c>
      <c r="J3364" s="93" t="s">
        <v>189</v>
      </c>
      <c r="K3364" s="93">
        <v>635</v>
      </c>
      <c r="L3364" s="93">
        <v>635</v>
      </c>
      <c r="M3364" s="93" t="s">
        <v>2311</v>
      </c>
      <c r="N3364" s="93">
        <f>VLOOKUP(B3364,'[16]01.수집 카테고리(List)'!$A$2:$H$64,8,FALSE)</f>
        <v>99991231</v>
      </c>
      <c r="O3364" s="93" t="s">
        <v>646</v>
      </c>
    </row>
    <row r="3365" spans="1:15" hidden="1">
      <c r="A3365" s="75" t="str">
        <f t="shared" si="127"/>
        <v>USBESTBUY_LGDryerGas DryerGas Dryer</v>
      </c>
      <c r="B3365" s="94" t="str">
        <f t="shared" si="128"/>
        <v>US_BESTBUY_LG</v>
      </c>
      <c r="C3365" s="93" t="s">
        <v>359</v>
      </c>
      <c r="D3365" s="93" t="s">
        <v>362</v>
      </c>
      <c r="E3365" s="93" t="s">
        <v>2431</v>
      </c>
      <c r="F3365" s="93" t="s">
        <v>3671</v>
      </c>
      <c r="G3365" s="93" t="s">
        <v>3671</v>
      </c>
      <c r="H3365" s="93" t="e">
        <v>#N/A</v>
      </c>
      <c r="I3365" s="105" t="s">
        <v>2310</v>
      </c>
      <c r="J3365" s="93" t="s">
        <v>189</v>
      </c>
      <c r="K3365" s="93">
        <v>455</v>
      </c>
      <c r="L3365" s="93">
        <v>455</v>
      </c>
      <c r="M3365" s="93" t="s">
        <v>2311</v>
      </c>
      <c r="N3365" s="93">
        <f>VLOOKUP(B3365,'[16]01.수집 카테고리(List)'!$A$2:$H$64,8,FALSE)</f>
        <v>99991231</v>
      </c>
      <c r="O3365" s="93" t="s">
        <v>646</v>
      </c>
    </row>
    <row r="3366" spans="1:15" hidden="1">
      <c r="A3366" s="75" t="str">
        <f t="shared" si="127"/>
        <v>USBESTBUY_LGDryerSteam DryerSteam Dryer</v>
      </c>
      <c r="B3366" s="94" t="str">
        <f t="shared" si="128"/>
        <v>US_BESTBUY_LG</v>
      </c>
      <c r="C3366" s="93" t="s">
        <v>359</v>
      </c>
      <c r="D3366" s="93" t="s">
        <v>362</v>
      </c>
      <c r="E3366" s="93" t="s">
        <v>2431</v>
      </c>
      <c r="F3366" s="93" t="s">
        <v>3672</v>
      </c>
      <c r="G3366" s="93" t="s">
        <v>3672</v>
      </c>
      <c r="H3366" s="93" t="e">
        <v>#N/A</v>
      </c>
      <c r="I3366" s="105" t="s">
        <v>2310</v>
      </c>
      <c r="J3366" s="93" t="s">
        <v>189</v>
      </c>
      <c r="K3366" s="93">
        <v>1185</v>
      </c>
      <c r="L3366" s="93">
        <v>1185</v>
      </c>
      <c r="M3366" s="93" t="s">
        <v>2311</v>
      </c>
      <c r="N3366" s="93">
        <f>VLOOKUP(B3366,'[16]01.수집 카테고리(List)'!$A$2:$H$64,8,FALSE)</f>
        <v>99991231</v>
      </c>
      <c r="O3366" s="93" t="s">
        <v>646</v>
      </c>
    </row>
    <row r="3367" spans="1:15" hidden="1">
      <c r="A3367" s="75" t="str">
        <f t="shared" si="127"/>
        <v>USBESTBUY_LGMonitor4k monitor4k monitor</v>
      </c>
      <c r="B3367" s="94" t="str">
        <f t="shared" si="128"/>
        <v>US_BESTBUY_LG</v>
      </c>
      <c r="C3367" s="93" t="s">
        <v>359</v>
      </c>
      <c r="D3367" s="93" t="s">
        <v>362</v>
      </c>
      <c r="E3367" s="93" t="s">
        <v>2320</v>
      </c>
      <c r="F3367" s="93" t="s">
        <v>2321</v>
      </c>
      <c r="G3367" s="93" t="s">
        <v>2321</v>
      </c>
      <c r="H3367" s="93" t="e">
        <v>#N/A</v>
      </c>
      <c r="I3367" s="105" t="s">
        <v>2310</v>
      </c>
      <c r="J3367" s="93" t="s">
        <v>189</v>
      </c>
      <c r="K3367" s="93">
        <v>512</v>
      </c>
      <c r="L3367" s="93">
        <v>512</v>
      </c>
      <c r="M3367" s="93" t="s">
        <v>2311</v>
      </c>
      <c r="N3367" s="93">
        <f>VLOOKUP(B3367,'[16]01.수집 카테고리(List)'!$A$2:$H$64,8,FALSE)</f>
        <v>99991231</v>
      </c>
      <c r="O3367" s="93" t="s">
        <v>646</v>
      </c>
    </row>
    <row r="3368" spans="1:15" hidden="1">
      <c r="A3368" s="75" t="str">
        <f t="shared" si="127"/>
        <v>USBESTBUY_LGMonitorgaming monitorgaming monitor</v>
      </c>
      <c r="B3368" s="94" t="str">
        <f t="shared" si="128"/>
        <v>US_BESTBUY_LG</v>
      </c>
      <c r="C3368" s="93" t="s">
        <v>359</v>
      </c>
      <c r="D3368" s="93" t="s">
        <v>362</v>
      </c>
      <c r="E3368" s="93" t="s">
        <v>2320</v>
      </c>
      <c r="F3368" s="93" t="s">
        <v>2322</v>
      </c>
      <c r="G3368" s="93" t="s">
        <v>2322</v>
      </c>
      <c r="H3368" s="93" t="e">
        <v>#N/A</v>
      </c>
      <c r="I3368" s="105" t="s">
        <v>2310</v>
      </c>
      <c r="J3368" s="93" t="s">
        <v>189</v>
      </c>
      <c r="K3368" s="93">
        <v>931</v>
      </c>
      <c r="L3368" s="93">
        <v>931</v>
      </c>
      <c r="M3368" s="93" t="s">
        <v>2311</v>
      </c>
      <c r="N3368" s="93">
        <f>VLOOKUP(B3368,'[16]01.수집 카테고리(List)'!$A$2:$H$64,8,FALSE)</f>
        <v>99991231</v>
      </c>
      <c r="O3368" s="93" t="s">
        <v>646</v>
      </c>
    </row>
    <row r="3369" spans="1:15" hidden="1">
      <c r="A3369" s="75" t="str">
        <f t="shared" si="127"/>
        <v>USBESTBUY_LGMonitormonitormonitor</v>
      </c>
      <c r="B3369" s="94" t="str">
        <f t="shared" si="128"/>
        <v>US_BESTBUY_LG</v>
      </c>
      <c r="C3369" s="93" t="s">
        <v>359</v>
      </c>
      <c r="D3369" s="93" t="s">
        <v>362</v>
      </c>
      <c r="E3369" s="93" t="s">
        <v>2320</v>
      </c>
      <c r="F3369" s="93" t="s">
        <v>2323</v>
      </c>
      <c r="G3369" s="93" t="s">
        <v>2323</v>
      </c>
      <c r="H3369" s="93" t="e">
        <v>#N/A</v>
      </c>
      <c r="I3369" s="105" t="s">
        <v>2310</v>
      </c>
      <c r="J3369" s="93" t="s">
        <v>189</v>
      </c>
      <c r="K3369" s="93">
        <v>1524</v>
      </c>
      <c r="L3369" s="93">
        <v>1524</v>
      </c>
      <c r="M3369" s="93" t="s">
        <v>2311</v>
      </c>
      <c r="N3369" s="93">
        <f>VLOOKUP(B3369,'[16]01.수집 카테고리(List)'!$A$2:$H$64,8,FALSE)</f>
        <v>99991231</v>
      </c>
      <c r="O3369" s="93" t="s">
        <v>646</v>
      </c>
    </row>
    <row r="3370" spans="1:15" hidden="1">
      <c r="A3370" s="75" t="str">
        <f t="shared" si="127"/>
        <v>USBESTBUY_LGMonitoruhd monitoruhd monitor</v>
      </c>
      <c r="B3370" s="94" t="str">
        <f t="shared" si="128"/>
        <v>US_BESTBUY_LG</v>
      </c>
      <c r="C3370" s="93" t="s">
        <v>359</v>
      </c>
      <c r="D3370" s="93" t="s">
        <v>362</v>
      </c>
      <c r="E3370" s="93" t="s">
        <v>2320</v>
      </c>
      <c r="F3370" s="93" t="s">
        <v>2324</v>
      </c>
      <c r="G3370" s="93" t="s">
        <v>2324</v>
      </c>
      <c r="H3370" s="93" t="e">
        <v>#N/A</v>
      </c>
      <c r="I3370" s="105" t="s">
        <v>2310</v>
      </c>
      <c r="J3370" s="93" t="s">
        <v>189</v>
      </c>
      <c r="K3370" s="93">
        <v>434</v>
      </c>
      <c r="L3370" s="93">
        <v>434</v>
      </c>
      <c r="M3370" s="93" t="s">
        <v>2311</v>
      </c>
      <c r="N3370" s="93">
        <f>VLOOKUP(B3370,'[16]01.수집 카테고리(List)'!$A$2:$H$64,8,FALSE)</f>
        <v>99991231</v>
      </c>
      <c r="O3370" s="93" t="s">
        <v>646</v>
      </c>
    </row>
    <row r="3371" spans="1:15" hidden="1">
      <c r="A3371" s="75" t="str">
        <f t="shared" si="127"/>
        <v>USBESTBUY_LGMonitorultrawide monitorultrawide monitor</v>
      </c>
      <c r="B3371" s="94" t="str">
        <f t="shared" si="128"/>
        <v>US_BESTBUY_LG</v>
      </c>
      <c r="C3371" s="93" t="s">
        <v>359</v>
      </c>
      <c r="D3371" s="93" t="s">
        <v>362</v>
      </c>
      <c r="E3371" s="93" t="s">
        <v>2320</v>
      </c>
      <c r="F3371" s="93" t="s">
        <v>2325</v>
      </c>
      <c r="G3371" s="93" t="s">
        <v>2325</v>
      </c>
      <c r="H3371" s="93" t="e">
        <v>#N/A</v>
      </c>
      <c r="I3371" s="105" t="s">
        <v>2310</v>
      </c>
      <c r="J3371" s="93" t="s">
        <v>189</v>
      </c>
      <c r="K3371" s="93">
        <v>280</v>
      </c>
      <c r="L3371" s="93">
        <v>280</v>
      </c>
      <c r="M3371" s="93" t="s">
        <v>2311</v>
      </c>
      <c r="N3371" s="93">
        <f>VLOOKUP(B3371,'[16]01.수집 카테고리(List)'!$A$2:$H$64,8,FALSE)</f>
        <v>99991231</v>
      </c>
      <c r="O3371" s="93" t="s">
        <v>646</v>
      </c>
    </row>
    <row r="3372" spans="1:15" hidden="1">
      <c r="A3372" s="75" t="str">
        <f t="shared" si="127"/>
        <v>USBESTBUY_LGOvenCooktopCooktop</v>
      </c>
      <c r="B3372" s="94" t="str">
        <f t="shared" si="128"/>
        <v>US_BESTBUY_LG</v>
      </c>
      <c r="C3372" s="93" t="s">
        <v>359</v>
      </c>
      <c r="D3372" s="93" t="s">
        <v>362</v>
      </c>
      <c r="E3372" s="93" t="s">
        <v>2540</v>
      </c>
      <c r="F3372" s="93" t="s">
        <v>2541</v>
      </c>
      <c r="G3372" s="93" t="s">
        <v>2541</v>
      </c>
      <c r="H3372" s="93" t="e">
        <v>#N/A</v>
      </c>
      <c r="I3372" s="105" t="s">
        <v>2310</v>
      </c>
      <c r="J3372" s="93" t="s">
        <v>189</v>
      </c>
      <c r="K3372" s="93">
        <v>1278</v>
      </c>
      <c r="L3372" s="93">
        <v>1278</v>
      </c>
      <c r="M3372" s="93" t="s">
        <v>2311</v>
      </c>
      <c r="N3372" s="93">
        <f>VLOOKUP(B3372,'[16]01.수집 카테고리(List)'!$A$2:$H$64,8,FALSE)</f>
        <v>99991231</v>
      </c>
      <c r="O3372" s="93" t="s">
        <v>646</v>
      </c>
    </row>
    <row r="3373" spans="1:15" hidden="1">
      <c r="A3373" s="75" t="str">
        <f t="shared" si="127"/>
        <v>USBESTBUY_LGOvenFreestanding RangeFreestanding Range</v>
      </c>
      <c r="B3373" s="94" t="str">
        <f t="shared" si="128"/>
        <v>US_BESTBUY_LG</v>
      </c>
      <c r="C3373" s="93" t="s">
        <v>359</v>
      </c>
      <c r="D3373" s="93" t="s">
        <v>362</v>
      </c>
      <c r="E3373" s="93" t="s">
        <v>2540</v>
      </c>
      <c r="F3373" s="93" t="s">
        <v>3673</v>
      </c>
      <c r="G3373" s="93" t="s">
        <v>3673</v>
      </c>
      <c r="H3373" s="93" t="e">
        <v>#N/A</v>
      </c>
      <c r="I3373" s="105" t="s">
        <v>2310</v>
      </c>
      <c r="J3373" s="93" t="s">
        <v>189</v>
      </c>
      <c r="K3373" s="93">
        <v>1624</v>
      </c>
      <c r="L3373" s="93">
        <v>1624</v>
      </c>
      <c r="M3373" s="93" t="s">
        <v>2311</v>
      </c>
      <c r="N3373" s="93">
        <f>VLOOKUP(B3373,'[16]01.수집 카테고리(List)'!$A$2:$H$64,8,FALSE)</f>
        <v>99991231</v>
      </c>
      <c r="O3373" s="93" t="s">
        <v>646</v>
      </c>
    </row>
    <row r="3374" spans="1:15" hidden="1">
      <c r="A3374" s="75" t="str">
        <f t="shared" si="127"/>
        <v>USBESTBUY_LGOvenSlide-in RangeSlide-in Range</v>
      </c>
      <c r="B3374" s="94" t="str">
        <f t="shared" si="128"/>
        <v>US_BESTBUY_LG</v>
      </c>
      <c r="C3374" s="93" t="s">
        <v>359</v>
      </c>
      <c r="D3374" s="93" t="s">
        <v>362</v>
      </c>
      <c r="E3374" s="93" t="s">
        <v>2540</v>
      </c>
      <c r="F3374" s="93" t="s">
        <v>2676</v>
      </c>
      <c r="G3374" s="93" t="s">
        <v>2676</v>
      </c>
      <c r="H3374" s="93" t="e">
        <v>#N/A</v>
      </c>
      <c r="I3374" s="105" t="s">
        <v>2310</v>
      </c>
      <c r="J3374" s="93" t="s">
        <v>189</v>
      </c>
      <c r="K3374" s="93">
        <v>465</v>
      </c>
      <c r="L3374" s="93">
        <v>465</v>
      </c>
      <c r="M3374" s="93" t="s">
        <v>2311</v>
      </c>
      <c r="N3374" s="93">
        <f>VLOOKUP(B3374,'[16]01.수집 카테고리(List)'!$A$2:$H$64,8,FALSE)</f>
        <v>99991231</v>
      </c>
      <c r="O3374" s="93" t="s">
        <v>646</v>
      </c>
    </row>
    <row r="3375" spans="1:15" hidden="1">
      <c r="A3375" s="75" t="str">
        <f t="shared" si="127"/>
        <v>USBESTBUY_LGOvenWall OvenWall Oven</v>
      </c>
      <c r="B3375" s="94" t="str">
        <f t="shared" si="128"/>
        <v>US_BESTBUY_LG</v>
      </c>
      <c r="C3375" s="93" t="s">
        <v>359</v>
      </c>
      <c r="D3375" s="93" t="s">
        <v>362</v>
      </c>
      <c r="E3375" s="93" t="s">
        <v>2540</v>
      </c>
      <c r="F3375" s="93" t="s">
        <v>2544</v>
      </c>
      <c r="G3375" s="93" t="s">
        <v>2544</v>
      </c>
      <c r="H3375" s="93" t="e">
        <v>#N/A</v>
      </c>
      <c r="I3375" s="105" t="s">
        <v>2310</v>
      </c>
      <c r="J3375" s="93" t="s">
        <v>189</v>
      </c>
      <c r="K3375" s="93">
        <v>332</v>
      </c>
      <c r="L3375" s="93">
        <v>332</v>
      </c>
      <c r="M3375" s="93" t="s">
        <v>2311</v>
      </c>
      <c r="N3375" s="93">
        <f>VLOOKUP(B3375,'[16]01.수집 카테고리(List)'!$A$2:$H$64,8,FALSE)</f>
        <v>99991231</v>
      </c>
      <c r="O3375" s="93" t="s">
        <v>646</v>
      </c>
    </row>
    <row r="3376" spans="1:15" hidden="1">
      <c r="A3376" s="75" t="str">
        <f t="shared" si="127"/>
        <v>USBESTBUY_LGRefrigerator4 door french door refrigerator4 door french door refrigerator</v>
      </c>
      <c r="B3376" s="94" t="str">
        <f t="shared" si="128"/>
        <v>US_BESTBUY_LG</v>
      </c>
      <c r="C3376" s="93" t="s">
        <v>359</v>
      </c>
      <c r="D3376" s="93" t="s">
        <v>362</v>
      </c>
      <c r="E3376" s="93" t="s">
        <v>2326</v>
      </c>
      <c r="F3376" s="93" t="s">
        <v>2519</v>
      </c>
      <c r="G3376" s="93" t="s">
        <v>2519</v>
      </c>
      <c r="H3376" s="93" t="e">
        <v>#N/A</v>
      </c>
      <c r="I3376" s="105" t="s">
        <v>2310</v>
      </c>
      <c r="J3376" s="93" t="s">
        <v>189</v>
      </c>
      <c r="K3376" s="93">
        <v>749</v>
      </c>
      <c r="L3376" s="93">
        <v>749</v>
      </c>
      <c r="M3376" s="93" t="s">
        <v>2311</v>
      </c>
      <c r="N3376" s="93">
        <f>VLOOKUP(B3376,'[16]01.수집 카테고리(List)'!$A$2:$H$64,8,FALSE)</f>
        <v>99991231</v>
      </c>
      <c r="O3376" s="93" t="s">
        <v>646</v>
      </c>
    </row>
    <row r="3377" spans="1:15" hidden="1">
      <c r="A3377" s="75" t="str">
        <f t="shared" si="127"/>
        <v>USBESTBUY_LGRefrigeratorbottom freezer refrigeratorbottom freezer refrigerator</v>
      </c>
      <c r="B3377" s="94" t="str">
        <f t="shared" si="128"/>
        <v>US_BESTBUY_LG</v>
      </c>
      <c r="C3377" s="93" t="s">
        <v>359</v>
      </c>
      <c r="D3377" s="93" t="s">
        <v>362</v>
      </c>
      <c r="E3377" s="93" t="s">
        <v>2326</v>
      </c>
      <c r="F3377" s="93" t="s">
        <v>2327</v>
      </c>
      <c r="G3377" s="93" t="s">
        <v>2327</v>
      </c>
      <c r="H3377" s="93" t="e">
        <v>#N/A</v>
      </c>
      <c r="I3377" s="105" t="s">
        <v>2310</v>
      </c>
      <c r="J3377" s="93" t="s">
        <v>189</v>
      </c>
      <c r="K3377" s="93">
        <v>850</v>
      </c>
      <c r="L3377" s="93">
        <v>850</v>
      </c>
      <c r="M3377" s="93" t="s">
        <v>2311</v>
      </c>
      <c r="N3377" s="93">
        <f>VLOOKUP(B3377,'[16]01.수집 카테고리(List)'!$A$2:$H$64,8,FALSE)</f>
        <v>99991231</v>
      </c>
      <c r="O3377" s="93" t="s">
        <v>646</v>
      </c>
    </row>
    <row r="3378" spans="1:15" hidden="1">
      <c r="A3378" s="75" t="str">
        <f t="shared" si="127"/>
        <v>USBESTBUY_LGRefrigeratorcounter depth refrigeratorcounter depth refrigerator</v>
      </c>
      <c r="B3378" s="94" t="str">
        <f t="shared" si="128"/>
        <v>US_BESTBUY_LG</v>
      </c>
      <c r="C3378" s="93" t="s">
        <v>359</v>
      </c>
      <c r="D3378" s="93" t="s">
        <v>362</v>
      </c>
      <c r="E3378" s="93" t="s">
        <v>2326</v>
      </c>
      <c r="F3378" s="93" t="s">
        <v>2521</v>
      </c>
      <c r="G3378" s="93" t="s">
        <v>2521</v>
      </c>
      <c r="H3378" s="93" t="e">
        <v>#N/A</v>
      </c>
      <c r="I3378" s="105" t="s">
        <v>2310</v>
      </c>
      <c r="J3378" s="93" t="s">
        <v>189</v>
      </c>
      <c r="K3378" s="93">
        <v>643</v>
      </c>
      <c r="L3378" s="93">
        <v>643</v>
      </c>
      <c r="M3378" s="93" t="s">
        <v>2311</v>
      </c>
      <c r="N3378" s="93">
        <f>VLOOKUP(B3378,'[16]01.수집 카테고리(List)'!$A$2:$H$64,8,FALSE)</f>
        <v>99991231</v>
      </c>
      <c r="O3378" s="93" t="s">
        <v>646</v>
      </c>
    </row>
    <row r="3379" spans="1:15" hidden="1">
      <c r="A3379" s="75" t="str">
        <f t="shared" si="127"/>
        <v>USBESTBUY_LGRefrigeratorfrench door refrigeratorfrench door refrigerator</v>
      </c>
      <c r="B3379" s="94" t="str">
        <f t="shared" si="128"/>
        <v>US_BESTBUY_LG</v>
      </c>
      <c r="C3379" s="93" t="s">
        <v>359</v>
      </c>
      <c r="D3379" s="93" t="s">
        <v>362</v>
      </c>
      <c r="E3379" s="93" t="s">
        <v>2326</v>
      </c>
      <c r="F3379" s="93" t="s">
        <v>2328</v>
      </c>
      <c r="G3379" s="93" t="s">
        <v>2328</v>
      </c>
      <c r="H3379" s="93" t="e">
        <v>#N/A</v>
      </c>
      <c r="I3379" s="105" t="s">
        <v>2310</v>
      </c>
      <c r="J3379" s="93" t="s">
        <v>189</v>
      </c>
      <c r="K3379" s="93">
        <v>1204</v>
      </c>
      <c r="L3379" s="93">
        <v>1204</v>
      </c>
      <c r="M3379" s="93" t="s">
        <v>2311</v>
      </c>
      <c r="N3379" s="93">
        <f>VLOOKUP(B3379,'[16]01.수집 카테고리(List)'!$A$2:$H$64,8,FALSE)</f>
        <v>99991231</v>
      </c>
      <c r="O3379" s="93" t="s">
        <v>646</v>
      </c>
    </row>
    <row r="3380" spans="1:15" hidden="1">
      <c r="A3380" s="75" t="str">
        <f t="shared" si="127"/>
        <v>USBESTBUY_LGRefrigeratorRefrigeradorRefrigerador</v>
      </c>
      <c r="B3380" s="94" t="str">
        <f t="shared" si="128"/>
        <v>US_BESTBUY_LG</v>
      </c>
      <c r="C3380" s="93" t="s">
        <v>359</v>
      </c>
      <c r="D3380" s="93" t="s">
        <v>362</v>
      </c>
      <c r="E3380" s="93" t="s">
        <v>2326</v>
      </c>
      <c r="F3380" s="93" t="s">
        <v>3159</v>
      </c>
      <c r="G3380" s="93" t="s">
        <v>3159</v>
      </c>
      <c r="H3380" s="93" t="e">
        <v>#N/A</v>
      </c>
      <c r="I3380" s="105" t="s">
        <v>2310</v>
      </c>
      <c r="J3380" s="93" t="s">
        <v>189</v>
      </c>
      <c r="K3380" s="93">
        <v>1573</v>
      </c>
      <c r="L3380" s="93">
        <v>1573</v>
      </c>
      <c r="M3380" s="93" t="s">
        <v>2311</v>
      </c>
      <c r="N3380" s="93">
        <f>VLOOKUP(B3380,'[16]01.수집 카테고리(List)'!$A$2:$H$64,8,FALSE)</f>
        <v>99991231</v>
      </c>
      <c r="O3380" s="93" t="s">
        <v>646</v>
      </c>
    </row>
    <row r="3381" spans="1:15" hidden="1">
      <c r="A3381" s="75" t="str">
        <f t="shared" si="127"/>
        <v>USBESTBUY_LGRefrigeratorrefrigeratorrefrigerator</v>
      </c>
      <c r="B3381" s="94" t="str">
        <f t="shared" si="128"/>
        <v>US_BESTBUY_LG</v>
      </c>
      <c r="C3381" s="93" t="s">
        <v>359</v>
      </c>
      <c r="D3381" s="93" t="s">
        <v>362</v>
      </c>
      <c r="E3381" s="93" t="s">
        <v>2326</v>
      </c>
      <c r="F3381" s="93" t="s">
        <v>2329</v>
      </c>
      <c r="G3381" s="93" t="s">
        <v>2329</v>
      </c>
      <c r="H3381" s="93" t="e">
        <v>#N/A</v>
      </c>
      <c r="I3381" s="105" t="s">
        <v>2310</v>
      </c>
      <c r="J3381" s="93" t="s">
        <v>189</v>
      </c>
      <c r="K3381" s="93">
        <v>1635</v>
      </c>
      <c r="L3381" s="93">
        <v>1635</v>
      </c>
      <c r="M3381" s="93" t="s">
        <v>2311</v>
      </c>
      <c r="N3381" s="93">
        <f>VLOOKUP(B3381,'[16]01.수집 카테고리(List)'!$A$2:$H$64,8,FALSE)</f>
        <v>99991231</v>
      </c>
      <c r="O3381" s="93" t="s">
        <v>646</v>
      </c>
    </row>
    <row r="3382" spans="1:15" hidden="1">
      <c r="A3382" s="75" t="str">
        <f t="shared" si="127"/>
        <v>USBESTBUY_LGRefrigeratorrefrigerator congelador inferiorrefrigerator congelador inferior</v>
      </c>
      <c r="B3382" s="94" t="str">
        <f t="shared" si="128"/>
        <v>US_BESTBUY_LG</v>
      </c>
      <c r="C3382" s="93" t="s">
        <v>359</v>
      </c>
      <c r="D3382" s="93" t="s">
        <v>362</v>
      </c>
      <c r="E3382" s="93" t="s">
        <v>2326</v>
      </c>
      <c r="F3382" s="93" t="s">
        <v>3675</v>
      </c>
      <c r="G3382" s="93" t="s">
        <v>3675</v>
      </c>
      <c r="H3382" s="93" t="e">
        <v>#N/A</v>
      </c>
      <c r="I3382" s="105" t="s">
        <v>2310</v>
      </c>
      <c r="J3382" s="93" t="s">
        <v>189</v>
      </c>
      <c r="K3382" s="93">
        <v>7</v>
      </c>
      <c r="L3382" s="93">
        <v>7</v>
      </c>
      <c r="M3382" s="93" t="s">
        <v>2311</v>
      </c>
      <c r="N3382" s="93">
        <f>VLOOKUP(B3382,'[16]01.수집 카테고리(List)'!$A$2:$H$64,8,FALSE)</f>
        <v>99991231</v>
      </c>
      <c r="O3382" s="93" t="s">
        <v>646</v>
      </c>
    </row>
    <row r="3383" spans="1:15" hidden="1">
      <c r="A3383" s="75" t="str">
        <f t="shared" si="127"/>
        <v>USBESTBUY_LGRefrigeratorrefrigerator congelador superiorrefrigerator congelador superior</v>
      </c>
      <c r="B3383" s="94" t="str">
        <f t="shared" si="128"/>
        <v>US_BESTBUY_LG</v>
      </c>
      <c r="C3383" s="93" t="s">
        <v>359</v>
      </c>
      <c r="D3383" s="93" t="s">
        <v>362</v>
      </c>
      <c r="E3383" s="93" t="s">
        <v>2326</v>
      </c>
      <c r="F3383" s="93" t="s">
        <v>3676</v>
      </c>
      <c r="G3383" s="93" t="s">
        <v>3676</v>
      </c>
      <c r="H3383" s="93" t="e">
        <v>#N/A</v>
      </c>
      <c r="I3383" s="105" t="s">
        <v>2310</v>
      </c>
      <c r="J3383" s="93" t="s">
        <v>189</v>
      </c>
      <c r="K3383" s="93">
        <v>7</v>
      </c>
      <c r="L3383" s="93">
        <v>7</v>
      </c>
      <c r="M3383" s="93" t="s">
        <v>2311</v>
      </c>
      <c r="N3383" s="93">
        <f>VLOOKUP(B3383,'[16]01.수집 카테고리(List)'!$A$2:$H$64,8,FALSE)</f>
        <v>99991231</v>
      </c>
      <c r="O3383" s="93" t="s">
        <v>646</v>
      </c>
    </row>
    <row r="3384" spans="1:15" hidden="1">
      <c r="A3384" s="75" t="str">
        <f t="shared" si="127"/>
        <v>USBESTBUY_LGRefrigeratorrefrigerator duplexrefrigerator duplex</v>
      </c>
      <c r="B3384" s="94" t="str">
        <f t="shared" si="128"/>
        <v>US_BESTBUY_LG</v>
      </c>
      <c r="C3384" s="93" t="s">
        <v>359</v>
      </c>
      <c r="D3384" s="93" t="s">
        <v>362</v>
      </c>
      <c r="E3384" s="93" t="s">
        <v>2326</v>
      </c>
      <c r="F3384" s="93" t="s">
        <v>3677</v>
      </c>
      <c r="G3384" s="93" t="s">
        <v>3683</v>
      </c>
      <c r="H3384" s="93" t="s">
        <v>3684</v>
      </c>
      <c r="I3384" s="105" t="s">
        <v>2310</v>
      </c>
      <c r="J3384" s="93" t="s">
        <v>189</v>
      </c>
      <c r="K3384" s="93">
        <v>1</v>
      </c>
      <c r="L3384" s="93">
        <v>1</v>
      </c>
      <c r="M3384" s="93" t="s">
        <v>2311</v>
      </c>
      <c r="N3384" s="93">
        <f>VLOOKUP(B3384,'[16]01.수집 카테고리(List)'!$A$2:$H$64,8,FALSE)</f>
        <v>99991231</v>
      </c>
      <c r="O3384" s="93" t="s">
        <v>646</v>
      </c>
    </row>
    <row r="3385" spans="1:15" hidden="1">
      <c r="A3385" s="75" t="str">
        <f t="shared" si="127"/>
        <v>USBESTBUY_LGRefrigeratorside by side refrigeratorside by side refrigerator</v>
      </c>
      <c r="B3385" s="94" t="str">
        <f t="shared" si="128"/>
        <v>US_BESTBUY_LG</v>
      </c>
      <c r="C3385" s="93" t="s">
        <v>359</v>
      </c>
      <c r="D3385" s="93" t="s">
        <v>362</v>
      </c>
      <c r="E3385" s="93" t="s">
        <v>2326</v>
      </c>
      <c r="F3385" s="93" t="s">
        <v>2330</v>
      </c>
      <c r="G3385" s="93" t="s">
        <v>2330</v>
      </c>
      <c r="H3385" s="93" t="e">
        <v>#N/A</v>
      </c>
      <c r="I3385" s="105" t="s">
        <v>2310</v>
      </c>
      <c r="J3385" s="93" t="s">
        <v>189</v>
      </c>
      <c r="K3385" s="93">
        <v>450</v>
      </c>
      <c r="L3385" s="93">
        <v>450</v>
      </c>
      <c r="M3385" s="93" t="s">
        <v>2311</v>
      </c>
      <c r="N3385" s="93">
        <f>VLOOKUP(B3385,'[16]01.수집 카테고리(List)'!$A$2:$H$64,8,FALSE)</f>
        <v>99991231</v>
      </c>
      <c r="O3385" s="93" t="s">
        <v>646</v>
      </c>
    </row>
    <row r="3386" spans="1:15" hidden="1">
      <c r="A3386" s="75" t="str">
        <f t="shared" si="127"/>
        <v>USBESTBUY_LGRefrigeratortop freezer refrigeratortop freezer refrigerator</v>
      </c>
      <c r="B3386" s="94" t="str">
        <f t="shared" si="128"/>
        <v>US_BESTBUY_LG</v>
      </c>
      <c r="C3386" s="93" t="s">
        <v>359</v>
      </c>
      <c r="D3386" s="93" t="s">
        <v>362</v>
      </c>
      <c r="E3386" s="93" t="s">
        <v>2326</v>
      </c>
      <c r="F3386" s="93" t="s">
        <v>2332</v>
      </c>
      <c r="G3386" s="93" t="s">
        <v>2332</v>
      </c>
      <c r="H3386" s="93" t="e">
        <v>#N/A</v>
      </c>
      <c r="I3386" s="105" t="s">
        <v>2310</v>
      </c>
      <c r="J3386" s="93" t="s">
        <v>189</v>
      </c>
      <c r="K3386" s="93">
        <v>498</v>
      </c>
      <c r="L3386" s="93">
        <v>498</v>
      </c>
      <c r="M3386" s="93" t="s">
        <v>2311</v>
      </c>
      <c r="N3386" s="93">
        <f>VLOOKUP(B3386,'[16]01.수집 카테고리(List)'!$A$2:$H$64,8,FALSE)</f>
        <v>99991231</v>
      </c>
      <c r="O3386" s="93" t="s">
        <v>646</v>
      </c>
    </row>
    <row r="3387" spans="1:15" hidden="1">
      <c r="A3387" s="75" t="str">
        <f t="shared" si="127"/>
        <v>USBESTBUY_LGSoundbarsound barsound bar</v>
      </c>
      <c r="B3387" s="94" t="str">
        <f t="shared" si="128"/>
        <v>US_BESTBUY_LG</v>
      </c>
      <c r="C3387" s="93" t="s">
        <v>359</v>
      </c>
      <c r="D3387" s="93" t="s">
        <v>362</v>
      </c>
      <c r="E3387" s="93" t="s">
        <v>2363</v>
      </c>
      <c r="F3387" s="93" t="s">
        <v>2529</v>
      </c>
      <c r="G3387" s="93" t="s">
        <v>2529</v>
      </c>
      <c r="H3387" s="93" t="e">
        <v>#N/A</v>
      </c>
      <c r="I3387" s="105" t="s">
        <v>2310</v>
      </c>
      <c r="J3387" s="93" t="s">
        <v>189</v>
      </c>
      <c r="K3387" s="93">
        <v>639</v>
      </c>
      <c r="L3387" s="93">
        <v>639</v>
      </c>
      <c r="M3387" s="93" t="s">
        <v>2311</v>
      </c>
      <c r="N3387" s="93">
        <f>VLOOKUP(B3387,'[16]01.수집 카테고리(List)'!$A$2:$H$64,8,FALSE)</f>
        <v>99991231</v>
      </c>
      <c r="O3387" s="93" t="s">
        <v>646</v>
      </c>
    </row>
    <row r="3388" spans="1:15" hidden="1">
      <c r="A3388" s="75" t="str">
        <f t="shared" si="127"/>
        <v>USBESTBUY_LGSoundbaraudioSoundbar</v>
      </c>
      <c r="B3388" s="94" t="str">
        <f t="shared" si="128"/>
        <v>US_BESTBUY_LG</v>
      </c>
      <c r="C3388" s="93" t="s">
        <v>359</v>
      </c>
      <c r="D3388" s="93" t="s">
        <v>362</v>
      </c>
      <c r="E3388" s="93" t="s">
        <v>2363</v>
      </c>
      <c r="F3388" s="93" t="s">
        <v>2528</v>
      </c>
      <c r="G3388" s="93" t="s">
        <v>2363</v>
      </c>
      <c r="H3388" s="93" t="e">
        <v>#N/A</v>
      </c>
      <c r="I3388" s="105" t="s">
        <v>2310</v>
      </c>
      <c r="J3388" s="93" t="s">
        <v>189</v>
      </c>
      <c r="K3388" s="93">
        <v>292</v>
      </c>
      <c r="L3388" s="93">
        <v>279</v>
      </c>
      <c r="M3388" s="93" t="s">
        <v>2311</v>
      </c>
      <c r="N3388" s="93">
        <f>VLOOKUP(B3388,'[16]01.수집 카테고리(List)'!$A$2:$H$64,8,FALSE)</f>
        <v>99991231</v>
      </c>
      <c r="O3388" s="93" t="s">
        <v>646</v>
      </c>
    </row>
    <row r="3389" spans="1:15" hidden="1">
      <c r="A3389" s="75" t="str">
        <f t="shared" si="127"/>
        <v>USBESTBUY_LGSoundbarsoundbarssoundbars</v>
      </c>
      <c r="B3389" s="94" t="str">
        <f t="shared" si="128"/>
        <v>US_BESTBUY_LG</v>
      </c>
      <c r="C3389" s="93" t="s">
        <v>359</v>
      </c>
      <c r="D3389" s="93" t="s">
        <v>362</v>
      </c>
      <c r="E3389" s="93" t="s">
        <v>2363</v>
      </c>
      <c r="F3389" s="93" t="s">
        <v>2531</v>
      </c>
      <c r="G3389" s="93" t="s">
        <v>2531</v>
      </c>
      <c r="H3389" s="93" t="e">
        <v>#N/A</v>
      </c>
      <c r="I3389" s="105" t="s">
        <v>2310</v>
      </c>
      <c r="J3389" s="93" t="s">
        <v>189</v>
      </c>
      <c r="K3389" s="93">
        <v>388</v>
      </c>
      <c r="L3389" s="93">
        <v>388</v>
      </c>
      <c r="M3389" s="93" t="s">
        <v>2311</v>
      </c>
      <c r="N3389" s="93">
        <f>VLOOKUP(B3389,'[16]01.수집 카테고리(List)'!$A$2:$H$64,8,FALSE)</f>
        <v>99991231</v>
      </c>
      <c r="O3389" s="93" t="s">
        <v>646</v>
      </c>
    </row>
    <row r="3390" spans="1:15" hidden="1">
      <c r="A3390" s="75" t="str">
        <f t="shared" si="127"/>
        <v>USBESTBUY_LGSoundbarsound systemSoundbars for tv</v>
      </c>
      <c r="B3390" s="94" t="str">
        <f t="shared" si="128"/>
        <v>US_BESTBUY_LG</v>
      </c>
      <c r="C3390" s="93" t="s">
        <v>359</v>
      </c>
      <c r="D3390" s="93" t="s">
        <v>362</v>
      </c>
      <c r="E3390" s="93" t="s">
        <v>2363</v>
      </c>
      <c r="F3390" s="93" t="s">
        <v>2530</v>
      </c>
      <c r="G3390" s="93" t="s">
        <v>3678</v>
      </c>
      <c r="H3390" s="93" t="e">
        <v>#N/A</v>
      </c>
      <c r="I3390" s="105" t="s">
        <v>2310</v>
      </c>
      <c r="J3390" s="93" t="s">
        <v>189</v>
      </c>
      <c r="K3390" s="93">
        <v>49</v>
      </c>
      <c r="L3390" s="93">
        <v>120</v>
      </c>
      <c r="M3390" s="93" t="s">
        <v>2311</v>
      </c>
      <c r="N3390" s="93">
        <f>VLOOKUP(B3390,'[16]01.수집 카테고리(List)'!$A$2:$H$64,8,FALSE)</f>
        <v>99991231</v>
      </c>
      <c r="O3390" s="93" t="s">
        <v>646</v>
      </c>
    </row>
    <row r="3391" spans="1:15" hidden="1">
      <c r="A3391" s="75" t="str">
        <f t="shared" si="127"/>
        <v>USBESTBUY_LGSoundbarspeakersSoundbars with subwoofer</v>
      </c>
      <c r="B3391" s="94" t="str">
        <f t="shared" si="128"/>
        <v>US_BESTBUY_LG</v>
      </c>
      <c r="C3391" s="93" t="s">
        <v>359</v>
      </c>
      <c r="D3391" s="93" t="s">
        <v>362</v>
      </c>
      <c r="E3391" s="93" t="s">
        <v>2363</v>
      </c>
      <c r="F3391" s="93" t="s">
        <v>2471</v>
      </c>
      <c r="G3391" s="93" t="s">
        <v>3240</v>
      </c>
      <c r="H3391" s="93" t="e">
        <v>#N/A</v>
      </c>
      <c r="I3391" s="105" t="s">
        <v>2310</v>
      </c>
      <c r="J3391" s="93" t="s">
        <v>189</v>
      </c>
      <c r="K3391" s="93">
        <v>197</v>
      </c>
      <c r="L3391" s="93">
        <v>3143</v>
      </c>
      <c r="M3391" s="93" t="s">
        <v>2311</v>
      </c>
      <c r="N3391" s="93">
        <f>VLOOKUP(B3391,'[16]01.수집 카테고리(List)'!$A$2:$H$64,8,FALSE)</f>
        <v>99991231</v>
      </c>
      <c r="O3391" s="93" t="s">
        <v>646</v>
      </c>
    </row>
    <row r="3392" spans="1:15" hidden="1">
      <c r="A3392" s="75" t="str">
        <f t="shared" si="127"/>
        <v>USBESTBUY_LGStylerlg stylerlg styler</v>
      </c>
      <c r="B3392" s="94" t="str">
        <f t="shared" si="128"/>
        <v>US_BESTBUY_LG</v>
      </c>
      <c r="C3392" s="93" t="s">
        <v>359</v>
      </c>
      <c r="D3392" s="93" t="s">
        <v>362</v>
      </c>
      <c r="E3392" s="93" t="s">
        <v>3281</v>
      </c>
      <c r="F3392" s="93" t="s">
        <v>3383</v>
      </c>
      <c r="G3392" s="93" t="s">
        <v>3383</v>
      </c>
      <c r="H3392" s="93" t="e">
        <v>#N/A</v>
      </c>
      <c r="I3392" s="105" t="s">
        <v>2310</v>
      </c>
      <c r="J3392" s="93" t="s">
        <v>189</v>
      </c>
      <c r="K3392" s="93">
        <v>4</v>
      </c>
      <c r="L3392" s="93">
        <v>4</v>
      </c>
      <c r="M3392" s="93" t="s">
        <v>2311</v>
      </c>
      <c r="N3392" s="93">
        <f>VLOOKUP(B3392,'[16]01.수집 카테고리(List)'!$A$2:$H$64,8,FALSE)</f>
        <v>99991231</v>
      </c>
      <c r="O3392" s="93" t="s">
        <v>646</v>
      </c>
    </row>
    <row r="3393" spans="1:15" hidden="1">
      <c r="A3393" s="75" t="str">
        <f t="shared" si="127"/>
        <v>USBESTBUY_LGStylerStylerStyler</v>
      </c>
      <c r="B3393" s="94" t="str">
        <f t="shared" si="128"/>
        <v>US_BESTBUY_LG</v>
      </c>
      <c r="C3393" s="93" t="s">
        <v>359</v>
      </c>
      <c r="D3393" s="93" t="s">
        <v>362</v>
      </c>
      <c r="E3393" s="93" t="s">
        <v>3281</v>
      </c>
      <c r="F3393" s="93" t="s">
        <v>3281</v>
      </c>
      <c r="G3393" s="93" t="s">
        <v>3281</v>
      </c>
      <c r="H3393" s="93" t="e">
        <v>#N/A</v>
      </c>
      <c r="I3393" s="105" t="s">
        <v>2310</v>
      </c>
      <c r="J3393" s="93" t="s">
        <v>189</v>
      </c>
      <c r="K3393" s="93">
        <v>247</v>
      </c>
      <c r="L3393" s="93">
        <v>247</v>
      </c>
      <c r="M3393" s="93" t="s">
        <v>2311</v>
      </c>
      <c r="N3393" s="93">
        <f>VLOOKUP(B3393,'[16]01.수집 카테고리(List)'!$A$2:$H$64,8,FALSE)</f>
        <v>99991231</v>
      </c>
      <c r="O3393" s="93" t="s">
        <v>646</v>
      </c>
    </row>
    <row r="3394" spans="1:15" hidden="1">
      <c r="A3394" s="75" t="str">
        <f t="shared" si="127"/>
        <v>USBESTBUY_LGTV4k TV4k TV</v>
      </c>
      <c r="B3394" s="94" t="str">
        <f t="shared" si="128"/>
        <v>US_BESTBUY_LG</v>
      </c>
      <c r="C3394" s="93" t="s">
        <v>359</v>
      </c>
      <c r="D3394" s="93" t="s">
        <v>362</v>
      </c>
      <c r="E3394" s="93" t="s">
        <v>161</v>
      </c>
      <c r="F3394" s="93" t="s">
        <v>2368</v>
      </c>
      <c r="G3394" s="93" t="s">
        <v>2368</v>
      </c>
      <c r="H3394" s="93" t="e">
        <v>#N/A</v>
      </c>
      <c r="I3394" s="105" t="s">
        <v>2310</v>
      </c>
      <c r="J3394" s="93" t="s">
        <v>189</v>
      </c>
      <c r="K3394" s="93">
        <v>1048</v>
      </c>
      <c r="L3394" s="93">
        <v>1048</v>
      </c>
      <c r="M3394" s="93" t="s">
        <v>2311</v>
      </c>
      <c r="N3394" s="93">
        <f>VLOOKUP(B3394,'[16]01.수집 카테고리(List)'!$A$2:$H$64,8,FALSE)</f>
        <v>99991231</v>
      </c>
      <c r="O3394" s="93" t="s">
        <v>646</v>
      </c>
    </row>
    <row r="3395" spans="1:15" hidden="1">
      <c r="A3395" s="75" t="str">
        <f t="shared" si="127"/>
        <v>USBESTBUY_LGTVoled TVoled TV</v>
      </c>
      <c r="B3395" s="94" t="str">
        <f t="shared" si="128"/>
        <v>US_BESTBUY_LG</v>
      </c>
      <c r="C3395" s="93" t="s">
        <v>359</v>
      </c>
      <c r="D3395" s="93" t="s">
        <v>362</v>
      </c>
      <c r="E3395" s="93" t="s">
        <v>161</v>
      </c>
      <c r="F3395" s="93" t="s">
        <v>2369</v>
      </c>
      <c r="G3395" s="93" t="s">
        <v>2369</v>
      </c>
      <c r="H3395" s="93" t="e">
        <v>#N/A</v>
      </c>
      <c r="I3395" s="105" t="s">
        <v>2310</v>
      </c>
      <c r="J3395" s="93" t="s">
        <v>189</v>
      </c>
      <c r="K3395" s="93">
        <v>129</v>
      </c>
      <c r="L3395" s="93">
        <v>129</v>
      </c>
      <c r="M3395" s="93" t="s">
        <v>2311</v>
      </c>
      <c r="N3395" s="93">
        <f>VLOOKUP(B3395,'[16]01.수집 카테고리(List)'!$A$2:$H$64,8,FALSE)</f>
        <v>99991231</v>
      </c>
      <c r="O3395" s="93" t="s">
        <v>646</v>
      </c>
    </row>
    <row r="3396" spans="1:15" hidden="1">
      <c r="A3396" s="75" t="str">
        <f t="shared" si="127"/>
        <v>USBESTBUY_LGTVsmart TVsmart TV</v>
      </c>
      <c r="B3396" s="94" t="str">
        <f t="shared" si="128"/>
        <v>US_BESTBUY_LG</v>
      </c>
      <c r="C3396" s="93" t="s">
        <v>359</v>
      </c>
      <c r="D3396" s="93" t="s">
        <v>362</v>
      </c>
      <c r="E3396" s="93" t="s">
        <v>161</v>
      </c>
      <c r="F3396" s="93" t="s">
        <v>2371</v>
      </c>
      <c r="G3396" s="93" t="s">
        <v>2371</v>
      </c>
      <c r="H3396" s="93" t="e">
        <v>#N/A</v>
      </c>
      <c r="I3396" s="105" t="s">
        <v>2310</v>
      </c>
      <c r="J3396" s="93" t="s">
        <v>189</v>
      </c>
      <c r="K3396" s="93">
        <v>1200</v>
      </c>
      <c r="L3396" s="93">
        <v>1200</v>
      </c>
      <c r="M3396" s="93" t="s">
        <v>2311</v>
      </c>
      <c r="N3396" s="93">
        <f>VLOOKUP(B3396,'[16]01.수집 카테고리(List)'!$A$2:$H$64,8,FALSE)</f>
        <v>99991231</v>
      </c>
      <c r="O3396" s="93" t="s">
        <v>646</v>
      </c>
    </row>
    <row r="3397" spans="1:15" hidden="1">
      <c r="A3397" s="75" t="str">
        <f t="shared" si="127"/>
        <v>USBESTBUY_LGTVTVTV</v>
      </c>
      <c r="B3397" s="94" t="str">
        <f t="shared" si="128"/>
        <v>US_BESTBUY_LG</v>
      </c>
      <c r="C3397" s="93" t="s">
        <v>359</v>
      </c>
      <c r="D3397" s="93" t="s">
        <v>362</v>
      </c>
      <c r="E3397" s="93" t="s">
        <v>161</v>
      </c>
      <c r="F3397" s="93" t="s">
        <v>161</v>
      </c>
      <c r="G3397" s="93" t="s">
        <v>161</v>
      </c>
      <c r="H3397" s="93" t="e">
        <v>#N/A</v>
      </c>
      <c r="I3397" s="105" t="s">
        <v>2310</v>
      </c>
      <c r="J3397" s="93" t="s">
        <v>189</v>
      </c>
      <c r="K3397" s="93">
        <v>1018</v>
      </c>
      <c r="L3397" s="93">
        <v>1018</v>
      </c>
      <c r="M3397" s="93" t="s">
        <v>2311</v>
      </c>
      <c r="N3397" s="93">
        <f>VLOOKUP(B3397,'[16]01.수집 카테고리(List)'!$A$2:$H$64,8,FALSE)</f>
        <v>99991231</v>
      </c>
      <c r="O3397" s="93" t="s">
        <v>646</v>
      </c>
    </row>
    <row r="3398" spans="1:15" hidden="1">
      <c r="A3398" s="75" t="str">
        <f t="shared" si="127"/>
        <v>USBESTBUY_LGTVuhd TVuhd TV</v>
      </c>
      <c r="B3398" s="94" t="str">
        <f t="shared" si="128"/>
        <v>US_BESTBUY_LG</v>
      </c>
      <c r="C3398" s="93" t="s">
        <v>359</v>
      </c>
      <c r="D3398" s="93" t="s">
        <v>362</v>
      </c>
      <c r="E3398" s="93" t="s">
        <v>161</v>
      </c>
      <c r="F3398" s="93" t="s">
        <v>2399</v>
      </c>
      <c r="G3398" s="93" t="s">
        <v>2464</v>
      </c>
      <c r="H3398" s="93" t="e">
        <v>#N/A</v>
      </c>
      <c r="I3398" s="105" t="s">
        <v>2310</v>
      </c>
      <c r="J3398" s="93" t="s">
        <v>189</v>
      </c>
      <c r="K3398" s="93">
        <v>149</v>
      </c>
      <c r="L3398" s="93">
        <v>149</v>
      </c>
      <c r="M3398" s="93" t="s">
        <v>2311</v>
      </c>
      <c r="N3398" s="93">
        <f>VLOOKUP(B3398,'[16]01.수집 카테고리(List)'!$A$2:$H$64,8,FALSE)</f>
        <v>99991231</v>
      </c>
      <c r="O3398" s="93" t="s">
        <v>646</v>
      </c>
    </row>
    <row r="3399" spans="1:15" ht="27.6" hidden="1">
      <c r="A3399" s="75" t="str">
        <f t="shared" si="127"/>
        <v>USBESTBUY_LGWashing Machinefront load washerCarga frontal</v>
      </c>
      <c r="B3399" s="94" t="str">
        <f t="shared" si="128"/>
        <v>US_BESTBUY_LG</v>
      </c>
      <c r="C3399" s="93" t="s">
        <v>359</v>
      </c>
      <c r="D3399" s="93" t="s">
        <v>362</v>
      </c>
      <c r="E3399" s="93" t="s">
        <v>2333</v>
      </c>
      <c r="F3399" s="93" t="s">
        <v>2335</v>
      </c>
      <c r="G3399" s="93" t="s">
        <v>3679</v>
      </c>
      <c r="H3399" s="128" t="s">
        <v>3685</v>
      </c>
      <c r="I3399" s="105" t="s">
        <v>2310</v>
      </c>
      <c r="J3399" s="93" t="s">
        <v>189</v>
      </c>
      <c r="K3399" s="93" t="e">
        <v>#N/A</v>
      </c>
      <c r="L3399" s="93">
        <v>300</v>
      </c>
      <c r="M3399" s="93" t="s">
        <v>2351</v>
      </c>
      <c r="N3399" s="93">
        <f>VLOOKUP(B3399,'[16]01.수집 카테고리(List)'!$A$2:$H$64,8,FALSE)</f>
        <v>99991231</v>
      </c>
      <c r="O3399" s="93" t="s">
        <v>646</v>
      </c>
    </row>
    <row r="3400" spans="1:15" hidden="1">
      <c r="A3400" s="75" t="str">
        <f t="shared" si="127"/>
        <v>USBESTBUY_LGWashing Machinerefrigerator congelador superiorcarga superior</v>
      </c>
      <c r="B3400" s="94" t="str">
        <f t="shared" si="128"/>
        <v>US_BESTBUY_LG</v>
      </c>
      <c r="C3400" s="93" t="s">
        <v>359</v>
      </c>
      <c r="D3400" s="93" t="s">
        <v>362</v>
      </c>
      <c r="E3400" s="93" t="s">
        <v>2333</v>
      </c>
      <c r="F3400" s="93" t="s">
        <v>3676</v>
      </c>
      <c r="G3400" s="93" t="s">
        <v>3681</v>
      </c>
      <c r="H3400" s="93" t="s">
        <v>3680</v>
      </c>
      <c r="I3400" s="105" t="s">
        <v>2310</v>
      </c>
      <c r="J3400" s="93" t="s">
        <v>189</v>
      </c>
      <c r="K3400" s="93" t="e">
        <v>#N/A</v>
      </c>
      <c r="L3400" s="93">
        <v>7</v>
      </c>
      <c r="M3400" s="93" t="s">
        <v>2351</v>
      </c>
      <c r="N3400" s="93">
        <f>VLOOKUP(B3400,'[16]01.수집 카테고리(List)'!$A$2:$H$64,8,FALSE)</f>
        <v>99991231</v>
      </c>
      <c r="O3400" s="93" t="s">
        <v>646</v>
      </c>
    </row>
    <row r="3401" spans="1:15" hidden="1">
      <c r="A3401" s="75" t="str">
        <f t="shared" si="127"/>
        <v>USBESTBUY_LGWashing Machinefront load washerfront load washer</v>
      </c>
      <c r="B3401" s="94" t="str">
        <f t="shared" si="128"/>
        <v>US_BESTBUY_LG</v>
      </c>
      <c r="C3401" s="93" t="s">
        <v>359</v>
      </c>
      <c r="D3401" s="93" t="s">
        <v>362</v>
      </c>
      <c r="E3401" s="93" t="s">
        <v>2333</v>
      </c>
      <c r="F3401" s="93" t="s">
        <v>2335</v>
      </c>
      <c r="G3401" s="93" t="s">
        <v>3686</v>
      </c>
      <c r="H3401" s="93" t="e">
        <v>#N/A</v>
      </c>
      <c r="I3401" s="105" t="s">
        <v>2310</v>
      </c>
      <c r="J3401" s="93" t="s">
        <v>189</v>
      </c>
      <c r="K3401" s="93">
        <v>300</v>
      </c>
      <c r="L3401" s="93">
        <v>300</v>
      </c>
      <c r="M3401" s="93" t="s">
        <v>2311</v>
      </c>
      <c r="N3401" s="93">
        <f>VLOOKUP(B3401,'[16]01.수집 카테고리(List)'!$A$2:$H$64,8,FALSE)</f>
        <v>99991231</v>
      </c>
      <c r="O3401" s="93" t="s">
        <v>646</v>
      </c>
    </row>
    <row r="3402" spans="1:15" hidden="1">
      <c r="A3402" s="75" t="str">
        <f t="shared" si="127"/>
        <v>USBESTBUY_LGWashing Machinewashing machinelavadora</v>
      </c>
      <c r="B3402" s="94" t="str">
        <f t="shared" si="128"/>
        <v>US_BESTBUY_LG</v>
      </c>
      <c r="C3402" s="93" t="s">
        <v>359</v>
      </c>
      <c r="D3402" s="93" t="s">
        <v>362</v>
      </c>
      <c r="E3402" s="93" t="s">
        <v>2333</v>
      </c>
      <c r="F3402" s="93" t="s">
        <v>2340</v>
      </c>
      <c r="G3402" s="93" t="s">
        <v>3682</v>
      </c>
      <c r="H3402" s="93" t="s">
        <v>3680</v>
      </c>
      <c r="I3402" s="105" t="s">
        <v>2310</v>
      </c>
      <c r="J3402" s="93" t="s">
        <v>189</v>
      </c>
      <c r="K3402" s="93">
        <v>633</v>
      </c>
      <c r="L3402" s="93">
        <v>550</v>
      </c>
      <c r="M3402" s="93" t="s">
        <v>2311</v>
      </c>
      <c r="N3402" s="93">
        <f>VLOOKUP(B3402,'[16]01.수집 카테고리(List)'!$A$2:$H$64,8,FALSE)</f>
        <v>99991231</v>
      </c>
      <c r="O3402" s="93" t="s">
        <v>646</v>
      </c>
    </row>
    <row r="3403" spans="1:15" hidden="1">
      <c r="A3403" s="75" t="str">
        <f t="shared" si="127"/>
        <v>USBESTBUY_LGWashing Machinewasher dryerlavasecadora</v>
      </c>
      <c r="B3403" s="94" t="str">
        <f t="shared" si="128"/>
        <v>US_BESTBUY_LG</v>
      </c>
      <c r="C3403" s="93" t="s">
        <v>359</v>
      </c>
      <c r="D3403" s="93" t="s">
        <v>362</v>
      </c>
      <c r="E3403" s="93" t="s">
        <v>2333</v>
      </c>
      <c r="F3403" s="93" t="s">
        <v>3476</v>
      </c>
      <c r="G3403" s="93" t="s">
        <v>3687</v>
      </c>
      <c r="H3403" s="93" t="s">
        <v>3680</v>
      </c>
      <c r="I3403" s="105" t="s">
        <v>2310</v>
      </c>
      <c r="J3403" s="93" t="s">
        <v>189</v>
      </c>
      <c r="K3403" s="93" t="e">
        <v>#N/A</v>
      </c>
      <c r="L3403" s="93" t="e">
        <v>#N/A</v>
      </c>
      <c r="M3403" s="93" t="s">
        <v>2393</v>
      </c>
      <c r="N3403" s="93">
        <f>VLOOKUP(B3403,'[16]01.수집 카테고리(List)'!$A$2:$H$64,8,FALSE)</f>
        <v>99991231</v>
      </c>
      <c r="O3403" s="93" t="s">
        <v>646</v>
      </c>
    </row>
    <row r="3404" spans="1:15" hidden="1">
      <c r="A3404" s="75" t="str">
        <f t="shared" si="127"/>
        <v>USBESTBUY_LGWashing Machinewasher dryerwasher dryer</v>
      </c>
      <c r="B3404" s="94" t="str">
        <f t="shared" ref="B3404" si="129">C3404&amp;"_"&amp;D3404</f>
        <v>US_BESTBUY_LG</v>
      </c>
      <c r="C3404" s="93" t="s">
        <v>359</v>
      </c>
      <c r="D3404" s="93" t="s">
        <v>362</v>
      </c>
      <c r="E3404" s="93" t="s">
        <v>2333</v>
      </c>
      <c r="F3404" s="93" t="s">
        <v>3476</v>
      </c>
      <c r="G3404" s="93" t="s">
        <v>3476</v>
      </c>
      <c r="H3404" s="93" t="e">
        <v>#N/A</v>
      </c>
      <c r="I3404" s="105" t="s">
        <v>2310</v>
      </c>
      <c r="J3404" s="93" t="s">
        <v>189</v>
      </c>
      <c r="K3404" s="93"/>
      <c r="L3404" s="93"/>
      <c r="M3404" s="93"/>
      <c r="N3404" s="93"/>
      <c r="O3404" s="93"/>
    </row>
    <row r="3405" spans="1:15" hidden="1">
      <c r="A3405" s="75" t="str">
        <f t="shared" si="127"/>
        <v>USBESTBUY_LGWashing Machinetop load washertop load washer</v>
      </c>
      <c r="B3405" s="94" t="str">
        <f t="shared" si="128"/>
        <v>US_BESTBUY_LG</v>
      </c>
      <c r="C3405" s="93" t="s">
        <v>359</v>
      </c>
      <c r="D3405" s="93" t="s">
        <v>362</v>
      </c>
      <c r="E3405" s="93" t="s">
        <v>2333</v>
      </c>
      <c r="F3405" s="93" t="s">
        <v>2337</v>
      </c>
      <c r="G3405" s="93" t="s">
        <v>2337</v>
      </c>
      <c r="H3405" s="93" t="e">
        <v>#N/A</v>
      </c>
      <c r="I3405" s="105" t="s">
        <v>2310</v>
      </c>
      <c r="J3405" s="93" t="s">
        <v>189</v>
      </c>
      <c r="K3405" s="93">
        <v>272</v>
      </c>
      <c r="L3405" s="93">
        <v>272</v>
      </c>
      <c r="M3405" s="93" t="s">
        <v>2311</v>
      </c>
      <c r="N3405" s="93">
        <f>VLOOKUP(B3405,'[16]01.수집 카테고리(List)'!$A$2:$H$64,8,FALSE)</f>
        <v>99991231</v>
      </c>
      <c r="O3405" s="93" t="s">
        <v>646</v>
      </c>
    </row>
    <row r="3406" spans="1:15" hidden="1">
      <c r="A3406" s="75" t="str">
        <f t="shared" si="127"/>
        <v>USBESTBUY_LGWashing Machinewasher dryer combowasher dryer combo</v>
      </c>
      <c r="B3406" s="94" t="str">
        <f t="shared" si="128"/>
        <v>US_BESTBUY_LG</v>
      </c>
      <c r="C3406" s="93" t="s">
        <v>359</v>
      </c>
      <c r="D3406" s="93" t="s">
        <v>362</v>
      </c>
      <c r="E3406" s="93" t="s">
        <v>2333</v>
      </c>
      <c r="F3406" s="93" t="s">
        <v>2338</v>
      </c>
      <c r="G3406" s="93" t="s">
        <v>2338</v>
      </c>
      <c r="H3406" s="93" t="e">
        <v>#N/A</v>
      </c>
      <c r="I3406" s="105" t="s">
        <v>2310</v>
      </c>
      <c r="J3406" s="93" t="s">
        <v>189</v>
      </c>
      <c r="K3406" s="93">
        <v>632</v>
      </c>
      <c r="L3406" s="93">
        <v>632</v>
      </c>
      <c r="M3406" s="93" t="s">
        <v>2311</v>
      </c>
      <c r="N3406" s="93">
        <f>VLOOKUP(B3406,'[16]01.수집 카테고리(List)'!$A$2:$H$64,8,FALSE)</f>
        <v>99991231</v>
      </c>
      <c r="O3406" s="93" t="s">
        <v>646</v>
      </c>
    </row>
    <row r="3407" spans="1:15" hidden="1">
      <c r="A3407" s="75" t="str">
        <f t="shared" si="127"/>
        <v>USBESTBUY_LGWashing Machinewashing machinewashing machine</v>
      </c>
      <c r="B3407" s="94" t="str">
        <f t="shared" si="128"/>
        <v>US_BESTBUY_LG</v>
      </c>
      <c r="C3407" s="93" t="s">
        <v>359</v>
      </c>
      <c r="D3407" s="93" t="s">
        <v>362</v>
      </c>
      <c r="E3407" s="93" t="s">
        <v>2333</v>
      </c>
      <c r="F3407" s="93" t="s">
        <v>2340</v>
      </c>
      <c r="G3407" s="93" t="s">
        <v>2340</v>
      </c>
      <c r="H3407" s="93" t="e">
        <v>#N/A</v>
      </c>
      <c r="I3407" s="105" t="s">
        <v>2310</v>
      </c>
      <c r="J3407" s="93" t="s">
        <v>189</v>
      </c>
      <c r="K3407" s="93">
        <v>550</v>
      </c>
      <c r="L3407" s="93">
        <v>550</v>
      </c>
      <c r="M3407" s="93" t="s">
        <v>2311</v>
      </c>
      <c r="N3407" s="93">
        <f>VLOOKUP(B3407,'[16]01.수집 카테고리(List)'!$A$2:$H$64,8,FALSE)</f>
        <v>99991231</v>
      </c>
      <c r="O3407" s="93" t="s">
        <v>646</v>
      </c>
    </row>
    <row r="3408" spans="1:15" hidden="1">
      <c r="A3408" s="75" t="str">
        <f t="shared" si="127"/>
        <v>USBESTBUY_LGWIRELESS HEADSETBluetooth earbudsBluetooth earbuds</v>
      </c>
      <c r="B3408" s="94" t="str">
        <f t="shared" si="128"/>
        <v>US_BESTBUY_LG</v>
      </c>
      <c r="C3408" s="93" t="s">
        <v>359</v>
      </c>
      <c r="D3408" s="93" t="s">
        <v>362</v>
      </c>
      <c r="E3408" s="93" t="s">
        <v>2201</v>
      </c>
      <c r="F3408" s="93" t="s">
        <v>2382</v>
      </c>
      <c r="G3408" s="93" t="s">
        <v>2382</v>
      </c>
      <c r="H3408" s="93" t="e">
        <v>#N/A</v>
      </c>
      <c r="I3408" s="105" t="s">
        <v>2310</v>
      </c>
      <c r="J3408" s="93" t="s">
        <v>189</v>
      </c>
      <c r="K3408" s="93">
        <v>330</v>
      </c>
      <c r="L3408" s="93">
        <v>330</v>
      </c>
      <c r="M3408" s="93" t="s">
        <v>2311</v>
      </c>
      <c r="N3408" s="93">
        <f>VLOOKUP(B3408,'[16]01.수집 카테고리(List)'!$A$2:$H$64,8,FALSE)</f>
        <v>99991231</v>
      </c>
      <c r="O3408" s="93" t="s">
        <v>646</v>
      </c>
    </row>
    <row r="3409" spans="1:15" hidden="1">
      <c r="A3409" s="75" t="str">
        <f t="shared" si="127"/>
        <v>USBESTBUY_LGWIRELESS HEADSETEar budsEar buds</v>
      </c>
      <c r="B3409" s="94" t="str">
        <f t="shared" si="128"/>
        <v>US_BESTBUY_LG</v>
      </c>
      <c r="C3409" s="93" t="s">
        <v>359</v>
      </c>
      <c r="D3409" s="93" t="s">
        <v>362</v>
      </c>
      <c r="E3409" s="93" t="s">
        <v>2201</v>
      </c>
      <c r="F3409" s="93" t="s">
        <v>2380</v>
      </c>
      <c r="G3409" s="93" t="s">
        <v>2380</v>
      </c>
      <c r="H3409" s="93" t="e">
        <v>#N/A</v>
      </c>
      <c r="I3409" s="105" t="s">
        <v>2310</v>
      </c>
      <c r="J3409" s="93" t="s">
        <v>189</v>
      </c>
      <c r="K3409" s="93">
        <v>799</v>
      </c>
      <c r="L3409" s="93">
        <v>799</v>
      </c>
      <c r="M3409" s="93" t="s">
        <v>2311</v>
      </c>
      <c r="N3409" s="93">
        <f>VLOOKUP(B3409,'[16]01.수집 카테고리(List)'!$A$2:$H$64,8,FALSE)</f>
        <v>99991231</v>
      </c>
      <c r="O3409" s="93" t="s">
        <v>646</v>
      </c>
    </row>
    <row r="3410" spans="1:15" hidden="1">
      <c r="A3410" s="75" t="str">
        <f t="shared" si="127"/>
        <v>USBESTBUY_LGWIRELESS HEADSETEarbudsEarbuds</v>
      </c>
      <c r="B3410" s="94" t="str">
        <f t="shared" si="128"/>
        <v>US_BESTBUY_LG</v>
      </c>
      <c r="C3410" s="93" t="s">
        <v>359</v>
      </c>
      <c r="D3410" s="93" t="s">
        <v>362</v>
      </c>
      <c r="E3410" s="93" t="s">
        <v>2201</v>
      </c>
      <c r="F3410" s="93" t="s">
        <v>2534</v>
      </c>
      <c r="G3410" s="93" t="s">
        <v>2534</v>
      </c>
      <c r="H3410" s="93" t="e">
        <v>#N/A</v>
      </c>
      <c r="I3410" s="105" t="s">
        <v>2310</v>
      </c>
      <c r="J3410" s="93" t="s">
        <v>189</v>
      </c>
      <c r="K3410" s="93">
        <v>795</v>
      </c>
      <c r="L3410" s="93">
        <v>795</v>
      </c>
      <c r="M3410" s="93" t="s">
        <v>2311</v>
      </c>
      <c r="N3410" s="93">
        <f>VLOOKUP(B3410,'[16]01.수집 카테고리(List)'!$A$2:$H$64,8,FALSE)</f>
        <v>99991231</v>
      </c>
      <c r="O3410" s="93" t="s">
        <v>646</v>
      </c>
    </row>
    <row r="3411" spans="1:15" hidden="1">
      <c r="A3411" s="75" t="str">
        <f t="shared" ref="A3411:A3471" si="130">C3411&amp;D3411&amp;E3411&amp;F3411&amp;G3411</f>
        <v>USBESTBUY_LGWIRELESS HEADSETBluetooth HeadphonesNoise cancelling earbuds</v>
      </c>
      <c r="B3411" s="94" t="str">
        <f t="shared" ref="B3411:B3471" si="131">C3411&amp;"_"&amp;D3411</f>
        <v>US_BESTBUY_LG</v>
      </c>
      <c r="C3411" s="93" t="s">
        <v>359</v>
      </c>
      <c r="D3411" s="93" t="s">
        <v>362</v>
      </c>
      <c r="E3411" s="93" t="s">
        <v>2201</v>
      </c>
      <c r="F3411" s="93" t="s">
        <v>2533</v>
      </c>
      <c r="G3411" s="93" t="s">
        <v>2378</v>
      </c>
      <c r="H3411" s="93" t="e">
        <v>#N/A</v>
      </c>
      <c r="I3411" s="105" t="s">
        <v>2310</v>
      </c>
      <c r="J3411" s="93" t="s">
        <v>189</v>
      </c>
      <c r="K3411" s="93">
        <v>189</v>
      </c>
      <c r="L3411" s="93">
        <v>172</v>
      </c>
      <c r="M3411" s="93" t="s">
        <v>2311</v>
      </c>
      <c r="N3411" s="93">
        <f>VLOOKUP(B3411,'[16]01.수집 카테고리(List)'!$A$2:$H$64,8,FALSE)</f>
        <v>99991231</v>
      </c>
      <c r="O3411" s="93" t="s">
        <v>646</v>
      </c>
    </row>
    <row r="3412" spans="1:15" hidden="1">
      <c r="A3412" s="75" t="str">
        <f t="shared" si="130"/>
        <v>USBESTBUY_LGWIRELESS HEADSETWireless earbudsWireless earbuds</v>
      </c>
      <c r="B3412" s="94" t="str">
        <f t="shared" si="131"/>
        <v>US_BESTBUY_LG</v>
      </c>
      <c r="C3412" s="93" t="s">
        <v>359</v>
      </c>
      <c r="D3412" s="93" t="s">
        <v>362</v>
      </c>
      <c r="E3412" s="93" t="s">
        <v>2201</v>
      </c>
      <c r="F3412" s="93" t="s">
        <v>2376</v>
      </c>
      <c r="G3412" s="93" t="s">
        <v>2376</v>
      </c>
      <c r="H3412" s="93" t="e">
        <v>#N/A</v>
      </c>
      <c r="I3412" s="105" t="s">
        <v>2310</v>
      </c>
      <c r="J3412" s="93" t="s">
        <v>189</v>
      </c>
      <c r="K3412" s="93">
        <v>371</v>
      </c>
      <c r="L3412" s="93">
        <v>371</v>
      </c>
      <c r="M3412" s="93" t="s">
        <v>2311</v>
      </c>
      <c r="N3412" s="93">
        <f>VLOOKUP(B3412,'[16]01.수집 카테고리(List)'!$A$2:$H$64,8,FALSE)</f>
        <v>99991231</v>
      </c>
      <c r="O3412" s="93" t="s">
        <v>646</v>
      </c>
    </row>
    <row r="3413" spans="1:15" s="81" customFormat="1" hidden="1">
      <c r="A3413" s="81" t="str">
        <f t="shared" si="130"/>
        <v>USBESTBUY_LGAir Conditionerair conditionerair conditioner</v>
      </c>
      <c r="B3413" s="106" t="str">
        <f t="shared" si="131"/>
        <v>US_BESTBUY_LG</v>
      </c>
      <c r="C3413" s="107" t="s">
        <v>359</v>
      </c>
      <c r="D3413" s="107" t="s">
        <v>362</v>
      </c>
      <c r="E3413" s="107" t="s">
        <v>2524</v>
      </c>
      <c r="F3413" s="107" t="s">
        <v>2347</v>
      </c>
      <c r="G3413" s="107" t="s">
        <v>2347</v>
      </c>
      <c r="H3413" s="93" t="e">
        <v>#N/A</v>
      </c>
      <c r="I3413" s="99">
        <v>46076</v>
      </c>
      <c r="J3413" s="83" t="s">
        <v>189</v>
      </c>
      <c r="K3413" s="107"/>
      <c r="L3413" s="107"/>
      <c r="M3413" s="107"/>
      <c r="N3413" s="107"/>
      <c r="O3413" s="107"/>
    </row>
    <row r="3414" spans="1:15" s="81" customFormat="1" hidden="1">
      <c r="A3414" s="81" t="str">
        <f t="shared" si="130"/>
        <v>USBESTBUY_LGAir Conditionerinverter air conditionerinverter air conditioner</v>
      </c>
      <c r="B3414" s="106" t="str">
        <f t="shared" si="131"/>
        <v>US_BESTBUY_LG</v>
      </c>
      <c r="C3414" s="107" t="s">
        <v>359</v>
      </c>
      <c r="D3414" s="107" t="s">
        <v>362</v>
      </c>
      <c r="E3414" s="107" t="s">
        <v>2524</v>
      </c>
      <c r="F3414" s="107" t="s">
        <v>2348</v>
      </c>
      <c r="G3414" s="107" t="s">
        <v>2348</v>
      </c>
      <c r="H3414" s="93" t="e">
        <v>#N/A</v>
      </c>
      <c r="I3414" s="99">
        <v>46076</v>
      </c>
      <c r="J3414" s="83" t="s">
        <v>189</v>
      </c>
      <c r="K3414" s="107"/>
      <c r="L3414" s="107"/>
      <c r="M3414" s="107"/>
      <c r="N3414" s="107"/>
      <c r="O3414" s="107"/>
    </row>
    <row r="3415" spans="1:15" s="81" customFormat="1" hidden="1">
      <c r="A3415" s="81" t="str">
        <f t="shared" si="130"/>
        <v>USBESTBUY_LGAir Conditionersplit air conditionersplit air conditioner</v>
      </c>
      <c r="B3415" s="106" t="str">
        <f t="shared" si="131"/>
        <v>US_BESTBUY_LG</v>
      </c>
      <c r="C3415" s="107" t="s">
        <v>359</v>
      </c>
      <c r="D3415" s="107" t="s">
        <v>362</v>
      </c>
      <c r="E3415" s="107" t="s">
        <v>2524</v>
      </c>
      <c r="F3415" s="107" t="s">
        <v>2422</v>
      </c>
      <c r="G3415" s="107" t="s">
        <v>2422</v>
      </c>
      <c r="H3415" s="93" t="e">
        <v>#N/A</v>
      </c>
      <c r="I3415" s="99">
        <v>46076</v>
      </c>
      <c r="J3415" s="83" t="s">
        <v>189</v>
      </c>
      <c r="K3415" s="107"/>
      <c r="L3415" s="107"/>
      <c r="M3415" s="107"/>
      <c r="N3415" s="107"/>
      <c r="O3415" s="107"/>
    </row>
    <row r="3416" spans="1:15" s="81" customFormat="1" hidden="1">
      <c r="A3416" s="81" t="str">
        <f t="shared" si="130"/>
        <v>USBESTBUY_LGAir Conditionersplit inverter air conditionersplit inverter air conditioner</v>
      </c>
      <c r="B3416" s="106" t="str">
        <f t="shared" si="131"/>
        <v>US_BESTBUY_LG</v>
      </c>
      <c r="C3416" s="107" t="s">
        <v>359</v>
      </c>
      <c r="D3416" s="107" t="s">
        <v>362</v>
      </c>
      <c r="E3416" s="107" t="s">
        <v>2524</v>
      </c>
      <c r="F3416" s="107" t="s">
        <v>2423</v>
      </c>
      <c r="G3416" s="107" t="s">
        <v>2423</v>
      </c>
      <c r="H3416" s="93" t="e">
        <v>#N/A</v>
      </c>
      <c r="I3416" s="99">
        <v>46076</v>
      </c>
      <c r="J3416" s="83" t="s">
        <v>189</v>
      </c>
      <c r="K3416" s="107"/>
      <c r="L3416" s="107"/>
      <c r="M3416" s="107"/>
      <c r="N3416" s="107"/>
      <c r="O3416" s="107"/>
    </row>
    <row r="3417" spans="1:15" s="81" customFormat="1" hidden="1">
      <c r="A3417" s="81" t="str">
        <f t="shared" si="130"/>
        <v>USBESTBUY_LGAir Conditionerwindow air conditionerwindow air conditioner</v>
      </c>
      <c r="B3417" s="106" t="str">
        <f t="shared" si="131"/>
        <v>US_BESTBUY_LG</v>
      </c>
      <c r="C3417" s="107" t="s">
        <v>359</v>
      </c>
      <c r="D3417" s="107" t="s">
        <v>362</v>
      </c>
      <c r="E3417" s="107" t="s">
        <v>2524</v>
      </c>
      <c r="F3417" s="107" t="s">
        <v>2350</v>
      </c>
      <c r="G3417" s="107" t="s">
        <v>2350</v>
      </c>
      <c r="H3417" s="93" t="e">
        <v>#N/A</v>
      </c>
      <c r="I3417" s="99">
        <v>46076</v>
      </c>
      <c r="J3417" s="83" t="s">
        <v>189</v>
      </c>
      <c r="K3417" s="107"/>
      <c r="L3417" s="107"/>
      <c r="M3417" s="107"/>
      <c r="N3417" s="107"/>
      <c r="O3417" s="107"/>
    </row>
    <row r="3418" spans="1:15" s="81" customFormat="1" hidden="1">
      <c r="A3418" s="81" t="str">
        <f t="shared" si="130"/>
        <v>USBESTBUY_LGAir Conditionerwindow inverter air conditionerwindow inverter air conditioner</v>
      </c>
      <c r="B3418" s="106" t="str">
        <f t="shared" si="131"/>
        <v>US_BESTBUY_LG</v>
      </c>
      <c r="C3418" s="107" t="s">
        <v>359</v>
      </c>
      <c r="D3418" s="107" t="s">
        <v>362</v>
      </c>
      <c r="E3418" s="107" t="s">
        <v>2524</v>
      </c>
      <c r="F3418" s="107" t="s">
        <v>2424</v>
      </c>
      <c r="G3418" s="107" t="s">
        <v>2424</v>
      </c>
      <c r="H3418" s="93" t="e">
        <v>#N/A</v>
      </c>
      <c r="I3418" s="99">
        <v>46076</v>
      </c>
      <c r="J3418" s="83" t="s">
        <v>189</v>
      </c>
      <c r="K3418" s="107"/>
      <c r="L3418" s="107"/>
      <c r="M3418" s="107"/>
      <c r="N3418" s="107"/>
      <c r="O3418" s="107"/>
    </row>
    <row r="3419" spans="1:15" hidden="1">
      <c r="A3419" s="75" t="str">
        <f t="shared" si="130"/>
        <v>USCOSTCO_LGBluetooth Speakerbluetooth speakerbluetooth speaker</v>
      </c>
      <c r="B3419" s="94" t="str">
        <f t="shared" si="131"/>
        <v>US_COSTCO_LG</v>
      </c>
      <c r="C3419" s="93" t="s">
        <v>359</v>
      </c>
      <c r="D3419" s="93" t="s">
        <v>620</v>
      </c>
      <c r="E3419" s="93" t="s">
        <v>2307</v>
      </c>
      <c r="F3419" s="93" t="s">
        <v>2657</v>
      </c>
      <c r="G3419" s="93" t="s">
        <v>2657</v>
      </c>
      <c r="H3419" s="93" t="e">
        <v>#N/A</v>
      </c>
      <c r="I3419" s="105" t="s">
        <v>2310</v>
      </c>
      <c r="J3419" s="93" t="s">
        <v>189</v>
      </c>
      <c r="K3419" s="93">
        <v>143</v>
      </c>
      <c r="L3419" s="93">
        <v>143</v>
      </c>
      <c r="M3419" s="93" t="s">
        <v>2311</v>
      </c>
      <c r="N3419" s="93">
        <f>VLOOKUP(B3419,'[16]01.수집 카테고리(List)'!$A$2:$H$64,8,FALSE)</f>
        <v>99991231</v>
      </c>
      <c r="O3419" s="93" t="s">
        <v>646</v>
      </c>
    </row>
    <row r="3420" spans="1:15" hidden="1">
      <c r="A3420" s="75" t="str">
        <f t="shared" si="130"/>
        <v>USCOSTCO_LGBluetooth Speakerbluetooth speaker portablebluetooth speaker portable</v>
      </c>
      <c r="B3420" s="94" t="str">
        <f t="shared" si="131"/>
        <v>US_COSTCO_LG</v>
      </c>
      <c r="C3420" s="93" t="s">
        <v>359</v>
      </c>
      <c r="D3420" s="93" t="s">
        <v>620</v>
      </c>
      <c r="E3420" s="93" t="s">
        <v>2307</v>
      </c>
      <c r="F3420" s="93" t="s">
        <v>2479</v>
      </c>
      <c r="G3420" s="93" t="s">
        <v>2479</v>
      </c>
      <c r="H3420" s="93" t="e">
        <v>#N/A</v>
      </c>
      <c r="I3420" s="105" t="s">
        <v>2310</v>
      </c>
      <c r="J3420" s="93" t="s">
        <v>189</v>
      </c>
      <c r="K3420" s="93">
        <v>90</v>
      </c>
      <c r="L3420" s="93">
        <v>90</v>
      </c>
      <c r="M3420" s="93" t="s">
        <v>2311</v>
      </c>
      <c r="N3420" s="93">
        <f>VLOOKUP(B3420,'[16]01.수집 카테고리(List)'!$A$2:$H$64,8,FALSE)</f>
        <v>99991231</v>
      </c>
      <c r="O3420" s="93" t="s">
        <v>646</v>
      </c>
    </row>
    <row r="3421" spans="1:15" hidden="1">
      <c r="A3421" s="75" t="str">
        <f t="shared" si="130"/>
        <v>USCOSTCO_LGBluetooth Speakerwireless portable speakersPortable bluetooth speakers</v>
      </c>
      <c r="B3421" s="94" t="str">
        <f t="shared" si="131"/>
        <v>US_COSTCO_LG</v>
      </c>
      <c r="C3421" s="93" t="s">
        <v>359</v>
      </c>
      <c r="D3421" s="93" t="s">
        <v>620</v>
      </c>
      <c r="E3421" s="93" t="s">
        <v>2307</v>
      </c>
      <c r="F3421" s="93" t="s">
        <v>2475</v>
      </c>
      <c r="G3421" s="93" t="s">
        <v>2426</v>
      </c>
      <c r="H3421" s="93" t="e">
        <v>#N/A</v>
      </c>
      <c r="I3421" s="105" t="s">
        <v>2310</v>
      </c>
      <c r="J3421" s="93" t="s">
        <v>189</v>
      </c>
      <c r="K3421" s="93">
        <v>3</v>
      </c>
      <c r="L3421" s="93">
        <v>103</v>
      </c>
      <c r="M3421" s="93" t="s">
        <v>2311</v>
      </c>
      <c r="N3421" s="93">
        <f>VLOOKUP(B3421,'[16]01.수집 카테고리(List)'!$A$2:$H$64,8,FALSE)</f>
        <v>99991231</v>
      </c>
      <c r="O3421" s="93" t="s">
        <v>646</v>
      </c>
    </row>
    <row r="3422" spans="1:15" hidden="1">
      <c r="A3422" s="75" t="str">
        <f t="shared" si="130"/>
        <v>USCOSTCO_LGBluetooth Speakerportable speakersportable speakers</v>
      </c>
      <c r="B3422" s="94" t="str">
        <f t="shared" si="131"/>
        <v>US_COSTCO_LG</v>
      </c>
      <c r="C3422" s="93" t="s">
        <v>359</v>
      </c>
      <c r="D3422" s="93" t="s">
        <v>620</v>
      </c>
      <c r="E3422" s="93" t="s">
        <v>2307</v>
      </c>
      <c r="F3422" s="93" t="s">
        <v>2473</v>
      </c>
      <c r="G3422" s="93" t="s">
        <v>2473</v>
      </c>
      <c r="H3422" s="93" t="e">
        <v>#N/A</v>
      </c>
      <c r="I3422" s="105" t="s">
        <v>2310</v>
      </c>
      <c r="J3422" s="93" t="s">
        <v>189</v>
      </c>
      <c r="K3422" s="93">
        <v>167</v>
      </c>
      <c r="L3422" s="93">
        <v>167</v>
      </c>
      <c r="M3422" s="93" t="s">
        <v>2311</v>
      </c>
      <c r="N3422" s="93">
        <f>VLOOKUP(B3422,'[16]01.수집 카테고리(List)'!$A$2:$H$64,8,FALSE)</f>
        <v>99991231</v>
      </c>
      <c r="O3422" s="93" t="s">
        <v>646</v>
      </c>
    </row>
    <row r="3423" spans="1:15" hidden="1">
      <c r="A3423" s="75" t="str">
        <f t="shared" si="130"/>
        <v>USCOSTCO_LGBluetooth Speakerspeakersspeakers</v>
      </c>
      <c r="B3423" s="94" t="str">
        <f t="shared" si="131"/>
        <v>US_COSTCO_LG</v>
      </c>
      <c r="C3423" s="93" t="s">
        <v>359</v>
      </c>
      <c r="D3423" s="93" t="s">
        <v>620</v>
      </c>
      <c r="E3423" s="93" t="s">
        <v>2307</v>
      </c>
      <c r="F3423" s="93" t="s">
        <v>2471</v>
      </c>
      <c r="G3423" s="93" t="s">
        <v>2471</v>
      </c>
      <c r="H3423" s="93" t="e">
        <v>#N/A</v>
      </c>
      <c r="I3423" s="105" t="s">
        <v>2310</v>
      </c>
      <c r="J3423" s="93" t="s">
        <v>189</v>
      </c>
      <c r="K3423" s="93">
        <v>1276</v>
      </c>
      <c r="L3423" s="93">
        <v>1276</v>
      </c>
      <c r="M3423" s="93" t="s">
        <v>2311</v>
      </c>
      <c r="N3423" s="93">
        <f>VLOOKUP(B3423,'[16]01.수집 카테고리(List)'!$A$2:$H$64,8,FALSE)</f>
        <v>99991231</v>
      </c>
      <c r="O3423" s="93" t="s">
        <v>646</v>
      </c>
    </row>
    <row r="3424" spans="1:15" hidden="1">
      <c r="A3424" s="75" t="str">
        <f t="shared" si="130"/>
        <v>USCOSTCO_LGCordless stick vacuumcordless stick vacuumcordless stick vacuum</v>
      </c>
      <c r="B3424" s="94" t="str">
        <f t="shared" si="131"/>
        <v>US_COSTCO_LG</v>
      </c>
      <c r="C3424" s="93" t="s">
        <v>359</v>
      </c>
      <c r="D3424" s="93" t="s">
        <v>620</v>
      </c>
      <c r="E3424" s="93" t="s">
        <v>2435</v>
      </c>
      <c r="F3424" s="93" t="s">
        <v>2436</v>
      </c>
      <c r="G3424" s="93" t="s">
        <v>2436</v>
      </c>
      <c r="H3424" s="93" t="e">
        <v>#N/A</v>
      </c>
      <c r="I3424" s="105" t="s">
        <v>2310</v>
      </c>
      <c r="J3424" s="93" t="s">
        <v>189</v>
      </c>
      <c r="K3424" s="93">
        <v>16</v>
      </c>
      <c r="L3424" s="93">
        <v>16</v>
      </c>
      <c r="M3424" s="93" t="s">
        <v>2311</v>
      </c>
      <c r="N3424" s="93">
        <f>VLOOKUP(B3424,'[16]01.수집 카테고리(List)'!$A$2:$H$64,8,FALSE)</f>
        <v>99991231</v>
      </c>
      <c r="O3424" s="93" t="s">
        <v>646</v>
      </c>
    </row>
    <row r="3425" spans="1:15" hidden="1">
      <c r="A3425" s="75" t="str">
        <f t="shared" si="130"/>
        <v>USCOSTCO_LGCordless stick vacuumhandstick vacuumhandstick vacuum</v>
      </c>
      <c r="B3425" s="94" t="str">
        <f t="shared" si="131"/>
        <v>US_COSTCO_LG</v>
      </c>
      <c r="C3425" s="93" t="s">
        <v>359</v>
      </c>
      <c r="D3425" s="93" t="s">
        <v>620</v>
      </c>
      <c r="E3425" s="93" t="s">
        <v>2435</v>
      </c>
      <c r="F3425" s="93" t="s">
        <v>3667</v>
      </c>
      <c r="G3425" s="93" t="s">
        <v>3667</v>
      </c>
      <c r="H3425" s="93" t="e">
        <v>#N/A</v>
      </c>
      <c r="I3425" s="105" t="s">
        <v>2310</v>
      </c>
      <c r="J3425" s="93" t="s">
        <v>189</v>
      </c>
      <c r="K3425" s="93">
        <v>2273</v>
      </c>
      <c r="L3425" s="93">
        <v>2273</v>
      </c>
      <c r="M3425" s="93" t="s">
        <v>2311</v>
      </c>
      <c r="N3425" s="93">
        <f>VLOOKUP(B3425,'[16]01.수집 카테고리(List)'!$A$2:$H$64,8,FALSE)</f>
        <v>99991231</v>
      </c>
      <c r="O3425" s="93" t="s">
        <v>646</v>
      </c>
    </row>
    <row r="3426" spans="1:15" hidden="1">
      <c r="A3426" s="75" t="str">
        <f t="shared" si="130"/>
        <v>USCOSTCO_LGCordless stick vacuumstick vacuumstick vacuum</v>
      </c>
      <c r="B3426" s="94" t="str">
        <f t="shared" si="131"/>
        <v>US_COSTCO_LG</v>
      </c>
      <c r="C3426" s="93" t="s">
        <v>359</v>
      </c>
      <c r="D3426" s="93" t="s">
        <v>620</v>
      </c>
      <c r="E3426" s="93" t="s">
        <v>2435</v>
      </c>
      <c r="F3426" s="93" t="s">
        <v>2438</v>
      </c>
      <c r="G3426" s="93" t="s">
        <v>2438</v>
      </c>
      <c r="H3426" s="93" t="e">
        <v>#N/A</v>
      </c>
      <c r="I3426" s="105" t="s">
        <v>2310</v>
      </c>
      <c r="J3426" s="93" t="s">
        <v>189</v>
      </c>
      <c r="K3426" s="93">
        <v>16</v>
      </c>
      <c r="L3426" s="93">
        <v>16</v>
      </c>
      <c r="M3426" s="93" t="s">
        <v>2311</v>
      </c>
      <c r="N3426" s="93">
        <f>VLOOKUP(B3426,'[16]01.수집 카테고리(List)'!$A$2:$H$64,8,FALSE)</f>
        <v>99991231</v>
      </c>
      <c r="O3426" s="93" t="s">
        <v>646</v>
      </c>
    </row>
    <row r="3427" spans="1:15" hidden="1">
      <c r="A3427" s="75" t="str">
        <f t="shared" si="130"/>
        <v>USCOSTCO_LGCordless stick vacuumstick vacuum cleanerstick vacuum cleaner</v>
      </c>
      <c r="B3427" s="94" t="str">
        <f t="shared" si="131"/>
        <v>US_COSTCO_LG</v>
      </c>
      <c r="C3427" s="93" t="s">
        <v>359</v>
      </c>
      <c r="D3427" s="93" t="s">
        <v>620</v>
      </c>
      <c r="E3427" s="93" t="s">
        <v>2435</v>
      </c>
      <c r="F3427" s="93" t="s">
        <v>2439</v>
      </c>
      <c r="G3427" s="93" t="s">
        <v>2439</v>
      </c>
      <c r="H3427" s="93" t="e">
        <v>#N/A</v>
      </c>
      <c r="I3427" s="105" t="s">
        <v>2310</v>
      </c>
      <c r="J3427" s="93" t="s">
        <v>189</v>
      </c>
      <c r="K3427" s="93">
        <v>15</v>
      </c>
      <c r="L3427" s="93">
        <v>15</v>
      </c>
      <c r="M3427" s="93" t="s">
        <v>2311</v>
      </c>
      <c r="N3427" s="93">
        <f>VLOOKUP(B3427,'[16]01.수집 카테고리(List)'!$A$2:$H$64,8,FALSE)</f>
        <v>99991231</v>
      </c>
      <c r="O3427" s="93" t="s">
        <v>646</v>
      </c>
    </row>
    <row r="3428" spans="1:15" hidden="1">
      <c r="A3428" s="75" t="str">
        <f t="shared" si="130"/>
        <v>USCOSTCO_LGDryerElectric DryerElectric Dryer</v>
      </c>
      <c r="B3428" s="94" t="str">
        <f t="shared" si="131"/>
        <v>US_COSTCO_LG</v>
      </c>
      <c r="C3428" s="93" t="s">
        <v>359</v>
      </c>
      <c r="D3428" s="93" t="s">
        <v>620</v>
      </c>
      <c r="E3428" s="93" t="s">
        <v>2431</v>
      </c>
      <c r="F3428" s="93" t="s">
        <v>3670</v>
      </c>
      <c r="G3428" s="93" t="s">
        <v>3670</v>
      </c>
      <c r="H3428" s="93" t="e">
        <v>#N/A</v>
      </c>
      <c r="I3428" s="105" t="s">
        <v>2310</v>
      </c>
      <c r="J3428" s="93" t="s">
        <v>189</v>
      </c>
      <c r="K3428" s="93">
        <v>528</v>
      </c>
      <c r="L3428" s="93">
        <v>528</v>
      </c>
      <c r="M3428" s="93" t="s">
        <v>2311</v>
      </c>
      <c r="N3428" s="93">
        <f>VLOOKUP(B3428,'[16]01.수집 카테고리(List)'!$A$2:$H$64,8,FALSE)</f>
        <v>99991231</v>
      </c>
      <c r="O3428" s="93" t="s">
        <v>646</v>
      </c>
    </row>
    <row r="3429" spans="1:15" hidden="1">
      <c r="A3429" s="75" t="str">
        <f t="shared" si="130"/>
        <v>USCOSTCO_LGDryerGas DryerGas Dryer</v>
      </c>
      <c r="B3429" s="94" t="str">
        <f t="shared" si="131"/>
        <v>US_COSTCO_LG</v>
      </c>
      <c r="C3429" s="93" t="s">
        <v>359</v>
      </c>
      <c r="D3429" s="93" t="s">
        <v>620</v>
      </c>
      <c r="E3429" s="93" t="s">
        <v>2431</v>
      </c>
      <c r="F3429" s="93" t="s">
        <v>3671</v>
      </c>
      <c r="G3429" s="93" t="s">
        <v>3671</v>
      </c>
      <c r="H3429" s="93" t="e">
        <v>#N/A</v>
      </c>
      <c r="I3429" s="105" t="s">
        <v>2310</v>
      </c>
      <c r="J3429" s="93" t="s">
        <v>189</v>
      </c>
      <c r="K3429" s="93">
        <v>195</v>
      </c>
      <c r="L3429" s="93">
        <v>195</v>
      </c>
      <c r="M3429" s="93" t="s">
        <v>2311</v>
      </c>
      <c r="N3429" s="93">
        <f>VLOOKUP(B3429,'[16]01.수집 카테고리(List)'!$A$2:$H$64,8,FALSE)</f>
        <v>99991231</v>
      </c>
      <c r="O3429" s="93" t="s">
        <v>646</v>
      </c>
    </row>
    <row r="3430" spans="1:15" hidden="1">
      <c r="A3430" s="75" t="str">
        <f t="shared" si="130"/>
        <v>USCOSTCO_LGDryerSteam DryerSteam Dryer</v>
      </c>
      <c r="B3430" s="94" t="str">
        <f t="shared" si="131"/>
        <v>US_COSTCO_LG</v>
      </c>
      <c r="C3430" s="93" t="s">
        <v>359</v>
      </c>
      <c r="D3430" s="93" t="s">
        <v>620</v>
      </c>
      <c r="E3430" s="93" t="s">
        <v>2431</v>
      </c>
      <c r="F3430" s="93" t="s">
        <v>3672</v>
      </c>
      <c r="G3430" s="93" t="s">
        <v>3672</v>
      </c>
      <c r="H3430" s="93" t="e">
        <v>#N/A</v>
      </c>
      <c r="I3430" s="105" t="s">
        <v>2310</v>
      </c>
      <c r="J3430" s="93" t="s">
        <v>189</v>
      </c>
      <c r="K3430" s="93">
        <v>522</v>
      </c>
      <c r="L3430" s="93">
        <v>522</v>
      </c>
      <c r="M3430" s="93" t="s">
        <v>2311</v>
      </c>
      <c r="N3430" s="93">
        <f>VLOOKUP(B3430,'[16]01.수집 카테고리(List)'!$A$2:$H$64,8,FALSE)</f>
        <v>99991231</v>
      </c>
      <c r="O3430" s="93" t="s">
        <v>646</v>
      </c>
    </row>
    <row r="3431" spans="1:15" hidden="1">
      <c r="A3431" s="75" t="str">
        <f t="shared" si="130"/>
        <v>USCOSTCO_LGLaptop15inch Laptop15inch Laptop</v>
      </c>
      <c r="B3431" s="94" t="str">
        <f t="shared" si="131"/>
        <v>US_COSTCO_LG</v>
      </c>
      <c r="C3431" s="93" t="s">
        <v>359</v>
      </c>
      <c r="D3431" s="93" t="s">
        <v>620</v>
      </c>
      <c r="E3431" s="93" t="s">
        <v>2407</v>
      </c>
      <c r="F3431" s="93" t="s">
        <v>2408</v>
      </c>
      <c r="G3431" s="93" t="s">
        <v>2408</v>
      </c>
      <c r="H3431" s="93" t="e">
        <v>#N/A</v>
      </c>
      <c r="I3431" s="105" t="s">
        <v>2310</v>
      </c>
      <c r="J3431" s="93" t="s">
        <v>189</v>
      </c>
      <c r="K3431" s="93">
        <v>967</v>
      </c>
      <c r="L3431" s="93">
        <v>967</v>
      </c>
      <c r="M3431" s="93" t="s">
        <v>2311</v>
      </c>
      <c r="N3431" s="93">
        <f>VLOOKUP(B3431,'[16]01.수집 카테고리(List)'!$A$2:$H$64,8,FALSE)</f>
        <v>99991231</v>
      </c>
      <c r="O3431" s="93" t="s">
        <v>646</v>
      </c>
    </row>
    <row r="3432" spans="1:15" hidden="1">
      <c r="A3432" s="75" t="str">
        <f t="shared" si="130"/>
        <v>USCOSTCO_LGLaptop17inch Laptop17inch Laptop</v>
      </c>
      <c r="B3432" s="94" t="str">
        <f t="shared" si="131"/>
        <v>US_COSTCO_LG</v>
      </c>
      <c r="C3432" s="93" t="s">
        <v>359</v>
      </c>
      <c r="D3432" s="93" t="s">
        <v>620</v>
      </c>
      <c r="E3432" s="93" t="s">
        <v>2407</v>
      </c>
      <c r="F3432" s="93" t="s">
        <v>2409</v>
      </c>
      <c r="G3432" s="93" t="s">
        <v>2409</v>
      </c>
      <c r="H3432" s="93" t="e">
        <v>#N/A</v>
      </c>
      <c r="I3432" s="105" t="s">
        <v>2310</v>
      </c>
      <c r="J3432" s="93" t="s">
        <v>189</v>
      </c>
      <c r="K3432" s="93">
        <v>1310</v>
      </c>
      <c r="L3432" s="93">
        <v>1310</v>
      </c>
      <c r="M3432" s="93" t="s">
        <v>2311</v>
      </c>
      <c r="N3432" s="93">
        <f>VLOOKUP(B3432,'[16]01.수집 카테고리(List)'!$A$2:$H$64,8,FALSE)</f>
        <v>99991231</v>
      </c>
      <c r="O3432" s="93" t="s">
        <v>646</v>
      </c>
    </row>
    <row r="3433" spans="1:15" hidden="1">
      <c r="A3433" s="75" t="str">
        <f t="shared" si="130"/>
        <v>USCOSTCO_LGLaptopi7 laptopi7 laptop</v>
      </c>
      <c r="B3433" s="94" t="str">
        <f t="shared" si="131"/>
        <v>US_COSTCO_LG</v>
      </c>
      <c r="C3433" s="93" t="s">
        <v>359</v>
      </c>
      <c r="D3433" s="93" t="s">
        <v>620</v>
      </c>
      <c r="E3433" s="93" t="s">
        <v>2407</v>
      </c>
      <c r="F3433" s="93" t="s">
        <v>2410</v>
      </c>
      <c r="G3433" s="93" t="s">
        <v>2410</v>
      </c>
      <c r="H3433" s="93" t="e">
        <v>#N/A</v>
      </c>
      <c r="I3433" s="105" t="s">
        <v>2310</v>
      </c>
      <c r="J3433" s="93" t="s">
        <v>189</v>
      </c>
      <c r="K3433" s="93">
        <v>4</v>
      </c>
      <c r="L3433" s="93">
        <v>4</v>
      </c>
      <c r="M3433" s="93" t="s">
        <v>2311</v>
      </c>
      <c r="N3433" s="93">
        <f>VLOOKUP(B3433,'[16]01.수집 카테고리(List)'!$A$2:$H$64,8,FALSE)</f>
        <v>99991231</v>
      </c>
      <c r="O3433" s="93" t="s">
        <v>646</v>
      </c>
    </row>
    <row r="3434" spans="1:15" hidden="1">
      <c r="A3434" s="75" t="str">
        <f t="shared" si="130"/>
        <v>USCOSTCO_LGLaptopLaptopLaptop</v>
      </c>
      <c r="B3434" s="94" t="str">
        <f t="shared" si="131"/>
        <v>US_COSTCO_LG</v>
      </c>
      <c r="C3434" s="93" t="s">
        <v>359</v>
      </c>
      <c r="D3434" s="93" t="s">
        <v>620</v>
      </c>
      <c r="E3434" s="93" t="s">
        <v>2407</v>
      </c>
      <c r="F3434" s="93" t="s">
        <v>2407</v>
      </c>
      <c r="G3434" s="93" t="s">
        <v>2407</v>
      </c>
      <c r="H3434" s="93" t="e">
        <v>#N/A</v>
      </c>
      <c r="I3434" s="105" t="s">
        <v>2310</v>
      </c>
      <c r="J3434" s="93" t="s">
        <v>189</v>
      </c>
      <c r="K3434" s="93">
        <v>277</v>
      </c>
      <c r="L3434" s="93">
        <v>277</v>
      </c>
      <c r="M3434" s="93" t="s">
        <v>2311</v>
      </c>
      <c r="N3434" s="93">
        <f>VLOOKUP(B3434,'[16]01.수집 카테고리(List)'!$A$2:$H$64,8,FALSE)</f>
        <v>99991231</v>
      </c>
      <c r="O3434" s="93" t="s">
        <v>646</v>
      </c>
    </row>
    <row r="3435" spans="1:15" hidden="1">
      <c r="A3435" s="75" t="str">
        <f t="shared" si="130"/>
        <v>USCOSTCO_LGLaptopLightweight LaptopLightweight Laptop</v>
      </c>
      <c r="B3435" s="94" t="str">
        <f t="shared" si="131"/>
        <v>US_COSTCO_LG</v>
      </c>
      <c r="C3435" s="93" t="s">
        <v>359</v>
      </c>
      <c r="D3435" s="93" t="s">
        <v>620</v>
      </c>
      <c r="E3435" s="93" t="s">
        <v>2407</v>
      </c>
      <c r="F3435" s="93" t="s">
        <v>2411</v>
      </c>
      <c r="G3435" s="93" t="s">
        <v>2411</v>
      </c>
      <c r="H3435" s="93" t="e">
        <v>#N/A</v>
      </c>
      <c r="I3435" s="105" t="s">
        <v>2310</v>
      </c>
      <c r="J3435" s="93" t="s">
        <v>189</v>
      </c>
      <c r="K3435" s="93">
        <v>11</v>
      </c>
      <c r="L3435" s="93">
        <v>11</v>
      </c>
      <c r="M3435" s="93" t="s">
        <v>2311</v>
      </c>
      <c r="N3435" s="93">
        <f>VLOOKUP(B3435,'[16]01.수집 카테고리(List)'!$A$2:$H$64,8,FALSE)</f>
        <v>99991231</v>
      </c>
      <c r="O3435" s="93" t="s">
        <v>646</v>
      </c>
    </row>
    <row r="3436" spans="1:15" hidden="1">
      <c r="A3436" s="75" t="str">
        <f t="shared" si="130"/>
        <v>USCOSTCO_LGMonitor4k monitor4k monitor</v>
      </c>
      <c r="B3436" s="94" t="str">
        <f t="shared" si="131"/>
        <v>US_COSTCO_LG</v>
      </c>
      <c r="C3436" s="93" t="s">
        <v>359</v>
      </c>
      <c r="D3436" s="93" t="s">
        <v>620</v>
      </c>
      <c r="E3436" s="93" t="s">
        <v>2320</v>
      </c>
      <c r="F3436" s="93" t="s">
        <v>2321</v>
      </c>
      <c r="G3436" s="93" t="s">
        <v>2321</v>
      </c>
      <c r="H3436" s="93" t="e">
        <v>#N/A</v>
      </c>
      <c r="I3436" s="105" t="s">
        <v>2310</v>
      </c>
      <c r="J3436" s="93" t="s">
        <v>189</v>
      </c>
      <c r="K3436" s="93">
        <v>8</v>
      </c>
      <c r="L3436" s="93">
        <v>8</v>
      </c>
      <c r="M3436" s="93" t="s">
        <v>2311</v>
      </c>
      <c r="N3436" s="93">
        <f>VLOOKUP(B3436,'[16]01.수집 카테고리(List)'!$A$2:$H$64,8,FALSE)</f>
        <v>99991231</v>
      </c>
      <c r="O3436" s="93" t="s">
        <v>646</v>
      </c>
    </row>
    <row r="3437" spans="1:15" hidden="1">
      <c r="A3437" s="75" t="str">
        <f t="shared" si="130"/>
        <v>USCOSTCO_LGMonitorgaming monitorgaming monitor</v>
      </c>
      <c r="B3437" s="94" t="str">
        <f t="shared" si="131"/>
        <v>US_COSTCO_LG</v>
      </c>
      <c r="C3437" s="93" t="s">
        <v>359</v>
      </c>
      <c r="D3437" s="93" t="s">
        <v>620</v>
      </c>
      <c r="E3437" s="93" t="s">
        <v>2320</v>
      </c>
      <c r="F3437" s="93" t="s">
        <v>2322</v>
      </c>
      <c r="G3437" s="93" t="s">
        <v>2322</v>
      </c>
      <c r="H3437" s="93" t="e">
        <v>#N/A</v>
      </c>
      <c r="I3437" s="105" t="s">
        <v>2310</v>
      </c>
      <c r="J3437" s="93" t="s">
        <v>189</v>
      </c>
      <c r="K3437" s="93">
        <v>1</v>
      </c>
      <c r="L3437" s="93">
        <v>1</v>
      </c>
      <c r="M3437" s="93" t="s">
        <v>2311</v>
      </c>
      <c r="N3437" s="93">
        <f>VLOOKUP(B3437,'[16]01.수집 카테고리(List)'!$A$2:$H$64,8,FALSE)</f>
        <v>99991231</v>
      </c>
      <c r="O3437" s="93" t="s">
        <v>646</v>
      </c>
    </row>
    <row r="3438" spans="1:15" hidden="1">
      <c r="A3438" s="75" t="str">
        <f t="shared" si="130"/>
        <v>USCOSTCO_LGMonitormonitormonitor</v>
      </c>
      <c r="B3438" s="94" t="str">
        <f t="shared" si="131"/>
        <v>US_COSTCO_LG</v>
      </c>
      <c r="C3438" s="93" t="s">
        <v>359</v>
      </c>
      <c r="D3438" s="93" t="s">
        <v>620</v>
      </c>
      <c r="E3438" s="93" t="s">
        <v>2320</v>
      </c>
      <c r="F3438" s="93" t="s">
        <v>2323</v>
      </c>
      <c r="G3438" s="93" t="s">
        <v>2323</v>
      </c>
      <c r="H3438" s="93" t="e">
        <v>#N/A</v>
      </c>
      <c r="I3438" s="105" t="s">
        <v>2310</v>
      </c>
      <c r="J3438" s="93" t="s">
        <v>189</v>
      </c>
      <c r="K3438" s="93">
        <v>3</v>
      </c>
      <c r="L3438" s="93">
        <v>3</v>
      </c>
      <c r="M3438" s="93" t="s">
        <v>2311</v>
      </c>
      <c r="N3438" s="93">
        <f>VLOOKUP(B3438,'[16]01.수집 카테고리(List)'!$A$2:$H$64,8,FALSE)</f>
        <v>99991231</v>
      </c>
      <c r="O3438" s="93" t="s">
        <v>646</v>
      </c>
    </row>
    <row r="3439" spans="1:15" hidden="1">
      <c r="A3439" s="75" t="str">
        <f t="shared" si="130"/>
        <v>USCOSTCO_LGMonitoruhd monitoruhd monitor</v>
      </c>
      <c r="B3439" s="94" t="str">
        <f t="shared" si="131"/>
        <v>US_COSTCO_LG</v>
      </c>
      <c r="C3439" s="93" t="s">
        <v>359</v>
      </c>
      <c r="D3439" s="93" t="s">
        <v>620</v>
      </c>
      <c r="E3439" s="93" t="s">
        <v>2320</v>
      </c>
      <c r="F3439" s="93" t="s">
        <v>2324</v>
      </c>
      <c r="G3439" s="93" t="s">
        <v>2324</v>
      </c>
      <c r="H3439" s="93" t="e">
        <v>#N/A</v>
      </c>
      <c r="I3439" s="105" t="s">
        <v>2310</v>
      </c>
      <c r="J3439" s="93" t="s">
        <v>189</v>
      </c>
      <c r="K3439" s="93">
        <v>2</v>
      </c>
      <c r="L3439" s="93">
        <v>2</v>
      </c>
      <c r="M3439" s="93" t="s">
        <v>2311</v>
      </c>
      <c r="N3439" s="93">
        <f>VLOOKUP(B3439,'[16]01.수집 카테고리(List)'!$A$2:$H$64,8,FALSE)</f>
        <v>99991231</v>
      </c>
      <c r="O3439" s="93" t="s">
        <v>646</v>
      </c>
    </row>
    <row r="3440" spans="1:15" hidden="1">
      <c r="A3440" s="75" t="str">
        <f t="shared" si="130"/>
        <v>USCOSTCO_LGMonitorultrawide monitorultrawide monitor</v>
      </c>
      <c r="B3440" s="94" t="str">
        <f t="shared" si="131"/>
        <v>US_COSTCO_LG</v>
      </c>
      <c r="C3440" s="93" t="s">
        <v>359</v>
      </c>
      <c r="D3440" s="93" t="s">
        <v>620</v>
      </c>
      <c r="E3440" s="93" t="s">
        <v>2320</v>
      </c>
      <c r="F3440" s="93" t="s">
        <v>2325</v>
      </c>
      <c r="G3440" s="93" t="s">
        <v>2325</v>
      </c>
      <c r="H3440" s="93" t="e">
        <v>#N/A</v>
      </c>
      <c r="I3440" s="105" t="s">
        <v>2310</v>
      </c>
      <c r="J3440" s="93" t="s">
        <v>189</v>
      </c>
      <c r="K3440" s="93">
        <v>1829</v>
      </c>
      <c r="L3440" s="93">
        <v>1829</v>
      </c>
      <c r="M3440" s="93" t="s">
        <v>2311</v>
      </c>
      <c r="N3440" s="93">
        <f>VLOOKUP(B3440,'[16]01.수집 카테고리(List)'!$A$2:$H$64,8,FALSE)</f>
        <v>99991231</v>
      </c>
      <c r="O3440" s="93" t="s">
        <v>646</v>
      </c>
    </row>
    <row r="3441" spans="1:15" hidden="1">
      <c r="A3441" s="75" t="str">
        <f t="shared" si="130"/>
        <v>USCOSTCO_LGOvenCooktopCooktop</v>
      </c>
      <c r="B3441" s="94" t="str">
        <f t="shared" si="131"/>
        <v>US_COSTCO_LG</v>
      </c>
      <c r="C3441" s="93" t="s">
        <v>359</v>
      </c>
      <c r="D3441" s="93" t="s">
        <v>620</v>
      </c>
      <c r="E3441" s="93" t="s">
        <v>2540</v>
      </c>
      <c r="F3441" s="93" t="s">
        <v>2541</v>
      </c>
      <c r="G3441" s="93" t="s">
        <v>2541</v>
      </c>
      <c r="H3441" s="93" t="e">
        <v>#N/A</v>
      </c>
      <c r="I3441" s="105" t="s">
        <v>2310</v>
      </c>
      <c r="J3441" s="93" t="s">
        <v>189</v>
      </c>
      <c r="K3441" s="93">
        <v>5946</v>
      </c>
      <c r="L3441" s="93">
        <v>5946</v>
      </c>
      <c r="M3441" s="93" t="s">
        <v>2311</v>
      </c>
      <c r="N3441" s="93">
        <f>VLOOKUP(B3441,'[16]01.수집 카테고리(List)'!$A$2:$H$64,8,FALSE)</f>
        <v>99991231</v>
      </c>
      <c r="O3441" s="93" t="s">
        <v>646</v>
      </c>
    </row>
    <row r="3442" spans="1:15" hidden="1">
      <c r="A3442" s="75" t="str">
        <f t="shared" si="130"/>
        <v>USCOSTCO_LGOvenFreestanding RangeFreestanding Range</v>
      </c>
      <c r="B3442" s="94" t="str">
        <f t="shared" si="131"/>
        <v>US_COSTCO_LG</v>
      </c>
      <c r="C3442" s="93" t="s">
        <v>359</v>
      </c>
      <c r="D3442" s="93" t="s">
        <v>620</v>
      </c>
      <c r="E3442" s="93" t="s">
        <v>2540</v>
      </c>
      <c r="F3442" s="93" t="s">
        <v>3673</v>
      </c>
      <c r="G3442" s="93" t="s">
        <v>3673</v>
      </c>
      <c r="H3442" s="93" t="e">
        <v>#N/A</v>
      </c>
      <c r="I3442" s="105" t="s">
        <v>2310</v>
      </c>
      <c r="J3442" s="93" t="s">
        <v>189</v>
      </c>
      <c r="K3442" s="93">
        <v>3226</v>
      </c>
      <c r="L3442" s="93">
        <v>3226</v>
      </c>
      <c r="M3442" s="93" t="s">
        <v>2311</v>
      </c>
      <c r="N3442" s="93">
        <f>VLOOKUP(B3442,'[16]01.수집 카테고리(List)'!$A$2:$H$64,8,FALSE)</f>
        <v>99991231</v>
      </c>
      <c r="O3442" s="93" t="s">
        <v>646</v>
      </c>
    </row>
    <row r="3443" spans="1:15" hidden="1">
      <c r="A3443" s="75" t="str">
        <f t="shared" si="130"/>
        <v>USCOSTCO_LGOvenSlide-in RangeSlide-in Range</v>
      </c>
      <c r="B3443" s="94" t="str">
        <f t="shared" si="131"/>
        <v>US_COSTCO_LG</v>
      </c>
      <c r="C3443" s="93" t="s">
        <v>359</v>
      </c>
      <c r="D3443" s="93" t="s">
        <v>620</v>
      </c>
      <c r="E3443" s="93" t="s">
        <v>2540</v>
      </c>
      <c r="F3443" s="93" t="s">
        <v>2676</v>
      </c>
      <c r="G3443" s="93" t="s">
        <v>2676</v>
      </c>
      <c r="H3443" s="93" t="e">
        <v>#N/A</v>
      </c>
      <c r="I3443" s="105" t="s">
        <v>2310</v>
      </c>
      <c r="J3443" s="93" t="s">
        <v>189</v>
      </c>
      <c r="K3443" s="93">
        <v>4238</v>
      </c>
      <c r="L3443" s="93">
        <v>4238</v>
      </c>
      <c r="M3443" s="93" t="s">
        <v>2311</v>
      </c>
      <c r="N3443" s="93">
        <f>VLOOKUP(B3443,'[16]01.수집 카테고리(List)'!$A$2:$H$64,8,FALSE)</f>
        <v>99991231</v>
      </c>
      <c r="O3443" s="93" t="s">
        <v>646</v>
      </c>
    </row>
    <row r="3444" spans="1:15" hidden="1">
      <c r="A3444" s="75" t="str">
        <f t="shared" si="130"/>
        <v>USCOSTCO_LGOvenWall OvenWall Oven</v>
      </c>
      <c r="B3444" s="94" t="str">
        <f t="shared" si="131"/>
        <v>US_COSTCO_LG</v>
      </c>
      <c r="C3444" s="93" t="s">
        <v>359</v>
      </c>
      <c r="D3444" s="93" t="s">
        <v>620</v>
      </c>
      <c r="E3444" s="93" t="s">
        <v>2540</v>
      </c>
      <c r="F3444" s="93" t="s">
        <v>2544</v>
      </c>
      <c r="G3444" s="93" t="s">
        <v>2544</v>
      </c>
      <c r="H3444" s="93" t="e">
        <v>#N/A</v>
      </c>
      <c r="I3444" s="105" t="s">
        <v>2310</v>
      </c>
      <c r="J3444" s="93" t="s">
        <v>189</v>
      </c>
      <c r="K3444" s="93">
        <v>73</v>
      </c>
      <c r="L3444" s="93">
        <v>73</v>
      </c>
      <c r="M3444" s="93" t="s">
        <v>2311</v>
      </c>
      <c r="N3444" s="93">
        <f>VLOOKUP(B3444,'[16]01.수집 카테고리(List)'!$A$2:$H$64,8,FALSE)</f>
        <v>99991231</v>
      </c>
      <c r="O3444" s="93" t="s">
        <v>646</v>
      </c>
    </row>
    <row r="3445" spans="1:15" hidden="1">
      <c r="A3445" s="75" t="str">
        <f t="shared" si="130"/>
        <v>USCOSTCO_LGRefrigerator4 door french door refrigerator4 door french door refrigerator</v>
      </c>
      <c r="B3445" s="94" t="str">
        <f t="shared" si="131"/>
        <v>US_COSTCO_LG</v>
      </c>
      <c r="C3445" s="93" t="s">
        <v>359</v>
      </c>
      <c r="D3445" s="93" t="s">
        <v>620</v>
      </c>
      <c r="E3445" s="93" t="s">
        <v>2326</v>
      </c>
      <c r="F3445" s="93" t="s">
        <v>2519</v>
      </c>
      <c r="G3445" s="93" t="s">
        <v>2519</v>
      </c>
      <c r="H3445" s="93" t="e">
        <v>#N/A</v>
      </c>
      <c r="I3445" s="105" t="s">
        <v>2310</v>
      </c>
      <c r="J3445" s="93" t="s">
        <v>189</v>
      </c>
      <c r="K3445" s="93">
        <v>2165</v>
      </c>
      <c r="L3445" s="93">
        <v>2165</v>
      </c>
      <c r="M3445" s="93" t="s">
        <v>2311</v>
      </c>
      <c r="N3445" s="93">
        <f>VLOOKUP(B3445,'[16]01.수집 카테고리(List)'!$A$2:$H$64,8,FALSE)</f>
        <v>99991231</v>
      </c>
      <c r="O3445" s="93" t="s">
        <v>646</v>
      </c>
    </row>
    <row r="3446" spans="1:15" hidden="1">
      <c r="A3446" s="75" t="str">
        <f t="shared" si="130"/>
        <v>USCOSTCO_LGRefrigeratorbottom freezer refrigeratorbottom freezer refrigerator</v>
      </c>
      <c r="B3446" s="94" t="str">
        <f t="shared" si="131"/>
        <v>US_COSTCO_LG</v>
      </c>
      <c r="C3446" s="93" t="s">
        <v>359</v>
      </c>
      <c r="D3446" s="93" t="s">
        <v>620</v>
      </c>
      <c r="E3446" s="93" t="s">
        <v>2326</v>
      </c>
      <c r="F3446" s="93" t="s">
        <v>2327</v>
      </c>
      <c r="G3446" s="93" t="s">
        <v>2327</v>
      </c>
      <c r="H3446" s="93" t="e">
        <v>#N/A</v>
      </c>
      <c r="I3446" s="105" t="s">
        <v>2310</v>
      </c>
      <c r="J3446" s="93" t="s">
        <v>189</v>
      </c>
      <c r="K3446" s="93">
        <v>1973</v>
      </c>
      <c r="L3446" s="93">
        <v>1973</v>
      </c>
      <c r="M3446" s="93" t="s">
        <v>2311</v>
      </c>
      <c r="N3446" s="93">
        <f>VLOOKUP(B3446,'[16]01.수집 카테고리(List)'!$A$2:$H$64,8,FALSE)</f>
        <v>99991231</v>
      </c>
      <c r="O3446" s="93" t="s">
        <v>646</v>
      </c>
    </row>
    <row r="3447" spans="1:15" hidden="1">
      <c r="A3447" s="75" t="str">
        <f t="shared" si="130"/>
        <v>USCOSTCO_LGRefrigeratorcounter depth refrigeratorcounter depth refrigerator</v>
      </c>
      <c r="B3447" s="94" t="str">
        <f t="shared" si="131"/>
        <v>US_COSTCO_LG</v>
      </c>
      <c r="C3447" s="93" t="s">
        <v>359</v>
      </c>
      <c r="D3447" s="93" t="s">
        <v>620</v>
      </c>
      <c r="E3447" s="93" t="s">
        <v>2326</v>
      </c>
      <c r="F3447" s="93" t="s">
        <v>2521</v>
      </c>
      <c r="G3447" s="93" t="s">
        <v>2521</v>
      </c>
      <c r="H3447" s="93" t="e">
        <v>#N/A</v>
      </c>
      <c r="I3447" s="105" t="s">
        <v>2310</v>
      </c>
      <c r="J3447" s="93" t="s">
        <v>189</v>
      </c>
      <c r="K3447" s="93">
        <v>995</v>
      </c>
      <c r="L3447" s="93">
        <v>995</v>
      </c>
      <c r="M3447" s="93" t="s">
        <v>2311</v>
      </c>
      <c r="N3447" s="93">
        <f>VLOOKUP(B3447,'[16]01.수집 카테고리(List)'!$A$2:$H$64,8,FALSE)</f>
        <v>99991231</v>
      </c>
      <c r="O3447" s="93" t="s">
        <v>646</v>
      </c>
    </row>
    <row r="3448" spans="1:15" hidden="1">
      <c r="A3448" s="75" t="str">
        <f t="shared" si="130"/>
        <v>USCOSTCO_LGRefrigeratorfrench door refrigeratorfrench door refrigerator</v>
      </c>
      <c r="B3448" s="94" t="str">
        <f t="shared" si="131"/>
        <v>US_COSTCO_LG</v>
      </c>
      <c r="C3448" s="93" t="s">
        <v>359</v>
      </c>
      <c r="D3448" s="93" t="s">
        <v>620</v>
      </c>
      <c r="E3448" s="93" t="s">
        <v>2326</v>
      </c>
      <c r="F3448" s="93" t="s">
        <v>2328</v>
      </c>
      <c r="G3448" s="93" t="s">
        <v>2328</v>
      </c>
      <c r="H3448" s="93" t="e">
        <v>#N/A</v>
      </c>
      <c r="I3448" s="105" t="s">
        <v>2310</v>
      </c>
      <c r="J3448" s="93" t="s">
        <v>189</v>
      </c>
      <c r="K3448" s="93">
        <v>2501</v>
      </c>
      <c r="L3448" s="93">
        <v>2501</v>
      </c>
      <c r="M3448" s="93" t="s">
        <v>2311</v>
      </c>
      <c r="N3448" s="93">
        <f>VLOOKUP(B3448,'[16]01.수집 카테고리(List)'!$A$2:$H$64,8,FALSE)</f>
        <v>99991231</v>
      </c>
      <c r="O3448" s="93" t="s">
        <v>646</v>
      </c>
    </row>
    <row r="3449" spans="1:15" hidden="1">
      <c r="A3449" s="75" t="str">
        <f t="shared" si="130"/>
        <v>USCOSTCO_LGRefrigeratorRefrigeradorRefrigerador</v>
      </c>
      <c r="B3449" s="94" t="str">
        <f t="shared" si="131"/>
        <v>US_COSTCO_LG</v>
      </c>
      <c r="C3449" s="93" t="s">
        <v>359</v>
      </c>
      <c r="D3449" s="93" t="s">
        <v>620</v>
      </c>
      <c r="E3449" s="93" t="s">
        <v>2326</v>
      </c>
      <c r="F3449" s="93" t="s">
        <v>3159</v>
      </c>
      <c r="G3449" s="93" t="s">
        <v>3159</v>
      </c>
      <c r="H3449" s="93" t="e">
        <v>#N/A</v>
      </c>
      <c r="I3449" s="105" t="s">
        <v>2310</v>
      </c>
      <c r="J3449" s="93" t="s">
        <v>189</v>
      </c>
      <c r="K3449" s="93">
        <v>79</v>
      </c>
      <c r="L3449" s="93">
        <v>79</v>
      </c>
      <c r="M3449" s="93" t="s">
        <v>2311</v>
      </c>
      <c r="N3449" s="93">
        <f>VLOOKUP(B3449,'[16]01.수집 카테고리(List)'!$A$2:$H$64,8,FALSE)</f>
        <v>99991231</v>
      </c>
      <c r="O3449" s="93" t="s">
        <v>646</v>
      </c>
    </row>
    <row r="3450" spans="1:15" hidden="1">
      <c r="A3450" s="75" t="str">
        <f t="shared" si="130"/>
        <v>USCOSTCO_LGRefrigeratorrefrigeratorrefrigerator</v>
      </c>
      <c r="B3450" s="94" t="str">
        <f t="shared" si="131"/>
        <v>US_COSTCO_LG</v>
      </c>
      <c r="C3450" s="93" t="s">
        <v>359</v>
      </c>
      <c r="D3450" s="93" t="s">
        <v>620</v>
      </c>
      <c r="E3450" s="93" t="s">
        <v>2326</v>
      </c>
      <c r="F3450" s="93" t="s">
        <v>2329</v>
      </c>
      <c r="G3450" s="93" t="s">
        <v>2329</v>
      </c>
      <c r="H3450" s="93" t="e">
        <v>#N/A</v>
      </c>
      <c r="I3450" s="105" t="s">
        <v>2310</v>
      </c>
      <c r="J3450" s="93" t="s">
        <v>189</v>
      </c>
      <c r="K3450" s="93">
        <v>3116</v>
      </c>
      <c r="L3450" s="93">
        <v>3116</v>
      </c>
      <c r="M3450" s="93" t="s">
        <v>2311</v>
      </c>
      <c r="N3450" s="93">
        <f>VLOOKUP(B3450,'[16]01.수집 카테고리(List)'!$A$2:$H$64,8,FALSE)</f>
        <v>99991231</v>
      </c>
      <c r="O3450" s="93" t="s">
        <v>646</v>
      </c>
    </row>
    <row r="3451" spans="1:15" hidden="1">
      <c r="A3451" s="75" t="str">
        <f t="shared" si="130"/>
        <v>USCOSTCO_LGRefrigeratorrefrigerator congelador inferiorrefrigerator congelador inferior</v>
      </c>
      <c r="B3451" s="94" t="str">
        <f t="shared" si="131"/>
        <v>US_COSTCO_LG</v>
      </c>
      <c r="C3451" s="93" t="s">
        <v>359</v>
      </c>
      <c r="D3451" s="93" t="s">
        <v>620</v>
      </c>
      <c r="E3451" s="93" t="s">
        <v>2326</v>
      </c>
      <c r="F3451" s="93" t="s">
        <v>3675</v>
      </c>
      <c r="G3451" s="93" t="s">
        <v>3675</v>
      </c>
      <c r="H3451" s="93" t="e">
        <v>#N/A</v>
      </c>
      <c r="I3451" s="105" t="s">
        <v>2310</v>
      </c>
      <c r="J3451" s="93" t="s">
        <v>189</v>
      </c>
      <c r="K3451" s="93">
        <v>1389</v>
      </c>
      <c r="L3451" s="93">
        <v>1389</v>
      </c>
      <c r="M3451" s="93" t="s">
        <v>2311</v>
      </c>
      <c r="N3451" s="93">
        <f>VLOOKUP(B3451,'[16]01.수집 카테고리(List)'!$A$2:$H$64,8,FALSE)</f>
        <v>99991231</v>
      </c>
      <c r="O3451" s="93" t="s">
        <v>646</v>
      </c>
    </row>
    <row r="3452" spans="1:15" hidden="1">
      <c r="A3452" s="75" t="str">
        <f t="shared" si="130"/>
        <v>USCOSTCO_LGRefrigeratorside by side refrigeratorside by side refrigerator</v>
      </c>
      <c r="B3452" s="94" t="str">
        <f t="shared" si="131"/>
        <v>US_COSTCO_LG</v>
      </c>
      <c r="C3452" s="93" t="s">
        <v>359</v>
      </c>
      <c r="D3452" s="93" t="s">
        <v>620</v>
      </c>
      <c r="E3452" s="93" t="s">
        <v>2326</v>
      </c>
      <c r="F3452" s="93" t="s">
        <v>2330</v>
      </c>
      <c r="G3452" s="93" t="s">
        <v>2330</v>
      </c>
      <c r="H3452" s="93" t="e">
        <v>#N/A</v>
      </c>
      <c r="I3452" s="105" t="s">
        <v>2310</v>
      </c>
      <c r="J3452" s="93" t="s">
        <v>189</v>
      </c>
      <c r="K3452" s="93">
        <v>285</v>
      </c>
      <c r="L3452" s="93">
        <v>285</v>
      </c>
      <c r="M3452" s="93" t="s">
        <v>2311</v>
      </c>
      <c r="N3452" s="93">
        <f>VLOOKUP(B3452,'[16]01.수집 카테고리(List)'!$A$2:$H$64,8,FALSE)</f>
        <v>99991231</v>
      </c>
      <c r="O3452" s="93" t="s">
        <v>646</v>
      </c>
    </row>
    <row r="3453" spans="1:15" hidden="1">
      <c r="A3453" s="75" t="str">
        <f t="shared" si="130"/>
        <v>USCOSTCO_LGRefrigeratortop freezer refrigeratortop freezer refrigerator</v>
      </c>
      <c r="B3453" s="94" t="str">
        <f t="shared" si="131"/>
        <v>US_COSTCO_LG</v>
      </c>
      <c r="C3453" s="93" t="s">
        <v>359</v>
      </c>
      <c r="D3453" s="93" t="s">
        <v>620</v>
      </c>
      <c r="E3453" s="93" t="s">
        <v>2326</v>
      </c>
      <c r="F3453" s="93" t="s">
        <v>2332</v>
      </c>
      <c r="G3453" s="93" t="s">
        <v>2332</v>
      </c>
      <c r="H3453" s="93" t="e">
        <v>#N/A</v>
      </c>
      <c r="I3453" s="105" t="s">
        <v>2310</v>
      </c>
      <c r="J3453" s="93" t="s">
        <v>189</v>
      </c>
      <c r="K3453" s="93">
        <v>196</v>
      </c>
      <c r="L3453" s="93">
        <v>196</v>
      </c>
      <c r="M3453" s="93" t="s">
        <v>2311</v>
      </c>
      <c r="N3453" s="93">
        <f>VLOOKUP(B3453,'[16]01.수집 카테고리(List)'!$A$2:$H$64,8,FALSE)</f>
        <v>99991231</v>
      </c>
      <c r="O3453" s="93" t="s">
        <v>646</v>
      </c>
    </row>
    <row r="3454" spans="1:15" hidden="1">
      <c r="A3454" s="75" t="str">
        <f t="shared" si="130"/>
        <v>USCOSTCO_LGSoundbarsound barsound bar</v>
      </c>
      <c r="B3454" s="94" t="str">
        <f t="shared" si="131"/>
        <v>US_COSTCO_LG</v>
      </c>
      <c r="C3454" s="93" t="s">
        <v>359</v>
      </c>
      <c r="D3454" s="93" t="s">
        <v>620</v>
      </c>
      <c r="E3454" s="93" t="s">
        <v>2363</v>
      </c>
      <c r="F3454" s="93" t="s">
        <v>2529</v>
      </c>
      <c r="G3454" s="93" t="s">
        <v>2529</v>
      </c>
      <c r="H3454" s="93" t="e">
        <v>#N/A</v>
      </c>
      <c r="I3454" s="105" t="s">
        <v>2310</v>
      </c>
      <c r="J3454" s="93" t="s">
        <v>189</v>
      </c>
      <c r="K3454" s="93">
        <v>2</v>
      </c>
      <c r="L3454" s="93">
        <v>2</v>
      </c>
      <c r="M3454" s="93" t="s">
        <v>2311</v>
      </c>
      <c r="N3454" s="93">
        <f>VLOOKUP(B3454,'[16]01.수집 카테고리(List)'!$A$2:$H$64,8,FALSE)</f>
        <v>99991231</v>
      </c>
      <c r="O3454" s="93" t="s">
        <v>646</v>
      </c>
    </row>
    <row r="3455" spans="1:15" hidden="1">
      <c r="A3455" s="75" t="str">
        <f t="shared" si="130"/>
        <v>USCOSTCO_LGSoundbaraudioSoundbar</v>
      </c>
      <c r="B3455" s="94" t="str">
        <f t="shared" si="131"/>
        <v>US_COSTCO_LG</v>
      </c>
      <c r="C3455" s="93" t="s">
        <v>359</v>
      </c>
      <c r="D3455" s="93" t="s">
        <v>620</v>
      </c>
      <c r="E3455" s="93" t="s">
        <v>2363</v>
      </c>
      <c r="F3455" s="93" t="s">
        <v>2528</v>
      </c>
      <c r="G3455" s="93" t="s">
        <v>2363</v>
      </c>
      <c r="H3455" s="93" t="e">
        <v>#N/A</v>
      </c>
      <c r="I3455" s="105" t="s">
        <v>2310</v>
      </c>
      <c r="J3455" s="93" t="s">
        <v>189</v>
      </c>
      <c r="K3455" s="93">
        <v>86</v>
      </c>
      <c r="L3455" s="93" t="e">
        <v>#N/A</v>
      </c>
      <c r="M3455" s="93" t="s">
        <v>2311</v>
      </c>
      <c r="N3455" s="93">
        <f>VLOOKUP(B3455,'[16]01.수집 카테고리(List)'!$A$2:$H$64,8,FALSE)</f>
        <v>99991231</v>
      </c>
      <c r="O3455" s="93" t="s">
        <v>646</v>
      </c>
    </row>
    <row r="3456" spans="1:15" hidden="1">
      <c r="A3456" s="75" t="str">
        <f t="shared" si="130"/>
        <v>USCOSTCO_LGSoundbarsoundbarssoundbars</v>
      </c>
      <c r="B3456" s="94" t="str">
        <f t="shared" si="131"/>
        <v>US_COSTCO_LG</v>
      </c>
      <c r="C3456" s="93" t="s">
        <v>359</v>
      </c>
      <c r="D3456" s="93" t="s">
        <v>620</v>
      </c>
      <c r="E3456" s="93" t="s">
        <v>2363</v>
      </c>
      <c r="F3456" s="93" t="s">
        <v>2531</v>
      </c>
      <c r="G3456" s="93" t="s">
        <v>2531</v>
      </c>
      <c r="H3456" s="93" t="e">
        <v>#N/A</v>
      </c>
      <c r="I3456" s="105" t="s">
        <v>2310</v>
      </c>
      <c r="J3456" s="93" t="s">
        <v>189</v>
      </c>
      <c r="K3456" s="93">
        <v>86</v>
      </c>
      <c r="L3456" s="93">
        <v>86</v>
      </c>
      <c r="M3456" s="93" t="s">
        <v>2311</v>
      </c>
      <c r="N3456" s="93">
        <f>VLOOKUP(B3456,'[16]01.수집 카테고리(List)'!$A$2:$H$64,8,FALSE)</f>
        <v>99991231</v>
      </c>
      <c r="O3456" s="93" t="s">
        <v>646</v>
      </c>
    </row>
    <row r="3457" spans="1:15" hidden="1">
      <c r="A3457" s="75" t="str">
        <f t="shared" si="130"/>
        <v>USCOSTCO_LGSoundbarsound systemSoundbars for tv</v>
      </c>
      <c r="B3457" s="94" t="str">
        <f t="shared" si="131"/>
        <v>US_COSTCO_LG</v>
      </c>
      <c r="C3457" s="93" t="s">
        <v>359</v>
      </c>
      <c r="D3457" s="93" t="s">
        <v>620</v>
      </c>
      <c r="E3457" s="93" t="s">
        <v>2363</v>
      </c>
      <c r="F3457" s="93" t="s">
        <v>2530</v>
      </c>
      <c r="G3457" s="93" t="s">
        <v>3678</v>
      </c>
      <c r="H3457" s="93" t="s">
        <v>3688</v>
      </c>
      <c r="I3457" s="105" t="s">
        <v>2310</v>
      </c>
      <c r="J3457" s="93" t="s">
        <v>189</v>
      </c>
      <c r="K3457" s="93" t="e">
        <v>#N/A</v>
      </c>
      <c r="L3457" s="93">
        <v>183</v>
      </c>
      <c r="M3457" s="93" t="s">
        <v>2351</v>
      </c>
      <c r="N3457" s="93">
        <f>VLOOKUP(B3457,'[16]01.수집 카테고리(List)'!$A$2:$H$64,8,FALSE)</f>
        <v>99991231</v>
      </c>
      <c r="O3457" s="93" t="s">
        <v>646</v>
      </c>
    </row>
    <row r="3458" spans="1:15" hidden="1">
      <c r="A3458" s="75" t="str">
        <f t="shared" si="130"/>
        <v>USCOSTCO_LGSoundbarspeakersSoundbars with subwoofer</v>
      </c>
      <c r="B3458" s="94" t="str">
        <f t="shared" si="131"/>
        <v>US_COSTCO_LG</v>
      </c>
      <c r="C3458" s="93" t="s">
        <v>359</v>
      </c>
      <c r="D3458" s="93" t="s">
        <v>620</v>
      </c>
      <c r="E3458" s="93" t="s">
        <v>2363</v>
      </c>
      <c r="F3458" s="93" t="s">
        <v>2471</v>
      </c>
      <c r="G3458" s="93" t="s">
        <v>3240</v>
      </c>
      <c r="H3458" s="93" t="e">
        <v>#N/A</v>
      </c>
      <c r="I3458" s="105" t="s">
        <v>2310</v>
      </c>
      <c r="J3458" s="93" t="s">
        <v>189</v>
      </c>
      <c r="K3458" s="93">
        <v>1</v>
      </c>
      <c r="L3458" s="93">
        <v>1276</v>
      </c>
      <c r="M3458" s="93" t="s">
        <v>2311</v>
      </c>
      <c r="N3458" s="93">
        <f>VLOOKUP(B3458,'[16]01.수집 카테고리(List)'!$A$2:$H$64,8,FALSE)</f>
        <v>99991231</v>
      </c>
      <c r="O3458" s="93" t="s">
        <v>646</v>
      </c>
    </row>
    <row r="3459" spans="1:15" hidden="1">
      <c r="A3459" s="75" t="str">
        <f t="shared" si="130"/>
        <v>USCOSTCO_LGStylerlg stylerlg styler</v>
      </c>
      <c r="B3459" s="94" t="str">
        <f t="shared" si="131"/>
        <v>US_COSTCO_LG</v>
      </c>
      <c r="C3459" s="93" t="s">
        <v>359</v>
      </c>
      <c r="D3459" s="93" t="s">
        <v>620</v>
      </c>
      <c r="E3459" s="93" t="s">
        <v>3281</v>
      </c>
      <c r="F3459" s="93" t="s">
        <v>3383</v>
      </c>
      <c r="G3459" s="93" t="s">
        <v>3383</v>
      </c>
      <c r="H3459" s="93" t="e">
        <v>#N/A</v>
      </c>
      <c r="I3459" s="105" t="s">
        <v>2310</v>
      </c>
      <c r="J3459" s="93" t="s">
        <v>189</v>
      </c>
      <c r="K3459" s="93">
        <v>1</v>
      </c>
      <c r="L3459" s="93">
        <v>1</v>
      </c>
      <c r="M3459" s="93" t="s">
        <v>2311</v>
      </c>
      <c r="N3459" s="93">
        <f>VLOOKUP(B3459,'[16]01.수집 카테고리(List)'!$A$2:$H$64,8,FALSE)</f>
        <v>99991231</v>
      </c>
      <c r="O3459" s="93" t="s">
        <v>646</v>
      </c>
    </row>
    <row r="3460" spans="1:15" hidden="1">
      <c r="A3460" s="75" t="str">
        <f t="shared" si="130"/>
        <v>USCOSTCO_LGStylerStylerStyler</v>
      </c>
      <c r="B3460" s="94" t="str">
        <f t="shared" si="131"/>
        <v>US_COSTCO_LG</v>
      </c>
      <c r="C3460" s="93" t="s">
        <v>359</v>
      </c>
      <c r="D3460" s="93" t="s">
        <v>620</v>
      </c>
      <c r="E3460" s="93" t="s">
        <v>3281</v>
      </c>
      <c r="F3460" s="93" t="s">
        <v>3281</v>
      </c>
      <c r="G3460" s="93" t="s">
        <v>3281</v>
      </c>
      <c r="H3460" s="93" t="e">
        <v>#N/A</v>
      </c>
      <c r="I3460" s="105" t="s">
        <v>2310</v>
      </c>
      <c r="J3460" s="93" t="s">
        <v>189</v>
      </c>
      <c r="K3460" s="93">
        <v>4</v>
      </c>
      <c r="L3460" s="93">
        <v>4</v>
      </c>
      <c r="M3460" s="93" t="s">
        <v>2311</v>
      </c>
      <c r="N3460" s="93">
        <f>VLOOKUP(B3460,'[16]01.수집 카테고리(List)'!$A$2:$H$64,8,FALSE)</f>
        <v>99991231</v>
      </c>
      <c r="O3460" s="93" t="s">
        <v>646</v>
      </c>
    </row>
    <row r="3461" spans="1:15" hidden="1">
      <c r="A3461" s="75" t="str">
        <f t="shared" si="130"/>
        <v>USCOSTCO_LGTV4k TV4k TV</v>
      </c>
      <c r="B3461" s="94" t="str">
        <f t="shared" si="131"/>
        <v>US_COSTCO_LG</v>
      </c>
      <c r="C3461" s="93" t="s">
        <v>359</v>
      </c>
      <c r="D3461" s="93" t="s">
        <v>620</v>
      </c>
      <c r="E3461" s="93" t="s">
        <v>161</v>
      </c>
      <c r="F3461" s="93" t="s">
        <v>2368</v>
      </c>
      <c r="G3461" s="93" t="s">
        <v>2368</v>
      </c>
      <c r="H3461" s="93" t="e">
        <v>#N/A</v>
      </c>
      <c r="I3461" s="105" t="s">
        <v>2310</v>
      </c>
      <c r="J3461" s="93" t="s">
        <v>189</v>
      </c>
      <c r="K3461" s="93">
        <v>1232</v>
      </c>
      <c r="L3461" s="93">
        <v>1232</v>
      </c>
      <c r="M3461" s="93" t="s">
        <v>2311</v>
      </c>
      <c r="N3461" s="93">
        <f>VLOOKUP(B3461,'[16]01.수집 카테고리(List)'!$A$2:$H$64,8,FALSE)</f>
        <v>99991231</v>
      </c>
      <c r="O3461" s="93" t="s">
        <v>646</v>
      </c>
    </row>
    <row r="3462" spans="1:15" hidden="1">
      <c r="A3462" s="75" t="str">
        <f t="shared" si="130"/>
        <v>USCOSTCO_LGTVoled TVoled TV</v>
      </c>
      <c r="B3462" s="94" t="str">
        <f t="shared" si="131"/>
        <v>US_COSTCO_LG</v>
      </c>
      <c r="C3462" s="93" t="s">
        <v>359</v>
      </c>
      <c r="D3462" s="93" t="s">
        <v>620</v>
      </c>
      <c r="E3462" s="93" t="s">
        <v>161</v>
      </c>
      <c r="F3462" s="93" t="s">
        <v>2369</v>
      </c>
      <c r="G3462" s="93" t="s">
        <v>2369</v>
      </c>
      <c r="H3462" s="93" t="e">
        <v>#N/A</v>
      </c>
      <c r="I3462" s="105" t="s">
        <v>2310</v>
      </c>
      <c r="J3462" s="93" t="s">
        <v>189</v>
      </c>
      <c r="K3462" s="93">
        <v>17</v>
      </c>
      <c r="L3462" s="93">
        <v>17</v>
      </c>
      <c r="M3462" s="93" t="s">
        <v>2311</v>
      </c>
      <c r="N3462" s="93">
        <f>VLOOKUP(B3462,'[16]01.수집 카테고리(List)'!$A$2:$H$64,8,FALSE)</f>
        <v>99991231</v>
      </c>
      <c r="O3462" s="93" t="s">
        <v>646</v>
      </c>
    </row>
    <row r="3463" spans="1:15" hidden="1">
      <c r="A3463" s="75" t="str">
        <f t="shared" si="130"/>
        <v>USCOSTCO_LGTVsmart TVsmart TV</v>
      </c>
      <c r="B3463" s="94" t="str">
        <f t="shared" si="131"/>
        <v>US_COSTCO_LG</v>
      </c>
      <c r="C3463" s="93" t="s">
        <v>359</v>
      </c>
      <c r="D3463" s="93" t="s">
        <v>620</v>
      </c>
      <c r="E3463" s="93" t="s">
        <v>161</v>
      </c>
      <c r="F3463" s="93" t="s">
        <v>2371</v>
      </c>
      <c r="G3463" s="93" t="s">
        <v>2371</v>
      </c>
      <c r="H3463" s="93" t="e">
        <v>#N/A</v>
      </c>
      <c r="I3463" s="105" t="s">
        <v>2310</v>
      </c>
      <c r="J3463" s="93" t="s">
        <v>189</v>
      </c>
      <c r="K3463" s="93">
        <v>1049</v>
      </c>
      <c r="L3463" s="93">
        <v>1049</v>
      </c>
      <c r="M3463" s="93" t="s">
        <v>2311</v>
      </c>
      <c r="N3463" s="93">
        <f>VLOOKUP(B3463,'[16]01.수집 카테고리(List)'!$A$2:$H$64,8,FALSE)</f>
        <v>99991231</v>
      </c>
      <c r="O3463" s="93" t="s">
        <v>646</v>
      </c>
    </row>
    <row r="3464" spans="1:15" hidden="1">
      <c r="A3464" s="75" t="str">
        <f t="shared" si="130"/>
        <v>USCOSTCO_LGTVTVTV</v>
      </c>
      <c r="B3464" s="94" t="str">
        <f t="shared" si="131"/>
        <v>US_COSTCO_LG</v>
      </c>
      <c r="C3464" s="93" t="s">
        <v>359</v>
      </c>
      <c r="D3464" s="93" t="s">
        <v>620</v>
      </c>
      <c r="E3464" s="93" t="s">
        <v>161</v>
      </c>
      <c r="F3464" s="93" t="s">
        <v>161</v>
      </c>
      <c r="G3464" s="93" t="s">
        <v>161</v>
      </c>
      <c r="H3464" s="93" t="e">
        <v>#N/A</v>
      </c>
      <c r="I3464" s="105" t="s">
        <v>2310</v>
      </c>
      <c r="J3464" s="93" t="s">
        <v>189</v>
      </c>
      <c r="K3464" s="93">
        <v>1316</v>
      </c>
      <c r="L3464" s="93">
        <v>1316</v>
      </c>
      <c r="M3464" s="93" t="s">
        <v>2311</v>
      </c>
      <c r="N3464" s="93">
        <f>VLOOKUP(B3464,'[16]01.수집 카테고리(List)'!$A$2:$H$64,8,FALSE)</f>
        <v>99991231</v>
      </c>
      <c r="O3464" s="93" t="s">
        <v>646</v>
      </c>
    </row>
    <row r="3465" spans="1:15" hidden="1">
      <c r="A3465" s="75" t="str">
        <f t="shared" si="130"/>
        <v>USCOSTCO_LGTVuhd TVuhd TV</v>
      </c>
      <c r="B3465" s="94" t="str">
        <f t="shared" si="131"/>
        <v>US_COSTCO_LG</v>
      </c>
      <c r="C3465" s="93" t="s">
        <v>359</v>
      </c>
      <c r="D3465" s="93" t="s">
        <v>620</v>
      </c>
      <c r="E3465" s="93" t="s">
        <v>161</v>
      </c>
      <c r="F3465" s="93" t="s">
        <v>2399</v>
      </c>
      <c r="G3465" s="93" t="s">
        <v>2399</v>
      </c>
      <c r="H3465" s="93" t="e">
        <v>#N/A</v>
      </c>
      <c r="I3465" s="105" t="s">
        <v>2310</v>
      </c>
      <c r="J3465" s="93" t="s">
        <v>189</v>
      </c>
      <c r="K3465" s="93">
        <v>993</v>
      </c>
      <c r="L3465" s="93">
        <v>993</v>
      </c>
      <c r="M3465" s="93" t="s">
        <v>2311</v>
      </c>
      <c r="N3465" s="93">
        <f>VLOOKUP(B3465,'[16]01.수집 카테고리(List)'!$A$2:$H$64,8,FALSE)</f>
        <v>99991231</v>
      </c>
      <c r="O3465" s="93" t="s">
        <v>646</v>
      </c>
    </row>
    <row r="3466" spans="1:15" hidden="1">
      <c r="A3466" s="75" t="str">
        <f t="shared" si="130"/>
        <v>USCOSTCO_LGWashing Machinefront load washerfront load washer</v>
      </c>
      <c r="B3466" s="94" t="str">
        <f t="shared" si="131"/>
        <v>US_COSTCO_LG</v>
      </c>
      <c r="C3466" s="93" t="s">
        <v>359</v>
      </c>
      <c r="D3466" s="93" t="s">
        <v>620</v>
      </c>
      <c r="E3466" s="93" t="s">
        <v>2333</v>
      </c>
      <c r="F3466" s="120" t="s">
        <v>3686</v>
      </c>
      <c r="G3466" s="120" t="s">
        <v>3686</v>
      </c>
      <c r="H3466" s="93" t="e">
        <v>#N/A</v>
      </c>
      <c r="I3466" s="105" t="s">
        <v>2310</v>
      </c>
      <c r="J3466" s="93" t="s">
        <v>189</v>
      </c>
      <c r="K3466" s="93" t="e">
        <v>#N/A</v>
      </c>
      <c r="L3466" s="93">
        <v>437</v>
      </c>
      <c r="M3466" s="93" t="s">
        <v>2351</v>
      </c>
      <c r="N3466" s="93">
        <f>VLOOKUP(B3466,'[16]01.수집 카테고리(List)'!$A$2:$H$64,8,FALSE)</f>
        <v>99991231</v>
      </c>
      <c r="O3466" s="93" t="s">
        <v>646</v>
      </c>
    </row>
    <row r="3467" spans="1:15" hidden="1">
      <c r="A3467" s="75" t="str">
        <f t="shared" si="130"/>
        <v>USCOSTCO_LGWashing Machinewashing machinewashing machine</v>
      </c>
      <c r="B3467" s="94" t="str">
        <f t="shared" si="131"/>
        <v>US_COSTCO_LG</v>
      </c>
      <c r="C3467" s="93" t="s">
        <v>359</v>
      </c>
      <c r="D3467" s="93" t="s">
        <v>620</v>
      </c>
      <c r="E3467" s="93" t="s">
        <v>2333</v>
      </c>
      <c r="F3467" s="120" t="s">
        <v>2445</v>
      </c>
      <c r="G3467" s="120" t="s">
        <v>2445</v>
      </c>
      <c r="H3467" s="93" t="e">
        <v>#N/A</v>
      </c>
      <c r="I3467" s="105" t="s">
        <v>2310</v>
      </c>
      <c r="J3467" s="93" t="s">
        <v>189</v>
      </c>
      <c r="K3467" s="93" t="e">
        <v>#N/A</v>
      </c>
      <c r="L3467" s="93">
        <v>1604</v>
      </c>
      <c r="M3467" s="93" t="s">
        <v>2351</v>
      </c>
      <c r="N3467" s="93">
        <f>VLOOKUP(B3467,'[16]01.수집 카테고리(List)'!$A$2:$H$64,8,FALSE)</f>
        <v>99991231</v>
      </c>
      <c r="O3467" s="93" t="s">
        <v>646</v>
      </c>
    </row>
    <row r="3468" spans="1:15" hidden="1">
      <c r="A3468" s="75" t="str">
        <f t="shared" si="130"/>
        <v>USCOSTCO_LGWashing Machinetop load washertop load washer</v>
      </c>
      <c r="B3468" s="94" t="str">
        <f t="shared" si="131"/>
        <v>US_COSTCO_LG</v>
      </c>
      <c r="C3468" s="93" t="s">
        <v>359</v>
      </c>
      <c r="D3468" s="93" t="s">
        <v>620</v>
      </c>
      <c r="E3468" s="93" t="s">
        <v>2333</v>
      </c>
      <c r="F3468" s="120" t="s">
        <v>3689</v>
      </c>
      <c r="G3468" s="120" t="s">
        <v>3689</v>
      </c>
      <c r="H3468" s="93" t="e">
        <v>#N/A</v>
      </c>
      <c r="I3468" s="105" t="s">
        <v>2310</v>
      </c>
      <c r="J3468" s="93" t="s">
        <v>189</v>
      </c>
      <c r="K3468" s="93">
        <v>92</v>
      </c>
      <c r="L3468" s="93">
        <v>92</v>
      </c>
      <c r="M3468" s="93" t="s">
        <v>2311</v>
      </c>
      <c r="N3468" s="93">
        <f>VLOOKUP(B3468,'[16]01.수집 카테고리(List)'!$A$2:$H$64,8,FALSE)</f>
        <v>99991231</v>
      </c>
      <c r="O3468" s="93" t="s">
        <v>646</v>
      </c>
    </row>
    <row r="3469" spans="1:15" hidden="1">
      <c r="A3469" s="75" t="str">
        <f t="shared" si="130"/>
        <v>USCOSTCO_LGWashing Machinewasher dryer combowasher dryer combo</v>
      </c>
      <c r="B3469" s="94" t="str">
        <f t="shared" si="131"/>
        <v>US_COSTCO_LG</v>
      </c>
      <c r="C3469" s="93" t="s">
        <v>359</v>
      </c>
      <c r="D3469" s="93" t="s">
        <v>620</v>
      </c>
      <c r="E3469" s="93" t="s">
        <v>2333</v>
      </c>
      <c r="F3469" s="120" t="s">
        <v>3690</v>
      </c>
      <c r="G3469" s="120" t="s">
        <v>3690</v>
      </c>
      <c r="H3469" s="93" t="e">
        <v>#N/A</v>
      </c>
      <c r="I3469" s="105" t="s">
        <v>2310</v>
      </c>
      <c r="J3469" s="93" t="s">
        <v>189</v>
      </c>
      <c r="K3469" s="93">
        <v>420</v>
      </c>
      <c r="L3469" s="93">
        <v>420</v>
      </c>
      <c r="M3469" s="93" t="s">
        <v>2311</v>
      </c>
      <c r="N3469" s="93">
        <f>VLOOKUP(B3469,'[16]01.수집 카테고리(List)'!$A$2:$H$64,8,FALSE)</f>
        <v>99991231</v>
      </c>
      <c r="O3469" s="93" t="s">
        <v>646</v>
      </c>
    </row>
    <row r="3470" spans="1:15" hidden="1">
      <c r="A3470" s="75" t="str">
        <f t="shared" si="130"/>
        <v>USCOSTCO_LGWashing Machinewasher dryerwasher dryer</v>
      </c>
      <c r="B3470" s="94" t="str">
        <f t="shared" ref="B3470" si="132">C3470&amp;"_"&amp;D3470</f>
        <v>US_COSTCO_LG</v>
      </c>
      <c r="C3470" s="93" t="s">
        <v>359</v>
      </c>
      <c r="D3470" s="93" t="s">
        <v>620</v>
      </c>
      <c r="E3470" s="93" t="s">
        <v>2333</v>
      </c>
      <c r="F3470" s="120" t="s">
        <v>3476</v>
      </c>
      <c r="G3470" s="120" t="s">
        <v>3476</v>
      </c>
      <c r="H3470" s="93" t="e">
        <v>#N/A</v>
      </c>
      <c r="I3470" s="105" t="s">
        <v>2310</v>
      </c>
      <c r="J3470" s="93" t="s">
        <v>189</v>
      </c>
      <c r="K3470" s="93"/>
      <c r="L3470" s="93"/>
      <c r="M3470" s="93"/>
      <c r="N3470" s="93"/>
      <c r="O3470" s="93"/>
    </row>
    <row r="3471" spans="1:15" hidden="1">
      <c r="A3471" s="75" t="str">
        <f t="shared" si="130"/>
        <v>USCOSTCO_LGWIRELESS HEADSETBluetooth earbudsBluetooth earbuds</v>
      </c>
      <c r="B3471" s="94" t="str">
        <f t="shared" si="131"/>
        <v>US_COSTCO_LG</v>
      </c>
      <c r="C3471" s="93" t="s">
        <v>359</v>
      </c>
      <c r="D3471" s="93" t="s">
        <v>620</v>
      </c>
      <c r="E3471" s="93" t="s">
        <v>2201</v>
      </c>
      <c r="F3471" s="120" t="s">
        <v>2382</v>
      </c>
      <c r="G3471" s="120" t="s">
        <v>2382</v>
      </c>
      <c r="H3471" s="93" t="e">
        <v>#N/A</v>
      </c>
      <c r="I3471" s="105" t="s">
        <v>2310</v>
      </c>
      <c r="J3471" s="93" t="s">
        <v>189</v>
      </c>
      <c r="K3471" s="93">
        <v>910</v>
      </c>
      <c r="L3471" s="93">
        <v>910</v>
      </c>
      <c r="M3471" s="93" t="s">
        <v>2311</v>
      </c>
      <c r="N3471" s="93">
        <f>VLOOKUP(B3471,'[16]01.수집 카테고리(List)'!$A$2:$H$64,8,FALSE)</f>
        <v>99991231</v>
      </c>
      <c r="O3471" s="93" t="s">
        <v>646</v>
      </c>
    </row>
    <row r="3472" spans="1:15" hidden="1">
      <c r="A3472" s="75" t="str">
        <f t="shared" ref="A3472:A3559" si="133">C3472&amp;D3472&amp;E3472&amp;F3472&amp;G3472</f>
        <v>USCOSTCO_LGWIRELESS HEADSETEar budsEar buds</v>
      </c>
      <c r="B3472" s="94" t="str">
        <f t="shared" ref="B3472:B3520" si="134">C3472&amp;"_"&amp;D3472</f>
        <v>US_COSTCO_LG</v>
      </c>
      <c r="C3472" s="93" t="s">
        <v>359</v>
      </c>
      <c r="D3472" s="93" t="s">
        <v>620</v>
      </c>
      <c r="E3472" s="93" t="s">
        <v>2201</v>
      </c>
      <c r="F3472" s="93" t="s">
        <v>2380</v>
      </c>
      <c r="G3472" s="93" t="s">
        <v>2380</v>
      </c>
      <c r="H3472" s="93" t="e">
        <v>#N/A</v>
      </c>
      <c r="I3472" s="105" t="s">
        <v>2310</v>
      </c>
      <c r="J3472" s="93" t="s">
        <v>189</v>
      </c>
      <c r="K3472" s="93">
        <v>11</v>
      </c>
      <c r="L3472" s="93">
        <v>11</v>
      </c>
      <c r="M3472" s="93" t="s">
        <v>2311</v>
      </c>
      <c r="N3472" s="93">
        <f>VLOOKUP(B3472,'[16]01.수집 카테고리(List)'!$A$2:$H$64,8,FALSE)</f>
        <v>99991231</v>
      </c>
      <c r="O3472" s="93" t="s">
        <v>646</v>
      </c>
    </row>
    <row r="3473" spans="1:15" hidden="1">
      <c r="A3473" s="75" t="str">
        <f t="shared" si="133"/>
        <v>USCOSTCO_LGWIRELESS HEADSETEarbudsEarbuds</v>
      </c>
      <c r="B3473" s="94" t="str">
        <f t="shared" si="134"/>
        <v>US_COSTCO_LG</v>
      </c>
      <c r="C3473" s="93" t="s">
        <v>359</v>
      </c>
      <c r="D3473" s="93" t="s">
        <v>620</v>
      </c>
      <c r="E3473" s="93" t="s">
        <v>2201</v>
      </c>
      <c r="F3473" s="93" t="s">
        <v>2534</v>
      </c>
      <c r="G3473" s="93" t="s">
        <v>2534</v>
      </c>
      <c r="H3473" s="93" t="e">
        <v>#N/A</v>
      </c>
      <c r="I3473" s="105" t="s">
        <v>2310</v>
      </c>
      <c r="J3473" s="93" t="s">
        <v>189</v>
      </c>
      <c r="K3473" s="93">
        <v>374</v>
      </c>
      <c r="L3473" s="93">
        <v>374</v>
      </c>
      <c r="M3473" s="93" t="s">
        <v>2311</v>
      </c>
      <c r="N3473" s="93">
        <f>VLOOKUP(B3473,'[16]01.수집 카테고리(List)'!$A$2:$H$64,8,FALSE)</f>
        <v>99991231</v>
      </c>
      <c r="O3473" s="93" t="s">
        <v>646</v>
      </c>
    </row>
    <row r="3474" spans="1:15" hidden="1">
      <c r="A3474" s="75" t="str">
        <f t="shared" si="133"/>
        <v>USCOSTCO_LGWIRELESS HEADSETBluetooth HeadphonesNoise cancelling earbuds</v>
      </c>
      <c r="B3474" s="94" t="str">
        <f t="shared" si="134"/>
        <v>US_COSTCO_LG</v>
      </c>
      <c r="C3474" s="93" t="s">
        <v>359</v>
      </c>
      <c r="D3474" s="93" t="s">
        <v>620</v>
      </c>
      <c r="E3474" s="93" t="s">
        <v>2201</v>
      </c>
      <c r="F3474" s="93" t="s">
        <v>2533</v>
      </c>
      <c r="G3474" s="93" t="s">
        <v>2378</v>
      </c>
      <c r="H3474" s="93" t="e">
        <v>#N/A</v>
      </c>
      <c r="I3474" s="105" t="s">
        <v>2310</v>
      </c>
      <c r="J3474" s="93" t="s">
        <v>189</v>
      </c>
      <c r="K3474" s="93">
        <v>112</v>
      </c>
      <c r="L3474" s="93">
        <v>142</v>
      </c>
      <c r="M3474" s="93" t="s">
        <v>2311</v>
      </c>
      <c r="N3474" s="93">
        <f>VLOOKUP(B3474,'[16]01.수집 카테고리(List)'!$A$2:$H$64,8,FALSE)</f>
        <v>99991231</v>
      </c>
      <c r="O3474" s="93" t="s">
        <v>646</v>
      </c>
    </row>
    <row r="3475" spans="1:15" hidden="1">
      <c r="A3475" s="75" t="str">
        <f t="shared" si="133"/>
        <v>USCOSTCO_LGWIRELESS HEADSETWireless earbudsWireless earbuds</v>
      </c>
      <c r="B3475" s="94" t="str">
        <f t="shared" si="134"/>
        <v>US_COSTCO_LG</v>
      </c>
      <c r="C3475" s="93" t="s">
        <v>359</v>
      </c>
      <c r="D3475" s="93" t="s">
        <v>620</v>
      </c>
      <c r="E3475" s="93" t="s">
        <v>2201</v>
      </c>
      <c r="F3475" s="93" t="s">
        <v>2376</v>
      </c>
      <c r="G3475" s="93" t="s">
        <v>2376</v>
      </c>
      <c r="H3475" s="93" t="e">
        <v>#N/A</v>
      </c>
      <c r="I3475" s="105" t="s">
        <v>2310</v>
      </c>
      <c r="J3475" s="93" t="s">
        <v>189</v>
      </c>
      <c r="K3475" s="93">
        <v>855</v>
      </c>
      <c r="L3475" s="93">
        <v>855</v>
      </c>
      <c r="M3475" s="93" t="s">
        <v>2311</v>
      </c>
      <c r="N3475" s="93">
        <f>VLOOKUP(B3475,'[16]01.수집 카테고리(List)'!$A$2:$H$64,8,FALSE)</f>
        <v>99991231</v>
      </c>
      <c r="O3475" s="93" t="s">
        <v>646</v>
      </c>
    </row>
    <row r="3476" spans="1:15" s="81" customFormat="1" hidden="1">
      <c r="A3476" s="81" t="str">
        <f t="shared" si="133"/>
        <v>USCOSTCO_LGAir Conditionerair conditionerair conditioner</v>
      </c>
      <c r="B3476" s="106" t="str">
        <f t="shared" si="134"/>
        <v>US_COSTCO_LG</v>
      </c>
      <c r="C3476" s="107" t="s">
        <v>359</v>
      </c>
      <c r="D3476" s="107" t="s">
        <v>620</v>
      </c>
      <c r="E3476" s="107" t="s">
        <v>2524</v>
      </c>
      <c r="F3476" s="107" t="s">
        <v>2347</v>
      </c>
      <c r="G3476" s="107" t="s">
        <v>2347</v>
      </c>
      <c r="H3476" s="93" t="e">
        <v>#N/A</v>
      </c>
      <c r="I3476" s="99">
        <v>46076</v>
      </c>
      <c r="J3476" s="83" t="s">
        <v>189</v>
      </c>
      <c r="K3476" s="107"/>
      <c r="L3476" s="107"/>
      <c r="M3476" s="107"/>
      <c r="N3476" s="107"/>
      <c r="O3476" s="107"/>
    </row>
    <row r="3477" spans="1:15" s="81" customFormat="1" hidden="1">
      <c r="A3477" s="81" t="str">
        <f t="shared" si="133"/>
        <v>USCOSTCO_LGAir Conditionerinverter air conditionerinverter air conditioner</v>
      </c>
      <c r="B3477" s="106" t="str">
        <f t="shared" si="134"/>
        <v>US_COSTCO_LG</v>
      </c>
      <c r="C3477" s="107" t="s">
        <v>359</v>
      </c>
      <c r="D3477" s="107" t="s">
        <v>620</v>
      </c>
      <c r="E3477" s="107" t="s">
        <v>2524</v>
      </c>
      <c r="F3477" s="107" t="s">
        <v>2348</v>
      </c>
      <c r="G3477" s="107" t="s">
        <v>2348</v>
      </c>
      <c r="H3477" s="93" t="e">
        <v>#N/A</v>
      </c>
      <c r="I3477" s="99">
        <v>46076</v>
      </c>
      <c r="J3477" s="83" t="s">
        <v>189</v>
      </c>
      <c r="K3477" s="107"/>
      <c r="L3477" s="107"/>
      <c r="M3477" s="107"/>
      <c r="N3477" s="107"/>
      <c r="O3477" s="107"/>
    </row>
    <row r="3478" spans="1:15" s="81" customFormat="1" hidden="1">
      <c r="A3478" s="81" t="str">
        <f t="shared" si="133"/>
        <v>USCOSTCO_LGAir Conditionersplit air conditionersplit air conditioner</v>
      </c>
      <c r="B3478" s="106" t="str">
        <f t="shared" si="134"/>
        <v>US_COSTCO_LG</v>
      </c>
      <c r="C3478" s="107" t="s">
        <v>359</v>
      </c>
      <c r="D3478" s="107" t="s">
        <v>620</v>
      </c>
      <c r="E3478" s="107" t="s">
        <v>2524</v>
      </c>
      <c r="F3478" s="107" t="s">
        <v>2422</v>
      </c>
      <c r="G3478" s="107" t="s">
        <v>2422</v>
      </c>
      <c r="H3478" s="93" t="e">
        <v>#N/A</v>
      </c>
      <c r="I3478" s="99">
        <v>46076</v>
      </c>
      <c r="J3478" s="83" t="s">
        <v>189</v>
      </c>
      <c r="K3478" s="107"/>
      <c r="L3478" s="107"/>
      <c r="M3478" s="107"/>
      <c r="N3478" s="107"/>
      <c r="O3478" s="107"/>
    </row>
    <row r="3479" spans="1:15" s="81" customFormat="1" hidden="1">
      <c r="A3479" s="81" t="str">
        <f t="shared" si="133"/>
        <v>USCOSTCO_LGAir Conditionersplit inverter air conditionersplit inverter air conditioner</v>
      </c>
      <c r="B3479" s="106" t="str">
        <f t="shared" si="134"/>
        <v>US_COSTCO_LG</v>
      </c>
      <c r="C3479" s="107" t="s">
        <v>359</v>
      </c>
      <c r="D3479" s="107" t="s">
        <v>620</v>
      </c>
      <c r="E3479" s="107" t="s">
        <v>2524</v>
      </c>
      <c r="F3479" s="107" t="s">
        <v>2423</v>
      </c>
      <c r="G3479" s="107" t="s">
        <v>2423</v>
      </c>
      <c r="H3479" s="93" t="e">
        <v>#N/A</v>
      </c>
      <c r="I3479" s="99">
        <v>46076</v>
      </c>
      <c r="J3479" s="83" t="s">
        <v>189</v>
      </c>
      <c r="K3479" s="107"/>
      <c r="L3479" s="107"/>
      <c r="M3479" s="107"/>
      <c r="N3479" s="107"/>
      <c r="O3479" s="107"/>
    </row>
    <row r="3480" spans="1:15" s="81" customFormat="1" hidden="1">
      <c r="A3480" s="81" t="str">
        <f t="shared" si="133"/>
        <v>USCOSTCO_LGAir Conditionerwindow air conditionerwindow air conditioner</v>
      </c>
      <c r="B3480" s="106" t="str">
        <f t="shared" si="134"/>
        <v>US_COSTCO_LG</v>
      </c>
      <c r="C3480" s="107" t="s">
        <v>359</v>
      </c>
      <c r="D3480" s="107" t="s">
        <v>620</v>
      </c>
      <c r="E3480" s="107" t="s">
        <v>2524</v>
      </c>
      <c r="F3480" s="107" t="s">
        <v>2350</v>
      </c>
      <c r="G3480" s="107" t="s">
        <v>2350</v>
      </c>
      <c r="H3480" s="93" t="e">
        <v>#N/A</v>
      </c>
      <c r="I3480" s="99">
        <v>46076</v>
      </c>
      <c r="J3480" s="83" t="s">
        <v>189</v>
      </c>
      <c r="K3480" s="107"/>
      <c r="L3480" s="107"/>
      <c r="M3480" s="107"/>
      <c r="N3480" s="107"/>
      <c r="O3480" s="107"/>
    </row>
    <row r="3481" spans="1:15" s="81" customFormat="1" hidden="1">
      <c r="A3481" s="81" t="str">
        <f t="shared" si="133"/>
        <v>USCOSTCO_LGAir Conditionerwindow inverter air conditionerwindow inverter air conditioner</v>
      </c>
      <c r="B3481" s="106" t="str">
        <f t="shared" si="134"/>
        <v>US_COSTCO_LG</v>
      </c>
      <c r="C3481" s="107" t="s">
        <v>359</v>
      </c>
      <c r="D3481" s="107" t="s">
        <v>620</v>
      </c>
      <c r="E3481" s="107" t="s">
        <v>2524</v>
      </c>
      <c r="F3481" s="107" t="s">
        <v>2424</v>
      </c>
      <c r="G3481" s="107" t="s">
        <v>2424</v>
      </c>
      <c r="H3481" s="93" t="e">
        <v>#N/A</v>
      </c>
      <c r="I3481" s="99">
        <v>46076</v>
      </c>
      <c r="J3481" s="83" t="s">
        <v>189</v>
      </c>
      <c r="K3481" s="107"/>
      <c r="L3481" s="107"/>
      <c r="M3481" s="107"/>
      <c r="N3481" s="107"/>
      <c r="O3481" s="107"/>
    </row>
    <row r="3482" spans="1:15" hidden="1">
      <c r="A3482" s="75" t="str">
        <f t="shared" si="133"/>
        <v>USHOMEDEPOT_LGAir Conditionerair conditionerair conditioner</v>
      </c>
      <c r="B3482" s="94" t="str">
        <f t="shared" si="134"/>
        <v>US_HOMEDEPOT_LG</v>
      </c>
      <c r="C3482" s="93" t="s">
        <v>359</v>
      </c>
      <c r="D3482" s="93" t="s">
        <v>750</v>
      </c>
      <c r="E3482" s="93" t="s">
        <v>2346</v>
      </c>
      <c r="F3482" s="93" t="s">
        <v>2347</v>
      </c>
      <c r="G3482" s="93" t="s">
        <v>2347</v>
      </c>
      <c r="H3482" s="93" t="e">
        <v>#N/A</v>
      </c>
      <c r="I3482" s="105" t="s">
        <v>2310</v>
      </c>
      <c r="J3482" s="93" t="s">
        <v>189</v>
      </c>
      <c r="K3482" s="93">
        <v>197</v>
      </c>
      <c r="L3482" s="93">
        <v>197</v>
      </c>
      <c r="M3482" s="93" t="s">
        <v>2311</v>
      </c>
      <c r="N3482" s="93" t="e">
        <f>VLOOKUP(B3482,'[16]01.수집 카테고리(List)'!$A$2:$H$64,8,FALSE)</f>
        <v>#N/A</v>
      </c>
      <c r="O3482" s="93"/>
    </row>
    <row r="3483" spans="1:15" hidden="1">
      <c r="A3483" s="75" t="str">
        <f t="shared" si="133"/>
        <v>USHOMEDEPOT_LGAir Conditionerinverter air conditionerinverter air conditioner</v>
      </c>
      <c r="B3483" s="94" t="str">
        <f t="shared" si="134"/>
        <v>US_HOMEDEPOT_LG</v>
      </c>
      <c r="C3483" s="93" t="s">
        <v>359</v>
      </c>
      <c r="D3483" s="93" t="s">
        <v>750</v>
      </c>
      <c r="E3483" s="93" t="s">
        <v>2346</v>
      </c>
      <c r="F3483" s="93" t="s">
        <v>2348</v>
      </c>
      <c r="G3483" s="93" t="s">
        <v>2348</v>
      </c>
      <c r="H3483" s="93" t="e">
        <v>#N/A</v>
      </c>
      <c r="I3483" s="105" t="s">
        <v>2310</v>
      </c>
      <c r="J3483" s="93" t="s">
        <v>189</v>
      </c>
      <c r="K3483" s="93">
        <v>4545</v>
      </c>
      <c r="L3483" s="93">
        <v>4545</v>
      </c>
      <c r="M3483" s="93" t="s">
        <v>2311</v>
      </c>
      <c r="N3483" s="93" t="e">
        <f>VLOOKUP(B3483,'[16]01.수집 카테고리(List)'!$A$2:$H$64,8,FALSE)</f>
        <v>#N/A</v>
      </c>
      <c r="O3483" s="93"/>
    </row>
    <row r="3484" spans="1:15" hidden="1">
      <c r="A3484" s="75" t="str">
        <f t="shared" si="133"/>
        <v>USHOMEDEPOT_LGAir Conditionerportable air conditionerportable air conditioner</v>
      </c>
      <c r="B3484" s="94" t="str">
        <f t="shared" si="134"/>
        <v>US_HOMEDEPOT_LG</v>
      </c>
      <c r="C3484" s="93" t="s">
        <v>359</v>
      </c>
      <c r="D3484" s="93" t="s">
        <v>750</v>
      </c>
      <c r="E3484" s="93" t="s">
        <v>2346</v>
      </c>
      <c r="F3484" s="93" t="s">
        <v>2349</v>
      </c>
      <c r="G3484" s="93" t="s">
        <v>2349</v>
      </c>
      <c r="H3484" s="93" t="e">
        <v>#N/A</v>
      </c>
      <c r="I3484" s="105" t="s">
        <v>2310</v>
      </c>
      <c r="J3484" s="93" t="s">
        <v>189</v>
      </c>
      <c r="K3484" s="93">
        <v>874</v>
      </c>
      <c r="L3484" s="93">
        <v>874</v>
      </c>
      <c r="M3484" s="93" t="s">
        <v>2311</v>
      </c>
      <c r="N3484" s="93" t="e">
        <f>VLOOKUP(B3484,'[16]01.수집 카테고리(List)'!$A$2:$H$64,8,FALSE)</f>
        <v>#N/A</v>
      </c>
      <c r="O3484" s="93"/>
    </row>
    <row r="3485" spans="1:15" hidden="1">
      <c r="A3485" s="75" t="str">
        <f t="shared" si="133"/>
        <v>USHOMEDEPOT_LGAir Conditionerwall air conditionerwall air conditioner</v>
      </c>
      <c r="B3485" s="94" t="str">
        <f t="shared" si="134"/>
        <v>US_HOMEDEPOT_LG</v>
      </c>
      <c r="C3485" s="93" t="s">
        <v>359</v>
      </c>
      <c r="D3485" s="93" t="s">
        <v>750</v>
      </c>
      <c r="E3485" s="93" t="s">
        <v>2346</v>
      </c>
      <c r="F3485" s="93" t="s">
        <v>3666</v>
      </c>
      <c r="G3485" s="93" t="s">
        <v>3666</v>
      </c>
      <c r="H3485" s="93" t="e">
        <v>#N/A</v>
      </c>
      <c r="I3485" s="105" t="s">
        <v>2310</v>
      </c>
      <c r="J3485" s="93" t="s">
        <v>189</v>
      </c>
      <c r="K3485" s="93">
        <v>207</v>
      </c>
      <c r="L3485" s="93">
        <v>207</v>
      </c>
      <c r="M3485" s="93" t="s">
        <v>2311</v>
      </c>
      <c r="N3485" s="93" t="e">
        <f>VLOOKUP(B3485,'[16]01.수집 카테고리(List)'!$A$2:$H$64,8,FALSE)</f>
        <v>#N/A</v>
      </c>
      <c r="O3485" s="93"/>
    </row>
    <row r="3486" spans="1:15" hidden="1">
      <c r="A3486" s="75" t="str">
        <f t="shared" si="133"/>
        <v>USHOMEDEPOT_LGAir Conditionerwindow air conditionerwindow air conditioner</v>
      </c>
      <c r="B3486" s="94" t="str">
        <f t="shared" si="134"/>
        <v>US_HOMEDEPOT_LG</v>
      </c>
      <c r="C3486" s="93" t="s">
        <v>359</v>
      </c>
      <c r="D3486" s="93" t="s">
        <v>750</v>
      </c>
      <c r="E3486" s="93" t="s">
        <v>2346</v>
      </c>
      <c r="F3486" s="93" t="s">
        <v>2350</v>
      </c>
      <c r="G3486" s="93" t="s">
        <v>2350</v>
      </c>
      <c r="H3486" s="93" t="e">
        <v>#N/A</v>
      </c>
      <c r="I3486" s="105" t="s">
        <v>2310</v>
      </c>
      <c r="J3486" s="93" t="s">
        <v>189</v>
      </c>
      <c r="K3486" s="93">
        <v>836</v>
      </c>
      <c r="L3486" s="93">
        <v>836</v>
      </c>
      <c r="M3486" s="93" t="s">
        <v>2311</v>
      </c>
      <c r="N3486" s="93" t="e">
        <f>VLOOKUP(B3486,'[16]01.수집 카테고리(List)'!$A$2:$H$64,8,FALSE)</f>
        <v>#N/A</v>
      </c>
      <c r="O3486" s="93"/>
    </row>
    <row r="3487" spans="1:15" hidden="1">
      <c r="A3487" s="75" t="str">
        <f t="shared" si="133"/>
        <v>USHOMEDEPOT_LGCordless stick vacuumcordless stick vacuumcordless stick vacuum</v>
      </c>
      <c r="B3487" s="94" t="str">
        <f t="shared" si="134"/>
        <v>US_HOMEDEPOT_LG</v>
      </c>
      <c r="C3487" s="93" t="s">
        <v>359</v>
      </c>
      <c r="D3487" s="93" t="s">
        <v>750</v>
      </c>
      <c r="E3487" s="93" t="s">
        <v>2435</v>
      </c>
      <c r="F3487" s="93" t="s">
        <v>2436</v>
      </c>
      <c r="G3487" s="93" t="s">
        <v>2436</v>
      </c>
      <c r="H3487" s="93" t="e">
        <v>#N/A</v>
      </c>
      <c r="I3487" s="105" t="s">
        <v>2310</v>
      </c>
      <c r="J3487" s="93" t="s">
        <v>189</v>
      </c>
      <c r="K3487" s="93">
        <v>3499</v>
      </c>
      <c r="L3487" s="93">
        <v>3499</v>
      </c>
      <c r="M3487" s="93" t="s">
        <v>2311</v>
      </c>
      <c r="N3487" s="93" t="e">
        <f>VLOOKUP(B3487,'[16]01.수집 카테고리(List)'!$A$2:$H$64,8,FALSE)</f>
        <v>#N/A</v>
      </c>
      <c r="O3487" s="93"/>
    </row>
    <row r="3488" spans="1:15" hidden="1">
      <c r="A3488" s="75" t="str">
        <f t="shared" si="133"/>
        <v>USHOMEDEPOT_LGCordless stick vacuumhandstick vacuumhandstick vacuum</v>
      </c>
      <c r="B3488" s="94" t="str">
        <f t="shared" si="134"/>
        <v>US_HOMEDEPOT_LG</v>
      </c>
      <c r="C3488" s="93" t="s">
        <v>359</v>
      </c>
      <c r="D3488" s="93" t="s">
        <v>750</v>
      </c>
      <c r="E3488" s="93" t="s">
        <v>2435</v>
      </c>
      <c r="F3488" s="93" t="s">
        <v>3667</v>
      </c>
      <c r="G3488" s="93" t="s">
        <v>3667</v>
      </c>
      <c r="H3488" s="93" t="e">
        <v>#N/A</v>
      </c>
      <c r="I3488" s="105" t="s">
        <v>2310</v>
      </c>
      <c r="J3488" s="93" t="s">
        <v>189</v>
      </c>
      <c r="K3488" s="93">
        <v>3156</v>
      </c>
      <c r="L3488" s="93">
        <v>3156</v>
      </c>
      <c r="M3488" s="93" t="s">
        <v>2311</v>
      </c>
      <c r="N3488" s="93" t="e">
        <f>VLOOKUP(B3488,'[16]01.수집 카테고리(List)'!$A$2:$H$64,8,FALSE)</f>
        <v>#N/A</v>
      </c>
      <c r="O3488" s="93"/>
    </row>
    <row r="3489" spans="1:15" hidden="1">
      <c r="A3489" s="75" t="str">
        <f t="shared" si="133"/>
        <v>USHOMEDEPOT_LGCordless stick vacuumstick vacuumstick vacuum</v>
      </c>
      <c r="B3489" s="94" t="str">
        <f t="shared" si="134"/>
        <v>US_HOMEDEPOT_LG</v>
      </c>
      <c r="C3489" s="93" t="s">
        <v>359</v>
      </c>
      <c r="D3489" s="93" t="s">
        <v>750</v>
      </c>
      <c r="E3489" s="93" t="s">
        <v>2435</v>
      </c>
      <c r="F3489" s="93" t="s">
        <v>2438</v>
      </c>
      <c r="G3489" s="93" t="s">
        <v>2438</v>
      </c>
      <c r="H3489" s="93" t="e">
        <v>#N/A</v>
      </c>
      <c r="I3489" s="105" t="s">
        <v>2310</v>
      </c>
      <c r="J3489" s="93" t="s">
        <v>189</v>
      </c>
      <c r="K3489" s="93">
        <v>283</v>
      </c>
      <c r="L3489" s="93">
        <v>283</v>
      </c>
      <c r="M3489" s="93" t="s">
        <v>2311</v>
      </c>
      <c r="N3489" s="93" t="e">
        <f>VLOOKUP(B3489,'[16]01.수집 카테고리(List)'!$A$2:$H$64,8,FALSE)</f>
        <v>#N/A</v>
      </c>
      <c r="O3489" s="93"/>
    </row>
    <row r="3490" spans="1:15" hidden="1">
      <c r="A3490" s="75" t="str">
        <f t="shared" si="133"/>
        <v>USHOMEDEPOT_LGCordless stick vacuumstick vacuum cleanerstick vacuum cleaner</v>
      </c>
      <c r="B3490" s="94" t="str">
        <f t="shared" si="134"/>
        <v>US_HOMEDEPOT_LG</v>
      </c>
      <c r="C3490" s="93" t="s">
        <v>359</v>
      </c>
      <c r="D3490" s="93" t="s">
        <v>750</v>
      </c>
      <c r="E3490" s="93" t="s">
        <v>2435</v>
      </c>
      <c r="F3490" s="93" t="s">
        <v>2439</v>
      </c>
      <c r="G3490" s="93" t="s">
        <v>2439</v>
      </c>
      <c r="H3490" s="93" t="e">
        <v>#N/A</v>
      </c>
      <c r="I3490" s="105" t="s">
        <v>2310</v>
      </c>
      <c r="J3490" s="93" t="s">
        <v>189</v>
      </c>
      <c r="K3490" s="93">
        <v>2791</v>
      </c>
      <c r="L3490" s="93">
        <v>2791</v>
      </c>
      <c r="M3490" s="93" t="s">
        <v>2311</v>
      </c>
      <c r="N3490" s="93" t="e">
        <f>VLOOKUP(B3490,'[16]01.수집 카테고리(List)'!$A$2:$H$64,8,FALSE)</f>
        <v>#N/A</v>
      </c>
      <c r="O3490" s="93"/>
    </row>
    <row r="3491" spans="1:15" hidden="1">
      <c r="A3491" s="75" t="str">
        <f t="shared" si="133"/>
        <v>USHOMEDEPOT_LGDishwasherBuilt in Dish washerBuilt in Dish washer</v>
      </c>
      <c r="B3491" s="94" t="str">
        <f t="shared" si="134"/>
        <v>US_HOMEDEPOT_LG</v>
      </c>
      <c r="C3491" s="93" t="s">
        <v>359</v>
      </c>
      <c r="D3491" s="93" t="s">
        <v>750</v>
      </c>
      <c r="E3491" s="93" t="s">
        <v>2440</v>
      </c>
      <c r="F3491" s="93" t="s">
        <v>2356</v>
      </c>
      <c r="G3491" s="93" t="s">
        <v>2356</v>
      </c>
      <c r="H3491" s="93" t="e">
        <v>#N/A</v>
      </c>
      <c r="I3491" s="105" t="s">
        <v>2310</v>
      </c>
      <c r="J3491" s="93" t="s">
        <v>189</v>
      </c>
      <c r="K3491" s="93">
        <v>121</v>
      </c>
      <c r="L3491" s="93">
        <v>121</v>
      </c>
      <c r="M3491" s="93" t="s">
        <v>2311</v>
      </c>
      <c r="N3491" s="93" t="e">
        <f>VLOOKUP(B3491,'[16]01.수집 카테고리(List)'!$A$2:$H$64,8,FALSE)</f>
        <v>#N/A</v>
      </c>
      <c r="O3491" s="93"/>
    </row>
    <row r="3492" spans="1:15" hidden="1">
      <c r="A3492" s="75" t="str">
        <f t="shared" si="133"/>
        <v>USHOMEDEPOT_LGDishwasherbuilt in front controlbuilt in front control</v>
      </c>
      <c r="B3492" s="94" t="str">
        <f t="shared" si="134"/>
        <v>US_HOMEDEPOT_LG</v>
      </c>
      <c r="C3492" s="93" t="s">
        <v>359</v>
      </c>
      <c r="D3492" s="93" t="s">
        <v>750</v>
      </c>
      <c r="E3492" s="93" t="s">
        <v>2440</v>
      </c>
      <c r="F3492" s="93" t="s">
        <v>3668</v>
      </c>
      <c r="G3492" s="93" t="s">
        <v>3668</v>
      </c>
      <c r="H3492" s="93" t="e">
        <v>#N/A</v>
      </c>
      <c r="I3492" s="105" t="s">
        <v>2310</v>
      </c>
      <c r="J3492" s="93" t="s">
        <v>189</v>
      </c>
      <c r="K3492" s="93">
        <v>5146</v>
      </c>
      <c r="L3492" s="93">
        <v>5146</v>
      </c>
      <c r="M3492" s="93" t="s">
        <v>2311</v>
      </c>
      <c r="N3492" s="93" t="e">
        <f>VLOOKUP(B3492,'[16]01.수집 카테고리(List)'!$A$2:$H$64,8,FALSE)</f>
        <v>#N/A</v>
      </c>
      <c r="O3492" s="93"/>
    </row>
    <row r="3493" spans="1:15" hidden="1">
      <c r="A3493" s="75" t="str">
        <f t="shared" si="133"/>
        <v>USHOMEDEPOT_LGDishwasherbuilt in top controlbuilt in top control</v>
      </c>
      <c r="B3493" s="94" t="str">
        <f t="shared" si="134"/>
        <v>US_HOMEDEPOT_LG</v>
      </c>
      <c r="C3493" s="93" t="s">
        <v>359</v>
      </c>
      <c r="D3493" s="93" t="s">
        <v>750</v>
      </c>
      <c r="E3493" s="93" t="s">
        <v>2440</v>
      </c>
      <c r="F3493" s="93" t="s">
        <v>3669</v>
      </c>
      <c r="G3493" s="93" t="s">
        <v>3669</v>
      </c>
      <c r="H3493" s="93" t="e">
        <v>#N/A</v>
      </c>
      <c r="I3493" s="105" t="s">
        <v>2310</v>
      </c>
      <c r="J3493" s="93" t="s">
        <v>189</v>
      </c>
      <c r="K3493" s="93">
        <v>9289</v>
      </c>
      <c r="L3493" s="93">
        <v>9289</v>
      </c>
      <c r="M3493" s="93" t="s">
        <v>2311</v>
      </c>
      <c r="N3493" s="93" t="e">
        <f>VLOOKUP(B3493,'[16]01.수집 카테고리(List)'!$A$2:$H$64,8,FALSE)</f>
        <v>#N/A</v>
      </c>
      <c r="O3493" s="93"/>
    </row>
    <row r="3494" spans="1:15" hidden="1">
      <c r="A3494" s="75" t="str">
        <f t="shared" si="133"/>
        <v>USHOMEDEPOT_LGDryerElectric DryerElectric Dryer</v>
      </c>
      <c r="B3494" s="94" t="str">
        <f t="shared" si="134"/>
        <v>US_HOMEDEPOT_LG</v>
      </c>
      <c r="C3494" s="93" t="s">
        <v>359</v>
      </c>
      <c r="D3494" s="93" t="s">
        <v>750</v>
      </c>
      <c r="E3494" s="93" t="s">
        <v>2431</v>
      </c>
      <c r="F3494" s="93" t="s">
        <v>3670</v>
      </c>
      <c r="G3494" s="93" t="s">
        <v>3670</v>
      </c>
      <c r="H3494" s="93" t="e">
        <v>#N/A</v>
      </c>
      <c r="I3494" s="105" t="s">
        <v>2310</v>
      </c>
      <c r="J3494" s="93" t="s">
        <v>189</v>
      </c>
      <c r="K3494" s="93">
        <v>560</v>
      </c>
      <c r="L3494" s="93">
        <v>560</v>
      </c>
      <c r="M3494" s="93" t="s">
        <v>2311</v>
      </c>
      <c r="N3494" s="93" t="e">
        <f>VLOOKUP(B3494,'[16]01.수집 카테고리(List)'!$A$2:$H$64,8,FALSE)</f>
        <v>#N/A</v>
      </c>
      <c r="O3494" s="93"/>
    </row>
    <row r="3495" spans="1:15" hidden="1">
      <c r="A3495" s="75" t="str">
        <f t="shared" si="133"/>
        <v>USHOMEDEPOT_LGDryerGas DryerGas Dryer</v>
      </c>
      <c r="B3495" s="94" t="str">
        <f t="shared" si="134"/>
        <v>US_HOMEDEPOT_LG</v>
      </c>
      <c r="C3495" s="93" t="s">
        <v>359</v>
      </c>
      <c r="D3495" s="93" t="s">
        <v>750</v>
      </c>
      <c r="E3495" s="93" t="s">
        <v>2431</v>
      </c>
      <c r="F3495" s="93" t="s">
        <v>3671</v>
      </c>
      <c r="G3495" s="93" t="s">
        <v>3671</v>
      </c>
      <c r="H3495" s="93" t="e">
        <v>#N/A</v>
      </c>
      <c r="I3495" s="105" t="s">
        <v>2310</v>
      </c>
      <c r="J3495" s="93" t="s">
        <v>189</v>
      </c>
      <c r="K3495" s="93">
        <v>269</v>
      </c>
      <c r="L3495" s="93">
        <v>269</v>
      </c>
      <c r="M3495" s="93" t="s">
        <v>2311</v>
      </c>
      <c r="N3495" s="93" t="e">
        <f>VLOOKUP(B3495,'[16]01.수집 카테고리(List)'!$A$2:$H$64,8,FALSE)</f>
        <v>#N/A</v>
      </c>
      <c r="O3495" s="93"/>
    </row>
    <row r="3496" spans="1:15" hidden="1">
      <c r="A3496" s="75" t="str">
        <f t="shared" si="133"/>
        <v>USHOMEDEPOT_LGDryerSteam DryerSteam Dryer</v>
      </c>
      <c r="B3496" s="94" t="str">
        <f t="shared" si="134"/>
        <v>US_HOMEDEPOT_LG</v>
      </c>
      <c r="C3496" s="93" t="s">
        <v>359</v>
      </c>
      <c r="D3496" s="93" t="s">
        <v>750</v>
      </c>
      <c r="E3496" s="93" t="s">
        <v>2431</v>
      </c>
      <c r="F3496" s="93" t="s">
        <v>3672</v>
      </c>
      <c r="G3496" s="93" t="s">
        <v>3672</v>
      </c>
      <c r="H3496" s="93" t="e">
        <v>#N/A</v>
      </c>
      <c r="I3496" s="105" t="s">
        <v>2310</v>
      </c>
      <c r="J3496" s="93" t="s">
        <v>189</v>
      </c>
      <c r="K3496" s="93">
        <v>410</v>
      </c>
      <c r="L3496" s="93">
        <v>410</v>
      </c>
      <c r="M3496" s="93" t="s">
        <v>2311</v>
      </c>
      <c r="N3496" s="93" t="e">
        <f>VLOOKUP(B3496,'[16]01.수집 카테고리(List)'!$A$2:$H$64,8,FALSE)</f>
        <v>#N/A</v>
      </c>
      <c r="O3496" s="93"/>
    </row>
    <row r="3497" spans="1:15" hidden="1">
      <c r="A3497" s="75" t="str">
        <f t="shared" si="133"/>
        <v>USHOMEDEPOT_LGOvenCooktopCooktop</v>
      </c>
      <c r="B3497" s="94" t="str">
        <f t="shared" si="134"/>
        <v>US_HOMEDEPOT_LG</v>
      </c>
      <c r="C3497" s="93" t="s">
        <v>359</v>
      </c>
      <c r="D3497" s="93" t="s">
        <v>750</v>
      </c>
      <c r="E3497" s="93" t="s">
        <v>2540</v>
      </c>
      <c r="F3497" s="93" t="s">
        <v>2541</v>
      </c>
      <c r="G3497" s="93" t="s">
        <v>2541</v>
      </c>
      <c r="H3497" s="93" t="e">
        <v>#N/A</v>
      </c>
      <c r="I3497" s="105" t="s">
        <v>2310</v>
      </c>
      <c r="J3497" s="93" t="s">
        <v>189</v>
      </c>
      <c r="K3497" s="93">
        <v>1080</v>
      </c>
      <c r="L3497" s="93">
        <v>1080</v>
      </c>
      <c r="M3497" s="93" t="s">
        <v>2311</v>
      </c>
      <c r="N3497" s="93" t="e">
        <f>VLOOKUP(B3497,'[16]01.수집 카테고리(List)'!$A$2:$H$64,8,FALSE)</f>
        <v>#N/A</v>
      </c>
      <c r="O3497" s="93"/>
    </row>
    <row r="3498" spans="1:15" hidden="1">
      <c r="A3498" s="75" t="str">
        <f t="shared" si="133"/>
        <v>USHOMEDEPOT_LGOvenFreestanding RangeFreestanding Range</v>
      </c>
      <c r="B3498" s="94" t="str">
        <f t="shared" si="134"/>
        <v>US_HOMEDEPOT_LG</v>
      </c>
      <c r="C3498" s="93" t="s">
        <v>359</v>
      </c>
      <c r="D3498" s="93" t="s">
        <v>750</v>
      </c>
      <c r="E3498" s="93" t="s">
        <v>2540</v>
      </c>
      <c r="F3498" s="93" t="s">
        <v>3673</v>
      </c>
      <c r="G3498" s="93" t="s">
        <v>3673</v>
      </c>
      <c r="H3498" s="93" t="e">
        <v>#N/A</v>
      </c>
      <c r="I3498" s="105" t="s">
        <v>2310</v>
      </c>
      <c r="J3498" s="93" t="s">
        <v>189</v>
      </c>
      <c r="K3498" s="93">
        <v>2531</v>
      </c>
      <c r="L3498" s="93">
        <v>2531</v>
      </c>
      <c r="M3498" s="93" t="s">
        <v>2311</v>
      </c>
      <c r="N3498" s="93" t="e">
        <f>VLOOKUP(B3498,'[16]01.수집 카테고리(List)'!$A$2:$H$64,8,FALSE)</f>
        <v>#N/A</v>
      </c>
      <c r="O3498" s="93"/>
    </row>
    <row r="3499" spans="1:15" hidden="1">
      <c r="A3499" s="75" t="str">
        <f t="shared" si="133"/>
        <v>USHOMEDEPOT_LGOvenSlide-in RangeSlide-in Range</v>
      </c>
      <c r="B3499" s="94" t="str">
        <f t="shared" si="134"/>
        <v>US_HOMEDEPOT_LG</v>
      </c>
      <c r="C3499" s="93" t="s">
        <v>359</v>
      </c>
      <c r="D3499" s="93" t="s">
        <v>750</v>
      </c>
      <c r="E3499" s="93" t="s">
        <v>2540</v>
      </c>
      <c r="F3499" s="93" t="s">
        <v>2676</v>
      </c>
      <c r="G3499" s="93" t="s">
        <v>2676</v>
      </c>
      <c r="H3499" s="93" t="e">
        <v>#N/A</v>
      </c>
      <c r="I3499" s="105" t="s">
        <v>2310</v>
      </c>
      <c r="J3499" s="93" t="s">
        <v>189</v>
      </c>
      <c r="K3499" s="93">
        <v>6410</v>
      </c>
      <c r="L3499" s="93">
        <v>6410</v>
      </c>
      <c r="M3499" s="93" t="s">
        <v>2311</v>
      </c>
      <c r="N3499" s="93" t="e">
        <f>VLOOKUP(B3499,'[16]01.수집 카테고리(List)'!$A$2:$H$64,8,FALSE)</f>
        <v>#N/A</v>
      </c>
      <c r="O3499" s="93"/>
    </row>
    <row r="3500" spans="1:15" hidden="1">
      <c r="A3500" s="75" t="str">
        <f t="shared" si="133"/>
        <v>USHOMEDEPOT_LGOvenWall OvenWall Oven</v>
      </c>
      <c r="B3500" s="94" t="str">
        <f t="shared" si="134"/>
        <v>US_HOMEDEPOT_LG</v>
      </c>
      <c r="C3500" s="93" t="s">
        <v>359</v>
      </c>
      <c r="D3500" s="93" t="s">
        <v>750</v>
      </c>
      <c r="E3500" s="93" t="s">
        <v>2540</v>
      </c>
      <c r="F3500" s="93" t="s">
        <v>2544</v>
      </c>
      <c r="G3500" s="93" t="s">
        <v>2544</v>
      </c>
      <c r="H3500" s="93" t="e">
        <v>#N/A</v>
      </c>
      <c r="I3500" s="105" t="s">
        <v>2310</v>
      </c>
      <c r="J3500" s="93" t="s">
        <v>189</v>
      </c>
      <c r="K3500" s="93">
        <v>174</v>
      </c>
      <c r="L3500" s="93">
        <v>174</v>
      </c>
      <c r="M3500" s="93" t="s">
        <v>2311</v>
      </c>
      <c r="N3500" s="93" t="e">
        <f>VLOOKUP(B3500,'[16]01.수집 카테고리(List)'!$A$2:$H$64,8,FALSE)</f>
        <v>#N/A</v>
      </c>
      <c r="O3500" s="93"/>
    </row>
    <row r="3501" spans="1:15" hidden="1">
      <c r="A3501" s="75" t="str">
        <f t="shared" si="133"/>
        <v>USHOMEDEPOT_LGRefrigerator4 door french door refrigerator4 door french door refrigerator</v>
      </c>
      <c r="B3501" s="94" t="str">
        <f t="shared" si="134"/>
        <v>US_HOMEDEPOT_LG</v>
      </c>
      <c r="C3501" s="93" t="s">
        <v>359</v>
      </c>
      <c r="D3501" s="93" t="s">
        <v>750</v>
      </c>
      <c r="E3501" s="93" t="s">
        <v>2326</v>
      </c>
      <c r="F3501" s="93" t="s">
        <v>2519</v>
      </c>
      <c r="G3501" s="93" t="s">
        <v>2519</v>
      </c>
      <c r="H3501" s="93" t="e">
        <v>#N/A</v>
      </c>
      <c r="I3501" s="105" t="s">
        <v>2310</v>
      </c>
      <c r="J3501" s="93" t="s">
        <v>189</v>
      </c>
      <c r="K3501" s="93">
        <v>9337</v>
      </c>
      <c r="L3501" s="93">
        <v>9337</v>
      </c>
      <c r="M3501" s="93" t="s">
        <v>2311</v>
      </c>
      <c r="N3501" s="93" t="e">
        <f>VLOOKUP(B3501,'[16]01.수집 카테고리(List)'!$A$2:$H$64,8,FALSE)</f>
        <v>#N/A</v>
      </c>
      <c r="O3501" s="93"/>
    </row>
    <row r="3502" spans="1:15" hidden="1">
      <c r="A3502" s="75" t="str">
        <f t="shared" si="133"/>
        <v>USHOMEDEPOT_LGRefrigeratorbottom freezer refrigeratorbottom freezer refrigerator</v>
      </c>
      <c r="B3502" s="94" t="str">
        <f t="shared" si="134"/>
        <v>US_HOMEDEPOT_LG</v>
      </c>
      <c r="C3502" s="93" t="s">
        <v>359</v>
      </c>
      <c r="D3502" s="93" t="s">
        <v>750</v>
      </c>
      <c r="E3502" s="93" t="s">
        <v>2326</v>
      </c>
      <c r="F3502" s="93" t="s">
        <v>2327</v>
      </c>
      <c r="G3502" s="93" t="s">
        <v>2327</v>
      </c>
      <c r="H3502" s="93" t="e">
        <v>#N/A</v>
      </c>
      <c r="I3502" s="105" t="s">
        <v>2310</v>
      </c>
      <c r="J3502" s="93" t="s">
        <v>189</v>
      </c>
      <c r="K3502" s="93">
        <v>304</v>
      </c>
      <c r="L3502" s="93">
        <v>304</v>
      </c>
      <c r="M3502" s="93" t="s">
        <v>2311</v>
      </c>
      <c r="N3502" s="93" t="e">
        <f>VLOOKUP(B3502,'[16]01.수집 카테고리(List)'!$A$2:$H$64,8,FALSE)</f>
        <v>#N/A</v>
      </c>
      <c r="O3502" s="93"/>
    </row>
    <row r="3503" spans="1:15" hidden="1">
      <c r="A3503" s="75" t="str">
        <f t="shared" si="133"/>
        <v>USHOMEDEPOT_LGRefrigeratorcounter depth refrigeratorcounter depth refrigerator</v>
      </c>
      <c r="B3503" s="94" t="str">
        <f t="shared" si="134"/>
        <v>US_HOMEDEPOT_LG</v>
      </c>
      <c r="C3503" s="93" t="s">
        <v>359</v>
      </c>
      <c r="D3503" s="93" t="s">
        <v>750</v>
      </c>
      <c r="E3503" s="93" t="s">
        <v>2326</v>
      </c>
      <c r="F3503" s="93" t="s">
        <v>2521</v>
      </c>
      <c r="G3503" s="93" t="s">
        <v>2521</v>
      </c>
      <c r="H3503" s="93" t="e">
        <v>#N/A</v>
      </c>
      <c r="I3503" s="105" t="s">
        <v>2310</v>
      </c>
      <c r="J3503" s="93" t="s">
        <v>189</v>
      </c>
      <c r="K3503" s="93">
        <v>3663</v>
      </c>
      <c r="L3503" s="93">
        <v>3663</v>
      </c>
      <c r="M3503" s="93" t="s">
        <v>2311</v>
      </c>
      <c r="N3503" s="93" t="e">
        <f>VLOOKUP(B3503,'[16]01.수집 카테고리(List)'!$A$2:$H$64,8,FALSE)</f>
        <v>#N/A</v>
      </c>
      <c r="O3503" s="93"/>
    </row>
    <row r="3504" spans="1:15" hidden="1">
      <c r="A3504" s="75" t="str">
        <f t="shared" si="133"/>
        <v>USHOMEDEPOT_LGRefrigeratorfrench door refrigeratorfrench door refrigerator</v>
      </c>
      <c r="B3504" s="94" t="str">
        <f t="shared" si="134"/>
        <v>US_HOMEDEPOT_LG</v>
      </c>
      <c r="C3504" s="93" t="s">
        <v>359</v>
      </c>
      <c r="D3504" s="93" t="s">
        <v>750</v>
      </c>
      <c r="E3504" s="93" t="s">
        <v>2326</v>
      </c>
      <c r="F3504" s="93" t="s">
        <v>2328</v>
      </c>
      <c r="G3504" s="93" t="s">
        <v>2328</v>
      </c>
      <c r="H3504" s="93" t="e">
        <v>#N/A</v>
      </c>
      <c r="I3504" s="105" t="s">
        <v>2310</v>
      </c>
      <c r="J3504" s="93" t="s">
        <v>189</v>
      </c>
      <c r="K3504" s="93">
        <v>2398</v>
      </c>
      <c r="L3504" s="93">
        <v>2398</v>
      </c>
      <c r="M3504" s="93" t="s">
        <v>2311</v>
      </c>
      <c r="N3504" s="93" t="e">
        <f>VLOOKUP(B3504,'[16]01.수집 카테고리(List)'!$A$2:$H$64,8,FALSE)</f>
        <v>#N/A</v>
      </c>
      <c r="O3504" s="93"/>
    </row>
    <row r="3505" spans="1:19" hidden="1">
      <c r="A3505" s="75" t="str">
        <f t="shared" si="133"/>
        <v>USHOMEDEPOT_LGRefrigeratorRefrigeradorRefrigerador</v>
      </c>
      <c r="B3505" s="94" t="str">
        <f t="shared" si="134"/>
        <v>US_HOMEDEPOT_LG</v>
      </c>
      <c r="C3505" s="93" t="s">
        <v>359</v>
      </c>
      <c r="D3505" s="93" t="s">
        <v>750</v>
      </c>
      <c r="E3505" s="93" t="s">
        <v>2326</v>
      </c>
      <c r="F3505" s="93" t="s">
        <v>3159</v>
      </c>
      <c r="G3505" s="93" t="s">
        <v>3159</v>
      </c>
      <c r="H3505" s="93" t="e">
        <v>#N/A</v>
      </c>
      <c r="I3505" s="105" t="s">
        <v>2310</v>
      </c>
      <c r="J3505" s="93" t="s">
        <v>189</v>
      </c>
      <c r="K3505" s="93">
        <v>4584</v>
      </c>
      <c r="L3505" s="93">
        <v>4584</v>
      </c>
      <c r="M3505" s="93" t="s">
        <v>2311</v>
      </c>
      <c r="N3505" s="93" t="e">
        <f>VLOOKUP(B3505,'[16]01.수집 카테고리(List)'!$A$2:$H$64,8,FALSE)</f>
        <v>#N/A</v>
      </c>
      <c r="O3505" s="93"/>
    </row>
    <row r="3506" spans="1:19" hidden="1">
      <c r="A3506" s="75" t="str">
        <f t="shared" si="133"/>
        <v>USHOMEDEPOT_LGRefrigeratorrefrigerator congelador inferiorrefrigerator congelador inferior</v>
      </c>
      <c r="B3506" s="94" t="str">
        <f t="shared" si="134"/>
        <v>US_HOMEDEPOT_LG</v>
      </c>
      <c r="C3506" s="93" t="s">
        <v>359</v>
      </c>
      <c r="D3506" s="93" t="s">
        <v>750</v>
      </c>
      <c r="E3506" s="93" t="s">
        <v>2326</v>
      </c>
      <c r="F3506" s="93" t="s">
        <v>3675</v>
      </c>
      <c r="G3506" s="93" t="s">
        <v>3675</v>
      </c>
      <c r="H3506" s="93" t="e">
        <v>#N/A</v>
      </c>
      <c r="I3506" s="105" t="s">
        <v>2310</v>
      </c>
      <c r="J3506" s="93" t="s">
        <v>189</v>
      </c>
      <c r="K3506" s="93">
        <v>1880</v>
      </c>
      <c r="L3506" s="93">
        <v>1880</v>
      </c>
      <c r="M3506" s="93" t="s">
        <v>2311</v>
      </c>
      <c r="N3506" s="93" t="e">
        <f>VLOOKUP(B3506,'[16]01.수집 카테고리(List)'!$A$2:$H$64,8,FALSE)</f>
        <v>#N/A</v>
      </c>
      <c r="O3506" s="93"/>
    </row>
    <row r="3507" spans="1:19" hidden="1">
      <c r="A3507" s="75" t="str">
        <f t="shared" si="133"/>
        <v>USHOMEDEPOT_LGRefrigeratorrefrigerator congelador superiorrefrigerator congelador superior</v>
      </c>
      <c r="B3507" s="94" t="str">
        <f t="shared" si="134"/>
        <v>US_HOMEDEPOT_LG</v>
      </c>
      <c r="C3507" s="93" t="s">
        <v>359</v>
      </c>
      <c r="D3507" s="93" t="s">
        <v>750</v>
      </c>
      <c r="E3507" s="93" t="s">
        <v>2326</v>
      </c>
      <c r="F3507" s="93" t="s">
        <v>3676</v>
      </c>
      <c r="G3507" s="93" t="s">
        <v>3676</v>
      </c>
      <c r="H3507" s="93" t="e">
        <v>#N/A</v>
      </c>
      <c r="I3507" s="105" t="s">
        <v>2310</v>
      </c>
      <c r="J3507" s="93" t="s">
        <v>189</v>
      </c>
      <c r="K3507" s="93">
        <v>2291</v>
      </c>
      <c r="L3507" s="93">
        <v>2291</v>
      </c>
      <c r="M3507" s="93" t="s">
        <v>2311</v>
      </c>
      <c r="N3507" s="93" t="e">
        <f>VLOOKUP(B3507,'[16]01.수집 카테고리(List)'!$A$2:$H$64,8,FALSE)</f>
        <v>#N/A</v>
      </c>
      <c r="O3507" s="93"/>
    </row>
    <row r="3508" spans="1:19" hidden="1">
      <c r="A3508" s="75" t="str">
        <f t="shared" si="133"/>
        <v>USHOMEDEPOT_LGRefrigeratorrefrigerator duplexrefrigerator duplex</v>
      </c>
      <c r="B3508" s="94" t="str">
        <f t="shared" si="134"/>
        <v>US_HOMEDEPOT_LG</v>
      </c>
      <c r="C3508" s="93" t="s">
        <v>359</v>
      </c>
      <c r="D3508" s="93" t="s">
        <v>750</v>
      </c>
      <c r="E3508" s="93" t="s">
        <v>2326</v>
      </c>
      <c r="F3508" s="93" t="s">
        <v>3677</v>
      </c>
      <c r="G3508" s="93" t="s">
        <v>3677</v>
      </c>
      <c r="H3508" s="93" t="e">
        <v>#N/A</v>
      </c>
      <c r="I3508" s="105" t="s">
        <v>2310</v>
      </c>
      <c r="J3508" s="93" t="s">
        <v>189</v>
      </c>
      <c r="K3508" s="93">
        <v>1265</v>
      </c>
      <c r="L3508" s="93">
        <v>1265</v>
      </c>
      <c r="M3508" s="93" t="s">
        <v>2311</v>
      </c>
      <c r="N3508" s="93" t="e">
        <f>VLOOKUP(B3508,'[16]01.수집 카테고리(List)'!$A$2:$H$64,8,FALSE)</f>
        <v>#N/A</v>
      </c>
      <c r="O3508" s="93"/>
    </row>
    <row r="3509" spans="1:19" hidden="1">
      <c r="A3509" s="75" t="str">
        <f t="shared" si="133"/>
        <v>USHOMEDEPOT_LGRefrigeratorside by side refrigeratorside by side refrigerator</v>
      </c>
      <c r="B3509" s="94" t="str">
        <f t="shared" si="134"/>
        <v>US_HOMEDEPOT_LG</v>
      </c>
      <c r="C3509" s="93" t="s">
        <v>359</v>
      </c>
      <c r="D3509" s="93" t="s">
        <v>750</v>
      </c>
      <c r="E3509" s="93" t="s">
        <v>2326</v>
      </c>
      <c r="F3509" s="93" t="s">
        <v>2330</v>
      </c>
      <c r="G3509" s="93" t="s">
        <v>2330</v>
      </c>
      <c r="H3509" s="93" t="e">
        <v>#N/A</v>
      </c>
      <c r="I3509" s="105" t="s">
        <v>2310</v>
      </c>
      <c r="J3509" s="93" t="s">
        <v>189</v>
      </c>
      <c r="K3509" s="93">
        <v>499</v>
      </c>
      <c r="L3509" s="93">
        <v>499</v>
      </c>
      <c r="M3509" s="93" t="s">
        <v>2311</v>
      </c>
      <c r="N3509" s="93" t="e">
        <f>VLOOKUP(B3509,'[16]01.수집 카테고리(List)'!$A$2:$H$64,8,FALSE)</f>
        <v>#N/A</v>
      </c>
      <c r="O3509" s="93"/>
    </row>
    <row r="3510" spans="1:19" hidden="1">
      <c r="A3510" s="75" t="str">
        <f t="shared" si="133"/>
        <v>USHOMEDEPOT_LGRefrigeratortop freezer refrigeratortop freezer refrigerator</v>
      </c>
      <c r="B3510" s="94" t="str">
        <f t="shared" si="134"/>
        <v>US_HOMEDEPOT_LG</v>
      </c>
      <c r="C3510" s="93" t="s">
        <v>359</v>
      </c>
      <c r="D3510" s="93" t="s">
        <v>750</v>
      </c>
      <c r="E3510" s="93" t="s">
        <v>2326</v>
      </c>
      <c r="F3510" s="93" t="s">
        <v>2332</v>
      </c>
      <c r="G3510" s="93" t="s">
        <v>2332</v>
      </c>
      <c r="H3510" s="93" t="e">
        <v>#N/A</v>
      </c>
      <c r="I3510" s="105" t="s">
        <v>2310</v>
      </c>
      <c r="J3510" s="93" t="s">
        <v>189</v>
      </c>
      <c r="K3510" s="93">
        <v>259</v>
      </c>
      <c r="L3510" s="93">
        <v>259</v>
      </c>
      <c r="M3510" s="93" t="s">
        <v>2311</v>
      </c>
      <c r="N3510" s="93" t="e">
        <f>VLOOKUP(B3510,'[16]01.수집 카테고리(List)'!$A$2:$H$64,8,FALSE)</f>
        <v>#N/A</v>
      </c>
      <c r="O3510" s="93"/>
    </row>
    <row r="3511" spans="1:19" hidden="1">
      <c r="A3511" s="75" t="str">
        <f t="shared" si="133"/>
        <v>USHOMEDEPOT_LGStylerlg stylerlg styler</v>
      </c>
      <c r="B3511" s="94" t="str">
        <f t="shared" si="134"/>
        <v>US_HOMEDEPOT_LG</v>
      </c>
      <c r="C3511" s="93" t="s">
        <v>359</v>
      </c>
      <c r="D3511" s="93" t="s">
        <v>750</v>
      </c>
      <c r="E3511" s="93" t="s">
        <v>3281</v>
      </c>
      <c r="F3511" s="93" t="s">
        <v>3383</v>
      </c>
      <c r="G3511" s="93" t="s">
        <v>3383</v>
      </c>
      <c r="H3511" s="93" t="e">
        <v>#N/A</v>
      </c>
      <c r="I3511" s="105" t="s">
        <v>2310</v>
      </c>
      <c r="J3511" s="93" t="s">
        <v>189</v>
      </c>
      <c r="K3511" s="93">
        <v>673</v>
      </c>
      <c r="L3511" s="93">
        <v>673</v>
      </c>
      <c r="M3511" s="93" t="s">
        <v>2311</v>
      </c>
      <c r="N3511" s="93" t="e">
        <f>VLOOKUP(B3511,'[16]01.수집 카테고리(List)'!$A$2:$H$64,8,FALSE)</f>
        <v>#N/A</v>
      </c>
      <c r="O3511" s="93"/>
    </row>
    <row r="3512" spans="1:19" hidden="1">
      <c r="A3512" s="75" t="str">
        <f t="shared" si="133"/>
        <v>USHOMEDEPOT_LGStylerStylerStyler</v>
      </c>
      <c r="B3512" s="94" t="str">
        <f t="shared" si="134"/>
        <v>US_HOMEDEPOT_LG</v>
      </c>
      <c r="C3512" s="93" t="s">
        <v>359</v>
      </c>
      <c r="D3512" s="93" t="s">
        <v>750</v>
      </c>
      <c r="E3512" s="93" t="s">
        <v>3281</v>
      </c>
      <c r="F3512" s="93" t="s">
        <v>3281</v>
      </c>
      <c r="G3512" s="93" t="s">
        <v>3281</v>
      </c>
      <c r="H3512" s="93" t="e">
        <v>#N/A</v>
      </c>
      <c r="I3512" s="105" t="s">
        <v>2310</v>
      </c>
      <c r="J3512" s="93" t="s">
        <v>189</v>
      </c>
      <c r="K3512" s="93">
        <v>1404</v>
      </c>
      <c r="L3512" s="93">
        <v>1404</v>
      </c>
      <c r="M3512" s="93" t="s">
        <v>2311</v>
      </c>
      <c r="N3512" s="93" t="e">
        <f>VLOOKUP(B3512,'[16]01.수집 카테고리(List)'!$A$2:$H$64,8,FALSE)</f>
        <v>#N/A</v>
      </c>
      <c r="O3512" s="93"/>
    </row>
    <row r="3513" spans="1:19" hidden="1">
      <c r="A3513" s="75" t="str">
        <f t="shared" si="133"/>
        <v>USHOMEDEPOT_LGWashing Machinefront load washerCarga frontal</v>
      </c>
      <c r="B3513" s="94" t="str">
        <f t="shared" si="134"/>
        <v>US_HOMEDEPOT_LG</v>
      </c>
      <c r="C3513" s="93" t="s">
        <v>359</v>
      </c>
      <c r="D3513" s="93" t="s">
        <v>750</v>
      </c>
      <c r="E3513" s="93" t="s">
        <v>2333</v>
      </c>
      <c r="F3513" s="93" t="s">
        <v>2335</v>
      </c>
      <c r="G3513" s="93" t="s">
        <v>3691</v>
      </c>
      <c r="H3513" s="93" t="s">
        <v>3680</v>
      </c>
      <c r="I3513" s="105" t="s">
        <v>2310</v>
      </c>
      <c r="J3513" s="93" t="s">
        <v>189</v>
      </c>
      <c r="K3513" s="93">
        <v>1234</v>
      </c>
      <c r="L3513" s="93">
        <v>341</v>
      </c>
      <c r="M3513" s="93" t="s">
        <v>2311</v>
      </c>
      <c r="N3513" s="93" t="e">
        <f>VLOOKUP(B3513,'[16]01.수집 카테고리(List)'!$A$2:$H$64,8,FALSE)</f>
        <v>#N/A</v>
      </c>
      <c r="O3513" s="93"/>
    </row>
    <row r="3514" spans="1:19" hidden="1">
      <c r="A3514" s="75" t="str">
        <f t="shared" si="133"/>
        <v>USHOMEDEPOT_LGWashing Machinerefrigerator congelador superiorcarga superior</v>
      </c>
      <c r="B3514" s="94" t="str">
        <f t="shared" si="134"/>
        <v>US_HOMEDEPOT_LG</v>
      </c>
      <c r="C3514" s="93" t="s">
        <v>359</v>
      </c>
      <c r="D3514" s="93" t="s">
        <v>750</v>
      </c>
      <c r="E3514" s="93" t="s">
        <v>2333</v>
      </c>
      <c r="F3514" s="93" t="s">
        <v>3676</v>
      </c>
      <c r="G3514" s="93" t="s">
        <v>3681</v>
      </c>
      <c r="H3514" s="93" t="s">
        <v>3680</v>
      </c>
      <c r="I3514" s="105" t="s">
        <v>2310</v>
      </c>
      <c r="J3514" s="93" t="s">
        <v>189</v>
      </c>
      <c r="K3514" s="93">
        <v>1230</v>
      </c>
      <c r="L3514" s="93">
        <v>2291</v>
      </c>
      <c r="M3514" s="93" t="s">
        <v>2311</v>
      </c>
      <c r="N3514" s="93" t="e">
        <f>VLOOKUP(B3514,'[16]01.수집 카테고리(List)'!$A$2:$H$64,8,FALSE)</f>
        <v>#N/A</v>
      </c>
      <c r="O3514" s="93"/>
    </row>
    <row r="3515" spans="1:19" hidden="1">
      <c r="A3515" s="75" t="str">
        <f t="shared" si="133"/>
        <v>USHOMEDEPOT_LGWashing Machinefront load washerfront load washer</v>
      </c>
      <c r="B3515" s="94" t="str">
        <f t="shared" si="134"/>
        <v>US_HOMEDEPOT_LG</v>
      </c>
      <c r="C3515" s="93" t="s">
        <v>359</v>
      </c>
      <c r="D3515" s="93" t="s">
        <v>750</v>
      </c>
      <c r="E3515" s="93" t="s">
        <v>2333</v>
      </c>
      <c r="F3515" s="93" t="s">
        <v>2335</v>
      </c>
      <c r="G3515" s="93" t="s">
        <v>2335</v>
      </c>
      <c r="H3515" s="93" t="e">
        <v>#N/A</v>
      </c>
      <c r="I3515" s="105" t="s">
        <v>2310</v>
      </c>
      <c r="J3515" s="93" t="s">
        <v>189</v>
      </c>
      <c r="K3515" s="93">
        <v>341</v>
      </c>
      <c r="L3515" s="93">
        <v>341</v>
      </c>
      <c r="M3515" s="93" t="s">
        <v>2311</v>
      </c>
      <c r="N3515" s="93" t="e">
        <f>VLOOKUP(B3515,'[16]01.수집 카테고리(List)'!$A$2:$H$64,8,FALSE)</f>
        <v>#N/A</v>
      </c>
      <c r="O3515" s="93"/>
    </row>
    <row r="3516" spans="1:19" hidden="1">
      <c r="A3516" s="75" t="str">
        <f t="shared" si="133"/>
        <v>USHOMEDEPOT_LGWashing Machinewashing machinelavadora</v>
      </c>
      <c r="B3516" s="94" t="str">
        <f t="shared" si="134"/>
        <v>US_HOMEDEPOT_LG</v>
      </c>
      <c r="C3516" s="93" t="s">
        <v>359</v>
      </c>
      <c r="D3516" s="93" t="s">
        <v>750</v>
      </c>
      <c r="E3516" s="93" t="s">
        <v>2333</v>
      </c>
      <c r="F3516" s="93" t="s">
        <v>2340</v>
      </c>
      <c r="G3516" s="93" t="s">
        <v>2753</v>
      </c>
      <c r="H3516" s="93" t="s">
        <v>3680</v>
      </c>
      <c r="I3516" s="105" t="s">
        <v>2310</v>
      </c>
      <c r="J3516" s="93" t="s">
        <v>189</v>
      </c>
      <c r="K3516" s="93">
        <v>627</v>
      </c>
      <c r="L3516" s="93">
        <v>710</v>
      </c>
      <c r="M3516" s="93" t="s">
        <v>2311</v>
      </c>
      <c r="N3516" s="93" t="e">
        <f>VLOOKUP(B3516,'[16]01.수집 카테고리(List)'!$A$2:$H$64,8,FALSE)</f>
        <v>#N/A</v>
      </c>
      <c r="O3516" s="93"/>
    </row>
    <row r="3517" spans="1:19" hidden="1">
      <c r="A3517" s="75" t="str">
        <f t="shared" si="133"/>
        <v>USHOMEDEPOT_LGWashing Machinewasher dryerlavasecadora</v>
      </c>
      <c r="B3517" s="94" t="str">
        <f t="shared" si="134"/>
        <v>US_HOMEDEPOT_LG</v>
      </c>
      <c r="C3517" s="93" t="s">
        <v>359</v>
      </c>
      <c r="D3517" s="93" t="s">
        <v>750</v>
      </c>
      <c r="E3517" s="93" t="s">
        <v>2333</v>
      </c>
      <c r="F3517" s="93" t="s">
        <v>2339</v>
      </c>
      <c r="G3517" s="93" t="s">
        <v>2791</v>
      </c>
      <c r="H3517" s="93" t="s">
        <v>3680</v>
      </c>
      <c r="I3517" s="105" t="s">
        <v>2310</v>
      </c>
      <c r="J3517" s="93" t="s">
        <v>189</v>
      </c>
      <c r="K3517" s="93">
        <v>1479</v>
      </c>
      <c r="L3517" s="93" t="e">
        <v>#N/A</v>
      </c>
      <c r="M3517" s="93" t="s">
        <v>2311</v>
      </c>
      <c r="N3517" s="93" t="e">
        <f>VLOOKUP(B3517,'[16]01.수집 카테고리(List)'!$A$2:$H$64,8,FALSE)</f>
        <v>#N/A</v>
      </c>
      <c r="O3517" s="93"/>
    </row>
    <row r="3518" spans="1:19" hidden="1">
      <c r="A3518" s="75" t="str">
        <f t="shared" si="133"/>
        <v>USHOMEDEPOT_LGWashing Machinetop load washertop load washer</v>
      </c>
      <c r="B3518" s="94" t="str">
        <f t="shared" si="134"/>
        <v>US_HOMEDEPOT_LG</v>
      </c>
      <c r="C3518" s="93" t="s">
        <v>359</v>
      </c>
      <c r="D3518" s="93" t="s">
        <v>750</v>
      </c>
      <c r="E3518" s="93" t="s">
        <v>2333</v>
      </c>
      <c r="F3518" s="93" t="s">
        <v>2337</v>
      </c>
      <c r="G3518" s="93" t="s">
        <v>2337</v>
      </c>
      <c r="H3518" s="93" t="e">
        <v>#N/A</v>
      </c>
      <c r="I3518" s="105" t="s">
        <v>2310</v>
      </c>
      <c r="J3518" s="93" t="s">
        <v>189</v>
      </c>
      <c r="K3518" s="93">
        <v>236</v>
      </c>
      <c r="L3518" s="93">
        <v>236</v>
      </c>
      <c r="M3518" s="93" t="s">
        <v>2311</v>
      </c>
      <c r="N3518" s="93" t="e">
        <f>VLOOKUP(B3518,'[16]01.수집 카테고리(List)'!$A$2:$H$64,8,FALSE)</f>
        <v>#N/A</v>
      </c>
      <c r="O3518" s="93"/>
      <c r="P3518" s="69"/>
      <c r="Q3518" s="207"/>
      <c r="R3518" s="207"/>
      <c r="S3518" s="207"/>
    </row>
    <row r="3519" spans="1:19" hidden="1">
      <c r="A3519" s="75" t="str">
        <f t="shared" si="133"/>
        <v>USHOMEDEPOT_LGWashing Machinewasher dryer combowasher dryer combo</v>
      </c>
      <c r="B3519" s="94" t="str">
        <f t="shared" si="134"/>
        <v>US_HOMEDEPOT_LG</v>
      </c>
      <c r="C3519" s="93" t="s">
        <v>359</v>
      </c>
      <c r="D3519" s="93" t="s">
        <v>750</v>
      </c>
      <c r="E3519" s="93" t="s">
        <v>2333</v>
      </c>
      <c r="F3519" s="93" t="s">
        <v>2338</v>
      </c>
      <c r="G3519" s="93" t="s">
        <v>2338</v>
      </c>
      <c r="H3519" s="93" t="e">
        <v>#N/A</v>
      </c>
      <c r="I3519" s="105" t="s">
        <v>2310</v>
      </c>
      <c r="J3519" s="93" t="s">
        <v>189</v>
      </c>
      <c r="K3519" s="93">
        <v>2127</v>
      </c>
      <c r="L3519" s="93">
        <v>2127</v>
      </c>
      <c r="M3519" s="93" t="s">
        <v>2311</v>
      </c>
      <c r="N3519" s="93" t="e">
        <f>VLOOKUP(B3519,'[16]01.수집 카테고리(List)'!$A$2:$H$64,8,FALSE)</f>
        <v>#N/A</v>
      </c>
      <c r="O3519" s="93"/>
      <c r="P3519" s="69"/>
      <c r="Q3519" s="207"/>
      <c r="R3519" s="207"/>
      <c r="S3519" s="207"/>
    </row>
    <row r="3520" spans="1:19" hidden="1">
      <c r="A3520" s="75" t="str">
        <f t="shared" si="133"/>
        <v>USHOMEDEPOT_LGWashing Machinewashing machinewashing machine</v>
      </c>
      <c r="B3520" s="94" t="str">
        <f t="shared" si="134"/>
        <v>US_HOMEDEPOT_LG</v>
      </c>
      <c r="C3520" s="93" t="s">
        <v>359</v>
      </c>
      <c r="D3520" s="93" t="s">
        <v>750</v>
      </c>
      <c r="E3520" s="93" t="s">
        <v>2333</v>
      </c>
      <c r="F3520" s="93" t="s">
        <v>2340</v>
      </c>
      <c r="G3520" s="93" t="s">
        <v>2340</v>
      </c>
      <c r="H3520" s="93" t="e">
        <v>#N/A</v>
      </c>
      <c r="I3520" s="105" t="s">
        <v>2310</v>
      </c>
      <c r="J3520" s="93" t="s">
        <v>189</v>
      </c>
      <c r="K3520" s="93">
        <v>710</v>
      </c>
      <c r="L3520" s="93">
        <v>710</v>
      </c>
      <c r="M3520" s="93" t="s">
        <v>2311</v>
      </c>
      <c r="N3520" s="93" t="e">
        <f>VLOOKUP(B3520,'[16]01.수집 카테고리(List)'!$A$2:$H$64,8,FALSE)</f>
        <v>#N/A</v>
      </c>
      <c r="O3520" s="93"/>
      <c r="P3520" s="69"/>
      <c r="Q3520" s="207"/>
      <c r="R3520" s="207"/>
      <c r="S3520" s="207"/>
    </row>
    <row r="3521" spans="1:20" s="214" customFormat="1" hidden="1">
      <c r="A3521" s="208" t="str">
        <f t="shared" si="133"/>
        <v>USHOMEDEPOT_LGTV4k TV4k TV</v>
      </c>
      <c r="B3521" s="209" t="str">
        <f t="shared" ref="B3521:B3545" si="135">C3521&amp;"_"&amp;D3521</f>
        <v>US_HOMEDEPOT_LG</v>
      </c>
      <c r="C3521" s="210" t="s">
        <v>359</v>
      </c>
      <c r="D3521" s="210" t="s">
        <v>750</v>
      </c>
      <c r="E3521" s="210" t="s">
        <v>161</v>
      </c>
      <c r="F3521" s="210" t="s">
        <v>2368</v>
      </c>
      <c r="G3521" s="210" t="s">
        <v>2368</v>
      </c>
      <c r="H3521" s="210" t="e">
        <v>#N/A</v>
      </c>
      <c r="I3521" s="211" t="s">
        <v>2310</v>
      </c>
      <c r="J3521" s="210" t="s">
        <v>189</v>
      </c>
      <c r="K3521" s="210"/>
      <c r="L3521" s="210"/>
      <c r="M3521" s="212"/>
      <c r="N3521" s="212"/>
      <c r="O3521" s="213"/>
      <c r="Q3521" s="215"/>
      <c r="R3521" s="215"/>
      <c r="S3521" s="215"/>
      <c r="T3521" s="215"/>
    </row>
    <row r="3522" spans="1:20" s="214" customFormat="1" hidden="1">
      <c r="A3522" s="208" t="str">
        <f t="shared" si="133"/>
        <v>USHOMEDEPOT_LGTVoled TVoled TV</v>
      </c>
      <c r="B3522" s="209" t="str">
        <f t="shared" si="135"/>
        <v>US_HOMEDEPOT_LG</v>
      </c>
      <c r="C3522" s="210" t="s">
        <v>359</v>
      </c>
      <c r="D3522" s="210" t="s">
        <v>750</v>
      </c>
      <c r="E3522" s="210" t="s">
        <v>161</v>
      </c>
      <c r="F3522" s="210" t="s">
        <v>2369</v>
      </c>
      <c r="G3522" s="210" t="s">
        <v>2369</v>
      </c>
      <c r="H3522" s="210" t="e">
        <v>#N/A</v>
      </c>
      <c r="I3522" s="211" t="s">
        <v>2310</v>
      </c>
      <c r="J3522" s="210" t="s">
        <v>189</v>
      </c>
      <c r="K3522" s="210"/>
      <c r="L3522" s="210"/>
      <c r="M3522" s="212"/>
      <c r="N3522" s="212"/>
      <c r="O3522" s="213"/>
      <c r="Q3522" s="215"/>
      <c r="R3522" s="215"/>
      <c r="S3522" s="215"/>
      <c r="T3522" s="215"/>
    </row>
    <row r="3523" spans="1:20" s="214" customFormat="1" hidden="1">
      <c r="A3523" s="208" t="str">
        <f t="shared" si="133"/>
        <v>USHOMEDEPOT_LGTVsmart TVsmart TV</v>
      </c>
      <c r="B3523" s="209" t="str">
        <f t="shared" si="135"/>
        <v>US_HOMEDEPOT_LG</v>
      </c>
      <c r="C3523" s="210" t="s">
        <v>359</v>
      </c>
      <c r="D3523" s="210" t="s">
        <v>750</v>
      </c>
      <c r="E3523" s="210" t="s">
        <v>161</v>
      </c>
      <c r="F3523" s="210" t="s">
        <v>2371</v>
      </c>
      <c r="G3523" s="210" t="s">
        <v>2371</v>
      </c>
      <c r="H3523" s="210" t="e">
        <v>#N/A</v>
      </c>
      <c r="I3523" s="211" t="s">
        <v>2310</v>
      </c>
      <c r="J3523" s="210" t="s">
        <v>189</v>
      </c>
      <c r="K3523" s="210"/>
      <c r="L3523" s="210"/>
      <c r="M3523" s="212"/>
      <c r="N3523" s="212"/>
      <c r="O3523" s="213"/>
      <c r="Q3523" s="215"/>
      <c r="R3523" s="215"/>
      <c r="S3523" s="215"/>
      <c r="T3523" s="215"/>
    </row>
    <row r="3524" spans="1:20" s="214" customFormat="1" hidden="1">
      <c r="A3524" s="208" t="str">
        <f t="shared" si="133"/>
        <v>USHOMEDEPOT_LGTVTVTV</v>
      </c>
      <c r="B3524" s="209" t="str">
        <f t="shared" si="135"/>
        <v>US_HOMEDEPOT_LG</v>
      </c>
      <c r="C3524" s="210" t="s">
        <v>359</v>
      </c>
      <c r="D3524" s="210" t="s">
        <v>750</v>
      </c>
      <c r="E3524" s="210" t="s">
        <v>161</v>
      </c>
      <c r="F3524" s="210" t="s">
        <v>161</v>
      </c>
      <c r="G3524" s="210" t="s">
        <v>161</v>
      </c>
      <c r="H3524" s="210" t="e">
        <v>#N/A</v>
      </c>
      <c r="I3524" s="211" t="s">
        <v>2310</v>
      </c>
      <c r="J3524" s="210" t="s">
        <v>189</v>
      </c>
      <c r="K3524" s="210"/>
      <c r="L3524" s="210"/>
      <c r="M3524" s="212"/>
      <c r="N3524" s="212"/>
      <c r="O3524" s="213"/>
      <c r="Q3524" s="215"/>
      <c r="R3524" s="215"/>
      <c r="S3524" s="215"/>
      <c r="T3524" s="215"/>
    </row>
    <row r="3525" spans="1:20" s="214" customFormat="1" hidden="1">
      <c r="A3525" s="208" t="str">
        <f t="shared" si="133"/>
        <v>USHOMEDEPOT_LGTVuhd TVuhd TV</v>
      </c>
      <c r="B3525" s="209" t="str">
        <f t="shared" si="135"/>
        <v>US_HOMEDEPOT_LG</v>
      </c>
      <c r="C3525" s="210" t="s">
        <v>359</v>
      </c>
      <c r="D3525" s="210" t="s">
        <v>750</v>
      </c>
      <c r="E3525" s="210" t="s">
        <v>161</v>
      </c>
      <c r="F3525" s="210" t="s">
        <v>2399</v>
      </c>
      <c r="G3525" s="210" t="s">
        <v>2399</v>
      </c>
      <c r="H3525" s="210" t="e">
        <v>#N/A</v>
      </c>
      <c r="I3525" s="211" t="s">
        <v>2310</v>
      </c>
      <c r="J3525" s="210" t="s">
        <v>189</v>
      </c>
      <c r="K3525" s="210"/>
      <c r="L3525" s="210"/>
      <c r="M3525" s="212"/>
      <c r="N3525" s="212"/>
      <c r="O3525" s="213"/>
      <c r="Q3525" s="215"/>
      <c r="R3525" s="215"/>
      <c r="S3525" s="215"/>
      <c r="T3525" s="215"/>
    </row>
    <row r="3526" spans="1:20" s="214" customFormat="1" hidden="1">
      <c r="A3526" s="208" t="str">
        <f t="shared" si="133"/>
        <v>USHOMEDEPOT_LGMonitor4k monitor4k monitor</v>
      </c>
      <c r="B3526" s="209" t="str">
        <f t="shared" si="135"/>
        <v>US_HOMEDEPOT_LG</v>
      </c>
      <c r="C3526" s="210" t="s">
        <v>359</v>
      </c>
      <c r="D3526" s="210" t="s">
        <v>750</v>
      </c>
      <c r="E3526" s="210" t="s">
        <v>2320</v>
      </c>
      <c r="F3526" s="210" t="s">
        <v>2321</v>
      </c>
      <c r="G3526" s="210" t="s">
        <v>2321</v>
      </c>
      <c r="H3526" s="210" t="e">
        <v>#N/A</v>
      </c>
      <c r="I3526" s="211" t="s">
        <v>2310</v>
      </c>
      <c r="J3526" s="210" t="s">
        <v>189</v>
      </c>
      <c r="K3526" s="210"/>
      <c r="L3526" s="210"/>
      <c r="M3526" s="212"/>
      <c r="N3526" s="212"/>
      <c r="O3526" s="213"/>
      <c r="Q3526" s="215"/>
      <c r="R3526" s="215"/>
      <c r="S3526" s="215"/>
      <c r="T3526" s="215"/>
    </row>
    <row r="3527" spans="1:20" s="214" customFormat="1" hidden="1">
      <c r="A3527" s="208" t="str">
        <f t="shared" si="133"/>
        <v>USHOMEDEPOT_LGMonitorgaming monitorgaming monitor</v>
      </c>
      <c r="B3527" s="209" t="str">
        <f t="shared" si="135"/>
        <v>US_HOMEDEPOT_LG</v>
      </c>
      <c r="C3527" s="210" t="s">
        <v>359</v>
      </c>
      <c r="D3527" s="210" t="s">
        <v>750</v>
      </c>
      <c r="E3527" s="210" t="s">
        <v>2320</v>
      </c>
      <c r="F3527" s="210" t="s">
        <v>2322</v>
      </c>
      <c r="G3527" s="210" t="s">
        <v>2322</v>
      </c>
      <c r="H3527" s="210" t="e">
        <v>#N/A</v>
      </c>
      <c r="I3527" s="211" t="s">
        <v>2310</v>
      </c>
      <c r="J3527" s="210" t="s">
        <v>189</v>
      </c>
      <c r="K3527" s="210"/>
      <c r="L3527" s="210"/>
      <c r="M3527" s="212"/>
      <c r="N3527" s="212"/>
      <c r="O3527" s="213"/>
      <c r="Q3527" s="215"/>
      <c r="R3527" s="215"/>
      <c r="S3527" s="215"/>
      <c r="T3527" s="215"/>
    </row>
    <row r="3528" spans="1:20" s="214" customFormat="1" hidden="1">
      <c r="A3528" s="208" t="str">
        <f t="shared" si="133"/>
        <v>USHOMEDEPOT_LGMonitormonitormonitor</v>
      </c>
      <c r="B3528" s="209" t="str">
        <f t="shared" si="135"/>
        <v>US_HOMEDEPOT_LG</v>
      </c>
      <c r="C3528" s="210" t="s">
        <v>359</v>
      </c>
      <c r="D3528" s="210" t="s">
        <v>750</v>
      </c>
      <c r="E3528" s="210" t="s">
        <v>2320</v>
      </c>
      <c r="F3528" s="210" t="s">
        <v>2323</v>
      </c>
      <c r="G3528" s="210" t="s">
        <v>2323</v>
      </c>
      <c r="H3528" s="210" t="e">
        <v>#N/A</v>
      </c>
      <c r="I3528" s="211" t="s">
        <v>2310</v>
      </c>
      <c r="J3528" s="210" t="s">
        <v>189</v>
      </c>
      <c r="K3528" s="210"/>
      <c r="L3528" s="210"/>
      <c r="M3528" s="212"/>
      <c r="N3528" s="212"/>
      <c r="O3528" s="213"/>
      <c r="Q3528" s="215"/>
      <c r="R3528" s="215"/>
      <c r="S3528" s="215"/>
      <c r="T3528" s="215"/>
    </row>
    <row r="3529" spans="1:20" s="214" customFormat="1" hidden="1">
      <c r="A3529" s="208" t="str">
        <f t="shared" si="133"/>
        <v>USHOMEDEPOT_LGMonitoruhd monitoruhd monitor</v>
      </c>
      <c r="B3529" s="209" t="str">
        <f t="shared" si="135"/>
        <v>US_HOMEDEPOT_LG</v>
      </c>
      <c r="C3529" s="210" t="s">
        <v>359</v>
      </c>
      <c r="D3529" s="210" t="s">
        <v>750</v>
      </c>
      <c r="E3529" s="210" t="s">
        <v>2320</v>
      </c>
      <c r="F3529" s="210" t="s">
        <v>2324</v>
      </c>
      <c r="G3529" s="210" t="s">
        <v>2324</v>
      </c>
      <c r="H3529" s="210" t="e">
        <v>#N/A</v>
      </c>
      <c r="I3529" s="211" t="s">
        <v>2310</v>
      </c>
      <c r="J3529" s="210" t="s">
        <v>189</v>
      </c>
      <c r="K3529" s="210"/>
      <c r="L3529" s="210"/>
      <c r="M3529" s="212"/>
      <c r="N3529" s="212"/>
      <c r="O3529" s="213"/>
      <c r="Q3529" s="215"/>
      <c r="R3529" s="215"/>
      <c r="S3529" s="215"/>
      <c r="T3529" s="215"/>
    </row>
    <row r="3530" spans="1:20" s="214" customFormat="1" hidden="1">
      <c r="A3530" s="208" t="str">
        <f t="shared" si="133"/>
        <v>USHOMEDEPOT_LGMonitorultrawide monitorultrawide monitor</v>
      </c>
      <c r="B3530" s="209" t="str">
        <f t="shared" si="135"/>
        <v>US_HOMEDEPOT_LG</v>
      </c>
      <c r="C3530" s="210" t="s">
        <v>359</v>
      </c>
      <c r="D3530" s="210" t="s">
        <v>750</v>
      </c>
      <c r="E3530" s="210" t="s">
        <v>2320</v>
      </c>
      <c r="F3530" s="210" t="s">
        <v>2325</v>
      </c>
      <c r="G3530" s="210" t="s">
        <v>2325</v>
      </c>
      <c r="H3530" s="210" t="e">
        <v>#N/A</v>
      </c>
      <c r="I3530" s="211" t="s">
        <v>2310</v>
      </c>
      <c r="J3530" s="210" t="s">
        <v>189</v>
      </c>
      <c r="K3530" s="210"/>
      <c r="L3530" s="210"/>
      <c r="M3530" s="212"/>
      <c r="N3530" s="212"/>
      <c r="O3530" s="213"/>
      <c r="Q3530" s="215"/>
      <c r="R3530" s="215"/>
      <c r="S3530" s="215"/>
      <c r="T3530" s="215"/>
    </row>
    <row r="3531" spans="1:20" s="214" customFormat="1" hidden="1">
      <c r="A3531" s="208" t="str">
        <f t="shared" si="133"/>
        <v>USHOMEDEPOT_LGBluetooth Speakerbluetooth speakerbluetooth speaker</v>
      </c>
      <c r="B3531" s="209" t="str">
        <f t="shared" si="135"/>
        <v>US_HOMEDEPOT_LG</v>
      </c>
      <c r="C3531" s="210" t="s">
        <v>359</v>
      </c>
      <c r="D3531" s="210" t="s">
        <v>750</v>
      </c>
      <c r="E3531" s="210" t="s">
        <v>2470</v>
      </c>
      <c r="F3531" s="210" t="s">
        <v>2657</v>
      </c>
      <c r="G3531" s="210" t="s">
        <v>2657</v>
      </c>
      <c r="H3531" s="210" t="e">
        <v>#N/A</v>
      </c>
      <c r="I3531" s="211" t="s">
        <v>2310</v>
      </c>
      <c r="J3531" s="210" t="s">
        <v>189</v>
      </c>
      <c r="K3531" s="210"/>
      <c r="L3531" s="210"/>
      <c r="M3531" s="212"/>
      <c r="N3531" s="212"/>
      <c r="O3531" s="213"/>
      <c r="Q3531" s="215"/>
      <c r="R3531" s="215"/>
      <c r="S3531" s="215"/>
      <c r="T3531" s="215"/>
    </row>
    <row r="3532" spans="1:20" s="214" customFormat="1" hidden="1">
      <c r="A3532" s="208" t="str">
        <f t="shared" si="133"/>
        <v>USHOMEDEPOT_LGBluetooth Speakerbluetooth speaker portablebluetooth speaker portable</v>
      </c>
      <c r="B3532" s="209" t="str">
        <f t="shared" si="135"/>
        <v>US_HOMEDEPOT_LG</v>
      </c>
      <c r="C3532" s="210" t="s">
        <v>359</v>
      </c>
      <c r="D3532" s="210" t="s">
        <v>750</v>
      </c>
      <c r="E3532" s="210" t="s">
        <v>2470</v>
      </c>
      <c r="F3532" s="210" t="s">
        <v>2479</v>
      </c>
      <c r="G3532" s="210" t="s">
        <v>2479</v>
      </c>
      <c r="H3532" s="210" t="e">
        <v>#N/A</v>
      </c>
      <c r="I3532" s="211" t="s">
        <v>2310</v>
      </c>
      <c r="J3532" s="210" t="s">
        <v>189</v>
      </c>
      <c r="K3532" s="210"/>
      <c r="L3532" s="210"/>
      <c r="M3532" s="212"/>
      <c r="N3532" s="212"/>
      <c r="O3532" s="213"/>
      <c r="Q3532" s="215"/>
      <c r="R3532" s="215"/>
      <c r="S3532" s="215"/>
      <c r="T3532" s="215"/>
    </row>
    <row r="3533" spans="1:20" s="214" customFormat="1" hidden="1">
      <c r="A3533" s="208" t="str">
        <f t="shared" si="133"/>
        <v>USHOMEDEPOT_LGBluetooth Speakerwireless portable speakersPortable bluetooth speakers</v>
      </c>
      <c r="B3533" s="209" t="str">
        <f t="shared" si="135"/>
        <v>US_HOMEDEPOT_LG</v>
      </c>
      <c r="C3533" s="210" t="s">
        <v>359</v>
      </c>
      <c r="D3533" s="210" t="s">
        <v>750</v>
      </c>
      <c r="E3533" s="210" t="s">
        <v>2470</v>
      </c>
      <c r="F3533" s="210" t="s">
        <v>2475</v>
      </c>
      <c r="G3533" s="210" t="s">
        <v>2426</v>
      </c>
      <c r="H3533" s="210" t="e">
        <v>#N/A</v>
      </c>
      <c r="I3533" s="211" t="s">
        <v>2310</v>
      </c>
      <c r="J3533" s="210" t="s">
        <v>189</v>
      </c>
      <c r="K3533" s="210"/>
      <c r="L3533" s="210"/>
      <c r="M3533" s="212"/>
      <c r="N3533" s="212"/>
      <c r="O3533" s="213"/>
      <c r="Q3533" s="215"/>
      <c r="R3533" s="215"/>
      <c r="S3533" s="215"/>
      <c r="T3533" s="215"/>
    </row>
    <row r="3534" spans="1:20" s="214" customFormat="1" hidden="1">
      <c r="A3534" s="208" t="str">
        <f t="shared" si="133"/>
        <v>USHOMEDEPOT_LGBluetooth Speakerportable speakersportable speakers</v>
      </c>
      <c r="B3534" s="209" t="str">
        <f t="shared" si="135"/>
        <v>US_HOMEDEPOT_LG</v>
      </c>
      <c r="C3534" s="210" t="s">
        <v>359</v>
      </c>
      <c r="D3534" s="210" t="s">
        <v>750</v>
      </c>
      <c r="E3534" s="210" t="s">
        <v>2470</v>
      </c>
      <c r="F3534" s="210" t="s">
        <v>2473</v>
      </c>
      <c r="G3534" s="210" t="s">
        <v>2473</v>
      </c>
      <c r="H3534" s="210" t="e">
        <v>#N/A</v>
      </c>
      <c r="I3534" s="211" t="s">
        <v>2310</v>
      </c>
      <c r="J3534" s="210" t="s">
        <v>189</v>
      </c>
      <c r="K3534" s="210"/>
      <c r="L3534" s="210"/>
      <c r="M3534" s="212"/>
      <c r="N3534" s="212"/>
      <c r="O3534" s="213"/>
      <c r="Q3534" s="215"/>
      <c r="R3534" s="215"/>
      <c r="S3534" s="215"/>
      <c r="T3534" s="215"/>
    </row>
    <row r="3535" spans="1:20" s="214" customFormat="1" hidden="1">
      <c r="A3535" s="208" t="str">
        <f t="shared" si="133"/>
        <v>USHOMEDEPOT_LGBluetooth Speakerspeakersspeakers</v>
      </c>
      <c r="B3535" s="209" t="str">
        <f t="shared" si="135"/>
        <v>US_HOMEDEPOT_LG</v>
      </c>
      <c r="C3535" s="210" t="s">
        <v>359</v>
      </c>
      <c r="D3535" s="210" t="s">
        <v>750</v>
      </c>
      <c r="E3535" s="210" t="s">
        <v>2470</v>
      </c>
      <c r="F3535" s="210" t="s">
        <v>2471</v>
      </c>
      <c r="G3535" s="210" t="s">
        <v>2471</v>
      </c>
      <c r="H3535" s="210" t="e">
        <v>#N/A</v>
      </c>
      <c r="I3535" s="211" t="s">
        <v>2310</v>
      </c>
      <c r="J3535" s="210" t="s">
        <v>189</v>
      </c>
      <c r="K3535" s="210"/>
      <c r="L3535" s="210"/>
      <c r="M3535" s="212"/>
      <c r="N3535" s="212"/>
      <c r="O3535" s="213"/>
      <c r="Q3535" s="215"/>
      <c r="R3535" s="215"/>
      <c r="S3535" s="215"/>
      <c r="T3535" s="215"/>
    </row>
    <row r="3536" spans="1:20" s="214" customFormat="1" hidden="1">
      <c r="A3536" s="208" t="str">
        <f t="shared" si="133"/>
        <v>USHOMEDEPOT_LGSoundbarsound barsound bar</v>
      </c>
      <c r="B3536" s="209" t="str">
        <f t="shared" si="135"/>
        <v>US_HOMEDEPOT_LG</v>
      </c>
      <c r="C3536" s="210" t="s">
        <v>359</v>
      </c>
      <c r="D3536" s="210" t="s">
        <v>750</v>
      </c>
      <c r="E3536" s="210" t="s">
        <v>2363</v>
      </c>
      <c r="F3536" s="210" t="s">
        <v>2529</v>
      </c>
      <c r="G3536" s="210" t="s">
        <v>2529</v>
      </c>
      <c r="H3536" s="210" t="e">
        <v>#N/A</v>
      </c>
      <c r="I3536" s="211" t="s">
        <v>2310</v>
      </c>
      <c r="J3536" s="210" t="s">
        <v>189</v>
      </c>
      <c r="K3536" s="210"/>
      <c r="L3536" s="210"/>
      <c r="M3536" s="212"/>
      <c r="N3536" s="212"/>
      <c r="O3536" s="213"/>
      <c r="Q3536" s="215"/>
      <c r="R3536" s="215"/>
      <c r="S3536" s="215"/>
      <c r="T3536" s="215"/>
    </row>
    <row r="3537" spans="1:20" s="214" customFormat="1" hidden="1">
      <c r="A3537" s="208" t="str">
        <f t="shared" si="133"/>
        <v>USHOMEDEPOT_LGSoundbaraudioSoundbar</v>
      </c>
      <c r="B3537" s="209" t="str">
        <f t="shared" si="135"/>
        <v>US_HOMEDEPOT_LG</v>
      </c>
      <c r="C3537" s="210" t="s">
        <v>359</v>
      </c>
      <c r="D3537" s="210" t="s">
        <v>750</v>
      </c>
      <c r="E3537" s="210" t="s">
        <v>2363</v>
      </c>
      <c r="F3537" s="210" t="s">
        <v>2528</v>
      </c>
      <c r="G3537" s="210" t="s">
        <v>2363</v>
      </c>
      <c r="H3537" s="210" t="e">
        <v>#N/A</v>
      </c>
      <c r="I3537" s="211" t="s">
        <v>2310</v>
      </c>
      <c r="J3537" s="210" t="s">
        <v>189</v>
      </c>
      <c r="K3537" s="210"/>
      <c r="L3537" s="210"/>
      <c r="M3537" s="212"/>
      <c r="N3537" s="212"/>
      <c r="O3537" s="213"/>
      <c r="Q3537" s="215"/>
      <c r="R3537" s="215"/>
      <c r="S3537" s="215"/>
      <c r="T3537" s="215"/>
    </row>
    <row r="3538" spans="1:20" s="214" customFormat="1" hidden="1">
      <c r="A3538" s="208" t="str">
        <f t="shared" si="133"/>
        <v>USHOMEDEPOT_LGSoundbarsoundbarssoundbars</v>
      </c>
      <c r="B3538" s="209" t="str">
        <f t="shared" si="135"/>
        <v>US_HOMEDEPOT_LG</v>
      </c>
      <c r="C3538" s="210" t="s">
        <v>359</v>
      </c>
      <c r="D3538" s="210" t="s">
        <v>750</v>
      </c>
      <c r="E3538" s="210" t="s">
        <v>2363</v>
      </c>
      <c r="F3538" s="210" t="s">
        <v>2531</v>
      </c>
      <c r="G3538" s="210" t="s">
        <v>2531</v>
      </c>
      <c r="H3538" s="210" t="e">
        <v>#N/A</v>
      </c>
      <c r="I3538" s="211" t="s">
        <v>2310</v>
      </c>
      <c r="J3538" s="210" t="s">
        <v>189</v>
      </c>
      <c r="K3538" s="210"/>
      <c r="L3538" s="210"/>
      <c r="M3538" s="212"/>
      <c r="N3538" s="212"/>
      <c r="O3538" s="213"/>
      <c r="Q3538" s="215"/>
      <c r="R3538" s="215"/>
      <c r="S3538" s="215"/>
      <c r="T3538" s="215"/>
    </row>
    <row r="3539" spans="1:20" s="214" customFormat="1" hidden="1">
      <c r="A3539" s="208" t="str">
        <f t="shared" si="133"/>
        <v>USHOMEDEPOT_LGSoundbarsound systemSoundbars for tv</v>
      </c>
      <c r="B3539" s="209" t="str">
        <f t="shared" si="135"/>
        <v>US_HOMEDEPOT_LG</v>
      </c>
      <c r="C3539" s="210" t="s">
        <v>359</v>
      </c>
      <c r="D3539" s="210" t="s">
        <v>750</v>
      </c>
      <c r="E3539" s="210" t="s">
        <v>2363</v>
      </c>
      <c r="F3539" s="210" t="s">
        <v>2530</v>
      </c>
      <c r="G3539" s="210" t="s">
        <v>3692</v>
      </c>
      <c r="H3539" s="210" t="e">
        <v>#N/A</v>
      </c>
      <c r="I3539" s="211" t="s">
        <v>2310</v>
      </c>
      <c r="J3539" s="210" t="s">
        <v>189</v>
      </c>
      <c r="K3539" s="210"/>
      <c r="L3539" s="210"/>
      <c r="M3539" s="212"/>
      <c r="N3539" s="212"/>
      <c r="O3539" s="213"/>
      <c r="Q3539" s="215"/>
      <c r="R3539" s="215"/>
      <c r="S3539" s="215"/>
      <c r="T3539" s="215"/>
    </row>
    <row r="3540" spans="1:20" s="214" customFormat="1" hidden="1">
      <c r="A3540" s="208" t="str">
        <f t="shared" si="133"/>
        <v>USHOMEDEPOT_LGSoundbarspeakersSoundbars with subwoofer</v>
      </c>
      <c r="B3540" s="209" t="str">
        <f t="shared" si="135"/>
        <v>US_HOMEDEPOT_LG</v>
      </c>
      <c r="C3540" s="210" t="s">
        <v>359</v>
      </c>
      <c r="D3540" s="210" t="s">
        <v>750</v>
      </c>
      <c r="E3540" s="210" t="s">
        <v>2363</v>
      </c>
      <c r="F3540" s="210" t="s">
        <v>2471</v>
      </c>
      <c r="G3540" s="210" t="s">
        <v>3240</v>
      </c>
      <c r="H3540" s="210" t="e">
        <v>#N/A</v>
      </c>
      <c r="I3540" s="211" t="s">
        <v>2310</v>
      </c>
      <c r="J3540" s="210" t="s">
        <v>189</v>
      </c>
      <c r="K3540" s="210"/>
      <c r="L3540" s="210"/>
      <c r="M3540" s="212"/>
      <c r="N3540" s="212"/>
      <c r="O3540" s="213"/>
      <c r="Q3540" s="215"/>
      <c r="R3540" s="215"/>
      <c r="S3540" s="215"/>
      <c r="T3540" s="215"/>
    </row>
    <row r="3541" spans="1:20" s="214" customFormat="1" hidden="1">
      <c r="A3541" s="208" t="str">
        <f t="shared" si="133"/>
        <v>USHOMEDEPOT_LGWIRELESS HEADSETBluetooth earbudsBluetooth earbuds</v>
      </c>
      <c r="B3541" s="209" t="str">
        <f t="shared" si="135"/>
        <v>US_HOMEDEPOT_LG</v>
      </c>
      <c r="C3541" s="210" t="s">
        <v>359</v>
      </c>
      <c r="D3541" s="210" t="s">
        <v>750</v>
      </c>
      <c r="E3541" s="210" t="s">
        <v>2201</v>
      </c>
      <c r="F3541" s="210" t="s">
        <v>2382</v>
      </c>
      <c r="G3541" s="210" t="s">
        <v>2382</v>
      </c>
      <c r="H3541" s="210" t="e">
        <v>#N/A</v>
      </c>
      <c r="I3541" s="211" t="s">
        <v>2310</v>
      </c>
      <c r="J3541" s="210" t="s">
        <v>189</v>
      </c>
      <c r="K3541" s="210"/>
      <c r="L3541" s="210"/>
      <c r="M3541" s="212"/>
      <c r="N3541" s="212"/>
      <c r="O3541" s="213"/>
      <c r="Q3541" s="215"/>
      <c r="R3541" s="215"/>
      <c r="S3541" s="215"/>
      <c r="T3541" s="215"/>
    </row>
    <row r="3542" spans="1:20" s="214" customFormat="1" hidden="1">
      <c r="A3542" s="208" t="str">
        <f t="shared" si="133"/>
        <v>USHOMEDEPOT_LGWIRELESS HEADSETEar budsEar buds</v>
      </c>
      <c r="B3542" s="209" t="str">
        <f t="shared" si="135"/>
        <v>US_HOMEDEPOT_LG</v>
      </c>
      <c r="C3542" s="210" t="s">
        <v>359</v>
      </c>
      <c r="D3542" s="210" t="s">
        <v>750</v>
      </c>
      <c r="E3542" s="210" t="s">
        <v>2201</v>
      </c>
      <c r="F3542" s="210" t="s">
        <v>2380</v>
      </c>
      <c r="G3542" s="210" t="s">
        <v>2380</v>
      </c>
      <c r="H3542" s="210" t="e">
        <v>#N/A</v>
      </c>
      <c r="I3542" s="211" t="s">
        <v>2310</v>
      </c>
      <c r="J3542" s="210" t="s">
        <v>189</v>
      </c>
      <c r="K3542" s="210"/>
      <c r="L3542" s="210"/>
      <c r="M3542" s="212"/>
      <c r="N3542" s="212"/>
      <c r="O3542" s="213"/>
      <c r="Q3542" s="215"/>
      <c r="R3542" s="215"/>
      <c r="S3542" s="215"/>
      <c r="T3542" s="215"/>
    </row>
    <row r="3543" spans="1:20" s="214" customFormat="1" hidden="1">
      <c r="A3543" s="208" t="str">
        <f t="shared" si="133"/>
        <v>USHOMEDEPOT_LGWIRELESS HEADSETEarbudsEarbuds</v>
      </c>
      <c r="B3543" s="209" t="str">
        <f t="shared" si="135"/>
        <v>US_HOMEDEPOT_LG</v>
      </c>
      <c r="C3543" s="210" t="s">
        <v>359</v>
      </c>
      <c r="D3543" s="210" t="s">
        <v>750</v>
      </c>
      <c r="E3543" s="210" t="s">
        <v>2201</v>
      </c>
      <c r="F3543" s="210" t="s">
        <v>2534</v>
      </c>
      <c r="G3543" s="210" t="s">
        <v>2534</v>
      </c>
      <c r="H3543" s="210" t="e">
        <v>#N/A</v>
      </c>
      <c r="I3543" s="211" t="s">
        <v>2310</v>
      </c>
      <c r="J3543" s="210" t="s">
        <v>189</v>
      </c>
      <c r="K3543" s="210"/>
      <c r="L3543" s="210"/>
      <c r="M3543" s="212"/>
      <c r="N3543" s="212"/>
      <c r="O3543" s="213"/>
      <c r="Q3543" s="215"/>
      <c r="R3543" s="215"/>
      <c r="S3543" s="215"/>
      <c r="T3543" s="215"/>
    </row>
    <row r="3544" spans="1:20" s="214" customFormat="1" hidden="1">
      <c r="A3544" s="208" t="str">
        <f t="shared" si="133"/>
        <v>USHOMEDEPOT_LGWIRELESS HEADSETBluetooth HeadphonesNoise cancelling earbuds</v>
      </c>
      <c r="B3544" s="209" t="str">
        <f t="shared" si="135"/>
        <v>US_HOMEDEPOT_LG</v>
      </c>
      <c r="C3544" s="210" t="s">
        <v>359</v>
      </c>
      <c r="D3544" s="210" t="s">
        <v>750</v>
      </c>
      <c r="E3544" s="210" t="s">
        <v>2201</v>
      </c>
      <c r="F3544" s="210" t="s">
        <v>2533</v>
      </c>
      <c r="G3544" s="210" t="s">
        <v>2378</v>
      </c>
      <c r="H3544" s="210" t="e">
        <v>#N/A</v>
      </c>
      <c r="I3544" s="211" t="s">
        <v>2310</v>
      </c>
      <c r="J3544" s="210" t="s">
        <v>189</v>
      </c>
      <c r="K3544" s="210"/>
      <c r="L3544" s="210"/>
      <c r="M3544" s="212"/>
      <c r="N3544" s="212"/>
      <c r="O3544" s="213"/>
      <c r="Q3544" s="215"/>
      <c r="R3544" s="215"/>
      <c r="S3544" s="215"/>
      <c r="T3544" s="215"/>
    </row>
    <row r="3545" spans="1:20" s="214" customFormat="1" hidden="1">
      <c r="A3545" s="208" t="str">
        <f t="shared" si="133"/>
        <v>USHOMEDEPOT_LGWIRELESS HEADSETWireless earbudsWireless earbuds</v>
      </c>
      <c r="B3545" s="209" t="str">
        <f t="shared" si="135"/>
        <v>US_HOMEDEPOT_LG</v>
      </c>
      <c r="C3545" s="210" t="s">
        <v>359</v>
      </c>
      <c r="D3545" s="210" t="s">
        <v>750</v>
      </c>
      <c r="E3545" s="210" t="s">
        <v>2201</v>
      </c>
      <c r="F3545" s="210" t="s">
        <v>2376</v>
      </c>
      <c r="G3545" s="210" t="s">
        <v>2376</v>
      </c>
      <c r="H3545" s="210" t="e">
        <v>#N/A</v>
      </c>
      <c r="I3545" s="211" t="s">
        <v>2310</v>
      </c>
      <c r="J3545" s="210" t="s">
        <v>189</v>
      </c>
      <c r="K3545" s="210"/>
      <c r="L3545" s="210"/>
      <c r="M3545" s="212"/>
      <c r="N3545" s="212"/>
      <c r="O3545" s="213"/>
      <c r="Q3545" s="215"/>
      <c r="R3545" s="215"/>
      <c r="S3545" s="215"/>
      <c r="T3545" s="215"/>
    </row>
    <row r="3546" spans="1:20" hidden="1">
      <c r="A3546" s="75" t="str">
        <f t="shared" si="133"/>
        <v>USLOWES_LGCordless stick vacuumcordless stick vacuumcordless stick vacuum</v>
      </c>
      <c r="B3546" s="94" t="str">
        <f t="shared" ref="B3546:B3609" si="136">C3546&amp;"_"&amp;D3546</f>
        <v>US_LOWES_LG</v>
      </c>
      <c r="C3546" s="93" t="s">
        <v>359</v>
      </c>
      <c r="D3546" s="93" t="s">
        <v>753</v>
      </c>
      <c r="E3546" s="93" t="s">
        <v>2435</v>
      </c>
      <c r="F3546" s="93" t="s">
        <v>2436</v>
      </c>
      <c r="G3546" s="93" t="s">
        <v>2436</v>
      </c>
      <c r="H3546" s="93" t="e">
        <v>#N/A</v>
      </c>
      <c r="I3546" s="105" t="s">
        <v>2310</v>
      </c>
      <c r="J3546" s="93" t="s">
        <v>189</v>
      </c>
      <c r="K3546" s="93">
        <v>87</v>
      </c>
      <c r="L3546" s="93">
        <v>87</v>
      </c>
      <c r="M3546" s="93" t="s">
        <v>2311</v>
      </c>
      <c r="N3546" s="93" t="e">
        <f>VLOOKUP(B3546,'[16]01.수집 카테고리(List)'!$A$2:$H$64,8,FALSE)</f>
        <v>#N/A</v>
      </c>
      <c r="O3546" s="93"/>
      <c r="P3546" s="69"/>
      <c r="Q3546" s="207"/>
      <c r="R3546" s="207"/>
      <c r="S3546" s="207"/>
    </row>
    <row r="3547" spans="1:20" hidden="1">
      <c r="A3547" s="75" t="str">
        <f t="shared" si="133"/>
        <v>USLOWES_LGCordless stick vacuumhandstick vacuumhandstick vacuum</v>
      </c>
      <c r="B3547" s="94" t="str">
        <f t="shared" si="136"/>
        <v>US_LOWES_LG</v>
      </c>
      <c r="C3547" s="93" t="s">
        <v>359</v>
      </c>
      <c r="D3547" s="93" t="s">
        <v>753</v>
      </c>
      <c r="E3547" s="93" t="s">
        <v>2435</v>
      </c>
      <c r="F3547" s="93" t="s">
        <v>3667</v>
      </c>
      <c r="G3547" s="93" t="s">
        <v>3667</v>
      </c>
      <c r="H3547" s="93" t="e">
        <v>#N/A</v>
      </c>
      <c r="I3547" s="105" t="s">
        <v>2310</v>
      </c>
      <c r="J3547" s="93" t="s">
        <v>189</v>
      </c>
      <c r="K3547" s="93">
        <v>1473</v>
      </c>
      <c r="L3547" s="93">
        <v>1473</v>
      </c>
      <c r="M3547" s="93" t="s">
        <v>2311</v>
      </c>
      <c r="N3547" s="93" t="e">
        <f>VLOOKUP(B3547,'[16]01.수집 카테고리(List)'!$A$2:$H$64,8,FALSE)</f>
        <v>#N/A</v>
      </c>
      <c r="O3547" s="93"/>
      <c r="P3547" s="69"/>
      <c r="Q3547" s="207"/>
      <c r="R3547" s="207"/>
      <c r="S3547" s="207"/>
    </row>
    <row r="3548" spans="1:20" hidden="1">
      <c r="A3548" s="75" t="str">
        <f t="shared" si="133"/>
        <v>USLOWES_LGCordless stick vacuumstick vacuumstick vacuum</v>
      </c>
      <c r="B3548" s="94" t="str">
        <f t="shared" si="136"/>
        <v>US_LOWES_LG</v>
      </c>
      <c r="C3548" s="93" t="s">
        <v>359</v>
      </c>
      <c r="D3548" s="93" t="s">
        <v>753</v>
      </c>
      <c r="E3548" s="93" t="s">
        <v>2435</v>
      </c>
      <c r="F3548" s="93" t="s">
        <v>2438</v>
      </c>
      <c r="G3548" s="93" t="s">
        <v>2438</v>
      </c>
      <c r="H3548" s="93" t="e">
        <v>#N/A</v>
      </c>
      <c r="I3548" s="105" t="s">
        <v>2310</v>
      </c>
      <c r="J3548" s="93" t="s">
        <v>189</v>
      </c>
      <c r="K3548" s="93">
        <v>298</v>
      </c>
      <c r="L3548" s="93">
        <v>298</v>
      </c>
      <c r="M3548" s="93" t="s">
        <v>2311</v>
      </c>
      <c r="N3548" s="93" t="e">
        <f>VLOOKUP(B3548,'[16]01.수집 카테고리(List)'!$A$2:$H$64,8,FALSE)</f>
        <v>#N/A</v>
      </c>
      <c r="O3548" s="93"/>
      <c r="P3548" s="69"/>
      <c r="Q3548" s="207"/>
      <c r="R3548" s="207"/>
      <c r="S3548" s="207"/>
    </row>
    <row r="3549" spans="1:20" hidden="1">
      <c r="A3549" s="75" t="str">
        <f t="shared" si="133"/>
        <v>USLOWES_LGCordless stick vacuumstick vacuum cleanerstick vacuum cleaner</v>
      </c>
      <c r="B3549" s="94" t="str">
        <f t="shared" si="136"/>
        <v>US_LOWES_LG</v>
      </c>
      <c r="C3549" s="93" t="s">
        <v>359</v>
      </c>
      <c r="D3549" s="93" t="s">
        <v>753</v>
      </c>
      <c r="E3549" s="93" t="s">
        <v>2435</v>
      </c>
      <c r="F3549" s="93" t="s">
        <v>2439</v>
      </c>
      <c r="G3549" s="93" t="s">
        <v>2439</v>
      </c>
      <c r="H3549" s="93" t="e">
        <v>#N/A</v>
      </c>
      <c r="I3549" s="105" t="s">
        <v>2310</v>
      </c>
      <c r="J3549" s="93" t="s">
        <v>189</v>
      </c>
      <c r="K3549" s="93">
        <v>889</v>
      </c>
      <c r="L3549" s="93">
        <v>889</v>
      </c>
      <c r="M3549" s="93" t="s">
        <v>2311</v>
      </c>
      <c r="N3549" s="93" t="e">
        <f>VLOOKUP(B3549,'[16]01.수집 카테고리(List)'!$A$2:$H$64,8,FALSE)</f>
        <v>#N/A</v>
      </c>
      <c r="O3549" s="93"/>
      <c r="P3549" s="69"/>
    </row>
    <row r="3550" spans="1:20" hidden="1">
      <c r="A3550" s="75" t="str">
        <f t="shared" si="133"/>
        <v>USLOWES_LGDishwasherBuilt in Dish washerBuilt in Dish washer</v>
      </c>
      <c r="B3550" s="94" t="str">
        <f t="shared" si="136"/>
        <v>US_LOWES_LG</v>
      </c>
      <c r="C3550" s="93" t="s">
        <v>359</v>
      </c>
      <c r="D3550" s="93" t="s">
        <v>753</v>
      </c>
      <c r="E3550" s="93" t="s">
        <v>2440</v>
      </c>
      <c r="F3550" s="93" t="s">
        <v>2356</v>
      </c>
      <c r="G3550" s="93" t="s">
        <v>2356</v>
      </c>
      <c r="H3550" s="93" t="e">
        <v>#N/A</v>
      </c>
      <c r="I3550" s="105" t="s">
        <v>2310</v>
      </c>
      <c r="J3550" s="93" t="s">
        <v>189</v>
      </c>
      <c r="K3550" s="93">
        <v>1805</v>
      </c>
      <c r="L3550" s="93">
        <v>1805</v>
      </c>
      <c r="M3550" s="93" t="s">
        <v>2311</v>
      </c>
      <c r="N3550" s="93" t="e">
        <f>VLOOKUP(B3550,'[16]01.수집 카테고리(List)'!$A$2:$H$64,8,FALSE)</f>
        <v>#N/A</v>
      </c>
      <c r="O3550" s="93"/>
      <c r="P3550" s="69"/>
    </row>
    <row r="3551" spans="1:20" hidden="1">
      <c r="A3551" s="75" t="str">
        <f t="shared" si="133"/>
        <v>USLOWES_LGDishwasherbuilt in front controlbuilt in front control</v>
      </c>
      <c r="B3551" s="94" t="str">
        <f t="shared" si="136"/>
        <v>US_LOWES_LG</v>
      </c>
      <c r="C3551" s="93" t="s">
        <v>359</v>
      </c>
      <c r="D3551" s="93" t="s">
        <v>753</v>
      </c>
      <c r="E3551" s="93" t="s">
        <v>2440</v>
      </c>
      <c r="F3551" s="93" t="s">
        <v>3668</v>
      </c>
      <c r="G3551" s="93" t="s">
        <v>3668</v>
      </c>
      <c r="H3551" s="93" t="e">
        <v>#N/A</v>
      </c>
      <c r="I3551" s="105" t="s">
        <v>2310</v>
      </c>
      <c r="J3551" s="93" t="s">
        <v>189</v>
      </c>
      <c r="K3551" s="93">
        <v>24756</v>
      </c>
      <c r="L3551" s="93">
        <v>24756</v>
      </c>
      <c r="M3551" s="93" t="s">
        <v>2311</v>
      </c>
      <c r="N3551" s="93" t="e">
        <f>VLOOKUP(B3551,'[16]01.수집 카테고리(List)'!$A$2:$H$64,8,FALSE)</f>
        <v>#N/A</v>
      </c>
      <c r="O3551" s="93"/>
      <c r="P3551" s="69"/>
    </row>
    <row r="3552" spans="1:20" hidden="1">
      <c r="A3552" s="75" t="str">
        <f t="shared" si="133"/>
        <v>USLOWES_LGDishwasherbuilt in top controlbuilt in top control</v>
      </c>
      <c r="B3552" s="94" t="str">
        <f t="shared" si="136"/>
        <v>US_LOWES_LG</v>
      </c>
      <c r="C3552" s="93" t="s">
        <v>359</v>
      </c>
      <c r="D3552" s="93" t="s">
        <v>753</v>
      </c>
      <c r="E3552" s="93" t="s">
        <v>2440</v>
      </c>
      <c r="F3552" s="93" t="s">
        <v>3669</v>
      </c>
      <c r="G3552" s="93" t="s">
        <v>3669</v>
      </c>
      <c r="H3552" s="93" t="e">
        <v>#N/A</v>
      </c>
      <c r="I3552" s="105" t="s">
        <v>2310</v>
      </c>
      <c r="J3552" s="93" t="s">
        <v>189</v>
      </c>
      <c r="K3552" s="93">
        <v>75771</v>
      </c>
      <c r="L3552" s="93">
        <v>75771</v>
      </c>
      <c r="M3552" s="93" t="s">
        <v>2311</v>
      </c>
      <c r="N3552" s="93" t="e">
        <f>VLOOKUP(B3552,'[16]01.수집 카테고리(List)'!$A$2:$H$64,8,FALSE)</f>
        <v>#N/A</v>
      </c>
      <c r="O3552" s="93"/>
      <c r="P3552" s="69"/>
    </row>
    <row r="3553" spans="1:16" hidden="1">
      <c r="A3553" s="75" t="str">
        <f t="shared" si="133"/>
        <v>USLOWES_LGDryerElectric DryerElectric Dryer</v>
      </c>
      <c r="B3553" s="94" t="str">
        <f t="shared" si="136"/>
        <v>US_LOWES_LG</v>
      </c>
      <c r="C3553" s="93" t="s">
        <v>359</v>
      </c>
      <c r="D3553" s="93" t="s">
        <v>753</v>
      </c>
      <c r="E3553" s="93" t="s">
        <v>2431</v>
      </c>
      <c r="F3553" s="93" t="s">
        <v>3670</v>
      </c>
      <c r="G3553" s="93" t="s">
        <v>3670</v>
      </c>
      <c r="H3553" s="93" t="e">
        <v>#N/A</v>
      </c>
      <c r="I3553" s="105" t="s">
        <v>2310</v>
      </c>
      <c r="J3553" s="93" t="s">
        <v>189</v>
      </c>
      <c r="K3553" s="93">
        <v>573</v>
      </c>
      <c r="L3553" s="93">
        <v>573</v>
      </c>
      <c r="M3553" s="93" t="s">
        <v>2311</v>
      </c>
      <c r="N3553" s="93" t="e">
        <f>VLOOKUP(B3553,'[16]01.수집 카테고리(List)'!$A$2:$H$64,8,FALSE)</f>
        <v>#N/A</v>
      </c>
      <c r="O3553" s="93"/>
      <c r="P3553" s="69"/>
    </row>
    <row r="3554" spans="1:16" hidden="1">
      <c r="A3554" s="75" t="str">
        <f t="shared" si="133"/>
        <v>USLOWES_LGDryerGas DryerGas Dryer</v>
      </c>
      <c r="B3554" s="94" t="str">
        <f t="shared" si="136"/>
        <v>US_LOWES_LG</v>
      </c>
      <c r="C3554" s="93" t="s">
        <v>359</v>
      </c>
      <c r="D3554" s="93" t="s">
        <v>753</v>
      </c>
      <c r="E3554" s="93" t="s">
        <v>2431</v>
      </c>
      <c r="F3554" s="93" t="s">
        <v>3671</v>
      </c>
      <c r="G3554" s="93" t="s">
        <v>3671</v>
      </c>
      <c r="H3554" s="93" t="e">
        <v>#N/A</v>
      </c>
      <c r="I3554" s="105" t="s">
        <v>2310</v>
      </c>
      <c r="J3554" s="93" t="s">
        <v>189</v>
      </c>
      <c r="K3554" s="93">
        <v>291</v>
      </c>
      <c r="L3554" s="93">
        <v>291</v>
      </c>
      <c r="M3554" s="93" t="s">
        <v>2311</v>
      </c>
      <c r="N3554" s="93" t="e">
        <f>VLOOKUP(B3554,'[16]01.수집 카테고리(List)'!$A$2:$H$64,8,FALSE)</f>
        <v>#N/A</v>
      </c>
      <c r="O3554" s="93"/>
      <c r="P3554" s="69"/>
    </row>
    <row r="3555" spans="1:16" hidden="1">
      <c r="A3555" s="75" t="str">
        <f t="shared" si="133"/>
        <v>USLOWES_LGDryerSteam DryerSteam Dryer</v>
      </c>
      <c r="B3555" s="94" t="str">
        <f t="shared" si="136"/>
        <v>US_LOWES_LG</v>
      </c>
      <c r="C3555" s="93" t="s">
        <v>359</v>
      </c>
      <c r="D3555" s="93" t="s">
        <v>753</v>
      </c>
      <c r="E3555" s="93" t="s">
        <v>2431</v>
      </c>
      <c r="F3555" s="93" t="s">
        <v>3672</v>
      </c>
      <c r="G3555" s="93" t="s">
        <v>3672</v>
      </c>
      <c r="H3555" s="93" t="e">
        <v>#N/A</v>
      </c>
      <c r="I3555" s="105" t="s">
        <v>2310</v>
      </c>
      <c r="J3555" s="93" t="s">
        <v>189</v>
      </c>
      <c r="K3555" s="93">
        <v>163</v>
      </c>
      <c r="L3555" s="93">
        <v>163</v>
      </c>
      <c r="M3555" s="93" t="s">
        <v>2311</v>
      </c>
      <c r="N3555" s="93" t="e">
        <f>VLOOKUP(B3555,'[16]01.수집 카테고리(List)'!$A$2:$H$64,8,FALSE)</f>
        <v>#N/A</v>
      </c>
      <c r="O3555" s="93"/>
      <c r="P3555" s="69"/>
    </row>
    <row r="3556" spans="1:16" hidden="1">
      <c r="A3556" s="75" t="str">
        <f t="shared" si="133"/>
        <v>USLOWES_LGOvenCooktopCooktop</v>
      </c>
      <c r="B3556" s="94" t="str">
        <f t="shared" si="136"/>
        <v>US_LOWES_LG</v>
      </c>
      <c r="C3556" s="93" t="s">
        <v>359</v>
      </c>
      <c r="D3556" s="93" t="s">
        <v>753</v>
      </c>
      <c r="E3556" s="93" t="s">
        <v>2540</v>
      </c>
      <c r="F3556" s="93" t="s">
        <v>2541</v>
      </c>
      <c r="G3556" s="93" t="s">
        <v>2541</v>
      </c>
      <c r="H3556" s="93" t="e">
        <v>#N/A</v>
      </c>
      <c r="I3556" s="105" t="s">
        <v>2310</v>
      </c>
      <c r="J3556" s="93" t="s">
        <v>189</v>
      </c>
      <c r="K3556" s="93">
        <v>52004</v>
      </c>
      <c r="L3556" s="93">
        <v>52004</v>
      </c>
      <c r="M3556" s="93" t="s">
        <v>2311</v>
      </c>
      <c r="N3556" s="93" t="e">
        <f>VLOOKUP(B3556,'[16]01.수집 카테고리(List)'!$A$2:$H$64,8,FALSE)</f>
        <v>#N/A</v>
      </c>
      <c r="O3556" s="93"/>
    </row>
    <row r="3557" spans="1:16" hidden="1">
      <c r="A3557" s="75" t="str">
        <f t="shared" si="133"/>
        <v>USLOWES_LGOvenFreestanding RangeFreestanding Range</v>
      </c>
      <c r="B3557" s="94" t="str">
        <f t="shared" si="136"/>
        <v>US_LOWES_LG</v>
      </c>
      <c r="C3557" s="93" t="s">
        <v>359</v>
      </c>
      <c r="D3557" s="93" t="s">
        <v>753</v>
      </c>
      <c r="E3557" s="93" t="s">
        <v>2540</v>
      </c>
      <c r="F3557" s="93" t="s">
        <v>3673</v>
      </c>
      <c r="G3557" s="93" t="s">
        <v>3673</v>
      </c>
      <c r="H3557" s="93" t="e">
        <v>#N/A</v>
      </c>
      <c r="I3557" s="105" t="s">
        <v>2310</v>
      </c>
      <c r="J3557" s="93" t="s">
        <v>189</v>
      </c>
      <c r="K3557" s="93">
        <v>9053</v>
      </c>
      <c r="L3557" s="93">
        <v>9053</v>
      </c>
      <c r="M3557" s="93" t="s">
        <v>2311</v>
      </c>
      <c r="N3557" s="93" t="e">
        <f>VLOOKUP(B3557,'[16]01.수집 카테고리(List)'!$A$2:$H$64,8,FALSE)</f>
        <v>#N/A</v>
      </c>
      <c r="O3557" s="93"/>
    </row>
    <row r="3558" spans="1:16" hidden="1">
      <c r="A3558" s="75" t="str">
        <f t="shared" si="133"/>
        <v>USLOWES_LGOvenSlide-in RangeSlide-in Range</v>
      </c>
      <c r="B3558" s="94" t="str">
        <f t="shared" si="136"/>
        <v>US_LOWES_LG</v>
      </c>
      <c r="C3558" s="93" t="s">
        <v>359</v>
      </c>
      <c r="D3558" s="93" t="s">
        <v>753</v>
      </c>
      <c r="E3558" s="93" t="s">
        <v>2540</v>
      </c>
      <c r="F3558" s="93" t="s">
        <v>2676</v>
      </c>
      <c r="G3558" s="93" t="s">
        <v>2676</v>
      </c>
      <c r="H3558" s="93" t="e">
        <v>#N/A</v>
      </c>
      <c r="I3558" s="105" t="s">
        <v>2310</v>
      </c>
      <c r="J3558" s="93" t="s">
        <v>189</v>
      </c>
      <c r="K3558" s="93">
        <v>193</v>
      </c>
      <c r="L3558" s="93">
        <v>193</v>
      </c>
      <c r="M3558" s="93" t="s">
        <v>2311</v>
      </c>
      <c r="N3558" s="93" t="e">
        <f>VLOOKUP(B3558,'[16]01.수집 카테고리(List)'!$A$2:$H$64,8,FALSE)</f>
        <v>#N/A</v>
      </c>
      <c r="O3558" s="93"/>
    </row>
    <row r="3559" spans="1:16" hidden="1">
      <c r="A3559" s="75" t="str">
        <f t="shared" si="133"/>
        <v>USLOWES_LGOvenWall OvenWall Oven</v>
      </c>
      <c r="B3559" s="94" t="str">
        <f t="shared" si="136"/>
        <v>US_LOWES_LG</v>
      </c>
      <c r="C3559" s="93" t="s">
        <v>359</v>
      </c>
      <c r="D3559" s="93" t="s">
        <v>753</v>
      </c>
      <c r="E3559" s="93" t="s">
        <v>2540</v>
      </c>
      <c r="F3559" s="93" t="s">
        <v>2544</v>
      </c>
      <c r="G3559" s="93" t="s">
        <v>2544</v>
      </c>
      <c r="H3559" s="93" t="e">
        <v>#N/A</v>
      </c>
      <c r="I3559" s="105" t="s">
        <v>2310</v>
      </c>
      <c r="J3559" s="93" t="s">
        <v>189</v>
      </c>
      <c r="K3559" s="93">
        <v>2365</v>
      </c>
      <c r="L3559" s="93">
        <v>2365</v>
      </c>
      <c r="M3559" s="93" t="s">
        <v>2311</v>
      </c>
      <c r="N3559" s="93" t="e">
        <f>VLOOKUP(B3559,'[16]01.수집 카테고리(List)'!$A$2:$H$64,8,FALSE)</f>
        <v>#N/A</v>
      </c>
      <c r="O3559" s="93"/>
    </row>
    <row r="3560" spans="1:16" hidden="1">
      <c r="A3560" s="75" t="str">
        <f t="shared" ref="A3560:A3627" si="137">C3560&amp;D3560&amp;E3560&amp;F3560&amp;G3560</f>
        <v>USLOWES_LGRefrigerator4 door french door refrigerator4 door french door refrigerator</v>
      </c>
      <c r="B3560" s="94" t="str">
        <f t="shared" si="136"/>
        <v>US_LOWES_LG</v>
      </c>
      <c r="C3560" s="93" t="s">
        <v>359</v>
      </c>
      <c r="D3560" s="93" t="s">
        <v>753</v>
      </c>
      <c r="E3560" s="93" t="s">
        <v>2326</v>
      </c>
      <c r="F3560" s="93" t="s">
        <v>2519</v>
      </c>
      <c r="G3560" s="93" t="s">
        <v>2519</v>
      </c>
      <c r="H3560" s="93" t="e">
        <v>#N/A</v>
      </c>
      <c r="I3560" s="105" t="s">
        <v>2310</v>
      </c>
      <c r="J3560" s="93" t="s">
        <v>189</v>
      </c>
      <c r="K3560" s="93">
        <v>5564</v>
      </c>
      <c r="L3560" s="93">
        <v>5564</v>
      </c>
      <c r="M3560" s="93" t="s">
        <v>2311</v>
      </c>
      <c r="N3560" s="93" t="e">
        <f>VLOOKUP(B3560,'[16]01.수집 카테고리(List)'!$A$2:$H$64,8,FALSE)</f>
        <v>#N/A</v>
      </c>
      <c r="O3560" s="93"/>
    </row>
    <row r="3561" spans="1:16" hidden="1">
      <c r="A3561" s="75" t="str">
        <f t="shared" si="137"/>
        <v>USLOWES_LGRefrigeratorbottom freezer refrigeratorbottom freezer refrigerator</v>
      </c>
      <c r="B3561" s="94" t="str">
        <f t="shared" si="136"/>
        <v>US_LOWES_LG</v>
      </c>
      <c r="C3561" s="93" t="s">
        <v>359</v>
      </c>
      <c r="D3561" s="93" t="s">
        <v>753</v>
      </c>
      <c r="E3561" s="93" t="s">
        <v>2326</v>
      </c>
      <c r="F3561" s="93" t="s">
        <v>2327</v>
      </c>
      <c r="G3561" s="93" t="s">
        <v>2327</v>
      </c>
      <c r="H3561" s="93" t="e">
        <v>#N/A</v>
      </c>
      <c r="I3561" s="105" t="s">
        <v>2310</v>
      </c>
      <c r="J3561" s="93" t="s">
        <v>189</v>
      </c>
      <c r="K3561" s="93">
        <v>591</v>
      </c>
      <c r="L3561" s="93">
        <v>591</v>
      </c>
      <c r="M3561" s="93" t="s">
        <v>2311</v>
      </c>
      <c r="N3561" s="93" t="e">
        <f>VLOOKUP(B3561,'[16]01.수집 카테고리(List)'!$A$2:$H$64,8,FALSE)</f>
        <v>#N/A</v>
      </c>
      <c r="O3561" s="93"/>
    </row>
    <row r="3562" spans="1:16" hidden="1">
      <c r="A3562" s="75" t="str">
        <f t="shared" si="137"/>
        <v>USLOWES_LGRefrigeratorcounter depth refrigeratorcounter depth refrigerator</v>
      </c>
      <c r="B3562" s="94" t="str">
        <f t="shared" si="136"/>
        <v>US_LOWES_LG</v>
      </c>
      <c r="C3562" s="93" t="s">
        <v>359</v>
      </c>
      <c r="D3562" s="93" t="s">
        <v>753</v>
      </c>
      <c r="E3562" s="93" t="s">
        <v>2326</v>
      </c>
      <c r="F3562" s="93" t="s">
        <v>2521</v>
      </c>
      <c r="G3562" s="93" t="s">
        <v>2521</v>
      </c>
      <c r="H3562" s="93" t="e">
        <v>#N/A</v>
      </c>
      <c r="I3562" s="105" t="s">
        <v>2310</v>
      </c>
      <c r="J3562" s="93" t="s">
        <v>189</v>
      </c>
      <c r="K3562" s="93">
        <v>4155</v>
      </c>
      <c r="L3562" s="93">
        <v>4155</v>
      </c>
      <c r="M3562" s="93" t="s">
        <v>2311</v>
      </c>
      <c r="N3562" s="93" t="e">
        <f>VLOOKUP(B3562,'[16]01.수집 카테고리(List)'!$A$2:$H$64,8,FALSE)</f>
        <v>#N/A</v>
      </c>
      <c r="O3562" s="93"/>
    </row>
    <row r="3563" spans="1:16" hidden="1">
      <c r="A3563" s="75" t="str">
        <f t="shared" si="137"/>
        <v>USLOWES_LGRefrigeratorfrench door refrigeratorfrench door refrigerator</v>
      </c>
      <c r="B3563" s="94" t="str">
        <f t="shared" si="136"/>
        <v>US_LOWES_LG</v>
      </c>
      <c r="C3563" s="93" t="s">
        <v>359</v>
      </c>
      <c r="D3563" s="93" t="s">
        <v>753</v>
      </c>
      <c r="E3563" s="93" t="s">
        <v>2326</v>
      </c>
      <c r="F3563" s="93" t="s">
        <v>2328</v>
      </c>
      <c r="G3563" s="93" t="s">
        <v>2328</v>
      </c>
      <c r="H3563" s="93" t="e">
        <v>#N/A</v>
      </c>
      <c r="I3563" s="105" t="s">
        <v>2310</v>
      </c>
      <c r="J3563" s="93" t="s">
        <v>189</v>
      </c>
      <c r="K3563" s="93">
        <v>2504</v>
      </c>
      <c r="L3563" s="93">
        <v>2504</v>
      </c>
      <c r="M3563" s="93" t="s">
        <v>2311</v>
      </c>
      <c r="N3563" s="93" t="e">
        <f>VLOOKUP(B3563,'[16]01.수집 카테고리(List)'!$A$2:$H$64,8,FALSE)</f>
        <v>#N/A</v>
      </c>
      <c r="O3563" s="93"/>
    </row>
    <row r="3564" spans="1:16" hidden="1">
      <c r="A3564" s="75" t="str">
        <f t="shared" si="137"/>
        <v>USLOWES_LGRefrigeratorRefrigeradorRefrigerador</v>
      </c>
      <c r="B3564" s="94" t="str">
        <f t="shared" si="136"/>
        <v>US_LOWES_LG</v>
      </c>
      <c r="C3564" s="93" t="s">
        <v>359</v>
      </c>
      <c r="D3564" s="93" t="s">
        <v>753</v>
      </c>
      <c r="E3564" s="93" t="s">
        <v>2326</v>
      </c>
      <c r="F3564" s="93" t="s">
        <v>3159</v>
      </c>
      <c r="G3564" s="93" t="s">
        <v>3159</v>
      </c>
      <c r="H3564" s="93" t="e">
        <v>#N/A</v>
      </c>
      <c r="I3564" s="105" t="s">
        <v>2310</v>
      </c>
      <c r="J3564" s="93" t="s">
        <v>189</v>
      </c>
      <c r="K3564" s="93">
        <v>80</v>
      </c>
      <c r="L3564" s="93">
        <v>80</v>
      </c>
      <c r="M3564" s="93" t="s">
        <v>2311</v>
      </c>
      <c r="N3564" s="93" t="e">
        <f>VLOOKUP(B3564,'[16]01.수집 카테고리(List)'!$A$2:$H$64,8,FALSE)</f>
        <v>#N/A</v>
      </c>
      <c r="O3564" s="93"/>
    </row>
    <row r="3565" spans="1:16" hidden="1">
      <c r="A3565" s="75" t="str">
        <f t="shared" si="137"/>
        <v>USLOWES_LGRefrigeratorrefrigeratorrefrigerator</v>
      </c>
      <c r="B3565" s="94" t="str">
        <f t="shared" si="136"/>
        <v>US_LOWES_LG</v>
      </c>
      <c r="C3565" s="93" t="s">
        <v>359</v>
      </c>
      <c r="D3565" s="93" t="s">
        <v>753</v>
      </c>
      <c r="E3565" s="93" t="s">
        <v>2326</v>
      </c>
      <c r="F3565" s="93" t="s">
        <v>2329</v>
      </c>
      <c r="G3565" s="93" t="s">
        <v>2329</v>
      </c>
      <c r="H3565" s="93" t="e">
        <v>#N/A</v>
      </c>
      <c r="I3565" s="105" t="s">
        <v>2310</v>
      </c>
      <c r="J3565" s="93" t="s">
        <v>189</v>
      </c>
      <c r="K3565" s="93">
        <v>3485</v>
      </c>
      <c r="L3565" s="93">
        <v>3485</v>
      </c>
      <c r="M3565" s="93" t="s">
        <v>2311</v>
      </c>
      <c r="N3565" s="93" t="e">
        <f>VLOOKUP(B3565,'[16]01.수집 카테고리(List)'!$A$2:$H$64,8,FALSE)</f>
        <v>#N/A</v>
      </c>
      <c r="O3565" s="93"/>
    </row>
    <row r="3566" spans="1:16" hidden="1">
      <c r="A3566" s="75" t="str">
        <f t="shared" si="137"/>
        <v>USLOWES_LGRefrigeratorrefrigerator congelador inferiorrefrigerator congelador inferior</v>
      </c>
      <c r="B3566" s="94" t="str">
        <f t="shared" si="136"/>
        <v>US_LOWES_LG</v>
      </c>
      <c r="C3566" s="93" t="s">
        <v>359</v>
      </c>
      <c r="D3566" s="93" t="s">
        <v>753</v>
      </c>
      <c r="E3566" s="93" t="s">
        <v>2326</v>
      </c>
      <c r="F3566" s="93" t="s">
        <v>3675</v>
      </c>
      <c r="G3566" s="93" t="s">
        <v>3675</v>
      </c>
      <c r="H3566" s="93" t="e">
        <v>#N/A</v>
      </c>
      <c r="I3566" s="105" t="s">
        <v>2310</v>
      </c>
      <c r="J3566" s="93" t="s">
        <v>189</v>
      </c>
      <c r="K3566" s="93">
        <v>2066</v>
      </c>
      <c r="L3566" s="93">
        <v>2066</v>
      </c>
      <c r="M3566" s="93" t="s">
        <v>2311</v>
      </c>
      <c r="N3566" s="93" t="e">
        <f>VLOOKUP(B3566,'[16]01.수집 카테고리(List)'!$A$2:$H$64,8,FALSE)</f>
        <v>#N/A</v>
      </c>
      <c r="O3566" s="93"/>
    </row>
    <row r="3567" spans="1:16" hidden="1">
      <c r="A3567" s="75" t="str">
        <f t="shared" si="137"/>
        <v>USLOWES_LGRefrigeratorrefrigerator congelador superiorrefrigerator congelador superior</v>
      </c>
      <c r="B3567" s="94" t="str">
        <f t="shared" si="136"/>
        <v>US_LOWES_LG</v>
      </c>
      <c r="C3567" s="93" t="s">
        <v>359</v>
      </c>
      <c r="D3567" s="93" t="s">
        <v>753</v>
      </c>
      <c r="E3567" s="93" t="s">
        <v>2326</v>
      </c>
      <c r="F3567" s="93" t="s">
        <v>3676</v>
      </c>
      <c r="G3567" s="93" t="s">
        <v>3676</v>
      </c>
      <c r="H3567" s="93" t="e">
        <v>#N/A</v>
      </c>
      <c r="I3567" s="105" t="s">
        <v>2310</v>
      </c>
      <c r="J3567" s="93" t="s">
        <v>189</v>
      </c>
      <c r="K3567" s="93">
        <v>2276</v>
      </c>
      <c r="L3567" s="93">
        <v>2276</v>
      </c>
      <c r="M3567" s="93" t="s">
        <v>2311</v>
      </c>
      <c r="N3567" s="93" t="e">
        <f>VLOOKUP(B3567,'[16]01.수집 카테고리(List)'!$A$2:$H$64,8,FALSE)</f>
        <v>#N/A</v>
      </c>
      <c r="O3567" s="93"/>
    </row>
    <row r="3568" spans="1:16" hidden="1">
      <c r="A3568" s="75" t="str">
        <f t="shared" si="137"/>
        <v>USLOWES_LGRefrigeratorrefrigerator duplexrefrigerator duplex</v>
      </c>
      <c r="B3568" s="94" t="str">
        <f t="shared" si="136"/>
        <v>US_LOWES_LG</v>
      </c>
      <c r="C3568" s="93" t="s">
        <v>359</v>
      </c>
      <c r="D3568" s="93" t="s">
        <v>753</v>
      </c>
      <c r="E3568" s="93" t="s">
        <v>2326</v>
      </c>
      <c r="F3568" s="93" t="s">
        <v>3677</v>
      </c>
      <c r="G3568" s="93" t="s">
        <v>3677</v>
      </c>
      <c r="H3568" s="93" t="e">
        <v>#N/A</v>
      </c>
      <c r="I3568" s="105" t="s">
        <v>2310</v>
      </c>
      <c r="J3568" s="93" t="s">
        <v>189</v>
      </c>
      <c r="K3568" s="93">
        <v>1917</v>
      </c>
      <c r="L3568" s="93">
        <v>1917</v>
      </c>
      <c r="M3568" s="93" t="s">
        <v>2311</v>
      </c>
      <c r="N3568" s="93" t="e">
        <f>VLOOKUP(B3568,'[16]01.수집 카테고리(List)'!$A$2:$H$64,8,FALSE)</f>
        <v>#N/A</v>
      </c>
      <c r="O3568" s="93"/>
    </row>
    <row r="3569" spans="1:15" hidden="1">
      <c r="A3569" s="75" t="str">
        <f t="shared" si="137"/>
        <v>USLOWES_LGRefrigeratorside by side refrigeratorside by side refrigerator</v>
      </c>
      <c r="B3569" s="94" t="str">
        <f t="shared" si="136"/>
        <v>US_LOWES_LG</v>
      </c>
      <c r="C3569" s="93" t="s">
        <v>359</v>
      </c>
      <c r="D3569" s="93" t="s">
        <v>753</v>
      </c>
      <c r="E3569" s="93" t="s">
        <v>2326</v>
      </c>
      <c r="F3569" s="93" t="s">
        <v>2330</v>
      </c>
      <c r="G3569" s="93" t="s">
        <v>2330</v>
      </c>
      <c r="H3569" s="93" t="e">
        <v>#N/A</v>
      </c>
      <c r="I3569" s="105" t="s">
        <v>2310</v>
      </c>
      <c r="J3569" s="93" t="s">
        <v>189</v>
      </c>
      <c r="K3569" s="93">
        <v>293</v>
      </c>
      <c r="L3569" s="93">
        <v>293</v>
      </c>
      <c r="M3569" s="93" t="s">
        <v>2311</v>
      </c>
      <c r="N3569" s="93" t="e">
        <f>VLOOKUP(B3569,'[16]01.수집 카테고리(List)'!$A$2:$H$64,8,FALSE)</f>
        <v>#N/A</v>
      </c>
      <c r="O3569" s="93"/>
    </row>
    <row r="3570" spans="1:15" hidden="1">
      <c r="A3570" s="75" t="str">
        <f t="shared" si="137"/>
        <v>USLOWES_LGRefrigeratortop freezer refrigeratortop freezer refrigerator</v>
      </c>
      <c r="B3570" s="94" t="str">
        <f t="shared" si="136"/>
        <v>US_LOWES_LG</v>
      </c>
      <c r="C3570" s="93" t="s">
        <v>359</v>
      </c>
      <c r="D3570" s="93" t="s">
        <v>753</v>
      </c>
      <c r="E3570" s="93" t="s">
        <v>2326</v>
      </c>
      <c r="F3570" s="93" t="s">
        <v>2332</v>
      </c>
      <c r="G3570" s="93" t="s">
        <v>2332</v>
      </c>
      <c r="H3570" s="93" t="e">
        <v>#N/A</v>
      </c>
      <c r="I3570" s="105" t="s">
        <v>2310</v>
      </c>
      <c r="J3570" s="93" t="s">
        <v>189</v>
      </c>
      <c r="K3570" s="93">
        <v>709</v>
      </c>
      <c r="L3570" s="93">
        <v>709</v>
      </c>
      <c r="M3570" s="93" t="s">
        <v>2311</v>
      </c>
      <c r="N3570" s="93" t="e">
        <f>VLOOKUP(B3570,'[16]01.수집 카테고리(List)'!$A$2:$H$64,8,FALSE)</f>
        <v>#N/A</v>
      </c>
      <c r="O3570" s="93"/>
    </row>
    <row r="3571" spans="1:15" hidden="1">
      <c r="A3571" s="75" t="str">
        <f t="shared" si="137"/>
        <v>USLOWES_LGStylerlg stylerlg styler</v>
      </c>
      <c r="B3571" s="94" t="str">
        <f t="shared" si="136"/>
        <v>US_LOWES_LG</v>
      </c>
      <c r="C3571" s="93" t="s">
        <v>359</v>
      </c>
      <c r="D3571" s="93" t="s">
        <v>753</v>
      </c>
      <c r="E3571" s="93" t="s">
        <v>3281</v>
      </c>
      <c r="F3571" s="93" t="s">
        <v>3383</v>
      </c>
      <c r="G3571" s="93" t="s">
        <v>3383</v>
      </c>
      <c r="H3571" s="93" t="e">
        <v>#N/A</v>
      </c>
      <c r="I3571" s="105" t="s">
        <v>2310</v>
      </c>
      <c r="J3571" s="93" t="s">
        <v>189</v>
      </c>
      <c r="K3571" s="93">
        <v>400</v>
      </c>
      <c r="L3571" s="93">
        <v>400</v>
      </c>
      <c r="M3571" s="93" t="s">
        <v>2311</v>
      </c>
      <c r="N3571" s="93" t="e">
        <f>VLOOKUP(B3571,'[16]01.수집 카테고리(List)'!$A$2:$H$64,8,FALSE)</f>
        <v>#N/A</v>
      </c>
      <c r="O3571" s="93"/>
    </row>
    <row r="3572" spans="1:15" hidden="1">
      <c r="A3572" s="75" t="str">
        <f t="shared" si="137"/>
        <v>USLOWES_LGStylerStylerStyler</v>
      </c>
      <c r="B3572" s="94" t="str">
        <f t="shared" si="136"/>
        <v>US_LOWES_LG</v>
      </c>
      <c r="C3572" s="93" t="s">
        <v>359</v>
      </c>
      <c r="D3572" s="93" t="s">
        <v>753</v>
      </c>
      <c r="E3572" s="93" t="s">
        <v>3281</v>
      </c>
      <c r="F3572" s="93" t="s">
        <v>3281</v>
      </c>
      <c r="G3572" s="93" t="s">
        <v>3281</v>
      </c>
      <c r="H3572" s="93" t="e">
        <v>#N/A</v>
      </c>
      <c r="I3572" s="105" t="s">
        <v>2310</v>
      </c>
      <c r="J3572" s="93" t="s">
        <v>189</v>
      </c>
      <c r="K3572" s="93">
        <v>219</v>
      </c>
      <c r="L3572" s="93">
        <v>219</v>
      </c>
      <c r="M3572" s="93" t="s">
        <v>2311</v>
      </c>
      <c r="N3572" s="93" t="e">
        <f>VLOOKUP(B3572,'[16]01.수집 카테고리(List)'!$A$2:$H$64,8,FALSE)</f>
        <v>#N/A</v>
      </c>
      <c r="O3572" s="93"/>
    </row>
    <row r="3573" spans="1:15" hidden="1">
      <c r="A3573" s="75" t="str">
        <f t="shared" si="137"/>
        <v>USLOWES_LGWashing Machinefront load washerCarga frontal</v>
      </c>
      <c r="B3573" s="94" t="str">
        <f t="shared" si="136"/>
        <v>US_LOWES_LG</v>
      </c>
      <c r="C3573" s="93" t="s">
        <v>359</v>
      </c>
      <c r="D3573" s="93" t="s">
        <v>753</v>
      </c>
      <c r="E3573" s="93" t="s">
        <v>2333</v>
      </c>
      <c r="F3573" s="93" t="s">
        <v>2335</v>
      </c>
      <c r="G3573" s="93" t="s">
        <v>3691</v>
      </c>
      <c r="H3573" s="93" t="s">
        <v>3680</v>
      </c>
      <c r="I3573" s="105" t="s">
        <v>2310</v>
      </c>
      <c r="J3573" s="93" t="s">
        <v>189</v>
      </c>
      <c r="K3573" s="93" t="e">
        <v>#N/A</v>
      </c>
      <c r="L3573" s="93">
        <v>307</v>
      </c>
      <c r="M3573" s="93" t="s">
        <v>2351</v>
      </c>
      <c r="N3573" s="93" t="e">
        <f>VLOOKUP(B3573,'[16]01.수집 카테고리(List)'!$A$2:$H$64,8,FALSE)</f>
        <v>#N/A</v>
      </c>
      <c r="O3573" s="93"/>
    </row>
    <row r="3574" spans="1:15" hidden="1">
      <c r="A3574" s="75" t="str">
        <f t="shared" si="137"/>
        <v>USLOWES_LGWashing Machinerefrigerator congelador superiorcarga superior</v>
      </c>
      <c r="B3574" s="94" t="str">
        <f t="shared" si="136"/>
        <v>US_LOWES_LG</v>
      </c>
      <c r="C3574" s="93" t="s">
        <v>359</v>
      </c>
      <c r="D3574" s="93" t="s">
        <v>753</v>
      </c>
      <c r="E3574" s="93" t="s">
        <v>2333</v>
      </c>
      <c r="F3574" s="93" t="s">
        <v>3676</v>
      </c>
      <c r="G3574" s="93" t="s">
        <v>3681</v>
      </c>
      <c r="H3574" s="93" t="s">
        <v>3680</v>
      </c>
      <c r="I3574" s="105" t="s">
        <v>2310</v>
      </c>
      <c r="J3574" s="93" t="s">
        <v>189</v>
      </c>
      <c r="K3574" s="93">
        <v>2726</v>
      </c>
      <c r="L3574" s="93">
        <v>2276</v>
      </c>
      <c r="M3574" s="93" t="s">
        <v>2311</v>
      </c>
      <c r="N3574" s="93" t="e">
        <f>VLOOKUP(B3574,'[16]01.수집 카테고리(List)'!$A$2:$H$64,8,FALSE)</f>
        <v>#N/A</v>
      </c>
      <c r="O3574" s="93"/>
    </row>
    <row r="3575" spans="1:15" hidden="1">
      <c r="A3575" s="75" t="str">
        <f t="shared" si="137"/>
        <v>USLOWES_LGWashing Machinefront load washerfront load washer</v>
      </c>
      <c r="B3575" s="94" t="str">
        <f t="shared" si="136"/>
        <v>US_LOWES_LG</v>
      </c>
      <c r="C3575" s="93" t="s">
        <v>359</v>
      </c>
      <c r="D3575" s="93" t="s">
        <v>753</v>
      </c>
      <c r="E3575" s="93" t="s">
        <v>2333</v>
      </c>
      <c r="F3575" s="93" t="s">
        <v>2335</v>
      </c>
      <c r="G3575" s="93" t="s">
        <v>2335</v>
      </c>
      <c r="H3575" s="93" t="e">
        <v>#N/A</v>
      </c>
      <c r="I3575" s="105" t="s">
        <v>2310</v>
      </c>
      <c r="J3575" s="93" t="s">
        <v>189</v>
      </c>
      <c r="K3575" s="93">
        <v>307</v>
      </c>
      <c r="L3575" s="93">
        <v>307</v>
      </c>
      <c r="M3575" s="93" t="s">
        <v>2311</v>
      </c>
      <c r="N3575" s="93" t="e">
        <f>VLOOKUP(B3575,'[16]01.수집 카테고리(List)'!$A$2:$H$64,8,FALSE)</f>
        <v>#N/A</v>
      </c>
      <c r="O3575" s="93"/>
    </row>
    <row r="3576" spans="1:15" hidden="1">
      <c r="A3576" s="75" t="str">
        <f t="shared" si="137"/>
        <v>USLOWES_LGWashing Machinewashing machinelavadora</v>
      </c>
      <c r="B3576" s="94" t="str">
        <f t="shared" si="136"/>
        <v>US_LOWES_LG</v>
      </c>
      <c r="C3576" s="93" t="s">
        <v>359</v>
      </c>
      <c r="D3576" s="93" t="s">
        <v>753</v>
      </c>
      <c r="E3576" s="93" t="s">
        <v>2333</v>
      </c>
      <c r="F3576" s="93" t="s">
        <v>2340</v>
      </c>
      <c r="G3576" s="93" t="s">
        <v>2753</v>
      </c>
      <c r="H3576" s="93" t="s">
        <v>3680</v>
      </c>
      <c r="I3576" s="105" t="s">
        <v>2310</v>
      </c>
      <c r="J3576" s="93" t="s">
        <v>189</v>
      </c>
      <c r="K3576" s="93">
        <v>170</v>
      </c>
      <c r="L3576" s="93">
        <v>168</v>
      </c>
      <c r="M3576" s="93" t="s">
        <v>2311</v>
      </c>
      <c r="N3576" s="93" t="e">
        <f>VLOOKUP(B3576,'[16]01.수집 카테고리(List)'!$A$2:$H$64,8,FALSE)</f>
        <v>#N/A</v>
      </c>
      <c r="O3576" s="93"/>
    </row>
    <row r="3577" spans="1:15" hidden="1">
      <c r="A3577" s="75" t="str">
        <f t="shared" si="137"/>
        <v>USLOWES_LGWashing Machinewasher dryerlavasecadora</v>
      </c>
      <c r="B3577" s="94" t="str">
        <f t="shared" si="136"/>
        <v>US_LOWES_LG</v>
      </c>
      <c r="C3577" s="93" t="s">
        <v>359</v>
      </c>
      <c r="D3577" s="93" t="s">
        <v>753</v>
      </c>
      <c r="E3577" s="93" t="s">
        <v>2333</v>
      </c>
      <c r="F3577" s="93" t="s">
        <v>2339</v>
      </c>
      <c r="G3577" s="93" t="s">
        <v>2791</v>
      </c>
      <c r="H3577" s="93" t="s">
        <v>3680</v>
      </c>
      <c r="I3577" s="105" t="s">
        <v>2310</v>
      </c>
      <c r="J3577" s="93" t="s">
        <v>189</v>
      </c>
      <c r="K3577" s="93">
        <v>192</v>
      </c>
      <c r="L3577" s="93" t="e">
        <v>#N/A</v>
      </c>
      <c r="M3577" s="93" t="s">
        <v>2311</v>
      </c>
      <c r="N3577" s="93" t="e">
        <f>VLOOKUP(B3577,'[16]01.수집 카테고리(List)'!$A$2:$H$64,8,FALSE)</f>
        <v>#N/A</v>
      </c>
      <c r="O3577" s="93"/>
    </row>
    <row r="3578" spans="1:15" hidden="1">
      <c r="A3578" s="75" t="str">
        <f t="shared" si="137"/>
        <v>USLOWES_LGWashing Machinetop load washertop load washer</v>
      </c>
      <c r="B3578" s="94" t="str">
        <f t="shared" si="136"/>
        <v>US_LOWES_LG</v>
      </c>
      <c r="C3578" s="93" t="s">
        <v>359</v>
      </c>
      <c r="D3578" s="93" t="s">
        <v>753</v>
      </c>
      <c r="E3578" s="93" t="s">
        <v>2333</v>
      </c>
      <c r="F3578" s="93" t="s">
        <v>2337</v>
      </c>
      <c r="G3578" s="93" t="s">
        <v>2337</v>
      </c>
      <c r="H3578" s="93" t="e">
        <v>#N/A</v>
      </c>
      <c r="I3578" s="105" t="s">
        <v>2310</v>
      </c>
      <c r="J3578" s="93" t="s">
        <v>189</v>
      </c>
      <c r="K3578" s="93">
        <v>368</v>
      </c>
      <c r="L3578" s="93">
        <v>368</v>
      </c>
      <c r="M3578" s="93" t="s">
        <v>2311</v>
      </c>
      <c r="N3578" s="93" t="e">
        <f>VLOOKUP(B3578,'[16]01.수집 카테고리(List)'!$A$2:$H$64,8,FALSE)</f>
        <v>#N/A</v>
      </c>
      <c r="O3578" s="93"/>
    </row>
    <row r="3579" spans="1:15" hidden="1">
      <c r="A3579" s="75" t="str">
        <f t="shared" si="137"/>
        <v>USLOWES_LGWashing Machinewasher dryer combowasher dryer combo</v>
      </c>
      <c r="B3579" s="94" t="str">
        <f t="shared" si="136"/>
        <v>US_LOWES_LG</v>
      </c>
      <c r="C3579" s="93" t="s">
        <v>359</v>
      </c>
      <c r="D3579" s="93" t="s">
        <v>753</v>
      </c>
      <c r="E3579" s="93" t="s">
        <v>2333</v>
      </c>
      <c r="F3579" s="93" t="s">
        <v>2338</v>
      </c>
      <c r="G3579" s="93" t="s">
        <v>2338</v>
      </c>
      <c r="H3579" s="93" t="e">
        <v>#N/A</v>
      </c>
      <c r="I3579" s="105" t="s">
        <v>2310</v>
      </c>
      <c r="J3579" s="93" t="s">
        <v>189</v>
      </c>
      <c r="K3579" s="93">
        <v>5945</v>
      </c>
      <c r="L3579" s="93">
        <v>5945</v>
      </c>
      <c r="M3579" s="93" t="s">
        <v>2311</v>
      </c>
      <c r="N3579" s="93" t="e">
        <f>VLOOKUP(B3579,'[16]01.수집 카테고리(List)'!$A$2:$H$64,8,FALSE)</f>
        <v>#N/A</v>
      </c>
      <c r="O3579" s="93"/>
    </row>
    <row r="3580" spans="1:15" hidden="1">
      <c r="A3580" s="75" t="str">
        <f t="shared" si="137"/>
        <v>USLOWES_LGWashing Machinewashing machinewashing machine</v>
      </c>
      <c r="B3580" s="94" t="str">
        <f t="shared" si="136"/>
        <v>US_LOWES_LG</v>
      </c>
      <c r="C3580" s="93" t="s">
        <v>359</v>
      </c>
      <c r="D3580" s="93" t="s">
        <v>753</v>
      </c>
      <c r="E3580" s="93" t="s">
        <v>2333</v>
      </c>
      <c r="F3580" s="93" t="s">
        <v>2340</v>
      </c>
      <c r="G3580" s="93" t="s">
        <v>2340</v>
      </c>
      <c r="H3580" s="93" t="e">
        <v>#N/A</v>
      </c>
      <c r="I3580" s="105" t="s">
        <v>2310</v>
      </c>
      <c r="J3580" s="93" t="s">
        <v>189</v>
      </c>
      <c r="K3580" s="93">
        <v>168</v>
      </c>
      <c r="L3580" s="93">
        <v>168</v>
      </c>
      <c r="M3580" s="93" t="s">
        <v>2311</v>
      </c>
      <c r="N3580" s="93" t="e">
        <f>VLOOKUP(B3580,'[16]01.수집 카테고리(List)'!$A$2:$H$64,8,FALSE)</f>
        <v>#N/A</v>
      </c>
      <c r="O3580" s="93"/>
    </row>
    <row r="3581" spans="1:15" s="111" customFormat="1" hidden="1">
      <c r="A3581" s="111" t="str">
        <f t="shared" si="137"/>
        <v>USLOWES_LGTV4k TV4k TV</v>
      </c>
      <c r="B3581" s="112" t="str">
        <f t="shared" si="136"/>
        <v>US_LOWES_LG</v>
      </c>
      <c r="C3581" s="113" t="s">
        <v>359</v>
      </c>
      <c r="D3581" s="113" t="s">
        <v>753</v>
      </c>
      <c r="E3581" s="113" t="s">
        <v>161</v>
      </c>
      <c r="F3581" s="113" t="s">
        <v>2368</v>
      </c>
      <c r="G3581" s="113" t="s">
        <v>2368</v>
      </c>
      <c r="H3581" s="93" t="e">
        <v>#N/A</v>
      </c>
      <c r="I3581" s="99">
        <v>46076</v>
      </c>
      <c r="J3581" s="83" t="s">
        <v>189</v>
      </c>
      <c r="K3581" s="113"/>
      <c r="L3581" s="113"/>
      <c r="M3581" s="113"/>
      <c r="N3581" s="113"/>
      <c r="O3581" s="113"/>
    </row>
    <row r="3582" spans="1:15" s="111" customFormat="1" hidden="1">
      <c r="A3582" s="111" t="str">
        <f t="shared" si="137"/>
        <v>USLOWES_LGTVoled TVoled TV</v>
      </c>
      <c r="B3582" s="112" t="str">
        <f t="shared" si="136"/>
        <v>US_LOWES_LG</v>
      </c>
      <c r="C3582" s="113" t="s">
        <v>359</v>
      </c>
      <c r="D3582" s="113" t="s">
        <v>753</v>
      </c>
      <c r="E3582" s="113" t="s">
        <v>161</v>
      </c>
      <c r="F3582" s="113" t="s">
        <v>2369</v>
      </c>
      <c r="G3582" s="113" t="s">
        <v>2369</v>
      </c>
      <c r="H3582" s="93" t="e">
        <v>#N/A</v>
      </c>
      <c r="I3582" s="99">
        <v>46076</v>
      </c>
      <c r="J3582" s="83" t="s">
        <v>189</v>
      </c>
      <c r="K3582" s="113"/>
      <c r="L3582" s="113"/>
      <c r="M3582" s="113"/>
      <c r="N3582" s="113"/>
      <c r="O3582" s="113"/>
    </row>
    <row r="3583" spans="1:15" s="111" customFormat="1" hidden="1">
      <c r="A3583" s="111" t="str">
        <f t="shared" si="137"/>
        <v>USLOWES_LGTVsmart TVsmart TV</v>
      </c>
      <c r="B3583" s="112" t="str">
        <f t="shared" si="136"/>
        <v>US_LOWES_LG</v>
      </c>
      <c r="C3583" s="113" t="s">
        <v>359</v>
      </c>
      <c r="D3583" s="113" t="s">
        <v>753</v>
      </c>
      <c r="E3583" s="113" t="s">
        <v>161</v>
      </c>
      <c r="F3583" s="113" t="s">
        <v>2371</v>
      </c>
      <c r="G3583" s="113" t="s">
        <v>2371</v>
      </c>
      <c r="H3583" s="93" t="e">
        <v>#N/A</v>
      </c>
      <c r="I3583" s="99">
        <v>46076</v>
      </c>
      <c r="J3583" s="83" t="s">
        <v>189</v>
      </c>
      <c r="K3583" s="113"/>
      <c r="L3583" s="113"/>
      <c r="M3583" s="113"/>
      <c r="N3583" s="113"/>
      <c r="O3583" s="113"/>
    </row>
    <row r="3584" spans="1:15" s="111" customFormat="1" hidden="1">
      <c r="A3584" s="111" t="str">
        <f t="shared" si="137"/>
        <v>USLOWES_LGTVTVTV</v>
      </c>
      <c r="B3584" s="112" t="str">
        <f t="shared" si="136"/>
        <v>US_LOWES_LG</v>
      </c>
      <c r="C3584" s="113" t="s">
        <v>359</v>
      </c>
      <c r="D3584" s="113" t="s">
        <v>753</v>
      </c>
      <c r="E3584" s="113" t="s">
        <v>161</v>
      </c>
      <c r="F3584" s="113" t="s">
        <v>161</v>
      </c>
      <c r="G3584" s="113" t="s">
        <v>161</v>
      </c>
      <c r="H3584" s="93" t="e">
        <v>#N/A</v>
      </c>
      <c r="I3584" s="99">
        <v>46076</v>
      </c>
      <c r="J3584" s="83" t="s">
        <v>189</v>
      </c>
      <c r="K3584" s="113"/>
      <c r="L3584" s="113"/>
      <c r="M3584" s="113"/>
      <c r="N3584" s="113"/>
      <c r="O3584" s="113"/>
    </row>
    <row r="3585" spans="1:15" s="111" customFormat="1" hidden="1">
      <c r="A3585" s="111" t="str">
        <f t="shared" si="137"/>
        <v>USLOWES_LGTVuhd TVuhd TV</v>
      </c>
      <c r="B3585" s="112" t="str">
        <f t="shared" si="136"/>
        <v>US_LOWES_LG</v>
      </c>
      <c r="C3585" s="113" t="s">
        <v>359</v>
      </c>
      <c r="D3585" s="113" t="s">
        <v>753</v>
      </c>
      <c r="E3585" s="113" t="s">
        <v>161</v>
      </c>
      <c r="F3585" s="113" t="s">
        <v>2399</v>
      </c>
      <c r="G3585" s="113" t="s">
        <v>2399</v>
      </c>
      <c r="H3585" s="93" t="e">
        <v>#N/A</v>
      </c>
      <c r="I3585" s="99">
        <v>46076</v>
      </c>
      <c r="J3585" s="83" t="s">
        <v>189</v>
      </c>
      <c r="K3585" s="113"/>
      <c r="L3585" s="113"/>
      <c r="M3585" s="113"/>
      <c r="N3585" s="113"/>
      <c r="O3585" s="113"/>
    </row>
    <row r="3586" spans="1:15" s="111" customFormat="1" hidden="1">
      <c r="A3586" s="111" t="str">
        <f t="shared" si="137"/>
        <v>USLOWES_LGMonitor4k monitor4k monitor</v>
      </c>
      <c r="B3586" s="112" t="str">
        <f t="shared" si="136"/>
        <v>US_LOWES_LG</v>
      </c>
      <c r="C3586" s="113" t="s">
        <v>359</v>
      </c>
      <c r="D3586" s="113" t="s">
        <v>753</v>
      </c>
      <c r="E3586" s="113" t="s">
        <v>2320</v>
      </c>
      <c r="F3586" s="113" t="s">
        <v>2321</v>
      </c>
      <c r="G3586" s="113" t="s">
        <v>2321</v>
      </c>
      <c r="H3586" s="93" t="e">
        <v>#N/A</v>
      </c>
      <c r="I3586" s="99">
        <v>46076</v>
      </c>
      <c r="J3586" s="83" t="s">
        <v>189</v>
      </c>
      <c r="K3586" s="113"/>
      <c r="L3586" s="113"/>
      <c r="M3586" s="113"/>
      <c r="N3586" s="113"/>
      <c r="O3586" s="113"/>
    </row>
    <row r="3587" spans="1:15" s="111" customFormat="1" hidden="1">
      <c r="A3587" s="111" t="str">
        <f t="shared" si="137"/>
        <v>USLOWES_LGMonitorgaming monitorgaming monitor</v>
      </c>
      <c r="B3587" s="112" t="str">
        <f t="shared" si="136"/>
        <v>US_LOWES_LG</v>
      </c>
      <c r="C3587" s="113" t="s">
        <v>359</v>
      </c>
      <c r="D3587" s="113" t="s">
        <v>753</v>
      </c>
      <c r="E3587" s="113" t="s">
        <v>2320</v>
      </c>
      <c r="F3587" s="113" t="s">
        <v>2322</v>
      </c>
      <c r="G3587" s="113" t="s">
        <v>2322</v>
      </c>
      <c r="H3587" s="93" t="e">
        <v>#N/A</v>
      </c>
      <c r="I3587" s="99">
        <v>46076</v>
      </c>
      <c r="J3587" s="83" t="s">
        <v>189</v>
      </c>
      <c r="K3587" s="113"/>
      <c r="L3587" s="113"/>
      <c r="M3587" s="113"/>
      <c r="N3587" s="113"/>
      <c r="O3587" s="113"/>
    </row>
    <row r="3588" spans="1:15" s="111" customFormat="1" hidden="1">
      <c r="A3588" s="111" t="str">
        <f t="shared" si="137"/>
        <v>USLOWES_LGMonitormonitormonitor</v>
      </c>
      <c r="B3588" s="112" t="str">
        <f t="shared" si="136"/>
        <v>US_LOWES_LG</v>
      </c>
      <c r="C3588" s="113" t="s">
        <v>359</v>
      </c>
      <c r="D3588" s="113" t="s">
        <v>753</v>
      </c>
      <c r="E3588" s="113" t="s">
        <v>2320</v>
      </c>
      <c r="F3588" s="113" t="s">
        <v>2323</v>
      </c>
      <c r="G3588" s="113" t="s">
        <v>2323</v>
      </c>
      <c r="H3588" s="93" t="e">
        <v>#N/A</v>
      </c>
      <c r="I3588" s="99">
        <v>46076</v>
      </c>
      <c r="J3588" s="83" t="s">
        <v>189</v>
      </c>
      <c r="K3588" s="113"/>
      <c r="L3588" s="113"/>
      <c r="M3588" s="113"/>
      <c r="N3588" s="113"/>
      <c r="O3588" s="113"/>
    </row>
    <row r="3589" spans="1:15" s="111" customFormat="1" hidden="1">
      <c r="A3589" s="111" t="str">
        <f t="shared" si="137"/>
        <v>USLOWES_LGMonitoruhd monitoruhd monitor</v>
      </c>
      <c r="B3589" s="112" t="str">
        <f t="shared" si="136"/>
        <v>US_LOWES_LG</v>
      </c>
      <c r="C3589" s="113" t="s">
        <v>359</v>
      </c>
      <c r="D3589" s="113" t="s">
        <v>753</v>
      </c>
      <c r="E3589" s="113" t="s">
        <v>2320</v>
      </c>
      <c r="F3589" s="113" t="s">
        <v>2324</v>
      </c>
      <c r="G3589" s="113" t="s">
        <v>2324</v>
      </c>
      <c r="H3589" s="93" t="e">
        <v>#N/A</v>
      </c>
      <c r="I3589" s="99">
        <v>46076</v>
      </c>
      <c r="J3589" s="83" t="s">
        <v>189</v>
      </c>
      <c r="K3589" s="113"/>
      <c r="L3589" s="113"/>
      <c r="M3589" s="113"/>
      <c r="N3589" s="113"/>
      <c r="O3589" s="113"/>
    </row>
    <row r="3590" spans="1:15" s="111" customFormat="1" hidden="1">
      <c r="A3590" s="111" t="str">
        <f t="shared" si="137"/>
        <v>USLOWES_LGMonitorultrawide monitorultrawide monitor</v>
      </c>
      <c r="B3590" s="112" t="str">
        <f t="shared" si="136"/>
        <v>US_LOWES_LG</v>
      </c>
      <c r="C3590" s="113" t="s">
        <v>359</v>
      </c>
      <c r="D3590" s="113" t="s">
        <v>753</v>
      </c>
      <c r="E3590" s="113" t="s">
        <v>2320</v>
      </c>
      <c r="F3590" s="113" t="s">
        <v>2325</v>
      </c>
      <c r="G3590" s="113" t="s">
        <v>2325</v>
      </c>
      <c r="H3590" s="93" t="e">
        <v>#N/A</v>
      </c>
      <c r="I3590" s="99">
        <v>46076</v>
      </c>
      <c r="J3590" s="83" t="s">
        <v>189</v>
      </c>
      <c r="K3590" s="113"/>
      <c r="L3590" s="113"/>
      <c r="M3590" s="113"/>
      <c r="N3590" s="113"/>
      <c r="O3590" s="113"/>
    </row>
    <row r="3591" spans="1:15" s="111" customFormat="1" hidden="1">
      <c r="A3591" s="111" t="str">
        <f t="shared" si="137"/>
        <v>USLOWES_LGAir Conditionerinverter air conditionerinverter air conditioner</v>
      </c>
      <c r="B3591" s="112" t="str">
        <f t="shared" si="136"/>
        <v>US_LOWES_LG</v>
      </c>
      <c r="C3591" s="113" t="s">
        <v>359</v>
      </c>
      <c r="D3591" s="113" t="s">
        <v>753</v>
      </c>
      <c r="E3591" s="113" t="s">
        <v>2346</v>
      </c>
      <c r="F3591" s="113" t="s">
        <v>2348</v>
      </c>
      <c r="G3591" s="113" t="s">
        <v>2348</v>
      </c>
      <c r="H3591" s="93" t="e">
        <v>#N/A</v>
      </c>
      <c r="I3591" s="99">
        <v>46076</v>
      </c>
      <c r="J3591" s="83" t="s">
        <v>189</v>
      </c>
      <c r="K3591" s="113"/>
      <c r="L3591" s="113"/>
      <c r="M3591" s="113"/>
      <c r="N3591" s="113"/>
      <c r="O3591" s="113"/>
    </row>
    <row r="3592" spans="1:15" s="111" customFormat="1" hidden="1">
      <c r="A3592" s="111" t="str">
        <f t="shared" si="137"/>
        <v>USLOWES_LGAir Conditionersplit air conditionersplit air conditioner</v>
      </c>
      <c r="B3592" s="112" t="str">
        <f t="shared" si="136"/>
        <v>US_LOWES_LG</v>
      </c>
      <c r="C3592" s="113" t="s">
        <v>359</v>
      </c>
      <c r="D3592" s="113" t="s">
        <v>753</v>
      </c>
      <c r="E3592" s="113" t="s">
        <v>2346</v>
      </c>
      <c r="F3592" s="113" t="s">
        <v>2422</v>
      </c>
      <c r="G3592" s="113" t="s">
        <v>2422</v>
      </c>
      <c r="H3592" s="93" t="e">
        <v>#N/A</v>
      </c>
      <c r="I3592" s="99">
        <v>46076</v>
      </c>
      <c r="J3592" s="83" t="s">
        <v>189</v>
      </c>
      <c r="K3592" s="113"/>
      <c r="L3592" s="113"/>
      <c r="M3592" s="113"/>
      <c r="N3592" s="113"/>
      <c r="O3592" s="113"/>
    </row>
    <row r="3593" spans="1:15" s="111" customFormat="1" hidden="1">
      <c r="A3593" s="111" t="str">
        <f t="shared" si="137"/>
        <v>USLOWES_LGAir Conditionersplit inverter air conditionersplit inverter air conditioner</v>
      </c>
      <c r="B3593" s="112" t="str">
        <f t="shared" si="136"/>
        <v>US_LOWES_LG</v>
      </c>
      <c r="C3593" s="113" t="s">
        <v>359</v>
      </c>
      <c r="D3593" s="113" t="s">
        <v>753</v>
      </c>
      <c r="E3593" s="113" t="s">
        <v>2346</v>
      </c>
      <c r="F3593" s="113" t="s">
        <v>2423</v>
      </c>
      <c r="G3593" s="113" t="s">
        <v>2423</v>
      </c>
      <c r="H3593" s="93" t="e">
        <v>#N/A</v>
      </c>
      <c r="I3593" s="99">
        <v>46076</v>
      </c>
      <c r="J3593" s="83" t="s">
        <v>189</v>
      </c>
      <c r="K3593" s="113"/>
      <c r="L3593" s="113"/>
      <c r="M3593" s="113"/>
      <c r="N3593" s="113"/>
      <c r="O3593" s="113"/>
    </row>
    <row r="3594" spans="1:15" s="111" customFormat="1" hidden="1">
      <c r="A3594" s="111" t="str">
        <f t="shared" si="137"/>
        <v>USLOWES_LGAir Conditionerwindow air conditionerwindow air conditioner</v>
      </c>
      <c r="B3594" s="112" t="str">
        <f t="shared" si="136"/>
        <v>US_LOWES_LG</v>
      </c>
      <c r="C3594" s="113" t="s">
        <v>359</v>
      </c>
      <c r="D3594" s="113" t="s">
        <v>753</v>
      </c>
      <c r="E3594" s="113" t="s">
        <v>2346</v>
      </c>
      <c r="F3594" s="113" t="s">
        <v>2350</v>
      </c>
      <c r="G3594" s="113" t="s">
        <v>2350</v>
      </c>
      <c r="H3594" s="93" t="e">
        <v>#N/A</v>
      </c>
      <c r="I3594" s="99">
        <v>46076</v>
      </c>
      <c r="J3594" s="83" t="s">
        <v>189</v>
      </c>
      <c r="K3594" s="113"/>
      <c r="L3594" s="113"/>
      <c r="M3594" s="113"/>
      <c r="N3594" s="113"/>
      <c r="O3594" s="113"/>
    </row>
    <row r="3595" spans="1:15" s="111" customFormat="1" hidden="1">
      <c r="A3595" s="111" t="str">
        <f t="shared" si="137"/>
        <v>USLOWES_LGAir Conditionerwindow inverter air conditionerwindow inverter air conditioner</v>
      </c>
      <c r="B3595" s="112" t="str">
        <f t="shared" si="136"/>
        <v>US_LOWES_LG</v>
      </c>
      <c r="C3595" s="113" t="s">
        <v>359</v>
      </c>
      <c r="D3595" s="113" t="s">
        <v>753</v>
      </c>
      <c r="E3595" s="113" t="s">
        <v>2346</v>
      </c>
      <c r="F3595" s="113" t="s">
        <v>2424</v>
      </c>
      <c r="G3595" s="113" t="s">
        <v>2424</v>
      </c>
      <c r="H3595" s="93" t="e">
        <v>#N/A</v>
      </c>
      <c r="I3595" s="99">
        <v>46076</v>
      </c>
      <c r="J3595" s="83" t="s">
        <v>189</v>
      </c>
      <c r="K3595" s="113"/>
      <c r="L3595" s="113"/>
      <c r="M3595" s="113"/>
      <c r="N3595" s="113"/>
      <c r="O3595" s="113"/>
    </row>
    <row r="3596" spans="1:15" s="111" customFormat="1" hidden="1">
      <c r="A3596" s="111" t="str">
        <f t="shared" si="137"/>
        <v>USLOWES_LGBluetooth Speakerbluetooth speakerbluetooth speaker</v>
      </c>
      <c r="B3596" s="112" t="str">
        <f t="shared" si="136"/>
        <v>US_LOWES_LG</v>
      </c>
      <c r="C3596" s="113" t="s">
        <v>359</v>
      </c>
      <c r="D3596" s="113" t="s">
        <v>753</v>
      </c>
      <c r="E3596" s="113" t="s">
        <v>2470</v>
      </c>
      <c r="F3596" s="113" t="s">
        <v>2657</v>
      </c>
      <c r="G3596" s="113" t="s">
        <v>2657</v>
      </c>
      <c r="H3596" s="93" t="e">
        <v>#N/A</v>
      </c>
      <c r="I3596" s="99">
        <v>46076</v>
      </c>
      <c r="J3596" s="83" t="s">
        <v>189</v>
      </c>
      <c r="K3596" s="113"/>
      <c r="L3596" s="113"/>
      <c r="M3596" s="113"/>
      <c r="N3596" s="113"/>
      <c r="O3596" s="113"/>
    </row>
    <row r="3597" spans="1:15" s="111" customFormat="1" hidden="1">
      <c r="A3597" s="111" t="str">
        <f t="shared" si="137"/>
        <v>USLOWES_LGBluetooth Speakerbluetooth speaker portablebluetooth speaker portable</v>
      </c>
      <c r="B3597" s="112" t="str">
        <f t="shared" si="136"/>
        <v>US_LOWES_LG</v>
      </c>
      <c r="C3597" s="113" t="s">
        <v>359</v>
      </c>
      <c r="D3597" s="113" t="s">
        <v>753</v>
      </c>
      <c r="E3597" s="113" t="s">
        <v>2470</v>
      </c>
      <c r="F3597" s="113" t="s">
        <v>2479</v>
      </c>
      <c r="G3597" s="113" t="s">
        <v>2479</v>
      </c>
      <c r="H3597" s="93" t="e">
        <v>#N/A</v>
      </c>
      <c r="I3597" s="99">
        <v>46076</v>
      </c>
      <c r="J3597" s="83" t="s">
        <v>189</v>
      </c>
      <c r="K3597" s="113"/>
      <c r="L3597" s="113"/>
      <c r="M3597" s="113"/>
      <c r="N3597" s="113"/>
      <c r="O3597" s="113"/>
    </row>
    <row r="3598" spans="1:15" s="111" customFormat="1" hidden="1">
      <c r="A3598" s="111" t="str">
        <f t="shared" si="137"/>
        <v>USLOWES_LGBluetooth Speakerwireless portable speakersPortable bluetooth speakers</v>
      </c>
      <c r="B3598" s="112" t="str">
        <f t="shared" si="136"/>
        <v>US_LOWES_LG</v>
      </c>
      <c r="C3598" s="113" t="s">
        <v>359</v>
      </c>
      <c r="D3598" s="113" t="s">
        <v>753</v>
      </c>
      <c r="E3598" s="113" t="s">
        <v>2470</v>
      </c>
      <c r="F3598" s="113" t="s">
        <v>2475</v>
      </c>
      <c r="G3598" s="113" t="s">
        <v>2426</v>
      </c>
      <c r="H3598" s="93" t="e">
        <v>#N/A</v>
      </c>
      <c r="I3598" s="99">
        <v>46076</v>
      </c>
      <c r="J3598" s="83" t="s">
        <v>189</v>
      </c>
      <c r="K3598" s="113"/>
      <c r="L3598" s="113"/>
      <c r="M3598" s="113"/>
      <c r="N3598" s="113"/>
      <c r="O3598" s="113"/>
    </row>
    <row r="3599" spans="1:15" s="111" customFormat="1" hidden="1">
      <c r="A3599" s="111" t="str">
        <f t="shared" si="137"/>
        <v>USLOWES_LGBluetooth Speakerportable speakersportable speakers</v>
      </c>
      <c r="B3599" s="112" t="str">
        <f t="shared" si="136"/>
        <v>US_LOWES_LG</v>
      </c>
      <c r="C3599" s="113" t="s">
        <v>359</v>
      </c>
      <c r="D3599" s="113" t="s">
        <v>753</v>
      </c>
      <c r="E3599" s="113" t="s">
        <v>2470</v>
      </c>
      <c r="F3599" s="113" t="s">
        <v>2473</v>
      </c>
      <c r="G3599" s="113" t="s">
        <v>2473</v>
      </c>
      <c r="H3599" s="93" t="e">
        <v>#N/A</v>
      </c>
      <c r="I3599" s="99">
        <v>46076</v>
      </c>
      <c r="J3599" s="83" t="s">
        <v>189</v>
      </c>
      <c r="K3599" s="113"/>
      <c r="L3599" s="113"/>
      <c r="M3599" s="113"/>
      <c r="N3599" s="113"/>
      <c r="O3599" s="113"/>
    </row>
    <row r="3600" spans="1:15" s="111" customFormat="1" hidden="1">
      <c r="A3600" s="111" t="str">
        <f t="shared" si="137"/>
        <v>USLOWES_LGBluetooth Speakerspeakersspeakers</v>
      </c>
      <c r="B3600" s="112" t="str">
        <f t="shared" si="136"/>
        <v>US_LOWES_LG</v>
      </c>
      <c r="C3600" s="113" t="s">
        <v>359</v>
      </c>
      <c r="D3600" s="113" t="s">
        <v>753</v>
      </c>
      <c r="E3600" s="113" t="s">
        <v>2470</v>
      </c>
      <c r="F3600" s="113" t="s">
        <v>2471</v>
      </c>
      <c r="G3600" s="113" t="s">
        <v>2471</v>
      </c>
      <c r="H3600" s="93" t="e">
        <v>#N/A</v>
      </c>
      <c r="I3600" s="99">
        <v>46076</v>
      </c>
      <c r="J3600" s="83" t="s">
        <v>189</v>
      </c>
      <c r="K3600" s="113"/>
      <c r="L3600" s="113"/>
      <c r="M3600" s="113"/>
      <c r="N3600" s="113"/>
      <c r="O3600" s="113"/>
    </row>
    <row r="3601" spans="1:15" s="111" customFormat="1" hidden="1">
      <c r="A3601" s="111" t="str">
        <f t="shared" si="137"/>
        <v>USLOWES_LGSoundbarsound barsound bar</v>
      </c>
      <c r="B3601" s="112" t="str">
        <f t="shared" si="136"/>
        <v>US_LOWES_LG</v>
      </c>
      <c r="C3601" s="113" t="s">
        <v>359</v>
      </c>
      <c r="D3601" s="113" t="s">
        <v>753</v>
      </c>
      <c r="E3601" s="113" t="s">
        <v>2363</v>
      </c>
      <c r="F3601" s="113" t="s">
        <v>2529</v>
      </c>
      <c r="G3601" s="113" t="s">
        <v>2529</v>
      </c>
      <c r="H3601" s="93" t="e">
        <v>#N/A</v>
      </c>
      <c r="I3601" s="99">
        <v>46076</v>
      </c>
      <c r="J3601" s="83" t="s">
        <v>189</v>
      </c>
      <c r="K3601" s="113"/>
      <c r="L3601" s="113"/>
      <c r="M3601" s="113"/>
      <c r="N3601" s="113"/>
      <c r="O3601" s="113"/>
    </row>
    <row r="3602" spans="1:15" s="111" customFormat="1" hidden="1">
      <c r="A3602" s="111" t="str">
        <f t="shared" si="137"/>
        <v>USLOWES_LGSoundbaraudioSoundbar</v>
      </c>
      <c r="B3602" s="112" t="str">
        <f t="shared" si="136"/>
        <v>US_LOWES_LG</v>
      </c>
      <c r="C3602" s="113" t="s">
        <v>359</v>
      </c>
      <c r="D3602" s="113" t="s">
        <v>753</v>
      </c>
      <c r="E3602" s="113" t="s">
        <v>2363</v>
      </c>
      <c r="F3602" s="113" t="s">
        <v>2528</v>
      </c>
      <c r="G3602" s="113" t="s">
        <v>2363</v>
      </c>
      <c r="H3602" s="93" t="e">
        <v>#N/A</v>
      </c>
      <c r="I3602" s="99">
        <v>46076</v>
      </c>
      <c r="J3602" s="83" t="s">
        <v>189</v>
      </c>
      <c r="K3602" s="113"/>
      <c r="L3602" s="113"/>
      <c r="M3602" s="113"/>
      <c r="N3602" s="113"/>
      <c r="O3602" s="113"/>
    </row>
    <row r="3603" spans="1:15" s="111" customFormat="1" hidden="1">
      <c r="A3603" s="111" t="str">
        <f t="shared" si="137"/>
        <v>USLOWES_LGSoundbarsoundbarssoundbars</v>
      </c>
      <c r="B3603" s="112" t="str">
        <f t="shared" si="136"/>
        <v>US_LOWES_LG</v>
      </c>
      <c r="C3603" s="113" t="s">
        <v>359</v>
      </c>
      <c r="D3603" s="113" t="s">
        <v>753</v>
      </c>
      <c r="E3603" s="113" t="s">
        <v>2363</v>
      </c>
      <c r="F3603" s="113" t="s">
        <v>2531</v>
      </c>
      <c r="G3603" s="113" t="s">
        <v>2531</v>
      </c>
      <c r="H3603" s="93" t="e">
        <v>#N/A</v>
      </c>
      <c r="I3603" s="99">
        <v>46076</v>
      </c>
      <c r="J3603" s="83" t="s">
        <v>189</v>
      </c>
      <c r="K3603" s="113"/>
      <c r="L3603" s="113"/>
      <c r="M3603" s="113"/>
      <c r="N3603" s="113"/>
      <c r="O3603" s="113"/>
    </row>
    <row r="3604" spans="1:15" s="111" customFormat="1" hidden="1">
      <c r="A3604" s="111" t="str">
        <f t="shared" si="137"/>
        <v>USLOWES_LGSoundbarsound systemSoundbars for tv</v>
      </c>
      <c r="B3604" s="112" t="str">
        <f t="shared" si="136"/>
        <v>US_LOWES_LG</v>
      </c>
      <c r="C3604" s="113" t="s">
        <v>359</v>
      </c>
      <c r="D3604" s="113" t="s">
        <v>753</v>
      </c>
      <c r="E3604" s="113" t="s">
        <v>2363</v>
      </c>
      <c r="F3604" s="113" t="s">
        <v>2530</v>
      </c>
      <c r="G3604" s="113" t="s">
        <v>3678</v>
      </c>
      <c r="H3604" s="93" t="e">
        <v>#N/A</v>
      </c>
      <c r="I3604" s="99">
        <v>46076</v>
      </c>
      <c r="J3604" s="83" t="s">
        <v>189</v>
      </c>
      <c r="K3604" s="113"/>
      <c r="L3604" s="113"/>
      <c r="M3604" s="113"/>
      <c r="N3604" s="113"/>
      <c r="O3604" s="113"/>
    </row>
    <row r="3605" spans="1:15" s="111" customFormat="1" hidden="1">
      <c r="A3605" s="111" t="str">
        <f t="shared" si="137"/>
        <v>USLOWES_LGSoundbarspeakersSoundbars with subwoofer</v>
      </c>
      <c r="B3605" s="112" t="str">
        <f t="shared" si="136"/>
        <v>US_LOWES_LG</v>
      </c>
      <c r="C3605" s="113" t="s">
        <v>359</v>
      </c>
      <c r="D3605" s="113" t="s">
        <v>753</v>
      </c>
      <c r="E3605" s="113" t="s">
        <v>2363</v>
      </c>
      <c r="F3605" s="113" t="s">
        <v>2471</v>
      </c>
      <c r="G3605" s="113" t="s">
        <v>3240</v>
      </c>
      <c r="H3605" s="93" t="e">
        <v>#N/A</v>
      </c>
      <c r="I3605" s="99">
        <v>46076</v>
      </c>
      <c r="J3605" s="83" t="s">
        <v>189</v>
      </c>
      <c r="K3605" s="113"/>
      <c r="L3605" s="113"/>
      <c r="M3605" s="113"/>
      <c r="N3605" s="113"/>
      <c r="O3605" s="113"/>
    </row>
    <row r="3606" spans="1:15" s="111" customFormat="1" hidden="1">
      <c r="A3606" s="111" t="str">
        <f t="shared" si="137"/>
        <v>USLOWES_LGWIRELESS HEADSETBluetooth earbudsBluetooth earbuds</v>
      </c>
      <c r="B3606" s="112" t="str">
        <f t="shared" si="136"/>
        <v>US_LOWES_LG</v>
      </c>
      <c r="C3606" s="113" t="s">
        <v>359</v>
      </c>
      <c r="D3606" s="113" t="s">
        <v>753</v>
      </c>
      <c r="E3606" s="113" t="s">
        <v>2201</v>
      </c>
      <c r="F3606" s="113" t="s">
        <v>2382</v>
      </c>
      <c r="G3606" s="113" t="s">
        <v>2382</v>
      </c>
      <c r="H3606" s="93" t="e">
        <v>#N/A</v>
      </c>
      <c r="I3606" s="99">
        <v>46076</v>
      </c>
      <c r="J3606" s="83" t="s">
        <v>189</v>
      </c>
      <c r="K3606" s="113"/>
      <c r="L3606" s="113"/>
      <c r="M3606" s="113"/>
      <c r="N3606" s="113"/>
      <c r="O3606" s="113"/>
    </row>
    <row r="3607" spans="1:15" s="111" customFormat="1" hidden="1">
      <c r="A3607" s="111" t="str">
        <f t="shared" si="137"/>
        <v>USLOWES_LGWIRELESS HEADSETEar budsEar buds</v>
      </c>
      <c r="B3607" s="112" t="str">
        <f t="shared" si="136"/>
        <v>US_LOWES_LG</v>
      </c>
      <c r="C3607" s="113" t="s">
        <v>359</v>
      </c>
      <c r="D3607" s="113" t="s">
        <v>753</v>
      </c>
      <c r="E3607" s="113" t="s">
        <v>2201</v>
      </c>
      <c r="F3607" s="113" t="s">
        <v>2380</v>
      </c>
      <c r="G3607" s="113" t="s">
        <v>2380</v>
      </c>
      <c r="H3607" s="93" t="e">
        <v>#N/A</v>
      </c>
      <c r="I3607" s="99">
        <v>46076</v>
      </c>
      <c r="J3607" s="83" t="s">
        <v>189</v>
      </c>
      <c r="K3607" s="113"/>
      <c r="L3607" s="113"/>
      <c r="M3607" s="113"/>
      <c r="N3607" s="113"/>
      <c r="O3607" s="113"/>
    </row>
    <row r="3608" spans="1:15" s="111" customFormat="1" hidden="1">
      <c r="A3608" s="111" t="str">
        <f t="shared" si="137"/>
        <v>USLOWES_LGWIRELESS HEADSETEarbudsEarbuds</v>
      </c>
      <c r="B3608" s="112" t="str">
        <f t="shared" si="136"/>
        <v>US_LOWES_LG</v>
      </c>
      <c r="C3608" s="113" t="s">
        <v>359</v>
      </c>
      <c r="D3608" s="113" t="s">
        <v>753</v>
      </c>
      <c r="E3608" s="113" t="s">
        <v>2201</v>
      </c>
      <c r="F3608" s="113" t="s">
        <v>2534</v>
      </c>
      <c r="G3608" s="113" t="s">
        <v>2534</v>
      </c>
      <c r="H3608" s="93" t="e">
        <v>#N/A</v>
      </c>
      <c r="I3608" s="99">
        <v>46076</v>
      </c>
      <c r="J3608" s="83" t="s">
        <v>189</v>
      </c>
      <c r="K3608" s="113"/>
      <c r="L3608" s="113"/>
      <c r="M3608" s="113"/>
      <c r="N3608" s="113"/>
      <c r="O3608" s="113"/>
    </row>
    <row r="3609" spans="1:15" s="111" customFormat="1" hidden="1">
      <c r="A3609" s="111" t="str">
        <f t="shared" si="137"/>
        <v>USLOWES_LGWIRELESS HEADSETBluetooth HeadphonesNoise cancelling earbuds</v>
      </c>
      <c r="B3609" s="112" t="str">
        <f t="shared" si="136"/>
        <v>US_LOWES_LG</v>
      </c>
      <c r="C3609" s="113" t="s">
        <v>359</v>
      </c>
      <c r="D3609" s="113" t="s">
        <v>753</v>
      </c>
      <c r="E3609" s="113" t="s">
        <v>2201</v>
      </c>
      <c r="F3609" s="113" t="s">
        <v>2533</v>
      </c>
      <c r="G3609" s="113" t="s">
        <v>2378</v>
      </c>
      <c r="H3609" s="93" t="e">
        <v>#N/A</v>
      </c>
      <c r="I3609" s="99">
        <v>46076</v>
      </c>
      <c r="J3609" s="83" t="s">
        <v>189</v>
      </c>
      <c r="K3609" s="113"/>
      <c r="L3609" s="113"/>
      <c r="M3609" s="113"/>
      <c r="N3609" s="113"/>
      <c r="O3609" s="113"/>
    </row>
    <row r="3610" spans="1:15" s="111" customFormat="1" hidden="1">
      <c r="A3610" s="111" t="str">
        <f t="shared" si="137"/>
        <v>USLOWES_LGWIRELESS HEADSETWireless earbudsWireless earbuds</v>
      </c>
      <c r="B3610" s="112" t="str">
        <f t="shared" ref="B3610:B3678" si="138">C3610&amp;"_"&amp;D3610</f>
        <v>US_LOWES_LG</v>
      </c>
      <c r="C3610" s="113" t="s">
        <v>359</v>
      </c>
      <c r="D3610" s="113" t="s">
        <v>753</v>
      </c>
      <c r="E3610" s="113" t="s">
        <v>2201</v>
      </c>
      <c r="F3610" s="113" t="s">
        <v>2376</v>
      </c>
      <c r="G3610" s="113" t="s">
        <v>2376</v>
      </c>
      <c r="H3610" s="93" t="e">
        <v>#N/A</v>
      </c>
      <c r="I3610" s="99">
        <v>46076</v>
      </c>
      <c r="J3610" s="83" t="s">
        <v>189</v>
      </c>
      <c r="K3610" s="113"/>
      <c r="L3610" s="113"/>
      <c r="M3610" s="113"/>
      <c r="N3610" s="113"/>
      <c r="O3610" s="113"/>
    </row>
    <row r="3611" spans="1:15" hidden="1">
      <c r="A3611" s="249" t="str">
        <f t="shared" si="137"/>
        <v>USSS.comAir Conditionerair conditionerair conditioner</v>
      </c>
      <c r="B3611" s="250" t="str">
        <f t="shared" si="138"/>
        <v>US_SS.com</v>
      </c>
      <c r="C3611" s="251" t="s">
        <v>359</v>
      </c>
      <c r="D3611" s="251" t="s">
        <v>184</v>
      </c>
      <c r="E3611" s="251" t="s">
        <v>2524</v>
      </c>
      <c r="F3611" s="251" t="s">
        <v>2347</v>
      </c>
      <c r="G3611" s="251" t="s">
        <v>2347</v>
      </c>
      <c r="H3611" s="93" t="s">
        <v>3693</v>
      </c>
      <c r="I3611" s="105" t="s">
        <v>2310</v>
      </c>
      <c r="J3611" s="93" t="s">
        <v>189</v>
      </c>
      <c r="K3611" s="93" t="e">
        <v>#N/A</v>
      </c>
      <c r="L3611" s="93" t="e">
        <v>#N/A</v>
      </c>
      <c r="M3611" s="93" t="s">
        <v>2393</v>
      </c>
      <c r="N3611" s="93">
        <f>VLOOKUP(B3611,'[16]01.수집 카테고리(List)'!$A$2:$H$64,8,FALSE)</f>
        <v>99991231</v>
      </c>
      <c r="O3611" s="93" t="s">
        <v>646</v>
      </c>
    </row>
    <row r="3612" spans="1:15" hidden="1">
      <c r="A3612" s="249" t="str">
        <f t="shared" si="137"/>
        <v>USSS.comAir Conditionerinverter air conditionerinverter air conditioner</v>
      </c>
      <c r="B3612" s="250" t="str">
        <f t="shared" si="138"/>
        <v>US_SS.com</v>
      </c>
      <c r="C3612" s="251" t="s">
        <v>359</v>
      </c>
      <c r="D3612" s="251" t="s">
        <v>184</v>
      </c>
      <c r="E3612" s="251" t="s">
        <v>2524</v>
      </c>
      <c r="F3612" s="251" t="s">
        <v>2348</v>
      </c>
      <c r="G3612" s="251" t="s">
        <v>2348</v>
      </c>
      <c r="H3612" s="93" t="e">
        <v>#N/A</v>
      </c>
      <c r="I3612" s="99">
        <v>46076</v>
      </c>
      <c r="J3612" s="83" t="s">
        <v>189</v>
      </c>
      <c r="K3612" s="93"/>
      <c r="L3612" s="93"/>
      <c r="M3612" s="93"/>
      <c r="N3612" s="93"/>
      <c r="O3612" s="93"/>
    </row>
    <row r="3613" spans="1:15" hidden="1">
      <c r="A3613" s="249" t="str">
        <f t="shared" si="137"/>
        <v>USSS.comAir Conditionersplit air conditionersplit air conditioner</v>
      </c>
      <c r="B3613" s="250" t="str">
        <f t="shared" si="138"/>
        <v>US_SS.com</v>
      </c>
      <c r="C3613" s="251" t="s">
        <v>359</v>
      </c>
      <c r="D3613" s="251" t="s">
        <v>184</v>
      </c>
      <c r="E3613" s="251" t="s">
        <v>2524</v>
      </c>
      <c r="F3613" s="251" t="s">
        <v>2422</v>
      </c>
      <c r="G3613" s="251" t="s">
        <v>2422</v>
      </c>
      <c r="H3613" s="93" t="e">
        <v>#N/A</v>
      </c>
      <c r="I3613" s="99">
        <v>46076</v>
      </c>
      <c r="J3613" s="83" t="s">
        <v>189</v>
      </c>
      <c r="K3613" s="93"/>
      <c r="L3613" s="93"/>
      <c r="M3613" s="93"/>
      <c r="N3613" s="93"/>
      <c r="O3613" s="93"/>
    </row>
    <row r="3614" spans="1:15" hidden="1">
      <c r="A3614" s="249" t="str">
        <f t="shared" si="137"/>
        <v>USSS.comAir Conditionersplit inverter air conditionersplit inverter air conditioner</v>
      </c>
      <c r="B3614" s="250" t="str">
        <f t="shared" si="138"/>
        <v>US_SS.com</v>
      </c>
      <c r="C3614" s="251" t="s">
        <v>359</v>
      </c>
      <c r="D3614" s="251" t="s">
        <v>184</v>
      </c>
      <c r="E3614" s="251" t="s">
        <v>2524</v>
      </c>
      <c r="F3614" s="251" t="s">
        <v>2423</v>
      </c>
      <c r="G3614" s="251" t="s">
        <v>2423</v>
      </c>
      <c r="H3614" s="93" t="e">
        <v>#N/A</v>
      </c>
      <c r="I3614" s="99">
        <v>46076</v>
      </c>
      <c r="J3614" s="83" t="s">
        <v>189</v>
      </c>
      <c r="K3614" s="93"/>
      <c r="L3614" s="93"/>
      <c r="M3614" s="93"/>
      <c r="N3614" s="93"/>
      <c r="O3614" s="93"/>
    </row>
    <row r="3615" spans="1:15" hidden="1">
      <c r="A3615" s="249" t="str">
        <f t="shared" si="137"/>
        <v>USSS.comAir Conditionerwindow air conditionerwindow air conditioner</v>
      </c>
      <c r="B3615" s="250" t="str">
        <f t="shared" si="138"/>
        <v>US_SS.com</v>
      </c>
      <c r="C3615" s="251" t="s">
        <v>359</v>
      </c>
      <c r="D3615" s="251" t="s">
        <v>184</v>
      </c>
      <c r="E3615" s="251" t="s">
        <v>2524</v>
      </c>
      <c r="F3615" s="251" t="s">
        <v>2350</v>
      </c>
      <c r="G3615" s="251" t="s">
        <v>2350</v>
      </c>
      <c r="H3615" s="93" t="e">
        <v>#N/A</v>
      </c>
      <c r="I3615" s="99">
        <v>46076</v>
      </c>
      <c r="J3615" s="83" t="s">
        <v>189</v>
      </c>
      <c r="K3615" s="93"/>
      <c r="L3615" s="93"/>
      <c r="M3615" s="93"/>
      <c r="N3615" s="93"/>
      <c r="O3615" s="93"/>
    </row>
    <row r="3616" spans="1:15" hidden="1">
      <c r="A3616" s="249" t="str">
        <f t="shared" si="137"/>
        <v>USSS.comAir Conditionerwindow inverter air conditionerwindow inverter air conditioner</v>
      </c>
      <c r="B3616" s="250" t="str">
        <f t="shared" si="138"/>
        <v>US_SS.com</v>
      </c>
      <c r="C3616" s="251" t="s">
        <v>359</v>
      </c>
      <c r="D3616" s="251" t="s">
        <v>184</v>
      </c>
      <c r="E3616" s="251" t="s">
        <v>2524</v>
      </c>
      <c r="F3616" s="251" t="s">
        <v>2424</v>
      </c>
      <c r="G3616" s="251" t="s">
        <v>2424</v>
      </c>
      <c r="H3616" s="93" t="e">
        <v>#N/A</v>
      </c>
      <c r="I3616" s="99">
        <v>46076</v>
      </c>
      <c r="J3616" s="83" t="s">
        <v>189</v>
      </c>
      <c r="K3616" s="93"/>
      <c r="L3616" s="93"/>
      <c r="M3616" s="93"/>
      <c r="N3616" s="93"/>
      <c r="O3616" s="93"/>
    </row>
    <row r="3617" spans="1:15" hidden="1">
      <c r="A3617" s="75" t="str">
        <f t="shared" si="137"/>
        <v>USSS.comMonitorgaming monitorgaming monitor</v>
      </c>
      <c r="B3617" s="94" t="str">
        <f t="shared" si="138"/>
        <v>US_SS.com</v>
      </c>
      <c r="C3617" s="93" t="s">
        <v>359</v>
      </c>
      <c r="D3617" s="93" t="s">
        <v>184</v>
      </c>
      <c r="E3617" s="93" t="s">
        <v>2320</v>
      </c>
      <c r="F3617" s="93" t="s">
        <v>2322</v>
      </c>
      <c r="G3617" s="93" t="s">
        <v>2322</v>
      </c>
      <c r="H3617" s="93" t="e">
        <v>#N/A</v>
      </c>
      <c r="I3617" s="105" t="s">
        <v>2310</v>
      </c>
      <c r="J3617" s="93" t="s">
        <v>189</v>
      </c>
      <c r="K3617" s="93">
        <v>5546</v>
      </c>
      <c r="L3617" s="93">
        <v>5546</v>
      </c>
      <c r="M3617" s="93" t="s">
        <v>2311</v>
      </c>
      <c r="N3617" s="93">
        <f>VLOOKUP(B3617,'[16]01.수집 카테고리(List)'!$A$2:$H$64,8,FALSE)</f>
        <v>99991231</v>
      </c>
      <c r="O3617" s="93" t="s">
        <v>646</v>
      </c>
    </row>
    <row r="3618" spans="1:15" hidden="1">
      <c r="A3618" s="75" t="str">
        <f t="shared" si="137"/>
        <v>USSS.comMonitormonitormonitor</v>
      </c>
      <c r="B3618" s="94" t="str">
        <f t="shared" si="138"/>
        <v>US_SS.com</v>
      </c>
      <c r="C3618" s="93" t="s">
        <v>359</v>
      </c>
      <c r="D3618" s="93" t="s">
        <v>184</v>
      </c>
      <c r="E3618" s="93" t="s">
        <v>2320</v>
      </c>
      <c r="F3618" s="93" t="s">
        <v>2323</v>
      </c>
      <c r="G3618" s="93" t="s">
        <v>2323</v>
      </c>
      <c r="H3618" s="93" t="e">
        <v>#N/A</v>
      </c>
      <c r="I3618" s="105" t="s">
        <v>2310</v>
      </c>
      <c r="J3618" s="93" t="s">
        <v>189</v>
      </c>
      <c r="K3618" s="93">
        <v>22815</v>
      </c>
      <c r="L3618" s="93">
        <v>22815</v>
      </c>
      <c r="M3618" s="93" t="s">
        <v>2311</v>
      </c>
      <c r="N3618" s="93">
        <f>VLOOKUP(B3618,'[16]01.수집 카테고리(List)'!$A$2:$H$64,8,FALSE)</f>
        <v>99991231</v>
      </c>
      <c r="O3618" s="93" t="s">
        <v>646</v>
      </c>
    </row>
    <row r="3619" spans="1:15" hidden="1">
      <c r="A3619" s="75" t="str">
        <f t="shared" si="137"/>
        <v>USSS.comRefrigeratorfridgefridge</v>
      </c>
      <c r="B3619" s="94" t="str">
        <f t="shared" si="138"/>
        <v>US_SS.com</v>
      </c>
      <c r="C3619" s="93" t="s">
        <v>359</v>
      </c>
      <c r="D3619" s="93" t="s">
        <v>184</v>
      </c>
      <c r="E3619" s="93" t="s">
        <v>2326</v>
      </c>
      <c r="F3619" s="93" t="s">
        <v>2414</v>
      </c>
      <c r="G3619" s="93" t="s">
        <v>2414</v>
      </c>
      <c r="H3619" s="93" t="e">
        <v>#N/A</v>
      </c>
      <c r="I3619" s="105" t="s">
        <v>2310</v>
      </c>
      <c r="J3619" s="93" t="s">
        <v>189</v>
      </c>
      <c r="K3619" s="93">
        <v>44</v>
      </c>
      <c r="L3619" s="93">
        <v>44</v>
      </c>
      <c r="M3619" s="93" t="s">
        <v>2311</v>
      </c>
      <c r="N3619" s="93">
        <f>VLOOKUP(B3619,'[16]01.수집 카테고리(List)'!$A$2:$H$64,8,FALSE)</f>
        <v>99991231</v>
      </c>
      <c r="O3619" s="93" t="s">
        <v>646</v>
      </c>
    </row>
    <row r="3620" spans="1:15" hidden="1">
      <c r="A3620" s="75" t="str">
        <f t="shared" si="137"/>
        <v>USSS.comRefrigeratorrefrigeratorrefrigerator</v>
      </c>
      <c r="B3620" s="94" t="str">
        <f t="shared" si="138"/>
        <v>US_SS.com</v>
      </c>
      <c r="C3620" s="93" t="s">
        <v>359</v>
      </c>
      <c r="D3620" s="93" t="s">
        <v>184</v>
      </c>
      <c r="E3620" s="93" t="s">
        <v>2326</v>
      </c>
      <c r="F3620" s="93" t="s">
        <v>2329</v>
      </c>
      <c r="G3620" s="93" t="s">
        <v>2329</v>
      </c>
      <c r="H3620" s="93" t="e">
        <v>#N/A</v>
      </c>
      <c r="I3620" s="105" t="s">
        <v>2310</v>
      </c>
      <c r="J3620" s="93" t="s">
        <v>189</v>
      </c>
      <c r="K3620" s="93">
        <v>3868</v>
      </c>
      <c r="L3620" s="93">
        <v>3868</v>
      </c>
      <c r="M3620" s="93" t="s">
        <v>2311</v>
      </c>
      <c r="N3620" s="93">
        <f>VLOOKUP(B3620,'[16]01.수집 카테고리(List)'!$A$2:$H$64,8,FALSE)</f>
        <v>99991231</v>
      </c>
      <c r="O3620" s="93" t="s">
        <v>646</v>
      </c>
    </row>
    <row r="3621" spans="1:15" hidden="1">
      <c r="A3621" s="75" t="str">
        <f t="shared" si="137"/>
        <v>USSS.comTVtvtv</v>
      </c>
      <c r="B3621" s="94" t="str">
        <f t="shared" si="138"/>
        <v>US_SS.com</v>
      </c>
      <c r="C3621" s="93" t="s">
        <v>359</v>
      </c>
      <c r="D3621" s="93" t="s">
        <v>184</v>
      </c>
      <c r="E3621" s="93" t="s">
        <v>161</v>
      </c>
      <c r="F3621" s="93" t="s">
        <v>2444</v>
      </c>
      <c r="G3621" s="93" t="s">
        <v>2444</v>
      </c>
      <c r="H3621" s="93" t="e">
        <v>#N/A</v>
      </c>
      <c r="I3621" s="105" t="s">
        <v>2310</v>
      </c>
      <c r="J3621" s="93" t="s">
        <v>189</v>
      </c>
      <c r="K3621" s="93">
        <v>380</v>
      </c>
      <c r="L3621" s="93">
        <v>380</v>
      </c>
      <c r="M3621" s="93" t="s">
        <v>2311</v>
      </c>
      <c r="N3621" s="93">
        <f>VLOOKUP(B3621,'[16]01.수집 카테고리(List)'!$A$2:$H$64,8,FALSE)</f>
        <v>99991231</v>
      </c>
      <c r="O3621" s="93" t="s">
        <v>646</v>
      </c>
    </row>
    <row r="3622" spans="1:15" hidden="1">
      <c r="A3622" s="75" t="str">
        <f t="shared" si="137"/>
        <v>USSS.comWashing Machinewasher dryerwasher dryer</v>
      </c>
      <c r="B3622" s="94" t="str">
        <f t="shared" si="138"/>
        <v>US_SS.com</v>
      </c>
      <c r="C3622" s="93" t="s">
        <v>359</v>
      </c>
      <c r="D3622" s="93" t="s">
        <v>184</v>
      </c>
      <c r="E3622" s="93" t="s">
        <v>2333</v>
      </c>
      <c r="F3622" s="93" t="s">
        <v>2339</v>
      </c>
      <c r="G3622" s="93" t="s">
        <v>2339</v>
      </c>
      <c r="H3622" s="93" t="e">
        <v>#N/A</v>
      </c>
      <c r="I3622" s="105" t="s">
        <v>2310</v>
      </c>
      <c r="J3622" s="93" t="s">
        <v>189</v>
      </c>
      <c r="K3622" s="93">
        <v>83</v>
      </c>
      <c r="L3622" s="93">
        <v>83</v>
      </c>
      <c r="M3622" s="93" t="s">
        <v>2311</v>
      </c>
      <c r="N3622" s="93">
        <f>VLOOKUP(B3622,'[16]01.수집 카테고리(List)'!$A$2:$H$64,8,FALSE)</f>
        <v>99991231</v>
      </c>
      <c r="O3622" s="93" t="s">
        <v>646</v>
      </c>
    </row>
    <row r="3623" spans="1:15" hidden="1">
      <c r="A3623" s="75" t="str">
        <f t="shared" si="137"/>
        <v>USSS.comWashing Machinewashing machinewashing machine</v>
      </c>
      <c r="B3623" s="94" t="str">
        <f t="shared" si="138"/>
        <v>US_SS.com</v>
      </c>
      <c r="C3623" s="93" t="s">
        <v>359</v>
      </c>
      <c r="D3623" s="93" t="s">
        <v>184</v>
      </c>
      <c r="E3623" s="93" t="s">
        <v>2333</v>
      </c>
      <c r="F3623" s="93" t="s">
        <v>2340</v>
      </c>
      <c r="G3623" s="93" t="s">
        <v>2340</v>
      </c>
      <c r="H3623" s="93" t="e">
        <v>#N/A</v>
      </c>
      <c r="I3623" s="105" t="s">
        <v>2310</v>
      </c>
      <c r="J3623" s="93" t="s">
        <v>189</v>
      </c>
      <c r="K3623" s="93">
        <v>1980</v>
      </c>
      <c r="L3623" s="93">
        <v>1980</v>
      </c>
      <c r="M3623" s="93" t="s">
        <v>2311</v>
      </c>
      <c r="N3623" s="93">
        <f>VLOOKUP(B3623,'[16]01.수집 카테고리(List)'!$A$2:$H$64,8,FALSE)</f>
        <v>99991231</v>
      </c>
      <c r="O3623" s="93" t="s">
        <v>646</v>
      </c>
    </row>
    <row r="3624" spans="1:15" s="111" customFormat="1" hidden="1">
      <c r="A3624" s="111" t="str">
        <f t="shared" si="137"/>
        <v>USSS.comBluetooth Speakerbluetooth speakerbluetooth speaker</v>
      </c>
      <c r="B3624" s="112" t="str">
        <f t="shared" si="138"/>
        <v>US_SS.com</v>
      </c>
      <c r="C3624" s="113" t="s">
        <v>359</v>
      </c>
      <c r="D3624" s="113" t="s">
        <v>184</v>
      </c>
      <c r="E3624" s="113" t="s">
        <v>2470</v>
      </c>
      <c r="F3624" s="113" t="s">
        <v>2657</v>
      </c>
      <c r="G3624" s="113" t="s">
        <v>2657</v>
      </c>
      <c r="H3624" s="93" t="e">
        <v>#N/A</v>
      </c>
      <c r="I3624" s="99">
        <v>46076</v>
      </c>
      <c r="J3624" s="83" t="s">
        <v>189</v>
      </c>
      <c r="K3624" s="113"/>
      <c r="L3624" s="113"/>
      <c r="M3624" s="113"/>
      <c r="N3624" s="113"/>
      <c r="O3624" s="113"/>
    </row>
    <row r="3625" spans="1:15" s="111" customFormat="1" hidden="1">
      <c r="A3625" s="111" t="str">
        <f t="shared" si="137"/>
        <v>USSS.comBluetooth Speakerbluetooth speaker portablebluetooth speaker portable</v>
      </c>
      <c r="B3625" s="112" t="str">
        <f t="shared" si="138"/>
        <v>US_SS.com</v>
      </c>
      <c r="C3625" s="113" t="s">
        <v>359</v>
      </c>
      <c r="D3625" s="113" t="s">
        <v>184</v>
      </c>
      <c r="E3625" s="113" t="s">
        <v>2470</v>
      </c>
      <c r="F3625" s="113" t="s">
        <v>2479</v>
      </c>
      <c r="G3625" s="113" t="s">
        <v>2479</v>
      </c>
      <c r="H3625" s="93" t="e">
        <v>#N/A</v>
      </c>
      <c r="I3625" s="99">
        <v>46076</v>
      </c>
      <c r="J3625" s="83" t="s">
        <v>189</v>
      </c>
      <c r="K3625" s="113"/>
      <c r="L3625" s="113"/>
      <c r="M3625" s="113"/>
      <c r="N3625" s="113"/>
      <c r="O3625" s="113"/>
    </row>
    <row r="3626" spans="1:15" s="111" customFormat="1" hidden="1">
      <c r="A3626" s="111" t="str">
        <f t="shared" si="137"/>
        <v>USSS.comBluetooth Speakerwireless portable speakersPortable bluetooth speakers</v>
      </c>
      <c r="B3626" s="112" t="str">
        <f t="shared" si="138"/>
        <v>US_SS.com</v>
      </c>
      <c r="C3626" s="113" t="s">
        <v>359</v>
      </c>
      <c r="D3626" s="113" t="s">
        <v>184</v>
      </c>
      <c r="E3626" s="113" t="s">
        <v>2470</v>
      </c>
      <c r="F3626" s="113" t="s">
        <v>2475</v>
      </c>
      <c r="G3626" s="113" t="s">
        <v>2426</v>
      </c>
      <c r="H3626" s="93" t="e">
        <v>#N/A</v>
      </c>
      <c r="I3626" s="99">
        <v>46076</v>
      </c>
      <c r="J3626" s="83" t="s">
        <v>189</v>
      </c>
      <c r="K3626" s="113"/>
      <c r="L3626" s="113"/>
      <c r="M3626" s="113"/>
      <c r="N3626" s="113"/>
      <c r="O3626" s="113"/>
    </row>
    <row r="3627" spans="1:15" s="111" customFormat="1" hidden="1">
      <c r="A3627" s="111" t="str">
        <f t="shared" si="137"/>
        <v>USSS.comBluetooth Speakerportable speakersportable speakers</v>
      </c>
      <c r="B3627" s="112" t="str">
        <f t="shared" si="138"/>
        <v>US_SS.com</v>
      </c>
      <c r="C3627" s="113" t="s">
        <v>359</v>
      </c>
      <c r="D3627" s="113" t="s">
        <v>184</v>
      </c>
      <c r="E3627" s="113" t="s">
        <v>2470</v>
      </c>
      <c r="F3627" s="113" t="s">
        <v>2473</v>
      </c>
      <c r="G3627" s="113" t="s">
        <v>2473</v>
      </c>
      <c r="H3627" s="93" t="e">
        <v>#N/A</v>
      </c>
      <c r="I3627" s="99">
        <v>46076</v>
      </c>
      <c r="J3627" s="83" t="s">
        <v>189</v>
      </c>
      <c r="K3627" s="113"/>
      <c r="L3627" s="113"/>
      <c r="M3627" s="113"/>
      <c r="N3627" s="113"/>
      <c r="O3627" s="113"/>
    </row>
    <row r="3628" spans="1:15" s="111" customFormat="1" hidden="1">
      <c r="A3628" s="111" t="str">
        <f t="shared" ref="A3628:A3691" si="139">C3628&amp;D3628&amp;E3628&amp;F3628&amp;G3628</f>
        <v>USSS.comBluetooth Speakerspeakersspeakers</v>
      </c>
      <c r="B3628" s="112" t="str">
        <f t="shared" si="138"/>
        <v>US_SS.com</v>
      </c>
      <c r="C3628" s="113" t="s">
        <v>359</v>
      </c>
      <c r="D3628" s="113" t="s">
        <v>184</v>
      </c>
      <c r="E3628" s="113" t="s">
        <v>2470</v>
      </c>
      <c r="F3628" s="113" t="s">
        <v>2471</v>
      </c>
      <c r="G3628" s="113" t="s">
        <v>2471</v>
      </c>
      <c r="H3628" s="93" t="e">
        <v>#N/A</v>
      </c>
      <c r="I3628" s="99">
        <v>46076</v>
      </c>
      <c r="J3628" s="83" t="s">
        <v>189</v>
      </c>
      <c r="K3628" s="113"/>
      <c r="L3628" s="113"/>
      <c r="M3628" s="113"/>
      <c r="N3628" s="113"/>
      <c r="O3628" s="113"/>
    </row>
    <row r="3629" spans="1:15" s="111" customFormat="1" hidden="1">
      <c r="A3629" s="111" t="str">
        <f t="shared" si="139"/>
        <v>USSS.comSoundbarsound barsound bar</v>
      </c>
      <c r="B3629" s="112" t="str">
        <f t="shared" si="138"/>
        <v>US_SS.com</v>
      </c>
      <c r="C3629" s="113" t="s">
        <v>359</v>
      </c>
      <c r="D3629" s="113" t="s">
        <v>184</v>
      </c>
      <c r="E3629" s="113" t="s">
        <v>2363</v>
      </c>
      <c r="F3629" s="113" t="s">
        <v>2529</v>
      </c>
      <c r="G3629" s="113" t="s">
        <v>2529</v>
      </c>
      <c r="H3629" s="93" t="e">
        <v>#N/A</v>
      </c>
      <c r="I3629" s="99">
        <v>46076</v>
      </c>
      <c r="J3629" s="83" t="s">
        <v>189</v>
      </c>
      <c r="K3629" s="113"/>
      <c r="L3629" s="113"/>
      <c r="M3629" s="113"/>
      <c r="N3629" s="113"/>
      <c r="O3629" s="113"/>
    </row>
    <row r="3630" spans="1:15" s="111" customFormat="1" hidden="1">
      <c r="A3630" s="111" t="str">
        <f t="shared" si="139"/>
        <v>USSS.comSoundbaraudioSoundbar</v>
      </c>
      <c r="B3630" s="112" t="str">
        <f t="shared" si="138"/>
        <v>US_SS.com</v>
      </c>
      <c r="C3630" s="113" t="s">
        <v>359</v>
      </c>
      <c r="D3630" s="113" t="s">
        <v>184</v>
      </c>
      <c r="E3630" s="113" t="s">
        <v>2363</v>
      </c>
      <c r="F3630" s="113" t="s">
        <v>2528</v>
      </c>
      <c r="G3630" s="113" t="s">
        <v>2363</v>
      </c>
      <c r="H3630" s="93" t="e">
        <v>#N/A</v>
      </c>
      <c r="I3630" s="99">
        <v>46076</v>
      </c>
      <c r="J3630" s="83" t="s">
        <v>189</v>
      </c>
      <c r="K3630" s="113"/>
      <c r="L3630" s="113"/>
      <c r="M3630" s="113"/>
      <c r="N3630" s="113"/>
      <c r="O3630" s="113"/>
    </row>
    <row r="3631" spans="1:15" s="111" customFormat="1" hidden="1">
      <c r="A3631" s="111" t="str">
        <f t="shared" si="139"/>
        <v>USSS.comSoundbarsoundbarssoundbars</v>
      </c>
      <c r="B3631" s="112" t="str">
        <f t="shared" si="138"/>
        <v>US_SS.com</v>
      </c>
      <c r="C3631" s="113" t="s">
        <v>359</v>
      </c>
      <c r="D3631" s="113" t="s">
        <v>184</v>
      </c>
      <c r="E3631" s="113" t="s">
        <v>2363</v>
      </c>
      <c r="F3631" s="113" t="s">
        <v>2531</v>
      </c>
      <c r="G3631" s="113" t="s">
        <v>2531</v>
      </c>
      <c r="H3631" s="93" t="e">
        <v>#N/A</v>
      </c>
      <c r="I3631" s="99">
        <v>46076</v>
      </c>
      <c r="J3631" s="83" t="s">
        <v>189</v>
      </c>
      <c r="K3631" s="113"/>
      <c r="L3631" s="113"/>
      <c r="M3631" s="113"/>
      <c r="N3631" s="113"/>
      <c r="O3631" s="113"/>
    </row>
    <row r="3632" spans="1:15" s="111" customFormat="1" hidden="1">
      <c r="A3632" s="111" t="str">
        <f t="shared" si="139"/>
        <v>USSS.comSoundbarsound systemSoundbars for tv</v>
      </c>
      <c r="B3632" s="112" t="str">
        <f t="shared" si="138"/>
        <v>US_SS.com</v>
      </c>
      <c r="C3632" s="113" t="s">
        <v>359</v>
      </c>
      <c r="D3632" s="113" t="s">
        <v>184</v>
      </c>
      <c r="E3632" s="113" t="s">
        <v>2363</v>
      </c>
      <c r="F3632" s="113" t="s">
        <v>2530</v>
      </c>
      <c r="G3632" s="113" t="s">
        <v>3678</v>
      </c>
      <c r="H3632" s="93" t="e">
        <v>#N/A</v>
      </c>
      <c r="I3632" s="99">
        <v>46076</v>
      </c>
      <c r="J3632" s="83" t="s">
        <v>189</v>
      </c>
      <c r="K3632" s="113"/>
      <c r="L3632" s="113"/>
      <c r="M3632" s="113"/>
      <c r="N3632" s="113"/>
      <c r="O3632" s="113"/>
    </row>
    <row r="3633" spans="1:15" s="111" customFormat="1" hidden="1">
      <c r="A3633" s="111" t="str">
        <f t="shared" si="139"/>
        <v>USSS.comSoundbarspeakersSoundbars with subwoofer</v>
      </c>
      <c r="B3633" s="112" t="str">
        <f t="shared" si="138"/>
        <v>US_SS.com</v>
      </c>
      <c r="C3633" s="113" t="s">
        <v>359</v>
      </c>
      <c r="D3633" s="113" t="s">
        <v>184</v>
      </c>
      <c r="E3633" s="113" t="s">
        <v>2363</v>
      </c>
      <c r="F3633" s="113" t="s">
        <v>2471</v>
      </c>
      <c r="G3633" s="113" t="s">
        <v>3240</v>
      </c>
      <c r="H3633" s="93" t="e">
        <v>#N/A</v>
      </c>
      <c r="I3633" s="99">
        <v>46076</v>
      </c>
      <c r="J3633" s="83" t="s">
        <v>189</v>
      </c>
      <c r="K3633" s="113"/>
      <c r="L3633" s="113"/>
      <c r="M3633" s="113"/>
      <c r="N3633" s="113"/>
      <c r="O3633" s="113"/>
    </row>
    <row r="3634" spans="1:15" s="111" customFormat="1" hidden="1">
      <c r="A3634" s="111" t="str">
        <f t="shared" si="139"/>
        <v>USSS.comWIRELESS HEADSETBluetooth earbudsBluetooth earbuds</v>
      </c>
      <c r="B3634" s="112" t="str">
        <f t="shared" si="138"/>
        <v>US_SS.com</v>
      </c>
      <c r="C3634" s="113" t="s">
        <v>359</v>
      </c>
      <c r="D3634" s="113" t="s">
        <v>184</v>
      </c>
      <c r="E3634" s="113" t="s">
        <v>2201</v>
      </c>
      <c r="F3634" s="113" t="s">
        <v>2382</v>
      </c>
      <c r="G3634" s="113" t="s">
        <v>2382</v>
      </c>
      <c r="H3634" s="93" t="e">
        <v>#N/A</v>
      </c>
      <c r="I3634" s="99">
        <v>46076</v>
      </c>
      <c r="J3634" s="83" t="s">
        <v>189</v>
      </c>
      <c r="K3634" s="113"/>
      <c r="L3634" s="113"/>
      <c r="M3634" s="113"/>
      <c r="N3634" s="113"/>
      <c r="O3634" s="113"/>
    </row>
    <row r="3635" spans="1:15" s="111" customFormat="1" hidden="1">
      <c r="A3635" s="111" t="str">
        <f t="shared" si="139"/>
        <v>USSS.comWIRELESS HEADSETEar budsEar buds</v>
      </c>
      <c r="B3635" s="112" t="str">
        <f t="shared" si="138"/>
        <v>US_SS.com</v>
      </c>
      <c r="C3635" s="113" t="s">
        <v>359</v>
      </c>
      <c r="D3635" s="113" t="s">
        <v>184</v>
      </c>
      <c r="E3635" s="113" t="s">
        <v>2201</v>
      </c>
      <c r="F3635" s="113" t="s">
        <v>2380</v>
      </c>
      <c r="G3635" s="113" t="s">
        <v>2380</v>
      </c>
      <c r="H3635" s="93" t="e">
        <v>#N/A</v>
      </c>
      <c r="I3635" s="99">
        <v>46076</v>
      </c>
      <c r="J3635" s="83" t="s">
        <v>189</v>
      </c>
      <c r="K3635" s="113"/>
      <c r="L3635" s="113"/>
      <c r="M3635" s="113"/>
      <c r="N3635" s="113"/>
      <c r="O3635" s="113"/>
    </row>
    <row r="3636" spans="1:15" s="111" customFormat="1" hidden="1">
      <c r="A3636" s="111" t="str">
        <f t="shared" si="139"/>
        <v>USSS.comWIRELESS HEADSETEarbudsEarbuds</v>
      </c>
      <c r="B3636" s="112" t="str">
        <f t="shared" si="138"/>
        <v>US_SS.com</v>
      </c>
      <c r="C3636" s="113" t="s">
        <v>359</v>
      </c>
      <c r="D3636" s="113" t="s">
        <v>184</v>
      </c>
      <c r="E3636" s="113" t="s">
        <v>2201</v>
      </c>
      <c r="F3636" s="113" t="s">
        <v>2534</v>
      </c>
      <c r="G3636" s="113" t="s">
        <v>2534</v>
      </c>
      <c r="H3636" s="93" t="e">
        <v>#N/A</v>
      </c>
      <c r="I3636" s="99">
        <v>46076</v>
      </c>
      <c r="J3636" s="83" t="s">
        <v>189</v>
      </c>
      <c r="K3636" s="113"/>
      <c r="L3636" s="113"/>
      <c r="M3636" s="113"/>
      <c r="N3636" s="113"/>
      <c r="O3636" s="113"/>
    </row>
    <row r="3637" spans="1:15" s="111" customFormat="1" hidden="1">
      <c r="A3637" s="111" t="str">
        <f t="shared" si="139"/>
        <v>USSS.comWIRELESS HEADSETBluetooth HeadphonesNoise cancelling earbuds</v>
      </c>
      <c r="B3637" s="112" t="str">
        <f t="shared" si="138"/>
        <v>US_SS.com</v>
      </c>
      <c r="C3637" s="113" t="s">
        <v>359</v>
      </c>
      <c r="D3637" s="113" t="s">
        <v>184</v>
      </c>
      <c r="E3637" s="113" t="s">
        <v>2201</v>
      </c>
      <c r="F3637" s="113" t="s">
        <v>2533</v>
      </c>
      <c r="G3637" s="113" t="s">
        <v>2378</v>
      </c>
      <c r="H3637" s="93" t="e">
        <v>#N/A</v>
      </c>
      <c r="I3637" s="99">
        <v>46076</v>
      </c>
      <c r="J3637" s="83" t="s">
        <v>189</v>
      </c>
      <c r="K3637" s="113"/>
      <c r="L3637" s="113"/>
      <c r="M3637" s="113"/>
      <c r="N3637" s="113"/>
      <c r="O3637" s="113"/>
    </row>
    <row r="3638" spans="1:15" s="111" customFormat="1" hidden="1">
      <c r="A3638" s="111" t="str">
        <f t="shared" si="139"/>
        <v>USSS.comWIRELESS HEADSETWireless earbudsWireless earbuds</v>
      </c>
      <c r="B3638" s="112" t="str">
        <f t="shared" si="138"/>
        <v>US_SS.com</v>
      </c>
      <c r="C3638" s="113" t="s">
        <v>359</v>
      </c>
      <c r="D3638" s="113" t="s">
        <v>184</v>
      </c>
      <c r="E3638" s="113" t="s">
        <v>2201</v>
      </c>
      <c r="F3638" s="113" t="s">
        <v>2376</v>
      </c>
      <c r="G3638" s="113" t="s">
        <v>2376</v>
      </c>
      <c r="H3638" s="93" t="e">
        <v>#N/A</v>
      </c>
      <c r="I3638" s="99">
        <v>46076</v>
      </c>
      <c r="J3638" s="83" t="s">
        <v>189</v>
      </c>
      <c r="K3638" s="113"/>
      <c r="L3638" s="113"/>
      <c r="M3638" s="113"/>
      <c r="N3638" s="113"/>
      <c r="O3638" s="113"/>
    </row>
    <row r="3639" spans="1:15" hidden="1">
      <c r="A3639" s="75" t="str">
        <f t="shared" si="139"/>
        <v>USTARGETBluetooth Speakerbluetooth speakerbluetooth speaker</v>
      </c>
      <c r="B3639" s="94" t="str">
        <f t="shared" si="138"/>
        <v>US_TARGET</v>
      </c>
      <c r="C3639" s="93" t="s">
        <v>359</v>
      </c>
      <c r="D3639" s="93" t="s">
        <v>512</v>
      </c>
      <c r="E3639" s="93" t="s">
        <v>2307</v>
      </c>
      <c r="F3639" s="93" t="s">
        <v>2657</v>
      </c>
      <c r="G3639" s="93" t="s">
        <v>2657</v>
      </c>
      <c r="H3639" s="93" t="e">
        <v>#N/A</v>
      </c>
      <c r="I3639" s="105" t="s">
        <v>2310</v>
      </c>
      <c r="J3639" s="93" t="s">
        <v>189</v>
      </c>
      <c r="K3639" s="93">
        <v>5954</v>
      </c>
      <c r="L3639" s="93">
        <v>5954</v>
      </c>
      <c r="M3639" s="93" t="s">
        <v>2311</v>
      </c>
      <c r="N3639" s="93" t="e">
        <f>VLOOKUP(B3639,'[16]01.수집 카테고리(List)'!$A$2:$H$64,8,FALSE)</f>
        <v>#N/A</v>
      </c>
      <c r="O3639" s="93"/>
    </row>
    <row r="3640" spans="1:15" hidden="1">
      <c r="A3640" s="75" t="str">
        <f t="shared" si="139"/>
        <v>USTARGETBluetooth Speakerbluetooth speaker portablebluetooth speaker portable</v>
      </c>
      <c r="B3640" s="94" t="str">
        <f t="shared" si="138"/>
        <v>US_TARGET</v>
      </c>
      <c r="C3640" s="93" t="s">
        <v>359</v>
      </c>
      <c r="D3640" s="93" t="s">
        <v>512</v>
      </c>
      <c r="E3640" s="93" t="s">
        <v>2307</v>
      </c>
      <c r="F3640" s="93" t="s">
        <v>2479</v>
      </c>
      <c r="G3640" s="93" t="s">
        <v>2479</v>
      </c>
      <c r="H3640" s="93" t="e">
        <v>#N/A</v>
      </c>
      <c r="I3640" s="105" t="s">
        <v>2310</v>
      </c>
      <c r="J3640" s="93" t="s">
        <v>189</v>
      </c>
      <c r="K3640" s="93">
        <v>16500</v>
      </c>
      <c r="L3640" s="93">
        <v>16500</v>
      </c>
      <c r="M3640" s="93" t="s">
        <v>2311</v>
      </c>
      <c r="N3640" s="93" t="e">
        <f>VLOOKUP(B3640,'[16]01.수집 카테고리(List)'!$A$2:$H$64,8,FALSE)</f>
        <v>#N/A</v>
      </c>
      <c r="O3640" s="93"/>
    </row>
    <row r="3641" spans="1:15" hidden="1">
      <c r="A3641" s="75" t="str">
        <f t="shared" si="139"/>
        <v>USTARGETBluetooth Speakerwireless portable speakersPortable bluetooth speakers</v>
      </c>
      <c r="B3641" s="94" t="str">
        <f t="shared" si="138"/>
        <v>US_TARGET</v>
      </c>
      <c r="C3641" s="93" t="s">
        <v>359</v>
      </c>
      <c r="D3641" s="93" t="s">
        <v>512</v>
      </c>
      <c r="E3641" s="93" t="s">
        <v>2307</v>
      </c>
      <c r="F3641" s="93" t="s">
        <v>2475</v>
      </c>
      <c r="G3641" s="93" t="s">
        <v>2426</v>
      </c>
      <c r="H3641" s="93" t="e">
        <v>#N/A</v>
      </c>
      <c r="I3641" s="105" t="s">
        <v>2310</v>
      </c>
      <c r="J3641" s="93" t="s">
        <v>189</v>
      </c>
      <c r="K3641" s="93">
        <v>1396</v>
      </c>
      <c r="L3641" s="93">
        <v>26527</v>
      </c>
      <c r="M3641" s="93" t="s">
        <v>2311</v>
      </c>
      <c r="N3641" s="93" t="e">
        <f>VLOOKUP(B3641,'[16]01.수집 카테고리(List)'!$A$2:$H$64,8,FALSE)</f>
        <v>#N/A</v>
      </c>
      <c r="O3641" s="93"/>
    </row>
    <row r="3642" spans="1:15" hidden="1">
      <c r="A3642" s="75" t="str">
        <f t="shared" si="139"/>
        <v>USTARGETBluetooth Speakerportable speakersportable speakers</v>
      </c>
      <c r="B3642" s="94" t="str">
        <f t="shared" si="138"/>
        <v>US_TARGET</v>
      </c>
      <c r="C3642" s="93" t="s">
        <v>359</v>
      </c>
      <c r="D3642" s="93" t="s">
        <v>512</v>
      </c>
      <c r="E3642" s="93" t="s">
        <v>2307</v>
      </c>
      <c r="F3642" s="93" t="s">
        <v>2473</v>
      </c>
      <c r="G3642" s="93" t="s">
        <v>2473</v>
      </c>
      <c r="H3642" s="93" t="e">
        <v>#N/A</v>
      </c>
      <c r="I3642" s="105" t="s">
        <v>2310</v>
      </c>
      <c r="J3642" s="93" t="s">
        <v>189</v>
      </c>
      <c r="K3642" s="93">
        <v>34624</v>
      </c>
      <c r="L3642" s="93">
        <v>34624</v>
      </c>
      <c r="M3642" s="93" t="s">
        <v>2311</v>
      </c>
      <c r="N3642" s="93" t="e">
        <f>VLOOKUP(B3642,'[16]01.수집 카테고리(List)'!$A$2:$H$64,8,FALSE)</f>
        <v>#N/A</v>
      </c>
      <c r="O3642" s="93"/>
    </row>
    <row r="3643" spans="1:15" hidden="1">
      <c r="A3643" s="75" t="str">
        <f t="shared" si="139"/>
        <v>USTARGETBluetooth Speakerspeakersspeakers</v>
      </c>
      <c r="B3643" s="94" t="str">
        <f t="shared" si="138"/>
        <v>US_TARGET</v>
      </c>
      <c r="C3643" s="93" t="s">
        <v>359</v>
      </c>
      <c r="D3643" s="93" t="s">
        <v>512</v>
      </c>
      <c r="E3643" s="93" t="s">
        <v>2307</v>
      </c>
      <c r="F3643" s="93" t="s">
        <v>2471</v>
      </c>
      <c r="G3643" s="93" t="s">
        <v>2471</v>
      </c>
      <c r="H3643" s="93" t="e">
        <v>#N/A</v>
      </c>
      <c r="I3643" s="105" t="s">
        <v>2310</v>
      </c>
      <c r="J3643" s="93" t="s">
        <v>189</v>
      </c>
      <c r="K3643" s="93">
        <v>48785</v>
      </c>
      <c r="L3643" s="93">
        <v>48785</v>
      </c>
      <c r="M3643" s="93" t="s">
        <v>2311</v>
      </c>
      <c r="N3643" s="93" t="e">
        <f>VLOOKUP(B3643,'[16]01.수집 카테고리(List)'!$A$2:$H$64,8,FALSE)</f>
        <v>#N/A</v>
      </c>
      <c r="O3643" s="93"/>
    </row>
    <row r="3644" spans="1:15" hidden="1">
      <c r="A3644" s="75" t="str">
        <f t="shared" si="139"/>
        <v>USTARGETCordless stick vacuumcordless stick vacuumcordless stick vacuum</v>
      </c>
      <c r="B3644" s="94" t="str">
        <f t="shared" si="138"/>
        <v>US_TARGET</v>
      </c>
      <c r="C3644" s="93" t="s">
        <v>359</v>
      </c>
      <c r="D3644" s="93" t="s">
        <v>512</v>
      </c>
      <c r="E3644" s="93" t="s">
        <v>2435</v>
      </c>
      <c r="F3644" s="93" t="s">
        <v>2436</v>
      </c>
      <c r="G3644" s="93" t="s">
        <v>2436</v>
      </c>
      <c r="H3644" s="93" t="e">
        <v>#N/A</v>
      </c>
      <c r="I3644" s="105" t="s">
        <v>2310</v>
      </c>
      <c r="J3644" s="93" t="s">
        <v>189</v>
      </c>
      <c r="K3644" s="93">
        <v>8785</v>
      </c>
      <c r="L3644" s="93">
        <v>8785</v>
      </c>
      <c r="M3644" s="93" t="s">
        <v>2311</v>
      </c>
      <c r="N3644" s="93" t="e">
        <f>VLOOKUP(B3644,'[16]01.수집 카테고리(List)'!$A$2:$H$64,8,FALSE)</f>
        <v>#N/A</v>
      </c>
      <c r="O3644" s="93"/>
    </row>
    <row r="3645" spans="1:15" hidden="1">
      <c r="A3645" s="75" t="str">
        <f t="shared" si="139"/>
        <v>USTARGETCordless stick vacuumhandstick vacuumhandstick vacuum</v>
      </c>
      <c r="B3645" s="94" t="str">
        <f t="shared" si="138"/>
        <v>US_TARGET</v>
      </c>
      <c r="C3645" s="93" t="s">
        <v>359</v>
      </c>
      <c r="D3645" s="93" t="s">
        <v>512</v>
      </c>
      <c r="E3645" s="93" t="s">
        <v>2435</v>
      </c>
      <c r="F3645" s="93" t="s">
        <v>3667</v>
      </c>
      <c r="G3645" s="93" t="s">
        <v>3667</v>
      </c>
      <c r="H3645" s="93" t="e">
        <v>#N/A</v>
      </c>
      <c r="I3645" s="105" t="s">
        <v>2310</v>
      </c>
      <c r="J3645" s="93" t="s">
        <v>189</v>
      </c>
      <c r="K3645" s="93">
        <v>5194</v>
      </c>
      <c r="L3645" s="93">
        <v>5194</v>
      </c>
      <c r="M3645" s="93" t="s">
        <v>2311</v>
      </c>
      <c r="N3645" s="93" t="e">
        <f>VLOOKUP(B3645,'[16]01.수집 카테고리(List)'!$A$2:$H$64,8,FALSE)</f>
        <v>#N/A</v>
      </c>
      <c r="O3645" s="93"/>
    </row>
    <row r="3646" spans="1:15" hidden="1">
      <c r="A3646" s="75" t="str">
        <f t="shared" si="139"/>
        <v>USTARGETCordless stick vacuumstick vacuumstick vacuum</v>
      </c>
      <c r="B3646" s="94" t="str">
        <f t="shared" si="138"/>
        <v>US_TARGET</v>
      </c>
      <c r="C3646" s="93" t="s">
        <v>359</v>
      </c>
      <c r="D3646" s="93" t="s">
        <v>512</v>
      </c>
      <c r="E3646" s="93" t="s">
        <v>2435</v>
      </c>
      <c r="F3646" s="93" t="s">
        <v>2438</v>
      </c>
      <c r="G3646" s="93" t="s">
        <v>2438</v>
      </c>
      <c r="H3646" s="93" t="e">
        <v>#N/A</v>
      </c>
      <c r="I3646" s="105" t="s">
        <v>2310</v>
      </c>
      <c r="J3646" s="93" t="s">
        <v>189</v>
      </c>
      <c r="K3646" s="93">
        <v>32613</v>
      </c>
      <c r="L3646" s="93">
        <v>32613</v>
      </c>
      <c r="M3646" s="93" t="s">
        <v>2311</v>
      </c>
      <c r="N3646" s="93" t="e">
        <f>VLOOKUP(B3646,'[16]01.수집 카테고리(List)'!$A$2:$H$64,8,FALSE)</f>
        <v>#N/A</v>
      </c>
      <c r="O3646" s="93"/>
    </row>
    <row r="3647" spans="1:15" hidden="1">
      <c r="A3647" s="75" t="str">
        <f t="shared" si="139"/>
        <v>USTARGETCordless stick vacuumstick vacuum cleanerstick vacuum cleaner</v>
      </c>
      <c r="B3647" s="94" t="str">
        <f t="shared" si="138"/>
        <v>US_TARGET</v>
      </c>
      <c r="C3647" s="93" t="s">
        <v>359</v>
      </c>
      <c r="D3647" s="93" t="s">
        <v>512</v>
      </c>
      <c r="E3647" s="93" t="s">
        <v>2435</v>
      </c>
      <c r="F3647" s="93" t="s">
        <v>2439</v>
      </c>
      <c r="G3647" s="93" t="s">
        <v>2439</v>
      </c>
      <c r="H3647" s="93" t="e">
        <v>#N/A</v>
      </c>
      <c r="I3647" s="105" t="s">
        <v>2310</v>
      </c>
      <c r="J3647" s="93" t="s">
        <v>189</v>
      </c>
      <c r="K3647" s="93">
        <v>605</v>
      </c>
      <c r="L3647" s="93">
        <v>605</v>
      </c>
      <c r="M3647" s="93" t="s">
        <v>2311</v>
      </c>
      <c r="N3647" s="93" t="e">
        <f>VLOOKUP(B3647,'[16]01.수집 카테고리(List)'!$A$2:$H$64,8,FALSE)</f>
        <v>#N/A</v>
      </c>
      <c r="O3647" s="93"/>
    </row>
    <row r="3648" spans="1:15" hidden="1">
      <c r="A3648" s="75" t="str">
        <f t="shared" si="139"/>
        <v>USTARGETSoundbarsound barsound bar</v>
      </c>
      <c r="B3648" s="94" t="str">
        <f t="shared" si="138"/>
        <v>US_TARGET</v>
      </c>
      <c r="C3648" s="93" t="s">
        <v>359</v>
      </c>
      <c r="D3648" s="93" t="s">
        <v>512</v>
      </c>
      <c r="E3648" s="93" t="s">
        <v>2363</v>
      </c>
      <c r="F3648" s="93" t="s">
        <v>2529</v>
      </c>
      <c r="G3648" s="93" t="s">
        <v>2529</v>
      </c>
      <c r="H3648" s="93" t="e">
        <v>#N/A</v>
      </c>
      <c r="I3648" s="105" t="s">
        <v>2310</v>
      </c>
      <c r="J3648" s="93" t="s">
        <v>189</v>
      </c>
      <c r="K3648" s="93">
        <v>960</v>
      </c>
      <c r="L3648" s="93">
        <v>960</v>
      </c>
      <c r="M3648" s="93" t="s">
        <v>2311</v>
      </c>
      <c r="N3648" s="93" t="e">
        <f>VLOOKUP(B3648,'[16]01.수집 카테고리(List)'!$A$2:$H$64,8,FALSE)</f>
        <v>#N/A</v>
      </c>
      <c r="O3648" s="93"/>
    </row>
    <row r="3649" spans="1:15" hidden="1">
      <c r="A3649" s="75" t="str">
        <f t="shared" si="139"/>
        <v>USTARGETSoundbaraudioSoundbar</v>
      </c>
      <c r="B3649" s="94" t="str">
        <f t="shared" si="138"/>
        <v>US_TARGET</v>
      </c>
      <c r="C3649" s="93" t="s">
        <v>359</v>
      </c>
      <c r="D3649" s="93" t="s">
        <v>512</v>
      </c>
      <c r="E3649" s="93" t="s">
        <v>2363</v>
      </c>
      <c r="F3649" s="93" t="s">
        <v>2528</v>
      </c>
      <c r="G3649" s="93" t="s">
        <v>2363</v>
      </c>
      <c r="H3649" s="93" t="e">
        <v>#N/A</v>
      </c>
      <c r="I3649" s="105" t="s">
        <v>2310</v>
      </c>
      <c r="J3649" s="93" t="s">
        <v>189</v>
      </c>
      <c r="K3649" s="93">
        <v>777</v>
      </c>
      <c r="L3649" s="93">
        <v>37894</v>
      </c>
      <c r="M3649" s="93" t="s">
        <v>2311</v>
      </c>
      <c r="N3649" s="93" t="e">
        <f>VLOOKUP(B3649,'[16]01.수집 카테고리(List)'!$A$2:$H$64,8,FALSE)</f>
        <v>#N/A</v>
      </c>
      <c r="O3649" s="93"/>
    </row>
    <row r="3650" spans="1:15" hidden="1">
      <c r="A3650" s="75" t="str">
        <f t="shared" si="139"/>
        <v>USTARGETSoundbarsoundbarssoundbars</v>
      </c>
      <c r="B3650" s="94" t="str">
        <f t="shared" si="138"/>
        <v>US_TARGET</v>
      </c>
      <c r="C3650" s="93" t="s">
        <v>359</v>
      </c>
      <c r="D3650" s="93" t="s">
        <v>512</v>
      </c>
      <c r="E3650" s="93" t="s">
        <v>2363</v>
      </c>
      <c r="F3650" s="93" t="s">
        <v>2531</v>
      </c>
      <c r="G3650" s="93" t="s">
        <v>2531</v>
      </c>
      <c r="H3650" s="93" t="e">
        <v>#N/A</v>
      </c>
      <c r="I3650" s="105" t="s">
        <v>2310</v>
      </c>
      <c r="J3650" s="93" t="s">
        <v>189</v>
      </c>
      <c r="K3650" s="93">
        <v>578</v>
      </c>
      <c r="L3650" s="93">
        <v>578</v>
      </c>
      <c r="M3650" s="93" t="s">
        <v>2311</v>
      </c>
      <c r="N3650" s="93" t="e">
        <f>VLOOKUP(B3650,'[16]01.수집 카테고리(List)'!$A$2:$H$64,8,FALSE)</f>
        <v>#N/A</v>
      </c>
      <c r="O3650" s="93"/>
    </row>
    <row r="3651" spans="1:15" hidden="1">
      <c r="A3651" s="75" t="str">
        <f t="shared" si="139"/>
        <v>USTARGETSoundbarsound systemSoundbars for tv</v>
      </c>
      <c r="B3651" s="94" t="str">
        <f t="shared" si="138"/>
        <v>US_TARGET</v>
      </c>
      <c r="C3651" s="93" t="s">
        <v>359</v>
      </c>
      <c r="D3651" s="93" t="s">
        <v>512</v>
      </c>
      <c r="E3651" s="93" t="s">
        <v>2363</v>
      </c>
      <c r="F3651" s="93" t="s">
        <v>2530</v>
      </c>
      <c r="G3651" s="93" t="s">
        <v>3678</v>
      </c>
      <c r="H3651" s="93" t="e">
        <v>#N/A</v>
      </c>
      <c r="I3651" s="105" t="s">
        <v>2310</v>
      </c>
      <c r="J3651" s="93" t="s">
        <v>189</v>
      </c>
      <c r="K3651" s="93">
        <v>708</v>
      </c>
      <c r="L3651" s="93">
        <v>38510</v>
      </c>
      <c r="M3651" s="93" t="s">
        <v>2311</v>
      </c>
      <c r="N3651" s="93" t="e">
        <f>VLOOKUP(B3651,'[16]01.수집 카테고리(List)'!$A$2:$H$64,8,FALSE)</f>
        <v>#N/A</v>
      </c>
      <c r="O3651" s="93"/>
    </row>
    <row r="3652" spans="1:15" hidden="1">
      <c r="A3652" s="75" t="str">
        <f t="shared" si="139"/>
        <v>USTARGETSoundbarspeakersSoundbars with subwoofer</v>
      </c>
      <c r="B3652" s="94" t="str">
        <f t="shared" si="138"/>
        <v>US_TARGET</v>
      </c>
      <c r="C3652" s="93" t="s">
        <v>359</v>
      </c>
      <c r="D3652" s="93" t="s">
        <v>512</v>
      </c>
      <c r="E3652" s="93" t="s">
        <v>2363</v>
      </c>
      <c r="F3652" s="93" t="s">
        <v>2471</v>
      </c>
      <c r="G3652" s="93" t="s">
        <v>3240</v>
      </c>
      <c r="H3652" s="93" t="e">
        <v>#N/A</v>
      </c>
      <c r="I3652" s="105" t="s">
        <v>2310</v>
      </c>
      <c r="J3652" s="93" t="s">
        <v>189</v>
      </c>
      <c r="K3652" s="93">
        <v>165</v>
      </c>
      <c r="L3652" s="93">
        <v>48785</v>
      </c>
      <c r="M3652" s="93" t="s">
        <v>2311</v>
      </c>
      <c r="N3652" s="93" t="e">
        <f>VLOOKUP(B3652,'[16]01.수집 카테고리(List)'!$A$2:$H$64,8,FALSE)</f>
        <v>#N/A</v>
      </c>
      <c r="O3652" s="93"/>
    </row>
    <row r="3653" spans="1:15" hidden="1">
      <c r="A3653" s="75" t="str">
        <f t="shared" si="139"/>
        <v>USTARGETTV4k TV4k TV</v>
      </c>
      <c r="B3653" s="94" t="str">
        <f t="shared" si="138"/>
        <v>US_TARGET</v>
      </c>
      <c r="C3653" s="93" t="s">
        <v>359</v>
      </c>
      <c r="D3653" s="93" t="s">
        <v>512</v>
      </c>
      <c r="E3653" s="93" t="s">
        <v>161</v>
      </c>
      <c r="F3653" s="93" t="s">
        <v>2368</v>
      </c>
      <c r="G3653" s="93" t="s">
        <v>2368</v>
      </c>
      <c r="H3653" s="93" t="e">
        <v>#N/A</v>
      </c>
      <c r="I3653" s="105" t="s">
        <v>2310</v>
      </c>
      <c r="J3653" s="93" t="s">
        <v>189</v>
      </c>
      <c r="K3653" s="93">
        <v>44320</v>
      </c>
      <c r="L3653" s="93">
        <v>44320</v>
      </c>
      <c r="M3653" s="93" t="s">
        <v>2311</v>
      </c>
      <c r="N3653" s="93" t="e">
        <f>VLOOKUP(B3653,'[16]01.수집 카테고리(List)'!$A$2:$H$64,8,FALSE)</f>
        <v>#N/A</v>
      </c>
      <c r="O3653" s="93"/>
    </row>
    <row r="3654" spans="1:15" hidden="1">
      <c r="A3654" s="75" t="str">
        <f t="shared" si="139"/>
        <v>USTARGETTVoled TVoled TV</v>
      </c>
      <c r="B3654" s="94" t="str">
        <f t="shared" si="138"/>
        <v>US_TARGET</v>
      </c>
      <c r="C3654" s="93" t="s">
        <v>359</v>
      </c>
      <c r="D3654" s="93" t="s">
        <v>512</v>
      </c>
      <c r="E3654" s="93" t="s">
        <v>161</v>
      </c>
      <c r="F3654" s="93" t="s">
        <v>2369</v>
      </c>
      <c r="G3654" s="93" t="s">
        <v>2369</v>
      </c>
      <c r="H3654" s="93" t="e">
        <v>#N/A</v>
      </c>
      <c r="I3654" s="105" t="s">
        <v>2310</v>
      </c>
      <c r="J3654" s="93" t="s">
        <v>189</v>
      </c>
      <c r="K3654" s="93">
        <v>1372</v>
      </c>
      <c r="L3654" s="93">
        <v>1372</v>
      </c>
      <c r="M3654" s="93" t="s">
        <v>2311</v>
      </c>
      <c r="N3654" s="93" t="e">
        <f>VLOOKUP(B3654,'[16]01.수집 카테고리(List)'!$A$2:$H$64,8,FALSE)</f>
        <v>#N/A</v>
      </c>
      <c r="O3654" s="93"/>
    </row>
    <row r="3655" spans="1:15" hidden="1">
      <c r="A3655" s="75" t="str">
        <f t="shared" si="139"/>
        <v>USTARGETTVsmart TVsmart TV</v>
      </c>
      <c r="B3655" s="94" t="str">
        <f t="shared" si="138"/>
        <v>US_TARGET</v>
      </c>
      <c r="C3655" s="93" t="s">
        <v>359</v>
      </c>
      <c r="D3655" s="93" t="s">
        <v>512</v>
      </c>
      <c r="E3655" s="93" t="s">
        <v>161</v>
      </c>
      <c r="F3655" s="93" t="s">
        <v>2371</v>
      </c>
      <c r="G3655" s="93" t="s">
        <v>2371</v>
      </c>
      <c r="H3655" s="93" t="e">
        <v>#N/A</v>
      </c>
      <c r="I3655" s="105" t="s">
        <v>2310</v>
      </c>
      <c r="J3655" s="93" t="s">
        <v>189</v>
      </c>
      <c r="K3655" s="93">
        <v>22388</v>
      </c>
      <c r="L3655" s="93">
        <v>22388</v>
      </c>
      <c r="M3655" s="93" t="s">
        <v>2311</v>
      </c>
      <c r="N3655" s="93" t="e">
        <f>VLOOKUP(B3655,'[16]01.수집 카테고리(List)'!$A$2:$H$64,8,FALSE)</f>
        <v>#N/A</v>
      </c>
      <c r="O3655" s="93"/>
    </row>
    <row r="3656" spans="1:15" hidden="1">
      <c r="A3656" s="75" t="str">
        <f t="shared" si="139"/>
        <v>USTARGETTVTVTV</v>
      </c>
      <c r="B3656" s="94" t="str">
        <f t="shared" si="138"/>
        <v>US_TARGET</v>
      </c>
      <c r="C3656" s="93" t="s">
        <v>359</v>
      </c>
      <c r="D3656" s="93" t="s">
        <v>512</v>
      </c>
      <c r="E3656" s="93" t="s">
        <v>161</v>
      </c>
      <c r="F3656" s="93" t="s">
        <v>161</v>
      </c>
      <c r="G3656" s="93" t="s">
        <v>161</v>
      </c>
      <c r="H3656" s="93" t="e">
        <v>#N/A</v>
      </c>
      <c r="I3656" s="105" t="s">
        <v>2310</v>
      </c>
      <c r="J3656" s="93" t="s">
        <v>189</v>
      </c>
      <c r="K3656" s="93">
        <v>13108</v>
      </c>
      <c r="L3656" s="93">
        <v>13108</v>
      </c>
      <c r="M3656" s="93" t="s">
        <v>2311</v>
      </c>
      <c r="N3656" s="93" t="e">
        <f>VLOOKUP(B3656,'[16]01.수집 카테고리(List)'!$A$2:$H$64,8,FALSE)</f>
        <v>#N/A</v>
      </c>
      <c r="O3656" s="93"/>
    </row>
    <row r="3657" spans="1:15" hidden="1">
      <c r="A3657" s="75" t="str">
        <f t="shared" si="139"/>
        <v>USTARGETTVuhd TVuhd TV</v>
      </c>
      <c r="B3657" s="94" t="str">
        <f t="shared" si="138"/>
        <v>US_TARGET</v>
      </c>
      <c r="C3657" s="93" t="s">
        <v>359</v>
      </c>
      <c r="D3657" s="93" t="s">
        <v>512</v>
      </c>
      <c r="E3657" s="93" t="s">
        <v>161</v>
      </c>
      <c r="F3657" s="93" t="s">
        <v>2399</v>
      </c>
      <c r="G3657" s="93" t="s">
        <v>2399</v>
      </c>
      <c r="H3657" s="93" t="e">
        <v>#N/A</v>
      </c>
      <c r="I3657" s="105" t="s">
        <v>2310</v>
      </c>
      <c r="J3657" s="93" t="s">
        <v>189</v>
      </c>
      <c r="K3657" s="93">
        <v>42225</v>
      </c>
      <c r="L3657" s="93">
        <v>42225</v>
      </c>
      <c r="M3657" s="93" t="s">
        <v>2311</v>
      </c>
      <c r="N3657" s="93" t="e">
        <f>VLOOKUP(B3657,'[16]01.수집 카테고리(List)'!$A$2:$H$64,8,FALSE)</f>
        <v>#N/A</v>
      </c>
      <c r="O3657" s="93"/>
    </row>
    <row r="3658" spans="1:15" hidden="1">
      <c r="A3658" s="75" t="str">
        <f t="shared" si="139"/>
        <v>USTARGETWIRELESS HEADSETBluetooth earbudsBluetooth earbuds</v>
      </c>
      <c r="B3658" s="94" t="str">
        <f t="shared" si="138"/>
        <v>US_TARGET</v>
      </c>
      <c r="C3658" s="93" t="s">
        <v>359</v>
      </c>
      <c r="D3658" s="93" t="s">
        <v>512</v>
      </c>
      <c r="E3658" s="93" t="s">
        <v>2201</v>
      </c>
      <c r="F3658" s="93" t="s">
        <v>2382</v>
      </c>
      <c r="G3658" s="93" t="s">
        <v>2382</v>
      </c>
      <c r="H3658" s="93" t="e">
        <v>#N/A</v>
      </c>
      <c r="I3658" s="105" t="s">
        <v>2310</v>
      </c>
      <c r="J3658" s="93" t="s">
        <v>189</v>
      </c>
      <c r="K3658" s="93">
        <v>8995</v>
      </c>
      <c r="L3658" s="93">
        <v>8995</v>
      </c>
      <c r="M3658" s="93" t="s">
        <v>2311</v>
      </c>
      <c r="N3658" s="93" t="e">
        <f>VLOOKUP(B3658,'[16]01.수집 카테고리(List)'!$A$2:$H$64,8,FALSE)</f>
        <v>#N/A</v>
      </c>
      <c r="O3658" s="93"/>
    </row>
    <row r="3659" spans="1:15" hidden="1">
      <c r="A3659" s="75" t="str">
        <f t="shared" si="139"/>
        <v>USTARGETWIRELESS HEADSETEar budsEar buds</v>
      </c>
      <c r="B3659" s="94" t="str">
        <f t="shared" si="138"/>
        <v>US_TARGET</v>
      </c>
      <c r="C3659" s="93" t="s">
        <v>359</v>
      </c>
      <c r="D3659" s="93" t="s">
        <v>512</v>
      </c>
      <c r="E3659" s="93" t="s">
        <v>2201</v>
      </c>
      <c r="F3659" s="93" t="s">
        <v>2380</v>
      </c>
      <c r="G3659" s="93" t="s">
        <v>2380</v>
      </c>
      <c r="H3659" s="93" t="e">
        <v>#N/A</v>
      </c>
      <c r="I3659" s="105" t="s">
        <v>2310</v>
      </c>
      <c r="J3659" s="93" t="s">
        <v>189</v>
      </c>
      <c r="K3659" s="93">
        <v>35367</v>
      </c>
      <c r="L3659" s="93">
        <v>35367</v>
      </c>
      <c r="M3659" s="93" t="s">
        <v>2311</v>
      </c>
      <c r="N3659" s="93" t="e">
        <f>VLOOKUP(B3659,'[16]01.수집 카테고리(List)'!$A$2:$H$64,8,FALSE)</f>
        <v>#N/A</v>
      </c>
      <c r="O3659" s="93"/>
    </row>
    <row r="3660" spans="1:15" hidden="1">
      <c r="A3660" s="75" t="str">
        <f t="shared" si="139"/>
        <v>USTARGETWIRELESS HEADSETEarbudsEarbuds</v>
      </c>
      <c r="B3660" s="94" t="str">
        <f t="shared" si="138"/>
        <v>US_TARGET</v>
      </c>
      <c r="C3660" s="93" t="s">
        <v>359</v>
      </c>
      <c r="D3660" s="93" t="s">
        <v>512</v>
      </c>
      <c r="E3660" s="93" t="s">
        <v>2201</v>
      </c>
      <c r="F3660" s="93" t="s">
        <v>2534</v>
      </c>
      <c r="G3660" s="93" t="s">
        <v>2534</v>
      </c>
      <c r="H3660" s="93" t="e">
        <v>#N/A</v>
      </c>
      <c r="I3660" s="105" t="s">
        <v>2310</v>
      </c>
      <c r="J3660" s="93" t="s">
        <v>189</v>
      </c>
      <c r="K3660" s="93">
        <v>4533</v>
      </c>
      <c r="L3660" s="93">
        <v>4533</v>
      </c>
      <c r="M3660" s="93" t="s">
        <v>2311</v>
      </c>
      <c r="N3660" s="93" t="e">
        <f>VLOOKUP(B3660,'[16]01.수집 카테고리(List)'!$A$2:$H$64,8,FALSE)</f>
        <v>#N/A</v>
      </c>
      <c r="O3660" s="93"/>
    </row>
    <row r="3661" spans="1:15" hidden="1">
      <c r="A3661" s="75" t="str">
        <f t="shared" si="139"/>
        <v>USTARGETWIRELESS HEADSETBluetooth HeadphonesNoise cancelling earbuds</v>
      </c>
      <c r="B3661" s="94" t="str">
        <f t="shared" si="138"/>
        <v>US_TARGET</v>
      </c>
      <c r="C3661" s="93" t="s">
        <v>359</v>
      </c>
      <c r="D3661" s="93" t="s">
        <v>512</v>
      </c>
      <c r="E3661" s="93" t="s">
        <v>2201</v>
      </c>
      <c r="F3661" s="93" t="s">
        <v>2533</v>
      </c>
      <c r="G3661" s="93" t="s">
        <v>2378</v>
      </c>
      <c r="H3661" s="93" t="e">
        <v>#N/A</v>
      </c>
      <c r="I3661" s="105" t="s">
        <v>2310</v>
      </c>
      <c r="J3661" s="93" t="s">
        <v>189</v>
      </c>
      <c r="K3661" s="93">
        <v>2248</v>
      </c>
      <c r="L3661" s="93">
        <v>5948</v>
      </c>
      <c r="M3661" s="93" t="s">
        <v>2311</v>
      </c>
      <c r="N3661" s="93" t="e">
        <f>VLOOKUP(B3661,'[16]01.수집 카테고리(List)'!$A$2:$H$64,8,FALSE)</f>
        <v>#N/A</v>
      </c>
      <c r="O3661" s="93"/>
    </row>
    <row r="3662" spans="1:15" hidden="1">
      <c r="A3662" s="75" t="str">
        <f t="shared" si="139"/>
        <v>USTARGETWIRELESS HEADSETWireless earbudsWireless earbuds</v>
      </c>
      <c r="B3662" s="94" t="str">
        <f t="shared" si="138"/>
        <v>US_TARGET</v>
      </c>
      <c r="C3662" s="93" t="s">
        <v>359</v>
      </c>
      <c r="D3662" s="93" t="s">
        <v>512</v>
      </c>
      <c r="E3662" s="93" t="s">
        <v>2201</v>
      </c>
      <c r="F3662" s="93" t="s">
        <v>2376</v>
      </c>
      <c r="G3662" s="93" t="s">
        <v>2376</v>
      </c>
      <c r="H3662" s="93" t="e">
        <v>#N/A</v>
      </c>
      <c r="I3662" s="105" t="s">
        <v>2310</v>
      </c>
      <c r="J3662" s="93" t="s">
        <v>189</v>
      </c>
      <c r="K3662" s="93">
        <v>29115</v>
      </c>
      <c r="L3662" s="93">
        <v>29115</v>
      </c>
      <c r="M3662" s="93" t="s">
        <v>2311</v>
      </c>
      <c r="N3662" s="93" t="e">
        <f>VLOOKUP(B3662,'[16]01.수집 카테고리(List)'!$A$2:$H$64,8,FALSE)</f>
        <v>#N/A</v>
      </c>
      <c r="O3662" s="93"/>
    </row>
    <row r="3663" spans="1:15" hidden="1">
      <c r="A3663" s="75" t="str">
        <f t="shared" si="139"/>
        <v>VNCAOPHONGAir CleanerAir CleanerMáy lọc không khí</v>
      </c>
      <c r="B3663" s="94" t="str">
        <f t="shared" si="138"/>
        <v>VN_CAOPHONG</v>
      </c>
      <c r="C3663" s="93" t="s">
        <v>237</v>
      </c>
      <c r="D3663" s="93" t="s">
        <v>3694</v>
      </c>
      <c r="E3663" s="93" t="s">
        <v>2342</v>
      </c>
      <c r="F3663" s="93" t="s">
        <v>2342</v>
      </c>
      <c r="G3663" s="93" t="s">
        <v>3695</v>
      </c>
      <c r="H3663" s="93" t="s">
        <v>3696</v>
      </c>
      <c r="I3663" s="105" t="s">
        <v>2310</v>
      </c>
      <c r="J3663" s="93" t="s">
        <v>189</v>
      </c>
      <c r="K3663" s="93" t="e">
        <v>#N/A</v>
      </c>
      <c r="L3663" s="93">
        <v>51</v>
      </c>
      <c r="M3663" s="93" t="s">
        <v>2351</v>
      </c>
      <c r="N3663" s="93">
        <f>VLOOKUP(B3663,'[16]01.수집 카테고리(List)'!$A$2:$H$64,8,FALSE)</f>
        <v>99991231</v>
      </c>
      <c r="O3663" s="93" t="s">
        <v>646</v>
      </c>
    </row>
    <row r="3664" spans="1:15" hidden="1">
      <c r="A3664" s="75" t="str">
        <f t="shared" si="139"/>
        <v>VNCAOPHONGAir ConditionerAir conditioningĐiều hòa không khí</v>
      </c>
      <c r="B3664" s="94" t="str">
        <f t="shared" si="138"/>
        <v>VN_CAOPHONG</v>
      </c>
      <c r="C3664" s="93" t="s">
        <v>237</v>
      </c>
      <c r="D3664" s="93" t="s">
        <v>3694</v>
      </c>
      <c r="E3664" s="93" t="s">
        <v>2346</v>
      </c>
      <c r="F3664" s="93" t="s">
        <v>3697</v>
      </c>
      <c r="G3664" s="93" t="s">
        <v>3698</v>
      </c>
      <c r="H3664" s="93" t="s">
        <v>3696</v>
      </c>
      <c r="I3664" s="105" t="s">
        <v>2310</v>
      </c>
      <c r="J3664" s="93" t="s">
        <v>189</v>
      </c>
      <c r="K3664" s="93" t="e">
        <v>#N/A</v>
      </c>
      <c r="L3664" s="93">
        <v>1089</v>
      </c>
      <c r="M3664" s="93" t="s">
        <v>2351</v>
      </c>
      <c r="N3664" s="93">
        <f>VLOOKUP(B3664,'[16]01.수집 카테고리(List)'!$A$2:$H$64,8,FALSE)</f>
        <v>99991231</v>
      </c>
      <c r="O3664" s="93" t="s">
        <v>646</v>
      </c>
    </row>
    <row r="3665" spans="1:15" hidden="1">
      <c r="A3665" s="75" t="str">
        <f t="shared" si="139"/>
        <v>VNCAOPHONGAir ConditionerACmáy điều hòa</v>
      </c>
      <c r="B3665" s="94" t="str">
        <f t="shared" si="138"/>
        <v>VN_CAOPHONG</v>
      </c>
      <c r="C3665" s="93" t="s">
        <v>237</v>
      </c>
      <c r="D3665" s="93" t="s">
        <v>238</v>
      </c>
      <c r="E3665" s="93" t="s">
        <v>2346</v>
      </c>
      <c r="F3665" s="93" t="s">
        <v>2492</v>
      </c>
      <c r="G3665" s="93" t="s">
        <v>3699</v>
      </c>
      <c r="H3665" s="93" t="s">
        <v>3696</v>
      </c>
      <c r="I3665" s="105" t="s">
        <v>2310</v>
      </c>
      <c r="J3665" s="93" t="s">
        <v>189</v>
      </c>
      <c r="K3665" s="93" t="e">
        <v>#N/A</v>
      </c>
      <c r="L3665" s="93">
        <v>621</v>
      </c>
      <c r="M3665" s="93" t="s">
        <v>2351</v>
      </c>
      <c r="N3665" s="93">
        <f>VLOOKUP(B3665,'[16]01.수집 카테고리(List)'!$A$2:$H$64,8,FALSE)</f>
        <v>99991231</v>
      </c>
      <c r="O3665" s="93" t="s">
        <v>646</v>
      </c>
    </row>
    <row r="3666" spans="1:15" hidden="1">
      <c r="A3666" s="75" t="str">
        <f t="shared" si="139"/>
        <v>VNCAOPHONGAir Conditionerinverter air conditionermáy điều hòa inverter</v>
      </c>
      <c r="B3666" s="94" t="str">
        <f t="shared" si="138"/>
        <v>VN_CAOPHONG</v>
      </c>
      <c r="C3666" s="93" t="s">
        <v>237</v>
      </c>
      <c r="D3666" s="93" t="s">
        <v>238</v>
      </c>
      <c r="E3666" s="93" t="s">
        <v>2346</v>
      </c>
      <c r="F3666" s="93" t="s">
        <v>2348</v>
      </c>
      <c r="G3666" s="93" t="s">
        <v>3700</v>
      </c>
      <c r="H3666" s="93" t="s">
        <v>3696</v>
      </c>
      <c r="I3666" s="105" t="s">
        <v>2310</v>
      </c>
      <c r="J3666" s="93" t="s">
        <v>189</v>
      </c>
      <c r="K3666" s="93" t="e">
        <v>#N/A</v>
      </c>
      <c r="L3666" s="93">
        <v>147</v>
      </c>
      <c r="M3666" s="93" t="s">
        <v>2351</v>
      </c>
      <c r="N3666" s="93">
        <f>VLOOKUP(B3666,'[16]01.수집 카테고리(List)'!$A$2:$H$64,8,FALSE)</f>
        <v>99991231</v>
      </c>
      <c r="O3666" s="93" t="s">
        <v>646</v>
      </c>
    </row>
    <row r="3667" spans="1:15" hidden="1">
      <c r="A3667" s="75" t="str">
        <f t="shared" si="139"/>
        <v>VNCAOPHONGAir Conditionerair conditionermáy lạnh</v>
      </c>
      <c r="B3667" s="94" t="str">
        <f t="shared" si="138"/>
        <v>VN_CAOPHONG</v>
      </c>
      <c r="C3667" s="93" t="s">
        <v>237</v>
      </c>
      <c r="D3667" s="93" t="s">
        <v>238</v>
      </c>
      <c r="E3667" s="93" t="s">
        <v>2346</v>
      </c>
      <c r="F3667" s="93" t="s">
        <v>2347</v>
      </c>
      <c r="G3667" s="93" t="s">
        <v>3701</v>
      </c>
      <c r="H3667" s="93" t="s">
        <v>3696</v>
      </c>
      <c r="I3667" s="105" t="s">
        <v>2310</v>
      </c>
      <c r="J3667" s="93" t="s">
        <v>189</v>
      </c>
      <c r="K3667" s="93" t="e">
        <v>#N/A</v>
      </c>
      <c r="L3667" s="93">
        <v>619</v>
      </c>
      <c r="M3667" s="93" t="s">
        <v>2351</v>
      </c>
      <c r="N3667" s="93">
        <f>VLOOKUP(B3667,'[16]01.수집 카테고리(List)'!$A$2:$H$64,8,FALSE)</f>
        <v>99991231</v>
      </c>
      <c r="O3667" s="93" t="s">
        <v>646</v>
      </c>
    </row>
    <row r="3668" spans="1:15" hidden="1">
      <c r="A3668" s="75" t="str">
        <f t="shared" si="139"/>
        <v>VNCAOPHONGAir Conditionerair coolermáy lạnh</v>
      </c>
      <c r="B3668" s="94" t="str">
        <f t="shared" si="138"/>
        <v>VN_CAOPHONG</v>
      </c>
      <c r="C3668" s="93" t="s">
        <v>237</v>
      </c>
      <c r="D3668" s="93" t="s">
        <v>238</v>
      </c>
      <c r="E3668" s="93" t="s">
        <v>2346</v>
      </c>
      <c r="F3668" s="93" t="s">
        <v>3379</v>
      </c>
      <c r="G3668" s="93" t="s">
        <v>3701</v>
      </c>
      <c r="H3668" s="93" t="s">
        <v>3696</v>
      </c>
      <c r="I3668" s="105" t="s">
        <v>2310</v>
      </c>
      <c r="J3668" s="93" t="s">
        <v>189</v>
      </c>
      <c r="K3668" s="93" t="e">
        <v>#N/A</v>
      </c>
      <c r="L3668" s="93">
        <v>624</v>
      </c>
      <c r="M3668" s="93" t="s">
        <v>2351</v>
      </c>
      <c r="N3668" s="93">
        <f>VLOOKUP(B3668,'[16]01.수집 카테고리(List)'!$A$2:$H$64,8,FALSE)</f>
        <v>99991231</v>
      </c>
      <c r="O3668" s="93" t="s">
        <v>646</v>
      </c>
    </row>
    <row r="3669" spans="1:15" hidden="1">
      <c r="A3669" s="75" t="str">
        <f t="shared" si="139"/>
        <v>VNCAOPHONGBluetooth SpeakerBluetooth SpeakerLoa bluetooth</v>
      </c>
      <c r="B3669" s="94" t="str">
        <f t="shared" si="138"/>
        <v>VN_CAOPHONG</v>
      </c>
      <c r="C3669" s="93" t="s">
        <v>237</v>
      </c>
      <c r="D3669" s="93" t="s">
        <v>238</v>
      </c>
      <c r="E3669" s="93" t="s">
        <v>2307</v>
      </c>
      <c r="F3669" s="93" t="s">
        <v>2470</v>
      </c>
      <c r="G3669" s="93" t="s">
        <v>3702</v>
      </c>
      <c r="H3669" s="93" t="s">
        <v>3696</v>
      </c>
      <c r="I3669" s="105" t="s">
        <v>2310</v>
      </c>
      <c r="J3669" s="93" t="s">
        <v>189</v>
      </c>
      <c r="K3669" s="93" t="e">
        <v>#N/A</v>
      </c>
      <c r="L3669" s="93">
        <v>6</v>
      </c>
      <c r="M3669" s="93" t="s">
        <v>2351</v>
      </c>
      <c r="N3669" s="93">
        <f>VLOOKUP(B3669,'[16]01.수집 카테고리(List)'!$A$2:$H$64,8,FALSE)</f>
        <v>99991231</v>
      </c>
      <c r="O3669" s="93" t="s">
        <v>646</v>
      </c>
    </row>
    <row r="3670" spans="1:15" hidden="1">
      <c r="A3670" s="75" t="str">
        <f t="shared" si="139"/>
        <v>VNCAOPHONGDryerDryerMáy sấy</v>
      </c>
      <c r="B3670" s="94" t="str">
        <f t="shared" si="138"/>
        <v>VN_CAOPHONG</v>
      </c>
      <c r="C3670" s="93" t="s">
        <v>237</v>
      </c>
      <c r="D3670" s="93" t="s">
        <v>238</v>
      </c>
      <c r="E3670" s="93" t="s">
        <v>2431</v>
      </c>
      <c r="F3670" s="93" t="s">
        <v>2431</v>
      </c>
      <c r="G3670" s="93" t="s">
        <v>3703</v>
      </c>
      <c r="H3670" s="93" t="s">
        <v>3696</v>
      </c>
      <c r="I3670" s="105" t="s">
        <v>2310</v>
      </c>
      <c r="J3670" s="93" t="s">
        <v>189</v>
      </c>
      <c r="K3670" s="93" t="e">
        <v>#N/A</v>
      </c>
      <c r="L3670" s="93">
        <v>2340</v>
      </c>
      <c r="M3670" s="93" t="s">
        <v>2351</v>
      </c>
      <c r="N3670" s="93">
        <f>VLOOKUP(B3670,'[16]01.수집 카테고리(List)'!$A$2:$H$64,8,FALSE)</f>
        <v>99991231</v>
      </c>
      <c r="O3670" s="93" t="s">
        <v>646</v>
      </c>
    </row>
    <row r="3671" spans="1:15" hidden="1">
      <c r="A3671" s="75" t="str">
        <f t="shared" si="139"/>
        <v>VNCAOPHONGRefrigeratorrefrigeratorTủ lạnh</v>
      </c>
      <c r="B3671" s="94" t="str">
        <f t="shared" si="138"/>
        <v>VN_CAOPHONG</v>
      </c>
      <c r="C3671" s="93" t="s">
        <v>237</v>
      </c>
      <c r="D3671" s="93" t="s">
        <v>238</v>
      </c>
      <c r="E3671" s="93" t="s">
        <v>2326</v>
      </c>
      <c r="F3671" s="93" t="s">
        <v>2329</v>
      </c>
      <c r="G3671" s="93" t="s">
        <v>3704</v>
      </c>
      <c r="H3671" s="93" t="s">
        <v>3696</v>
      </c>
      <c r="I3671" s="105" t="s">
        <v>2310</v>
      </c>
      <c r="J3671" s="93" t="s">
        <v>189</v>
      </c>
      <c r="K3671" s="93" t="e">
        <v>#N/A</v>
      </c>
      <c r="L3671" s="93">
        <v>47</v>
      </c>
      <c r="M3671" s="93" t="s">
        <v>2351</v>
      </c>
      <c r="N3671" s="93">
        <f>VLOOKUP(B3671,'[16]01.수집 카테고리(List)'!$A$2:$H$64,8,FALSE)</f>
        <v>99991231</v>
      </c>
      <c r="O3671" s="93" t="s">
        <v>646</v>
      </c>
    </row>
    <row r="3672" spans="1:15" hidden="1">
      <c r="A3672" s="75" t="str">
        <f t="shared" si="139"/>
        <v>VNCAOPHONGRefrigeratortop freezer refrigeratortủ lạnh ngăn đá trên</v>
      </c>
      <c r="B3672" s="94" t="str">
        <f t="shared" si="138"/>
        <v>VN_CAOPHONG</v>
      </c>
      <c r="C3672" s="93" t="s">
        <v>237</v>
      </c>
      <c r="D3672" s="93" t="s">
        <v>238</v>
      </c>
      <c r="E3672" s="93" t="s">
        <v>2326</v>
      </c>
      <c r="F3672" s="93" t="s">
        <v>2332</v>
      </c>
      <c r="G3672" s="93" t="s">
        <v>3705</v>
      </c>
      <c r="H3672" s="93" t="s">
        <v>3696</v>
      </c>
      <c r="I3672" s="105" t="s">
        <v>2310</v>
      </c>
      <c r="J3672" s="93" t="s">
        <v>189</v>
      </c>
      <c r="K3672" s="93" t="e">
        <v>#N/A</v>
      </c>
      <c r="L3672" s="93">
        <v>4198</v>
      </c>
      <c r="M3672" s="93" t="s">
        <v>2351</v>
      </c>
      <c r="N3672" s="93">
        <f>VLOOKUP(B3672,'[16]01.수집 카테고리(List)'!$A$2:$H$64,8,FALSE)</f>
        <v>99991231</v>
      </c>
      <c r="O3672" s="93" t="s">
        <v>646</v>
      </c>
    </row>
    <row r="3673" spans="1:15" hidden="1">
      <c r="A3673" s="75" t="str">
        <f t="shared" si="139"/>
        <v>VNCAOPHONGRefrigeratorside by side refrigeratorTủ lạnh Side by Side</v>
      </c>
      <c r="B3673" s="94" t="str">
        <f t="shared" si="138"/>
        <v>VN_CAOPHONG</v>
      </c>
      <c r="C3673" s="93" t="s">
        <v>245</v>
      </c>
      <c r="D3673" s="93" t="s">
        <v>238</v>
      </c>
      <c r="E3673" s="93" t="s">
        <v>2326</v>
      </c>
      <c r="F3673" s="93" t="s">
        <v>2330</v>
      </c>
      <c r="G3673" s="93" t="s">
        <v>3706</v>
      </c>
      <c r="H3673" s="93" t="s">
        <v>3696</v>
      </c>
      <c r="I3673" s="105" t="s">
        <v>2310</v>
      </c>
      <c r="J3673" s="93" t="s">
        <v>189</v>
      </c>
      <c r="K3673" s="93" t="e">
        <v>#N/A</v>
      </c>
      <c r="L3673" s="93">
        <v>78</v>
      </c>
      <c r="M3673" s="93" t="s">
        <v>2351</v>
      </c>
      <c r="N3673" s="93">
        <f>VLOOKUP(B3673,'[16]01.수집 카테고리(List)'!$A$2:$H$64,8,FALSE)</f>
        <v>99991231</v>
      </c>
      <c r="O3673" s="93" t="s">
        <v>646</v>
      </c>
    </row>
    <row r="3674" spans="1:15" hidden="1">
      <c r="A3674" s="75" t="str">
        <f t="shared" si="139"/>
        <v>VNCAOPHONGSOUNDBARSound systemhe thong am thanh</v>
      </c>
      <c r="B3674" s="94" t="str">
        <f t="shared" si="138"/>
        <v>VN_CAOPHONG</v>
      </c>
      <c r="C3674" s="93" t="s">
        <v>237</v>
      </c>
      <c r="D3674" s="93" t="s">
        <v>238</v>
      </c>
      <c r="E3674" s="93" t="s">
        <v>165</v>
      </c>
      <c r="F3674" s="93" t="s">
        <v>2359</v>
      </c>
      <c r="G3674" s="93" t="s">
        <v>3707</v>
      </c>
      <c r="H3674" s="93" t="s">
        <v>3696</v>
      </c>
      <c r="I3674" s="105" t="s">
        <v>2310</v>
      </c>
      <c r="J3674" s="93" t="s">
        <v>189</v>
      </c>
      <c r="K3674" s="93" t="e">
        <v>#N/A</v>
      </c>
      <c r="L3674" s="93">
        <v>77</v>
      </c>
      <c r="M3674" s="93" t="s">
        <v>2351</v>
      </c>
      <c r="N3674" s="93">
        <f>VLOOKUP(B3674,'[16]01.수집 카테고리(List)'!$A$2:$H$64,8,FALSE)</f>
        <v>99991231</v>
      </c>
      <c r="O3674" s="93" t="s">
        <v>646</v>
      </c>
    </row>
    <row r="3675" spans="1:15" hidden="1">
      <c r="A3675" s="75" t="str">
        <f t="shared" si="139"/>
        <v>VNCAOPHONGSOUNDBARspeakerLoa</v>
      </c>
      <c r="B3675" s="94" t="str">
        <f t="shared" si="138"/>
        <v>VN_CAOPHONG</v>
      </c>
      <c r="C3675" s="93" t="s">
        <v>237</v>
      </c>
      <c r="D3675" s="93" t="s">
        <v>238</v>
      </c>
      <c r="E3675" s="93" t="s">
        <v>165</v>
      </c>
      <c r="F3675" s="93" t="s">
        <v>2555</v>
      </c>
      <c r="G3675" s="93" t="s">
        <v>3708</v>
      </c>
      <c r="H3675" s="93" t="s">
        <v>3696</v>
      </c>
      <c r="I3675" s="105" t="s">
        <v>2310</v>
      </c>
      <c r="J3675" s="93" t="s">
        <v>189</v>
      </c>
      <c r="K3675" s="93" t="e">
        <v>#N/A</v>
      </c>
      <c r="L3675" s="93">
        <v>1170</v>
      </c>
      <c r="M3675" s="93" t="s">
        <v>2351</v>
      </c>
      <c r="N3675" s="93">
        <f>VLOOKUP(B3675,'[16]01.수집 카테고리(List)'!$A$2:$H$64,8,FALSE)</f>
        <v>99991231</v>
      </c>
      <c r="O3675" s="93" t="s">
        <v>646</v>
      </c>
    </row>
    <row r="3676" spans="1:15" hidden="1">
      <c r="A3676" s="75" t="str">
        <f t="shared" si="139"/>
        <v>VNCAOPHONGSOUNDBARSoundbar speakerloa thanh am</v>
      </c>
      <c r="B3676" s="94" t="str">
        <f t="shared" si="138"/>
        <v>VN_CAOPHONG</v>
      </c>
      <c r="C3676" s="93" t="s">
        <v>237</v>
      </c>
      <c r="D3676" s="93" t="s">
        <v>238</v>
      </c>
      <c r="E3676" s="93" t="s">
        <v>165</v>
      </c>
      <c r="F3676" s="93" t="s">
        <v>3709</v>
      </c>
      <c r="G3676" s="93" t="s">
        <v>3710</v>
      </c>
      <c r="H3676" s="93" t="s">
        <v>3696</v>
      </c>
      <c r="I3676" s="105" t="s">
        <v>2310</v>
      </c>
      <c r="J3676" s="93" t="s">
        <v>189</v>
      </c>
      <c r="K3676" s="93" t="e">
        <v>#N/A</v>
      </c>
      <c r="L3676" s="93">
        <v>1016</v>
      </c>
      <c r="M3676" s="93" t="s">
        <v>2351</v>
      </c>
      <c r="N3676" s="93">
        <f>VLOOKUP(B3676,'[16]01.수집 카테고리(List)'!$A$2:$H$64,8,FALSE)</f>
        <v>99991231</v>
      </c>
      <c r="O3676" s="93" t="s">
        <v>646</v>
      </c>
    </row>
    <row r="3677" spans="1:15" hidden="1">
      <c r="A3677" s="75" t="str">
        <f t="shared" si="139"/>
        <v>VNCAOPHONGSOUNDBARspeakersLoa thanh</v>
      </c>
      <c r="B3677" s="94" t="str">
        <f t="shared" si="138"/>
        <v>VN_CAOPHONG</v>
      </c>
      <c r="C3677" s="93" t="s">
        <v>237</v>
      </c>
      <c r="D3677" s="93" t="s">
        <v>238</v>
      </c>
      <c r="E3677" s="93" t="s">
        <v>165</v>
      </c>
      <c r="F3677" s="93" t="s">
        <v>2471</v>
      </c>
      <c r="G3677" s="93" t="s">
        <v>3711</v>
      </c>
      <c r="H3677" s="93" t="s">
        <v>3696</v>
      </c>
      <c r="I3677" s="105" t="s">
        <v>2310</v>
      </c>
      <c r="J3677" s="93" t="s">
        <v>189</v>
      </c>
      <c r="K3677" s="93" t="e">
        <v>#N/A</v>
      </c>
      <c r="L3677" s="93">
        <v>7</v>
      </c>
      <c r="M3677" s="93" t="s">
        <v>2351</v>
      </c>
      <c r="N3677" s="93">
        <f>VLOOKUP(B3677,'[16]01.수집 카테고리(List)'!$A$2:$H$64,8,FALSE)</f>
        <v>99991231</v>
      </c>
      <c r="O3677" s="93" t="s">
        <v>646</v>
      </c>
    </row>
    <row r="3678" spans="1:15" hidden="1">
      <c r="A3678" s="75" t="str">
        <f t="shared" si="139"/>
        <v>VNCAOPHONGSOUNDBARSoundbarLoa thanh soundbar</v>
      </c>
      <c r="B3678" s="94" t="str">
        <f t="shared" si="138"/>
        <v>VN_CAOPHONG</v>
      </c>
      <c r="C3678" s="93" t="s">
        <v>237</v>
      </c>
      <c r="D3678" s="93" t="s">
        <v>238</v>
      </c>
      <c r="E3678" s="93" t="s">
        <v>165</v>
      </c>
      <c r="F3678" s="93" t="s">
        <v>2363</v>
      </c>
      <c r="G3678" s="93" t="s">
        <v>3712</v>
      </c>
      <c r="H3678" s="93" t="s">
        <v>3696</v>
      </c>
      <c r="I3678" s="105" t="s">
        <v>2310</v>
      </c>
      <c r="J3678" s="93" t="s">
        <v>189</v>
      </c>
      <c r="K3678" s="93" t="e">
        <v>#N/A</v>
      </c>
      <c r="L3678" s="93">
        <v>8</v>
      </c>
      <c r="M3678" s="93" t="s">
        <v>2351</v>
      </c>
      <c r="N3678" s="93">
        <f>VLOOKUP(B3678,'[16]01.수집 카테고리(List)'!$A$2:$H$64,8,FALSE)</f>
        <v>99991231</v>
      </c>
      <c r="O3678" s="93" t="s">
        <v>646</v>
      </c>
    </row>
    <row r="3679" spans="1:15" hidden="1">
      <c r="A3679" s="75" t="str">
        <f t="shared" si="139"/>
        <v>VNCAOPHONGStylerStylerTủ hấp</v>
      </c>
      <c r="B3679" s="94" t="str">
        <f t="shared" ref="B3679:B3742" si="140">C3679&amp;"_"&amp;D3679</f>
        <v>VN_CAOPHONG</v>
      </c>
      <c r="C3679" s="93" t="s">
        <v>237</v>
      </c>
      <c r="D3679" s="93" t="s">
        <v>238</v>
      </c>
      <c r="E3679" s="93" t="s">
        <v>3281</v>
      </c>
      <c r="F3679" s="93" t="s">
        <v>3281</v>
      </c>
      <c r="G3679" s="93" t="s">
        <v>3713</v>
      </c>
      <c r="H3679" s="93" t="s">
        <v>3696</v>
      </c>
      <c r="I3679" s="105" t="s">
        <v>2310</v>
      </c>
      <c r="J3679" s="93" t="s">
        <v>189</v>
      </c>
      <c r="K3679" s="93" t="e">
        <v>#N/A</v>
      </c>
      <c r="L3679" s="93">
        <v>69</v>
      </c>
      <c r="M3679" s="93" t="s">
        <v>2351</v>
      </c>
      <c r="N3679" s="93">
        <f>VLOOKUP(B3679,'[16]01.수집 카테고리(List)'!$A$2:$H$64,8,FALSE)</f>
        <v>99991231</v>
      </c>
      <c r="O3679" s="93" t="s">
        <v>646</v>
      </c>
    </row>
    <row r="3680" spans="1:15" hidden="1">
      <c r="A3680" s="75" t="str">
        <f t="shared" si="139"/>
        <v>VNCAOPHONGTV4k TVtivi 4k</v>
      </c>
      <c r="B3680" s="94" t="str">
        <f t="shared" si="140"/>
        <v>VN_CAOPHONG</v>
      </c>
      <c r="C3680" s="93" t="s">
        <v>237</v>
      </c>
      <c r="D3680" s="93" t="s">
        <v>238</v>
      </c>
      <c r="E3680" s="93" t="s">
        <v>161</v>
      </c>
      <c r="F3680" s="93" t="s">
        <v>2368</v>
      </c>
      <c r="G3680" s="93" t="s">
        <v>3714</v>
      </c>
      <c r="H3680" s="93" t="s">
        <v>3696</v>
      </c>
      <c r="I3680" s="105" t="s">
        <v>2310</v>
      </c>
      <c r="J3680" s="93" t="s">
        <v>189</v>
      </c>
      <c r="K3680" s="93" t="e">
        <v>#N/A</v>
      </c>
      <c r="L3680" s="93">
        <v>286</v>
      </c>
      <c r="M3680" s="93" t="s">
        <v>2351</v>
      </c>
      <c r="N3680" s="93">
        <f>VLOOKUP(B3680,'[16]01.수집 카테고리(List)'!$A$2:$H$64,8,FALSE)</f>
        <v>99991231</v>
      </c>
      <c r="O3680" s="93" t="s">
        <v>646</v>
      </c>
    </row>
    <row r="3681" spans="1:15" hidden="1">
      <c r="A3681" s="75" t="str">
        <f t="shared" si="139"/>
        <v>VNCAOPHONGTVsmart TVsmart Tivi</v>
      </c>
      <c r="B3681" s="94" t="str">
        <f t="shared" si="140"/>
        <v>VN_CAOPHONG</v>
      </c>
      <c r="C3681" s="93" t="s">
        <v>237</v>
      </c>
      <c r="D3681" s="93" t="s">
        <v>238</v>
      </c>
      <c r="E3681" s="93" t="s">
        <v>161</v>
      </c>
      <c r="F3681" s="93" t="s">
        <v>2371</v>
      </c>
      <c r="G3681" s="93" t="s">
        <v>3715</v>
      </c>
      <c r="H3681" s="93" t="s">
        <v>3696</v>
      </c>
      <c r="I3681" s="105" t="s">
        <v>2310</v>
      </c>
      <c r="J3681" s="93" t="s">
        <v>189</v>
      </c>
      <c r="K3681" s="93" t="e">
        <v>#N/A</v>
      </c>
      <c r="L3681" s="93">
        <v>664</v>
      </c>
      <c r="M3681" s="93" t="s">
        <v>2351</v>
      </c>
      <c r="N3681" s="93">
        <f>VLOOKUP(B3681,'[16]01.수집 카테고리(List)'!$A$2:$H$64,8,FALSE)</f>
        <v>99991231</v>
      </c>
      <c r="O3681" s="93" t="s">
        <v>646</v>
      </c>
    </row>
    <row r="3682" spans="1:15" hidden="1">
      <c r="A3682" s="75" t="str">
        <f t="shared" si="139"/>
        <v>VNCAOPHONGTVTVTV</v>
      </c>
      <c r="B3682" s="94" t="str">
        <f t="shared" si="140"/>
        <v>VN_CAOPHONG</v>
      </c>
      <c r="C3682" s="93" t="s">
        <v>237</v>
      </c>
      <c r="D3682" s="93" t="s">
        <v>238</v>
      </c>
      <c r="E3682" s="93" t="s">
        <v>161</v>
      </c>
      <c r="F3682" s="93" t="s">
        <v>161</v>
      </c>
      <c r="G3682" s="93" t="s">
        <v>161</v>
      </c>
      <c r="H3682" s="93" t="s">
        <v>3696</v>
      </c>
      <c r="I3682" s="105" t="s">
        <v>2310</v>
      </c>
      <c r="J3682" s="93" t="s">
        <v>189</v>
      </c>
      <c r="K3682" s="93">
        <v>294</v>
      </c>
      <c r="L3682" s="93">
        <v>294</v>
      </c>
      <c r="M3682" s="93" t="s">
        <v>2311</v>
      </c>
      <c r="N3682" s="93">
        <f>VLOOKUP(B3682,'[16]01.수집 카테고리(List)'!$A$2:$H$64,8,FALSE)</f>
        <v>99991231</v>
      </c>
      <c r="O3682" s="93" t="s">
        <v>646</v>
      </c>
    </row>
    <row r="3683" spans="1:15" hidden="1">
      <c r="A3683" s="75" t="str">
        <f t="shared" si="139"/>
        <v>VNCAOPHONGTVoled TVTV oled</v>
      </c>
      <c r="B3683" s="94" t="str">
        <f t="shared" si="140"/>
        <v>VN_CAOPHONG</v>
      </c>
      <c r="C3683" s="93" t="s">
        <v>237</v>
      </c>
      <c r="D3683" s="93" t="s">
        <v>238</v>
      </c>
      <c r="E3683" s="93" t="s">
        <v>161</v>
      </c>
      <c r="F3683" s="93" t="s">
        <v>2369</v>
      </c>
      <c r="G3683" s="93" t="s">
        <v>3716</v>
      </c>
      <c r="H3683" s="93" t="s">
        <v>3696</v>
      </c>
      <c r="I3683" s="105" t="s">
        <v>2310</v>
      </c>
      <c r="J3683" s="93" t="s">
        <v>189</v>
      </c>
      <c r="K3683" s="93" t="e">
        <v>#N/A</v>
      </c>
      <c r="L3683" s="93">
        <v>80</v>
      </c>
      <c r="M3683" s="93" t="s">
        <v>2351</v>
      </c>
      <c r="N3683" s="93">
        <f>VLOOKUP(B3683,'[16]01.수집 카테고리(List)'!$A$2:$H$64,8,FALSE)</f>
        <v>99991231</v>
      </c>
      <c r="O3683" s="93" t="s">
        <v>646</v>
      </c>
    </row>
    <row r="3684" spans="1:15" hidden="1">
      <c r="A3684" s="75" t="str">
        <f t="shared" si="139"/>
        <v>VNCAOPHONGTVuhd TVTV uhd</v>
      </c>
      <c r="B3684" s="94" t="str">
        <f t="shared" si="140"/>
        <v>VN_CAOPHONG</v>
      </c>
      <c r="C3684" s="93" t="s">
        <v>237</v>
      </c>
      <c r="D3684" s="93" t="s">
        <v>238</v>
      </c>
      <c r="E3684" s="93" t="s">
        <v>161</v>
      </c>
      <c r="F3684" s="93" t="s">
        <v>2399</v>
      </c>
      <c r="G3684" s="93" t="s">
        <v>3717</v>
      </c>
      <c r="H3684" s="93" t="s">
        <v>3696</v>
      </c>
      <c r="I3684" s="105" t="s">
        <v>2310</v>
      </c>
      <c r="J3684" s="93" t="s">
        <v>189</v>
      </c>
      <c r="K3684" s="93" t="e">
        <v>#N/A</v>
      </c>
      <c r="L3684" s="93">
        <v>37311</v>
      </c>
      <c r="M3684" s="93" t="s">
        <v>2351</v>
      </c>
      <c r="N3684" s="93">
        <f>VLOOKUP(B3684,'[16]01.수집 카테고리(List)'!$A$2:$H$64,8,FALSE)</f>
        <v>99991231</v>
      </c>
      <c r="O3684" s="93" t="s">
        <v>646</v>
      </c>
    </row>
    <row r="3685" spans="1:15" hidden="1">
      <c r="A3685" s="75" t="str">
        <f t="shared" si="139"/>
        <v>VNCAOPHONGWashing Machinewashing machinemáy giặt</v>
      </c>
      <c r="B3685" s="94" t="str">
        <f t="shared" si="140"/>
        <v>VN_CAOPHONG</v>
      </c>
      <c r="C3685" s="93" t="s">
        <v>237</v>
      </c>
      <c r="D3685" s="93" t="s">
        <v>238</v>
      </c>
      <c r="E3685" s="93" t="s">
        <v>2333</v>
      </c>
      <c r="F3685" s="93" t="s">
        <v>2340</v>
      </c>
      <c r="G3685" s="93" t="s">
        <v>3718</v>
      </c>
      <c r="H3685" s="93" t="s">
        <v>3696</v>
      </c>
      <c r="I3685" s="105" t="s">
        <v>2310</v>
      </c>
      <c r="J3685" s="93" t="s">
        <v>189</v>
      </c>
      <c r="K3685" s="93" t="e">
        <v>#N/A</v>
      </c>
      <c r="L3685" s="93">
        <v>70</v>
      </c>
      <c r="M3685" s="93" t="s">
        <v>2351</v>
      </c>
      <c r="N3685" s="93">
        <f>VLOOKUP(B3685,'[16]01.수집 카테고리(List)'!$A$2:$H$64,8,FALSE)</f>
        <v>99991231</v>
      </c>
      <c r="O3685" s="93" t="s">
        <v>646</v>
      </c>
    </row>
    <row r="3686" spans="1:15" hidden="1">
      <c r="A3686" s="75" t="str">
        <f t="shared" si="139"/>
        <v>VNCAOPHONGWashing Machinetop loadermáy giặt cửa trên</v>
      </c>
      <c r="B3686" s="94" t="str">
        <f t="shared" si="140"/>
        <v>VN_CAOPHONG</v>
      </c>
      <c r="C3686" s="93" t="s">
        <v>237</v>
      </c>
      <c r="D3686" s="93" t="s">
        <v>238</v>
      </c>
      <c r="E3686" s="93" t="s">
        <v>2333</v>
      </c>
      <c r="F3686" s="93" t="s">
        <v>2336</v>
      </c>
      <c r="G3686" s="93" t="s">
        <v>3719</v>
      </c>
      <c r="H3686" s="93" t="s">
        <v>3696</v>
      </c>
      <c r="I3686" s="105" t="s">
        <v>2310</v>
      </c>
      <c r="J3686" s="93" t="s">
        <v>189</v>
      </c>
      <c r="K3686" s="93" t="e">
        <v>#N/A</v>
      </c>
      <c r="L3686" s="93">
        <v>76</v>
      </c>
      <c r="M3686" s="93" t="s">
        <v>2351</v>
      </c>
      <c r="N3686" s="93">
        <f>VLOOKUP(B3686,'[16]01.수집 카테고리(List)'!$A$2:$H$64,8,FALSE)</f>
        <v>99991231</v>
      </c>
      <c r="O3686" s="93" t="s">
        <v>646</v>
      </c>
    </row>
    <row r="3687" spans="1:15" ht="17.399999999999999" hidden="1">
      <c r="A3687" s="75" t="str">
        <f t="shared" si="139"/>
        <v>VNCAOPHONGWashing Machinefront loadermáy giặt cửa trước</v>
      </c>
      <c r="B3687" s="94" t="str">
        <f t="shared" si="140"/>
        <v>VN_CAOPHONG</v>
      </c>
      <c r="C3687" s="93" t="s">
        <v>237</v>
      </c>
      <c r="D3687" s="93" t="s">
        <v>238</v>
      </c>
      <c r="E3687" s="93" t="s">
        <v>2333</v>
      </c>
      <c r="F3687" s="93" t="s">
        <v>2334</v>
      </c>
      <c r="G3687" s="93" t="s">
        <v>3720</v>
      </c>
      <c r="H3687" s="93" t="s">
        <v>3696</v>
      </c>
      <c r="I3687" s="105" t="s">
        <v>2310</v>
      </c>
      <c r="J3687" s="93" t="s">
        <v>189</v>
      </c>
      <c r="K3687" s="93" t="e">
        <v>#N/A</v>
      </c>
      <c r="L3687" s="93">
        <v>71</v>
      </c>
      <c r="M3687" s="93" t="s">
        <v>2351</v>
      </c>
      <c r="N3687" s="93">
        <f>VLOOKUP(B3687,'[16]01.수집 카테고리(List)'!$A$2:$H$64,8,FALSE)</f>
        <v>99991231</v>
      </c>
      <c r="O3687" s="93" t="s">
        <v>646</v>
      </c>
    </row>
    <row r="3688" spans="1:15" hidden="1">
      <c r="A3688" s="75" t="str">
        <f t="shared" si="139"/>
        <v>VNCAOPHONGWIRELESS HEADSETHeadsetTai nghe</v>
      </c>
      <c r="B3688" s="94" t="str">
        <f t="shared" si="140"/>
        <v>VN_CAOPHONG</v>
      </c>
      <c r="C3688" s="93" t="s">
        <v>237</v>
      </c>
      <c r="D3688" s="93" t="s">
        <v>238</v>
      </c>
      <c r="E3688" s="93" t="s">
        <v>2201</v>
      </c>
      <c r="F3688" s="93" t="s">
        <v>3721</v>
      </c>
      <c r="G3688" s="93" t="s">
        <v>3722</v>
      </c>
      <c r="H3688" s="93" t="s">
        <v>3696</v>
      </c>
      <c r="I3688" s="105" t="s">
        <v>2310</v>
      </c>
      <c r="J3688" s="93" t="s">
        <v>189</v>
      </c>
      <c r="K3688" s="93" t="e">
        <v>#N/A</v>
      </c>
      <c r="L3688" s="93">
        <v>8</v>
      </c>
      <c r="M3688" s="93" t="s">
        <v>2351</v>
      </c>
      <c r="N3688" s="93">
        <f>VLOOKUP(B3688,'[16]01.수집 카테고리(List)'!$A$2:$H$64,8,FALSE)</f>
        <v>99991231</v>
      </c>
      <c r="O3688" s="93" t="s">
        <v>646</v>
      </c>
    </row>
    <row r="3689" spans="1:15" hidden="1">
      <c r="A3689" s="75" t="str">
        <f t="shared" si="139"/>
        <v>VNCAOPHONGWIRELESS HEADSETEar budsTai nghe</v>
      </c>
      <c r="B3689" s="94" t="str">
        <f t="shared" si="140"/>
        <v>VN_CAOPHONG</v>
      </c>
      <c r="C3689" s="93" t="s">
        <v>237</v>
      </c>
      <c r="D3689" s="93" t="s">
        <v>238</v>
      </c>
      <c r="E3689" s="93" t="s">
        <v>2201</v>
      </c>
      <c r="F3689" s="93" t="s">
        <v>2380</v>
      </c>
      <c r="G3689" s="93" t="s">
        <v>3722</v>
      </c>
      <c r="H3689" s="93" t="s">
        <v>3696</v>
      </c>
      <c r="I3689" s="105" t="s">
        <v>2310</v>
      </c>
      <c r="J3689" s="93" t="s">
        <v>189</v>
      </c>
      <c r="K3689" s="93" t="e">
        <v>#N/A</v>
      </c>
      <c r="L3689" s="93">
        <v>5</v>
      </c>
      <c r="M3689" s="93" t="s">
        <v>2351</v>
      </c>
      <c r="N3689" s="93">
        <f>VLOOKUP(B3689,'[16]01.수집 카테고리(List)'!$A$2:$H$64,8,FALSE)</f>
        <v>99991231</v>
      </c>
      <c r="O3689" s="93" t="s">
        <v>646</v>
      </c>
    </row>
    <row r="3690" spans="1:15" hidden="1">
      <c r="A3690" s="75" t="str">
        <f t="shared" si="139"/>
        <v>VNCAOPHONGWIRELESS HEADSETBluetooth earbudsTai nghe bluetooth</v>
      </c>
      <c r="B3690" s="94" t="str">
        <f t="shared" si="140"/>
        <v>VN_CAOPHONG</v>
      </c>
      <c r="C3690" s="93" t="s">
        <v>237</v>
      </c>
      <c r="D3690" s="93" t="s">
        <v>238</v>
      </c>
      <c r="E3690" s="93" t="s">
        <v>2201</v>
      </c>
      <c r="F3690" s="93" t="s">
        <v>2382</v>
      </c>
      <c r="G3690" s="93" t="s">
        <v>3723</v>
      </c>
      <c r="H3690" s="93" t="s">
        <v>3696</v>
      </c>
      <c r="I3690" s="105" t="s">
        <v>2310</v>
      </c>
      <c r="J3690" s="93" t="s">
        <v>189</v>
      </c>
      <c r="K3690" s="93" t="e">
        <v>#N/A</v>
      </c>
      <c r="L3690" s="93">
        <v>5</v>
      </c>
      <c r="M3690" s="93" t="s">
        <v>2351</v>
      </c>
      <c r="N3690" s="93">
        <f>VLOOKUP(B3690,'[16]01.수집 카테고리(List)'!$A$2:$H$64,8,FALSE)</f>
        <v>99991231</v>
      </c>
      <c r="O3690" s="93" t="s">
        <v>646</v>
      </c>
    </row>
    <row r="3691" spans="1:15" hidden="1">
      <c r="A3691" s="75" t="str">
        <f t="shared" si="139"/>
        <v>VNCAOPHONGWIRELESS HEADSETBluetooth headsetTai nghe bluetooth</v>
      </c>
      <c r="B3691" s="94" t="str">
        <f t="shared" si="140"/>
        <v>VN_CAOPHONG</v>
      </c>
      <c r="C3691" s="93" t="s">
        <v>237</v>
      </c>
      <c r="D3691" s="93" t="s">
        <v>238</v>
      </c>
      <c r="E3691" s="93" t="s">
        <v>2201</v>
      </c>
      <c r="F3691" s="93" t="s">
        <v>3724</v>
      </c>
      <c r="G3691" s="93" t="s">
        <v>3723</v>
      </c>
      <c r="H3691" s="93" t="s">
        <v>3696</v>
      </c>
      <c r="I3691" s="105" t="s">
        <v>2310</v>
      </c>
      <c r="J3691" s="93" t="s">
        <v>189</v>
      </c>
      <c r="K3691" s="93" t="e">
        <v>#N/A</v>
      </c>
      <c r="L3691" s="93">
        <v>8</v>
      </c>
      <c r="M3691" s="93" t="s">
        <v>2351</v>
      </c>
      <c r="N3691" s="93">
        <f>VLOOKUP(B3691,'[16]01.수집 카테고리(List)'!$A$2:$H$64,8,FALSE)</f>
        <v>99991231</v>
      </c>
      <c r="O3691" s="93" t="s">
        <v>646</v>
      </c>
    </row>
    <row r="3692" spans="1:15" hidden="1">
      <c r="A3692" s="75" t="str">
        <f t="shared" ref="A3692:A3755" si="141">C3692&amp;D3692&amp;E3692&amp;F3692&amp;G3692</f>
        <v>VNCAOPHONGWIRELESS HEADSETNoise cancelling earbudsTai nghe chống ồn</v>
      </c>
      <c r="B3692" s="94" t="str">
        <f t="shared" si="140"/>
        <v>VN_CAOPHONG</v>
      </c>
      <c r="C3692" s="93" t="s">
        <v>237</v>
      </c>
      <c r="D3692" s="93" t="s">
        <v>238</v>
      </c>
      <c r="E3692" s="93" t="s">
        <v>2201</v>
      </c>
      <c r="F3692" s="93" t="s">
        <v>2378</v>
      </c>
      <c r="G3692" s="93" t="s">
        <v>3725</v>
      </c>
      <c r="H3692" s="93" t="s">
        <v>3696</v>
      </c>
      <c r="I3692" s="105" t="s">
        <v>2310</v>
      </c>
      <c r="J3692" s="93" t="s">
        <v>189</v>
      </c>
      <c r="K3692" s="93" t="e">
        <v>#N/A</v>
      </c>
      <c r="L3692" s="93">
        <v>6</v>
      </c>
      <c r="M3692" s="93" t="s">
        <v>2351</v>
      </c>
      <c r="N3692" s="93">
        <f>VLOOKUP(B3692,'[16]01.수집 카테고리(List)'!$A$2:$H$64,8,FALSE)</f>
        <v>99991231</v>
      </c>
      <c r="O3692" s="93" t="s">
        <v>646</v>
      </c>
    </row>
    <row r="3693" spans="1:15" hidden="1">
      <c r="A3693" s="75" t="str">
        <f t="shared" si="141"/>
        <v>VNCAOPHONGWIRELESS HEADSETNoise Canceling HeadsetTai nghe chống ồn</v>
      </c>
      <c r="B3693" s="94" t="str">
        <f t="shared" si="140"/>
        <v>VN_CAOPHONG</v>
      </c>
      <c r="C3693" s="93" t="s">
        <v>237</v>
      </c>
      <c r="D3693" s="93" t="s">
        <v>238</v>
      </c>
      <c r="E3693" s="93" t="s">
        <v>2201</v>
      </c>
      <c r="F3693" s="93" t="s">
        <v>3726</v>
      </c>
      <c r="G3693" s="93" t="s">
        <v>3725</v>
      </c>
      <c r="H3693" s="93" t="s">
        <v>3696</v>
      </c>
      <c r="I3693" s="105" t="s">
        <v>2310</v>
      </c>
      <c r="J3693" s="93" t="s">
        <v>189</v>
      </c>
      <c r="K3693" s="93" t="e">
        <v>#N/A</v>
      </c>
      <c r="L3693" s="93">
        <v>9</v>
      </c>
      <c r="M3693" s="93" t="s">
        <v>2351</v>
      </c>
      <c r="N3693" s="93">
        <f>VLOOKUP(B3693,'[16]01.수집 카테고리(List)'!$A$2:$H$64,8,FALSE)</f>
        <v>99991231</v>
      </c>
      <c r="O3693" s="93" t="s">
        <v>646</v>
      </c>
    </row>
    <row r="3694" spans="1:15" hidden="1">
      <c r="A3694" s="75" t="str">
        <f t="shared" si="141"/>
        <v>VNCAOPHONGWIRELESS HEADSETWireless earbudsTai nghe không dây</v>
      </c>
      <c r="B3694" s="94" t="str">
        <f t="shared" si="140"/>
        <v>VN_CAOPHONG</v>
      </c>
      <c r="C3694" s="93" t="s">
        <v>237</v>
      </c>
      <c r="D3694" s="93" t="s">
        <v>238</v>
      </c>
      <c r="E3694" s="93" t="s">
        <v>2201</v>
      </c>
      <c r="F3694" s="93" t="s">
        <v>2376</v>
      </c>
      <c r="G3694" s="93" t="s">
        <v>3727</v>
      </c>
      <c r="H3694" s="93" t="s">
        <v>3696</v>
      </c>
      <c r="I3694" s="105" t="s">
        <v>2310</v>
      </c>
      <c r="J3694" s="93" t="s">
        <v>189</v>
      </c>
      <c r="K3694" s="93" t="e">
        <v>#N/A</v>
      </c>
      <c r="L3694" s="93">
        <v>10</v>
      </c>
      <c r="M3694" s="93" t="s">
        <v>2351</v>
      </c>
      <c r="N3694" s="93">
        <f>VLOOKUP(B3694,'[16]01.수집 카테고리(List)'!$A$2:$H$64,8,FALSE)</f>
        <v>99991231</v>
      </c>
      <c r="O3694" s="93" t="s">
        <v>646</v>
      </c>
    </row>
    <row r="3695" spans="1:15" hidden="1">
      <c r="A3695" s="75" t="str">
        <f t="shared" si="141"/>
        <v>VNCAOPHONGWIRELESS HEADSETWireless headsetTai nghe không dây</v>
      </c>
      <c r="B3695" s="94" t="str">
        <f t="shared" si="140"/>
        <v>VN_CAOPHONG</v>
      </c>
      <c r="C3695" s="93" t="s">
        <v>237</v>
      </c>
      <c r="D3695" s="93" t="s">
        <v>238</v>
      </c>
      <c r="E3695" s="93" t="s">
        <v>2201</v>
      </c>
      <c r="F3695" s="93" t="s">
        <v>3728</v>
      </c>
      <c r="G3695" s="93" t="s">
        <v>3727</v>
      </c>
      <c r="H3695" s="93" t="s">
        <v>3696</v>
      </c>
      <c r="I3695" s="105" t="s">
        <v>2310</v>
      </c>
      <c r="J3695" s="93" t="s">
        <v>189</v>
      </c>
      <c r="K3695" s="93" t="e">
        <v>#N/A</v>
      </c>
      <c r="L3695" s="93">
        <v>13</v>
      </c>
      <c r="M3695" s="93" t="s">
        <v>2351</v>
      </c>
      <c r="N3695" s="93">
        <f>VLOOKUP(B3695,'[16]01.수집 카테고리(List)'!$A$2:$H$64,8,FALSE)</f>
        <v>99991231</v>
      </c>
      <c r="O3695" s="93" t="s">
        <v>646</v>
      </c>
    </row>
    <row r="3696" spans="1:15" hidden="1">
      <c r="A3696" s="75" t="str">
        <f t="shared" si="141"/>
        <v>VNCAOPHONGWIRELESS HEADSETTrue wireless earbudsTai nghe true wireless</v>
      </c>
      <c r="B3696" s="94" t="str">
        <f t="shared" si="140"/>
        <v>VN_CAOPHONG</v>
      </c>
      <c r="C3696" s="93" t="s">
        <v>237</v>
      </c>
      <c r="D3696" s="93" t="s">
        <v>238</v>
      </c>
      <c r="E3696" s="93" t="s">
        <v>2201</v>
      </c>
      <c r="F3696" s="93" t="s">
        <v>2374</v>
      </c>
      <c r="G3696" s="93" t="s">
        <v>3729</v>
      </c>
      <c r="H3696" s="93" t="s">
        <v>3696</v>
      </c>
      <c r="I3696" s="105" t="s">
        <v>2310</v>
      </c>
      <c r="J3696" s="93" t="s">
        <v>189</v>
      </c>
      <c r="K3696" s="93" t="e">
        <v>#N/A</v>
      </c>
      <c r="L3696" s="93">
        <v>4</v>
      </c>
      <c r="M3696" s="93" t="s">
        <v>2351</v>
      </c>
      <c r="N3696" s="93">
        <f>VLOOKUP(B3696,'[16]01.수집 카테고리(List)'!$A$2:$H$64,8,FALSE)</f>
        <v>99991231</v>
      </c>
      <c r="O3696" s="93" t="s">
        <v>646</v>
      </c>
    </row>
    <row r="3697" spans="1:15" hidden="1">
      <c r="A3697" s="75" t="str">
        <f t="shared" si="141"/>
        <v>VNCAOPHONGWIRELESS HEADSETTrue wireless headsetTai nghe true wireless</v>
      </c>
      <c r="B3697" s="94" t="str">
        <f t="shared" si="140"/>
        <v>VN_CAOPHONG</v>
      </c>
      <c r="C3697" s="93" t="s">
        <v>237</v>
      </c>
      <c r="D3697" s="93" t="s">
        <v>238</v>
      </c>
      <c r="E3697" s="93" t="s">
        <v>2201</v>
      </c>
      <c r="F3697" s="93" t="s">
        <v>3730</v>
      </c>
      <c r="G3697" s="93" t="s">
        <v>3729</v>
      </c>
      <c r="H3697" s="93" t="s">
        <v>3696</v>
      </c>
      <c r="I3697" s="105" t="s">
        <v>2310</v>
      </c>
      <c r="J3697" s="93" t="s">
        <v>189</v>
      </c>
      <c r="K3697" s="93" t="e">
        <v>#N/A</v>
      </c>
      <c r="L3697" s="93">
        <v>8</v>
      </c>
      <c r="M3697" s="93" t="s">
        <v>2351</v>
      </c>
      <c r="N3697" s="93">
        <f>VLOOKUP(B3697,'[16]01.수집 카테고리(List)'!$A$2:$H$64,8,FALSE)</f>
        <v>99991231</v>
      </c>
      <c r="O3697" s="93" t="s">
        <v>646</v>
      </c>
    </row>
    <row r="3698" spans="1:15" hidden="1">
      <c r="A3698" s="75" t="str">
        <f t="shared" si="141"/>
        <v>VNDIENMAYXANHAir ConditionerAir conditioningĐiều hòa không khí</v>
      </c>
      <c r="B3698" s="94" t="str">
        <f t="shared" si="140"/>
        <v>VN_DIENMAYXANH</v>
      </c>
      <c r="C3698" s="93" t="s">
        <v>237</v>
      </c>
      <c r="D3698" s="93" t="s">
        <v>240</v>
      </c>
      <c r="E3698" s="93" t="s">
        <v>2346</v>
      </c>
      <c r="F3698" s="93" t="s">
        <v>3697</v>
      </c>
      <c r="G3698" s="93" t="s">
        <v>3698</v>
      </c>
      <c r="H3698" s="93" t="e">
        <v>#N/A</v>
      </c>
      <c r="I3698" s="105" t="s">
        <v>2310</v>
      </c>
      <c r="J3698" s="93" t="s">
        <v>189</v>
      </c>
      <c r="K3698" s="93">
        <v>40</v>
      </c>
      <c r="L3698" s="93" t="e">
        <v>#N/A</v>
      </c>
      <c r="M3698" s="93" t="s">
        <v>2311</v>
      </c>
      <c r="N3698" s="93">
        <f>VLOOKUP(B3698,'[16]01.수집 카테고리(List)'!$A$2:$H$64,8,FALSE)</f>
        <v>99991231</v>
      </c>
      <c r="O3698" s="93" t="s">
        <v>646</v>
      </c>
    </row>
    <row r="3699" spans="1:15" hidden="1">
      <c r="A3699" s="75" t="str">
        <f t="shared" si="141"/>
        <v>VNDIENMAYXANHAir ConditionerACmáy điều hòa</v>
      </c>
      <c r="B3699" s="94" t="str">
        <f t="shared" si="140"/>
        <v>VN_DIENMAYXANH</v>
      </c>
      <c r="C3699" s="93" t="s">
        <v>237</v>
      </c>
      <c r="D3699" s="93" t="s">
        <v>240</v>
      </c>
      <c r="E3699" s="93" t="s">
        <v>2346</v>
      </c>
      <c r="F3699" s="93" t="s">
        <v>2492</v>
      </c>
      <c r="G3699" s="93" t="s">
        <v>3699</v>
      </c>
      <c r="H3699" s="93" t="e">
        <v>#N/A</v>
      </c>
      <c r="I3699" s="105" t="s">
        <v>2310</v>
      </c>
      <c r="J3699" s="93" t="s">
        <v>189</v>
      </c>
      <c r="K3699" s="93">
        <v>25</v>
      </c>
      <c r="L3699" s="93" t="e">
        <v>#N/A</v>
      </c>
      <c r="M3699" s="93" t="s">
        <v>2311</v>
      </c>
      <c r="N3699" s="93">
        <f>VLOOKUP(B3699,'[16]01.수집 카테고리(List)'!$A$2:$H$64,8,FALSE)</f>
        <v>99991231</v>
      </c>
      <c r="O3699" s="93" t="s">
        <v>646</v>
      </c>
    </row>
    <row r="3700" spans="1:15" hidden="1">
      <c r="A3700" s="75" t="str">
        <f t="shared" si="141"/>
        <v>VNDIENMAYXANHAir Conditionerinverter air conditionermáy điều hòa inverter</v>
      </c>
      <c r="B3700" s="94" t="str">
        <f t="shared" si="140"/>
        <v>VN_DIENMAYXANH</v>
      </c>
      <c r="C3700" s="93" t="s">
        <v>237</v>
      </c>
      <c r="D3700" s="93" t="s">
        <v>240</v>
      </c>
      <c r="E3700" s="93" t="s">
        <v>2346</v>
      </c>
      <c r="F3700" s="93" t="s">
        <v>2348</v>
      </c>
      <c r="G3700" s="93" t="s">
        <v>3700</v>
      </c>
      <c r="H3700" s="93" t="e">
        <v>#N/A</v>
      </c>
      <c r="I3700" s="105" t="s">
        <v>2310</v>
      </c>
      <c r="J3700" s="93" t="s">
        <v>189</v>
      </c>
      <c r="K3700" s="93">
        <v>316</v>
      </c>
      <c r="L3700" s="93" t="e">
        <v>#N/A</v>
      </c>
      <c r="M3700" s="93" t="s">
        <v>2311</v>
      </c>
      <c r="N3700" s="93">
        <f>VLOOKUP(B3700,'[16]01.수집 카테고리(List)'!$A$2:$H$64,8,FALSE)</f>
        <v>99991231</v>
      </c>
      <c r="O3700" s="93" t="s">
        <v>646</v>
      </c>
    </row>
    <row r="3701" spans="1:15" hidden="1">
      <c r="A3701" s="75" t="str">
        <f t="shared" si="141"/>
        <v>VNDIENMAYXANHAir Conditionerair conditionermáy lạnh</v>
      </c>
      <c r="B3701" s="94" t="str">
        <f t="shared" si="140"/>
        <v>VN_DIENMAYXANH</v>
      </c>
      <c r="C3701" s="93" t="s">
        <v>237</v>
      </c>
      <c r="D3701" s="93" t="s">
        <v>240</v>
      </c>
      <c r="E3701" s="93" t="s">
        <v>2346</v>
      </c>
      <c r="F3701" s="93" t="s">
        <v>2347</v>
      </c>
      <c r="G3701" s="93" t="s">
        <v>3701</v>
      </c>
      <c r="H3701" s="93" t="e">
        <v>#N/A</v>
      </c>
      <c r="I3701" s="105" t="s">
        <v>2310</v>
      </c>
      <c r="J3701" s="93" t="s">
        <v>189</v>
      </c>
      <c r="K3701" s="93">
        <v>5</v>
      </c>
      <c r="L3701" s="93" t="e">
        <v>#N/A</v>
      </c>
      <c r="M3701" s="93" t="s">
        <v>2311</v>
      </c>
      <c r="N3701" s="93">
        <f>VLOOKUP(B3701,'[16]01.수집 카테고리(List)'!$A$2:$H$64,8,FALSE)</f>
        <v>99991231</v>
      </c>
      <c r="O3701" s="93" t="s">
        <v>646</v>
      </c>
    </row>
    <row r="3702" spans="1:15" hidden="1">
      <c r="A3702" s="75" t="str">
        <f t="shared" si="141"/>
        <v>VNDIENMAYXANHAir Conditionerair coolermáy lạnh</v>
      </c>
      <c r="B3702" s="94" t="str">
        <f t="shared" si="140"/>
        <v>VN_DIENMAYXANH</v>
      </c>
      <c r="C3702" s="93" t="s">
        <v>237</v>
      </c>
      <c r="D3702" s="93" t="s">
        <v>240</v>
      </c>
      <c r="E3702" s="93" t="s">
        <v>2346</v>
      </c>
      <c r="F3702" s="93" t="s">
        <v>3379</v>
      </c>
      <c r="G3702" s="93" t="s">
        <v>3701</v>
      </c>
      <c r="H3702" s="93" t="e">
        <v>#N/A</v>
      </c>
      <c r="I3702" s="105" t="s">
        <v>2310</v>
      </c>
      <c r="J3702" s="93" t="s">
        <v>189</v>
      </c>
      <c r="K3702" s="93">
        <v>5</v>
      </c>
      <c r="L3702" s="93" t="e">
        <v>#N/A</v>
      </c>
      <c r="M3702" s="93" t="s">
        <v>2311</v>
      </c>
      <c r="N3702" s="93">
        <f>VLOOKUP(B3702,'[16]01.수집 카테고리(List)'!$A$2:$H$64,8,FALSE)</f>
        <v>99991231</v>
      </c>
      <c r="O3702" s="93" t="s">
        <v>646</v>
      </c>
    </row>
    <row r="3703" spans="1:15" hidden="1">
      <c r="A3703" s="75" t="str">
        <f t="shared" si="141"/>
        <v>VNDIENMAYXANHBluetooth SpeakerBluetooth SpeakerLoa bluetooth</v>
      </c>
      <c r="B3703" s="94" t="str">
        <f t="shared" si="140"/>
        <v>VN_DIENMAYXANH</v>
      </c>
      <c r="C3703" s="93" t="s">
        <v>237</v>
      </c>
      <c r="D3703" s="93" t="s">
        <v>240</v>
      </c>
      <c r="E3703" s="93" t="s">
        <v>2307</v>
      </c>
      <c r="F3703" s="93" t="s">
        <v>2470</v>
      </c>
      <c r="G3703" s="93" t="s">
        <v>3702</v>
      </c>
      <c r="H3703" s="93" t="e">
        <v>#N/A</v>
      </c>
      <c r="I3703" s="105" t="s">
        <v>2310</v>
      </c>
      <c r="J3703" s="93" t="s">
        <v>189</v>
      </c>
      <c r="K3703" s="93">
        <v>52</v>
      </c>
      <c r="L3703" s="93" t="e">
        <v>#N/A</v>
      </c>
      <c r="M3703" s="93" t="s">
        <v>2311</v>
      </c>
      <c r="N3703" s="93">
        <f>VLOOKUP(B3703,'[16]01.수집 카테고리(List)'!$A$2:$H$64,8,FALSE)</f>
        <v>99991231</v>
      </c>
      <c r="O3703" s="93" t="s">
        <v>646</v>
      </c>
    </row>
    <row r="3704" spans="1:15" hidden="1">
      <c r="A3704" s="75" t="str">
        <f t="shared" si="141"/>
        <v>VNDIENMAYXANHRefrigeratorrefrigeratorTủ lạnh</v>
      </c>
      <c r="B3704" s="94" t="str">
        <f t="shared" si="140"/>
        <v>VN_DIENMAYXANH</v>
      </c>
      <c r="C3704" s="93" t="s">
        <v>237</v>
      </c>
      <c r="D3704" s="93" t="s">
        <v>240</v>
      </c>
      <c r="E3704" s="93" t="s">
        <v>2326</v>
      </c>
      <c r="F3704" s="93" t="s">
        <v>2329</v>
      </c>
      <c r="G3704" s="93" t="s">
        <v>3704</v>
      </c>
      <c r="H3704" s="93" t="e">
        <v>#N/A</v>
      </c>
      <c r="I3704" s="105" t="s">
        <v>2310</v>
      </c>
      <c r="J3704" s="93" t="s">
        <v>189</v>
      </c>
      <c r="K3704" s="93">
        <v>3</v>
      </c>
      <c r="L3704" s="93" t="e">
        <v>#N/A</v>
      </c>
      <c r="M3704" s="93" t="s">
        <v>2311</v>
      </c>
      <c r="N3704" s="93">
        <f>VLOOKUP(B3704,'[16]01.수집 카테고리(List)'!$A$2:$H$64,8,FALSE)</f>
        <v>99991231</v>
      </c>
      <c r="O3704" s="93" t="s">
        <v>646</v>
      </c>
    </row>
    <row r="3705" spans="1:15" hidden="1">
      <c r="A3705" s="75" t="str">
        <f t="shared" si="141"/>
        <v>VNDIENMAYXANHRefrigeratortop freezer refrigeratortủ lạnh ngăn đá trên</v>
      </c>
      <c r="B3705" s="94" t="str">
        <f t="shared" si="140"/>
        <v>VN_DIENMAYXANH</v>
      </c>
      <c r="C3705" s="93" t="s">
        <v>237</v>
      </c>
      <c r="D3705" s="93" t="s">
        <v>240</v>
      </c>
      <c r="E3705" s="93" t="s">
        <v>2326</v>
      </c>
      <c r="F3705" s="93" t="s">
        <v>2332</v>
      </c>
      <c r="G3705" s="93" t="s">
        <v>3705</v>
      </c>
      <c r="H3705" s="93" t="e">
        <v>#N/A</v>
      </c>
      <c r="I3705" s="105" t="s">
        <v>2310</v>
      </c>
      <c r="J3705" s="93" t="s">
        <v>189</v>
      </c>
      <c r="K3705" s="93">
        <v>753</v>
      </c>
      <c r="L3705" s="93" t="e">
        <v>#N/A</v>
      </c>
      <c r="M3705" s="93" t="s">
        <v>2311</v>
      </c>
      <c r="N3705" s="93">
        <f>VLOOKUP(B3705,'[16]01.수집 카테고리(List)'!$A$2:$H$64,8,FALSE)</f>
        <v>99991231</v>
      </c>
      <c r="O3705" s="93" t="s">
        <v>646</v>
      </c>
    </row>
    <row r="3706" spans="1:15" hidden="1">
      <c r="A3706" s="75" t="str">
        <f t="shared" si="141"/>
        <v>VNDIENMAYXANHRefrigeratorside by side refrigeratorTủ lạnh Side by Side</v>
      </c>
      <c r="B3706" s="94" t="str">
        <f t="shared" si="140"/>
        <v>VN_DIENMAYXANH</v>
      </c>
      <c r="C3706" s="93" t="s">
        <v>237</v>
      </c>
      <c r="D3706" s="93" t="s">
        <v>240</v>
      </c>
      <c r="E3706" s="93" t="s">
        <v>2326</v>
      </c>
      <c r="F3706" s="93" t="s">
        <v>2330</v>
      </c>
      <c r="G3706" s="93" t="s">
        <v>3706</v>
      </c>
      <c r="H3706" s="93" t="e">
        <v>#N/A</v>
      </c>
      <c r="I3706" s="105" t="s">
        <v>2310</v>
      </c>
      <c r="J3706" s="93" t="s">
        <v>189</v>
      </c>
      <c r="K3706" s="93">
        <v>5</v>
      </c>
      <c r="L3706" s="93" t="e">
        <v>#N/A</v>
      </c>
      <c r="M3706" s="93" t="s">
        <v>2311</v>
      </c>
      <c r="N3706" s="93">
        <f>VLOOKUP(B3706,'[16]01.수집 카테고리(List)'!$A$2:$H$64,8,FALSE)</f>
        <v>99991231</v>
      </c>
      <c r="O3706" s="93" t="s">
        <v>646</v>
      </c>
    </row>
    <row r="3707" spans="1:15" hidden="1">
      <c r="A3707" s="75" t="str">
        <f t="shared" si="141"/>
        <v>VNDIENMAYXANHSOUNDBARSound systemHệ thống loa thanh</v>
      </c>
      <c r="B3707" s="94" t="str">
        <f t="shared" si="140"/>
        <v>VN_DIENMAYXANH</v>
      </c>
      <c r="C3707" s="93" t="s">
        <v>237</v>
      </c>
      <c r="D3707" s="93" t="s">
        <v>240</v>
      </c>
      <c r="E3707" s="93" t="s">
        <v>165</v>
      </c>
      <c r="F3707" s="93" t="s">
        <v>2359</v>
      </c>
      <c r="G3707" s="93" t="s">
        <v>3731</v>
      </c>
      <c r="H3707" s="93" t="e">
        <v>#N/A</v>
      </c>
      <c r="I3707" s="105" t="s">
        <v>2310</v>
      </c>
      <c r="J3707" s="93" t="s">
        <v>189</v>
      </c>
      <c r="K3707" s="93">
        <v>36</v>
      </c>
      <c r="L3707" s="93" t="e">
        <v>#N/A</v>
      </c>
      <c r="M3707" s="93" t="s">
        <v>2311</v>
      </c>
      <c r="N3707" s="93">
        <f>VLOOKUP(B3707,'[16]01.수집 카테고리(List)'!$A$2:$H$64,8,FALSE)</f>
        <v>99991231</v>
      </c>
      <c r="O3707" s="93" t="s">
        <v>646</v>
      </c>
    </row>
    <row r="3708" spans="1:15" hidden="1">
      <c r="A3708" s="75" t="str">
        <f t="shared" si="141"/>
        <v>VNDIENMAYXANHSOUNDBARspeakerLoa</v>
      </c>
      <c r="B3708" s="94" t="str">
        <f t="shared" si="140"/>
        <v>VN_DIENMAYXANH</v>
      </c>
      <c r="C3708" s="93" t="s">
        <v>237</v>
      </c>
      <c r="D3708" s="93" t="s">
        <v>240</v>
      </c>
      <c r="E3708" s="93" t="s">
        <v>165</v>
      </c>
      <c r="F3708" s="93" t="s">
        <v>2555</v>
      </c>
      <c r="G3708" s="93" t="s">
        <v>3708</v>
      </c>
      <c r="H3708" s="93" t="e">
        <v>#N/A</v>
      </c>
      <c r="I3708" s="105" t="s">
        <v>2310</v>
      </c>
      <c r="J3708" s="93" t="s">
        <v>189</v>
      </c>
      <c r="K3708" s="93">
        <v>43</v>
      </c>
      <c r="L3708" s="93" t="e">
        <v>#N/A</v>
      </c>
      <c r="M3708" s="93" t="s">
        <v>2311</v>
      </c>
      <c r="N3708" s="93">
        <f>VLOOKUP(B3708,'[16]01.수집 카테고리(List)'!$A$2:$H$64,8,FALSE)</f>
        <v>99991231</v>
      </c>
      <c r="O3708" s="93" t="s">
        <v>646</v>
      </c>
    </row>
    <row r="3709" spans="1:15" hidden="1">
      <c r="A3709" s="75" t="str">
        <f t="shared" si="141"/>
        <v>VNDIENMAYXANHSOUNDBARSoundbar speakerLoa soundbar</v>
      </c>
      <c r="B3709" s="94" t="str">
        <f t="shared" si="140"/>
        <v>VN_DIENMAYXANH</v>
      </c>
      <c r="C3709" s="93" t="s">
        <v>237</v>
      </c>
      <c r="D3709" s="93" t="s">
        <v>240</v>
      </c>
      <c r="E3709" s="93" t="s">
        <v>165</v>
      </c>
      <c r="F3709" s="93" t="s">
        <v>3732</v>
      </c>
      <c r="G3709" s="93" t="s">
        <v>3733</v>
      </c>
      <c r="H3709" s="93" t="e">
        <v>#N/A</v>
      </c>
      <c r="I3709" s="105" t="s">
        <v>2310</v>
      </c>
      <c r="J3709" s="93" t="s">
        <v>189</v>
      </c>
      <c r="K3709" s="93">
        <v>162</v>
      </c>
      <c r="L3709" s="93" t="e">
        <v>#N/A</v>
      </c>
      <c r="M3709" s="93" t="s">
        <v>2311</v>
      </c>
      <c r="N3709" s="93">
        <f>VLOOKUP(B3709,'[16]01.수집 카테고리(List)'!$A$2:$H$64,8,FALSE)</f>
        <v>99991231</v>
      </c>
      <c r="O3709" s="93" t="s">
        <v>646</v>
      </c>
    </row>
    <row r="3710" spans="1:15" hidden="1">
      <c r="A3710" s="75" t="str">
        <f t="shared" si="141"/>
        <v>VNDIENMAYXANHSOUNDBARspeakersLoa thanh</v>
      </c>
      <c r="B3710" s="94" t="str">
        <f t="shared" si="140"/>
        <v>VN_DIENMAYXANH</v>
      </c>
      <c r="C3710" s="93" t="s">
        <v>237</v>
      </c>
      <c r="D3710" s="93" t="s">
        <v>240</v>
      </c>
      <c r="E3710" s="93" t="s">
        <v>165</v>
      </c>
      <c r="F3710" s="93" t="s">
        <v>2471</v>
      </c>
      <c r="G3710" s="93" t="s">
        <v>3711</v>
      </c>
      <c r="H3710" s="93" t="e">
        <v>#N/A</v>
      </c>
      <c r="I3710" s="105" t="s">
        <v>2310</v>
      </c>
      <c r="J3710" s="93" t="s">
        <v>189</v>
      </c>
      <c r="K3710" s="93">
        <v>200</v>
      </c>
      <c r="L3710" s="93" t="e">
        <v>#N/A</v>
      </c>
      <c r="M3710" s="93" t="s">
        <v>2311</v>
      </c>
      <c r="N3710" s="93">
        <f>VLOOKUP(B3710,'[16]01.수집 카테고리(List)'!$A$2:$H$64,8,FALSE)</f>
        <v>99991231</v>
      </c>
      <c r="O3710" s="93" t="s">
        <v>646</v>
      </c>
    </row>
    <row r="3711" spans="1:15" hidden="1">
      <c r="A3711" s="75" t="str">
        <f t="shared" si="141"/>
        <v>VNDIENMAYXANHSOUNDBARSoundbarLoa thanh soundbar</v>
      </c>
      <c r="B3711" s="94" t="str">
        <f t="shared" si="140"/>
        <v>VN_DIENMAYXANH</v>
      </c>
      <c r="C3711" s="93" t="s">
        <v>237</v>
      </c>
      <c r="D3711" s="93" t="s">
        <v>240</v>
      </c>
      <c r="E3711" s="93" t="s">
        <v>165</v>
      </c>
      <c r="F3711" s="93" t="s">
        <v>2363</v>
      </c>
      <c r="G3711" s="93" t="s">
        <v>3712</v>
      </c>
      <c r="H3711" s="93" t="e">
        <v>#N/A</v>
      </c>
      <c r="I3711" s="105" t="s">
        <v>2310</v>
      </c>
      <c r="J3711" s="93" t="s">
        <v>189</v>
      </c>
      <c r="K3711" s="93">
        <v>174</v>
      </c>
      <c r="L3711" s="93" t="e">
        <v>#N/A</v>
      </c>
      <c r="M3711" s="93" t="s">
        <v>2311</v>
      </c>
      <c r="N3711" s="93">
        <f>VLOOKUP(B3711,'[16]01.수집 카테고리(List)'!$A$2:$H$64,8,FALSE)</f>
        <v>99991231</v>
      </c>
      <c r="O3711" s="93" t="s">
        <v>646</v>
      </c>
    </row>
    <row r="3712" spans="1:15" hidden="1">
      <c r="A3712" s="75" t="str">
        <f t="shared" si="141"/>
        <v>VNDIENMAYXANHStylerlg Stylerlg Tủ hấp</v>
      </c>
      <c r="B3712" s="94" t="str">
        <f t="shared" si="140"/>
        <v>VN_DIENMAYXANH</v>
      </c>
      <c r="C3712" s="93" t="s">
        <v>237</v>
      </c>
      <c r="D3712" s="93" t="s">
        <v>240</v>
      </c>
      <c r="E3712" s="93" t="s">
        <v>3281</v>
      </c>
      <c r="F3712" s="93" t="s">
        <v>3734</v>
      </c>
      <c r="G3712" s="93" t="s">
        <v>3735</v>
      </c>
      <c r="H3712" s="93" t="e">
        <v>#N/A</v>
      </c>
      <c r="I3712" s="105" t="s">
        <v>2310</v>
      </c>
      <c r="J3712" s="93" t="s">
        <v>189</v>
      </c>
      <c r="K3712" s="93">
        <v>5</v>
      </c>
      <c r="L3712" s="93" t="e">
        <v>#N/A</v>
      </c>
      <c r="M3712" s="93" t="s">
        <v>2311</v>
      </c>
      <c r="N3712" s="93">
        <f>VLOOKUP(B3712,'[16]01.수집 카테고리(List)'!$A$2:$H$64,8,FALSE)</f>
        <v>99991231</v>
      </c>
      <c r="O3712" s="93" t="s">
        <v>646</v>
      </c>
    </row>
    <row r="3713" spans="1:15" hidden="1">
      <c r="A3713" s="75" t="str">
        <f t="shared" si="141"/>
        <v>VNDIENMAYXANHStylerStylerTủ hấp</v>
      </c>
      <c r="B3713" s="94" t="str">
        <f t="shared" si="140"/>
        <v>VN_DIENMAYXANH</v>
      </c>
      <c r="C3713" s="93" t="s">
        <v>237</v>
      </c>
      <c r="D3713" s="93" t="s">
        <v>240</v>
      </c>
      <c r="E3713" s="93" t="s">
        <v>3281</v>
      </c>
      <c r="F3713" s="93" t="s">
        <v>3281</v>
      </c>
      <c r="G3713" s="93" t="s">
        <v>3713</v>
      </c>
      <c r="H3713" s="93" t="e">
        <v>#N/A</v>
      </c>
      <c r="I3713" s="105" t="s">
        <v>2310</v>
      </c>
      <c r="J3713" s="93" t="s">
        <v>189</v>
      </c>
      <c r="K3713" s="93">
        <v>5</v>
      </c>
      <c r="L3713" s="93" t="e">
        <v>#N/A</v>
      </c>
      <c r="M3713" s="93" t="s">
        <v>2311</v>
      </c>
      <c r="N3713" s="93">
        <f>VLOOKUP(B3713,'[16]01.수집 카테고리(List)'!$A$2:$H$64,8,FALSE)</f>
        <v>99991231</v>
      </c>
      <c r="O3713" s="93" t="s">
        <v>646</v>
      </c>
    </row>
    <row r="3714" spans="1:15" hidden="1">
      <c r="A3714" s="75" t="str">
        <f t="shared" si="141"/>
        <v>VNDIENMAYXANHTV4k TVtivi 4k</v>
      </c>
      <c r="B3714" s="94" t="str">
        <f t="shared" si="140"/>
        <v>VN_DIENMAYXANH</v>
      </c>
      <c r="C3714" s="93" t="s">
        <v>237</v>
      </c>
      <c r="D3714" s="93" t="s">
        <v>240</v>
      </c>
      <c r="E3714" s="93" t="s">
        <v>161</v>
      </c>
      <c r="F3714" s="93" t="s">
        <v>2368</v>
      </c>
      <c r="G3714" s="93" t="s">
        <v>3714</v>
      </c>
      <c r="H3714" s="93" t="e">
        <v>#N/A</v>
      </c>
      <c r="I3714" s="105" t="s">
        <v>2310</v>
      </c>
      <c r="J3714" s="93" t="s">
        <v>189</v>
      </c>
      <c r="K3714" s="93">
        <v>1186</v>
      </c>
      <c r="L3714" s="93" t="e">
        <v>#N/A</v>
      </c>
      <c r="M3714" s="93" t="s">
        <v>2311</v>
      </c>
      <c r="N3714" s="93">
        <f>VLOOKUP(B3714,'[16]01.수집 카테고리(List)'!$A$2:$H$64,8,FALSE)</f>
        <v>99991231</v>
      </c>
      <c r="O3714" s="93" t="s">
        <v>646</v>
      </c>
    </row>
    <row r="3715" spans="1:15" hidden="1">
      <c r="A3715" s="75" t="str">
        <f t="shared" si="141"/>
        <v>VNDIENMAYXANHTVsmart TVtivi thông minh</v>
      </c>
      <c r="B3715" s="94" t="str">
        <f t="shared" si="140"/>
        <v>VN_DIENMAYXANH</v>
      </c>
      <c r="C3715" s="93" t="s">
        <v>237</v>
      </c>
      <c r="D3715" s="93" t="s">
        <v>240</v>
      </c>
      <c r="E3715" s="93" t="s">
        <v>161</v>
      </c>
      <c r="F3715" s="93" t="s">
        <v>2371</v>
      </c>
      <c r="G3715" s="93" t="s">
        <v>3736</v>
      </c>
      <c r="H3715" s="93" t="e">
        <v>#N/A</v>
      </c>
      <c r="I3715" s="105" t="s">
        <v>2310</v>
      </c>
      <c r="J3715" s="93" t="s">
        <v>189</v>
      </c>
      <c r="K3715" s="93">
        <v>385</v>
      </c>
      <c r="L3715" s="93" t="e">
        <v>#N/A</v>
      </c>
      <c r="M3715" s="93" t="s">
        <v>2311</v>
      </c>
      <c r="N3715" s="93">
        <f>VLOOKUP(B3715,'[16]01.수집 카테고리(List)'!$A$2:$H$64,8,FALSE)</f>
        <v>99991231</v>
      </c>
      <c r="O3715" s="93" t="s">
        <v>646</v>
      </c>
    </row>
    <row r="3716" spans="1:15" hidden="1">
      <c r="A3716" s="75" t="str">
        <f t="shared" si="141"/>
        <v>VNDIENMAYXANHTVTVTV</v>
      </c>
      <c r="B3716" s="94" t="str">
        <f t="shared" si="140"/>
        <v>VN_DIENMAYXANH</v>
      </c>
      <c r="C3716" s="93" t="s">
        <v>237</v>
      </c>
      <c r="D3716" s="93" t="s">
        <v>240</v>
      </c>
      <c r="E3716" s="93" t="s">
        <v>161</v>
      </c>
      <c r="F3716" s="93" t="s">
        <v>161</v>
      </c>
      <c r="G3716" s="93" t="s">
        <v>161</v>
      </c>
      <c r="H3716" s="93" t="e">
        <v>#N/A</v>
      </c>
      <c r="I3716" s="105" t="s">
        <v>2310</v>
      </c>
      <c r="J3716" s="93" t="s">
        <v>189</v>
      </c>
      <c r="K3716" s="93">
        <v>175</v>
      </c>
      <c r="L3716" s="93">
        <v>175</v>
      </c>
      <c r="M3716" s="93" t="s">
        <v>2311</v>
      </c>
      <c r="N3716" s="93">
        <f>VLOOKUP(B3716,'[16]01.수집 카테고리(List)'!$A$2:$H$64,8,FALSE)</f>
        <v>99991231</v>
      </c>
      <c r="O3716" s="93" t="s">
        <v>646</v>
      </c>
    </row>
    <row r="3717" spans="1:15" hidden="1">
      <c r="A3717" s="75" t="str">
        <f t="shared" si="141"/>
        <v>VNDIENMAYXANHTVoled TVTV oled</v>
      </c>
      <c r="B3717" s="94" t="str">
        <f t="shared" si="140"/>
        <v>VN_DIENMAYXANH</v>
      </c>
      <c r="C3717" s="93" t="s">
        <v>237</v>
      </c>
      <c r="D3717" s="93" t="s">
        <v>240</v>
      </c>
      <c r="E3717" s="93" t="s">
        <v>161</v>
      </c>
      <c r="F3717" s="93" t="s">
        <v>2369</v>
      </c>
      <c r="G3717" s="93" t="s">
        <v>3716</v>
      </c>
      <c r="H3717" s="93" t="e">
        <v>#N/A</v>
      </c>
      <c r="I3717" s="105" t="s">
        <v>2310</v>
      </c>
      <c r="J3717" s="93" t="s">
        <v>189</v>
      </c>
      <c r="K3717" s="93">
        <v>86</v>
      </c>
      <c r="L3717" s="93" t="e">
        <v>#N/A</v>
      </c>
      <c r="M3717" s="93" t="s">
        <v>2311</v>
      </c>
      <c r="N3717" s="93">
        <f>VLOOKUP(B3717,'[16]01.수집 카테고리(List)'!$A$2:$H$64,8,FALSE)</f>
        <v>99991231</v>
      </c>
      <c r="O3717" s="93" t="s">
        <v>646</v>
      </c>
    </row>
    <row r="3718" spans="1:15" hidden="1">
      <c r="A3718" s="75" t="str">
        <f t="shared" si="141"/>
        <v>VNDIENMAYXANHTVuhd TVTV uhd</v>
      </c>
      <c r="B3718" s="94" t="str">
        <f t="shared" si="140"/>
        <v>VN_DIENMAYXANH</v>
      </c>
      <c r="C3718" s="93" t="s">
        <v>237</v>
      </c>
      <c r="D3718" s="93" t="s">
        <v>240</v>
      </c>
      <c r="E3718" s="93" t="s">
        <v>161</v>
      </c>
      <c r="F3718" s="93" t="s">
        <v>2399</v>
      </c>
      <c r="G3718" s="93" t="s">
        <v>3717</v>
      </c>
      <c r="H3718" s="93" t="e">
        <v>#N/A</v>
      </c>
      <c r="I3718" s="105" t="s">
        <v>2310</v>
      </c>
      <c r="J3718" s="93" t="s">
        <v>189</v>
      </c>
      <c r="K3718" s="93">
        <v>56</v>
      </c>
      <c r="L3718" s="93" t="e">
        <v>#N/A</v>
      </c>
      <c r="M3718" s="93" t="s">
        <v>2311</v>
      </c>
      <c r="N3718" s="93">
        <f>VLOOKUP(B3718,'[16]01.수집 카테고리(List)'!$A$2:$H$64,8,FALSE)</f>
        <v>99991231</v>
      </c>
      <c r="O3718" s="93" t="s">
        <v>646</v>
      </c>
    </row>
    <row r="3719" spans="1:15" hidden="1">
      <c r="A3719" s="75" t="str">
        <f t="shared" si="141"/>
        <v>VNDIENMAYXANHWashing Machinewashing machinemáy giặt</v>
      </c>
      <c r="B3719" s="94" t="str">
        <f t="shared" si="140"/>
        <v>VN_DIENMAYXANH</v>
      </c>
      <c r="C3719" s="93" t="s">
        <v>237</v>
      </c>
      <c r="D3719" s="93" t="s">
        <v>240</v>
      </c>
      <c r="E3719" s="93" t="s">
        <v>2333</v>
      </c>
      <c r="F3719" s="93" t="s">
        <v>2340</v>
      </c>
      <c r="G3719" s="93" t="s">
        <v>3718</v>
      </c>
      <c r="H3719" s="93" t="e">
        <v>#N/A</v>
      </c>
      <c r="I3719" s="105" t="s">
        <v>2310</v>
      </c>
      <c r="J3719" s="93" t="s">
        <v>189</v>
      </c>
      <c r="K3719" s="93">
        <v>145</v>
      </c>
      <c r="L3719" s="93" t="e">
        <v>#N/A</v>
      </c>
      <c r="M3719" s="93" t="s">
        <v>2311</v>
      </c>
      <c r="N3719" s="93">
        <f>VLOOKUP(B3719,'[16]01.수집 카테고리(List)'!$A$2:$H$64,8,FALSE)</f>
        <v>99991231</v>
      </c>
      <c r="O3719" s="93" t="s">
        <v>646</v>
      </c>
    </row>
    <row r="3720" spans="1:15" hidden="1">
      <c r="A3720" s="75" t="str">
        <f t="shared" si="141"/>
        <v>VNDIENMAYXANHWashing Machinetop loadermáy giặt cửa trên</v>
      </c>
      <c r="B3720" s="94" t="str">
        <f t="shared" si="140"/>
        <v>VN_DIENMAYXANH</v>
      </c>
      <c r="C3720" s="93" t="s">
        <v>237</v>
      </c>
      <c r="D3720" s="93" t="s">
        <v>240</v>
      </c>
      <c r="E3720" s="93" t="s">
        <v>2333</v>
      </c>
      <c r="F3720" s="93" t="s">
        <v>2336</v>
      </c>
      <c r="G3720" s="93" t="s">
        <v>3719</v>
      </c>
      <c r="H3720" s="93" t="e">
        <v>#N/A</v>
      </c>
      <c r="I3720" s="105" t="s">
        <v>2310</v>
      </c>
      <c r="J3720" s="93" t="s">
        <v>189</v>
      </c>
      <c r="K3720" s="93">
        <v>46</v>
      </c>
      <c r="L3720" s="93" t="e">
        <v>#N/A</v>
      </c>
      <c r="M3720" s="93" t="s">
        <v>2311</v>
      </c>
      <c r="N3720" s="93">
        <f>VLOOKUP(B3720,'[16]01.수집 카테고리(List)'!$A$2:$H$64,8,FALSE)</f>
        <v>99991231</v>
      </c>
      <c r="O3720" s="93" t="s">
        <v>646</v>
      </c>
    </row>
    <row r="3721" spans="1:15" ht="17.399999999999999" hidden="1">
      <c r="A3721" s="75" t="str">
        <f t="shared" si="141"/>
        <v>VNDIENMAYXANHWashing Machinefront loadermáy giặt cửa trước</v>
      </c>
      <c r="B3721" s="94" t="str">
        <f t="shared" si="140"/>
        <v>VN_DIENMAYXANH</v>
      </c>
      <c r="C3721" s="93" t="s">
        <v>237</v>
      </c>
      <c r="D3721" s="93" t="s">
        <v>240</v>
      </c>
      <c r="E3721" s="93" t="s">
        <v>2333</v>
      </c>
      <c r="F3721" s="93" t="s">
        <v>2334</v>
      </c>
      <c r="G3721" s="93" t="s">
        <v>3720</v>
      </c>
      <c r="H3721" s="93" t="e">
        <v>#N/A</v>
      </c>
      <c r="I3721" s="105" t="s">
        <v>2310</v>
      </c>
      <c r="J3721" s="93" t="s">
        <v>189</v>
      </c>
      <c r="K3721" s="93">
        <v>109</v>
      </c>
      <c r="L3721" s="93" t="e">
        <v>#N/A</v>
      </c>
      <c r="M3721" s="93" t="s">
        <v>2311</v>
      </c>
      <c r="N3721" s="93">
        <f>VLOOKUP(B3721,'[16]01.수집 카테고리(List)'!$A$2:$H$64,8,FALSE)</f>
        <v>99991231</v>
      </c>
      <c r="O3721" s="93" t="s">
        <v>646</v>
      </c>
    </row>
    <row r="3722" spans="1:15" hidden="1">
      <c r="A3722" s="75" t="str">
        <f t="shared" si="141"/>
        <v>VNDIENMAYXANHWIRELESS HEADSETHeadsetTai nghe</v>
      </c>
      <c r="B3722" s="94" t="str">
        <f t="shared" si="140"/>
        <v>VN_DIENMAYXANH</v>
      </c>
      <c r="C3722" s="93" t="s">
        <v>237</v>
      </c>
      <c r="D3722" s="93" t="s">
        <v>240</v>
      </c>
      <c r="E3722" s="93" t="s">
        <v>2201</v>
      </c>
      <c r="F3722" s="93" t="s">
        <v>3721</v>
      </c>
      <c r="G3722" s="93" t="s">
        <v>3722</v>
      </c>
      <c r="H3722" s="93" t="e">
        <v>#N/A</v>
      </c>
      <c r="I3722" s="105" t="s">
        <v>2310</v>
      </c>
      <c r="J3722" s="93" t="s">
        <v>189</v>
      </c>
      <c r="K3722" s="93">
        <v>229</v>
      </c>
      <c r="L3722" s="93" t="e">
        <v>#N/A</v>
      </c>
      <c r="M3722" s="93" t="s">
        <v>2311</v>
      </c>
      <c r="N3722" s="93">
        <f>VLOOKUP(B3722,'[16]01.수집 카테고리(List)'!$A$2:$H$64,8,FALSE)</f>
        <v>99991231</v>
      </c>
      <c r="O3722" s="93" t="s">
        <v>646</v>
      </c>
    </row>
    <row r="3723" spans="1:15" hidden="1">
      <c r="A3723" s="75" t="str">
        <f t="shared" si="141"/>
        <v>VNDIENMAYXANHWIRELESS HEADSETEar budsTai nghe</v>
      </c>
      <c r="B3723" s="94" t="str">
        <f t="shared" si="140"/>
        <v>VN_DIENMAYXANH</v>
      </c>
      <c r="C3723" s="93" t="s">
        <v>237</v>
      </c>
      <c r="D3723" s="93" t="s">
        <v>240</v>
      </c>
      <c r="E3723" s="93" t="s">
        <v>2201</v>
      </c>
      <c r="F3723" s="93" t="s">
        <v>2380</v>
      </c>
      <c r="G3723" s="93" t="s">
        <v>3722</v>
      </c>
      <c r="H3723" s="93" t="e">
        <v>#N/A</v>
      </c>
      <c r="I3723" s="105" t="s">
        <v>2310</v>
      </c>
      <c r="J3723" s="93" t="s">
        <v>189</v>
      </c>
      <c r="K3723" s="93">
        <v>229</v>
      </c>
      <c r="L3723" s="93" t="e">
        <v>#N/A</v>
      </c>
      <c r="M3723" s="93" t="s">
        <v>2311</v>
      </c>
      <c r="N3723" s="93">
        <f>VLOOKUP(B3723,'[16]01.수집 카테고리(List)'!$A$2:$H$64,8,FALSE)</f>
        <v>99991231</v>
      </c>
      <c r="O3723" s="93" t="s">
        <v>646</v>
      </c>
    </row>
    <row r="3724" spans="1:15" hidden="1">
      <c r="A3724" s="75" t="str">
        <f t="shared" si="141"/>
        <v>VNDIENMAYXANHWIRELESS HEADSETBluetooth earbudsTai nghe bluetooth</v>
      </c>
      <c r="B3724" s="94" t="str">
        <f t="shared" si="140"/>
        <v>VN_DIENMAYXANH</v>
      </c>
      <c r="C3724" s="93" t="s">
        <v>237</v>
      </c>
      <c r="D3724" s="93" t="s">
        <v>240</v>
      </c>
      <c r="E3724" s="93" t="s">
        <v>2201</v>
      </c>
      <c r="F3724" s="93" t="s">
        <v>2382</v>
      </c>
      <c r="G3724" s="93" t="s">
        <v>3723</v>
      </c>
      <c r="H3724" s="93" t="e">
        <v>#N/A</v>
      </c>
      <c r="I3724" s="105" t="s">
        <v>2310</v>
      </c>
      <c r="J3724" s="93" t="s">
        <v>189</v>
      </c>
      <c r="K3724" s="93">
        <v>230</v>
      </c>
      <c r="L3724" s="93" t="e">
        <v>#N/A</v>
      </c>
      <c r="M3724" s="93" t="s">
        <v>2311</v>
      </c>
      <c r="N3724" s="93">
        <f>VLOOKUP(B3724,'[16]01.수집 카테고리(List)'!$A$2:$H$64,8,FALSE)</f>
        <v>99991231</v>
      </c>
      <c r="O3724" s="93" t="s">
        <v>646</v>
      </c>
    </row>
    <row r="3725" spans="1:15" hidden="1">
      <c r="A3725" s="75" t="str">
        <f t="shared" si="141"/>
        <v>VNDIENMAYXANHWIRELESS HEADSETBluetooth headsetTai nghe bluetooth</v>
      </c>
      <c r="B3725" s="94" t="str">
        <f t="shared" si="140"/>
        <v>VN_DIENMAYXANH</v>
      </c>
      <c r="C3725" s="93" t="s">
        <v>237</v>
      </c>
      <c r="D3725" s="93" t="s">
        <v>240</v>
      </c>
      <c r="E3725" s="93" t="s">
        <v>2201</v>
      </c>
      <c r="F3725" s="93" t="s">
        <v>3724</v>
      </c>
      <c r="G3725" s="93" t="s">
        <v>3723</v>
      </c>
      <c r="H3725" s="93" t="e">
        <v>#N/A</v>
      </c>
      <c r="I3725" s="105" t="s">
        <v>2310</v>
      </c>
      <c r="J3725" s="93" t="s">
        <v>189</v>
      </c>
      <c r="K3725" s="93">
        <v>230</v>
      </c>
      <c r="L3725" s="93" t="e">
        <v>#N/A</v>
      </c>
      <c r="M3725" s="93" t="s">
        <v>2311</v>
      </c>
      <c r="N3725" s="93">
        <f>VLOOKUP(B3725,'[16]01.수집 카테고리(List)'!$A$2:$H$64,8,FALSE)</f>
        <v>99991231</v>
      </c>
      <c r="O3725" s="93" t="s">
        <v>646</v>
      </c>
    </row>
    <row r="3726" spans="1:15" hidden="1">
      <c r="A3726" s="75" t="str">
        <f t="shared" si="141"/>
        <v>VNDIENMAYXANHWIRELESS HEADSETNoise cancelling earbudsTai nghe chống ồn</v>
      </c>
      <c r="B3726" s="94" t="str">
        <f t="shared" si="140"/>
        <v>VN_DIENMAYXANH</v>
      </c>
      <c r="C3726" s="93" t="s">
        <v>237</v>
      </c>
      <c r="D3726" s="93" t="s">
        <v>240</v>
      </c>
      <c r="E3726" s="93" t="s">
        <v>2201</v>
      </c>
      <c r="F3726" s="93" t="s">
        <v>2378</v>
      </c>
      <c r="G3726" s="93" t="s">
        <v>3725</v>
      </c>
      <c r="H3726" s="93" t="e">
        <v>#N/A</v>
      </c>
      <c r="I3726" s="105" t="s">
        <v>2310</v>
      </c>
      <c r="J3726" s="93" t="s">
        <v>189</v>
      </c>
      <c r="K3726" s="93">
        <v>225</v>
      </c>
      <c r="L3726" s="93" t="e">
        <v>#N/A</v>
      </c>
      <c r="M3726" s="93" t="s">
        <v>2311</v>
      </c>
      <c r="N3726" s="93">
        <f>VLOOKUP(B3726,'[16]01.수집 카테고리(List)'!$A$2:$H$64,8,FALSE)</f>
        <v>99991231</v>
      </c>
      <c r="O3726" s="93" t="s">
        <v>646</v>
      </c>
    </row>
    <row r="3727" spans="1:15" hidden="1">
      <c r="A3727" s="75" t="str">
        <f t="shared" si="141"/>
        <v>VNDIENMAYXANHWIRELESS HEADSETNoise Canceling HeadsetTai nghe chống ồn</v>
      </c>
      <c r="B3727" s="94" t="str">
        <f t="shared" si="140"/>
        <v>VN_DIENMAYXANH</v>
      </c>
      <c r="C3727" s="93" t="s">
        <v>237</v>
      </c>
      <c r="D3727" s="93" t="s">
        <v>240</v>
      </c>
      <c r="E3727" s="93" t="s">
        <v>2201</v>
      </c>
      <c r="F3727" s="93" t="s">
        <v>3726</v>
      </c>
      <c r="G3727" s="93" t="s">
        <v>3725</v>
      </c>
      <c r="H3727" s="93" t="e">
        <v>#N/A</v>
      </c>
      <c r="I3727" s="105" t="s">
        <v>2310</v>
      </c>
      <c r="J3727" s="93" t="s">
        <v>189</v>
      </c>
      <c r="K3727" s="93">
        <v>225</v>
      </c>
      <c r="L3727" s="93" t="e">
        <v>#N/A</v>
      </c>
      <c r="M3727" s="93" t="s">
        <v>2311</v>
      </c>
      <c r="N3727" s="93">
        <f>VLOOKUP(B3727,'[16]01.수집 카테고리(List)'!$A$2:$H$64,8,FALSE)</f>
        <v>99991231</v>
      </c>
      <c r="O3727" s="93" t="s">
        <v>646</v>
      </c>
    </row>
    <row r="3728" spans="1:15" hidden="1">
      <c r="A3728" s="75" t="str">
        <f t="shared" si="141"/>
        <v>VNDIENMAYXANHWIRELESS HEADSETWireless earbudsTai nghe không dây</v>
      </c>
      <c r="B3728" s="94" t="str">
        <f t="shared" si="140"/>
        <v>VN_DIENMAYXANH</v>
      </c>
      <c r="C3728" s="93" t="s">
        <v>237</v>
      </c>
      <c r="D3728" s="93" t="s">
        <v>240</v>
      </c>
      <c r="E3728" s="93" t="s">
        <v>2201</v>
      </c>
      <c r="F3728" s="93" t="s">
        <v>2376</v>
      </c>
      <c r="G3728" s="93" t="s">
        <v>3727</v>
      </c>
      <c r="H3728" s="93" t="e">
        <v>#N/A</v>
      </c>
      <c r="I3728" s="105" t="s">
        <v>2310</v>
      </c>
      <c r="J3728" s="93" t="s">
        <v>189</v>
      </c>
      <c r="K3728" s="93">
        <v>522</v>
      </c>
      <c r="L3728" s="93" t="e">
        <v>#N/A</v>
      </c>
      <c r="M3728" s="93" t="s">
        <v>2311</v>
      </c>
      <c r="N3728" s="93">
        <f>VLOOKUP(B3728,'[16]01.수집 카테고리(List)'!$A$2:$H$64,8,FALSE)</f>
        <v>99991231</v>
      </c>
      <c r="O3728" s="93" t="s">
        <v>646</v>
      </c>
    </row>
    <row r="3729" spans="1:15" hidden="1">
      <c r="A3729" s="75" t="str">
        <f t="shared" si="141"/>
        <v>VNDIENMAYXANHWIRELESS HEADSETWireless headsetTai nghe không dây</v>
      </c>
      <c r="B3729" s="94" t="str">
        <f t="shared" si="140"/>
        <v>VN_DIENMAYXANH</v>
      </c>
      <c r="C3729" s="93" t="s">
        <v>237</v>
      </c>
      <c r="D3729" s="93" t="s">
        <v>240</v>
      </c>
      <c r="E3729" s="93" t="s">
        <v>2201</v>
      </c>
      <c r="F3729" s="93" t="s">
        <v>3728</v>
      </c>
      <c r="G3729" s="93" t="s">
        <v>3727</v>
      </c>
      <c r="H3729" s="93" t="e">
        <v>#N/A</v>
      </c>
      <c r="I3729" s="105" t="s">
        <v>2310</v>
      </c>
      <c r="J3729" s="93" t="s">
        <v>189</v>
      </c>
      <c r="K3729" s="93">
        <v>522</v>
      </c>
      <c r="L3729" s="93" t="e">
        <v>#N/A</v>
      </c>
      <c r="M3729" s="93" t="s">
        <v>2311</v>
      </c>
      <c r="N3729" s="93">
        <f>VLOOKUP(B3729,'[16]01.수집 카테고리(List)'!$A$2:$H$64,8,FALSE)</f>
        <v>99991231</v>
      </c>
      <c r="O3729" s="93" t="s">
        <v>646</v>
      </c>
    </row>
    <row r="3730" spans="1:15" hidden="1">
      <c r="A3730" s="75" t="str">
        <f t="shared" si="141"/>
        <v>VNDIENMAYXANHWIRELESS HEADSETTrue wireless earbudsTai nghe true wireless</v>
      </c>
      <c r="B3730" s="94" t="str">
        <f t="shared" si="140"/>
        <v>VN_DIENMAYXANH</v>
      </c>
      <c r="C3730" s="93" t="s">
        <v>237</v>
      </c>
      <c r="D3730" s="93" t="s">
        <v>240</v>
      </c>
      <c r="E3730" s="93" t="s">
        <v>2201</v>
      </c>
      <c r="F3730" s="93" t="s">
        <v>2374</v>
      </c>
      <c r="G3730" s="93" t="s">
        <v>3729</v>
      </c>
      <c r="H3730" s="93" t="e">
        <v>#N/A</v>
      </c>
      <c r="I3730" s="105" t="s">
        <v>2310</v>
      </c>
      <c r="J3730" s="93" t="s">
        <v>189</v>
      </c>
      <c r="K3730" s="93">
        <v>336</v>
      </c>
      <c r="L3730" s="93" t="e">
        <v>#N/A</v>
      </c>
      <c r="M3730" s="93" t="s">
        <v>2311</v>
      </c>
      <c r="N3730" s="93">
        <f>VLOOKUP(B3730,'[16]01.수집 카테고리(List)'!$A$2:$H$64,8,FALSE)</f>
        <v>99991231</v>
      </c>
      <c r="O3730" s="93" t="s">
        <v>646</v>
      </c>
    </row>
    <row r="3731" spans="1:15" hidden="1">
      <c r="A3731" s="75" t="str">
        <f t="shared" si="141"/>
        <v>VNDIENMAYXANHWIRELESS HEADSETTrue wireless headsetTai nghe true wireless</v>
      </c>
      <c r="B3731" s="94" t="str">
        <f t="shared" si="140"/>
        <v>VN_DIENMAYXANH</v>
      </c>
      <c r="C3731" s="93" t="s">
        <v>237</v>
      </c>
      <c r="D3731" s="93" t="s">
        <v>240</v>
      </c>
      <c r="E3731" s="93" t="s">
        <v>2201</v>
      </c>
      <c r="F3731" s="93" t="s">
        <v>3730</v>
      </c>
      <c r="G3731" s="93" t="s">
        <v>3729</v>
      </c>
      <c r="H3731" s="93" t="e">
        <v>#N/A</v>
      </c>
      <c r="I3731" s="105" t="s">
        <v>2310</v>
      </c>
      <c r="J3731" s="93" t="s">
        <v>189</v>
      </c>
      <c r="K3731" s="93">
        <v>336</v>
      </c>
      <c r="L3731" s="93" t="e">
        <v>#N/A</v>
      </c>
      <c r="M3731" s="93" t="s">
        <v>2311</v>
      </c>
      <c r="N3731" s="93">
        <f>VLOOKUP(B3731,'[16]01.수집 카테고리(List)'!$A$2:$H$64,8,FALSE)</f>
        <v>99991231</v>
      </c>
      <c r="O3731" s="93" t="s">
        <v>646</v>
      </c>
    </row>
    <row r="3732" spans="1:15" s="81" customFormat="1" hidden="1">
      <c r="A3732" s="81" t="str">
        <f t="shared" si="141"/>
        <v>VNDIENMAYXANHMonitorMonitorMàn hình máy tính</v>
      </c>
      <c r="B3732" s="106" t="str">
        <f t="shared" si="140"/>
        <v>VN_DIENMAYXANH</v>
      </c>
      <c r="C3732" s="107" t="s">
        <v>237</v>
      </c>
      <c r="D3732" s="107" t="s">
        <v>240</v>
      </c>
      <c r="E3732" s="107" t="s">
        <v>2545</v>
      </c>
      <c r="F3732" s="107" t="s">
        <v>2320</v>
      </c>
      <c r="G3732" s="107" t="s">
        <v>3737</v>
      </c>
      <c r="H3732" s="93" t="e">
        <v>#N/A</v>
      </c>
      <c r="I3732" s="99">
        <v>46076</v>
      </c>
      <c r="J3732" s="83" t="s">
        <v>189</v>
      </c>
      <c r="K3732" s="107"/>
      <c r="L3732" s="107"/>
      <c r="M3732" s="107"/>
      <c r="N3732" s="107"/>
      <c r="O3732" s="107"/>
    </row>
    <row r="3733" spans="1:15" s="108" customFormat="1" ht="14.4" hidden="1">
      <c r="A3733" s="108" t="str">
        <f t="shared" si="141"/>
        <v>VNDIENMAYXANHDryerDryerMáy sấy</v>
      </c>
      <c r="B3733" s="109" t="str">
        <f t="shared" si="140"/>
        <v>VN_DIENMAYXANH</v>
      </c>
      <c r="C3733" s="110" t="s">
        <v>237</v>
      </c>
      <c r="D3733" s="110" t="s">
        <v>240</v>
      </c>
      <c r="E3733" s="110" t="s">
        <v>2535</v>
      </c>
      <c r="F3733" s="110" t="s">
        <v>2535</v>
      </c>
      <c r="G3733" s="110" t="s">
        <v>3738</v>
      </c>
      <c r="H3733" s="93" t="e">
        <v>#N/A</v>
      </c>
      <c r="I3733" s="99">
        <v>46076</v>
      </c>
      <c r="J3733" s="83" t="s">
        <v>189</v>
      </c>
      <c r="K3733" s="110"/>
      <c r="L3733" s="110"/>
      <c r="M3733" s="110"/>
      <c r="N3733" s="110"/>
      <c r="O3733" s="110"/>
    </row>
    <row r="3734" spans="1:15" s="108" customFormat="1" ht="16.8" hidden="1">
      <c r="A3734" s="108" t="str">
        <f t="shared" si="141"/>
        <v>VNDIENMAYXANHDryerheatpump  bơm nhiệt</v>
      </c>
      <c r="B3734" s="109" t="str">
        <f t="shared" si="140"/>
        <v>VN_DIENMAYXANH</v>
      </c>
      <c r="C3734" s="110" t="s">
        <v>237</v>
      </c>
      <c r="D3734" s="110" t="s">
        <v>240</v>
      </c>
      <c r="E3734" s="110" t="s">
        <v>2535</v>
      </c>
      <c r="F3734" s="110" t="s">
        <v>2621</v>
      </c>
      <c r="G3734" s="110" t="s">
        <v>3739</v>
      </c>
      <c r="H3734" s="93" t="e">
        <v>#N/A</v>
      </c>
      <c r="I3734" s="99">
        <v>46076</v>
      </c>
      <c r="J3734" s="83" t="s">
        <v>189</v>
      </c>
      <c r="K3734" s="110"/>
      <c r="L3734" s="110"/>
      <c r="M3734" s="110"/>
      <c r="N3734" s="110"/>
      <c r="O3734" s="110"/>
    </row>
    <row r="3735" spans="1:15" s="108" customFormat="1" ht="14.4" hidden="1">
      <c r="A3735" s="108" t="str">
        <f t="shared" si="141"/>
        <v>VNDIENMAYXANHDryerLG DryerMáy sấy LG</v>
      </c>
      <c r="B3735" s="109" t="str">
        <f t="shared" si="140"/>
        <v>VN_DIENMAYXANH</v>
      </c>
      <c r="C3735" s="110" t="s">
        <v>237</v>
      </c>
      <c r="D3735" s="110" t="s">
        <v>240</v>
      </c>
      <c r="E3735" s="110" t="s">
        <v>2535</v>
      </c>
      <c r="F3735" s="110" t="s">
        <v>2623</v>
      </c>
      <c r="G3735" s="110" t="s">
        <v>3740</v>
      </c>
      <c r="H3735" s="93" t="e">
        <v>#N/A</v>
      </c>
      <c r="I3735" s="99">
        <v>46076</v>
      </c>
      <c r="J3735" s="83" t="s">
        <v>189</v>
      </c>
      <c r="K3735" s="110"/>
      <c r="L3735" s="110"/>
      <c r="M3735" s="110"/>
      <c r="N3735" s="110"/>
      <c r="O3735" s="110"/>
    </row>
    <row r="3736" spans="1:15" hidden="1">
      <c r="A3736" s="75" t="str">
        <f t="shared" si="141"/>
        <v>VNMEDIAMARTAir CleanerAir CleanerMáy lọc không khí</v>
      </c>
      <c r="B3736" s="94" t="str">
        <f t="shared" si="140"/>
        <v>VN_MEDIAMART</v>
      </c>
      <c r="C3736" s="93" t="s">
        <v>237</v>
      </c>
      <c r="D3736" s="93" t="s">
        <v>242</v>
      </c>
      <c r="E3736" s="93" t="s">
        <v>2342</v>
      </c>
      <c r="F3736" s="93" t="s">
        <v>2342</v>
      </c>
      <c r="G3736" s="93" t="s">
        <v>3695</v>
      </c>
      <c r="H3736" s="93" t="e">
        <v>#N/A</v>
      </c>
      <c r="I3736" s="105" t="s">
        <v>2310</v>
      </c>
      <c r="J3736" s="93" t="s">
        <v>189</v>
      </c>
      <c r="K3736" s="93">
        <v>233</v>
      </c>
      <c r="L3736" s="93" t="e">
        <v>#N/A</v>
      </c>
      <c r="M3736" s="93" t="s">
        <v>2311</v>
      </c>
      <c r="N3736" s="93">
        <f>VLOOKUP(B3736,'[16]01.수집 카테고리(List)'!$A$2:$H$64,8,FALSE)</f>
        <v>99991231</v>
      </c>
      <c r="O3736" s="93" t="s">
        <v>646</v>
      </c>
    </row>
    <row r="3737" spans="1:15" hidden="1">
      <c r="A3737" s="75" t="str">
        <f t="shared" si="141"/>
        <v>VNMEDIAMARTAir ConditionerAir conditioningĐiều hòa không khí</v>
      </c>
      <c r="B3737" s="94" t="str">
        <f t="shared" si="140"/>
        <v>VN_MEDIAMART</v>
      </c>
      <c r="C3737" s="93" t="s">
        <v>237</v>
      </c>
      <c r="D3737" s="93" t="s">
        <v>242</v>
      </c>
      <c r="E3737" s="93" t="s">
        <v>2346</v>
      </c>
      <c r="F3737" s="93" t="s">
        <v>3697</v>
      </c>
      <c r="G3737" s="93" t="s">
        <v>3698</v>
      </c>
      <c r="H3737" s="93" t="e">
        <v>#N/A</v>
      </c>
      <c r="I3737" s="105" t="s">
        <v>2310</v>
      </c>
      <c r="J3737" s="93" t="s">
        <v>189</v>
      </c>
      <c r="K3737" s="93">
        <v>18832</v>
      </c>
      <c r="L3737" s="93" t="e">
        <v>#N/A</v>
      </c>
      <c r="M3737" s="93" t="s">
        <v>2311</v>
      </c>
      <c r="N3737" s="93">
        <f>VLOOKUP(B3737,'[16]01.수집 카테고리(List)'!$A$2:$H$64,8,FALSE)</f>
        <v>99991231</v>
      </c>
      <c r="O3737" s="93" t="s">
        <v>646</v>
      </c>
    </row>
    <row r="3738" spans="1:15" hidden="1">
      <c r="A3738" s="75" t="str">
        <f t="shared" si="141"/>
        <v>VNMEDIAMARTAir ConditionerACmáy điều hòa</v>
      </c>
      <c r="B3738" s="94" t="str">
        <f t="shared" si="140"/>
        <v>VN_MEDIAMART</v>
      </c>
      <c r="C3738" s="93" t="s">
        <v>237</v>
      </c>
      <c r="D3738" s="93" t="s">
        <v>242</v>
      </c>
      <c r="E3738" s="93" t="s">
        <v>2346</v>
      </c>
      <c r="F3738" s="93" t="s">
        <v>2492</v>
      </c>
      <c r="G3738" s="93" t="s">
        <v>3699</v>
      </c>
      <c r="H3738" s="93" t="e">
        <v>#N/A</v>
      </c>
      <c r="I3738" s="105" t="s">
        <v>2310</v>
      </c>
      <c r="J3738" s="93" t="s">
        <v>189</v>
      </c>
      <c r="K3738" s="93">
        <v>89</v>
      </c>
      <c r="L3738" s="93" t="e">
        <v>#N/A</v>
      </c>
      <c r="M3738" s="93" t="s">
        <v>2311</v>
      </c>
      <c r="N3738" s="93">
        <f>VLOOKUP(B3738,'[16]01.수집 카테고리(List)'!$A$2:$H$64,8,FALSE)</f>
        <v>99991231</v>
      </c>
      <c r="O3738" s="93" t="s">
        <v>646</v>
      </c>
    </row>
    <row r="3739" spans="1:15" hidden="1">
      <c r="A3739" s="75" t="str">
        <f t="shared" si="141"/>
        <v>VNMEDIAMARTAir Conditionerinverter air conditionermáy điều hòa inverter</v>
      </c>
      <c r="B3739" s="94" t="str">
        <f t="shared" si="140"/>
        <v>VN_MEDIAMART</v>
      </c>
      <c r="C3739" s="93" t="s">
        <v>237</v>
      </c>
      <c r="D3739" s="93" t="s">
        <v>242</v>
      </c>
      <c r="E3739" s="93" t="s">
        <v>2346</v>
      </c>
      <c r="F3739" s="93" t="s">
        <v>2348</v>
      </c>
      <c r="G3739" s="93" t="s">
        <v>3700</v>
      </c>
      <c r="H3739" s="93" t="e">
        <v>#N/A</v>
      </c>
      <c r="I3739" s="105" t="s">
        <v>2310</v>
      </c>
      <c r="J3739" s="93" t="s">
        <v>189</v>
      </c>
      <c r="K3739" s="93">
        <v>89</v>
      </c>
      <c r="L3739" s="93" t="e">
        <v>#N/A</v>
      </c>
      <c r="M3739" s="93" t="s">
        <v>2311</v>
      </c>
      <c r="N3739" s="93">
        <f>VLOOKUP(B3739,'[16]01.수집 카테고리(List)'!$A$2:$H$64,8,FALSE)</f>
        <v>99991231</v>
      </c>
      <c r="O3739" s="93" t="s">
        <v>646</v>
      </c>
    </row>
    <row r="3740" spans="1:15" hidden="1">
      <c r="A3740" s="75" t="str">
        <f t="shared" si="141"/>
        <v>VNMEDIAMARTAir Conditionerair conditionermáy lạnh</v>
      </c>
      <c r="B3740" s="94" t="str">
        <f t="shared" si="140"/>
        <v>VN_MEDIAMART</v>
      </c>
      <c r="C3740" s="93" t="s">
        <v>237</v>
      </c>
      <c r="D3740" s="93" t="s">
        <v>242</v>
      </c>
      <c r="E3740" s="93" t="s">
        <v>2346</v>
      </c>
      <c r="F3740" s="93" t="s">
        <v>2347</v>
      </c>
      <c r="G3740" s="93" t="s">
        <v>3701</v>
      </c>
      <c r="H3740" s="93" t="e">
        <v>#N/A</v>
      </c>
      <c r="I3740" s="105" t="s">
        <v>2310</v>
      </c>
      <c r="J3740" s="93" t="s">
        <v>189</v>
      </c>
      <c r="K3740" s="93">
        <v>89</v>
      </c>
      <c r="L3740" s="93" t="e">
        <v>#N/A</v>
      </c>
      <c r="M3740" s="93" t="s">
        <v>2311</v>
      </c>
      <c r="N3740" s="93">
        <f>VLOOKUP(B3740,'[16]01.수집 카테고리(List)'!$A$2:$H$64,8,FALSE)</f>
        <v>99991231</v>
      </c>
      <c r="O3740" s="93" t="s">
        <v>646</v>
      </c>
    </row>
    <row r="3741" spans="1:15" hidden="1">
      <c r="A3741" s="75" t="str">
        <f t="shared" si="141"/>
        <v>VNMEDIAMARTAir Conditionerair coolermáy lạnh</v>
      </c>
      <c r="B3741" s="94" t="str">
        <f t="shared" si="140"/>
        <v>VN_MEDIAMART</v>
      </c>
      <c r="C3741" s="93" t="s">
        <v>237</v>
      </c>
      <c r="D3741" s="93" t="s">
        <v>242</v>
      </c>
      <c r="E3741" s="93" t="s">
        <v>2346</v>
      </c>
      <c r="F3741" s="93" t="s">
        <v>3379</v>
      </c>
      <c r="G3741" s="93" t="s">
        <v>3701</v>
      </c>
      <c r="H3741" s="93" t="e">
        <v>#N/A</v>
      </c>
      <c r="I3741" s="105" t="s">
        <v>2310</v>
      </c>
      <c r="J3741" s="93" t="s">
        <v>189</v>
      </c>
      <c r="K3741" s="93">
        <v>89</v>
      </c>
      <c r="L3741" s="93" t="e">
        <v>#N/A</v>
      </c>
      <c r="M3741" s="93" t="s">
        <v>2311</v>
      </c>
      <c r="N3741" s="93">
        <f>VLOOKUP(B3741,'[16]01.수집 카테고리(List)'!$A$2:$H$64,8,FALSE)</f>
        <v>99991231</v>
      </c>
      <c r="O3741" s="93" t="s">
        <v>646</v>
      </c>
    </row>
    <row r="3742" spans="1:15" hidden="1">
      <c r="A3742" s="75" t="str">
        <f t="shared" si="141"/>
        <v>VNMEDIAMARTBluetooth SpeakerBluetooth SpeakerLoa bluetooth</v>
      </c>
      <c r="B3742" s="94" t="str">
        <f t="shared" si="140"/>
        <v>VN_MEDIAMART</v>
      </c>
      <c r="C3742" s="93" t="s">
        <v>237</v>
      </c>
      <c r="D3742" s="93" t="s">
        <v>242</v>
      </c>
      <c r="E3742" s="93" t="s">
        <v>2307</v>
      </c>
      <c r="F3742" s="93" t="s">
        <v>2470</v>
      </c>
      <c r="G3742" s="93" t="s">
        <v>3702</v>
      </c>
      <c r="H3742" s="93" t="e">
        <v>#N/A</v>
      </c>
      <c r="I3742" s="105" t="s">
        <v>2310</v>
      </c>
      <c r="J3742" s="93" t="s">
        <v>189</v>
      </c>
      <c r="K3742" s="93">
        <v>333</v>
      </c>
      <c r="L3742" s="93" t="e">
        <v>#N/A</v>
      </c>
      <c r="M3742" s="93" t="s">
        <v>2311</v>
      </c>
      <c r="N3742" s="93">
        <f>VLOOKUP(B3742,'[16]01.수집 카테고리(List)'!$A$2:$H$64,8,FALSE)</f>
        <v>99991231</v>
      </c>
      <c r="O3742" s="93" t="s">
        <v>646</v>
      </c>
    </row>
    <row r="3743" spans="1:15" hidden="1">
      <c r="A3743" s="75" t="str">
        <f t="shared" si="141"/>
        <v>VNMEDIAMARTDryerDryerMáy sấy</v>
      </c>
      <c r="B3743" s="94" t="str">
        <f t="shared" ref="B3743:B3806" si="142">C3743&amp;"_"&amp;D3743</f>
        <v>VN_MEDIAMART</v>
      </c>
      <c r="C3743" s="93" t="s">
        <v>237</v>
      </c>
      <c r="D3743" s="93" t="s">
        <v>242</v>
      </c>
      <c r="E3743" s="93" t="s">
        <v>2431</v>
      </c>
      <c r="F3743" s="93" t="s">
        <v>2431</v>
      </c>
      <c r="G3743" s="93" t="s">
        <v>3703</v>
      </c>
      <c r="H3743" s="93" t="e">
        <v>#N/A</v>
      </c>
      <c r="I3743" s="105" t="s">
        <v>2310</v>
      </c>
      <c r="J3743" s="93" t="s">
        <v>189</v>
      </c>
      <c r="K3743" s="93">
        <v>453</v>
      </c>
      <c r="L3743" s="93" t="e">
        <v>#N/A</v>
      </c>
      <c r="M3743" s="93" t="s">
        <v>2311</v>
      </c>
      <c r="N3743" s="93">
        <f>VLOOKUP(B3743,'[16]01.수집 카테고리(List)'!$A$2:$H$64,8,FALSE)</f>
        <v>99991231</v>
      </c>
      <c r="O3743" s="93" t="s">
        <v>646</v>
      </c>
    </row>
    <row r="3744" spans="1:15" hidden="1">
      <c r="A3744" s="75" t="str">
        <f t="shared" si="141"/>
        <v>VNMEDIAMARTMonitorMonitorMàn hình máy tính</v>
      </c>
      <c r="B3744" s="94" t="str">
        <f t="shared" si="142"/>
        <v>VN_MEDIAMART</v>
      </c>
      <c r="C3744" s="93" t="s">
        <v>237</v>
      </c>
      <c r="D3744" s="93" t="s">
        <v>242</v>
      </c>
      <c r="E3744" s="93" t="s">
        <v>2320</v>
      </c>
      <c r="F3744" s="93" t="s">
        <v>2320</v>
      </c>
      <c r="G3744" s="93" t="s">
        <v>3737</v>
      </c>
      <c r="H3744" s="93" t="e">
        <v>#N/A</v>
      </c>
      <c r="I3744" s="105" t="s">
        <v>2310</v>
      </c>
      <c r="J3744" s="93" t="s">
        <v>189</v>
      </c>
      <c r="K3744" s="93">
        <v>12</v>
      </c>
      <c r="L3744" s="93" t="e">
        <v>#N/A</v>
      </c>
      <c r="M3744" s="93" t="s">
        <v>2311</v>
      </c>
      <c r="N3744" s="93">
        <f>VLOOKUP(B3744,'[16]01.수집 카테고리(List)'!$A$2:$H$64,8,FALSE)</f>
        <v>99991231</v>
      </c>
      <c r="O3744" s="93" t="s">
        <v>646</v>
      </c>
    </row>
    <row r="3745" spans="1:15" hidden="1">
      <c r="A3745" s="75" t="str">
        <f t="shared" si="141"/>
        <v>VNMEDIAMARTRefrigeratorrefrigeratorTủ lạnh</v>
      </c>
      <c r="B3745" s="94" t="str">
        <f t="shared" si="142"/>
        <v>VN_MEDIAMART</v>
      </c>
      <c r="C3745" s="93" t="s">
        <v>237</v>
      </c>
      <c r="D3745" s="93" t="s">
        <v>242</v>
      </c>
      <c r="E3745" s="93" t="s">
        <v>2326</v>
      </c>
      <c r="F3745" s="93" t="s">
        <v>2329</v>
      </c>
      <c r="G3745" s="93" t="s">
        <v>3704</v>
      </c>
      <c r="H3745" s="93" t="e">
        <v>#N/A</v>
      </c>
      <c r="I3745" s="105" t="s">
        <v>2310</v>
      </c>
      <c r="J3745" s="93" t="s">
        <v>189</v>
      </c>
      <c r="K3745" s="93">
        <v>7</v>
      </c>
      <c r="L3745" s="93" t="e">
        <v>#N/A</v>
      </c>
      <c r="M3745" s="93" t="s">
        <v>2311</v>
      </c>
      <c r="N3745" s="93">
        <f>VLOOKUP(B3745,'[16]01.수집 카테고리(List)'!$A$2:$H$64,8,FALSE)</f>
        <v>99991231</v>
      </c>
      <c r="O3745" s="93" t="s">
        <v>646</v>
      </c>
    </row>
    <row r="3746" spans="1:15" hidden="1">
      <c r="A3746" s="75" t="str">
        <f t="shared" si="141"/>
        <v>VNMEDIAMARTRefrigeratortop freezer refrigeratortủ lạnh ngăn đá trên</v>
      </c>
      <c r="B3746" s="94" t="str">
        <f t="shared" si="142"/>
        <v>VN_MEDIAMART</v>
      </c>
      <c r="C3746" s="93" t="s">
        <v>237</v>
      </c>
      <c r="D3746" s="93" t="s">
        <v>242</v>
      </c>
      <c r="E3746" s="93" t="s">
        <v>2326</v>
      </c>
      <c r="F3746" s="93" t="s">
        <v>2332</v>
      </c>
      <c r="G3746" s="93" t="s">
        <v>3705</v>
      </c>
      <c r="H3746" s="93" t="e">
        <v>#N/A</v>
      </c>
      <c r="I3746" s="105" t="s">
        <v>2310</v>
      </c>
      <c r="J3746" s="93" t="s">
        <v>189</v>
      </c>
      <c r="K3746" s="93">
        <v>99</v>
      </c>
      <c r="L3746" s="93" t="e">
        <v>#N/A</v>
      </c>
      <c r="M3746" s="93" t="s">
        <v>2311</v>
      </c>
      <c r="N3746" s="93">
        <f>VLOOKUP(B3746,'[16]01.수집 카테고리(List)'!$A$2:$H$64,8,FALSE)</f>
        <v>99991231</v>
      </c>
      <c r="O3746" s="93" t="s">
        <v>646</v>
      </c>
    </row>
    <row r="3747" spans="1:15" hidden="1">
      <c r="A3747" s="75" t="str">
        <f t="shared" si="141"/>
        <v>VNMEDIAMARTRefrigeratorside by side refrigeratorTủ lạnh Side by Side</v>
      </c>
      <c r="B3747" s="94" t="str">
        <f t="shared" si="142"/>
        <v>VN_MEDIAMART</v>
      </c>
      <c r="C3747" s="93" t="s">
        <v>237</v>
      </c>
      <c r="D3747" s="93" t="s">
        <v>242</v>
      </c>
      <c r="E3747" s="93" t="s">
        <v>2326</v>
      </c>
      <c r="F3747" s="93" t="s">
        <v>2330</v>
      </c>
      <c r="G3747" s="93" t="s">
        <v>3706</v>
      </c>
      <c r="H3747" s="93" t="e">
        <v>#N/A</v>
      </c>
      <c r="I3747" s="105" t="s">
        <v>2310</v>
      </c>
      <c r="J3747" s="93" t="s">
        <v>189</v>
      </c>
      <c r="K3747" s="93">
        <v>41</v>
      </c>
      <c r="L3747" s="93" t="e">
        <v>#N/A</v>
      </c>
      <c r="M3747" s="93" t="s">
        <v>2311</v>
      </c>
      <c r="N3747" s="93">
        <f>VLOOKUP(B3747,'[16]01.수집 카테고리(List)'!$A$2:$H$64,8,FALSE)</f>
        <v>99991231</v>
      </c>
      <c r="O3747" s="93" t="s">
        <v>646</v>
      </c>
    </row>
    <row r="3748" spans="1:15" hidden="1">
      <c r="A3748" s="75" t="str">
        <f t="shared" si="141"/>
        <v>VNMEDIAMARTSOUNDBARSound systemHệ thống loa thanh</v>
      </c>
      <c r="B3748" s="94" t="str">
        <f t="shared" si="142"/>
        <v>VN_MEDIAMART</v>
      </c>
      <c r="C3748" s="93" t="s">
        <v>237</v>
      </c>
      <c r="D3748" s="93" t="s">
        <v>242</v>
      </c>
      <c r="E3748" s="93" t="s">
        <v>165</v>
      </c>
      <c r="F3748" s="93" t="s">
        <v>2359</v>
      </c>
      <c r="G3748" s="93" t="s">
        <v>3731</v>
      </c>
      <c r="H3748" s="93" t="e">
        <v>#N/A</v>
      </c>
      <c r="I3748" s="105" t="s">
        <v>2310</v>
      </c>
      <c r="J3748" s="93" t="s">
        <v>189</v>
      </c>
      <c r="K3748" s="93">
        <v>379</v>
      </c>
      <c r="L3748" s="93" t="e">
        <v>#N/A</v>
      </c>
      <c r="M3748" s="93" t="s">
        <v>2311</v>
      </c>
      <c r="N3748" s="93">
        <f>VLOOKUP(B3748,'[16]01.수집 카테고리(List)'!$A$2:$H$64,8,FALSE)</f>
        <v>99991231</v>
      </c>
      <c r="O3748" s="93" t="s">
        <v>646</v>
      </c>
    </row>
    <row r="3749" spans="1:15" hidden="1">
      <c r="A3749" s="75" t="str">
        <f t="shared" si="141"/>
        <v>VNMEDIAMARTSOUNDBARspeakerLoa</v>
      </c>
      <c r="B3749" s="94" t="str">
        <f t="shared" si="142"/>
        <v>VN_MEDIAMART</v>
      </c>
      <c r="C3749" s="93" t="s">
        <v>237</v>
      </c>
      <c r="D3749" s="93" t="s">
        <v>242</v>
      </c>
      <c r="E3749" s="93" t="s">
        <v>165</v>
      </c>
      <c r="F3749" s="93" t="s">
        <v>2555</v>
      </c>
      <c r="G3749" s="93" t="s">
        <v>3708</v>
      </c>
      <c r="H3749" s="93" t="e">
        <v>#N/A</v>
      </c>
      <c r="I3749" s="105" t="s">
        <v>2310</v>
      </c>
      <c r="J3749" s="93" t="s">
        <v>189</v>
      </c>
      <c r="K3749" s="93">
        <v>341</v>
      </c>
      <c r="L3749" s="93" t="e">
        <v>#N/A</v>
      </c>
      <c r="M3749" s="93" t="s">
        <v>2311</v>
      </c>
      <c r="N3749" s="93">
        <f>VLOOKUP(B3749,'[16]01.수집 카테고리(List)'!$A$2:$H$64,8,FALSE)</f>
        <v>99991231</v>
      </c>
      <c r="O3749" s="93" t="s">
        <v>646</v>
      </c>
    </row>
    <row r="3750" spans="1:15" hidden="1">
      <c r="A3750" s="75" t="str">
        <f t="shared" si="141"/>
        <v>VNMEDIAMARTSOUNDBARSoundbar speakerLoa soundbar</v>
      </c>
      <c r="B3750" s="94" t="str">
        <f t="shared" si="142"/>
        <v>VN_MEDIAMART</v>
      </c>
      <c r="C3750" s="93" t="s">
        <v>237</v>
      </c>
      <c r="D3750" s="93" t="s">
        <v>242</v>
      </c>
      <c r="E3750" s="93" t="s">
        <v>165</v>
      </c>
      <c r="F3750" s="93" t="s">
        <v>3732</v>
      </c>
      <c r="G3750" s="93" t="s">
        <v>3733</v>
      </c>
      <c r="H3750" s="93" t="e">
        <v>#N/A</v>
      </c>
      <c r="I3750" s="105" t="s">
        <v>2310</v>
      </c>
      <c r="J3750" s="93" t="s">
        <v>189</v>
      </c>
      <c r="K3750" s="93">
        <v>335</v>
      </c>
      <c r="L3750" s="93" t="e">
        <v>#N/A</v>
      </c>
      <c r="M3750" s="93" t="s">
        <v>2311</v>
      </c>
      <c r="N3750" s="93">
        <f>VLOOKUP(B3750,'[16]01.수집 카테고리(List)'!$A$2:$H$64,8,FALSE)</f>
        <v>99991231</v>
      </c>
      <c r="O3750" s="93" t="s">
        <v>646</v>
      </c>
    </row>
    <row r="3751" spans="1:15" hidden="1">
      <c r="A3751" s="75" t="str">
        <f t="shared" si="141"/>
        <v>VNMEDIAMARTSOUNDBARspeakersLoa thanh</v>
      </c>
      <c r="B3751" s="94" t="str">
        <f t="shared" si="142"/>
        <v>VN_MEDIAMART</v>
      </c>
      <c r="C3751" s="93" t="s">
        <v>237</v>
      </c>
      <c r="D3751" s="93" t="s">
        <v>242</v>
      </c>
      <c r="E3751" s="93" t="s">
        <v>165</v>
      </c>
      <c r="F3751" s="93" t="s">
        <v>2471</v>
      </c>
      <c r="G3751" s="93" t="s">
        <v>3711</v>
      </c>
      <c r="H3751" s="93" t="e">
        <v>#N/A</v>
      </c>
      <c r="I3751" s="105" t="s">
        <v>2310</v>
      </c>
      <c r="J3751" s="93" t="s">
        <v>189</v>
      </c>
      <c r="K3751" s="93">
        <v>339</v>
      </c>
      <c r="L3751" s="93" t="e">
        <v>#N/A</v>
      </c>
      <c r="M3751" s="93" t="s">
        <v>2311</v>
      </c>
      <c r="N3751" s="93">
        <f>VLOOKUP(B3751,'[16]01.수집 카테고리(List)'!$A$2:$H$64,8,FALSE)</f>
        <v>99991231</v>
      </c>
      <c r="O3751" s="93" t="s">
        <v>646</v>
      </c>
    </row>
    <row r="3752" spans="1:15" hidden="1">
      <c r="A3752" s="75" t="str">
        <f t="shared" si="141"/>
        <v>VNMEDIAMARTSOUNDBARSoundbarLoa thanh soundbar</v>
      </c>
      <c r="B3752" s="94" t="str">
        <f t="shared" si="142"/>
        <v>VN_MEDIAMART</v>
      </c>
      <c r="C3752" s="93" t="s">
        <v>237</v>
      </c>
      <c r="D3752" s="93" t="s">
        <v>242</v>
      </c>
      <c r="E3752" s="93" t="s">
        <v>165</v>
      </c>
      <c r="F3752" s="93" t="s">
        <v>2363</v>
      </c>
      <c r="G3752" s="93" t="s">
        <v>3712</v>
      </c>
      <c r="H3752" s="93" t="e">
        <v>#N/A</v>
      </c>
      <c r="I3752" s="105" t="s">
        <v>2310</v>
      </c>
      <c r="J3752" s="93" t="s">
        <v>189</v>
      </c>
      <c r="K3752" s="93">
        <v>340</v>
      </c>
      <c r="L3752" s="93" t="e">
        <v>#N/A</v>
      </c>
      <c r="M3752" s="93" t="s">
        <v>2311</v>
      </c>
      <c r="N3752" s="93">
        <f>VLOOKUP(B3752,'[16]01.수집 카테고리(List)'!$A$2:$H$64,8,FALSE)</f>
        <v>99991231</v>
      </c>
      <c r="O3752" s="93" t="s">
        <v>646</v>
      </c>
    </row>
    <row r="3753" spans="1:15" hidden="1">
      <c r="A3753" s="75" t="str">
        <f t="shared" si="141"/>
        <v>VNMEDIAMARTStylerlg Stylerlg Tủ hấp</v>
      </c>
      <c r="B3753" s="94" t="str">
        <f t="shared" si="142"/>
        <v>VN_MEDIAMART</v>
      </c>
      <c r="C3753" s="93" t="s">
        <v>237</v>
      </c>
      <c r="D3753" s="93" t="s">
        <v>242</v>
      </c>
      <c r="E3753" s="93" t="s">
        <v>3281</v>
      </c>
      <c r="F3753" s="93" t="s">
        <v>3734</v>
      </c>
      <c r="G3753" s="93" t="s">
        <v>3735</v>
      </c>
      <c r="H3753" s="93" t="e">
        <v>#N/A</v>
      </c>
      <c r="I3753" s="105" t="s">
        <v>2310</v>
      </c>
      <c r="J3753" s="93" t="s">
        <v>189</v>
      </c>
      <c r="K3753" s="93">
        <v>24</v>
      </c>
      <c r="L3753" s="93" t="e">
        <v>#N/A</v>
      </c>
      <c r="M3753" s="93" t="s">
        <v>2311</v>
      </c>
      <c r="N3753" s="93">
        <f>VLOOKUP(B3753,'[16]01.수집 카테고리(List)'!$A$2:$H$64,8,FALSE)</f>
        <v>99991231</v>
      </c>
      <c r="O3753" s="93" t="s">
        <v>646</v>
      </c>
    </row>
    <row r="3754" spans="1:15" hidden="1">
      <c r="A3754" s="75" t="str">
        <f t="shared" si="141"/>
        <v>VNMEDIAMARTStylerStylerTủ hấp</v>
      </c>
      <c r="B3754" s="94" t="str">
        <f t="shared" si="142"/>
        <v>VN_MEDIAMART</v>
      </c>
      <c r="C3754" s="93" t="s">
        <v>237</v>
      </c>
      <c r="D3754" s="93" t="s">
        <v>242</v>
      </c>
      <c r="E3754" s="93" t="s">
        <v>3281</v>
      </c>
      <c r="F3754" s="93" t="s">
        <v>3281</v>
      </c>
      <c r="G3754" s="93" t="s">
        <v>3713</v>
      </c>
      <c r="H3754" s="93" t="e">
        <v>#N/A</v>
      </c>
      <c r="I3754" s="105" t="s">
        <v>2310</v>
      </c>
      <c r="J3754" s="93" t="s">
        <v>189</v>
      </c>
      <c r="K3754" s="93">
        <v>25</v>
      </c>
      <c r="L3754" s="93" t="e">
        <v>#N/A</v>
      </c>
      <c r="M3754" s="93" t="s">
        <v>2311</v>
      </c>
      <c r="N3754" s="93">
        <f>VLOOKUP(B3754,'[16]01.수집 카테고리(List)'!$A$2:$H$64,8,FALSE)</f>
        <v>99991231</v>
      </c>
      <c r="O3754" s="93" t="s">
        <v>646</v>
      </c>
    </row>
    <row r="3755" spans="1:15" hidden="1">
      <c r="A3755" s="75" t="str">
        <f t="shared" si="141"/>
        <v>VNMEDIAMARTTV4k TVtivi 4k</v>
      </c>
      <c r="B3755" s="94" t="str">
        <f t="shared" si="142"/>
        <v>VN_MEDIAMART</v>
      </c>
      <c r="C3755" s="93" t="s">
        <v>237</v>
      </c>
      <c r="D3755" s="93" t="s">
        <v>242</v>
      </c>
      <c r="E3755" s="93" t="s">
        <v>161</v>
      </c>
      <c r="F3755" s="93" t="s">
        <v>2368</v>
      </c>
      <c r="G3755" s="93" t="s">
        <v>3714</v>
      </c>
      <c r="H3755" s="93" t="e">
        <v>#N/A</v>
      </c>
      <c r="I3755" s="105" t="s">
        <v>2310</v>
      </c>
      <c r="J3755" s="93" t="s">
        <v>189</v>
      </c>
      <c r="K3755" s="93">
        <v>439</v>
      </c>
      <c r="L3755" s="93" t="e">
        <v>#N/A</v>
      </c>
      <c r="M3755" s="93" t="s">
        <v>2311</v>
      </c>
      <c r="N3755" s="93">
        <f>VLOOKUP(B3755,'[16]01.수집 카테고리(List)'!$A$2:$H$64,8,FALSE)</f>
        <v>99991231</v>
      </c>
      <c r="O3755" s="93" t="s">
        <v>646</v>
      </c>
    </row>
    <row r="3756" spans="1:15" hidden="1">
      <c r="A3756" s="75" t="str">
        <f t="shared" ref="A3756:A3818" si="143">C3756&amp;D3756&amp;E3756&amp;F3756&amp;G3756</f>
        <v>VNMEDIAMARTTVsmart TVtivi thông minh</v>
      </c>
      <c r="B3756" s="94" t="str">
        <f t="shared" si="142"/>
        <v>VN_MEDIAMART</v>
      </c>
      <c r="C3756" s="93" t="s">
        <v>237</v>
      </c>
      <c r="D3756" s="93" t="s">
        <v>242</v>
      </c>
      <c r="E3756" s="93" t="s">
        <v>161</v>
      </c>
      <c r="F3756" s="93" t="s">
        <v>2371</v>
      </c>
      <c r="G3756" s="93" t="s">
        <v>3736</v>
      </c>
      <c r="H3756" s="93" t="e">
        <v>#N/A</v>
      </c>
      <c r="I3756" s="105" t="s">
        <v>2310</v>
      </c>
      <c r="J3756" s="93" t="s">
        <v>189</v>
      </c>
      <c r="K3756" s="93">
        <v>378</v>
      </c>
      <c r="L3756" s="93" t="e">
        <v>#N/A</v>
      </c>
      <c r="M3756" s="93" t="s">
        <v>2311</v>
      </c>
      <c r="N3756" s="93">
        <f>VLOOKUP(B3756,'[16]01.수집 카테고리(List)'!$A$2:$H$64,8,FALSE)</f>
        <v>99991231</v>
      </c>
      <c r="O3756" s="93" t="s">
        <v>646</v>
      </c>
    </row>
    <row r="3757" spans="1:15" hidden="1">
      <c r="A3757" s="75" t="str">
        <f t="shared" si="143"/>
        <v>VNMEDIAMARTTVTVTV</v>
      </c>
      <c r="B3757" s="94" t="str">
        <f t="shared" si="142"/>
        <v>VN_MEDIAMART</v>
      </c>
      <c r="C3757" s="93" t="s">
        <v>237</v>
      </c>
      <c r="D3757" s="93" t="s">
        <v>242</v>
      </c>
      <c r="E3757" s="93" t="s">
        <v>161</v>
      </c>
      <c r="F3757" s="93" t="s">
        <v>161</v>
      </c>
      <c r="G3757" s="93" t="s">
        <v>161</v>
      </c>
      <c r="H3757" s="93" t="e">
        <v>#N/A</v>
      </c>
      <c r="I3757" s="105" t="s">
        <v>2310</v>
      </c>
      <c r="J3757" s="93" t="s">
        <v>189</v>
      </c>
      <c r="K3757" s="93">
        <v>436</v>
      </c>
      <c r="L3757" s="93">
        <v>436</v>
      </c>
      <c r="M3757" s="93" t="s">
        <v>2311</v>
      </c>
      <c r="N3757" s="93">
        <f>VLOOKUP(B3757,'[16]01.수집 카테고리(List)'!$A$2:$H$64,8,FALSE)</f>
        <v>99991231</v>
      </c>
      <c r="O3757" s="93" t="s">
        <v>646</v>
      </c>
    </row>
    <row r="3758" spans="1:15" hidden="1">
      <c r="A3758" s="75" t="str">
        <f t="shared" si="143"/>
        <v>VNMEDIAMARTTVoled TVTV oled</v>
      </c>
      <c r="B3758" s="94" t="str">
        <f t="shared" si="142"/>
        <v>VN_MEDIAMART</v>
      </c>
      <c r="C3758" s="93" t="s">
        <v>237</v>
      </c>
      <c r="D3758" s="93" t="s">
        <v>242</v>
      </c>
      <c r="E3758" s="93" t="s">
        <v>161</v>
      </c>
      <c r="F3758" s="93" t="s">
        <v>2369</v>
      </c>
      <c r="G3758" s="93" t="s">
        <v>3716</v>
      </c>
      <c r="H3758" s="93" t="e">
        <v>#N/A</v>
      </c>
      <c r="I3758" s="105" t="s">
        <v>2310</v>
      </c>
      <c r="J3758" s="93" t="s">
        <v>189</v>
      </c>
      <c r="K3758" s="93">
        <v>432</v>
      </c>
      <c r="L3758" s="93" t="e">
        <v>#N/A</v>
      </c>
      <c r="M3758" s="93" t="s">
        <v>2311</v>
      </c>
      <c r="N3758" s="93">
        <f>VLOOKUP(B3758,'[16]01.수집 카테고리(List)'!$A$2:$H$64,8,FALSE)</f>
        <v>99991231</v>
      </c>
      <c r="O3758" s="93" t="s">
        <v>646</v>
      </c>
    </row>
    <row r="3759" spans="1:15" hidden="1">
      <c r="A3759" s="75" t="str">
        <f t="shared" si="143"/>
        <v>VNMEDIAMARTTVuhd TVTV uhd</v>
      </c>
      <c r="B3759" s="94" t="str">
        <f t="shared" si="142"/>
        <v>VN_MEDIAMART</v>
      </c>
      <c r="C3759" s="93" t="s">
        <v>237</v>
      </c>
      <c r="D3759" s="93" t="s">
        <v>242</v>
      </c>
      <c r="E3759" s="93" t="s">
        <v>161</v>
      </c>
      <c r="F3759" s="93" t="s">
        <v>2399</v>
      </c>
      <c r="G3759" s="93" t="s">
        <v>3717</v>
      </c>
      <c r="H3759" s="93" t="e">
        <v>#N/A</v>
      </c>
      <c r="I3759" s="105" t="s">
        <v>2310</v>
      </c>
      <c r="J3759" s="93" t="s">
        <v>189</v>
      </c>
      <c r="K3759" s="93">
        <v>430</v>
      </c>
      <c r="L3759" s="93" t="e">
        <v>#N/A</v>
      </c>
      <c r="M3759" s="93" t="s">
        <v>2311</v>
      </c>
      <c r="N3759" s="93">
        <f>VLOOKUP(B3759,'[16]01.수집 카테고리(List)'!$A$2:$H$64,8,FALSE)</f>
        <v>99991231</v>
      </c>
      <c r="O3759" s="93" t="s">
        <v>646</v>
      </c>
    </row>
    <row r="3760" spans="1:15" hidden="1">
      <c r="A3760" s="75" t="str">
        <f t="shared" si="143"/>
        <v>VNMEDIAMARTWashing Machinewashing machinemáy giặt</v>
      </c>
      <c r="B3760" s="94" t="str">
        <f t="shared" si="142"/>
        <v>VN_MEDIAMART</v>
      </c>
      <c r="C3760" s="93" t="s">
        <v>237</v>
      </c>
      <c r="D3760" s="93" t="s">
        <v>242</v>
      </c>
      <c r="E3760" s="93" t="s">
        <v>2333</v>
      </c>
      <c r="F3760" s="93" t="s">
        <v>2340</v>
      </c>
      <c r="G3760" s="93" t="s">
        <v>3718</v>
      </c>
      <c r="H3760" s="93" t="e">
        <v>#N/A</v>
      </c>
      <c r="I3760" s="105" t="s">
        <v>2310</v>
      </c>
      <c r="J3760" s="93" t="s">
        <v>189</v>
      </c>
      <c r="K3760" s="93">
        <v>26</v>
      </c>
      <c r="L3760" s="93" t="e">
        <v>#N/A</v>
      </c>
      <c r="M3760" s="93" t="s">
        <v>2311</v>
      </c>
      <c r="N3760" s="93">
        <f>VLOOKUP(B3760,'[16]01.수집 카테고리(List)'!$A$2:$H$64,8,FALSE)</f>
        <v>99991231</v>
      </c>
      <c r="O3760" s="93" t="s">
        <v>646</v>
      </c>
    </row>
    <row r="3761" spans="1:15" hidden="1">
      <c r="A3761" s="75" t="str">
        <f t="shared" si="143"/>
        <v>VNMEDIAMARTWashing Machinetop loadermáy giặt cửa trên</v>
      </c>
      <c r="B3761" s="94" t="str">
        <f t="shared" si="142"/>
        <v>VN_MEDIAMART</v>
      </c>
      <c r="C3761" s="93" t="s">
        <v>237</v>
      </c>
      <c r="D3761" s="93" t="s">
        <v>242</v>
      </c>
      <c r="E3761" s="93" t="s">
        <v>2333</v>
      </c>
      <c r="F3761" s="93" t="s">
        <v>2336</v>
      </c>
      <c r="G3761" s="93" t="s">
        <v>3719</v>
      </c>
      <c r="H3761" s="93" t="e">
        <v>#N/A</v>
      </c>
      <c r="I3761" s="105" t="s">
        <v>2310</v>
      </c>
      <c r="J3761" s="93" t="s">
        <v>189</v>
      </c>
      <c r="K3761" s="93">
        <v>448</v>
      </c>
      <c r="L3761" s="93" t="e">
        <v>#N/A</v>
      </c>
      <c r="M3761" s="93" t="s">
        <v>2311</v>
      </c>
      <c r="N3761" s="93">
        <f>VLOOKUP(B3761,'[16]01.수집 카테고리(List)'!$A$2:$H$64,8,FALSE)</f>
        <v>99991231</v>
      </c>
      <c r="O3761" s="93" t="s">
        <v>646</v>
      </c>
    </row>
    <row r="3762" spans="1:15" ht="17.399999999999999" hidden="1">
      <c r="A3762" s="75" t="str">
        <f t="shared" si="143"/>
        <v>VNMEDIAMARTWashing Machinefront loadermáy giặt cửa trước</v>
      </c>
      <c r="B3762" s="94" t="str">
        <f t="shared" si="142"/>
        <v>VN_MEDIAMART</v>
      </c>
      <c r="C3762" s="93" t="s">
        <v>237</v>
      </c>
      <c r="D3762" s="93" t="s">
        <v>242</v>
      </c>
      <c r="E3762" s="93" t="s">
        <v>2333</v>
      </c>
      <c r="F3762" s="93" t="s">
        <v>2334</v>
      </c>
      <c r="G3762" s="93" t="s">
        <v>3720</v>
      </c>
      <c r="H3762" s="93" t="e">
        <v>#N/A</v>
      </c>
      <c r="I3762" s="105" t="s">
        <v>2310</v>
      </c>
      <c r="J3762" s="93" t="s">
        <v>189</v>
      </c>
      <c r="K3762" s="93">
        <v>452</v>
      </c>
      <c r="L3762" s="93" t="e">
        <v>#N/A</v>
      </c>
      <c r="M3762" s="93" t="s">
        <v>2311</v>
      </c>
      <c r="N3762" s="93">
        <f>VLOOKUP(B3762,'[16]01.수집 카테고리(List)'!$A$2:$H$64,8,FALSE)</f>
        <v>99991231</v>
      </c>
      <c r="O3762" s="93" t="s">
        <v>646</v>
      </c>
    </row>
    <row r="3763" spans="1:15" hidden="1">
      <c r="A3763" s="75" t="str">
        <f t="shared" si="143"/>
        <v>VNMEDIAMARTWIRELESS HEADSETHeadsetTai nghe</v>
      </c>
      <c r="B3763" s="94" t="str">
        <f t="shared" si="142"/>
        <v>VN_MEDIAMART</v>
      </c>
      <c r="C3763" s="93" t="s">
        <v>237</v>
      </c>
      <c r="D3763" s="93" t="s">
        <v>242</v>
      </c>
      <c r="E3763" s="93" t="s">
        <v>2201</v>
      </c>
      <c r="F3763" s="93" t="s">
        <v>3721</v>
      </c>
      <c r="G3763" s="93" t="s">
        <v>3722</v>
      </c>
      <c r="H3763" s="93" t="e">
        <v>#N/A</v>
      </c>
      <c r="I3763" s="105" t="s">
        <v>2310</v>
      </c>
      <c r="J3763" s="93" t="s">
        <v>189</v>
      </c>
      <c r="K3763" s="93">
        <v>504</v>
      </c>
      <c r="L3763" s="93" t="e">
        <v>#N/A</v>
      </c>
      <c r="M3763" s="93" t="s">
        <v>2311</v>
      </c>
      <c r="N3763" s="93">
        <f>VLOOKUP(B3763,'[16]01.수집 카테고리(List)'!$A$2:$H$64,8,FALSE)</f>
        <v>99991231</v>
      </c>
      <c r="O3763" s="93" t="s">
        <v>646</v>
      </c>
    </row>
    <row r="3764" spans="1:15" hidden="1">
      <c r="A3764" s="75" t="str">
        <f t="shared" si="143"/>
        <v>VNMEDIAMARTWIRELESS HEADSETEar budsTai nghe</v>
      </c>
      <c r="B3764" s="94" t="str">
        <f t="shared" si="142"/>
        <v>VN_MEDIAMART</v>
      </c>
      <c r="C3764" s="93" t="s">
        <v>237</v>
      </c>
      <c r="D3764" s="93" t="s">
        <v>242</v>
      </c>
      <c r="E3764" s="93" t="s">
        <v>2201</v>
      </c>
      <c r="F3764" s="93" t="s">
        <v>2380</v>
      </c>
      <c r="G3764" s="93" t="s">
        <v>3722</v>
      </c>
      <c r="H3764" s="93" t="e">
        <v>#N/A</v>
      </c>
      <c r="I3764" s="105" t="s">
        <v>2310</v>
      </c>
      <c r="J3764" s="93" t="s">
        <v>189</v>
      </c>
      <c r="K3764" s="93">
        <v>504</v>
      </c>
      <c r="L3764" s="93" t="e">
        <v>#N/A</v>
      </c>
      <c r="M3764" s="93" t="s">
        <v>2311</v>
      </c>
      <c r="N3764" s="93">
        <f>VLOOKUP(B3764,'[16]01.수집 카테고리(List)'!$A$2:$H$64,8,FALSE)</f>
        <v>99991231</v>
      </c>
      <c r="O3764" s="93" t="s">
        <v>646</v>
      </c>
    </row>
    <row r="3765" spans="1:15" hidden="1">
      <c r="A3765" s="75" t="str">
        <f t="shared" si="143"/>
        <v>VNMEDIAMARTWIRELESS HEADSETBluetooth earbudsTai nghe bluetooth</v>
      </c>
      <c r="B3765" s="94" t="str">
        <f t="shared" si="142"/>
        <v>VN_MEDIAMART</v>
      </c>
      <c r="C3765" s="93" t="s">
        <v>237</v>
      </c>
      <c r="D3765" s="93" t="s">
        <v>242</v>
      </c>
      <c r="E3765" s="93" t="s">
        <v>2201</v>
      </c>
      <c r="F3765" s="93" t="s">
        <v>2382</v>
      </c>
      <c r="G3765" s="93" t="s">
        <v>3723</v>
      </c>
      <c r="H3765" s="93" t="e">
        <v>#N/A</v>
      </c>
      <c r="I3765" s="105" t="s">
        <v>2310</v>
      </c>
      <c r="J3765" s="93" t="s">
        <v>189</v>
      </c>
      <c r="K3765" s="93">
        <v>1</v>
      </c>
      <c r="L3765" s="93" t="e">
        <v>#N/A</v>
      </c>
      <c r="M3765" s="93" t="s">
        <v>2311</v>
      </c>
      <c r="N3765" s="93">
        <f>VLOOKUP(B3765,'[16]01.수집 카테고리(List)'!$A$2:$H$64,8,FALSE)</f>
        <v>99991231</v>
      </c>
      <c r="O3765" s="93" t="s">
        <v>646</v>
      </c>
    </row>
    <row r="3766" spans="1:15" hidden="1">
      <c r="A3766" s="75" t="str">
        <f t="shared" si="143"/>
        <v>VNMEDIAMARTWIRELESS HEADSETBluetooth headsetTai nghe bluetooth</v>
      </c>
      <c r="B3766" s="94" t="str">
        <f t="shared" si="142"/>
        <v>VN_MEDIAMART</v>
      </c>
      <c r="C3766" s="93" t="s">
        <v>237</v>
      </c>
      <c r="D3766" s="93" t="s">
        <v>242</v>
      </c>
      <c r="E3766" s="93" t="s">
        <v>2201</v>
      </c>
      <c r="F3766" s="93" t="s">
        <v>3724</v>
      </c>
      <c r="G3766" s="93" t="s">
        <v>3723</v>
      </c>
      <c r="H3766" s="93" t="e">
        <v>#N/A</v>
      </c>
      <c r="I3766" s="105" t="s">
        <v>2310</v>
      </c>
      <c r="J3766" s="93" t="s">
        <v>189</v>
      </c>
      <c r="K3766" s="93">
        <v>1</v>
      </c>
      <c r="L3766" s="93" t="e">
        <v>#N/A</v>
      </c>
      <c r="M3766" s="93" t="s">
        <v>2311</v>
      </c>
      <c r="N3766" s="93">
        <f>VLOOKUP(B3766,'[16]01.수집 카테고리(List)'!$A$2:$H$64,8,FALSE)</f>
        <v>99991231</v>
      </c>
      <c r="O3766" s="93" t="s">
        <v>646</v>
      </c>
    </row>
    <row r="3767" spans="1:15" hidden="1">
      <c r="A3767" s="75" t="str">
        <f t="shared" si="143"/>
        <v>VNMEDIAMARTWIRELESS HEADSETNoise cancelling earbudsTai nghe chống ồn</v>
      </c>
      <c r="B3767" s="94" t="str">
        <f t="shared" si="142"/>
        <v>VN_MEDIAMART</v>
      </c>
      <c r="C3767" s="93" t="s">
        <v>237</v>
      </c>
      <c r="D3767" s="93" t="s">
        <v>242</v>
      </c>
      <c r="E3767" s="93" t="s">
        <v>2201</v>
      </c>
      <c r="F3767" s="93" t="s">
        <v>2378</v>
      </c>
      <c r="G3767" s="93" t="s">
        <v>3725</v>
      </c>
      <c r="H3767" s="93" t="e">
        <v>#N/A</v>
      </c>
      <c r="I3767" s="105" t="s">
        <v>2310</v>
      </c>
      <c r="J3767" s="93" t="s">
        <v>189</v>
      </c>
      <c r="K3767" s="93">
        <v>19</v>
      </c>
      <c r="L3767" s="93" t="e">
        <v>#N/A</v>
      </c>
      <c r="M3767" s="93" t="s">
        <v>2311</v>
      </c>
      <c r="N3767" s="93">
        <f>VLOOKUP(B3767,'[16]01.수집 카테고리(List)'!$A$2:$H$64,8,FALSE)</f>
        <v>99991231</v>
      </c>
      <c r="O3767" s="93" t="s">
        <v>646</v>
      </c>
    </row>
    <row r="3768" spans="1:15" hidden="1">
      <c r="A3768" s="75" t="str">
        <f t="shared" si="143"/>
        <v>VNMEDIAMARTWIRELESS HEADSETNoise Canceling HeadsetTai nghe chống ồn</v>
      </c>
      <c r="B3768" s="94" t="str">
        <f t="shared" si="142"/>
        <v>VN_MEDIAMART</v>
      </c>
      <c r="C3768" s="93" t="s">
        <v>237</v>
      </c>
      <c r="D3768" s="93" t="s">
        <v>242</v>
      </c>
      <c r="E3768" s="93" t="s">
        <v>2201</v>
      </c>
      <c r="F3768" s="93" t="s">
        <v>3726</v>
      </c>
      <c r="G3768" s="93" t="s">
        <v>3725</v>
      </c>
      <c r="H3768" s="93" t="e">
        <v>#N/A</v>
      </c>
      <c r="I3768" s="105" t="s">
        <v>2310</v>
      </c>
      <c r="J3768" s="93" t="s">
        <v>189</v>
      </c>
      <c r="K3768" s="93">
        <v>19</v>
      </c>
      <c r="L3768" s="93" t="e">
        <v>#N/A</v>
      </c>
      <c r="M3768" s="93" t="s">
        <v>2311</v>
      </c>
      <c r="N3768" s="93">
        <f>VLOOKUP(B3768,'[16]01.수집 카테고리(List)'!$A$2:$H$64,8,FALSE)</f>
        <v>99991231</v>
      </c>
      <c r="O3768" s="93" t="s">
        <v>646</v>
      </c>
    </row>
    <row r="3769" spans="1:15" hidden="1">
      <c r="A3769" s="75" t="str">
        <f t="shared" si="143"/>
        <v>VNMEDIAMARTWIRELESS HEADSETWireless earbudsTai nghe không dây</v>
      </c>
      <c r="B3769" s="94" t="str">
        <f t="shared" si="142"/>
        <v>VN_MEDIAMART</v>
      </c>
      <c r="C3769" s="93" t="s">
        <v>237</v>
      </c>
      <c r="D3769" s="93" t="s">
        <v>242</v>
      </c>
      <c r="E3769" s="93" t="s">
        <v>2201</v>
      </c>
      <c r="F3769" s="93" t="s">
        <v>2376</v>
      </c>
      <c r="G3769" s="93" t="s">
        <v>3727</v>
      </c>
      <c r="H3769" s="93" t="e">
        <v>#N/A</v>
      </c>
      <c r="I3769" s="105" t="s">
        <v>2310</v>
      </c>
      <c r="J3769" s="93" t="s">
        <v>189</v>
      </c>
      <c r="K3769" s="93">
        <v>296</v>
      </c>
      <c r="L3769" s="93" t="e">
        <v>#N/A</v>
      </c>
      <c r="M3769" s="93" t="s">
        <v>2311</v>
      </c>
      <c r="N3769" s="93">
        <f>VLOOKUP(B3769,'[16]01.수집 카테고리(List)'!$A$2:$H$64,8,FALSE)</f>
        <v>99991231</v>
      </c>
      <c r="O3769" s="93" t="s">
        <v>646</v>
      </c>
    </row>
    <row r="3770" spans="1:15" hidden="1">
      <c r="A3770" s="75" t="str">
        <f t="shared" si="143"/>
        <v>VNMEDIAMARTWIRELESS HEADSETWireless headsetTai nghe không dây</v>
      </c>
      <c r="B3770" s="94" t="str">
        <f t="shared" si="142"/>
        <v>VN_MEDIAMART</v>
      </c>
      <c r="C3770" s="93" t="s">
        <v>237</v>
      </c>
      <c r="D3770" s="93" t="s">
        <v>242</v>
      </c>
      <c r="E3770" s="93" t="s">
        <v>2201</v>
      </c>
      <c r="F3770" s="93" t="s">
        <v>3728</v>
      </c>
      <c r="G3770" s="93" t="s">
        <v>3727</v>
      </c>
      <c r="H3770" s="93" t="e">
        <v>#N/A</v>
      </c>
      <c r="I3770" s="105" t="s">
        <v>2310</v>
      </c>
      <c r="J3770" s="93" t="s">
        <v>189</v>
      </c>
      <c r="K3770" s="93">
        <v>296</v>
      </c>
      <c r="L3770" s="93" t="e">
        <v>#N/A</v>
      </c>
      <c r="M3770" s="93" t="s">
        <v>2311</v>
      </c>
      <c r="N3770" s="93">
        <f>VLOOKUP(B3770,'[16]01.수집 카테고리(List)'!$A$2:$H$64,8,FALSE)</f>
        <v>99991231</v>
      </c>
      <c r="O3770" s="93" t="s">
        <v>646</v>
      </c>
    </row>
    <row r="3771" spans="1:15" hidden="1">
      <c r="A3771" s="75" t="str">
        <f t="shared" si="143"/>
        <v>VNMEDIAMARTWIRELESS HEADSETTrue wireless earbudsTai nghe true wireless</v>
      </c>
      <c r="B3771" s="94" t="str">
        <f t="shared" si="142"/>
        <v>VN_MEDIAMART</v>
      </c>
      <c r="C3771" s="93" t="s">
        <v>237</v>
      </c>
      <c r="D3771" s="93" t="s">
        <v>242</v>
      </c>
      <c r="E3771" s="93" t="s">
        <v>2201</v>
      </c>
      <c r="F3771" s="93" t="s">
        <v>2374</v>
      </c>
      <c r="G3771" s="93" t="s">
        <v>3729</v>
      </c>
      <c r="H3771" s="93" t="e">
        <v>#N/A</v>
      </c>
      <c r="I3771" s="105" t="s">
        <v>2310</v>
      </c>
      <c r="J3771" s="93" t="s">
        <v>189</v>
      </c>
      <c r="K3771" s="93">
        <v>19</v>
      </c>
      <c r="L3771" s="93" t="e">
        <v>#N/A</v>
      </c>
      <c r="M3771" s="93" t="s">
        <v>2311</v>
      </c>
      <c r="N3771" s="93">
        <f>VLOOKUP(B3771,'[16]01.수집 카테고리(List)'!$A$2:$H$64,8,FALSE)</f>
        <v>99991231</v>
      </c>
      <c r="O3771" s="93" t="s">
        <v>646</v>
      </c>
    </row>
    <row r="3772" spans="1:15" hidden="1">
      <c r="A3772" s="75" t="str">
        <f t="shared" si="143"/>
        <v>VNMEDIAMARTWIRELESS HEADSETTrue wireless headsetTai nghe true wireless</v>
      </c>
      <c r="B3772" s="94" t="str">
        <f t="shared" si="142"/>
        <v>VN_MEDIAMART</v>
      </c>
      <c r="C3772" s="93" t="s">
        <v>237</v>
      </c>
      <c r="D3772" s="93" t="s">
        <v>242</v>
      </c>
      <c r="E3772" s="93" t="s">
        <v>2201</v>
      </c>
      <c r="F3772" s="93" t="s">
        <v>3730</v>
      </c>
      <c r="G3772" s="93" t="s">
        <v>3729</v>
      </c>
      <c r="H3772" s="93" t="e">
        <v>#N/A</v>
      </c>
      <c r="I3772" s="105" t="s">
        <v>2310</v>
      </c>
      <c r="J3772" s="93" t="s">
        <v>189</v>
      </c>
      <c r="K3772" s="93">
        <v>19</v>
      </c>
      <c r="L3772" s="93" t="e">
        <v>#N/A</v>
      </c>
      <c r="M3772" s="93" t="s">
        <v>2311</v>
      </c>
      <c r="N3772" s="93">
        <f>VLOOKUP(B3772,'[16]01.수집 카테고리(List)'!$A$2:$H$64,8,FALSE)</f>
        <v>99991231</v>
      </c>
      <c r="O3772" s="93" t="s">
        <v>646</v>
      </c>
    </row>
    <row r="3773" spans="1:15" hidden="1">
      <c r="A3773" s="75" t="str">
        <f t="shared" si="143"/>
        <v>VNSHOPEEBluetooth SpeakerBluetooth SpeakerLoa bluetooth</v>
      </c>
      <c r="B3773" s="94" t="str">
        <f t="shared" si="142"/>
        <v>VN_SHOPEE</v>
      </c>
      <c r="C3773" s="93" t="s">
        <v>237</v>
      </c>
      <c r="D3773" s="93" t="s">
        <v>398</v>
      </c>
      <c r="E3773" s="93" t="s">
        <v>2307</v>
      </c>
      <c r="F3773" s="93" t="s">
        <v>2470</v>
      </c>
      <c r="G3773" s="93" t="s">
        <v>3702</v>
      </c>
      <c r="H3773" s="93" t="e">
        <v>#N/A</v>
      </c>
      <c r="I3773" s="105" t="s">
        <v>2310</v>
      </c>
      <c r="J3773" s="93" t="s">
        <v>189</v>
      </c>
      <c r="K3773" s="93">
        <v>3207</v>
      </c>
      <c r="L3773" s="93" t="e">
        <v>#N/A</v>
      </c>
      <c r="M3773" s="93" t="s">
        <v>2311</v>
      </c>
      <c r="N3773" s="93" t="e">
        <f>VLOOKUP(B3773,'[16]01.수집 카테고리(List)'!$A$2:$H$64,8,FALSE)</f>
        <v>#N/A</v>
      </c>
      <c r="O3773" s="93"/>
    </row>
    <row r="3774" spans="1:15" hidden="1">
      <c r="A3774" s="75" t="str">
        <f t="shared" si="143"/>
        <v>VNSHOPEELaptopLaptopMáy tính xách tay</v>
      </c>
      <c r="B3774" s="94" t="str">
        <f t="shared" si="142"/>
        <v>VN_SHOPEE</v>
      </c>
      <c r="C3774" s="93" t="s">
        <v>237</v>
      </c>
      <c r="D3774" s="93" t="s">
        <v>398</v>
      </c>
      <c r="E3774" s="93" t="s">
        <v>2407</v>
      </c>
      <c r="F3774" s="93" t="s">
        <v>2407</v>
      </c>
      <c r="G3774" s="93" t="s">
        <v>3741</v>
      </c>
      <c r="H3774" s="93" t="e">
        <v>#N/A</v>
      </c>
      <c r="I3774" s="105" t="s">
        <v>2310</v>
      </c>
      <c r="J3774" s="93" t="s">
        <v>189</v>
      </c>
      <c r="K3774" s="93">
        <v>4335</v>
      </c>
      <c r="L3774" s="93" t="e">
        <v>#N/A</v>
      </c>
      <c r="M3774" s="93" t="s">
        <v>2311</v>
      </c>
      <c r="N3774" s="93" t="e">
        <f>VLOOKUP(B3774,'[16]01.수집 카테고리(List)'!$A$2:$H$64,8,FALSE)</f>
        <v>#N/A</v>
      </c>
      <c r="O3774" s="93"/>
    </row>
    <row r="3775" spans="1:15" hidden="1">
      <c r="A3775" s="75" t="str">
        <f t="shared" si="143"/>
        <v>VNSHOPEEMonitorMonitorMàn hình máy tính</v>
      </c>
      <c r="B3775" s="94" t="str">
        <f t="shared" si="142"/>
        <v>VN_SHOPEE</v>
      </c>
      <c r="C3775" s="93" t="s">
        <v>237</v>
      </c>
      <c r="D3775" s="93" t="s">
        <v>398</v>
      </c>
      <c r="E3775" s="93" t="s">
        <v>2320</v>
      </c>
      <c r="F3775" s="93" t="s">
        <v>2320</v>
      </c>
      <c r="G3775" s="93" t="s">
        <v>3737</v>
      </c>
      <c r="H3775" s="93" t="e">
        <v>#N/A</v>
      </c>
      <c r="I3775" s="105" t="s">
        <v>2310</v>
      </c>
      <c r="J3775" s="93" t="s">
        <v>189</v>
      </c>
      <c r="K3775" s="93">
        <v>3692</v>
      </c>
      <c r="L3775" s="93" t="e">
        <v>#N/A</v>
      </c>
      <c r="M3775" s="93" t="s">
        <v>2311</v>
      </c>
      <c r="N3775" s="93" t="e">
        <f>VLOOKUP(B3775,'[16]01.수집 카테고리(List)'!$A$2:$H$64,8,FALSE)</f>
        <v>#N/A</v>
      </c>
      <c r="O3775" s="93"/>
    </row>
    <row r="3776" spans="1:15" hidden="1">
      <c r="A3776" s="75" t="str">
        <f t="shared" si="143"/>
        <v>VNSHOPEERefrigeratorrefrigeratorTủ lạnh</v>
      </c>
      <c r="B3776" s="94" t="str">
        <f t="shared" si="142"/>
        <v>VN_SHOPEE</v>
      </c>
      <c r="C3776" s="93" t="s">
        <v>237</v>
      </c>
      <c r="D3776" s="93" t="s">
        <v>398</v>
      </c>
      <c r="E3776" s="93" t="s">
        <v>2326</v>
      </c>
      <c r="F3776" s="93" t="s">
        <v>2329</v>
      </c>
      <c r="G3776" s="93" t="s">
        <v>3704</v>
      </c>
      <c r="H3776" s="93" t="e">
        <v>#N/A</v>
      </c>
      <c r="I3776" s="105" t="s">
        <v>2310</v>
      </c>
      <c r="J3776" s="93" t="s">
        <v>189</v>
      </c>
      <c r="K3776" s="93">
        <v>5334</v>
      </c>
      <c r="L3776" s="93" t="e">
        <v>#N/A</v>
      </c>
      <c r="M3776" s="93" t="s">
        <v>2311</v>
      </c>
      <c r="N3776" s="93" t="e">
        <f>VLOOKUP(B3776,'[16]01.수집 카테고리(List)'!$A$2:$H$64,8,FALSE)</f>
        <v>#N/A</v>
      </c>
      <c r="O3776" s="93"/>
    </row>
    <row r="3777" spans="1:15" hidden="1">
      <c r="A3777" s="75" t="str">
        <f t="shared" si="143"/>
        <v>VNSHOPEERefrigeratortop freezer refrigeratortủ lạnh ngăn đá trên</v>
      </c>
      <c r="B3777" s="94" t="str">
        <f t="shared" si="142"/>
        <v>VN_SHOPEE</v>
      </c>
      <c r="C3777" s="93" t="s">
        <v>237</v>
      </c>
      <c r="D3777" s="93" t="s">
        <v>398</v>
      </c>
      <c r="E3777" s="93" t="s">
        <v>2326</v>
      </c>
      <c r="F3777" s="93" t="s">
        <v>2332</v>
      </c>
      <c r="G3777" s="93" t="s">
        <v>3705</v>
      </c>
      <c r="H3777" s="93" t="e">
        <v>#N/A</v>
      </c>
      <c r="I3777" s="105" t="s">
        <v>2310</v>
      </c>
      <c r="J3777" s="93" t="s">
        <v>189</v>
      </c>
      <c r="K3777" s="93">
        <v>4087</v>
      </c>
      <c r="L3777" s="93" t="e">
        <v>#N/A</v>
      </c>
      <c r="M3777" s="93" t="s">
        <v>2311</v>
      </c>
      <c r="N3777" s="93" t="e">
        <f>VLOOKUP(B3777,'[16]01.수집 카테고리(List)'!$A$2:$H$64,8,FALSE)</f>
        <v>#N/A</v>
      </c>
      <c r="O3777" s="93"/>
    </row>
    <row r="3778" spans="1:15" hidden="1">
      <c r="A3778" s="75" t="str">
        <f t="shared" si="143"/>
        <v>VNSHOPEERefrigeratorside by side refrigeratorTủ lạnh Side by Side</v>
      </c>
      <c r="B3778" s="94" t="str">
        <f t="shared" si="142"/>
        <v>VN_SHOPEE</v>
      </c>
      <c r="C3778" s="93" t="s">
        <v>237</v>
      </c>
      <c r="D3778" s="93" t="s">
        <v>398</v>
      </c>
      <c r="E3778" s="93" t="s">
        <v>2326</v>
      </c>
      <c r="F3778" s="93" t="s">
        <v>2330</v>
      </c>
      <c r="G3778" s="93" t="s">
        <v>3706</v>
      </c>
      <c r="H3778" s="93" t="e">
        <v>#N/A</v>
      </c>
      <c r="I3778" s="105" t="s">
        <v>2310</v>
      </c>
      <c r="J3778" s="93" t="s">
        <v>189</v>
      </c>
      <c r="K3778" s="93">
        <v>5998</v>
      </c>
      <c r="L3778" s="93" t="e">
        <v>#N/A</v>
      </c>
      <c r="M3778" s="93" t="s">
        <v>2311</v>
      </c>
      <c r="N3778" s="93" t="e">
        <f>VLOOKUP(B3778,'[16]01.수집 카테고리(List)'!$A$2:$H$64,8,FALSE)</f>
        <v>#N/A</v>
      </c>
      <c r="O3778" s="93"/>
    </row>
    <row r="3779" spans="1:15" hidden="1">
      <c r="A3779" s="75" t="str">
        <f t="shared" si="143"/>
        <v>VNSHOPEESOUNDBARSound systemHệ thống loa thanh</v>
      </c>
      <c r="B3779" s="94" t="str">
        <f t="shared" si="142"/>
        <v>VN_SHOPEE</v>
      </c>
      <c r="C3779" s="93" t="s">
        <v>237</v>
      </c>
      <c r="D3779" s="93" t="s">
        <v>398</v>
      </c>
      <c r="E3779" s="93" t="s">
        <v>165</v>
      </c>
      <c r="F3779" s="93" t="s">
        <v>2359</v>
      </c>
      <c r="G3779" s="93" t="s">
        <v>3731</v>
      </c>
      <c r="H3779" s="93" t="e">
        <v>#N/A</v>
      </c>
      <c r="I3779" s="105" t="s">
        <v>2310</v>
      </c>
      <c r="J3779" s="93" t="s">
        <v>189</v>
      </c>
      <c r="K3779" s="93">
        <v>3284</v>
      </c>
      <c r="L3779" s="93" t="e">
        <v>#N/A</v>
      </c>
      <c r="M3779" s="93" t="s">
        <v>2311</v>
      </c>
      <c r="N3779" s="93" t="e">
        <f>VLOOKUP(B3779,'[16]01.수집 카테고리(List)'!$A$2:$H$64,8,FALSE)</f>
        <v>#N/A</v>
      </c>
      <c r="O3779" s="93"/>
    </row>
    <row r="3780" spans="1:15" hidden="1">
      <c r="A3780" s="75" t="str">
        <f t="shared" si="143"/>
        <v>VNSHOPEESOUNDBARspeakerLoa</v>
      </c>
      <c r="B3780" s="94" t="str">
        <f t="shared" si="142"/>
        <v>VN_SHOPEE</v>
      </c>
      <c r="C3780" s="93" t="s">
        <v>237</v>
      </c>
      <c r="D3780" s="93" t="s">
        <v>398</v>
      </c>
      <c r="E3780" s="93" t="s">
        <v>165</v>
      </c>
      <c r="F3780" s="93" t="s">
        <v>2555</v>
      </c>
      <c r="G3780" s="93" t="s">
        <v>3708</v>
      </c>
      <c r="H3780" s="93" t="e">
        <v>#N/A</v>
      </c>
      <c r="I3780" s="105" t="s">
        <v>2310</v>
      </c>
      <c r="J3780" s="93" t="s">
        <v>189</v>
      </c>
      <c r="K3780" s="93">
        <v>3315</v>
      </c>
      <c r="L3780" s="93" t="e">
        <v>#N/A</v>
      </c>
      <c r="M3780" s="93" t="s">
        <v>2311</v>
      </c>
      <c r="N3780" s="93" t="e">
        <f>VLOOKUP(B3780,'[16]01.수집 카테고리(List)'!$A$2:$H$64,8,FALSE)</f>
        <v>#N/A</v>
      </c>
      <c r="O3780" s="93"/>
    </row>
    <row r="3781" spans="1:15" hidden="1">
      <c r="A3781" s="75" t="str">
        <f t="shared" si="143"/>
        <v>VNSHOPEESOUNDBARSoundbar speakerLoa soundbar</v>
      </c>
      <c r="B3781" s="94" t="str">
        <f t="shared" si="142"/>
        <v>VN_SHOPEE</v>
      </c>
      <c r="C3781" s="93" t="s">
        <v>237</v>
      </c>
      <c r="D3781" s="93" t="s">
        <v>398</v>
      </c>
      <c r="E3781" s="93" t="s">
        <v>165</v>
      </c>
      <c r="F3781" s="93" t="s">
        <v>3732</v>
      </c>
      <c r="G3781" s="93" t="s">
        <v>3733</v>
      </c>
      <c r="H3781" s="93" t="e">
        <v>#N/A</v>
      </c>
      <c r="I3781" s="105" t="s">
        <v>2310</v>
      </c>
      <c r="J3781" s="93" t="s">
        <v>189</v>
      </c>
      <c r="K3781" s="93">
        <v>2983</v>
      </c>
      <c r="L3781" s="93" t="e">
        <v>#N/A</v>
      </c>
      <c r="M3781" s="93" t="s">
        <v>2311</v>
      </c>
      <c r="N3781" s="93" t="e">
        <f>VLOOKUP(B3781,'[16]01.수집 카테고리(List)'!$A$2:$H$64,8,FALSE)</f>
        <v>#N/A</v>
      </c>
      <c r="O3781" s="93"/>
    </row>
    <row r="3782" spans="1:15" hidden="1">
      <c r="A3782" s="75" t="str">
        <f t="shared" si="143"/>
        <v>VNSHOPEESOUNDBARspeakersLoa thanh</v>
      </c>
      <c r="B3782" s="94" t="str">
        <f t="shared" si="142"/>
        <v>VN_SHOPEE</v>
      </c>
      <c r="C3782" s="93" t="s">
        <v>237</v>
      </c>
      <c r="D3782" s="93" t="s">
        <v>398</v>
      </c>
      <c r="E3782" s="93" t="s">
        <v>165</v>
      </c>
      <c r="F3782" s="93" t="s">
        <v>2471</v>
      </c>
      <c r="G3782" s="93" t="s">
        <v>3711</v>
      </c>
      <c r="H3782" s="93" t="e">
        <v>#N/A</v>
      </c>
      <c r="I3782" s="105" t="s">
        <v>2310</v>
      </c>
      <c r="J3782" s="93" t="s">
        <v>189</v>
      </c>
      <c r="K3782" s="93">
        <v>2518</v>
      </c>
      <c r="L3782" s="93" t="e">
        <v>#N/A</v>
      </c>
      <c r="M3782" s="93" t="s">
        <v>2311</v>
      </c>
      <c r="N3782" s="93" t="e">
        <f>VLOOKUP(B3782,'[16]01.수집 카테고리(List)'!$A$2:$H$64,8,FALSE)</f>
        <v>#N/A</v>
      </c>
      <c r="O3782" s="93"/>
    </row>
    <row r="3783" spans="1:15" hidden="1">
      <c r="A3783" s="75" t="str">
        <f t="shared" si="143"/>
        <v>VNSHOPEESOUNDBARSoundbarLoa thanh soundbar</v>
      </c>
      <c r="B3783" s="94" t="str">
        <f t="shared" si="142"/>
        <v>VN_SHOPEE</v>
      </c>
      <c r="C3783" s="93" t="s">
        <v>237</v>
      </c>
      <c r="D3783" s="93" t="s">
        <v>398</v>
      </c>
      <c r="E3783" s="93" t="s">
        <v>165</v>
      </c>
      <c r="F3783" s="93" t="s">
        <v>2363</v>
      </c>
      <c r="G3783" s="93" t="s">
        <v>3712</v>
      </c>
      <c r="H3783" s="93" t="e">
        <v>#N/A</v>
      </c>
      <c r="I3783" s="105" t="s">
        <v>2310</v>
      </c>
      <c r="J3783" s="93" t="s">
        <v>189</v>
      </c>
      <c r="K3783" s="93">
        <v>3138</v>
      </c>
      <c r="L3783" s="93" t="e">
        <v>#N/A</v>
      </c>
      <c r="M3783" s="93" t="s">
        <v>2311</v>
      </c>
      <c r="N3783" s="93" t="e">
        <f>VLOOKUP(B3783,'[16]01.수집 카테고리(List)'!$A$2:$H$64,8,FALSE)</f>
        <v>#N/A</v>
      </c>
      <c r="O3783" s="93"/>
    </row>
    <row r="3784" spans="1:15" hidden="1">
      <c r="A3784" s="75" t="str">
        <f t="shared" si="143"/>
        <v>VNSHOPEETV4k TVtivi 4k</v>
      </c>
      <c r="B3784" s="94" t="str">
        <f t="shared" si="142"/>
        <v>VN_SHOPEE</v>
      </c>
      <c r="C3784" s="93" t="s">
        <v>237</v>
      </c>
      <c r="D3784" s="93" t="s">
        <v>398</v>
      </c>
      <c r="E3784" s="93" t="s">
        <v>161</v>
      </c>
      <c r="F3784" s="93" t="s">
        <v>2368</v>
      </c>
      <c r="G3784" s="93" t="s">
        <v>3714</v>
      </c>
      <c r="H3784" s="93" t="e">
        <v>#N/A</v>
      </c>
      <c r="I3784" s="105" t="s">
        <v>2310</v>
      </c>
      <c r="J3784" s="93" t="s">
        <v>189</v>
      </c>
      <c r="K3784" s="93">
        <v>6351</v>
      </c>
      <c r="L3784" s="93" t="e">
        <v>#N/A</v>
      </c>
      <c r="M3784" s="93" t="s">
        <v>2311</v>
      </c>
      <c r="N3784" s="93" t="e">
        <f>VLOOKUP(B3784,'[16]01.수집 카테고리(List)'!$A$2:$H$64,8,FALSE)</f>
        <v>#N/A</v>
      </c>
      <c r="O3784" s="93"/>
    </row>
    <row r="3785" spans="1:15" hidden="1">
      <c r="A3785" s="75" t="str">
        <f t="shared" si="143"/>
        <v>VNSHOPEETVsmart TVtivi thông minh</v>
      </c>
      <c r="B3785" s="94" t="str">
        <f t="shared" si="142"/>
        <v>VN_SHOPEE</v>
      </c>
      <c r="C3785" s="93" t="s">
        <v>237</v>
      </c>
      <c r="D3785" s="93" t="s">
        <v>398</v>
      </c>
      <c r="E3785" s="93" t="s">
        <v>161</v>
      </c>
      <c r="F3785" s="93" t="s">
        <v>2371</v>
      </c>
      <c r="G3785" s="93" t="s">
        <v>3736</v>
      </c>
      <c r="H3785" s="93" t="e">
        <v>#N/A</v>
      </c>
      <c r="I3785" s="105" t="s">
        <v>2310</v>
      </c>
      <c r="J3785" s="93" t="s">
        <v>189</v>
      </c>
      <c r="K3785" s="93">
        <v>5265</v>
      </c>
      <c r="L3785" s="93" t="e">
        <v>#N/A</v>
      </c>
      <c r="M3785" s="93" t="s">
        <v>2311</v>
      </c>
      <c r="N3785" s="93" t="e">
        <f>VLOOKUP(B3785,'[16]01.수집 카테고리(List)'!$A$2:$H$64,8,FALSE)</f>
        <v>#N/A</v>
      </c>
      <c r="O3785" s="93"/>
    </row>
    <row r="3786" spans="1:15" hidden="1">
      <c r="A3786" s="75" t="str">
        <f t="shared" si="143"/>
        <v>VNSHOPEETVTVTV</v>
      </c>
      <c r="B3786" s="94" t="str">
        <f t="shared" si="142"/>
        <v>VN_SHOPEE</v>
      </c>
      <c r="C3786" s="93" t="s">
        <v>237</v>
      </c>
      <c r="D3786" s="93" t="s">
        <v>398</v>
      </c>
      <c r="E3786" s="93" t="s">
        <v>161</v>
      </c>
      <c r="F3786" s="93" t="s">
        <v>161</v>
      </c>
      <c r="G3786" s="93" t="s">
        <v>161</v>
      </c>
      <c r="H3786" s="93" t="e">
        <v>#N/A</v>
      </c>
      <c r="I3786" s="105" t="s">
        <v>2310</v>
      </c>
      <c r="J3786" s="93" t="s">
        <v>189</v>
      </c>
      <c r="K3786" s="93">
        <v>3552</v>
      </c>
      <c r="L3786" s="93">
        <v>3552</v>
      </c>
      <c r="M3786" s="93" t="s">
        <v>2311</v>
      </c>
      <c r="N3786" s="93" t="e">
        <f>VLOOKUP(B3786,'[16]01.수집 카테고리(List)'!$A$2:$H$64,8,FALSE)</f>
        <v>#N/A</v>
      </c>
      <c r="O3786" s="93"/>
    </row>
    <row r="3787" spans="1:15" hidden="1">
      <c r="A3787" s="75" t="str">
        <f t="shared" si="143"/>
        <v>VNSHOPEETVoled TVTV oled</v>
      </c>
      <c r="B3787" s="94" t="str">
        <f t="shared" si="142"/>
        <v>VN_SHOPEE</v>
      </c>
      <c r="C3787" s="93" t="s">
        <v>237</v>
      </c>
      <c r="D3787" s="93" t="s">
        <v>398</v>
      </c>
      <c r="E3787" s="93" t="s">
        <v>161</v>
      </c>
      <c r="F3787" s="93" t="s">
        <v>2369</v>
      </c>
      <c r="G3787" s="93" t="s">
        <v>3716</v>
      </c>
      <c r="H3787" s="93" t="e">
        <v>#N/A</v>
      </c>
      <c r="I3787" s="105" t="s">
        <v>2310</v>
      </c>
      <c r="J3787" s="93" t="s">
        <v>189</v>
      </c>
      <c r="K3787" s="93">
        <v>5794</v>
      </c>
      <c r="L3787" s="93" t="e">
        <v>#N/A</v>
      </c>
      <c r="M3787" s="93" t="s">
        <v>2311</v>
      </c>
      <c r="N3787" s="93" t="e">
        <f>VLOOKUP(B3787,'[16]01.수집 카테고리(List)'!$A$2:$H$64,8,FALSE)</f>
        <v>#N/A</v>
      </c>
      <c r="O3787" s="93"/>
    </row>
    <row r="3788" spans="1:15" hidden="1">
      <c r="A3788" s="75" t="str">
        <f t="shared" si="143"/>
        <v>VNSHOPEETVuhd TVTV uhd</v>
      </c>
      <c r="B3788" s="94" t="str">
        <f t="shared" si="142"/>
        <v>VN_SHOPEE</v>
      </c>
      <c r="C3788" s="93" t="s">
        <v>237</v>
      </c>
      <c r="D3788" s="93" t="s">
        <v>398</v>
      </c>
      <c r="E3788" s="93" t="s">
        <v>161</v>
      </c>
      <c r="F3788" s="93" t="s">
        <v>2399</v>
      </c>
      <c r="G3788" s="93" t="s">
        <v>3717</v>
      </c>
      <c r="H3788" s="93" t="e">
        <v>#N/A</v>
      </c>
      <c r="I3788" s="105" t="s">
        <v>2310</v>
      </c>
      <c r="J3788" s="93" t="s">
        <v>189</v>
      </c>
      <c r="K3788" s="93">
        <v>6004</v>
      </c>
      <c r="L3788" s="93" t="e">
        <v>#N/A</v>
      </c>
      <c r="M3788" s="93" t="s">
        <v>2311</v>
      </c>
      <c r="N3788" s="93" t="e">
        <f>VLOOKUP(B3788,'[16]01.수집 카테고리(List)'!$A$2:$H$64,8,FALSE)</f>
        <v>#N/A</v>
      </c>
      <c r="O3788" s="93"/>
    </row>
    <row r="3789" spans="1:15" hidden="1">
      <c r="A3789" s="75" t="str">
        <f t="shared" si="143"/>
        <v>VNSHOPEEWashing Machinewashing machinemáy giặt</v>
      </c>
      <c r="B3789" s="94" t="str">
        <f t="shared" si="142"/>
        <v>VN_SHOPEE</v>
      </c>
      <c r="C3789" s="93" t="s">
        <v>237</v>
      </c>
      <c r="D3789" s="93" t="s">
        <v>398</v>
      </c>
      <c r="E3789" s="93" t="s">
        <v>2333</v>
      </c>
      <c r="F3789" s="93" t="s">
        <v>2340</v>
      </c>
      <c r="G3789" s="93" t="s">
        <v>3718</v>
      </c>
      <c r="H3789" s="93" t="e">
        <v>#N/A</v>
      </c>
      <c r="I3789" s="105" t="s">
        <v>2310</v>
      </c>
      <c r="J3789" s="93" t="s">
        <v>189</v>
      </c>
      <c r="K3789" s="93">
        <v>4062</v>
      </c>
      <c r="L3789" s="93" t="e">
        <v>#N/A</v>
      </c>
      <c r="M3789" s="93" t="s">
        <v>2311</v>
      </c>
      <c r="N3789" s="93" t="e">
        <f>VLOOKUP(B3789,'[16]01.수집 카테고리(List)'!$A$2:$H$64,8,FALSE)</f>
        <v>#N/A</v>
      </c>
      <c r="O3789" s="93"/>
    </row>
    <row r="3790" spans="1:15" hidden="1">
      <c r="A3790" s="75" t="str">
        <f t="shared" si="143"/>
        <v>VNSHOPEEWashing Machinetop loadermáy giặt cửa trên</v>
      </c>
      <c r="B3790" s="94" t="str">
        <f t="shared" si="142"/>
        <v>VN_SHOPEE</v>
      </c>
      <c r="C3790" s="93" t="s">
        <v>237</v>
      </c>
      <c r="D3790" s="93" t="s">
        <v>398</v>
      </c>
      <c r="E3790" s="93" t="s">
        <v>2333</v>
      </c>
      <c r="F3790" s="93" t="s">
        <v>2336</v>
      </c>
      <c r="G3790" s="93" t="s">
        <v>3719</v>
      </c>
      <c r="H3790" s="93" t="e">
        <v>#N/A</v>
      </c>
      <c r="I3790" s="105" t="s">
        <v>2310</v>
      </c>
      <c r="J3790" s="93" t="s">
        <v>189</v>
      </c>
      <c r="K3790" s="93">
        <v>4843</v>
      </c>
      <c r="L3790" s="93" t="e">
        <v>#N/A</v>
      </c>
      <c r="M3790" s="93" t="s">
        <v>2311</v>
      </c>
      <c r="N3790" s="93" t="e">
        <f>VLOOKUP(B3790,'[16]01.수집 카테고리(List)'!$A$2:$H$64,8,FALSE)</f>
        <v>#N/A</v>
      </c>
      <c r="O3790" s="93"/>
    </row>
    <row r="3791" spans="1:15" ht="17.399999999999999" hidden="1">
      <c r="A3791" s="75" t="str">
        <f t="shared" si="143"/>
        <v>VNSHOPEEWashing Machinefront loadermáy giặt cửa trước</v>
      </c>
      <c r="B3791" s="94" t="str">
        <f t="shared" si="142"/>
        <v>VN_SHOPEE</v>
      </c>
      <c r="C3791" s="93" t="s">
        <v>237</v>
      </c>
      <c r="D3791" s="93" t="s">
        <v>398</v>
      </c>
      <c r="E3791" s="93" t="s">
        <v>2333</v>
      </c>
      <c r="F3791" s="93" t="s">
        <v>2334</v>
      </c>
      <c r="G3791" s="93" t="s">
        <v>3720</v>
      </c>
      <c r="H3791" s="93" t="e">
        <v>#N/A</v>
      </c>
      <c r="I3791" s="105" t="s">
        <v>2310</v>
      </c>
      <c r="J3791" s="93" t="s">
        <v>189</v>
      </c>
      <c r="K3791" s="93">
        <v>4424</v>
      </c>
      <c r="L3791" s="93" t="e">
        <v>#N/A</v>
      </c>
      <c r="M3791" s="93" t="s">
        <v>2311</v>
      </c>
      <c r="N3791" s="93" t="e">
        <f>VLOOKUP(B3791,'[16]01.수집 카테고리(List)'!$A$2:$H$64,8,FALSE)</f>
        <v>#N/A</v>
      </c>
      <c r="O3791" s="93"/>
    </row>
    <row r="3792" spans="1:15" hidden="1">
      <c r="A3792" s="75" t="str">
        <f t="shared" si="143"/>
        <v>VNSHOPEEWIRELESS HEADSETHeadsetTai nghe</v>
      </c>
      <c r="B3792" s="94" t="str">
        <f t="shared" si="142"/>
        <v>VN_SHOPEE</v>
      </c>
      <c r="C3792" s="93" t="s">
        <v>237</v>
      </c>
      <c r="D3792" s="93" t="s">
        <v>398</v>
      </c>
      <c r="E3792" s="93" t="s">
        <v>2201</v>
      </c>
      <c r="F3792" s="93" t="s">
        <v>3721</v>
      </c>
      <c r="G3792" s="93" t="s">
        <v>3722</v>
      </c>
      <c r="H3792" s="93" t="e">
        <v>#N/A</v>
      </c>
      <c r="I3792" s="105" t="s">
        <v>2310</v>
      </c>
      <c r="J3792" s="93" t="s">
        <v>189</v>
      </c>
      <c r="K3792" s="93">
        <v>3181</v>
      </c>
      <c r="L3792" s="93" t="e">
        <v>#N/A</v>
      </c>
      <c r="M3792" s="93" t="s">
        <v>2311</v>
      </c>
      <c r="N3792" s="93" t="e">
        <f>VLOOKUP(B3792,'[16]01.수집 카테고리(List)'!$A$2:$H$64,8,FALSE)</f>
        <v>#N/A</v>
      </c>
      <c r="O3792" s="93"/>
    </row>
    <row r="3793" spans="1:15" hidden="1">
      <c r="A3793" s="75" t="str">
        <f t="shared" si="143"/>
        <v>VNSHOPEEWIRELESS HEADSETEar budsTai nghe</v>
      </c>
      <c r="B3793" s="94" t="str">
        <f t="shared" si="142"/>
        <v>VN_SHOPEE</v>
      </c>
      <c r="C3793" s="93" t="s">
        <v>237</v>
      </c>
      <c r="D3793" s="93" t="s">
        <v>398</v>
      </c>
      <c r="E3793" s="93" t="s">
        <v>2201</v>
      </c>
      <c r="F3793" s="93" t="s">
        <v>2380</v>
      </c>
      <c r="G3793" s="93" t="s">
        <v>3722</v>
      </c>
      <c r="H3793" s="93" t="e">
        <v>#N/A</v>
      </c>
      <c r="I3793" s="105" t="s">
        <v>2310</v>
      </c>
      <c r="J3793" s="93" t="s">
        <v>189</v>
      </c>
      <c r="K3793" s="93">
        <v>3181</v>
      </c>
      <c r="L3793" s="93" t="e">
        <v>#N/A</v>
      </c>
      <c r="M3793" s="93" t="s">
        <v>2311</v>
      </c>
      <c r="N3793" s="93" t="e">
        <f>VLOOKUP(B3793,'[16]01.수집 카테고리(List)'!$A$2:$H$64,8,FALSE)</f>
        <v>#N/A</v>
      </c>
      <c r="O3793" s="93"/>
    </row>
    <row r="3794" spans="1:15" hidden="1">
      <c r="A3794" s="75" t="str">
        <f t="shared" si="143"/>
        <v>VNSHOPEEWIRELESS HEADSETBluetooth earbudsTai nghe bluetooth</v>
      </c>
      <c r="B3794" s="94" t="str">
        <f t="shared" si="142"/>
        <v>VN_SHOPEE</v>
      </c>
      <c r="C3794" s="93" t="s">
        <v>237</v>
      </c>
      <c r="D3794" s="93" t="s">
        <v>398</v>
      </c>
      <c r="E3794" s="93" t="s">
        <v>2201</v>
      </c>
      <c r="F3794" s="93" t="s">
        <v>2382</v>
      </c>
      <c r="G3794" s="93" t="s">
        <v>3723</v>
      </c>
      <c r="H3794" s="93" t="e">
        <v>#N/A</v>
      </c>
      <c r="I3794" s="105" t="s">
        <v>2310</v>
      </c>
      <c r="J3794" s="93" t="s">
        <v>189</v>
      </c>
      <c r="K3794" s="93">
        <v>3318</v>
      </c>
      <c r="L3794" s="93" t="e">
        <v>#N/A</v>
      </c>
      <c r="M3794" s="93" t="s">
        <v>2311</v>
      </c>
      <c r="N3794" s="93" t="e">
        <f>VLOOKUP(B3794,'[16]01.수집 카테고리(List)'!$A$2:$H$64,8,FALSE)</f>
        <v>#N/A</v>
      </c>
      <c r="O3794" s="93"/>
    </row>
    <row r="3795" spans="1:15" hidden="1">
      <c r="A3795" s="75" t="str">
        <f t="shared" si="143"/>
        <v>VNSHOPEEWIRELESS HEADSETBluetooth headsetTai nghe bluetooth</v>
      </c>
      <c r="B3795" s="94" t="str">
        <f t="shared" si="142"/>
        <v>VN_SHOPEE</v>
      </c>
      <c r="C3795" s="93" t="s">
        <v>237</v>
      </c>
      <c r="D3795" s="93" t="s">
        <v>398</v>
      </c>
      <c r="E3795" s="93" t="s">
        <v>2201</v>
      </c>
      <c r="F3795" s="93" t="s">
        <v>3724</v>
      </c>
      <c r="G3795" s="93" t="s">
        <v>3723</v>
      </c>
      <c r="H3795" s="93" t="e">
        <v>#N/A</v>
      </c>
      <c r="I3795" s="105" t="s">
        <v>2310</v>
      </c>
      <c r="J3795" s="93" t="s">
        <v>189</v>
      </c>
      <c r="K3795" s="93">
        <v>3318</v>
      </c>
      <c r="L3795" s="93" t="e">
        <v>#N/A</v>
      </c>
      <c r="M3795" s="93" t="s">
        <v>2311</v>
      </c>
      <c r="N3795" s="93" t="e">
        <f>VLOOKUP(B3795,'[16]01.수집 카테고리(List)'!$A$2:$H$64,8,FALSE)</f>
        <v>#N/A</v>
      </c>
      <c r="O3795" s="93"/>
    </row>
    <row r="3796" spans="1:15" hidden="1">
      <c r="A3796" s="75" t="str">
        <f t="shared" si="143"/>
        <v>VNSHOPEEWIRELESS HEADSETNoise cancelling earbudsTai nghe chống ồn</v>
      </c>
      <c r="B3796" s="94" t="str">
        <f t="shared" si="142"/>
        <v>VN_SHOPEE</v>
      </c>
      <c r="C3796" s="93" t="s">
        <v>237</v>
      </c>
      <c r="D3796" s="93" t="s">
        <v>398</v>
      </c>
      <c r="E3796" s="93" t="s">
        <v>2201</v>
      </c>
      <c r="F3796" s="93" t="s">
        <v>2378</v>
      </c>
      <c r="G3796" s="93" t="s">
        <v>3725</v>
      </c>
      <c r="H3796" s="93" t="e">
        <v>#N/A</v>
      </c>
      <c r="I3796" s="105" t="s">
        <v>2310</v>
      </c>
      <c r="J3796" s="93" t="s">
        <v>189</v>
      </c>
      <c r="K3796" s="93">
        <v>3204</v>
      </c>
      <c r="L3796" s="93" t="e">
        <v>#N/A</v>
      </c>
      <c r="M3796" s="93" t="s">
        <v>2311</v>
      </c>
      <c r="N3796" s="93" t="e">
        <f>VLOOKUP(B3796,'[16]01.수집 카테고리(List)'!$A$2:$H$64,8,FALSE)</f>
        <v>#N/A</v>
      </c>
      <c r="O3796" s="93"/>
    </row>
    <row r="3797" spans="1:15" hidden="1">
      <c r="A3797" s="75" t="str">
        <f t="shared" si="143"/>
        <v>VNSHOPEEWIRELESS HEADSETNoise Canceling HeadsetTai nghe chống ồn</v>
      </c>
      <c r="B3797" s="94" t="str">
        <f t="shared" si="142"/>
        <v>VN_SHOPEE</v>
      </c>
      <c r="C3797" s="93" t="s">
        <v>237</v>
      </c>
      <c r="D3797" s="93" t="s">
        <v>398</v>
      </c>
      <c r="E3797" s="93" t="s">
        <v>2201</v>
      </c>
      <c r="F3797" s="93" t="s">
        <v>3726</v>
      </c>
      <c r="G3797" s="93" t="s">
        <v>3725</v>
      </c>
      <c r="H3797" s="93" t="e">
        <v>#N/A</v>
      </c>
      <c r="I3797" s="105" t="s">
        <v>2310</v>
      </c>
      <c r="J3797" s="93" t="s">
        <v>189</v>
      </c>
      <c r="K3797" s="93">
        <v>3204</v>
      </c>
      <c r="L3797" s="93" t="e">
        <v>#N/A</v>
      </c>
      <c r="M3797" s="93" t="s">
        <v>2311</v>
      </c>
      <c r="N3797" s="93" t="e">
        <f>VLOOKUP(B3797,'[16]01.수집 카테고리(List)'!$A$2:$H$64,8,FALSE)</f>
        <v>#N/A</v>
      </c>
      <c r="O3797" s="93"/>
    </row>
    <row r="3798" spans="1:15" hidden="1">
      <c r="A3798" s="75" t="str">
        <f t="shared" si="143"/>
        <v>VNSHOPEEWIRELESS HEADSETWireless earbudsTai nghe không dây</v>
      </c>
      <c r="B3798" s="94" t="str">
        <f t="shared" si="142"/>
        <v>VN_SHOPEE</v>
      </c>
      <c r="C3798" s="93" t="s">
        <v>237</v>
      </c>
      <c r="D3798" s="93" t="s">
        <v>398</v>
      </c>
      <c r="E3798" s="93" t="s">
        <v>2201</v>
      </c>
      <c r="F3798" s="93" t="s">
        <v>2376</v>
      </c>
      <c r="G3798" s="93" t="s">
        <v>3727</v>
      </c>
      <c r="H3798" s="93" t="e">
        <v>#N/A</v>
      </c>
      <c r="I3798" s="105" t="s">
        <v>2310</v>
      </c>
      <c r="J3798" s="93" t="s">
        <v>189</v>
      </c>
      <c r="K3798" s="93">
        <v>3308</v>
      </c>
      <c r="L3798" s="93" t="e">
        <v>#N/A</v>
      </c>
      <c r="M3798" s="93" t="s">
        <v>2311</v>
      </c>
      <c r="N3798" s="93" t="e">
        <f>VLOOKUP(B3798,'[16]01.수집 카테고리(List)'!$A$2:$H$64,8,FALSE)</f>
        <v>#N/A</v>
      </c>
      <c r="O3798" s="93"/>
    </row>
    <row r="3799" spans="1:15" hidden="1">
      <c r="A3799" s="75" t="str">
        <f t="shared" si="143"/>
        <v>VNSHOPEEWIRELESS HEADSETWireless headsetTai nghe không dây</v>
      </c>
      <c r="B3799" s="94" t="str">
        <f t="shared" si="142"/>
        <v>VN_SHOPEE</v>
      </c>
      <c r="C3799" s="93" t="s">
        <v>237</v>
      </c>
      <c r="D3799" s="93" t="s">
        <v>398</v>
      </c>
      <c r="E3799" s="93" t="s">
        <v>2201</v>
      </c>
      <c r="F3799" s="93" t="s">
        <v>3728</v>
      </c>
      <c r="G3799" s="93" t="s">
        <v>3727</v>
      </c>
      <c r="H3799" s="93" t="e">
        <v>#N/A</v>
      </c>
      <c r="I3799" s="105" t="s">
        <v>2310</v>
      </c>
      <c r="J3799" s="93" t="s">
        <v>189</v>
      </c>
      <c r="K3799" s="93">
        <v>3308</v>
      </c>
      <c r="L3799" s="93" t="e">
        <v>#N/A</v>
      </c>
      <c r="M3799" s="93" t="s">
        <v>2311</v>
      </c>
      <c r="N3799" s="93" t="e">
        <f>VLOOKUP(B3799,'[16]01.수집 카테고리(List)'!$A$2:$H$64,8,FALSE)</f>
        <v>#N/A</v>
      </c>
      <c r="O3799" s="93"/>
    </row>
    <row r="3800" spans="1:15" hidden="1">
      <c r="A3800" s="75" t="str">
        <f t="shared" si="143"/>
        <v>VNSHOPEEWIRELESS HEADSETTrue wireless earbudsTai nghe true wireless</v>
      </c>
      <c r="B3800" s="94" t="str">
        <f t="shared" si="142"/>
        <v>VN_SHOPEE</v>
      </c>
      <c r="C3800" s="93" t="s">
        <v>237</v>
      </c>
      <c r="D3800" s="93" t="s">
        <v>398</v>
      </c>
      <c r="E3800" s="93" t="s">
        <v>2201</v>
      </c>
      <c r="F3800" s="93" t="s">
        <v>2374</v>
      </c>
      <c r="G3800" s="93" t="s">
        <v>3729</v>
      </c>
      <c r="H3800" s="93" t="e">
        <v>#N/A</v>
      </c>
      <c r="I3800" s="105" t="s">
        <v>2310</v>
      </c>
      <c r="J3800" s="93" t="s">
        <v>189</v>
      </c>
      <c r="K3800" s="93">
        <v>3266</v>
      </c>
      <c r="L3800" s="93" t="e">
        <v>#N/A</v>
      </c>
      <c r="M3800" s="93" t="s">
        <v>2311</v>
      </c>
      <c r="N3800" s="93" t="e">
        <f>VLOOKUP(B3800,'[16]01.수집 카테고리(List)'!$A$2:$H$64,8,FALSE)</f>
        <v>#N/A</v>
      </c>
      <c r="O3800" s="93"/>
    </row>
    <row r="3801" spans="1:15" hidden="1">
      <c r="A3801" s="75" t="str">
        <f t="shared" si="143"/>
        <v>VNSHOPEEWIRELESS HEADSETTrue wireless headsetTai nghe true wireless</v>
      </c>
      <c r="B3801" s="94" t="str">
        <f t="shared" si="142"/>
        <v>VN_SHOPEE</v>
      </c>
      <c r="C3801" s="93" t="s">
        <v>237</v>
      </c>
      <c r="D3801" s="93" t="s">
        <v>398</v>
      </c>
      <c r="E3801" s="93" t="s">
        <v>2201</v>
      </c>
      <c r="F3801" s="93" t="s">
        <v>3730</v>
      </c>
      <c r="G3801" s="93" t="s">
        <v>3729</v>
      </c>
      <c r="H3801" s="93" t="e">
        <v>#N/A</v>
      </c>
      <c r="I3801" s="105" t="s">
        <v>2310</v>
      </c>
      <c r="J3801" s="93" t="s">
        <v>189</v>
      </c>
      <c r="K3801" s="93">
        <v>3266</v>
      </c>
      <c r="L3801" s="93" t="e">
        <v>#N/A</v>
      </c>
      <c r="M3801" s="93" t="s">
        <v>2311</v>
      </c>
      <c r="N3801" s="93" t="e">
        <f>VLOOKUP(B3801,'[16]01.수집 카테고리(List)'!$A$2:$H$64,8,FALSE)</f>
        <v>#N/A</v>
      </c>
      <c r="O3801" s="93"/>
    </row>
    <row r="3802" spans="1:15" s="108" customFormat="1" ht="14.4" hidden="1">
      <c r="A3802" s="108" t="str">
        <f t="shared" si="143"/>
        <v>VNSS.comAir Conditionerair conditionerđiều hòa không khí</v>
      </c>
      <c r="B3802" s="109" t="str">
        <f t="shared" si="142"/>
        <v>VN_SS.com</v>
      </c>
      <c r="C3802" s="110" t="s">
        <v>245</v>
      </c>
      <c r="D3802" s="110" t="s">
        <v>2443</v>
      </c>
      <c r="E3802" s="110" t="s">
        <v>2346</v>
      </c>
      <c r="F3802" s="110" t="s">
        <v>2347</v>
      </c>
      <c r="G3802" s="110" t="s">
        <v>3742</v>
      </c>
      <c r="H3802" s="93" t="e">
        <v>#N/A</v>
      </c>
      <c r="I3802" s="99">
        <v>46076</v>
      </c>
      <c r="J3802" s="83" t="s">
        <v>189</v>
      </c>
      <c r="K3802" s="110"/>
      <c r="L3802" s="110"/>
      <c r="M3802" s="110"/>
      <c r="N3802" s="110"/>
      <c r="O3802" s="110"/>
    </row>
    <row r="3803" spans="1:15" s="108" customFormat="1" hidden="1">
      <c r="A3803" s="108" t="str">
        <f t="shared" si="143"/>
        <v>VNSS.comMonitormonitormàn hình</v>
      </c>
      <c r="B3803" s="109" t="str">
        <f t="shared" si="142"/>
        <v>VN_SS.com</v>
      </c>
      <c r="C3803" s="110" t="s">
        <v>245</v>
      </c>
      <c r="D3803" s="110" t="s">
        <v>184</v>
      </c>
      <c r="E3803" s="110" t="s">
        <v>2320</v>
      </c>
      <c r="F3803" s="110" t="s">
        <v>2323</v>
      </c>
      <c r="G3803" s="110" t="s">
        <v>3743</v>
      </c>
      <c r="H3803" s="93" t="e">
        <v>#N/A</v>
      </c>
      <c r="I3803" s="99">
        <v>46076</v>
      </c>
      <c r="J3803" s="83" t="s">
        <v>189</v>
      </c>
      <c r="K3803" s="110"/>
      <c r="L3803" s="110"/>
      <c r="M3803" s="110"/>
      <c r="N3803" s="110"/>
      <c r="O3803" s="110"/>
    </row>
    <row r="3804" spans="1:15" s="108" customFormat="1" ht="16.8" hidden="1">
      <c r="A3804" s="108" t="str">
        <f t="shared" si="143"/>
        <v>VNSS.comMonitorgaming monitormàn hình chơi game</v>
      </c>
      <c r="B3804" s="109" t="str">
        <f t="shared" si="142"/>
        <v>VN_SS.com</v>
      </c>
      <c r="C3804" s="110" t="s">
        <v>245</v>
      </c>
      <c r="D3804" s="110" t="s">
        <v>184</v>
      </c>
      <c r="E3804" s="110" t="s">
        <v>2320</v>
      </c>
      <c r="F3804" s="110" t="s">
        <v>2322</v>
      </c>
      <c r="G3804" s="110" t="s">
        <v>3744</v>
      </c>
      <c r="H3804" s="93" t="e">
        <v>#N/A</v>
      </c>
      <c r="I3804" s="99">
        <v>46076</v>
      </c>
      <c r="J3804" s="83" t="s">
        <v>189</v>
      </c>
      <c r="K3804" s="110"/>
      <c r="L3804" s="110"/>
      <c r="M3804" s="110"/>
      <c r="N3804" s="110"/>
      <c r="O3804" s="110"/>
    </row>
    <row r="3805" spans="1:15" s="108" customFormat="1" ht="14.4" hidden="1">
      <c r="A3805" s="108" t="str">
        <f t="shared" si="143"/>
        <v>VNSS.comRefrigeratorrefrigeratortủ lạnh</v>
      </c>
      <c r="B3805" s="109" t="str">
        <f t="shared" si="142"/>
        <v>VN_SS.com</v>
      </c>
      <c r="C3805" s="110" t="s">
        <v>245</v>
      </c>
      <c r="D3805" s="110" t="s">
        <v>184</v>
      </c>
      <c r="E3805" s="110" t="s">
        <v>2326</v>
      </c>
      <c r="F3805" s="110" t="s">
        <v>2329</v>
      </c>
      <c r="G3805" s="110" t="s">
        <v>3745</v>
      </c>
      <c r="H3805" s="93" t="e">
        <v>#N/A</v>
      </c>
      <c r="I3805" s="99">
        <v>46076</v>
      </c>
      <c r="J3805" s="83" t="s">
        <v>189</v>
      </c>
      <c r="K3805" s="110"/>
      <c r="L3805" s="110"/>
      <c r="M3805" s="110"/>
      <c r="N3805" s="110"/>
      <c r="O3805" s="110"/>
    </row>
    <row r="3806" spans="1:15" s="108" customFormat="1" hidden="1">
      <c r="A3806" s="108" t="str">
        <f t="shared" si="143"/>
        <v>VNSS.comTVtvTV</v>
      </c>
      <c r="B3806" s="109" t="str">
        <f t="shared" si="142"/>
        <v>VN_SS.com</v>
      </c>
      <c r="C3806" s="110" t="s">
        <v>245</v>
      </c>
      <c r="D3806" s="110" t="s">
        <v>184</v>
      </c>
      <c r="E3806" s="110" t="s">
        <v>161</v>
      </c>
      <c r="F3806" s="110" t="s">
        <v>2444</v>
      </c>
      <c r="G3806" s="110" t="s">
        <v>2448</v>
      </c>
      <c r="H3806" s="93" t="e">
        <v>#N/A</v>
      </c>
      <c r="I3806" s="99">
        <v>46076</v>
      </c>
      <c r="J3806" s="83" t="s">
        <v>189</v>
      </c>
      <c r="K3806" s="110"/>
      <c r="L3806" s="110"/>
      <c r="M3806" s="110"/>
      <c r="N3806" s="110"/>
      <c r="O3806" s="110"/>
    </row>
    <row r="3807" spans="1:15" s="108" customFormat="1" ht="14.4" hidden="1">
      <c r="A3807" s="108" t="str">
        <f t="shared" si="143"/>
        <v>VNSS.comWashing Machinewasher dryermáy giặt máy sấy</v>
      </c>
      <c r="B3807" s="109" t="str">
        <f t="shared" ref="B3807:B3823" si="144">C3807&amp;"_"&amp;D3807</f>
        <v>VN_SS.com</v>
      </c>
      <c r="C3807" s="110" t="s">
        <v>245</v>
      </c>
      <c r="D3807" s="110" t="s">
        <v>184</v>
      </c>
      <c r="E3807" s="110" t="s">
        <v>2333</v>
      </c>
      <c r="F3807" s="110" t="s">
        <v>2339</v>
      </c>
      <c r="G3807" s="110" t="s">
        <v>3746</v>
      </c>
      <c r="H3807" s="93" t="e">
        <v>#N/A</v>
      </c>
      <c r="I3807" s="99">
        <v>46076</v>
      </c>
      <c r="J3807" s="83" t="s">
        <v>189</v>
      </c>
      <c r="K3807" s="110"/>
      <c r="L3807" s="110"/>
      <c r="M3807" s="110"/>
      <c r="N3807" s="110"/>
      <c r="O3807" s="110"/>
    </row>
    <row r="3808" spans="1:15" s="108" customFormat="1" ht="14.4" hidden="1">
      <c r="A3808" s="108" t="str">
        <f t="shared" si="143"/>
        <v>VNSS.comWashing Machinewashing machinemáy giặt</v>
      </c>
      <c r="B3808" s="109" t="str">
        <f t="shared" si="144"/>
        <v>VN_SS.com</v>
      </c>
      <c r="C3808" s="110" t="s">
        <v>245</v>
      </c>
      <c r="D3808" s="110" t="s">
        <v>184</v>
      </c>
      <c r="E3808" s="110" t="s">
        <v>2333</v>
      </c>
      <c r="F3808" s="110" t="s">
        <v>2340</v>
      </c>
      <c r="G3808" s="110" t="s">
        <v>3747</v>
      </c>
      <c r="H3808" s="93" t="e">
        <v>#N/A</v>
      </c>
      <c r="I3808" s="99">
        <v>46076</v>
      </c>
      <c r="J3808" s="83" t="s">
        <v>189</v>
      </c>
      <c r="K3808" s="110"/>
      <c r="L3808" s="110"/>
      <c r="M3808" s="110"/>
      <c r="N3808" s="110"/>
      <c r="O3808" s="110"/>
    </row>
    <row r="3809" spans="1:15" s="111" customFormat="1" hidden="1">
      <c r="A3809" s="111" t="str">
        <f t="shared" si="143"/>
        <v>VNSS.comBluetooth SpeakerBluetooth SpeakerLoa bluetooth</v>
      </c>
      <c r="B3809" s="112" t="str">
        <f t="shared" si="144"/>
        <v>VN_SS.com</v>
      </c>
      <c r="C3809" s="113" t="s">
        <v>237</v>
      </c>
      <c r="D3809" s="113" t="s">
        <v>184</v>
      </c>
      <c r="E3809" s="113" t="s">
        <v>2307</v>
      </c>
      <c r="F3809" s="113" t="s">
        <v>2470</v>
      </c>
      <c r="G3809" s="113" t="s">
        <v>3702</v>
      </c>
      <c r="H3809" s="93" t="e">
        <v>#N/A</v>
      </c>
      <c r="I3809" s="99">
        <v>46076</v>
      </c>
      <c r="J3809" s="83" t="s">
        <v>189</v>
      </c>
      <c r="K3809" s="113"/>
      <c r="L3809" s="113"/>
      <c r="M3809" s="113"/>
      <c r="N3809" s="113"/>
      <c r="O3809" s="113"/>
    </row>
    <row r="3810" spans="1:15" s="111" customFormat="1" hidden="1">
      <c r="A3810" s="111" t="str">
        <f t="shared" si="143"/>
        <v>VNSS.comSOUNDBARSound systemHệ thống loa thanh</v>
      </c>
      <c r="B3810" s="112" t="str">
        <f t="shared" si="144"/>
        <v>VN_SS.com</v>
      </c>
      <c r="C3810" s="113" t="s">
        <v>237</v>
      </c>
      <c r="D3810" s="113" t="s">
        <v>184</v>
      </c>
      <c r="E3810" s="113" t="s">
        <v>165</v>
      </c>
      <c r="F3810" s="113" t="s">
        <v>2359</v>
      </c>
      <c r="G3810" s="113" t="s">
        <v>3731</v>
      </c>
      <c r="H3810" s="93" t="e">
        <v>#N/A</v>
      </c>
      <c r="I3810" s="99">
        <v>46076</v>
      </c>
      <c r="J3810" s="83" t="s">
        <v>189</v>
      </c>
      <c r="K3810" s="113"/>
      <c r="L3810" s="113"/>
      <c r="M3810" s="113"/>
      <c r="N3810" s="113"/>
      <c r="O3810" s="113"/>
    </row>
    <row r="3811" spans="1:15" s="111" customFormat="1" hidden="1">
      <c r="A3811" s="111" t="str">
        <f t="shared" si="143"/>
        <v>VNSS.comSOUNDBARspeakerLoa</v>
      </c>
      <c r="B3811" s="112" t="str">
        <f t="shared" si="144"/>
        <v>VN_SS.com</v>
      </c>
      <c r="C3811" s="113" t="s">
        <v>237</v>
      </c>
      <c r="D3811" s="113" t="s">
        <v>184</v>
      </c>
      <c r="E3811" s="113" t="s">
        <v>165</v>
      </c>
      <c r="F3811" s="113" t="s">
        <v>2555</v>
      </c>
      <c r="G3811" s="113" t="s">
        <v>3708</v>
      </c>
      <c r="H3811" s="93" t="e">
        <v>#N/A</v>
      </c>
      <c r="I3811" s="99">
        <v>46076</v>
      </c>
      <c r="J3811" s="83" t="s">
        <v>189</v>
      </c>
      <c r="K3811" s="113"/>
      <c r="L3811" s="113"/>
      <c r="M3811" s="113"/>
      <c r="N3811" s="113"/>
      <c r="O3811" s="113"/>
    </row>
    <row r="3812" spans="1:15" s="111" customFormat="1" hidden="1">
      <c r="A3812" s="111" t="str">
        <f t="shared" si="143"/>
        <v>VNSS.comSOUNDBARSoundbar speakerLoa soundbar</v>
      </c>
      <c r="B3812" s="112" t="str">
        <f t="shared" si="144"/>
        <v>VN_SS.com</v>
      </c>
      <c r="C3812" s="113" t="s">
        <v>237</v>
      </c>
      <c r="D3812" s="113" t="s">
        <v>184</v>
      </c>
      <c r="E3812" s="113" t="s">
        <v>165</v>
      </c>
      <c r="F3812" s="113" t="s">
        <v>3732</v>
      </c>
      <c r="G3812" s="113" t="s">
        <v>3733</v>
      </c>
      <c r="H3812" s="93" t="e">
        <v>#N/A</v>
      </c>
      <c r="I3812" s="99">
        <v>46076</v>
      </c>
      <c r="J3812" s="83" t="s">
        <v>189</v>
      </c>
      <c r="K3812" s="113"/>
      <c r="L3812" s="113"/>
      <c r="M3812" s="113"/>
      <c r="N3812" s="113"/>
      <c r="O3812" s="113"/>
    </row>
    <row r="3813" spans="1:15" s="111" customFormat="1" hidden="1">
      <c r="A3813" s="111" t="str">
        <f t="shared" si="143"/>
        <v>VNSS.comSOUNDBARspeakersLoa thanh</v>
      </c>
      <c r="B3813" s="112" t="str">
        <f t="shared" si="144"/>
        <v>VN_SS.com</v>
      </c>
      <c r="C3813" s="113" t="s">
        <v>237</v>
      </c>
      <c r="D3813" s="113" t="s">
        <v>184</v>
      </c>
      <c r="E3813" s="113" t="s">
        <v>165</v>
      </c>
      <c r="F3813" s="113" t="s">
        <v>2471</v>
      </c>
      <c r="G3813" s="113" t="s">
        <v>3711</v>
      </c>
      <c r="H3813" s="93" t="e">
        <v>#N/A</v>
      </c>
      <c r="I3813" s="99">
        <v>46076</v>
      </c>
      <c r="J3813" s="83" t="s">
        <v>189</v>
      </c>
      <c r="K3813" s="113"/>
      <c r="L3813" s="113"/>
      <c r="M3813" s="113"/>
      <c r="N3813" s="113"/>
      <c r="O3813" s="113"/>
    </row>
    <row r="3814" spans="1:15" s="111" customFormat="1" hidden="1">
      <c r="A3814" s="111" t="str">
        <f t="shared" si="143"/>
        <v>VNSS.comSOUNDBARSoundbarLoa thanh soundbar</v>
      </c>
      <c r="B3814" s="112" t="str">
        <f t="shared" si="144"/>
        <v>VN_SS.com</v>
      </c>
      <c r="C3814" s="113" t="s">
        <v>237</v>
      </c>
      <c r="D3814" s="113" t="s">
        <v>184</v>
      </c>
      <c r="E3814" s="113" t="s">
        <v>165</v>
      </c>
      <c r="F3814" s="113" t="s">
        <v>2363</v>
      </c>
      <c r="G3814" s="113" t="s">
        <v>3712</v>
      </c>
      <c r="H3814" s="93" t="e">
        <v>#N/A</v>
      </c>
      <c r="I3814" s="99">
        <v>46076</v>
      </c>
      <c r="J3814" s="83" t="s">
        <v>189</v>
      </c>
      <c r="K3814" s="113"/>
      <c r="L3814" s="113"/>
      <c r="M3814" s="113"/>
      <c r="N3814" s="113"/>
      <c r="O3814" s="113"/>
    </row>
    <row r="3815" spans="1:15" s="111" customFormat="1" hidden="1">
      <c r="A3815" s="111" t="str">
        <f t="shared" si="143"/>
        <v>VNSS.comWIRELESS HEADSETHeadsetTai nghe</v>
      </c>
      <c r="B3815" s="112" t="str">
        <f t="shared" si="144"/>
        <v>VN_SS.com</v>
      </c>
      <c r="C3815" s="113" t="s">
        <v>237</v>
      </c>
      <c r="D3815" s="113" t="s">
        <v>184</v>
      </c>
      <c r="E3815" s="113" t="s">
        <v>2201</v>
      </c>
      <c r="F3815" s="113" t="s">
        <v>3721</v>
      </c>
      <c r="G3815" s="113" t="s">
        <v>3722</v>
      </c>
      <c r="H3815" s="93" t="e">
        <v>#N/A</v>
      </c>
      <c r="I3815" s="99">
        <v>46076</v>
      </c>
      <c r="J3815" s="83" t="s">
        <v>189</v>
      </c>
      <c r="K3815" s="113"/>
      <c r="L3815" s="113"/>
      <c r="M3815" s="113"/>
      <c r="N3815" s="113"/>
      <c r="O3815" s="113"/>
    </row>
    <row r="3816" spans="1:15" s="111" customFormat="1" hidden="1">
      <c r="A3816" s="111" t="str">
        <f t="shared" si="143"/>
        <v>VNSS.comWIRELESS HEADSETEar budsTai nghe</v>
      </c>
      <c r="B3816" s="112" t="str">
        <f t="shared" si="144"/>
        <v>VN_SS.com</v>
      </c>
      <c r="C3816" s="113" t="s">
        <v>237</v>
      </c>
      <c r="D3816" s="113" t="s">
        <v>184</v>
      </c>
      <c r="E3816" s="113" t="s">
        <v>2201</v>
      </c>
      <c r="F3816" s="113" t="s">
        <v>2380</v>
      </c>
      <c r="G3816" s="113" t="s">
        <v>3722</v>
      </c>
      <c r="H3816" s="93" t="e">
        <v>#N/A</v>
      </c>
      <c r="I3816" s="99">
        <v>46076</v>
      </c>
      <c r="J3816" s="83" t="s">
        <v>189</v>
      </c>
      <c r="K3816" s="113"/>
      <c r="L3816" s="113"/>
      <c r="M3816" s="113"/>
      <c r="N3816" s="113"/>
      <c r="O3816" s="113"/>
    </row>
    <row r="3817" spans="1:15" s="111" customFormat="1" hidden="1">
      <c r="A3817" s="111" t="str">
        <f t="shared" si="143"/>
        <v>VNSS.comWIRELESS HEADSETBluetooth earbudsTai nghe bluetooth</v>
      </c>
      <c r="B3817" s="112" t="str">
        <f t="shared" si="144"/>
        <v>VN_SS.com</v>
      </c>
      <c r="C3817" s="113" t="s">
        <v>237</v>
      </c>
      <c r="D3817" s="113" t="s">
        <v>184</v>
      </c>
      <c r="E3817" s="113" t="s">
        <v>2201</v>
      </c>
      <c r="F3817" s="113" t="s">
        <v>2382</v>
      </c>
      <c r="G3817" s="113" t="s">
        <v>3723</v>
      </c>
      <c r="H3817" s="93" t="e">
        <v>#N/A</v>
      </c>
      <c r="I3817" s="99">
        <v>46076</v>
      </c>
      <c r="J3817" s="83" t="s">
        <v>189</v>
      </c>
      <c r="K3817" s="113"/>
      <c r="L3817" s="113"/>
      <c r="M3817" s="113"/>
      <c r="N3817" s="113"/>
      <c r="O3817" s="113"/>
    </row>
    <row r="3818" spans="1:15" s="111" customFormat="1" hidden="1">
      <c r="A3818" s="111" t="str">
        <f t="shared" si="143"/>
        <v>VNSS.comWIRELESS HEADSETBluetooth headsetTai nghe bluetooth</v>
      </c>
      <c r="B3818" s="112" t="str">
        <f t="shared" si="144"/>
        <v>VN_SS.com</v>
      </c>
      <c r="C3818" s="113" t="s">
        <v>237</v>
      </c>
      <c r="D3818" s="113" t="s">
        <v>184</v>
      </c>
      <c r="E3818" s="113" t="s">
        <v>2201</v>
      </c>
      <c r="F3818" s="113" t="s">
        <v>3724</v>
      </c>
      <c r="G3818" s="113" t="s">
        <v>3723</v>
      </c>
      <c r="H3818" s="93" t="e">
        <v>#N/A</v>
      </c>
      <c r="I3818" s="99">
        <v>46076</v>
      </c>
      <c r="J3818" s="83" t="s">
        <v>189</v>
      </c>
      <c r="K3818" s="113"/>
      <c r="L3818" s="113"/>
      <c r="M3818" s="113"/>
      <c r="N3818" s="113"/>
      <c r="O3818" s="113"/>
    </row>
    <row r="3819" spans="1:15" s="197" customFormat="1" ht="14.4" hidden="1">
      <c r="A3819" s="197" t="str">
        <f t="shared" ref="A3819" si="145">C3819&amp;D3819&amp;E3819&amp;F3819&amp;G3819</f>
        <v>VNSS.comWIRELESS HEADSETNoise cancelling earbudsChống ồn chủ</v>
      </c>
      <c r="B3819" s="198" t="str">
        <f t="shared" si="144"/>
        <v>VN_SS.com</v>
      </c>
      <c r="C3819" s="199" t="s">
        <v>237</v>
      </c>
      <c r="D3819" s="199" t="s">
        <v>184</v>
      </c>
      <c r="E3819" s="199" t="s">
        <v>2201</v>
      </c>
      <c r="F3819" s="199" t="s">
        <v>2378</v>
      </c>
      <c r="G3819" s="199" t="s">
        <v>3748</v>
      </c>
      <c r="H3819" s="199" t="s">
        <v>3749</v>
      </c>
      <c r="I3819" s="201">
        <v>46076</v>
      </c>
      <c r="J3819" s="202" t="s">
        <v>189</v>
      </c>
      <c r="K3819" s="199"/>
      <c r="L3819" s="199"/>
      <c r="M3819" s="199"/>
      <c r="N3819" s="199"/>
      <c r="O3819" s="199"/>
    </row>
    <row r="3820" spans="1:15" s="111" customFormat="1" hidden="1">
      <c r="A3820" s="111" t="str">
        <f t="shared" ref="A3820:A3831" si="146">C3820&amp;D3820&amp;E3820&amp;F3820&amp;G3820</f>
        <v>VNSS.comWIRELESS HEADSETWireless earbudsTai nghe không dây</v>
      </c>
      <c r="B3820" s="112" t="str">
        <f t="shared" si="144"/>
        <v>VN_SS.com</v>
      </c>
      <c r="C3820" s="113" t="s">
        <v>237</v>
      </c>
      <c r="D3820" s="113" t="s">
        <v>184</v>
      </c>
      <c r="E3820" s="113" t="s">
        <v>2201</v>
      </c>
      <c r="F3820" s="113" t="s">
        <v>2376</v>
      </c>
      <c r="G3820" s="113" t="s">
        <v>3727</v>
      </c>
      <c r="H3820" s="93" t="e">
        <v>#N/A</v>
      </c>
      <c r="I3820" s="99">
        <v>46076</v>
      </c>
      <c r="J3820" s="83" t="s">
        <v>189</v>
      </c>
      <c r="K3820" s="113"/>
      <c r="L3820" s="113"/>
      <c r="M3820" s="113"/>
      <c r="N3820" s="113"/>
      <c r="O3820" s="113"/>
    </row>
    <row r="3821" spans="1:15" s="111" customFormat="1" hidden="1">
      <c r="A3821" s="111" t="str">
        <f t="shared" si="146"/>
        <v>VNSS.comWIRELESS HEADSETWireless headsetTai nghe không dây</v>
      </c>
      <c r="B3821" s="112" t="str">
        <f t="shared" si="144"/>
        <v>VN_SS.com</v>
      </c>
      <c r="C3821" s="113" t="s">
        <v>237</v>
      </c>
      <c r="D3821" s="113" t="s">
        <v>184</v>
      </c>
      <c r="E3821" s="113" t="s">
        <v>2201</v>
      </c>
      <c r="F3821" s="113" t="s">
        <v>3728</v>
      </c>
      <c r="G3821" s="113" t="s">
        <v>3727</v>
      </c>
      <c r="H3821" s="93" t="e">
        <v>#N/A</v>
      </c>
      <c r="I3821" s="99">
        <v>46076</v>
      </c>
      <c r="J3821" s="83" t="s">
        <v>189</v>
      </c>
      <c r="K3821" s="113"/>
      <c r="L3821" s="113"/>
      <c r="M3821" s="113"/>
      <c r="N3821" s="113"/>
      <c r="O3821" s="113"/>
    </row>
    <row r="3822" spans="1:15" s="111" customFormat="1" hidden="1">
      <c r="A3822" s="111" t="str">
        <f t="shared" si="146"/>
        <v>VNSS.comWIRELESS HEADSETTrue wireless earbudsTai nghe true wireless</v>
      </c>
      <c r="B3822" s="112" t="str">
        <f t="shared" si="144"/>
        <v>VN_SS.com</v>
      </c>
      <c r="C3822" s="113" t="s">
        <v>237</v>
      </c>
      <c r="D3822" s="113" t="s">
        <v>184</v>
      </c>
      <c r="E3822" s="113" t="s">
        <v>2201</v>
      </c>
      <c r="F3822" s="113" t="s">
        <v>2374</v>
      </c>
      <c r="G3822" s="113" t="s">
        <v>3729</v>
      </c>
      <c r="H3822" s="93" t="e">
        <v>#N/A</v>
      </c>
      <c r="I3822" s="99">
        <v>46076</v>
      </c>
      <c r="J3822" s="83" t="s">
        <v>189</v>
      </c>
      <c r="K3822" s="113"/>
      <c r="L3822" s="113"/>
      <c r="M3822" s="113"/>
      <c r="N3822" s="113"/>
      <c r="O3822" s="113"/>
    </row>
    <row r="3823" spans="1:15" s="111" customFormat="1" hidden="1">
      <c r="A3823" s="111" t="str">
        <f t="shared" si="146"/>
        <v>VNSS.comWIRELESS HEADSETTrue wireless headsetTai nghe true wireless</v>
      </c>
      <c r="B3823" s="254" t="str">
        <f t="shared" si="144"/>
        <v>VN_SS.com</v>
      </c>
      <c r="C3823" s="113" t="s">
        <v>237</v>
      </c>
      <c r="D3823" s="113" t="s">
        <v>184</v>
      </c>
      <c r="E3823" s="113" t="s">
        <v>2201</v>
      </c>
      <c r="F3823" s="113" t="s">
        <v>3730</v>
      </c>
      <c r="G3823" s="113" t="s">
        <v>3729</v>
      </c>
      <c r="H3823" s="93" t="e">
        <v>#N/A</v>
      </c>
      <c r="I3823" s="99">
        <v>46076</v>
      </c>
      <c r="J3823" s="83" t="s">
        <v>189</v>
      </c>
      <c r="K3823" s="113"/>
      <c r="L3823" s="113"/>
      <c r="M3823" s="113"/>
      <c r="N3823" s="113"/>
      <c r="O3823" s="113"/>
    </row>
    <row r="3824" spans="1:15" s="111" customFormat="1" hidden="1">
      <c r="A3824" s="111" t="str">
        <f t="shared" si="146"/>
        <v>VNSS.comDryerDryerMáy sấy</v>
      </c>
      <c r="B3824" s="112" t="str">
        <f t="shared" ref="B3824:B3831" si="147">C3824&amp;"_"&amp;D3824</f>
        <v>VN_SS.com</v>
      </c>
      <c r="C3824" s="113" t="s">
        <v>237</v>
      </c>
      <c r="D3824" s="113" t="s">
        <v>184</v>
      </c>
      <c r="E3824" s="113" t="s">
        <v>2431</v>
      </c>
      <c r="F3824" s="113" t="s">
        <v>2431</v>
      </c>
      <c r="G3824" s="113" t="s">
        <v>3703</v>
      </c>
      <c r="H3824" s="93" t="e">
        <v>#N/A</v>
      </c>
      <c r="I3824" s="99">
        <v>46076</v>
      </c>
      <c r="J3824" s="83" t="s">
        <v>189</v>
      </c>
      <c r="K3824" s="113"/>
      <c r="L3824" s="113"/>
      <c r="M3824" s="113"/>
      <c r="N3824" s="113"/>
      <c r="O3824" s="113"/>
    </row>
    <row r="3825" spans="1:15" s="108" customFormat="1" ht="14.4" hidden="1">
      <c r="A3825" s="108" t="str">
        <f t="shared" si="146"/>
        <v>VNLG.comAir Conditionerair conditionerđiều hòa không khí</v>
      </c>
      <c r="B3825" s="109" t="str">
        <f t="shared" si="147"/>
        <v>VN_LG.com</v>
      </c>
      <c r="C3825" s="110" t="s">
        <v>245</v>
      </c>
      <c r="D3825" s="110" t="s">
        <v>321</v>
      </c>
      <c r="E3825" s="110" t="s">
        <v>2346</v>
      </c>
      <c r="F3825" s="110" t="s">
        <v>2607</v>
      </c>
      <c r="G3825" s="110" t="s">
        <v>3742</v>
      </c>
      <c r="H3825" s="93" t="e">
        <v>#N/A</v>
      </c>
      <c r="I3825" s="99">
        <v>46076</v>
      </c>
      <c r="J3825" s="83" t="s">
        <v>189</v>
      </c>
      <c r="K3825" s="110"/>
      <c r="L3825" s="110"/>
      <c r="M3825" s="110"/>
      <c r="N3825" s="110"/>
      <c r="O3825" s="110"/>
    </row>
    <row r="3826" spans="1:15" s="108" customFormat="1" hidden="1">
      <c r="A3826" s="108" t="str">
        <f t="shared" si="146"/>
        <v>VNLG.comMonitormonitormàn hình</v>
      </c>
      <c r="B3826" s="109" t="str">
        <f t="shared" si="147"/>
        <v>VN_LG.com</v>
      </c>
      <c r="C3826" s="110" t="s">
        <v>245</v>
      </c>
      <c r="D3826" s="110" t="s">
        <v>321</v>
      </c>
      <c r="E3826" s="110" t="s">
        <v>2320</v>
      </c>
      <c r="F3826" s="110" t="s">
        <v>2449</v>
      </c>
      <c r="G3826" s="110" t="s">
        <v>3743</v>
      </c>
      <c r="H3826" s="93" t="e">
        <v>#N/A</v>
      </c>
      <c r="I3826" s="99">
        <v>46076</v>
      </c>
      <c r="J3826" s="83" t="s">
        <v>189</v>
      </c>
      <c r="K3826" s="110"/>
      <c r="L3826" s="110"/>
      <c r="M3826" s="110"/>
      <c r="N3826" s="110"/>
      <c r="O3826" s="110"/>
    </row>
    <row r="3827" spans="1:15" s="108" customFormat="1" ht="16.8" hidden="1">
      <c r="A3827" s="108" t="str">
        <f t="shared" si="146"/>
        <v>VNLG.comMonitorgaming monitormàn hình chơi game</v>
      </c>
      <c r="B3827" s="109" t="str">
        <f t="shared" si="147"/>
        <v>VN_LG.com</v>
      </c>
      <c r="C3827" s="110" t="s">
        <v>245</v>
      </c>
      <c r="D3827" s="110" t="s">
        <v>321</v>
      </c>
      <c r="E3827" s="110" t="s">
        <v>2320</v>
      </c>
      <c r="F3827" s="110" t="s">
        <v>2602</v>
      </c>
      <c r="G3827" s="110" t="s">
        <v>3744</v>
      </c>
      <c r="H3827" s="93" t="e">
        <v>#N/A</v>
      </c>
      <c r="I3827" s="99">
        <v>46076</v>
      </c>
      <c r="J3827" s="83" t="s">
        <v>189</v>
      </c>
      <c r="K3827" s="110"/>
      <c r="L3827" s="110"/>
      <c r="M3827" s="110"/>
      <c r="N3827" s="110"/>
      <c r="O3827" s="110"/>
    </row>
    <row r="3828" spans="1:15" s="108" customFormat="1" ht="14.4" hidden="1">
      <c r="A3828" s="108" t="str">
        <f t="shared" si="146"/>
        <v>VNLG.comRefrigeratorrefrigeratortủ lạnh</v>
      </c>
      <c r="B3828" s="109" t="str">
        <f t="shared" si="147"/>
        <v>VN_LG.com</v>
      </c>
      <c r="C3828" s="110" t="s">
        <v>245</v>
      </c>
      <c r="D3828" s="110" t="s">
        <v>321</v>
      </c>
      <c r="E3828" s="110" t="s">
        <v>2326</v>
      </c>
      <c r="F3828" s="110" t="s">
        <v>3547</v>
      </c>
      <c r="G3828" s="110" t="s">
        <v>3745</v>
      </c>
      <c r="H3828" s="93" t="e">
        <v>#N/A</v>
      </c>
      <c r="I3828" s="99">
        <v>46076</v>
      </c>
      <c r="J3828" s="83" t="s">
        <v>189</v>
      </c>
      <c r="K3828" s="110"/>
      <c r="L3828" s="110"/>
      <c r="M3828" s="110"/>
      <c r="N3828" s="110"/>
      <c r="O3828" s="110"/>
    </row>
    <row r="3829" spans="1:15" s="108" customFormat="1" hidden="1">
      <c r="A3829" s="108" t="str">
        <f t="shared" si="146"/>
        <v>VNLG.comTVtvTV</v>
      </c>
      <c r="B3829" s="109" t="str">
        <f t="shared" si="147"/>
        <v>VN_LG.com</v>
      </c>
      <c r="C3829" s="110" t="s">
        <v>245</v>
      </c>
      <c r="D3829" s="110" t="s">
        <v>321</v>
      </c>
      <c r="E3829" s="110" t="s">
        <v>161</v>
      </c>
      <c r="F3829" s="110" t="s">
        <v>2444</v>
      </c>
      <c r="G3829" s="110" t="s">
        <v>2448</v>
      </c>
      <c r="H3829" s="93" t="e">
        <v>#N/A</v>
      </c>
      <c r="I3829" s="99">
        <v>46076</v>
      </c>
      <c r="J3829" s="83" t="s">
        <v>189</v>
      </c>
      <c r="K3829" s="110"/>
      <c r="L3829" s="110"/>
      <c r="M3829" s="110"/>
      <c r="N3829" s="110"/>
      <c r="O3829" s="110"/>
    </row>
    <row r="3830" spans="1:15" s="108" customFormat="1" ht="14.4" hidden="1">
      <c r="A3830" s="108" t="str">
        <f t="shared" si="146"/>
        <v>VNLG.comWashing Machinewasher dryermáy giặt máy sấy</v>
      </c>
      <c r="B3830" s="109" t="str">
        <f t="shared" si="147"/>
        <v>VN_LG.com</v>
      </c>
      <c r="C3830" s="110" t="s">
        <v>245</v>
      </c>
      <c r="D3830" s="110" t="s">
        <v>321</v>
      </c>
      <c r="E3830" s="110" t="s">
        <v>2333</v>
      </c>
      <c r="F3830" s="110" t="s">
        <v>3476</v>
      </c>
      <c r="G3830" s="110" t="s">
        <v>3746</v>
      </c>
      <c r="H3830" s="93" t="e">
        <v>#N/A</v>
      </c>
      <c r="I3830" s="99">
        <v>46076</v>
      </c>
      <c r="J3830" s="83" t="s">
        <v>189</v>
      </c>
      <c r="K3830" s="110"/>
      <c r="L3830" s="110"/>
      <c r="M3830" s="110"/>
      <c r="N3830" s="110"/>
      <c r="O3830" s="110"/>
    </row>
    <row r="3831" spans="1:15" s="108" customFormat="1" ht="14.4" hidden="1">
      <c r="A3831" s="108" t="str">
        <f t="shared" si="146"/>
        <v>VNLG.comWashing Machinewashing machinemáy giặt</v>
      </c>
      <c r="B3831" s="109" t="str">
        <f t="shared" si="147"/>
        <v>VN_LG.com</v>
      </c>
      <c r="C3831" s="110" t="s">
        <v>245</v>
      </c>
      <c r="D3831" s="110" t="s">
        <v>321</v>
      </c>
      <c r="E3831" s="110" t="s">
        <v>2333</v>
      </c>
      <c r="F3831" s="110" t="s">
        <v>2340</v>
      </c>
      <c r="G3831" s="110" t="s">
        <v>3747</v>
      </c>
      <c r="H3831" s="93" t="e">
        <v>#N/A</v>
      </c>
      <c r="I3831" s="99">
        <v>46076</v>
      </c>
      <c r="J3831" s="83" t="s">
        <v>189</v>
      </c>
      <c r="K3831" s="110"/>
      <c r="L3831" s="110"/>
      <c r="M3831" s="110"/>
      <c r="N3831" s="110"/>
      <c r="O3831" s="110"/>
    </row>
    <row r="3832" spans="1:15" s="111" customFormat="1" hidden="1">
      <c r="A3832" s="111" t="s">
        <v>3750</v>
      </c>
      <c r="B3832" s="112" t="s">
        <v>3751</v>
      </c>
      <c r="C3832" s="113" t="s">
        <v>237</v>
      </c>
      <c r="D3832" s="113" t="s">
        <v>567</v>
      </c>
      <c r="E3832" s="113" t="s">
        <v>2307</v>
      </c>
      <c r="F3832" s="113" t="s">
        <v>2470</v>
      </c>
      <c r="G3832" s="113" t="s">
        <v>3702</v>
      </c>
      <c r="H3832" s="93" t="e">
        <v>#N/A</v>
      </c>
      <c r="I3832" s="99">
        <v>46076</v>
      </c>
      <c r="J3832" s="83" t="s">
        <v>189</v>
      </c>
      <c r="K3832" s="113"/>
      <c r="L3832" s="113"/>
      <c r="M3832" s="113"/>
      <c r="N3832" s="113"/>
      <c r="O3832" s="113"/>
    </row>
    <row r="3833" spans="1:15" s="111" customFormat="1" hidden="1">
      <c r="A3833" s="111" t="s">
        <v>3750</v>
      </c>
      <c r="B3833" s="112" t="s">
        <v>3751</v>
      </c>
      <c r="C3833" s="113" t="s">
        <v>237</v>
      </c>
      <c r="D3833" s="113" t="s">
        <v>567</v>
      </c>
      <c r="E3833" s="113" t="s">
        <v>165</v>
      </c>
      <c r="F3833" s="113" t="s">
        <v>2359</v>
      </c>
      <c r="G3833" s="113" t="s">
        <v>3731</v>
      </c>
      <c r="H3833" s="93" t="e">
        <v>#N/A</v>
      </c>
      <c r="I3833" s="99">
        <v>46076</v>
      </c>
      <c r="J3833" s="83" t="s">
        <v>189</v>
      </c>
      <c r="K3833" s="113"/>
      <c r="L3833" s="113"/>
      <c r="M3833" s="113"/>
      <c r="N3833" s="113"/>
      <c r="O3833" s="113"/>
    </row>
    <row r="3834" spans="1:15" s="111" customFormat="1" hidden="1">
      <c r="A3834" s="111" t="s">
        <v>3750</v>
      </c>
      <c r="B3834" s="112" t="s">
        <v>3751</v>
      </c>
      <c r="C3834" s="113" t="s">
        <v>237</v>
      </c>
      <c r="D3834" s="113" t="s">
        <v>567</v>
      </c>
      <c r="E3834" s="113" t="s">
        <v>165</v>
      </c>
      <c r="F3834" s="113" t="s">
        <v>2555</v>
      </c>
      <c r="G3834" s="113" t="s">
        <v>3708</v>
      </c>
      <c r="H3834" s="93" t="e">
        <v>#N/A</v>
      </c>
      <c r="I3834" s="99">
        <v>46076</v>
      </c>
      <c r="J3834" s="83" t="s">
        <v>189</v>
      </c>
      <c r="K3834" s="113"/>
      <c r="L3834" s="113"/>
      <c r="M3834" s="113"/>
      <c r="N3834" s="113"/>
      <c r="O3834" s="113"/>
    </row>
    <row r="3835" spans="1:15" s="111" customFormat="1" hidden="1">
      <c r="A3835" s="111" t="s">
        <v>3750</v>
      </c>
      <c r="B3835" s="112" t="s">
        <v>3751</v>
      </c>
      <c r="C3835" s="113" t="s">
        <v>237</v>
      </c>
      <c r="D3835" s="113" t="s">
        <v>567</v>
      </c>
      <c r="E3835" s="113" t="s">
        <v>165</v>
      </c>
      <c r="F3835" s="113" t="s">
        <v>3732</v>
      </c>
      <c r="G3835" s="113" t="s">
        <v>3733</v>
      </c>
      <c r="H3835" s="93" t="e">
        <v>#N/A</v>
      </c>
      <c r="I3835" s="99">
        <v>46076</v>
      </c>
      <c r="J3835" s="83" t="s">
        <v>189</v>
      </c>
      <c r="K3835" s="113"/>
      <c r="L3835" s="113"/>
      <c r="M3835" s="113"/>
      <c r="N3835" s="113"/>
      <c r="O3835" s="113"/>
    </row>
    <row r="3836" spans="1:15" s="111" customFormat="1" hidden="1">
      <c r="A3836" s="111" t="s">
        <v>3750</v>
      </c>
      <c r="B3836" s="112" t="s">
        <v>3751</v>
      </c>
      <c r="C3836" s="113" t="s">
        <v>237</v>
      </c>
      <c r="D3836" s="113" t="s">
        <v>567</v>
      </c>
      <c r="E3836" s="113" t="s">
        <v>165</v>
      </c>
      <c r="F3836" s="113" t="s">
        <v>2471</v>
      </c>
      <c r="G3836" s="113" t="s">
        <v>3711</v>
      </c>
      <c r="H3836" s="93" t="e">
        <v>#N/A</v>
      </c>
      <c r="I3836" s="99">
        <v>46076</v>
      </c>
      <c r="J3836" s="83" t="s">
        <v>189</v>
      </c>
      <c r="K3836" s="113"/>
      <c r="L3836" s="113"/>
      <c r="M3836" s="113"/>
      <c r="N3836" s="113"/>
      <c r="O3836" s="113"/>
    </row>
    <row r="3837" spans="1:15" s="111" customFormat="1" hidden="1">
      <c r="A3837" s="111" t="s">
        <v>3750</v>
      </c>
      <c r="B3837" s="112" t="s">
        <v>3751</v>
      </c>
      <c r="C3837" s="113" t="s">
        <v>237</v>
      </c>
      <c r="D3837" s="113" t="s">
        <v>567</v>
      </c>
      <c r="E3837" s="113" t="s">
        <v>165</v>
      </c>
      <c r="F3837" s="113" t="s">
        <v>2363</v>
      </c>
      <c r="G3837" s="113" t="s">
        <v>3712</v>
      </c>
      <c r="H3837" s="93" t="e">
        <v>#N/A</v>
      </c>
      <c r="I3837" s="99">
        <v>46076</v>
      </c>
      <c r="J3837" s="83" t="s">
        <v>189</v>
      </c>
      <c r="K3837" s="113"/>
      <c r="L3837" s="113"/>
      <c r="M3837" s="113"/>
      <c r="N3837" s="113"/>
      <c r="O3837" s="113"/>
    </row>
    <row r="3838" spans="1:15" s="111" customFormat="1" hidden="1">
      <c r="A3838" s="111" t="s">
        <v>3750</v>
      </c>
      <c r="B3838" s="112" t="s">
        <v>3751</v>
      </c>
      <c r="C3838" s="113" t="s">
        <v>237</v>
      </c>
      <c r="D3838" s="113" t="s">
        <v>567</v>
      </c>
      <c r="E3838" s="113" t="s">
        <v>2201</v>
      </c>
      <c r="F3838" s="113" t="s">
        <v>3721</v>
      </c>
      <c r="G3838" s="113" t="s">
        <v>3722</v>
      </c>
      <c r="H3838" s="93" t="e">
        <v>#N/A</v>
      </c>
      <c r="I3838" s="99">
        <v>46076</v>
      </c>
      <c r="J3838" s="83" t="s">
        <v>189</v>
      </c>
      <c r="K3838" s="113"/>
      <c r="L3838" s="113"/>
      <c r="M3838" s="113"/>
      <c r="N3838" s="113"/>
      <c r="O3838" s="113"/>
    </row>
    <row r="3839" spans="1:15" s="111" customFormat="1" hidden="1">
      <c r="A3839" s="111" t="s">
        <v>3750</v>
      </c>
      <c r="B3839" s="112" t="s">
        <v>3751</v>
      </c>
      <c r="C3839" s="113" t="s">
        <v>237</v>
      </c>
      <c r="D3839" s="113" t="s">
        <v>567</v>
      </c>
      <c r="E3839" s="113" t="s">
        <v>2201</v>
      </c>
      <c r="F3839" s="113" t="s">
        <v>2380</v>
      </c>
      <c r="G3839" s="113" t="s">
        <v>3722</v>
      </c>
      <c r="H3839" s="93" t="e">
        <v>#N/A</v>
      </c>
      <c r="I3839" s="99">
        <v>46076</v>
      </c>
      <c r="J3839" s="83" t="s">
        <v>189</v>
      </c>
      <c r="K3839" s="113"/>
      <c r="L3839" s="113"/>
      <c r="M3839" s="113"/>
      <c r="N3839" s="113"/>
      <c r="O3839" s="113"/>
    </row>
    <row r="3840" spans="1:15" s="111" customFormat="1" hidden="1">
      <c r="A3840" s="111" t="s">
        <v>3750</v>
      </c>
      <c r="B3840" s="112" t="s">
        <v>3751</v>
      </c>
      <c r="C3840" s="113" t="s">
        <v>237</v>
      </c>
      <c r="D3840" s="113" t="s">
        <v>567</v>
      </c>
      <c r="E3840" s="113" t="s">
        <v>2201</v>
      </c>
      <c r="F3840" s="113" t="s">
        <v>2382</v>
      </c>
      <c r="G3840" s="113" t="s">
        <v>3723</v>
      </c>
      <c r="H3840" s="93" t="e">
        <v>#N/A</v>
      </c>
      <c r="I3840" s="99">
        <v>46076</v>
      </c>
      <c r="J3840" s="83" t="s">
        <v>189</v>
      </c>
      <c r="K3840" s="113"/>
      <c r="L3840" s="113"/>
      <c r="M3840" s="113"/>
      <c r="N3840" s="113"/>
      <c r="O3840" s="113"/>
    </row>
    <row r="3841" spans="1:15" s="111" customFormat="1" hidden="1">
      <c r="A3841" s="111" t="s">
        <v>3750</v>
      </c>
      <c r="B3841" s="112" t="s">
        <v>3751</v>
      </c>
      <c r="C3841" s="113" t="s">
        <v>237</v>
      </c>
      <c r="D3841" s="113" t="s">
        <v>567</v>
      </c>
      <c r="E3841" s="113" t="s">
        <v>2201</v>
      </c>
      <c r="F3841" s="113" t="s">
        <v>3724</v>
      </c>
      <c r="G3841" s="113" t="s">
        <v>3723</v>
      </c>
      <c r="H3841" s="93" t="e">
        <v>#N/A</v>
      </c>
      <c r="I3841" s="99">
        <v>46076</v>
      </c>
      <c r="J3841" s="83" t="s">
        <v>189</v>
      </c>
      <c r="K3841" s="113"/>
      <c r="L3841" s="113"/>
      <c r="M3841" s="113"/>
      <c r="N3841" s="113"/>
      <c r="O3841" s="113"/>
    </row>
    <row r="3842" spans="1:15" s="111" customFormat="1" hidden="1">
      <c r="A3842" s="111" t="s">
        <v>3750</v>
      </c>
      <c r="B3842" s="112" t="s">
        <v>3751</v>
      </c>
      <c r="C3842" s="113" t="s">
        <v>237</v>
      </c>
      <c r="D3842" s="113" t="s">
        <v>567</v>
      </c>
      <c r="E3842" s="113" t="s">
        <v>2201</v>
      </c>
      <c r="F3842" s="113" t="s">
        <v>2378</v>
      </c>
      <c r="G3842" s="113" t="s">
        <v>3725</v>
      </c>
      <c r="H3842" s="93" t="e">
        <v>#N/A</v>
      </c>
      <c r="I3842" s="99">
        <v>46076</v>
      </c>
      <c r="J3842" s="83" t="s">
        <v>189</v>
      </c>
      <c r="K3842" s="113"/>
      <c r="L3842" s="113"/>
      <c r="M3842" s="113"/>
      <c r="N3842" s="113"/>
      <c r="O3842" s="113"/>
    </row>
    <row r="3843" spans="1:15" s="111" customFormat="1" hidden="1">
      <c r="A3843" s="111" t="s">
        <v>3750</v>
      </c>
      <c r="B3843" s="112" t="s">
        <v>3751</v>
      </c>
      <c r="C3843" s="113" t="s">
        <v>237</v>
      </c>
      <c r="D3843" s="113" t="s">
        <v>567</v>
      </c>
      <c r="E3843" s="113" t="s">
        <v>2201</v>
      </c>
      <c r="F3843" s="113" t="s">
        <v>3726</v>
      </c>
      <c r="G3843" s="113" t="s">
        <v>3725</v>
      </c>
      <c r="H3843" s="93" t="e">
        <v>#N/A</v>
      </c>
      <c r="I3843" s="99">
        <v>46076</v>
      </c>
      <c r="J3843" s="83" t="s">
        <v>189</v>
      </c>
      <c r="K3843" s="113"/>
      <c r="L3843" s="113"/>
      <c r="M3843" s="113"/>
      <c r="N3843" s="113"/>
      <c r="O3843" s="113"/>
    </row>
    <row r="3844" spans="1:15" s="111" customFormat="1" hidden="1">
      <c r="A3844" s="111" t="s">
        <v>3750</v>
      </c>
      <c r="B3844" s="112" t="s">
        <v>3751</v>
      </c>
      <c r="C3844" s="113" t="s">
        <v>237</v>
      </c>
      <c r="D3844" s="113" t="s">
        <v>567</v>
      </c>
      <c r="E3844" s="113" t="s">
        <v>2201</v>
      </c>
      <c r="F3844" s="113" t="s">
        <v>2376</v>
      </c>
      <c r="G3844" s="113" t="s">
        <v>3727</v>
      </c>
      <c r="H3844" s="93" t="e">
        <v>#N/A</v>
      </c>
      <c r="I3844" s="99">
        <v>46076</v>
      </c>
      <c r="J3844" s="83" t="s">
        <v>189</v>
      </c>
      <c r="K3844" s="113"/>
      <c r="L3844" s="113"/>
      <c r="M3844" s="113"/>
      <c r="N3844" s="113"/>
      <c r="O3844" s="113"/>
    </row>
    <row r="3845" spans="1:15" s="111" customFormat="1" hidden="1">
      <c r="A3845" s="111" t="s">
        <v>3750</v>
      </c>
      <c r="B3845" s="112" t="s">
        <v>3751</v>
      </c>
      <c r="C3845" s="113" t="s">
        <v>237</v>
      </c>
      <c r="D3845" s="113" t="s">
        <v>567</v>
      </c>
      <c r="E3845" s="113" t="s">
        <v>2201</v>
      </c>
      <c r="F3845" s="113" t="s">
        <v>3728</v>
      </c>
      <c r="G3845" s="113" t="s">
        <v>3727</v>
      </c>
      <c r="H3845" s="93" t="e">
        <v>#N/A</v>
      </c>
      <c r="I3845" s="99">
        <v>46076</v>
      </c>
      <c r="J3845" s="83" t="s">
        <v>189</v>
      </c>
      <c r="K3845" s="113"/>
      <c r="L3845" s="113"/>
      <c r="M3845" s="113"/>
      <c r="N3845" s="113"/>
      <c r="O3845" s="113"/>
    </row>
    <row r="3846" spans="1:15" s="111" customFormat="1" hidden="1">
      <c r="A3846" s="111" t="s">
        <v>3750</v>
      </c>
      <c r="B3846" s="112" t="s">
        <v>3751</v>
      </c>
      <c r="C3846" s="113" t="s">
        <v>237</v>
      </c>
      <c r="D3846" s="113" t="s">
        <v>567</v>
      </c>
      <c r="E3846" s="113" t="s">
        <v>2201</v>
      </c>
      <c r="F3846" s="113" t="s">
        <v>2374</v>
      </c>
      <c r="G3846" s="113" t="s">
        <v>3729</v>
      </c>
      <c r="H3846" s="93" t="e">
        <v>#N/A</v>
      </c>
      <c r="I3846" s="99">
        <v>46076</v>
      </c>
      <c r="J3846" s="83" t="s">
        <v>189</v>
      </c>
      <c r="K3846" s="113"/>
      <c r="L3846" s="113"/>
      <c r="M3846" s="113"/>
      <c r="N3846" s="113"/>
      <c r="O3846" s="113"/>
    </row>
    <row r="3847" spans="1:15" s="111" customFormat="1" hidden="1">
      <c r="A3847" s="111" t="s">
        <v>3750</v>
      </c>
      <c r="B3847" s="112" t="s">
        <v>3751</v>
      </c>
      <c r="C3847" s="113" t="s">
        <v>237</v>
      </c>
      <c r="D3847" s="113" t="s">
        <v>567</v>
      </c>
      <c r="E3847" s="113" t="s">
        <v>2201</v>
      </c>
      <c r="F3847" s="113" t="s">
        <v>3730</v>
      </c>
      <c r="G3847" s="113" t="s">
        <v>3729</v>
      </c>
      <c r="H3847" s="93" t="e">
        <v>#N/A</v>
      </c>
      <c r="I3847" s="99">
        <v>46076</v>
      </c>
      <c r="J3847" s="83" t="s">
        <v>189</v>
      </c>
      <c r="K3847" s="113"/>
      <c r="L3847" s="113"/>
      <c r="M3847" s="113"/>
      <c r="N3847" s="113"/>
      <c r="O3847" s="113"/>
    </row>
    <row r="3848" spans="1:15" s="111" customFormat="1" hidden="1">
      <c r="A3848" s="111" t="s">
        <v>3750</v>
      </c>
      <c r="B3848" s="112" t="s">
        <v>3751</v>
      </c>
      <c r="C3848" s="113" t="s">
        <v>237</v>
      </c>
      <c r="D3848" s="113" t="s">
        <v>567</v>
      </c>
      <c r="E3848" s="113" t="s">
        <v>2431</v>
      </c>
      <c r="F3848" s="113" t="s">
        <v>2431</v>
      </c>
      <c r="G3848" s="113" t="s">
        <v>3703</v>
      </c>
      <c r="H3848" s="93" t="e">
        <v>#N/A</v>
      </c>
      <c r="I3848" s="99">
        <v>46076</v>
      </c>
      <c r="J3848" s="83" t="s">
        <v>189</v>
      </c>
      <c r="K3848" s="113"/>
      <c r="L3848" s="113"/>
      <c r="M3848" s="113"/>
      <c r="N3848" s="113"/>
      <c r="O3848" s="113"/>
    </row>
    <row r="3849" spans="1:15" hidden="1">
      <c r="A3849" s="75" t="str">
        <f t="shared" ref="A3849:A3912" si="148">C3849&amp;D3849&amp;E3849&amp;F3849&amp;G3849</f>
        <v>BRAMERICANASTV4k TV4k TV</v>
      </c>
      <c r="B3849" s="94" t="str">
        <f t="shared" ref="B3849:B3912" si="149">C3849&amp;"_"&amp;D3849</f>
        <v>BR_AMERICANAS</v>
      </c>
      <c r="C3849" s="93" t="s">
        <v>311</v>
      </c>
      <c r="D3849" s="93" t="s">
        <v>822</v>
      </c>
      <c r="E3849" s="93" t="s">
        <v>161</v>
      </c>
      <c r="F3849" s="93" t="s">
        <v>2368</v>
      </c>
      <c r="G3849" s="93" t="s">
        <v>2368</v>
      </c>
      <c r="H3849" s="93" t="e">
        <v>#N/A</v>
      </c>
      <c r="I3849" s="105" t="s">
        <v>3752</v>
      </c>
      <c r="J3849" s="93" t="s">
        <v>189</v>
      </c>
      <c r="K3849" s="93"/>
      <c r="L3849" s="93"/>
      <c r="M3849" s="93" t="s">
        <v>2311</v>
      </c>
      <c r="N3849" s="93">
        <f>VLOOKUP(B3849,'[16]01.수집 카테고리(List)'!$A$2:$H$64,8,FALSE)</f>
        <v>99991231</v>
      </c>
      <c r="O3849" s="93" t="s">
        <v>646</v>
      </c>
    </row>
    <row r="3850" spans="1:15" hidden="1">
      <c r="A3850" s="75" t="str">
        <f t="shared" si="148"/>
        <v>BRAMERICANASBluetooth Speakerspeakersalto-falante</v>
      </c>
      <c r="B3850" s="94" t="str">
        <f t="shared" si="149"/>
        <v>BR_AMERICANAS</v>
      </c>
      <c r="C3850" s="93" t="s">
        <v>311</v>
      </c>
      <c r="D3850" s="93" t="s">
        <v>822</v>
      </c>
      <c r="E3850" s="93" t="s">
        <v>2307</v>
      </c>
      <c r="F3850" s="93" t="s">
        <v>2471</v>
      </c>
      <c r="G3850" s="93" t="s">
        <v>2472</v>
      </c>
      <c r="H3850" s="93" t="e">
        <v>#N/A</v>
      </c>
      <c r="I3850" s="105" t="s">
        <v>3752</v>
      </c>
      <c r="J3850" s="93" t="s">
        <v>189</v>
      </c>
      <c r="K3850" s="93"/>
      <c r="L3850" s="93"/>
      <c r="M3850" s="93" t="s">
        <v>2311</v>
      </c>
      <c r="N3850" s="93">
        <f>VLOOKUP(B3850,'[16]01.수집 카테고리(List)'!$A$2:$H$64,8,FALSE)</f>
        <v>99991231</v>
      </c>
      <c r="O3850" s="93" t="s">
        <v>646</v>
      </c>
    </row>
    <row r="3851" spans="1:15" hidden="1">
      <c r="A3851" s="75" t="str">
        <f t="shared" si="148"/>
        <v>BRAMERICANASBluetooth Speakerportable speakersalto-falantes portáteis</v>
      </c>
      <c r="B3851" s="94" t="str">
        <f t="shared" si="149"/>
        <v>BR_AMERICANAS</v>
      </c>
      <c r="C3851" s="93" t="s">
        <v>311</v>
      </c>
      <c r="D3851" s="93" t="s">
        <v>822</v>
      </c>
      <c r="E3851" s="93" t="s">
        <v>2307</v>
      </c>
      <c r="F3851" s="93" t="s">
        <v>2473</v>
      </c>
      <c r="G3851" s="93" t="s">
        <v>2474</v>
      </c>
      <c r="H3851" s="93" t="e">
        <v>#N/A</v>
      </c>
      <c r="I3851" s="105" t="s">
        <v>3752</v>
      </c>
      <c r="J3851" s="93" t="s">
        <v>189</v>
      </c>
      <c r="K3851" s="93"/>
      <c r="L3851" s="93"/>
      <c r="M3851" s="93" t="s">
        <v>2311</v>
      </c>
      <c r="N3851" s="93">
        <f>VLOOKUP(B3851,'[16]01.수집 카테고리(List)'!$A$2:$H$64,8,FALSE)</f>
        <v>99991231</v>
      </c>
      <c r="O3851" s="93" t="s">
        <v>646</v>
      </c>
    </row>
    <row r="3852" spans="1:15" hidden="1">
      <c r="A3852" s="75" t="str">
        <f t="shared" si="148"/>
        <v>BRAMERICANASBluetooth Speakerwireless portable speakersalto-falantes portáteis sem fio</v>
      </c>
      <c r="B3852" s="94" t="str">
        <f t="shared" si="149"/>
        <v>BR_AMERICANAS</v>
      </c>
      <c r="C3852" s="93" t="s">
        <v>311</v>
      </c>
      <c r="D3852" s="93" t="s">
        <v>822</v>
      </c>
      <c r="E3852" s="93" t="s">
        <v>2307</v>
      </c>
      <c r="F3852" s="93" t="s">
        <v>2475</v>
      </c>
      <c r="G3852" s="93" t="s">
        <v>2476</v>
      </c>
      <c r="H3852" s="93" t="e">
        <v>#N/A</v>
      </c>
      <c r="I3852" s="105" t="s">
        <v>3752</v>
      </c>
      <c r="J3852" s="93" t="s">
        <v>189</v>
      </c>
      <c r="K3852" s="93"/>
      <c r="L3852" s="93"/>
      <c r="M3852" s="93" t="s">
        <v>2311</v>
      </c>
      <c r="N3852" s="93">
        <f>VLOOKUP(B3852,'[16]01.수집 카테고리(List)'!$A$2:$H$64,8,FALSE)</f>
        <v>99991231</v>
      </c>
      <c r="O3852" s="93" t="s">
        <v>646</v>
      </c>
    </row>
    <row r="3853" spans="1:15" hidden="1">
      <c r="A3853" s="75" t="str">
        <f t="shared" si="148"/>
        <v>BRAMERICANASAir Conditionerair conditionerar condicionado</v>
      </c>
      <c r="B3853" s="94" t="str">
        <f t="shared" si="149"/>
        <v>BR_AMERICANAS</v>
      </c>
      <c r="C3853" s="93" t="s">
        <v>311</v>
      </c>
      <c r="D3853" s="93" t="s">
        <v>822</v>
      </c>
      <c r="E3853" s="93" t="s">
        <v>2346</v>
      </c>
      <c r="F3853" s="93" t="s">
        <v>2347</v>
      </c>
      <c r="G3853" s="93" t="s">
        <v>2493</v>
      </c>
      <c r="H3853" s="93" t="e">
        <v>#N/A</v>
      </c>
      <c r="I3853" s="105" t="s">
        <v>3752</v>
      </c>
      <c r="J3853" s="93" t="s">
        <v>189</v>
      </c>
      <c r="K3853" s="93"/>
      <c r="L3853" s="93"/>
      <c r="M3853" s="93" t="s">
        <v>2311</v>
      </c>
      <c r="N3853" s="93">
        <f>VLOOKUP(B3853,'[16]01.수집 카테고리(List)'!$A$2:$H$64,8,FALSE)</f>
        <v>99991231</v>
      </c>
      <c r="O3853" s="93" t="s">
        <v>646</v>
      </c>
    </row>
    <row r="3854" spans="1:15" hidden="1">
      <c r="A3854" s="75" t="str">
        <f t="shared" si="148"/>
        <v>BRAMERICANASAir Conditionerinverter air conditionerar condicionado inverter</v>
      </c>
      <c r="B3854" s="94" t="str">
        <f t="shared" si="149"/>
        <v>BR_AMERICANAS</v>
      </c>
      <c r="C3854" s="93" t="s">
        <v>311</v>
      </c>
      <c r="D3854" s="93" t="s">
        <v>822</v>
      </c>
      <c r="E3854" s="93" t="s">
        <v>2346</v>
      </c>
      <c r="F3854" s="93" t="s">
        <v>2348</v>
      </c>
      <c r="G3854" s="93" t="s">
        <v>2494</v>
      </c>
      <c r="H3854" s="93" t="e">
        <v>#N/A</v>
      </c>
      <c r="I3854" s="105" t="s">
        <v>3752</v>
      </c>
      <c r="J3854" s="93" t="s">
        <v>189</v>
      </c>
      <c r="K3854" s="93"/>
      <c r="L3854" s="93"/>
      <c r="M3854" s="93" t="s">
        <v>2311</v>
      </c>
      <c r="N3854" s="93">
        <f>VLOOKUP(B3854,'[16]01.수집 카테고리(List)'!$A$2:$H$64,8,FALSE)</f>
        <v>99991231</v>
      </c>
      <c r="O3854" s="93" t="s">
        <v>646</v>
      </c>
    </row>
    <row r="3855" spans="1:15" hidden="1">
      <c r="A3855" s="75" t="str">
        <f t="shared" si="148"/>
        <v>BRAMERICANASBluetooth Speakerbluetooth speakerCaixa Bluetooth</v>
      </c>
      <c r="B3855" s="94" t="str">
        <f t="shared" si="149"/>
        <v>BR_AMERICANAS</v>
      </c>
      <c r="C3855" s="93" t="s">
        <v>311</v>
      </c>
      <c r="D3855" s="93" t="s">
        <v>822</v>
      </c>
      <c r="E3855" s="93" t="s">
        <v>2307</v>
      </c>
      <c r="F3855" s="93" t="s">
        <v>2657</v>
      </c>
      <c r="G3855" s="93" t="s">
        <v>2496</v>
      </c>
      <c r="H3855" s="93" t="e">
        <v>#N/A</v>
      </c>
      <c r="I3855" s="105" t="s">
        <v>3752</v>
      </c>
      <c r="J3855" s="93" t="s">
        <v>189</v>
      </c>
      <c r="K3855" s="93"/>
      <c r="L3855" s="93"/>
      <c r="M3855" s="93" t="s">
        <v>2311</v>
      </c>
      <c r="N3855" s="93">
        <f>VLOOKUP(B3855,'[16]01.수집 카테고리(List)'!$A$2:$H$64,8,FALSE)</f>
        <v>99991231</v>
      </c>
      <c r="O3855" s="93" t="s">
        <v>646</v>
      </c>
    </row>
    <row r="3856" spans="1:15" hidden="1">
      <c r="A3856" s="75" t="str">
        <f t="shared" si="148"/>
        <v>BRAMERICANASBluetooth Speakerbluetooth speaker portableCaixa Bluetooth Portátil</v>
      </c>
      <c r="B3856" s="94" t="str">
        <f t="shared" si="149"/>
        <v>BR_AMERICANAS</v>
      </c>
      <c r="C3856" s="93" t="s">
        <v>311</v>
      </c>
      <c r="D3856" s="93" t="s">
        <v>822</v>
      </c>
      <c r="E3856" s="93" t="s">
        <v>2307</v>
      </c>
      <c r="F3856" s="93" t="s">
        <v>2479</v>
      </c>
      <c r="G3856" s="93" t="s">
        <v>2480</v>
      </c>
      <c r="H3856" s="93" t="e">
        <v>#N/A</v>
      </c>
      <c r="I3856" s="105" t="s">
        <v>3752</v>
      </c>
      <c r="J3856" s="93" t="s">
        <v>189</v>
      </c>
      <c r="K3856" s="93"/>
      <c r="L3856" s="93"/>
      <c r="M3856" s="93" t="s">
        <v>2311</v>
      </c>
      <c r="N3856" s="93">
        <f>VLOOKUP(B3856,'[16]01.수집 카테고리(List)'!$A$2:$H$64,8,FALSE)</f>
        <v>99991231</v>
      </c>
      <c r="O3856" s="93" t="s">
        <v>646</v>
      </c>
    </row>
    <row r="3857" spans="1:15" hidden="1">
      <c r="A3857" s="75" t="str">
        <f t="shared" si="148"/>
        <v>BRAMERICANASRefrigeratorrefrigeratorgeladeira</v>
      </c>
      <c r="B3857" s="94" t="str">
        <f t="shared" si="149"/>
        <v>BR_AMERICANAS</v>
      </c>
      <c r="C3857" s="93" t="s">
        <v>311</v>
      </c>
      <c r="D3857" s="93" t="s">
        <v>822</v>
      </c>
      <c r="E3857" s="93" t="s">
        <v>2326</v>
      </c>
      <c r="F3857" s="93" t="s">
        <v>2329</v>
      </c>
      <c r="G3857" s="93" t="s">
        <v>2467</v>
      </c>
      <c r="H3857" s="93" t="e">
        <v>#N/A</v>
      </c>
      <c r="I3857" s="105" t="s">
        <v>3752</v>
      </c>
      <c r="J3857" s="93" t="s">
        <v>189</v>
      </c>
      <c r="K3857" s="93"/>
      <c r="L3857" s="93"/>
      <c r="M3857" s="93" t="s">
        <v>2311</v>
      </c>
      <c r="N3857" s="93">
        <f>VLOOKUP(B3857,'[16]01.수집 카테고리(List)'!$A$2:$H$64,8,FALSE)</f>
        <v>99991231</v>
      </c>
      <c r="O3857" s="93" t="s">
        <v>646</v>
      </c>
    </row>
    <row r="3858" spans="1:15" hidden="1">
      <c r="A3858" s="75" t="str">
        <f t="shared" si="148"/>
        <v>BRAMERICANASRefrigeratorbottom freezer refrigeratorgeladeira bottom freezer</v>
      </c>
      <c r="B3858" s="94" t="str">
        <f t="shared" si="149"/>
        <v>BR_AMERICANAS</v>
      </c>
      <c r="C3858" s="93" t="s">
        <v>311</v>
      </c>
      <c r="D3858" s="93" t="s">
        <v>822</v>
      </c>
      <c r="E3858" s="93" t="s">
        <v>2326</v>
      </c>
      <c r="F3858" s="93" t="s">
        <v>3753</v>
      </c>
      <c r="G3858" s="93" t="s">
        <v>3754</v>
      </c>
      <c r="H3858" s="93" t="e">
        <v>#N/A</v>
      </c>
      <c r="I3858" s="105" t="s">
        <v>3752</v>
      </c>
      <c r="J3858" s="93" t="s">
        <v>189</v>
      </c>
      <c r="K3858" s="93"/>
      <c r="L3858" s="93"/>
      <c r="M3858" s="93" t="s">
        <v>2311</v>
      </c>
      <c r="N3858" s="93">
        <f>VLOOKUP(B3858,'[16]01.수집 카테고리(List)'!$A$2:$H$64,8,FALSE)</f>
        <v>99991231</v>
      </c>
      <c r="O3858" s="93" t="s">
        <v>646</v>
      </c>
    </row>
    <row r="3859" spans="1:15" hidden="1">
      <c r="A3859" s="75" t="str">
        <f t="shared" si="148"/>
        <v>BRAMERICANASRefrigeratorfrench door refrigeratorgeladeira french door</v>
      </c>
      <c r="B3859" s="94" t="str">
        <f t="shared" si="149"/>
        <v>BR_AMERICANAS</v>
      </c>
      <c r="C3859" s="93" t="s">
        <v>311</v>
      </c>
      <c r="D3859" s="93" t="s">
        <v>822</v>
      </c>
      <c r="E3859" s="93" t="s">
        <v>2326</v>
      </c>
      <c r="F3859" s="93" t="s">
        <v>2328</v>
      </c>
      <c r="G3859" s="93" t="s">
        <v>2500</v>
      </c>
      <c r="H3859" s="93" t="e">
        <v>#N/A</v>
      </c>
      <c r="I3859" s="105" t="s">
        <v>3752</v>
      </c>
      <c r="J3859" s="93" t="s">
        <v>189</v>
      </c>
      <c r="K3859" s="93"/>
      <c r="L3859" s="93"/>
      <c r="M3859" s="93" t="s">
        <v>2311</v>
      </c>
      <c r="N3859" s="93">
        <f>VLOOKUP(B3859,'[16]01.수집 카테고리(List)'!$A$2:$H$64,8,FALSE)</f>
        <v>99991231</v>
      </c>
      <c r="O3859" s="93" t="s">
        <v>646</v>
      </c>
    </row>
    <row r="3860" spans="1:15" hidden="1">
      <c r="A3860" s="75" t="str">
        <f t="shared" si="148"/>
        <v>BRAMERICANASRefrigeratorside by side refrigeratorgeladeira side by side</v>
      </c>
      <c r="B3860" s="94" t="str">
        <f t="shared" si="149"/>
        <v>BR_AMERICANAS</v>
      </c>
      <c r="C3860" s="93" t="s">
        <v>311</v>
      </c>
      <c r="D3860" s="93" t="s">
        <v>822</v>
      </c>
      <c r="E3860" s="93" t="s">
        <v>2326</v>
      </c>
      <c r="F3860" s="93" t="s">
        <v>2330</v>
      </c>
      <c r="G3860" s="93" t="s">
        <v>2505</v>
      </c>
      <c r="H3860" s="93" t="e">
        <v>#N/A</v>
      </c>
      <c r="I3860" s="105" t="s">
        <v>3752</v>
      </c>
      <c r="J3860" s="93" t="s">
        <v>189</v>
      </c>
      <c r="K3860" s="93"/>
      <c r="L3860" s="93"/>
      <c r="M3860" s="93" t="s">
        <v>2311</v>
      </c>
      <c r="N3860" s="93">
        <f>VLOOKUP(B3860,'[16]01.수집 카테고리(List)'!$A$2:$H$64,8,FALSE)</f>
        <v>99991231</v>
      </c>
      <c r="O3860" s="93" t="s">
        <v>646</v>
      </c>
    </row>
    <row r="3861" spans="1:15" hidden="1">
      <c r="A3861" s="75" t="str">
        <f t="shared" si="148"/>
        <v>BRAMERICANASRefrigeratortop freezer refrigeratorgeladeira top freezer</v>
      </c>
      <c r="B3861" s="94" t="str">
        <f t="shared" si="149"/>
        <v>BR_AMERICANAS</v>
      </c>
      <c r="C3861" s="93" t="s">
        <v>311</v>
      </c>
      <c r="D3861" s="93" t="s">
        <v>822</v>
      </c>
      <c r="E3861" s="93" t="s">
        <v>2326</v>
      </c>
      <c r="F3861" s="93" t="s">
        <v>2332</v>
      </c>
      <c r="G3861" s="93" t="s">
        <v>2506</v>
      </c>
      <c r="H3861" s="93" t="e">
        <v>#N/A</v>
      </c>
      <c r="I3861" s="105" t="s">
        <v>3752</v>
      </c>
      <c r="J3861" s="93" t="s">
        <v>189</v>
      </c>
      <c r="K3861" s="93"/>
      <c r="L3861" s="93"/>
      <c r="M3861" s="93" t="s">
        <v>2311</v>
      </c>
      <c r="N3861" s="93">
        <f>VLOOKUP(B3861,'[16]01.수집 카테고리(List)'!$A$2:$H$64,8,FALSE)</f>
        <v>99991231</v>
      </c>
      <c r="O3861" s="93" t="s">
        <v>646</v>
      </c>
    </row>
    <row r="3862" spans="1:15" hidden="1">
      <c r="A3862" s="75" t="str">
        <f t="shared" si="148"/>
        <v>BRAMERICANASWashing MachineWasher dryer comboLava e seca</v>
      </c>
      <c r="B3862" s="94" t="str">
        <f t="shared" si="149"/>
        <v>BR_AMERICANAS</v>
      </c>
      <c r="C3862" s="93" t="s">
        <v>311</v>
      </c>
      <c r="D3862" s="93" t="s">
        <v>822</v>
      </c>
      <c r="E3862" s="93" t="s">
        <v>2333</v>
      </c>
      <c r="F3862" s="93" t="s">
        <v>2513</v>
      </c>
      <c r="G3862" s="93" t="s">
        <v>2514</v>
      </c>
      <c r="H3862" s="93" t="e">
        <v>#N/A</v>
      </c>
      <c r="I3862" s="105" t="s">
        <v>3752</v>
      </c>
      <c r="J3862" s="93" t="s">
        <v>189</v>
      </c>
      <c r="K3862" s="93"/>
      <c r="L3862" s="93"/>
      <c r="M3862" s="93" t="s">
        <v>2311</v>
      </c>
      <c r="N3862" s="93">
        <f>VLOOKUP(B3862,'[16]01.수집 카테고리(List)'!$A$2:$H$64,8,FALSE)</f>
        <v>99991231</v>
      </c>
      <c r="O3862" s="93" t="s">
        <v>646</v>
      </c>
    </row>
    <row r="3863" spans="1:15" hidden="1">
      <c r="A3863" s="75" t="str">
        <f t="shared" si="148"/>
        <v>BRAMERICANASWashing Machinefront loaderlavadora front load</v>
      </c>
      <c r="B3863" s="94" t="str">
        <f t="shared" si="149"/>
        <v>BR_AMERICANAS</v>
      </c>
      <c r="C3863" s="93" t="s">
        <v>311</v>
      </c>
      <c r="D3863" s="93" t="s">
        <v>822</v>
      </c>
      <c r="E3863" s="93" t="s">
        <v>2333</v>
      </c>
      <c r="F3863" s="93" t="s">
        <v>3755</v>
      </c>
      <c r="G3863" s="93" t="s">
        <v>3756</v>
      </c>
      <c r="H3863" s="93" t="e">
        <v>#N/A</v>
      </c>
      <c r="I3863" s="105" t="s">
        <v>3752</v>
      </c>
      <c r="J3863" s="93" t="s">
        <v>189</v>
      </c>
      <c r="K3863" s="93"/>
      <c r="L3863" s="93"/>
      <c r="M3863" s="93" t="s">
        <v>2311</v>
      </c>
      <c r="N3863" s="93">
        <f>VLOOKUP(B3863,'[16]01.수집 카테고리(List)'!$A$2:$H$64,8,FALSE)</f>
        <v>99991231</v>
      </c>
      <c r="O3863" s="93" t="s">
        <v>646</v>
      </c>
    </row>
    <row r="3864" spans="1:15" hidden="1">
      <c r="A3864" s="75" t="str">
        <f t="shared" si="148"/>
        <v>BRAMERICANASWashing Machinetop loaderlavadora top load</v>
      </c>
      <c r="B3864" s="94" t="str">
        <f t="shared" si="149"/>
        <v>BR_AMERICANAS</v>
      </c>
      <c r="C3864" s="93" t="s">
        <v>311</v>
      </c>
      <c r="D3864" s="93" t="s">
        <v>822</v>
      </c>
      <c r="E3864" s="93" t="s">
        <v>2333</v>
      </c>
      <c r="F3864" s="93" t="s">
        <v>3757</v>
      </c>
      <c r="G3864" s="93" t="s">
        <v>3758</v>
      </c>
      <c r="H3864" s="93" t="e">
        <v>#N/A</v>
      </c>
      <c r="I3864" s="105" t="s">
        <v>3752</v>
      </c>
      <c r="J3864" s="93" t="s">
        <v>189</v>
      </c>
      <c r="K3864" s="93"/>
      <c r="L3864" s="93"/>
      <c r="M3864" s="93" t="s">
        <v>2311</v>
      </c>
      <c r="N3864" s="93">
        <f>VLOOKUP(B3864,'[16]01.수집 카테고리(List)'!$A$2:$H$64,8,FALSE)</f>
        <v>99991231</v>
      </c>
      <c r="O3864" s="93" t="s">
        <v>646</v>
      </c>
    </row>
    <row r="3865" spans="1:15" hidden="1">
      <c r="A3865" s="75" t="str">
        <f t="shared" si="148"/>
        <v>BRAMERICANASWashing Machinewashing machineMáquina de lavar</v>
      </c>
      <c r="B3865" s="94" t="str">
        <f t="shared" si="149"/>
        <v>BR_AMERICANAS</v>
      </c>
      <c r="C3865" s="93" t="s">
        <v>311</v>
      </c>
      <c r="D3865" s="93" t="s">
        <v>822</v>
      </c>
      <c r="E3865" s="93" t="s">
        <v>2333</v>
      </c>
      <c r="F3865" s="93" t="s">
        <v>2340</v>
      </c>
      <c r="G3865" s="93" t="s">
        <v>2515</v>
      </c>
      <c r="H3865" s="93" t="e">
        <v>#N/A</v>
      </c>
      <c r="I3865" s="105" t="s">
        <v>3752</v>
      </c>
      <c r="J3865" s="93" t="s">
        <v>189</v>
      </c>
      <c r="K3865" s="93"/>
      <c r="L3865" s="93"/>
      <c r="M3865" s="93" t="s">
        <v>2311</v>
      </c>
      <c r="N3865" s="93">
        <f>VLOOKUP(B3865,'[16]01.수집 카테고리(List)'!$A$2:$H$64,8,FALSE)</f>
        <v>99991231</v>
      </c>
      <c r="O3865" s="93" t="s">
        <v>646</v>
      </c>
    </row>
    <row r="3866" spans="1:15" hidden="1">
      <c r="A3866" s="75" t="str">
        <f t="shared" si="148"/>
        <v>BRAMERICANASMonitormonitormonitor</v>
      </c>
      <c r="B3866" s="94" t="str">
        <f t="shared" si="149"/>
        <v>BR_AMERICANAS</v>
      </c>
      <c r="C3866" s="93" t="s">
        <v>311</v>
      </c>
      <c r="D3866" s="93" t="s">
        <v>822</v>
      </c>
      <c r="E3866" s="93" t="s">
        <v>2320</v>
      </c>
      <c r="F3866" s="93" t="s">
        <v>2323</v>
      </c>
      <c r="G3866" s="93" t="s">
        <v>2323</v>
      </c>
      <c r="H3866" s="93" t="e">
        <v>#N/A</v>
      </c>
      <c r="I3866" s="105" t="s">
        <v>3752</v>
      </c>
      <c r="J3866" s="93" t="s">
        <v>189</v>
      </c>
      <c r="K3866" s="93"/>
      <c r="L3866" s="93"/>
      <c r="M3866" s="93" t="s">
        <v>2311</v>
      </c>
      <c r="N3866" s="93">
        <f>VLOOKUP(B3866,'[16]01.수집 카테고리(List)'!$A$2:$H$64,8,FALSE)</f>
        <v>99991231</v>
      </c>
      <c r="O3866" s="93" t="s">
        <v>646</v>
      </c>
    </row>
    <row r="3867" spans="1:15" hidden="1">
      <c r="A3867" s="75" t="str">
        <f t="shared" si="148"/>
        <v>BRAMERICANASMonitor4k monitormonitor 4k</v>
      </c>
      <c r="B3867" s="94" t="str">
        <f t="shared" si="149"/>
        <v>BR_AMERICANAS</v>
      </c>
      <c r="C3867" s="93" t="s">
        <v>311</v>
      </c>
      <c r="D3867" s="93" t="s">
        <v>822</v>
      </c>
      <c r="E3867" s="93" t="s">
        <v>2320</v>
      </c>
      <c r="F3867" s="93" t="s">
        <v>2321</v>
      </c>
      <c r="G3867" s="93" t="s">
        <v>2497</v>
      </c>
      <c r="H3867" s="93" t="e">
        <v>#N/A</v>
      </c>
      <c r="I3867" s="105" t="s">
        <v>3752</v>
      </c>
      <c r="J3867" s="93" t="s">
        <v>189</v>
      </c>
      <c r="K3867" s="93"/>
      <c r="L3867" s="93"/>
      <c r="M3867" s="93" t="s">
        <v>2311</v>
      </c>
      <c r="N3867" s="93">
        <f>VLOOKUP(B3867,'[16]01.수집 카테고리(List)'!$A$2:$H$64,8,FALSE)</f>
        <v>99991231</v>
      </c>
      <c r="O3867" s="93" t="s">
        <v>646</v>
      </c>
    </row>
    <row r="3868" spans="1:15" hidden="1">
      <c r="A3868" s="75" t="str">
        <f t="shared" si="148"/>
        <v>BRAMERICANASMonitorgaming monitormonitor gamer</v>
      </c>
      <c r="B3868" s="94" t="str">
        <f t="shared" si="149"/>
        <v>BR_AMERICANAS</v>
      </c>
      <c r="C3868" s="93" t="s">
        <v>311</v>
      </c>
      <c r="D3868" s="93" t="s">
        <v>822</v>
      </c>
      <c r="E3868" s="93" t="s">
        <v>2320</v>
      </c>
      <c r="F3868" s="93" t="s">
        <v>2322</v>
      </c>
      <c r="G3868" s="93" t="s">
        <v>2466</v>
      </c>
      <c r="H3868" s="93" t="e">
        <v>#N/A</v>
      </c>
      <c r="I3868" s="105" t="s">
        <v>3752</v>
      </c>
      <c r="J3868" s="93" t="s">
        <v>189</v>
      </c>
      <c r="K3868" s="93"/>
      <c r="L3868" s="93"/>
      <c r="M3868" s="93" t="s">
        <v>2311</v>
      </c>
      <c r="N3868" s="93">
        <f>VLOOKUP(B3868,'[16]01.수집 카테고리(List)'!$A$2:$H$64,8,FALSE)</f>
        <v>99991231</v>
      </c>
      <c r="O3868" s="93" t="s">
        <v>646</v>
      </c>
    </row>
    <row r="3869" spans="1:15" hidden="1">
      <c r="A3869" s="75" t="str">
        <f t="shared" si="148"/>
        <v>BRAMERICANASMonitoruhd monitormonitor uhd</v>
      </c>
      <c r="B3869" s="94" t="str">
        <f t="shared" si="149"/>
        <v>BR_AMERICANAS</v>
      </c>
      <c r="C3869" s="93" t="s">
        <v>311</v>
      </c>
      <c r="D3869" s="93" t="s">
        <v>822</v>
      </c>
      <c r="E3869" s="93" t="s">
        <v>2320</v>
      </c>
      <c r="F3869" s="93" t="s">
        <v>2324</v>
      </c>
      <c r="G3869" s="93" t="s">
        <v>2498</v>
      </c>
      <c r="H3869" s="93" t="e">
        <v>#N/A</v>
      </c>
      <c r="I3869" s="105" t="s">
        <v>3752</v>
      </c>
      <c r="J3869" s="93" t="s">
        <v>189</v>
      </c>
      <c r="K3869" s="93"/>
      <c r="L3869" s="93"/>
      <c r="M3869" s="93" t="s">
        <v>2311</v>
      </c>
      <c r="N3869" s="93">
        <f>VLOOKUP(B3869,'[16]01.수집 카테고리(List)'!$A$2:$H$64,8,FALSE)</f>
        <v>99991231</v>
      </c>
      <c r="O3869" s="93" t="s">
        <v>646</v>
      </c>
    </row>
    <row r="3870" spans="1:15" hidden="1">
      <c r="A3870" s="75" t="str">
        <f t="shared" si="148"/>
        <v>BRAMERICANASMonitorultrawide monitormonitor ultrawide</v>
      </c>
      <c r="B3870" s="94" t="str">
        <f t="shared" si="149"/>
        <v>BR_AMERICANAS</v>
      </c>
      <c r="C3870" s="93" t="s">
        <v>311</v>
      </c>
      <c r="D3870" s="93" t="s">
        <v>822</v>
      </c>
      <c r="E3870" s="93" t="s">
        <v>2320</v>
      </c>
      <c r="F3870" s="93" t="s">
        <v>2325</v>
      </c>
      <c r="G3870" s="93" t="s">
        <v>2499</v>
      </c>
      <c r="H3870" s="93" t="e">
        <v>#N/A</v>
      </c>
      <c r="I3870" s="105" t="s">
        <v>3752</v>
      </c>
      <c r="J3870" s="93" t="s">
        <v>189</v>
      </c>
      <c r="K3870" s="93"/>
      <c r="L3870" s="93"/>
      <c r="M3870" s="93" t="s">
        <v>2311</v>
      </c>
      <c r="N3870" s="93">
        <f>VLOOKUP(B3870,'[16]01.수집 카테고리(List)'!$A$2:$H$64,8,FALSE)</f>
        <v>99991231</v>
      </c>
      <c r="O3870" s="93" t="s">
        <v>646</v>
      </c>
    </row>
    <row r="3871" spans="1:15" hidden="1">
      <c r="A3871" s="75" t="str">
        <f t="shared" si="148"/>
        <v>BRAMERICANASTVoled TVoled TV</v>
      </c>
      <c r="B3871" s="94" t="str">
        <f t="shared" si="149"/>
        <v>BR_AMERICANAS</v>
      </c>
      <c r="C3871" s="93" t="s">
        <v>311</v>
      </c>
      <c r="D3871" s="93" t="s">
        <v>822</v>
      </c>
      <c r="E3871" s="93" t="s">
        <v>161</v>
      </c>
      <c r="F3871" s="93" t="s">
        <v>2369</v>
      </c>
      <c r="G3871" s="93" t="s">
        <v>2369</v>
      </c>
      <c r="H3871" s="93" t="e">
        <v>#N/A</v>
      </c>
      <c r="I3871" s="105" t="s">
        <v>3752</v>
      </c>
      <c r="J3871" s="93" t="s">
        <v>189</v>
      </c>
      <c r="K3871" s="93"/>
      <c r="L3871" s="93"/>
      <c r="M3871" s="93" t="s">
        <v>2311</v>
      </c>
      <c r="N3871" s="93">
        <f>VLOOKUP(B3871,'[16]01.수집 카테고리(List)'!$A$2:$H$64,8,FALSE)</f>
        <v>99991231</v>
      </c>
      <c r="O3871" s="93" t="s">
        <v>646</v>
      </c>
    </row>
    <row r="3872" spans="1:15" hidden="1">
      <c r="A3872" s="75" t="str">
        <f t="shared" si="148"/>
        <v>BRAMERICANASTVsmart TVsmart TV</v>
      </c>
      <c r="B3872" s="94" t="str">
        <f t="shared" si="149"/>
        <v>BR_AMERICANAS</v>
      </c>
      <c r="C3872" s="93" t="s">
        <v>311</v>
      </c>
      <c r="D3872" s="93" t="s">
        <v>822</v>
      </c>
      <c r="E3872" s="93" t="s">
        <v>161</v>
      </c>
      <c r="F3872" s="93" t="s">
        <v>2371</v>
      </c>
      <c r="G3872" s="93" t="s">
        <v>2371</v>
      </c>
      <c r="H3872" s="93" t="e">
        <v>#N/A</v>
      </c>
      <c r="I3872" s="105" t="s">
        <v>3752</v>
      </c>
      <c r="J3872" s="93" t="s">
        <v>189</v>
      </c>
      <c r="K3872" s="93"/>
      <c r="L3872" s="93"/>
      <c r="M3872" s="93" t="s">
        <v>2311</v>
      </c>
      <c r="N3872" s="93">
        <f>VLOOKUP(B3872,'[16]01.수집 카테고리(List)'!$A$2:$H$64,8,FALSE)</f>
        <v>99991231</v>
      </c>
      <c r="O3872" s="93" t="s">
        <v>646</v>
      </c>
    </row>
    <row r="3873" spans="1:15" hidden="1">
      <c r="A3873" s="75" t="str">
        <f t="shared" si="148"/>
        <v>BRAMERICANASTVTVTV</v>
      </c>
      <c r="B3873" s="94" t="str">
        <f t="shared" si="149"/>
        <v>BR_AMERICANAS</v>
      </c>
      <c r="C3873" s="93" t="s">
        <v>311</v>
      </c>
      <c r="D3873" s="93" t="s">
        <v>822</v>
      </c>
      <c r="E3873" s="93" t="s">
        <v>161</v>
      </c>
      <c r="F3873" s="93" t="s">
        <v>161</v>
      </c>
      <c r="G3873" s="93" t="s">
        <v>161</v>
      </c>
      <c r="H3873" s="93" t="e">
        <v>#N/A</v>
      </c>
      <c r="I3873" s="105" t="s">
        <v>3752</v>
      </c>
      <c r="J3873" s="93" t="s">
        <v>189</v>
      </c>
      <c r="K3873" s="93"/>
      <c r="L3873" s="93"/>
      <c r="M3873" s="93" t="s">
        <v>2311</v>
      </c>
      <c r="N3873" s="93">
        <f>VLOOKUP(B3873,'[16]01.수집 카테고리(List)'!$A$2:$H$64,8,FALSE)</f>
        <v>99991231</v>
      </c>
      <c r="O3873" s="93" t="s">
        <v>646</v>
      </c>
    </row>
    <row r="3874" spans="1:15" hidden="1">
      <c r="A3874" s="75" t="str">
        <f t="shared" si="148"/>
        <v>BRAMERICANASTVuhd TVuhd TV</v>
      </c>
      <c r="B3874" s="94" t="str">
        <f t="shared" si="149"/>
        <v>BR_AMERICANAS</v>
      </c>
      <c r="C3874" s="93" t="s">
        <v>311</v>
      </c>
      <c r="D3874" s="93" t="s">
        <v>822</v>
      </c>
      <c r="E3874" s="93" t="s">
        <v>161</v>
      </c>
      <c r="F3874" s="93" t="s">
        <v>2399</v>
      </c>
      <c r="G3874" s="93" t="s">
        <v>2399</v>
      </c>
      <c r="H3874" s="93" t="e">
        <v>#N/A</v>
      </c>
      <c r="I3874" s="105" t="s">
        <v>3752</v>
      </c>
      <c r="J3874" s="93" t="s">
        <v>189</v>
      </c>
      <c r="K3874" s="93"/>
      <c r="L3874" s="93"/>
      <c r="M3874" s="93" t="s">
        <v>2311</v>
      </c>
      <c r="N3874" s="93">
        <f>VLOOKUP(B3874,'[16]01.수집 카테고리(List)'!$A$2:$H$64,8,FALSE)</f>
        <v>99991231</v>
      </c>
      <c r="O3874" s="93" t="s">
        <v>646</v>
      </c>
    </row>
    <row r="3875" spans="1:15" s="81" customFormat="1" hidden="1">
      <c r="A3875" s="81" t="str">
        <f t="shared" si="148"/>
        <v>BRAMERICANASDryerDryersecador</v>
      </c>
      <c r="B3875" s="106" t="str">
        <f t="shared" si="149"/>
        <v>BR_AMERICANAS</v>
      </c>
      <c r="C3875" s="107" t="s">
        <v>311</v>
      </c>
      <c r="D3875" s="107" t="s">
        <v>822</v>
      </c>
      <c r="E3875" s="107" t="s">
        <v>2535</v>
      </c>
      <c r="F3875" s="107" t="s">
        <v>2431</v>
      </c>
      <c r="G3875" s="107" t="s">
        <v>2491</v>
      </c>
      <c r="H3875" s="93" t="e">
        <v>#N/A</v>
      </c>
      <c r="I3875" s="99">
        <v>46076</v>
      </c>
      <c r="J3875" s="83" t="s">
        <v>189</v>
      </c>
      <c r="K3875" s="107"/>
      <c r="L3875" s="107"/>
      <c r="M3875" s="107"/>
      <c r="N3875" s="107"/>
      <c r="O3875" s="107"/>
    </row>
    <row r="3876" spans="1:15" hidden="1">
      <c r="A3876" s="75" t="str">
        <f t="shared" si="148"/>
        <v>BRMERCADOLIVRETV4k TV4k TV</v>
      </c>
      <c r="B3876" s="94" t="str">
        <f t="shared" si="149"/>
        <v>BR_MERCADOLIVRE</v>
      </c>
      <c r="C3876" s="93" t="s">
        <v>311</v>
      </c>
      <c r="D3876" s="93" t="s">
        <v>312</v>
      </c>
      <c r="E3876" s="93" t="s">
        <v>161</v>
      </c>
      <c r="F3876" s="93" t="s">
        <v>2368</v>
      </c>
      <c r="G3876" s="93" t="s">
        <v>2368</v>
      </c>
      <c r="H3876" s="93" t="e">
        <v>#N/A</v>
      </c>
      <c r="I3876" s="105" t="s">
        <v>3752</v>
      </c>
      <c r="J3876" s="93" t="s">
        <v>189</v>
      </c>
      <c r="K3876" s="93"/>
      <c r="L3876" s="93"/>
      <c r="M3876" s="93" t="s">
        <v>2311</v>
      </c>
      <c r="N3876" s="93">
        <f>VLOOKUP(B3876,'[16]01.수집 카테고리(List)'!$A$2:$H$64,8,FALSE)</f>
        <v>99991231</v>
      </c>
      <c r="O3876" s="93" t="s">
        <v>646</v>
      </c>
    </row>
    <row r="3877" spans="1:15" hidden="1">
      <c r="A3877" s="75" t="str">
        <f t="shared" si="148"/>
        <v>BRMERCADOLIVREAir ConditionerACAC</v>
      </c>
      <c r="B3877" s="94" t="str">
        <f t="shared" si="149"/>
        <v>BR_MERCADOLIVRE</v>
      </c>
      <c r="C3877" s="93" t="s">
        <v>311</v>
      </c>
      <c r="D3877" s="93" t="s">
        <v>312</v>
      </c>
      <c r="E3877" s="93" t="s">
        <v>2346</v>
      </c>
      <c r="F3877" s="93" t="s">
        <v>2492</v>
      </c>
      <c r="G3877" s="93" t="s">
        <v>2492</v>
      </c>
      <c r="H3877" s="93" t="e">
        <v>#N/A</v>
      </c>
      <c r="I3877" s="105" t="s">
        <v>3752</v>
      </c>
      <c r="J3877" s="93" t="s">
        <v>189</v>
      </c>
      <c r="K3877" s="93"/>
      <c r="L3877" s="93"/>
      <c r="M3877" s="93" t="s">
        <v>2311</v>
      </c>
      <c r="N3877" s="93">
        <f>VLOOKUP(B3877,'[16]01.수집 카테고리(List)'!$A$2:$H$64,8,FALSE)</f>
        <v>99991231</v>
      </c>
      <c r="O3877" s="93" t="s">
        <v>646</v>
      </c>
    </row>
    <row r="3878" spans="1:15" hidden="1">
      <c r="A3878" s="75" t="str">
        <f t="shared" si="148"/>
        <v>BRMERCADOLIVRESOUNDBARAll in OneAll in One</v>
      </c>
      <c r="B3878" s="94" t="str">
        <f t="shared" si="149"/>
        <v>BR_MERCADOLIVRE</v>
      </c>
      <c r="C3878" s="93" t="s">
        <v>311</v>
      </c>
      <c r="D3878" s="93" t="s">
        <v>312</v>
      </c>
      <c r="E3878" s="93" t="s">
        <v>165</v>
      </c>
      <c r="F3878" s="93" t="s">
        <v>2489</v>
      </c>
      <c r="G3878" s="93" t="s">
        <v>2489</v>
      </c>
      <c r="H3878" s="93" t="e">
        <v>#N/A</v>
      </c>
      <c r="I3878" s="105" t="s">
        <v>3752</v>
      </c>
      <c r="J3878" s="93" t="s">
        <v>189</v>
      </c>
      <c r="K3878" s="93"/>
      <c r="L3878" s="93"/>
      <c r="M3878" s="93" t="s">
        <v>2311</v>
      </c>
      <c r="N3878" s="93">
        <f>VLOOKUP(B3878,'[16]01.수집 카테고리(List)'!$A$2:$H$64,8,FALSE)</f>
        <v>99991231</v>
      </c>
      <c r="O3878" s="93" t="s">
        <v>646</v>
      </c>
    </row>
    <row r="3879" spans="1:15" hidden="1">
      <c r="A3879" s="75" t="str">
        <f t="shared" si="148"/>
        <v>BRMERCADOLIVREBluetooth Speakerspeakersalto-falante</v>
      </c>
      <c r="B3879" s="94" t="str">
        <f t="shared" si="149"/>
        <v>BR_MERCADOLIVRE</v>
      </c>
      <c r="C3879" s="93" t="s">
        <v>311</v>
      </c>
      <c r="D3879" s="93" t="s">
        <v>312</v>
      </c>
      <c r="E3879" s="93" t="s">
        <v>2307</v>
      </c>
      <c r="F3879" s="93" t="s">
        <v>2471</v>
      </c>
      <c r="G3879" s="93" t="s">
        <v>2472</v>
      </c>
      <c r="H3879" s="93" t="e">
        <v>#N/A</v>
      </c>
      <c r="I3879" s="105" t="s">
        <v>3752</v>
      </c>
      <c r="J3879" s="93" t="s">
        <v>189</v>
      </c>
      <c r="K3879" s="93"/>
      <c r="L3879" s="93"/>
      <c r="M3879" s="93" t="s">
        <v>2311</v>
      </c>
      <c r="N3879" s="93">
        <f>VLOOKUP(B3879,'[16]01.수집 카테고리(List)'!$A$2:$H$64,8,FALSE)</f>
        <v>99991231</v>
      </c>
      <c r="O3879" s="93" t="s">
        <v>646</v>
      </c>
    </row>
    <row r="3880" spans="1:15" hidden="1">
      <c r="A3880" s="75" t="str">
        <f t="shared" si="148"/>
        <v>BRMERCADOLIVREBluetooth Speakerportable speakersalto-falantes portáteis</v>
      </c>
      <c r="B3880" s="94" t="str">
        <f t="shared" si="149"/>
        <v>BR_MERCADOLIVRE</v>
      </c>
      <c r="C3880" s="93" t="s">
        <v>311</v>
      </c>
      <c r="D3880" s="93" t="s">
        <v>312</v>
      </c>
      <c r="E3880" s="93" t="s">
        <v>2307</v>
      </c>
      <c r="F3880" s="93" t="s">
        <v>2473</v>
      </c>
      <c r="G3880" s="93" t="s">
        <v>2474</v>
      </c>
      <c r="H3880" s="93" t="e">
        <v>#N/A</v>
      </c>
      <c r="I3880" s="105" t="s">
        <v>3752</v>
      </c>
      <c r="J3880" s="93" t="s">
        <v>189</v>
      </c>
      <c r="K3880" s="93"/>
      <c r="L3880" s="93"/>
      <c r="M3880" s="93" t="s">
        <v>2311</v>
      </c>
      <c r="N3880" s="93">
        <f>VLOOKUP(B3880,'[16]01.수집 카테고리(List)'!$A$2:$H$64,8,FALSE)</f>
        <v>99991231</v>
      </c>
      <c r="O3880" s="93" t="s">
        <v>646</v>
      </c>
    </row>
    <row r="3881" spans="1:15" hidden="1">
      <c r="A3881" s="75" t="str">
        <f t="shared" si="148"/>
        <v>BRMERCADOLIVREBluetooth Speakerwireless portable speakersalto-falantes portáteis sem fio</v>
      </c>
      <c r="B3881" s="94" t="str">
        <f t="shared" si="149"/>
        <v>BR_MERCADOLIVRE</v>
      </c>
      <c r="C3881" s="93" t="s">
        <v>311</v>
      </c>
      <c r="D3881" s="93" t="s">
        <v>312</v>
      </c>
      <c r="E3881" s="93" t="s">
        <v>2307</v>
      </c>
      <c r="F3881" s="93" t="s">
        <v>2475</v>
      </c>
      <c r="G3881" s="93" t="s">
        <v>2476</v>
      </c>
      <c r="H3881" s="93" t="e">
        <v>#N/A</v>
      </c>
      <c r="I3881" s="105" t="s">
        <v>3752</v>
      </c>
      <c r="J3881" s="93" t="s">
        <v>189</v>
      </c>
      <c r="K3881" s="93"/>
      <c r="L3881" s="93"/>
      <c r="M3881" s="93" t="s">
        <v>2311</v>
      </c>
      <c r="N3881" s="93">
        <f>VLOOKUP(B3881,'[16]01.수집 카테고리(List)'!$A$2:$H$64,8,FALSE)</f>
        <v>99991231</v>
      </c>
      <c r="O3881" s="93" t="s">
        <v>646</v>
      </c>
    </row>
    <row r="3882" spans="1:15" hidden="1">
      <c r="A3882" s="75" t="str">
        <f t="shared" si="148"/>
        <v>BRMERCADOLIVREAir Conditionerair conditionerar condicionado</v>
      </c>
      <c r="B3882" s="94" t="str">
        <f t="shared" si="149"/>
        <v>BR_MERCADOLIVRE</v>
      </c>
      <c r="C3882" s="93" t="s">
        <v>311</v>
      </c>
      <c r="D3882" s="93" t="s">
        <v>312</v>
      </c>
      <c r="E3882" s="93" t="s">
        <v>2346</v>
      </c>
      <c r="F3882" s="93" t="s">
        <v>2347</v>
      </c>
      <c r="G3882" s="93" t="s">
        <v>2493</v>
      </c>
      <c r="H3882" s="93" t="e">
        <v>#N/A</v>
      </c>
      <c r="I3882" s="105" t="s">
        <v>3752</v>
      </c>
      <c r="J3882" s="93" t="s">
        <v>189</v>
      </c>
      <c r="K3882" s="93"/>
      <c r="L3882" s="93"/>
      <c r="M3882" s="93" t="s">
        <v>2311</v>
      </c>
      <c r="N3882" s="93">
        <f>VLOOKUP(B3882,'[16]01.수집 카테고리(List)'!$A$2:$H$64,8,FALSE)</f>
        <v>99991231</v>
      </c>
      <c r="O3882" s="93" t="s">
        <v>646</v>
      </c>
    </row>
    <row r="3883" spans="1:15" hidden="1">
      <c r="A3883" s="75" t="str">
        <f t="shared" si="148"/>
        <v>BRMERCADOLIVREAir Conditionerinverter air conditionerar condicionado inverter</v>
      </c>
      <c r="B3883" s="94" t="str">
        <f t="shared" si="149"/>
        <v>BR_MERCADOLIVRE</v>
      </c>
      <c r="C3883" s="93" t="s">
        <v>311</v>
      </c>
      <c r="D3883" s="93" t="s">
        <v>312</v>
      </c>
      <c r="E3883" s="93" t="s">
        <v>2346</v>
      </c>
      <c r="F3883" s="93" t="s">
        <v>2348</v>
      </c>
      <c r="G3883" s="93" t="s">
        <v>2494</v>
      </c>
      <c r="H3883" s="93" t="e">
        <v>#N/A</v>
      </c>
      <c r="I3883" s="105" t="s">
        <v>3752</v>
      </c>
      <c r="J3883" s="93" t="s">
        <v>189</v>
      </c>
      <c r="K3883" s="93"/>
      <c r="L3883" s="93"/>
      <c r="M3883" s="93" t="s">
        <v>2311</v>
      </c>
      <c r="N3883" s="93">
        <f>VLOOKUP(B3883,'[16]01.수집 카테고리(List)'!$A$2:$H$64,8,FALSE)</f>
        <v>99991231</v>
      </c>
      <c r="O3883" s="93" t="s">
        <v>646</v>
      </c>
    </row>
    <row r="3884" spans="1:15" hidden="1">
      <c r="A3884" s="75" t="str">
        <f t="shared" si="148"/>
        <v>BRMERCADOLIVREBluetooth SpeakerAcoustic boxCaixa acústica</v>
      </c>
      <c r="B3884" s="94" t="str">
        <f t="shared" si="149"/>
        <v>BR_MERCADOLIVRE</v>
      </c>
      <c r="C3884" s="93" t="s">
        <v>311</v>
      </c>
      <c r="D3884" s="93" t="s">
        <v>312</v>
      </c>
      <c r="E3884" s="93" t="s">
        <v>2307</v>
      </c>
      <c r="F3884" s="93" t="s">
        <v>2477</v>
      </c>
      <c r="G3884" s="93" t="s">
        <v>2478</v>
      </c>
      <c r="H3884" s="93" t="e">
        <v>#N/A</v>
      </c>
      <c r="I3884" s="105" t="s">
        <v>3752</v>
      </c>
      <c r="J3884" s="93" t="s">
        <v>189</v>
      </c>
      <c r="K3884" s="93"/>
      <c r="L3884" s="93"/>
      <c r="M3884" s="93" t="s">
        <v>2311</v>
      </c>
      <c r="N3884" s="93">
        <f>VLOOKUP(B3884,'[16]01.수집 카테고리(List)'!$A$2:$H$64,8,FALSE)</f>
        <v>99991231</v>
      </c>
      <c r="O3884" s="93" t="s">
        <v>646</v>
      </c>
    </row>
    <row r="3885" spans="1:15" hidden="1">
      <c r="A3885" s="75" t="str">
        <f t="shared" si="148"/>
        <v>BRMERCADOLIVREBluetooth Speakerbluetooth speaker portableCaixa Bluetooth Portátil</v>
      </c>
      <c r="B3885" s="94" t="str">
        <f t="shared" si="149"/>
        <v>BR_MERCADOLIVRE</v>
      </c>
      <c r="C3885" s="93" t="s">
        <v>311</v>
      </c>
      <c r="D3885" s="93" t="s">
        <v>312</v>
      </c>
      <c r="E3885" s="93" t="s">
        <v>2307</v>
      </c>
      <c r="F3885" s="93" t="s">
        <v>2479</v>
      </c>
      <c r="G3885" s="93" t="s">
        <v>2480</v>
      </c>
      <c r="H3885" s="93" t="e">
        <v>#N/A</v>
      </c>
      <c r="I3885" s="105" t="s">
        <v>3752</v>
      </c>
      <c r="J3885" s="93" t="s">
        <v>189</v>
      </c>
      <c r="K3885" s="93"/>
      <c r="L3885" s="93"/>
      <c r="M3885" s="93" t="s">
        <v>2311</v>
      </c>
      <c r="N3885" s="93">
        <f>VLOOKUP(B3885,'[16]01.수집 카테고리(List)'!$A$2:$H$64,8,FALSE)</f>
        <v>99991231</v>
      </c>
      <c r="O3885" s="93" t="s">
        <v>646</v>
      </c>
    </row>
    <row r="3886" spans="1:15" hidden="1">
      <c r="A3886" s="75" t="str">
        <f t="shared" si="148"/>
        <v>BRMERCADOLIVREBluetooth SpeakerBluetooth speakerCaixa de som</v>
      </c>
      <c r="B3886" s="94" t="str">
        <f t="shared" si="149"/>
        <v>BR_MERCADOLIVRE</v>
      </c>
      <c r="C3886" s="93" t="s">
        <v>311</v>
      </c>
      <c r="D3886" s="93" t="s">
        <v>312</v>
      </c>
      <c r="E3886" s="93" t="s">
        <v>2307</v>
      </c>
      <c r="F3886" s="93" t="s">
        <v>2481</v>
      </c>
      <c r="G3886" s="93" t="s">
        <v>2482</v>
      </c>
      <c r="H3886" s="93" t="e">
        <v>#N/A</v>
      </c>
      <c r="I3886" s="105" t="s">
        <v>3752</v>
      </c>
      <c r="J3886" s="93" t="s">
        <v>189</v>
      </c>
      <c r="K3886" s="93"/>
      <c r="L3886" s="93"/>
      <c r="M3886" s="93" t="s">
        <v>2311</v>
      </c>
      <c r="N3886" s="93">
        <f>VLOOKUP(B3886,'[16]01.수집 카테고리(List)'!$A$2:$H$64,8,FALSE)</f>
        <v>99991231</v>
      </c>
      <c r="O3886" s="93" t="s">
        <v>646</v>
      </c>
    </row>
    <row r="3887" spans="1:15" hidden="1">
      <c r="A3887" s="75" t="str">
        <f t="shared" si="148"/>
        <v>BRMERCADOLIVREBluetooth SpeakerBluetooth speakerCaixa de som bluetooth</v>
      </c>
      <c r="B3887" s="94" t="str">
        <f t="shared" si="149"/>
        <v>BR_MERCADOLIVRE</v>
      </c>
      <c r="C3887" s="93" t="s">
        <v>311</v>
      </c>
      <c r="D3887" s="93" t="s">
        <v>312</v>
      </c>
      <c r="E3887" s="93" t="s">
        <v>2307</v>
      </c>
      <c r="F3887" s="93" t="s">
        <v>2481</v>
      </c>
      <c r="G3887" s="93" t="s">
        <v>2483</v>
      </c>
      <c r="H3887" s="93" t="e">
        <v>#N/A</v>
      </c>
      <c r="I3887" s="105" t="s">
        <v>3752</v>
      </c>
      <c r="J3887" s="93" t="s">
        <v>189</v>
      </c>
      <c r="K3887" s="93"/>
      <c r="L3887" s="93"/>
      <c r="M3887" s="93" t="s">
        <v>2311</v>
      </c>
      <c r="N3887" s="93">
        <f>VLOOKUP(B3887,'[16]01.수집 카테고리(List)'!$A$2:$H$64,8,FALSE)</f>
        <v>99991231</v>
      </c>
      <c r="O3887" s="93" t="s">
        <v>646</v>
      </c>
    </row>
    <row r="3888" spans="1:15" hidden="1">
      <c r="A3888" s="75" t="str">
        <f t="shared" si="148"/>
        <v>BRMERCADOLIVREBluetooth SpeakerPortable bluetooth speakerCaixa de som bluetooth portátil</v>
      </c>
      <c r="B3888" s="94" t="str">
        <f t="shared" si="149"/>
        <v>BR_MERCADOLIVRE</v>
      </c>
      <c r="C3888" s="93" t="s">
        <v>311</v>
      </c>
      <c r="D3888" s="93" t="s">
        <v>312</v>
      </c>
      <c r="E3888" s="93" t="s">
        <v>2307</v>
      </c>
      <c r="F3888" s="93" t="s">
        <v>2312</v>
      </c>
      <c r="G3888" s="93" t="s">
        <v>2484</v>
      </c>
      <c r="H3888" s="93" t="e">
        <v>#N/A</v>
      </c>
      <c r="I3888" s="105" t="s">
        <v>3752</v>
      </c>
      <c r="J3888" s="93" t="s">
        <v>189</v>
      </c>
      <c r="K3888" s="93"/>
      <c r="L3888" s="93"/>
      <c r="M3888" s="93" t="s">
        <v>2311</v>
      </c>
      <c r="N3888" s="93">
        <f>VLOOKUP(B3888,'[16]01.수집 카테고리(List)'!$A$2:$H$64,8,FALSE)</f>
        <v>99991231</v>
      </c>
      <c r="O3888" s="93" t="s">
        <v>646</v>
      </c>
    </row>
    <row r="3889" spans="1:15" hidden="1">
      <c r="A3889" s="75" t="str">
        <f t="shared" si="148"/>
        <v>BRMERCADOLIVREBluetooth SpeakerPortable bluetooth speakerCaixa de som portátil</v>
      </c>
      <c r="B3889" s="94" t="str">
        <f t="shared" si="149"/>
        <v>BR_MERCADOLIVRE</v>
      </c>
      <c r="C3889" s="93" t="s">
        <v>311</v>
      </c>
      <c r="D3889" s="93" t="s">
        <v>312</v>
      </c>
      <c r="E3889" s="93" t="s">
        <v>2307</v>
      </c>
      <c r="F3889" s="93" t="s">
        <v>2312</v>
      </c>
      <c r="G3889" s="93" t="s">
        <v>2485</v>
      </c>
      <c r="H3889" s="93" t="e">
        <v>#N/A</v>
      </c>
      <c r="I3889" s="105" t="s">
        <v>3752</v>
      </c>
      <c r="J3889" s="93" t="s">
        <v>189</v>
      </c>
      <c r="K3889" s="93"/>
      <c r="L3889" s="93"/>
      <c r="M3889" s="93" t="s">
        <v>2311</v>
      </c>
      <c r="N3889" s="93">
        <f>VLOOKUP(B3889,'[16]01.수집 카테고리(List)'!$A$2:$H$64,8,FALSE)</f>
        <v>99991231</v>
      </c>
      <c r="O3889" s="93" t="s">
        <v>646</v>
      </c>
    </row>
    <row r="3890" spans="1:15" hidden="1">
      <c r="A3890" s="75" t="str">
        <f t="shared" si="148"/>
        <v>BRMERCADOLIVREWIRELESS HEADSETWireless HeadsetFone de ouvido</v>
      </c>
      <c r="B3890" s="94" t="str">
        <f t="shared" si="149"/>
        <v>BR_MERCADOLIVRE</v>
      </c>
      <c r="C3890" s="93" t="s">
        <v>311</v>
      </c>
      <c r="D3890" s="93" t="s">
        <v>312</v>
      </c>
      <c r="E3890" s="93" t="s">
        <v>2201</v>
      </c>
      <c r="F3890" s="93" t="s">
        <v>2373</v>
      </c>
      <c r="G3890" s="93" t="s">
        <v>2490</v>
      </c>
      <c r="H3890" s="93" t="e">
        <v>#N/A</v>
      </c>
      <c r="I3890" s="105" t="s">
        <v>3752</v>
      </c>
      <c r="J3890" s="93" t="s">
        <v>189</v>
      </c>
      <c r="K3890" s="93"/>
      <c r="L3890" s="93"/>
      <c r="M3890" s="93" t="s">
        <v>2311</v>
      </c>
      <c r="N3890" s="93">
        <f>VLOOKUP(B3890,'[16]01.수집 카테고리(List)'!$A$2:$H$64,8,FALSE)</f>
        <v>99991231</v>
      </c>
      <c r="O3890" s="93" t="s">
        <v>646</v>
      </c>
    </row>
    <row r="3891" spans="1:15" hidden="1">
      <c r="A3891" s="75" t="str">
        <f t="shared" si="148"/>
        <v>BRMERCADOLIVRERefrigeratorrefrigeratorgeladeira</v>
      </c>
      <c r="B3891" s="94" t="str">
        <f t="shared" si="149"/>
        <v>BR_MERCADOLIVRE</v>
      </c>
      <c r="C3891" s="93" t="s">
        <v>311</v>
      </c>
      <c r="D3891" s="93" t="s">
        <v>312</v>
      </c>
      <c r="E3891" s="93" t="s">
        <v>2326</v>
      </c>
      <c r="F3891" s="93" t="s">
        <v>2329</v>
      </c>
      <c r="G3891" s="93" t="s">
        <v>2467</v>
      </c>
      <c r="H3891" s="93" t="e">
        <v>#N/A</v>
      </c>
      <c r="I3891" s="105" t="s">
        <v>3752</v>
      </c>
      <c r="J3891" s="93" t="s">
        <v>189</v>
      </c>
      <c r="K3891" s="93"/>
      <c r="L3891" s="93"/>
      <c r="M3891" s="93" t="s">
        <v>2311</v>
      </c>
      <c r="N3891" s="93">
        <f>VLOOKUP(B3891,'[16]01.수집 카테고리(List)'!$A$2:$H$64,8,FALSE)</f>
        <v>99991231</v>
      </c>
      <c r="O3891" s="93" t="s">
        <v>646</v>
      </c>
    </row>
    <row r="3892" spans="1:15" hidden="1">
      <c r="A3892" s="75" t="str">
        <f t="shared" si="148"/>
        <v>BRMERCADOLIVRERefrigeratorfrench door refrigeratorgeladeira french door</v>
      </c>
      <c r="B3892" s="94" t="str">
        <f t="shared" si="149"/>
        <v>BR_MERCADOLIVRE</v>
      </c>
      <c r="C3892" s="93" t="s">
        <v>311</v>
      </c>
      <c r="D3892" s="93" t="s">
        <v>312</v>
      </c>
      <c r="E3892" s="93" t="s">
        <v>2326</v>
      </c>
      <c r="F3892" s="93" t="s">
        <v>2328</v>
      </c>
      <c r="G3892" s="93" t="s">
        <v>2500</v>
      </c>
      <c r="H3892" s="93" t="e">
        <v>#N/A</v>
      </c>
      <c r="I3892" s="105" t="s">
        <v>3752</v>
      </c>
      <c r="J3892" s="93" t="s">
        <v>189</v>
      </c>
      <c r="K3892" s="93"/>
      <c r="L3892" s="93"/>
      <c r="M3892" s="93" t="s">
        <v>2311</v>
      </c>
      <c r="N3892" s="93">
        <f>VLOOKUP(B3892,'[16]01.수집 카테고리(List)'!$A$2:$H$64,8,FALSE)</f>
        <v>99991231</v>
      </c>
      <c r="O3892" s="93" t="s">
        <v>646</v>
      </c>
    </row>
    <row r="3893" spans="1:15" hidden="1">
      <c r="A3893" s="75" t="str">
        <f t="shared" si="148"/>
        <v>BRMERCADOLIVRERefrigeratorfrost free refrigeratorgeladeira frost free</v>
      </c>
      <c r="B3893" s="94" t="str">
        <f t="shared" si="149"/>
        <v>BR_MERCADOLIVRE</v>
      </c>
      <c r="C3893" s="93" t="s">
        <v>311</v>
      </c>
      <c r="D3893" s="93" t="s">
        <v>312</v>
      </c>
      <c r="E3893" s="93" t="s">
        <v>2326</v>
      </c>
      <c r="F3893" s="93" t="s">
        <v>2501</v>
      </c>
      <c r="G3893" s="93" t="s">
        <v>2502</v>
      </c>
      <c r="H3893" s="93" t="e">
        <v>#N/A</v>
      </c>
      <c r="I3893" s="105" t="s">
        <v>3752</v>
      </c>
      <c r="J3893" s="93" t="s">
        <v>189</v>
      </c>
      <c r="K3893" s="93"/>
      <c r="L3893" s="93"/>
      <c r="M3893" s="93" t="s">
        <v>2311</v>
      </c>
      <c r="N3893" s="93">
        <f>VLOOKUP(B3893,'[16]01.수집 카테고리(List)'!$A$2:$H$64,8,FALSE)</f>
        <v>99991231</v>
      </c>
      <c r="O3893" s="93" t="s">
        <v>646</v>
      </c>
    </row>
    <row r="3894" spans="1:15" hidden="1">
      <c r="A3894" s="75" t="str">
        <f t="shared" si="148"/>
        <v>BRMERCADOLIVRERefrigeratorinverse refrigeratorgeladeira inverse</v>
      </c>
      <c r="B3894" s="94" t="str">
        <f t="shared" si="149"/>
        <v>BR_MERCADOLIVRE</v>
      </c>
      <c r="C3894" s="93" t="s">
        <v>311</v>
      </c>
      <c r="D3894" s="93" t="s">
        <v>312</v>
      </c>
      <c r="E3894" s="93" t="s">
        <v>2326</v>
      </c>
      <c r="F3894" s="93" t="s">
        <v>2503</v>
      </c>
      <c r="G3894" s="93" t="s">
        <v>2504</v>
      </c>
      <c r="H3894" s="93" t="e">
        <v>#N/A</v>
      </c>
      <c r="I3894" s="105" t="s">
        <v>3752</v>
      </c>
      <c r="J3894" s="93" t="s">
        <v>189</v>
      </c>
      <c r="K3894" s="93"/>
      <c r="L3894" s="93"/>
      <c r="M3894" s="93" t="s">
        <v>2311</v>
      </c>
      <c r="N3894" s="93">
        <f>VLOOKUP(B3894,'[16]01.수집 카테고리(List)'!$A$2:$H$64,8,FALSE)</f>
        <v>99991231</v>
      </c>
      <c r="O3894" s="93" t="s">
        <v>646</v>
      </c>
    </row>
    <row r="3895" spans="1:15" hidden="1">
      <c r="A3895" s="75" t="str">
        <f t="shared" si="148"/>
        <v>BRMERCADOLIVRERefrigeratorside by side refrigeratorgeladeira side by side</v>
      </c>
      <c r="B3895" s="94" t="str">
        <f t="shared" si="149"/>
        <v>BR_MERCADOLIVRE</v>
      </c>
      <c r="C3895" s="93" t="s">
        <v>311</v>
      </c>
      <c r="D3895" s="93" t="s">
        <v>312</v>
      </c>
      <c r="E3895" s="93" t="s">
        <v>2326</v>
      </c>
      <c r="F3895" s="93" t="s">
        <v>2330</v>
      </c>
      <c r="G3895" s="93" t="s">
        <v>2505</v>
      </c>
      <c r="H3895" s="93" t="e">
        <v>#N/A</v>
      </c>
      <c r="I3895" s="105" t="s">
        <v>3752</v>
      </c>
      <c r="J3895" s="93" t="s">
        <v>189</v>
      </c>
      <c r="K3895" s="93"/>
      <c r="L3895" s="93"/>
      <c r="M3895" s="93" t="s">
        <v>2311</v>
      </c>
      <c r="N3895" s="93">
        <f>VLOOKUP(B3895,'[16]01.수집 카테고리(List)'!$A$2:$H$64,8,FALSE)</f>
        <v>99991231</v>
      </c>
      <c r="O3895" s="93" t="s">
        <v>646</v>
      </c>
    </row>
    <row r="3896" spans="1:15" hidden="1">
      <c r="A3896" s="75" t="str">
        <f t="shared" si="148"/>
        <v>BRMERCADOLIVRERefrigeratortop freezer refrigeratorgeladeira top freezer</v>
      </c>
      <c r="B3896" s="94" t="str">
        <f t="shared" si="149"/>
        <v>BR_MERCADOLIVRE</v>
      </c>
      <c r="C3896" s="93" t="s">
        <v>311</v>
      </c>
      <c r="D3896" s="93" t="s">
        <v>312</v>
      </c>
      <c r="E3896" s="93" t="s">
        <v>2326</v>
      </c>
      <c r="F3896" s="93" t="s">
        <v>2332</v>
      </c>
      <c r="G3896" s="93" t="s">
        <v>2506</v>
      </c>
      <c r="H3896" s="93" t="e">
        <v>#N/A</v>
      </c>
      <c r="I3896" s="105" t="s">
        <v>3752</v>
      </c>
      <c r="J3896" s="93" t="s">
        <v>189</v>
      </c>
      <c r="K3896" s="93"/>
      <c r="L3896" s="93"/>
      <c r="M3896" s="93" t="s">
        <v>2311</v>
      </c>
      <c r="N3896" s="93">
        <f>VLOOKUP(B3896,'[16]01.수집 카테고리(List)'!$A$2:$H$64,8,FALSE)</f>
        <v>99991231</v>
      </c>
      <c r="O3896" s="93" t="s">
        <v>646</v>
      </c>
    </row>
    <row r="3897" spans="1:15" hidden="1">
      <c r="A3897" s="75" t="str">
        <f t="shared" si="148"/>
        <v>BRMERCADOLIVRESOUNDBARHome TheaterHome Theater</v>
      </c>
      <c r="B3897" s="94" t="str">
        <f t="shared" si="149"/>
        <v>BR_MERCADOLIVRE</v>
      </c>
      <c r="C3897" s="93" t="s">
        <v>311</v>
      </c>
      <c r="D3897" s="93" t="s">
        <v>312</v>
      </c>
      <c r="E3897" s="93" t="s">
        <v>165</v>
      </c>
      <c r="F3897" s="93" t="s">
        <v>2486</v>
      </c>
      <c r="G3897" s="93" t="s">
        <v>2486</v>
      </c>
      <c r="H3897" s="93" t="e">
        <v>#N/A</v>
      </c>
      <c r="I3897" s="105" t="s">
        <v>3752</v>
      </c>
      <c r="J3897" s="93" t="s">
        <v>189</v>
      </c>
      <c r="K3897" s="93"/>
      <c r="L3897" s="93"/>
      <c r="M3897" s="93" t="s">
        <v>2311</v>
      </c>
      <c r="N3897" s="93">
        <f>VLOOKUP(B3897,'[16]01.수집 카테고리(List)'!$A$2:$H$64,8,FALSE)</f>
        <v>99991231</v>
      </c>
      <c r="O3897" s="93" t="s">
        <v>646</v>
      </c>
    </row>
    <row r="3898" spans="1:15" hidden="1">
      <c r="A3898" s="75" t="str">
        <f t="shared" si="148"/>
        <v>BRMERCADOLIVREWashing MachineWasher dryer comboLava e seca</v>
      </c>
      <c r="B3898" s="94" t="str">
        <f t="shared" si="149"/>
        <v>BR_MERCADOLIVRE</v>
      </c>
      <c r="C3898" s="93" t="s">
        <v>311</v>
      </c>
      <c r="D3898" s="93" t="s">
        <v>312</v>
      </c>
      <c r="E3898" s="93" t="s">
        <v>2333</v>
      </c>
      <c r="F3898" s="93" t="s">
        <v>2513</v>
      </c>
      <c r="G3898" s="93" t="s">
        <v>2514</v>
      </c>
      <c r="H3898" s="93" t="e">
        <v>#N/A</v>
      </c>
      <c r="I3898" s="105" t="s">
        <v>3752</v>
      </c>
      <c r="J3898" s="93" t="s">
        <v>189</v>
      </c>
      <c r="K3898" s="93"/>
      <c r="L3898" s="93"/>
      <c r="M3898" s="93" t="s">
        <v>2311</v>
      </c>
      <c r="N3898" s="93">
        <f>VLOOKUP(B3898,'[16]01.수집 카테고리(List)'!$A$2:$H$64,8,FALSE)</f>
        <v>99991231</v>
      </c>
      <c r="O3898" s="93" t="s">
        <v>646</v>
      </c>
    </row>
    <row r="3899" spans="1:15" hidden="1">
      <c r="A3899" s="75" t="str">
        <f t="shared" si="148"/>
        <v>BRMERCADOLIVREWashing Machinewashing machineMáquina de lavar</v>
      </c>
      <c r="B3899" s="94" t="str">
        <f t="shared" si="149"/>
        <v>BR_MERCADOLIVRE</v>
      </c>
      <c r="C3899" s="93" t="s">
        <v>311</v>
      </c>
      <c r="D3899" s="93" t="s">
        <v>312</v>
      </c>
      <c r="E3899" s="93" t="s">
        <v>2333</v>
      </c>
      <c r="F3899" s="93" t="s">
        <v>2340</v>
      </c>
      <c r="G3899" s="93" t="s">
        <v>2515</v>
      </c>
      <c r="H3899" s="93" t="e">
        <v>#N/A</v>
      </c>
      <c r="I3899" s="105" t="s">
        <v>3752</v>
      </c>
      <c r="J3899" s="93" t="s">
        <v>189</v>
      </c>
      <c r="K3899" s="93"/>
      <c r="L3899" s="93"/>
      <c r="M3899" s="93" t="s">
        <v>2311</v>
      </c>
      <c r="N3899" s="93">
        <f>VLOOKUP(B3899,'[16]01.수집 카테고리(List)'!$A$2:$H$64,8,FALSE)</f>
        <v>99991231</v>
      </c>
      <c r="O3899" s="93" t="s">
        <v>646</v>
      </c>
    </row>
    <row r="3900" spans="1:15" hidden="1">
      <c r="A3900" s="75" t="str">
        <f t="shared" si="148"/>
        <v>BRMERCADOLIVRESOUNDBARMini SystemMini System</v>
      </c>
      <c r="B3900" s="94" t="str">
        <f t="shared" si="149"/>
        <v>BR_MERCADOLIVRE</v>
      </c>
      <c r="C3900" s="93" t="s">
        <v>311</v>
      </c>
      <c r="D3900" s="93" t="s">
        <v>312</v>
      </c>
      <c r="E3900" s="93" t="s">
        <v>165</v>
      </c>
      <c r="F3900" s="93" t="s">
        <v>2487</v>
      </c>
      <c r="G3900" s="93" t="s">
        <v>2487</v>
      </c>
      <c r="H3900" s="93" t="e">
        <v>#N/A</v>
      </c>
      <c r="I3900" s="105" t="s">
        <v>3752</v>
      </c>
      <c r="J3900" s="93" t="s">
        <v>189</v>
      </c>
      <c r="K3900" s="93"/>
      <c r="L3900" s="93"/>
      <c r="M3900" s="93" t="s">
        <v>2311</v>
      </c>
      <c r="N3900" s="93">
        <f>VLOOKUP(B3900,'[16]01.수집 카테고리(List)'!$A$2:$H$64,8,FALSE)</f>
        <v>99991231</v>
      </c>
      <c r="O3900" s="93" t="s">
        <v>646</v>
      </c>
    </row>
    <row r="3901" spans="1:15" hidden="1">
      <c r="A3901" s="75" t="str">
        <f t="shared" si="148"/>
        <v>BRMERCADOLIVREMonitormonitormonitor</v>
      </c>
      <c r="B3901" s="94" t="str">
        <f t="shared" si="149"/>
        <v>BR_MERCADOLIVRE</v>
      </c>
      <c r="C3901" s="93" t="s">
        <v>311</v>
      </c>
      <c r="D3901" s="93" t="s">
        <v>312</v>
      </c>
      <c r="E3901" s="93" t="s">
        <v>2320</v>
      </c>
      <c r="F3901" s="93" t="s">
        <v>2323</v>
      </c>
      <c r="G3901" s="93" t="s">
        <v>2323</v>
      </c>
      <c r="H3901" s="93" t="e">
        <v>#N/A</v>
      </c>
      <c r="I3901" s="105" t="s">
        <v>3752</v>
      </c>
      <c r="J3901" s="93" t="s">
        <v>189</v>
      </c>
      <c r="K3901" s="93"/>
      <c r="L3901" s="93"/>
      <c r="M3901" s="93" t="s">
        <v>2311</v>
      </c>
      <c r="N3901" s="93">
        <f>VLOOKUP(B3901,'[16]01.수집 카테고리(List)'!$A$2:$H$64,8,FALSE)</f>
        <v>99991231</v>
      </c>
      <c r="O3901" s="93" t="s">
        <v>646</v>
      </c>
    </row>
    <row r="3902" spans="1:15" hidden="1">
      <c r="A3902" s="75" t="str">
        <f t="shared" si="148"/>
        <v>BRMERCADOLIVREMonitor4k monitormonitor 4k</v>
      </c>
      <c r="B3902" s="94" t="str">
        <f t="shared" si="149"/>
        <v>BR_MERCADOLIVRE</v>
      </c>
      <c r="C3902" s="93" t="s">
        <v>311</v>
      </c>
      <c r="D3902" s="93" t="s">
        <v>312</v>
      </c>
      <c r="E3902" s="93" t="s">
        <v>2320</v>
      </c>
      <c r="F3902" s="93" t="s">
        <v>2321</v>
      </c>
      <c r="G3902" s="93" t="s">
        <v>2497</v>
      </c>
      <c r="H3902" s="93" t="e">
        <v>#N/A</v>
      </c>
      <c r="I3902" s="105" t="s">
        <v>3752</v>
      </c>
      <c r="J3902" s="93" t="s">
        <v>189</v>
      </c>
      <c r="K3902" s="93"/>
      <c r="L3902" s="93"/>
      <c r="M3902" s="93" t="s">
        <v>2311</v>
      </c>
      <c r="N3902" s="93">
        <f>VLOOKUP(B3902,'[16]01.수집 카테고리(List)'!$A$2:$H$64,8,FALSE)</f>
        <v>99991231</v>
      </c>
      <c r="O3902" s="93" t="s">
        <v>646</v>
      </c>
    </row>
    <row r="3903" spans="1:15" hidden="1">
      <c r="A3903" s="75" t="str">
        <f t="shared" si="148"/>
        <v>BRMERCADOLIVREMonitorgaming monitormonitor gamer</v>
      </c>
      <c r="B3903" s="94" t="str">
        <f t="shared" si="149"/>
        <v>BR_MERCADOLIVRE</v>
      </c>
      <c r="C3903" s="93" t="s">
        <v>311</v>
      </c>
      <c r="D3903" s="93" t="s">
        <v>312</v>
      </c>
      <c r="E3903" s="93" t="s">
        <v>2320</v>
      </c>
      <c r="F3903" s="93" t="s">
        <v>2322</v>
      </c>
      <c r="G3903" s="93" t="s">
        <v>2466</v>
      </c>
      <c r="H3903" s="93" t="e">
        <v>#N/A</v>
      </c>
      <c r="I3903" s="105" t="s">
        <v>3752</v>
      </c>
      <c r="J3903" s="93" t="s">
        <v>189</v>
      </c>
      <c r="K3903" s="93"/>
      <c r="L3903" s="93"/>
      <c r="M3903" s="93" t="s">
        <v>2311</v>
      </c>
      <c r="N3903" s="93">
        <f>VLOOKUP(B3903,'[16]01.수집 카테고리(List)'!$A$2:$H$64,8,FALSE)</f>
        <v>99991231</v>
      </c>
      <c r="O3903" s="93" t="s">
        <v>646</v>
      </c>
    </row>
    <row r="3904" spans="1:15" hidden="1">
      <c r="A3904" s="75" t="str">
        <f t="shared" si="148"/>
        <v>BRMERCADOLIVREMonitoruhd monitormonitor uhd</v>
      </c>
      <c r="B3904" s="94" t="str">
        <f t="shared" si="149"/>
        <v>BR_MERCADOLIVRE</v>
      </c>
      <c r="C3904" s="93" t="s">
        <v>311</v>
      </c>
      <c r="D3904" s="93" t="s">
        <v>312</v>
      </c>
      <c r="E3904" s="93" t="s">
        <v>2320</v>
      </c>
      <c r="F3904" s="93" t="s">
        <v>2324</v>
      </c>
      <c r="G3904" s="93" t="s">
        <v>2498</v>
      </c>
      <c r="H3904" s="93" t="e">
        <v>#N/A</v>
      </c>
      <c r="I3904" s="105" t="s">
        <v>3752</v>
      </c>
      <c r="J3904" s="93" t="s">
        <v>189</v>
      </c>
      <c r="K3904" s="93"/>
      <c r="L3904" s="93"/>
      <c r="M3904" s="93" t="s">
        <v>2311</v>
      </c>
      <c r="N3904" s="93">
        <f>VLOOKUP(B3904,'[16]01.수집 카테고리(List)'!$A$2:$H$64,8,FALSE)</f>
        <v>99991231</v>
      </c>
      <c r="O3904" s="93" t="s">
        <v>646</v>
      </c>
    </row>
    <row r="3905" spans="1:15" hidden="1">
      <c r="A3905" s="75" t="str">
        <f t="shared" si="148"/>
        <v>BRMERCADOLIVREMonitorultrawide monitormonitor ultrawide</v>
      </c>
      <c r="B3905" s="94" t="str">
        <f t="shared" si="149"/>
        <v>BR_MERCADOLIVRE</v>
      </c>
      <c r="C3905" s="93" t="s">
        <v>311</v>
      </c>
      <c r="D3905" s="93" t="s">
        <v>312</v>
      </c>
      <c r="E3905" s="93" t="s">
        <v>2320</v>
      </c>
      <c r="F3905" s="93" t="s">
        <v>2325</v>
      </c>
      <c r="G3905" s="93" t="s">
        <v>2499</v>
      </c>
      <c r="H3905" s="93" t="e">
        <v>#N/A</v>
      </c>
      <c r="I3905" s="105" t="s">
        <v>3752</v>
      </c>
      <c r="J3905" s="93" t="s">
        <v>189</v>
      </c>
      <c r="K3905" s="93"/>
      <c r="L3905" s="93"/>
      <c r="M3905" s="93" t="s">
        <v>2311</v>
      </c>
      <c r="N3905" s="93">
        <f>VLOOKUP(B3905,'[16]01.수집 카테고리(List)'!$A$2:$H$64,8,FALSE)</f>
        <v>99991231</v>
      </c>
      <c r="O3905" s="93" t="s">
        <v>646</v>
      </c>
    </row>
    <row r="3906" spans="1:15" hidden="1">
      <c r="A3906" s="75" t="str">
        <f t="shared" si="148"/>
        <v>BRMERCADOLIVRETVoled TVoled TV</v>
      </c>
      <c r="B3906" s="94" t="str">
        <f t="shared" si="149"/>
        <v>BR_MERCADOLIVRE</v>
      </c>
      <c r="C3906" s="93" t="s">
        <v>311</v>
      </c>
      <c r="D3906" s="93" t="s">
        <v>312</v>
      </c>
      <c r="E3906" s="93" t="s">
        <v>161</v>
      </c>
      <c r="F3906" s="93" t="s">
        <v>2369</v>
      </c>
      <c r="G3906" s="93" t="s">
        <v>2369</v>
      </c>
      <c r="H3906" s="93" t="e">
        <v>#N/A</v>
      </c>
      <c r="I3906" s="105" t="s">
        <v>3752</v>
      </c>
      <c r="J3906" s="93" t="s">
        <v>189</v>
      </c>
      <c r="K3906" s="93"/>
      <c r="L3906" s="93"/>
      <c r="M3906" s="93" t="s">
        <v>2311</v>
      </c>
      <c r="N3906" s="93">
        <f>VLOOKUP(B3906,'[16]01.수집 카테고리(List)'!$A$2:$H$64,8,FALSE)</f>
        <v>99991231</v>
      </c>
      <c r="O3906" s="93" t="s">
        <v>646</v>
      </c>
    </row>
    <row r="3907" spans="1:15" hidden="1">
      <c r="A3907" s="75" t="str">
        <f t="shared" si="148"/>
        <v>BRMERCADOLIVRETVsmart TVsmart TV</v>
      </c>
      <c r="B3907" s="94" t="str">
        <f t="shared" si="149"/>
        <v>BR_MERCADOLIVRE</v>
      </c>
      <c r="C3907" s="93" t="s">
        <v>311</v>
      </c>
      <c r="D3907" s="93" t="s">
        <v>312</v>
      </c>
      <c r="E3907" s="93" t="s">
        <v>161</v>
      </c>
      <c r="F3907" s="93" t="s">
        <v>2371</v>
      </c>
      <c r="G3907" s="93" t="s">
        <v>2371</v>
      </c>
      <c r="H3907" s="93" t="e">
        <v>#N/A</v>
      </c>
      <c r="I3907" s="105" t="s">
        <v>3752</v>
      </c>
      <c r="J3907" s="93" t="s">
        <v>189</v>
      </c>
      <c r="K3907" s="93"/>
      <c r="L3907" s="93"/>
      <c r="M3907" s="93" t="s">
        <v>2311</v>
      </c>
      <c r="N3907" s="93">
        <f>VLOOKUP(B3907,'[16]01.수집 카테고리(List)'!$A$2:$H$64,8,FALSE)</f>
        <v>99991231</v>
      </c>
      <c r="O3907" s="93" t="s">
        <v>646</v>
      </c>
    </row>
    <row r="3908" spans="1:15" hidden="1">
      <c r="A3908" s="75" t="str">
        <f t="shared" si="148"/>
        <v>BRMERCADOLIVRESOUNDBARSound BarSound Bar</v>
      </c>
      <c r="B3908" s="94" t="str">
        <f t="shared" si="149"/>
        <v>BR_MERCADOLIVRE</v>
      </c>
      <c r="C3908" s="93" t="s">
        <v>311</v>
      </c>
      <c r="D3908" s="93" t="s">
        <v>312</v>
      </c>
      <c r="E3908" s="93" t="s">
        <v>165</v>
      </c>
      <c r="F3908" s="93" t="s">
        <v>2488</v>
      </c>
      <c r="G3908" s="93" t="s">
        <v>2488</v>
      </c>
      <c r="H3908" s="93" t="e">
        <v>#N/A</v>
      </c>
      <c r="I3908" s="105" t="s">
        <v>3752</v>
      </c>
      <c r="J3908" s="93" t="s">
        <v>189</v>
      </c>
      <c r="K3908" s="93"/>
      <c r="L3908" s="93"/>
      <c r="M3908" s="93" t="s">
        <v>2311</v>
      </c>
      <c r="N3908" s="93">
        <f>VLOOKUP(B3908,'[16]01.수집 카테고리(List)'!$A$2:$H$64,8,FALSE)</f>
        <v>99991231</v>
      </c>
      <c r="O3908" s="93" t="s">
        <v>646</v>
      </c>
    </row>
    <row r="3909" spans="1:15" hidden="1">
      <c r="A3909" s="75" t="str">
        <f t="shared" si="148"/>
        <v>BRMERCADOLIVREAir Conditionersplit ACsplit AC</v>
      </c>
      <c r="B3909" s="94" t="str">
        <f t="shared" si="149"/>
        <v>BR_MERCADOLIVRE</v>
      </c>
      <c r="C3909" s="93" t="s">
        <v>311</v>
      </c>
      <c r="D3909" s="93" t="s">
        <v>312</v>
      </c>
      <c r="E3909" s="93" t="s">
        <v>2346</v>
      </c>
      <c r="F3909" s="93" t="s">
        <v>2495</v>
      </c>
      <c r="G3909" s="93" t="s">
        <v>2495</v>
      </c>
      <c r="H3909" s="93" t="e">
        <v>#N/A</v>
      </c>
      <c r="I3909" s="105" t="s">
        <v>3752</v>
      </c>
      <c r="J3909" s="93" t="s">
        <v>189</v>
      </c>
      <c r="K3909" s="93"/>
      <c r="L3909" s="93"/>
      <c r="M3909" s="93" t="s">
        <v>2311</v>
      </c>
      <c r="N3909" s="93">
        <f>VLOOKUP(B3909,'[16]01.수집 카테고리(List)'!$A$2:$H$64,8,FALSE)</f>
        <v>99991231</v>
      </c>
      <c r="O3909" s="93" t="s">
        <v>646</v>
      </c>
    </row>
    <row r="3910" spans="1:15" hidden="1">
      <c r="A3910" s="75" t="str">
        <f t="shared" si="148"/>
        <v>BRMERCADOLIVRETVTVTV</v>
      </c>
      <c r="B3910" s="94" t="str">
        <f t="shared" si="149"/>
        <v>BR_MERCADOLIVRE</v>
      </c>
      <c r="C3910" s="93" t="s">
        <v>311</v>
      </c>
      <c r="D3910" s="93" t="s">
        <v>312</v>
      </c>
      <c r="E3910" s="93" t="s">
        <v>161</v>
      </c>
      <c r="F3910" s="93" t="s">
        <v>161</v>
      </c>
      <c r="G3910" s="93" t="s">
        <v>161</v>
      </c>
      <c r="H3910" s="93" t="e">
        <v>#N/A</v>
      </c>
      <c r="I3910" s="105" t="s">
        <v>3752</v>
      </c>
      <c r="J3910" s="93" t="s">
        <v>189</v>
      </c>
      <c r="K3910" s="93"/>
      <c r="L3910" s="93"/>
      <c r="M3910" s="93" t="s">
        <v>2311</v>
      </c>
      <c r="N3910" s="93">
        <f>VLOOKUP(B3910,'[16]01.수집 카테고리(List)'!$A$2:$H$64,8,FALSE)</f>
        <v>99991231</v>
      </c>
      <c r="O3910" s="93" t="s">
        <v>646</v>
      </c>
    </row>
    <row r="3911" spans="1:15" hidden="1">
      <c r="A3911" s="75" t="str">
        <f t="shared" si="148"/>
        <v>BRMERCADOLIVRETVTV 4K TV 4K</v>
      </c>
      <c r="B3911" s="94" t="str">
        <f t="shared" si="149"/>
        <v>BR_MERCADOLIVRE</v>
      </c>
      <c r="C3911" s="93" t="s">
        <v>311</v>
      </c>
      <c r="D3911" s="93" t="s">
        <v>312</v>
      </c>
      <c r="E3911" s="93" t="s">
        <v>161</v>
      </c>
      <c r="F3911" s="93" t="s">
        <v>2507</v>
      </c>
      <c r="G3911" s="93" t="s">
        <v>2508</v>
      </c>
      <c r="H3911" s="93" t="e">
        <v>#N/A</v>
      </c>
      <c r="I3911" s="105" t="s">
        <v>3752</v>
      </c>
      <c r="J3911" s="93" t="s">
        <v>189</v>
      </c>
      <c r="K3911" s="93"/>
      <c r="L3911" s="93"/>
      <c r="M3911" s="93" t="s">
        <v>2311</v>
      </c>
      <c r="N3911" s="93">
        <f>VLOOKUP(B3911,'[16]01.수집 카테고리(List)'!$A$2:$H$64,8,FALSE)</f>
        <v>99991231</v>
      </c>
      <c r="O3911" s="93" t="s">
        <v>646</v>
      </c>
    </row>
    <row r="3912" spans="1:15" hidden="1">
      <c r="A3912" s="75" t="str">
        <f t="shared" si="148"/>
        <v>BRMERCADOLIVRETV55 Inch TVTV 55 Polegadas</v>
      </c>
      <c r="B3912" s="94" t="str">
        <f t="shared" si="149"/>
        <v>BR_MERCADOLIVRE</v>
      </c>
      <c r="C3912" s="93" t="s">
        <v>311</v>
      </c>
      <c r="D3912" s="93" t="s">
        <v>312</v>
      </c>
      <c r="E3912" s="93" t="s">
        <v>161</v>
      </c>
      <c r="F3912" s="93" t="s">
        <v>2509</v>
      </c>
      <c r="G3912" s="93" t="s">
        <v>2510</v>
      </c>
      <c r="H3912" s="93" t="e">
        <v>#N/A</v>
      </c>
      <c r="I3912" s="105" t="s">
        <v>3752</v>
      </c>
      <c r="J3912" s="93" t="s">
        <v>189</v>
      </c>
      <c r="K3912" s="93"/>
      <c r="L3912" s="93"/>
      <c r="M3912" s="93" t="s">
        <v>2311</v>
      </c>
      <c r="N3912" s="93">
        <f>VLOOKUP(B3912,'[16]01.수집 카테고리(List)'!$A$2:$H$64,8,FALSE)</f>
        <v>99991231</v>
      </c>
      <c r="O3912" s="93" t="s">
        <v>646</v>
      </c>
    </row>
    <row r="3913" spans="1:15" hidden="1">
      <c r="A3913" s="75" t="str">
        <f t="shared" ref="A3913:A3976" si="150">C3913&amp;D3913&amp;E3913&amp;F3913&amp;G3913</f>
        <v>BRMERCADOLIVRETV65 Inch TVTV 65 Polegadas</v>
      </c>
      <c r="B3913" s="94" t="str">
        <f t="shared" ref="B3913:B3976" si="151">C3913&amp;"_"&amp;D3913</f>
        <v>BR_MERCADOLIVRE</v>
      </c>
      <c r="C3913" s="93" t="s">
        <v>311</v>
      </c>
      <c r="D3913" s="93" t="s">
        <v>312</v>
      </c>
      <c r="E3913" s="93" t="s">
        <v>161</v>
      </c>
      <c r="F3913" s="93" t="s">
        <v>2511</v>
      </c>
      <c r="G3913" s="93" t="s">
        <v>2512</v>
      </c>
      <c r="H3913" s="93" t="e">
        <v>#N/A</v>
      </c>
      <c r="I3913" s="105" t="s">
        <v>3752</v>
      </c>
      <c r="J3913" s="93" t="s">
        <v>189</v>
      </c>
      <c r="K3913" s="93"/>
      <c r="L3913" s="93"/>
      <c r="M3913" s="93" t="s">
        <v>2311</v>
      </c>
      <c r="N3913" s="93">
        <f>VLOOKUP(B3913,'[16]01.수집 카테고리(List)'!$A$2:$H$64,8,FALSE)</f>
        <v>99991231</v>
      </c>
      <c r="O3913" s="93" t="s">
        <v>646</v>
      </c>
    </row>
    <row r="3914" spans="1:15" hidden="1">
      <c r="A3914" s="75" t="str">
        <f t="shared" si="150"/>
        <v>BRMERCADOLIVREMonitorTV MonitorTV Monitor</v>
      </c>
      <c r="B3914" s="94" t="str">
        <f t="shared" si="151"/>
        <v>BR_MERCADOLIVRE</v>
      </c>
      <c r="C3914" s="93" t="s">
        <v>311</v>
      </c>
      <c r="D3914" s="93" t="s">
        <v>312</v>
      </c>
      <c r="E3914" s="93" t="s">
        <v>2320</v>
      </c>
      <c r="F3914" s="93" t="s">
        <v>2454</v>
      </c>
      <c r="G3914" s="93" t="s">
        <v>2454</v>
      </c>
      <c r="H3914" s="93" t="e">
        <v>#N/A</v>
      </c>
      <c r="I3914" s="105" t="s">
        <v>3752</v>
      </c>
      <c r="J3914" s="93" t="s">
        <v>189</v>
      </c>
      <c r="K3914" s="93"/>
      <c r="L3914" s="93"/>
      <c r="M3914" s="93" t="s">
        <v>2311</v>
      </c>
      <c r="N3914" s="93">
        <f>VLOOKUP(B3914,'[16]01.수집 카테고리(List)'!$A$2:$H$64,8,FALSE)</f>
        <v>99991231</v>
      </c>
      <c r="O3914" s="93" t="s">
        <v>646</v>
      </c>
    </row>
    <row r="3915" spans="1:15" hidden="1">
      <c r="A3915" s="75" t="str">
        <f t="shared" si="150"/>
        <v>BRMERCADOLIVRETVuhd TVuhd TV</v>
      </c>
      <c r="B3915" s="94" t="str">
        <f t="shared" si="151"/>
        <v>BR_MERCADOLIVRE</v>
      </c>
      <c r="C3915" s="93" t="s">
        <v>311</v>
      </c>
      <c r="D3915" s="93" t="s">
        <v>312</v>
      </c>
      <c r="E3915" s="93" t="s">
        <v>161</v>
      </c>
      <c r="F3915" s="93" t="s">
        <v>2399</v>
      </c>
      <c r="G3915" s="93" t="s">
        <v>2399</v>
      </c>
      <c r="H3915" s="93" t="e">
        <v>#N/A</v>
      </c>
      <c r="I3915" s="105" t="s">
        <v>3752</v>
      </c>
      <c r="J3915" s="93" t="s">
        <v>189</v>
      </c>
      <c r="K3915" s="93"/>
      <c r="L3915" s="93"/>
      <c r="M3915" s="93" t="s">
        <v>2311</v>
      </c>
      <c r="N3915" s="93">
        <f>VLOOKUP(B3915,'[16]01.수집 카테고리(List)'!$A$2:$H$64,8,FALSE)</f>
        <v>99991231</v>
      </c>
      <c r="O3915" s="93" t="s">
        <v>646</v>
      </c>
    </row>
    <row r="3916" spans="1:15" s="81" customFormat="1" hidden="1">
      <c r="A3916" s="81" t="str">
        <f t="shared" si="150"/>
        <v>BRMERCADOLIVREDryerDryersecador</v>
      </c>
      <c r="B3916" s="106" t="str">
        <f t="shared" si="151"/>
        <v>BR_MERCADOLIVRE</v>
      </c>
      <c r="C3916" s="107" t="s">
        <v>311</v>
      </c>
      <c r="D3916" s="107" t="s">
        <v>312</v>
      </c>
      <c r="E3916" s="107" t="s">
        <v>2535</v>
      </c>
      <c r="F3916" s="107" t="s">
        <v>2431</v>
      </c>
      <c r="G3916" s="107" t="s">
        <v>2491</v>
      </c>
      <c r="H3916" s="93" t="e">
        <v>#N/A</v>
      </c>
      <c r="I3916" s="99">
        <v>46076</v>
      </c>
      <c r="J3916" s="83" t="s">
        <v>189</v>
      </c>
      <c r="K3916" s="107"/>
      <c r="L3916" s="107"/>
      <c r="M3916" s="107"/>
      <c r="N3916" s="107"/>
      <c r="O3916" s="107"/>
    </row>
    <row r="3917" spans="1:15" hidden="1">
      <c r="A3917" s="75" t="str">
        <f t="shared" si="150"/>
        <v>CABESTBUYDryerDryerDryer</v>
      </c>
      <c r="B3917" s="94" t="str">
        <f t="shared" si="151"/>
        <v>CA_BESTBUY</v>
      </c>
      <c r="C3917" s="93" t="s">
        <v>345</v>
      </c>
      <c r="D3917" s="93" t="s">
        <v>348</v>
      </c>
      <c r="E3917" s="93" t="s">
        <v>2431</v>
      </c>
      <c r="F3917" s="93" t="s">
        <v>2431</v>
      </c>
      <c r="G3917" s="93" t="s">
        <v>2431</v>
      </c>
      <c r="H3917" s="93" t="e">
        <v>#N/A</v>
      </c>
      <c r="I3917" s="105" t="s">
        <v>3759</v>
      </c>
      <c r="J3917" s="93" t="s">
        <v>189</v>
      </c>
      <c r="K3917" s="93"/>
      <c r="L3917" s="93"/>
      <c r="M3917" s="93"/>
      <c r="N3917" s="93"/>
      <c r="O3917" s="93" t="s">
        <v>646</v>
      </c>
    </row>
    <row r="3918" spans="1:15" hidden="1">
      <c r="A3918" s="75" t="str">
        <f t="shared" si="150"/>
        <v>CABESTBUYDryerElectric dryerElectric dryer</v>
      </c>
      <c r="B3918" s="94" t="str">
        <f t="shared" si="151"/>
        <v>CA_BESTBUY</v>
      </c>
      <c r="C3918" s="93" t="s">
        <v>345</v>
      </c>
      <c r="D3918" s="93" t="s">
        <v>348</v>
      </c>
      <c r="E3918" s="93" t="s">
        <v>2431</v>
      </c>
      <c r="F3918" s="93" t="s">
        <v>2536</v>
      </c>
      <c r="G3918" s="93" t="s">
        <v>2536</v>
      </c>
      <c r="H3918" s="93" t="e">
        <v>#N/A</v>
      </c>
      <c r="I3918" s="105" t="s">
        <v>3759</v>
      </c>
      <c r="J3918" s="93" t="s">
        <v>189</v>
      </c>
      <c r="K3918" s="93"/>
      <c r="L3918" s="93"/>
      <c r="M3918" s="93"/>
      <c r="N3918" s="93"/>
      <c r="O3918" s="93" t="s">
        <v>646</v>
      </c>
    </row>
    <row r="3919" spans="1:15" hidden="1">
      <c r="A3919" s="75" t="str">
        <f t="shared" si="150"/>
        <v>CABESTBUYDryerGas dryerGas dryer</v>
      </c>
      <c r="B3919" s="94" t="str">
        <f t="shared" si="151"/>
        <v>CA_BESTBUY</v>
      </c>
      <c r="C3919" s="93" t="s">
        <v>345</v>
      </c>
      <c r="D3919" s="93" t="s">
        <v>348</v>
      </c>
      <c r="E3919" s="93" t="s">
        <v>2431</v>
      </c>
      <c r="F3919" s="93" t="s">
        <v>2537</v>
      </c>
      <c r="G3919" s="93" t="s">
        <v>2537</v>
      </c>
      <c r="H3919" s="93" t="e">
        <v>#N/A</v>
      </c>
      <c r="I3919" s="105" t="s">
        <v>3759</v>
      </c>
      <c r="J3919" s="93" t="s">
        <v>189</v>
      </c>
      <c r="K3919" s="93"/>
      <c r="L3919" s="93"/>
      <c r="M3919" s="93"/>
      <c r="N3919" s="93"/>
      <c r="O3919" s="93" t="s">
        <v>646</v>
      </c>
    </row>
    <row r="3920" spans="1:15" hidden="1">
      <c r="A3920" s="75" t="str">
        <f t="shared" si="150"/>
        <v>ESAMAZONTV4k tv4k tv</v>
      </c>
      <c r="B3920" s="94" t="str">
        <f t="shared" si="151"/>
        <v>ES_AMAZON</v>
      </c>
      <c r="C3920" s="93" t="s">
        <v>285</v>
      </c>
      <c r="D3920" s="93" t="s">
        <v>262</v>
      </c>
      <c r="E3920" s="93" t="s">
        <v>2448</v>
      </c>
      <c r="F3920" s="93" t="s">
        <v>2580</v>
      </c>
      <c r="G3920" s="93" t="s">
        <v>2580</v>
      </c>
      <c r="H3920" s="93" t="e">
        <v>#N/A</v>
      </c>
      <c r="I3920" s="105" t="s">
        <v>3759</v>
      </c>
      <c r="J3920" s="93" t="s">
        <v>189</v>
      </c>
      <c r="K3920" s="93"/>
      <c r="L3920" s="93"/>
      <c r="M3920" s="93"/>
      <c r="N3920" s="93"/>
      <c r="O3920" s="93" t="s">
        <v>646</v>
      </c>
    </row>
    <row r="3921" spans="1:15" hidden="1">
      <c r="A3921" s="75" t="str">
        <f t="shared" si="150"/>
        <v>ESAMAZONTVoled TVoled tv</v>
      </c>
      <c r="B3921" s="94" t="str">
        <f t="shared" si="151"/>
        <v>ES_AMAZON</v>
      </c>
      <c r="C3921" s="93" t="s">
        <v>285</v>
      </c>
      <c r="D3921" s="93" t="s">
        <v>262</v>
      </c>
      <c r="E3921" s="93" t="s">
        <v>2448</v>
      </c>
      <c r="F3921" s="93" t="s">
        <v>2369</v>
      </c>
      <c r="G3921" s="93" t="s">
        <v>2581</v>
      </c>
      <c r="H3921" s="93" t="e">
        <v>#N/A</v>
      </c>
      <c r="I3921" s="105" t="s">
        <v>3759</v>
      </c>
      <c r="J3921" s="93" t="s">
        <v>189</v>
      </c>
      <c r="K3921" s="93"/>
      <c r="L3921" s="93"/>
      <c r="M3921" s="93"/>
      <c r="N3921" s="93"/>
      <c r="O3921" s="93" t="s">
        <v>646</v>
      </c>
    </row>
    <row r="3922" spans="1:15" hidden="1">
      <c r="A3922" s="75" t="str">
        <f t="shared" si="150"/>
        <v>ESAMAZONTVTVtv</v>
      </c>
      <c r="B3922" s="94" t="str">
        <f t="shared" si="151"/>
        <v>ES_AMAZON</v>
      </c>
      <c r="C3922" s="93" t="s">
        <v>285</v>
      </c>
      <c r="D3922" s="93" t="s">
        <v>262</v>
      </c>
      <c r="E3922" s="93" t="s">
        <v>2448</v>
      </c>
      <c r="F3922" s="93" t="s">
        <v>161</v>
      </c>
      <c r="G3922" s="93" t="s">
        <v>2444</v>
      </c>
      <c r="H3922" s="93" t="e">
        <v>#N/A</v>
      </c>
      <c r="I3922" s="105" t="s">
        <v>3759</v>
      </c>
      <c r="J3922" s="93" t="s">
        <v>189</v>
      </c>
      <c r="K3922" s="93"/>
      <c r="L3922" s="93"/>
      <c r="M3922" s="93"/>
      <c r="N3922" s="93"/>
      <c r="O3922" s="93" t="s">
        <v>646</v>
      </c>
    </row>
    <row r="3923" spans="1:15" hidden="1">
      <c r="A3923" s="75" t="str">
        <f t="shared" si="150"/>
        <v>ESELCORTEINGLES_ELECTRONICATV4k tv4k tv</v>
      </c>
      <c r="B3923" s="94" t="str">
        <f t="shared" si="151"/>
        <v>ES_ELCORTEINGLES_ELECTRONICA</v>
      </c>
      <c r="C3923" s="93" t="s">
        <v>285</v>
      </c>
      <c r="D3923" s="93" t="s">
        <v>287</v>
      </c>
      <c r="E3923" s="93" t="s">
        <v>2448</v>
      </c>
      <c r="F3923" s="93" t="s">
        <v>2580</v>
      </c>
      <c r="G3923" s="93" t="s">
        <v>2580</v>
      </c>
      <c r="H3923" s="93" t="e">
        <v>#N/A</v>
      </c>
      <c r="I3923" s="105" t="s">
        <v>3759</v>
      </c>
      <c r="J3923" s="93" t="s">
        <v>189</v>
      </c>
      <c r="K3923" s="93"/>
      <c r="L3923" s="93"/>
      <c r="M3923" s="93"/>
      <c r="N3923" s="93"/>
      <c r="O3923" s="93" t="s">
        <v>646</v>
      </c>
    </row>
    <row r="3924" spans="1:15" hidden="1">
      <c r="A3924" s="75" t="str">
        <f t="shared" si="150"/>
        <v>ESELCORTEINGLES_ELECTRONICATVoled TVoled tv</v>
      </c>
      <c r="B3924" s="94" t="str">
        <f t="shared" si="151"/>
        <v>ES_ELCORTEINGLES_ELECTRONICA</v>
      </c>
      <c r="C3924" s="93" t="s">
        <v>285</v>
      </c>
      <c r="D3924" s="93" t="s">
        <v>287</v>
      </c>
      <c r="E3924" s="93" t="s">
        <v>2448</v>
      </c>
      <c r="F3924" s="93" t="s">
        <v>2369</v>
      </c>
      <c r="G3924" s="93" t="s">
        <v>2581</v>
      </c>
      <c r="H3924" s="93" t="e">
        <v>#N/A</v>
      </c>
      <c r="I3924" s="105" t="s">
        <v>3759</v>
      </c>
      <c r="J3924" s="93" t="s">
        <v>189</v>
      </c>
      <c r="K3924" s="93"/>
      <c r="L3924" s="93"/>
      <c r="M3924" s="93"/>
      <c r="N3924" s="93"/>
      <c r="O3924" s="93" t="s">
        <v>646</v>
      </c>
    </row>
    <row r="3925" spans="1:15" hidden="1">
      <c r="A3925" s="75" t="str">
        <f t="shared" si="150"/>
        <v>ESELCORTEINGLES_ELECTRONICATVTVtv</v>
      </c>
      <c r="B3925" s="94" t="str">
        <f t="shared" si="151"/>
        <v>ES_ELCORTEINGLES_ELECTRONICA</v>
      </c>
      <c r="C3925" s="93" t="s">
        <v>285</v>
      </c>
      <c r="D3925" s="93" t="s">
        <v>287</v>
      </c>
      <c r="E3925" s="93" t="s">
        <v>2448</v>
      </c>
      <c r="F3925" s="93" t="s">
        <v>161</v>
      </c>
      <c r="G3925" s="93" t="s">
        <v>2444</v>
      </c>
      <c r="H3925" s="93" t="e">
        <v>#N/A</v>
      </c>
      <c r="I3925" s="105" t="s">
        <v>3759</v>
      </c>
      <c r="J3925" s="93" t="s">
        <v>189</v>
      </c>
      <c r="K3925" s="93"/>
      <c r="L3925" s="93"/>
      <c r="M3925" s="93"/>
      <c r="N3925" s="93"/>
      <c r="O3925" s="93" t="s">
        <v>646</v>
      </c>
    </row>
    <row r="3926" spans="1:15" hidden="1">
      <c r="A3926" s="75" t="str">
        <f t="shared" si="150"/>
        <v>ESMEDIAMARKTTV4k tv4k tv</v>
      </c>
      <c r="B3926" s="94" t="str">
        <f t="shared" si="151"/>
        <v>ES_MEDIAMARKT</v>
      </c>
      <c r="C3926" s="93" t="s">
        <v>285</v>
      </c>
      <c r="D3926" s="93" t="s">
        <v>264</v>
      </c>
      <c r="E3926" s="93" t="s">
        <v>2448</v>
      </c>
      <c r="F3926" s="93" t="s">
        <v>2580</v>
      </c>
      <c r="G3926" s="93" t="s">
        <v>2580</v>
      </c>
      <c r="H3926" s="93" t="e">
        <v>#N/A</v>
      </c>
      <c r="I3926" s="105" t="s">
        <v>3759</v>
      </c>
      <c r="J3926" s="93" t="s">
        <v>189</v>
      </c>
      <c r="K3926" s="93"/>
      <c r="L3926" s="93"/>
      <c r="M3926" s="93"/>
      <c r="N3926" s="93"/>
      <c r="O3926" s="93" t="s">
        <v>646</v>
      </c>
    </row>
    <row r="3927" spans="1:15" hidden="1">
      <c r="A3927" s="75" t="str">
        <f t="shared" si="150"/>
        <v>ESMEDIAMARKTTVoled TVoled tv</v>
      </c>
      <c r="B3927" s="94" t="str">
        <f t="shared" si="151"/>
        <v>ES_MEDIAMARKT</v>
      </c>
      <c r="C3927" s="93" t="s">
        <v>285</v>
      </c>
      <c r="D3927" s="93" t="s">
        <v>264</v>
      </c>
      <c r="E3927" s="93" t="s">
        <v>2448</v>
      </c>
      <c r="F3927" s="93" t="s">
        <v>2369</v>
      </c>
      <c r="G3927" s="93" t="s">
        <v>2581</v>
      </c>
      <c r="H3927" s="93" t="e">
        <v>#N/A</v>
      </c>
      <c r="I3927" s="105" t="s">
        <v>3759</v>
      </c>
      <c r="J3927" s="93" t="s">
        <v>189</v>
      </c>
      <c r="K3927" s="93"/>
      <c r="L3927" s="93"/>
      <c r="M3927" s="93"/>
      <c r="N3927" s="93"/>
      <c r="O3927" s="93" t="s">
        <v>646</v>
      </c>
    </row>
    <row r="3928" spans="1:15" hidden="1">
      <c r="A3928" s="75" t="str">
        <f t="shared" si="150"/>
        <v>ESMEDIAMARKTTVTVtv</v>
      </c>
      <c r="B3928" s="94" t="str">
        <f t="shared" si="151"/>
        <v>ES_MEDIAMARKT</v>
      </c>
      <c r="C3928" s="93" t="s">
        <v>285</v>
      </c>
      <c r="D3928" s="93" t="s">
        <v>264</v>
      </c>
      <c r="E3928" s="93" t="s">
        <v>2448</v>
      </c>
      <c r="F3928" s="93" t="s">
        <v>161</v>
      </c>
      <c r="G3928" s="93" t="s">
        <v>2444</v>
      </c>
      <c r="H3928" s="93" t="e">
        <v>#N/A</v>
      </c>
      <c r="I3928" s="105" t="s">
        <v>3759</v>
      </c>
      <c r="J3928" s="93" t="s">
        <v>189</v>
      </c>
      <c r="K3928" s="93"/>
      <c r="L3928" s="93"/>
      <c r="M3928" s="93"/>
      <c r="N3928" s="93"/>
      <c r="O3928" s="93" t="s">
        <v>646</v>
      </c>
    </row>
    <row r="3929" spans="1:15" s="81" customFormat="1" hidden="1">
      <c r="A3929" s="81" t="str">
        <f t="shared" si="150"/>
        <v>ESLG.comAir Conditionerair conditioneraire acondicionado</v>
      </c>
      <c r="B3929" s="106" t="str">
        <f t="shared" si="151"/>
        <v>ES_LG.com</v>
      </c>
      <c r="C3929" s="107" t="s">
        <v>283</v>
      </c>
      <c r="D3929" s="107" t="s">
        <v>321</v>
      </c>
      <c r="E3929" s="107" t="s">
        <v>2346</v>
      </c>
      <c r="F3929" s="107" t="s">
        <v>2347</v>
      </c>
      <c r="G3929" s="107" t="s">
        <v>2788</v>
      </c>
      <c r="H3929" s="93" t="e">
        <v>#N/A</v>
      </c>
      <c r="I3929" s="99">
        <v>46076</v>
      </c>
      <c r="J3929" s="83" t="s">
        <v>189</v>
      </c>
      <c r="K3929" s="107"/>
      <c r="L3929" s="107"/>
      <c r="M3929" s="107"/>
      <c r="N3929" s="107"/>
      <c r="O3929" s="107"/>
    </row>
    <row r="3930" spans="1:15" s="81" customFormat="1" hidden="1">
      <c r="A3930" s="81" t="str">
        <f t="shared" si="150"/>
        <v>ESLG.comMonitormonitormonitor</v>
      </c>
      <c r="B3930" s="106" t="str">
        <f t="shared" si="151"/>
        <v>ES_LG.com</v>
      </c>
      <c r="C3930" s="107" t="s">
        <v>283</v>
      </c>
      <c r="D3930" s="107" t="s">
        <v>321</v>
      </c>
      <c r="E3930" s="107" t="s">
        <v>2320</v>
      </c>
      <c r="F3930" s="107" t="s">
        <v>2323</v>
      </c>
      <c r="G3930" s="107" t="s">
        <v>2323</v>
      </c>
      <c r="H3930" s="93" t="e">
        <v>#N/A</v>
      </c>
      <c r="I3930" s="99">
        <v>46076</v>
      </c>
      <c r="J3930" s="83" t="s">
        <v>189</v>
      </c>
      <c r="K3930" s="107"/>
      <c r="L3930" s="107"/>
      <c r="M3930" s="107"/>
      <c r="N3930" s="107"/>
      <c r="O3930" s="107"/>
    </row>
    <row r="3931" spans="1:15" s="81" customFormat="1" hidden="1">
      <c r="A3931" s="81" t="str">
        <f t="shared" si="150"/>
        <v>ESLG.comMonitorgaming monitormonitor para juegos</v>
      </c>
      <c r="B3931" s="106" t="str">
        <f t="shared" si="151"/>
        <v>ES_LG.com</v>
      </c>
      <c r="C3931" s="107" t="s">
        <v>283</v>
      </c>
      <c r="D3931" s="107" t="s">
        <v>321</v>
      </c>
      <c r="E3931" s="107" t="s">
        <v>2320</v>
      </c>
      <c r="F3931" s="107" t="s">
        <v>2322</v>
      </c>
      <c r="G3931" s="107" t="s">
        <v>2789</v>
      </c>
      <c r="H3931" s="93" t="e">
        <v>#N/A</v>
      </c>
      <c r="I3931" s="99">
        <v>46076</v>
      </c>
      <c r="J3931" s="83" t="s">
        <v>189</v>
      </c>
      <c r="K3931" s="107"/>
      <c r="L3931" s="107"/>
      <c r="M3931" s="107"/>
      <c r="N3931" s="107"/>
      <c r="O3931" s="107"/>
    </row>
    <row r="3932" spans="1:15" s="81" customFormat="1" hidden="1">
      <c r="A3932" s="81" t="str">
        <f t="shared" si="150"/>
        <v>ESLG.comRefrigeratorfridgefrigorífico</v>
      </c>
      <c r="B3932" s="106" t="str">
        <f t="shared" si="151"/>
        <v>ES_LG.com</v>
      </c>
      <c r="C3932" s="107" t="s">
        <v>283</v>
      </c>
      <c r="D3932" s="107" t="s">
        <v>321</v>
      </c>
      <c r="E3932" s="107" t="s">
        <v>2326</v>
      </c>
      <c r="F3932" s="107" t="s">
        <v>2414</v>
      </c>
      <c r="G3932" s="107" t="s">
        <v>2790</v>
      </c>
      <c r="H3932" s="93" t="e">
        <v>#N/A</v>
      </c>
      <c r="I3932" s="99">
        <v>46076</v>
      </c>
      <c r="J3932" s="83" t="s">
        <v>189</v>
      </c>
      <c r="K3932" s="107"/>
      <c r="L3932" s="107"/>
      <c r="M3932" s="107"/>
      <c r="N3932" s="107"/>
      <c r="O3932" s="107"/>
    </row>
    <row r="3933" spans="1:15" s="81" customFormat="1" hidden="1">
      <c r="A3933" s="81" t="str">
        <f t="shared" si="150"/>
        <v>ESLG.comRefrigeratorrefrigeratorrefrigerador</v>
      </c>
      <c r="B3933" s="106" t="str">
        <f t="shared" si="151"/>
        <v>ES_LG.com</v>
      </c>
      <c r="C3933" s="107" t="s">
        <v>283</v>
      </c>
      <c r="D3933" s="107" t="s">
        <v>321</v>
      </c>
      <c r="E3933" s="107" t="s">
        <v>2326</v>
      </c>
      <c r="F3933" s="107" t="s">
        <v>2329</v>
      </c>
      <c r="G3933" s="107" t="s">
        <v>2561</v>
      </c>
      <c r="H3933" s="93" t="e">
        <v>#N/A</v>
      </c>
      <c r="I3933" s="99">
        <v>46076</v>
      </c>
      <c r="J3933" s="83" t="s">
        <v>189</v>
      </c>
      <c r="K3933" s="107"/>
      <c r="L3933" s="107"/>
      <c r="M3933" s="107"/>
      <c r="N3933" s="107"/>
      <c r="O3933" s="107"/>
    </row>
    <row r="3934" spans="1:15" s="81" customFormat="1" hidden="1">
      <c r="A3934" s="81" t="str">
        <f t="shared" si="150"/>
        <v>ESLG.comTVtvtelevisor</v>
      </c>
      <c r="B3934" s="106" t="str">
        <f t="shared" si="151"/>
        <v>ES_LG.com</v>
      </c>
      <c r="C3934" s="107" t="s">
        <v>283</v>
      </c>
      <c r="D3934" s="107" t="s">
        <v>321</v>
      </c>
      <c r="E3934" s="107" t="s">
        <v>161</v>
      </c>
      <c r="F3934" s="107" t="s">
        <v>2444</v>
      </c>
      <c r="G3934" s="107" t="s">
        <v>2583</v>
      </c>
      <c r="H3934" s="93" t="e">
        <v>#N/A</v>
      </c>
      <c r="I3934" s="99">
        <v>46076</v>
      </c>
      <c r="J3934" s="83" t="s">
        <v>189</v>
      </c>
      <c r="K3934" s="107"/>
      <c r="L3934" s="107"/>
      <c r="M3934" s="107"/>
      <c r="N3934" s="107"/>
      <c r="O3934" s="107"/>
    </row>
    <row r="3935" spans="1:15" s="81" customFormat="1" hidden="1">
      <c r="A3935" s="81" t="str">
        <f t="shared" si="150"/>
        <v>ESLG.comWashing Machinewashing machinelavadora</v>
      </c>
      <c r="B3935" s="106" t="str">
        <f t="shared" si="151"/>
        <v>ES_LG.com</v>
      </c>
      <c r="C3935" s="107" t="s">
        <v>283</v>
      </c>
      <c r="D3935" s="107" t="s">
        <v>321</v>
      </c>
      <c r="E3935" s="107" t="s">
        <v>2333</v>
      </c>
      <c r="F3935" s="107" t="s">
        <v>2340</v>
      </c>
      <c r="G3935" s="107" t="s">
        <v>2753</v>
      </c>
      <c r="H3935" s="93" t="e">
        <v>#N/A</v>
      </c>
      <c r="I3935" s="99">
        <v>46076</v>
      </c>
      <c r="J3935" s="83" t="s">
        <v>189</v>
      </c>
      <c r="K3935" s="107"/>
      <c r="L3935" s="107"/>
      <c r="M3935" s="107"/>
      <c r="N3935" s="107"/>
      <c r="O3935" s="107"/>
    </row>
    <row r="3936" spans="1:15" s="81" customFormat="1" hidden="1">
      <c r="A3936" s="81" t="str">
        <f t="shared" si="150"/>
        <v>ESLG.comWashing Machinewasher dryerlavasecadora</v>
      </c>
      <c r="B3936" s="106" t="str">
        <f t="shared" si="151"/>
        <v>ES_LG.com</v>
      </c>
      <c r="C3936" s="107" t="s">
        <v>283</v>
      </c>
      <c r="D3936" s="107" t="s">
        <v>321</v>
      </c>
      <c r="E3936" s="107" t="s">
        <v>2333</v>
      </c>
      <c r="F3936" s="107" t="s">
        <v>2339</v>
      </c>
      <c r="G3936" s="107" t="s">
        <v>2791</v>
      </c>
      <c r="H3936" s="93" t="e">
        <v>#N/A</v>
      </c>
      <c r="I3936" s="99">
        <v>46076</v>
      </c>
      <c r="J3936" s="83" t="s">
        <v>189</v>
      </c>
      <c r="K3936" s="107"/>
      <c r="L3936" s="107"/>
      <c r="M3936" s="107"/>
      <c r="N3936" s="107"/>
      <c r="O3936" s="107"/>
    </row>
    <row r="3937" spans="1:15" s="111" customFormat="1" hidden="1">
      <c r="A3937" s="111" t="str">
        <f t="shared" si="150"/>
        <v>ESLG.comBluetooth Speakerspeakersaltavoces</v>
      </c>
      <c r="B3937" s="112" t="str">
        <f t="shared" si="151"/>
        <v>ES_LG.com</v>
      </c>
      <c r="C3937" s="113" t="s">
        <v>283</v>
      </c>
      <c r="D3937" s="113" t="s">
        <v>321</v>
      </c>
      <c r="E3937" s="113" t="s">
        <v>2470</v>
      </c>
      <c r="F3937" s="113" t="s">
        <v>2471</v>
      </c>
      <c r="G3937" s="113" t="s">
        <v>2764</v>
      </c>
      <c r="H3937" s="93" t="e">
        <v>#N/A</v>
      </c>
      <c r="I3937" s="99">
        <v>46076</v>
      </c>
      <c r="J3937" s="83" t="s">
        <v>189</v>
      </c>
      <c r="K3937" s="113"/>
      <c r="L3937" s="113"/>
      <c r="M3937" s="113"/>
      <c r="N3937" s="113"/>
      <c r="O3937" s="113"/>
    </row>
    <row r="3938" spans="1:15" s="111" customFormat="1" hidden="1">
      <c r="A3938" s="111" t="str">
        <f t="shared" si="150"/>
        <v>ESLG.comBluetooth Speakerportable speakersaltavoces portátiles</v>
      </c>
      <c r="B3938" s="112" t="str">
        <f t="shared" si="151"/>
        <v>ES_LG.com</v>
      </c>
      <c r="C3938" s="113" t="s">
        <v>283</v>
      </c>
      <c r="D3938" s="113" t="s">
        <v>321</v>
      </c>
      <c r="E3938" s="113" t="s">
        <v>2470</v>
      </c>
      <c r="F3938" s="113" t="s">
        <v>2473</v>
      </c>
      <c r="G3938" s="113" t="s">
        <v>2765</v>
      </c>
      <c r="H3938" s="93" t="e">
        <v>#N/A</v>
      </c>
      <c r="I3938" s="99">
        <v>46076</v>
      </c>
      <c r="J3938" s="83" t="s">
        <v>189</v>
      </c>
      <c r="K3938" s="113"/>
      <c r="L3938" s="113"/>
      <c r="M3938" s="113"/>
      <c r="N3938" s="113"/>
      <c r="O3938" s="113"/>
    </row>
    <row r="3939" spans="1:15" s="111" customFormat="1" hidden="1">
      <c r="A3939" s="111" t="str">
        <f t="shared" si="150"/>
        <v>ESLG.comBluetooth Speakerwireless portable speakersaltavoces portátiles inalámbricos</v>
      </c>
      <c r="B3939" s="112" t="str">
        <f t="shared" si="151"/>
        <v>ES_LG.com</v>
      </c>
      <c r="C3939" s="113" t="s">
        <v>283</v>
      </c>
      <c r="D3939" s="113" t="s">
        <v>321</v>
      </c>
      <c r="E3939" s="113" t="s">
        <v>2470</v>
      </c>
      <c r="F3939" s="113" t="s">
        <v>2475</v>
      </c>
      <c r="G3939" s="113" t="s">
        <v>2766</v>
      </c>
      <c r="H3939" s="93" t="e">
        <v>#N/A</v>
      </c>
      <c r="I3939" s="99">
        <v>46076</v>
      </c>
      <c r="J3939" s="83" t="s">
        <v>189</v>
      </c>
      <c r="K3939" s="113"/>
      <c r="L3939" s="113"/>
      <c r="M3939" s="113"/>
      <c r="N3939" s="113"/>
      <c r="O3939" s="113"/>
    </row>
    <row r="3940" spans="1:15" s="111" customFormat="1" hidden="1">
      <c r="A3940" s="111" t="str">
        <f t="shared" si="150"/>
        <v>ESLG.comBluetooth Speakerbluetooth speakerAltavoz bluetooth</v>
      </c>
      <c r="B3940" s="112" t="str">
        <f t="shared" si="151"/>
        <v>ES_LG.com</v>
      </c>
      <c r="C3940" s="113" t="s">
        <v>283</v>
      </c>
      <c r="D3940" s="113" t="s">
        <v>321</v>
      </c>
      <c r="E3940" s="113" t="s">
        <v>2470</v>
      </c>
      <c r="F3940" s="113" t="s">
        <v>2657</v>
      </c>
      <c r="G3940" s="113" t="s">
        <v>2767</v>
      </c>
      <c r="H3940" s="93" t="e">
        <v>#N/A</v>
      </c>
      <c r="I3940" s="99">
        <v>46076</v>
      </c>
      <c r="J3940" s="83" t="s">
        <v>189</v>
      </c>
      <c r="K3940" s="113"/>
      <c r="L3940" s="113"/>
      <c r="M3940" s="113"/>
      <c r="N3940" s="113"/>
      <c r="O3940" s="113"/>
    </row>
    <row r="3941" spans="1:15" s="111" customFormat="1" hidden="1">
      <c r="A3941" s="111" t="str">
        <f t="shared" si="150"/>
        <v>ESLG.comBluetooth Speakerbluetooth speaker portableAltavoz portátil bluetooth</v>
      </c>
      <c r="B3941" s="112" t="str">
        <f t="shared" si="151"/>
        <v>ES_LG.com</v>
      </c>
      <c r="C3941" s="113" t="s">
        <v>283</v>
      </c>
      <c r="D3941" s="113" t="s">
        <v>321</v>
      </c>
      <c r="E3941" s="113" t="s">
        <v>2470</v>
      </c>
      <c r="F3941" s="113" t="s">
        <v>2479</v>
      </c>
      <c r="G3941" s="113" t="s">
        <v>2768</v>
      </c>
      <c r="H3941" s="93" t="e">
        <v>#N/A</v>
      </c>
      <c r="I3941" s="99">
        <v>46076</v>
      </c>
      <c r="J3941" s="83" t="s">
        <v>189</v>
      </c>
      <c r="K3941" s="113"/>
      <c r="L3941" s="113"/>
      <c r="M3941" s="113"/>
      <c r="N3941" s="113"/>
      <c r="O3941" s="113"/>
    </row>
    <row r="3942" spans="1:15" s="111" customFormat="1" hidden="1">
      <c r="A3942" s="111" t="str">
        <f t="shared" si="150"/>
        <v>ESLG.comSOUNDBARSoundbarBarra de sonido</v>
      </c>
      <c r="B3942" s="112" t="str">
        <f t="shared" si="151"/>
        <v>ES_LG.com</v>
      </c>
      <c r="C3942" s="113" t="s">
        <v>283</v>
      </c>
      <c r="D3942" s="113" t="s">
        <v>321</v>
      </c>
      <c r="E3942" s="113" t="s">
        <v>165</v>
      </c>
      <c r="F3942" s="113" t="s">
        <v>2363</v>
      </c>
      <c r="G3942" s="113" t="s">
        <v>2782</v>
      </c>
      <c r="H3942" s="93" t="e">
        <v>#N/A</v>
      </c>
      <c r="I3942" s="99">
        <v>46076</v>
      </c>
      <c r="J3942" s="83" t="s">
        <v>189</v>
      </c>
      <c r="K3942" s="113"/>
      <c r="L3942" s="113"/>
      <c r="M3942" s="113"/>
      <c r="N3942" s="113"/>
      <c r="O3942" s="113"/>
    </row>
    <row r="3943" spans="1:15" s="111" customFormat="1" hidden="1">
      <c r="A3943" s="111" t="str">
        <f t="shared" si="150"/>
        <v>ESLG.comSOUNDBARtv soundbarbarra de sonido de tv</v>
      </c>
      <c r="B3943" s="112" t="str">
        <f t="shared" si="151"/>
        <v>ES_LG.com</v>
      </c>
      <c r="C3943" s="113" t="s">
        <v>283</v>
      </c>
      <c r="D3943" s="113" t="s">
        <v>321</v>
      </c>
      <c r="E3943" s="113" t="s">
        <v>165</v>
      </c>
      <c r="F3943" s="113" t="s">
        <v>2686</v>
      </c>
      <c r="G3943" s="113" t="s">
        <v>2783</v>
      </c>
      <c r="H3943" s="93" t="e">
        <v>#N/A</v>
      </c>
      <c r="I3943" s="99">
        <v>46076</v>
      </c>
      <c r="J3943" s="83" t="s">
        <v>189</v>
      </c>
      <c r="K3943" s="113"/>
      <c r="L3943" s="113"/>
      <c r="M3943" s="113"/>
      <c r="N3943" s="113"/>
      <c r="O3943" s="113"/>
    </row>
    <row r="3944" spans="1:15" s="111" customFormat="1" hidden="1">
      <c r="A3944" s="111" t="str">
        <f t="shared" si="150"/>
        <v>ESLG.comSOUNDBARsoundbar for tvbarra de sonido para tv</v>
      </c>
      <c r="B3944" s="112" t="str">
        <f t="shared" si="151"/>
        <v>ES_LG.com</v>
      </c>
      <c r="C3944" s="113" t="s">
        <v>283</v>
      </c>
      <c r="D3944" s="113" t="s">
        <v>321</v>
      </c>
      <c r="E3944" s="113" t="s">
        <v>165</v>
      </c>
      <c r="F3944" s="113" t="s">
        <v>2573</v>
      </c>
      <c r="G3944" s="113" t="s">
        <v>2784</v>
      </c>
      <c r="H3944" s="93" t="e">
        <v>#N/A</v>
      </c>
      <c r="I3944" s="99">
        <v>46076</v>
      </c>
      <c r="J3944" s="83" t="s">
        <v>189</v>
      </c>
      <c r="K3944" s="113"/>
      <c r="L3944" s="113"/>
      <c r="M3944" s="113"/>
      <c r="N3944" s="113"/>
      <c r="O3944" s="113"/>
    </row>
    <row r="3945" spans="1:15" s="111" customFormat="1" hidden="1">
      <c r="A3945" s="111" t="str">
        <f t="shared" si="150"/>
        <v>ESLG.comSOUNDBARSurround sound systemSistema de sonido envolvente</v>
      </c>
      <c r="B3945" s="112" t="str">
        <f t="shared" si="151"/>
        <v>ES_LG.com</v>
      </c>
      <c r="C3945" s="113" t="s">
        <v>283</v>
      </c>
      <c r="D3945" s="113" t="s">
        <v>321</v>
      </c>
      <c r="E3945" s="113" t="s">
        <v>165</v>
      </c>
      <c r="F3945" s="113" t="s">
        <v>2772</v>
      </c>
      <c r="G3945" s="113" t="s">
        <v>2773</v>
      </c>
      <c r="H3945" s="93" t="e">
        <v>#N/A</v>
      </c>
      <c r="I3945" s="99">
        <v>46076</v>
      </c>
      <c r="J3945" s="83" t="s">
        <v>189</v>
      </c>
      <c r="K3945" s="113"/>
      <c r="L3945" s="113"/>
      <c r="M3945" s="113"/>
      <c r="N3945" s="113"/>
      <c r="O3945" s="113"/>
    </row>
    <row r="3946" spans="1:15" s="111" customFormat="1" hidden="1">
      <c r="A3946" s="111" t="str">
        <f t="shared" si="150"/>
        <v>ESLG.comSOUNDBARtv soundsonido de tv</v>
      </c>
      <c r="B3946" s="112" t="str">
        <f t="shared" si="151"/>
        <v>ES_LG.com</v>
      </c>
      <c r="C3946" s="113" t="s">
        <v>283</v>
      </c>
      <c r="D3946" s="113" t="s">
        <v>321</v>
      </c>
      <c r="E3946" s="113" t="s">
        <v>165</v>
      </c>
      <c r="F3946" s="113" t="s">
        <v>2774</v>
      </c>
      <c r="G3946" s="113" t="s">
        <v>2785</v>
      </c>
      <c r="H3946" s="93" t="e">
        <v>#N/A</v>
      </c>
      <c r="I3946" s="99">
        <v>46076</v>
      </c>
      <c r="J3946" s="83" t="s">
        <v>189</v>
      </c>
      <c r="K3946" s="113"/>
      <c r="L3946" s="113"/>
      <c r="M3946" s="113"/>
      <c r="N3946" s="113"/>
      <c r="O3946" s="113"/>
    </row>
    <row r="3947" spans="1:15" s="111" customFormat="1" hidden="1">
      <c r="A3947" s="111" t="str">
        <f t="shared" si="150"/>
        <v>ESLG.comWireless HeadsetHeadphonesAuriculares</v>
      </c>
      <c r="B3947" s="112" t="str">
        <f t="shared" si="151"/>
        <v>ES_LG.com</v>
      </c>
      <c r="C3947" s="113" t="s">
        <v>283</v>
      </c>
      <c r="D3947" s="113" t="s">
        <v>321</v>
      </c>
      <c r="E3947" s="113" t="s">
        <v>2373</v>
      </c>
      <c r="F3947" s="113" t="s">
        <v>2754</v>
      </c>
      <c r="G3947" s="113" t="s">
        <v>2755</v>
      </c>
      <c r="H3947" s="93" t="e">
        <v>#N/A</v>
      </c>
      <c r="I3947" s="99">
        <v>46076</v>
      </c>
      <c r="J3947" s="83" t="s">
        <v>189</v>
      </c>
      <c r="K3947" s="113"/>
      <c r="L3947" s="113"/>
      <c r="M3947" s="113"/>
      <c r="N3947" s="113"/>
      <c r="O3947" s="113"/>
    </row>
    <row r="3948" spans="1:15" s="111" customFormat="1" hidden="1">
      <c r="A3948" s="111" t="str">
        <f t="shared" si="150"/>
        <v>ESLG.comWireless Headsetbluetooth headsetAuriculares bluetooth</v>
      </c>
      <c r="B3948" s="112" t="str">
        <f t="shared" si="151"/>
        <v>ES_LG.com</v>
      </c>
      <c r="C3948" s="113" t="s">
        <v>283</v>
      </c>
      <c r="D3948" s="113" t="s">
        <v>321</v>
      </c>
      <c r="E3948" s="113" t="s">
        <v>2373</v>
      </c>
      <c r="F3948" s="113" t="s">
        <v>2756</v>
      </c>
      <c r="G3948" s="113" t="s">
        <v>2757</v>
      </c>
      <c r="H3948" s="93" t="e">
        <v>#N/A</v>
      </c>
      <c r="I3948" s="99">
        <v>46076</v>
      </c>
      <c r="J3948" s="83" t="s">
        <v>189</v>
      </c>
      <c r="K3948" s="113"/>
      <c r="L3948" s="113"/>
      <c r="M3948" s="113"/>
      <c r="N3948" s="113"/>
      <c r="O3948" s="113"/>
    </row>
    <row r="3949" spans="1:15" s="111" customFormat="1" hidden="1">
      <c r="A3949" s="111" t="str">
        <f t="shared" si="150"/>
        <v>ESLG.comWireless HeadsetEarbudsAuriculares de botón</v>
      </c>
      <c r="B3949" s="112" t="str">
        <f t="shared" si="151"/>
        <v>ES_LG.com</v>
      </c>
      <c r="C3949" s="113" t="s">
        <v>283</v>
      </c>
      <c r="D3949" s="113" t="s">
        <v>321</v>
      </c>
      <c r="E3949" s="113" t="s">
        <v>2373</v>
      </c>
      <c r="F3949" s="113" t="s">
        <v>2534</v>
      </c>
      <c r="G3949" s="113" t="s">
        <v>2758</v>
      </c>
      <c r="H3949" s="93" t="e">
        <v>#N/A</v>
      </c>
      <c r="I3949" s="99">
        <v>46076</v>
      </c>
      <c r="J3949" s="83" t="s">
        <v>189</v>
      </c>
      <c r="K3949" s="113"/>
      <c r="L3949" s="113"/>
      <c r="M3949" s="113"/>
      <c r="N3949" s="113"/>
      <c r="O3949" s="113"/>
    </row>
    <row r="3950" spans="1:15" s="111" customFormat="1" hidden="1">
      <c r="A3950" s="111" t="str">
        <f t="shared" si="150"/>
        <v>ESLG.comWireless HeadsetWireless HeadsetAuriculares inalámbricos</v>
      </c>
      <c r="B3950" s="112" t="str">
        <f t="shared" si="151"/>
        <v>ES_LG.com</v>
      </c>
      <c r="C3950" s="113" t="s">
        <v>283</v>
      </c>
      <c r="D3950" s="113" t="s">
        <v>321</v>
      </c>
      <c r="E3950" s="113" t="s">
        <v>2373</v>
      </c>
      <c r="F3950" s="113" t="s">
        <v>2373</v>
      </c>
      <c r="G3950" s="113" t="s">
        <v>2759</v>
      </c>
      <c r="H3950" s="93" t="e">
        <v>#N/A</v>
      </c>
      <c r="I3950" s="99">
        <v>46076</v>
      </c>
      <c r="J3950" s="83" t="s">
        <v>189</v>
      </c>
      <c r="K3950" s="113"/>
      <c r="L3950" s="113"/>
      <c r="M3950" s="113"/>
      <c r="N3950" s="113"/>
      <c r="O3950" s="113"/>
    </row>
    <row r="3951" spans="1:15" s="111" customFormat="1" hidden="1">
      <c r="A3951" s="111" t="str">
        <f t="shared" si="150"/>
        <v>ESLG.comWireless HeadsetWireless EarbudsAuriculares inalámbricos</v>
      </c>
      <c r="B3951" s="112" t="str">
        <f t="shared" si="151"/>
        <v>ES_LG.com</v>
      </c>
      <c r="C3951" s="113" t="s">
        <v>283</v>
      </c>
      <c r="D3951" s="113" t="s">
        <v>321</v>
      </c>
      <c r="E3951" s="113" t="s">
        <v>2373</v>
      </c>
      <c r="F3951" s="113" t="s">
        <v>2760</v>
      </c>
      <c r="G3951" s="113" t="s">
        <v>2759</v>
      </c>
      <c r="H3951" s="93" t="e">
        <v>#N/A</v>
      </c>
      <c r="I3951" s="99">
        <v>46076</v>
      </c>
      <c r="J3951" s="83" t="s">
        <v>189</v>
      </c>
      <c r="K3951" s="113"/>
      <c r="L3951" s="113"/>
      <c r="M3951" s="113"/>
      <c r="N3951" s="113"/>
      <c r="O3951" s="113"/>
    </row>
    <row r="3952" spans="1:15" s="111" customFormat="1" hidden="1">
      <c r="A3952" s="111" t="str">
        <f t="shared" si="150"/>
        <v>ESLG.comDryerDryerSecadora</v>
      </c>
      <c r="B3952" s="112" t="str">
        <f t="shared" si="151"/>
        <v>ES_LG.com</v>
      </c>
      <c r="C3952" s="113" t="s">
        <v>285</v>
      </c>
      <c r="D3952" s="113" t="s">
        <v>567</v>
      </c>
      <c r="E3952" s="113" t="s">
        <v>2431</v>
      </c>
      <c r="F3952" s="113" t="s">
        <v>2431</v>
      </c>
      <c r="G3952" s="113" t="s">
        <v>2776</v>
      </c>
      <c r="H3952" s="93" t="e">
        <v>#N/A</v>
      </c>
      <c r="I3952" s="99">
        <v>46076</v>
      </c>
      <c r="J3952" s="83" t="s">
        <v>189</v>
      </c>
      <c r="K3952" s="113"/>
      <c r="L3952" s="113"/>
      <c r="M3952" s="113"/>
      <c r="N3952" s="113"/>
      <c r="O3952" s="113"/>
    </row>
    <row r="3953" spans="1:15" s="108" customFormat="1" hidden="1">
      <c r="A3953" s="108" t="str">
        <f t="shared" si="150"/>
        <v>FRLG.comAir Conditionerair conditionerclimatiseur</v>
      </c>
      <c r="B3953" s="109" t="str">
        <f t="shared" si="151"/>
        <v>FR_LG.com</v>
      </c>
      <c r="C3953" s="110" t="s">
        <v>251</v>
      </c>
      <c r="D3953" s="110" t="s">
        <v>321</v>
      </c>
      <c r="E3953" s="110" t="s">
        <v>2524</v>
      </c>
      <c r="F3953" s="110" t="s">
        <v>2347</v>
      </c>
      <c r="G3953" s="110" t="s">
        <v>2851</v>
      </c>
      <c r="H3953" s="93" t="e">
        <v>#N/A</v>
      </c>
      <c r="I3953" s="99">
        <v>46076</v>
      </c>
      <c r="J3953" s="83" t="s">
        <v>189</v>
      </c>
      <c r="K3953" s="110"/>
      <c r="L3953" s="110"/>
      <c r="M3953" s="110"/>
      <c r="N3953" s="110"/>
      <c r="O3953" s="110"/>
    </row>
    <row r="3954" spans="1:15" s="108" customFormat="1" hidden="1">
      <c r="A3954" s="108" t="str">
        <f t="shared" si="150"/>
        <v>FRLG.comAir Conditionerinverter air conditionerclimatiseur inverseur</v>
      </c>
      <c r="B3954" s="109" t="str">
        <f t="shared" si="151"/>
        <v>FR_LG.com</v>
      </c>
      <c r="C3954" s="110" t="s">
        <v>251</v>
      </c>
      <c r="D3954" s="110" t="s">
        <v>321</v>
      </c>
      <c r="E3954" s="110" t="s">
        <v>2524</v>
      </c>
      <c r="F3954" s="110" t="s">
        <v>2348</v>
      </c>
      <c r="G3954" s="110" t="s">
        <v>2856</v>
      </c>
      <c r="H3954" s="93" t="e">
        <v>#N/A</v>
      </c>
      <c r="I3954" s="99">
        <v>46076</v>
      </c>
      <c r="J3954" s="83" t="s">
        <v>189</v>
      </c>
      <c r="K3954" s="110"/>
      <c r="L3954" s="110"/>
      <c r="M3954" s="110"/>
      <c r="N3954" s="110"/>
      <c r="O3954" s="110"/>
    </row>
    <row r="3955" spans="1:15" s="108" customFormat="1" hidden="1">
      <c r="A3955" s="108" t="str">
        <f t="shared" si="150"/>
        <v>FRLG.comAir Conditionersplit air conditionerclimatiseur split</v>
      </c>
      <c r="B3955" s="109" t="str">
        <f t="shared" si="151"/>
        <v>FR_LG.com</v>
      </c>
      <c r="C3955" s="110" t="s">
        <v>251</v>
      </c>
      <c r="D3955" s="110" t="s">
        <v>321</v>
      </c>
      <c r="E3955" s="110" t="s">
        <v>2524</v>
      </c>
      <c r="F3955" s="110" t="s">
        <v>2422</v>
      </c>
      <c r="G3955" s="110" t="s">
        <v>2857</v>
      </c>
      <c r="H3955" s="93" t="e">
        <v>#N/A</v>
      </c>
      <c r="I3955" s="99">
        <v>46076</v>
      </c>
      <c r="J3955" s="83" t="s">
        <v>189</v>
      </c>
      <c r="K3955" s="110"/>
      <c r="L3955" s="110"/>
      <c r="M3955" s="110"/>
      <c r="N3955" s="110"/>
      <c r="O3955" s="110"/>
    </row>
    <row r="3956" spans="1:15" s="108" customFormat="1" hidden="1">
      <c r="A3956" s="108" t="str">
        <f t="shared" si="150"/>
        <v>FRLG.comAir Conditionersplit inverter air conditionerclimatiseur split inverter</v>
      </c>
      <c r="B3956" s="109" t="str">
        <f t="shared" si="151"/>
        <v>FR_LG.com</v>
      </c>
      <c r="C3956" s="110" t="s">
        <v>251</v>
      </c>
      <c r="D3956" s="110" t="s">
        <v>321</v>
      </c>
      <c r="E3956" s="110" t="s">
        <v>2524</v>
      </c>
      <c r="F3956" s="110" t="s">
        <v>2423</v>
      </c>
      <c r="G3956" s="110" t="s">
        <v>2852</v>
      </c>
      <c r="H3956" s="93" t="e">
        <v>#N/A</v>
      </c>
      <c r="I3956" s="99">
        <v>46076</v>
      </c>
      <c r="J3956" s="83" t="s">
        <v>189</v>
      </c>
      <c r="K3956" s="110"/>
      <c r="L3956" s="110"/>
      <c r="M3956" s="110"/>
      <c r="N3956" s="110"/>
      <c r="O3956" s="110"/>
    </row>
    <row r="3957" spans="1:15" s="108" customFormat="1" hidden="1">
      <c r="A3957" s="108" t="str">
        <f t="shared" si="150"/>
        <v>FRLG.comAir Conditionerwindow air conditionerclimatiseur de fenêtre</v>
      </c>
      <c r="B3957" s="109" t="str">
        <f t="shared" si="151"/>
        <v>FR_LG.com</v>
      </c>
      <c r="C3957" s="110" t="s">
        <v>251</v>
      </c>
      <c r="D3957" s="110" t="s">
        <v>321</v>
      </c>
      <c r="E3957" s="110" t="s">
        <v>2524</v>
      </c>
      <c r="F3957" s="110" t="s">
        <v>2350</v>
      </c>
      <c r="G3957" s="110" t="s">
        <v>2853</v>
      </c>
      <c r="H3957" s="93" t="e">
        <v>#N/A</v>
      </c>
      <c r="I3957" s="99">
        <v>46076</v>
      </c>
      <c r="J3957" s="83" t="s">
        <v>189</v>
      </c>
      <c r="K3957" s="110"/>
      <c r="L3957" s="110"/>
      <c r="M3957" s="110"/>
      <c r="N3957" s="110"/>
      <c r="O3957" s="110"/>
    </row>
    <row r="3958" spans="1:15" s="108" customFormat="1" hidden="1">
      <c r="A3958" s="108" t="str">
        <f t="shared" si="150"/>
        <v>FRLG.comAir Conditionerwindow inverter air conditionerclimatiseur inverter de fenêtre</v>
      </c>
      <c r="B3958" s="109" t="str">
        <f t="shared" si="151"/>
        <v>FR_LG.com</v>
      </c>
      <c r="C3958" s="110" t="s">
        <v>251</v>
      </c>
      <c r="D3958" s="110" t="s">
        <v>321</v>
      </c>
      <c r="E3958" s="110" t="s">
        <v>2524</v>
      </c>
      <c r="F3958" s="110" t="s">
        <v>2424</v>
      </c>
      <c r="G3958" s="110" t="s">
        <v>2854</v>
      </c>
      <c r="H3958" s="93" t="e">
        <v>#N/A</v>
      </c>
      <c r="I3958" s="99">
        <v>46076</v>
      </c>
      <c r="J3958" s="83" t="s">
        <v>189</v>
      </c>
      <c r="K3958" s="110"/>
      <c r="L3958" s="110"/>
      <c r="M3958" s="110"/>
      <c r="N3958" s="110"/>
      <c r="O3958" s="110"/>
    </row>
    <row r="3959" spans="1:15" s="81" customFormat="1" hidden="1">
      <c r="A3959" s="81" t="str">
        <f t="shared" si="150"/>
        <v>FRLG.comBluetooth SpeakerPortable SpeakerEnceinte portable</v>
      </c>
      <c r="B3959" s="106" t="str">
        <f t="shared" si="151"/>
        <v>FR_LG.com</v>
      </c>
      <c r="C3959" s="107" t="s">
        <v>251</v>
      </c>
      <c r="D3959" s="116" t="s">
        <v>321</v>
      </c>
      <c r="E3959" s="116" t="s">
        <v>2307</v>
      </c>
      <c r="F3959" s="116" t="s">
        <v>3172</v>
      </c>
      <c r="G3959" s="116" t="s">
        <v>3760</v>
      </c>
      <c r="H3959" s="93" t="e">
        <v>#N/A</v>
      </c>
      <c r="I3959" s="99">
        <v>46076</v>
      </c>
      <c r="J3959" s="83" t="s">
        <v>189</v>
      </c>
      <c r="K3959" s="107"/>
      <c r="L3959" s="107"/>
      <c r="M3959" s="107"/>
      <c r="N3959" s="107"/>
      <c r="O3959" s="107"/>
    </row>
    <row r="3960" spans="1:15" s="81" customFormat="1" hidden="1">
      <c r="A3960" s="81" t="str">
        <f t="shared" si="150"/>
        <v>FRLG.comBluetooth SpeakerPortable bluetooth speakerEnceinte Bluetooth portable</v>
      </c>
      <c r="B3960" s="106" t="str">
        <f t="shared" si="151"/>
        <v>FR_LG.com</v>
      </c>
      <c r="C3960" s="107" t="s">
        <v>251</v>
      </c>
      <c r="D3960" s="116" t="s">
        <v>321</v>
      </c>
      <c r="E3960" s="116" t="s">
        <v>2307</v>
      </c>
      <c r="F3960" s="116" t="s">
        <v>3174</v>
      </c>
      <c r="G3960" s="116" t="s">
        <v>3761</v>
      </c>
      <c r="H3960" s="93" t="e">
        <v>#N/A</v>
      </c>
      <c r="I3960" s="99">
        <v>46076</v>
      </c>
      <c r="J3960" s="83" t="s">
        <v>189</v>
      </c>
      <c r="K3960" s="107"/>
      <c r="L3960" s="107"/>
      <c r="M3960" s="107"/>
      <c r="N3960" s="107"/>
      <c r="O3960" s="107"/>
    </row>
    <row r="3961" spans="1:15" s="81" customFormat="1" hidden="1">
      <c r="A3961" s="81" t="str">
        <f t="shared" si="150"/>
        <v>FRLG.comBluetooth SpeakerParty SpeakerEnceinte de fête</v>
      </c>
      <c r="B3961" s="106" t="str">
        <f t="shared" si="151"/>
        <v>FR_LG.com</v>
      </c>
      <c r="C3961" s="107" t="s">
        <v>251</v>
      </c>
      <c r="D3961" s="116" t="s">
        <v>321</v>
      </c>
      <c r="E3961" s="116" t="s">
        <v>2307</v>
      </c>
      <c r="F3961" s="116" t="s">
        <v>2707</v>
      </c>
      <c r="G3961" s="116" t="s">
        <v>3762</v>
      </c>
      <c r="H3961" s="93" t="e">
        <v>#N/A</v>
      </c>
      <c r="I3961" s="99">
        <v>46076</v>
      </c>
      <c r="J3961" s="83" t="s">
        <v>189</v>
      </c>
      <c r="K3961" s="107"/>
      <c r="L3961" s="107"/>
      <c r="M3961" s="107"/>
      <c r="N3961" s="107"/>
      <c r="O3961" s="107"/>
    </row>
    <row r="3962" spans="1:15" s="81" customFormat="1" hidden="1">
      <c r="A3962" s="81" t="str">
        <f t="shared" si="150"/>
        <v>FRLG.comBluetooth SpeakerWireless speakerEnceinte sans fil</v>
      </c>
      <c r="B3962" s="106" t="str">
        <f t="shared" si="151"/>
        <v>FR_LG.com</v>
      </c>
      <c r="C3962" s="107" t="s">
        <v>251</v>
      </c>
      <c r="D3962" s="116" t="s">
        <v>321</v>
      </c>
      <c r="E3962" s="116" t="s">
        <v>2307</v>
      </c>
      <c r="F3962" s="116" t="s">
        <v>2709</v>
      </c>
      <c r="G3962" s="116" t="s">
        <v>2798</v>
      </c>
      <c r="H3962" s="93" t="e">
        <v>#N/A</v>
      </c>
      <c r="I3962" s="99">
        <v>46076</v>
      </c>
      <c r="J3962" s="83" t="s">
        <v>189</v>
      </c>
      <c r="K3962" s="107"/>
      <c r="L3962" s="107"/>
      <c r="M3962" s="107"/>
      <c r="N3962" s="107"/>
      <c r="O3962" s="107"/>
    </row>
    <row r="3963" spans="1:15" s="81" customFormat="1" hidden="1">
      <c r="A3963" s="81" t="str">
        <f t="shared" si="150"/>
        <v>FRLG.comBluetooth SpeakerPortable SoundSon portable</v>
      </c>
      <c r="B3963" s="106" t="str">
        <f t="shared" si="151"/>
        <v>FR_LG.com</v>
      </c>
      <c r="C3963" s="107" t="s">
        <v>251</v>
      </c>
      <c r="D3963" s="116" t="s">
        <v>321</v>
      </c>
      <c r="E3963" s="116" t="s">
        <v>2307</v>
      </c>
      <c r="F3963" s="116" t="s">
        <v>3178</v>
      </c>
      <c r="G3963" s="116" t="s">
        <v>3763</v>
      </c>
      <c r="H3963" s="93" t="e">
        <v>#N/A</v>
      </c>
      <c r="I3963" s="99">
        <v>46076</v>
      </c>
      <c r="J3963" s="83" t="s">
        <v>189</v>
      </c>
      <c r="K3963" s="107"/>
      <c r="L3963" s="107"/>
      <c r="M3963" s="107"/>
      <c r="N3963" s="107"/>
      <c r="O3963" s="107"/>
    </row>
    <row r="3964" spans="1:15" s="81" customFormat="1" hidden="1">
      <c r="A3964" s="81" t="str">
        <f t="shared" si="150"/>
        <v>FRLG.comSOUNDBARSoundbarBarre de son</v>
      </c>
      <c r="B3964" s="106" t="str">
        <f t="shared" si="151"/>
        <v>FR_LG.com</v>
      </c>
      <c r="C3964" s="107" t="s">
        <v>251</v>
      </c>
      <c r="D3964" s="107" t="s">
        <v>321</v>
      </c>
      <c r="E3964" s="107" t="s">
        <v>2527</v>
      </c>
      <c r="F3964" s="107" t="s">
        <v>2363</v>
      </c>
      <c r="G3964" s="107" t="s">
        <v>2829</v>
      </c>
      <c r="H3964" s="93" t="e">
        <v>#N/A</v>
      </c>
      <c r="I3964" s="99">
        <v>46076</v>
      </c>
      <c r="J3964" s="83" t="s">
        <v>189</v>
      </c>
      <c r="K3964" s="107"/>
      <c r="L3964" s="107"/>
      <c r="M3964" s="107"/>
      <c r="N3964" s="107"/>
      <c r="O3964" s="107"/>
    </row>
    <row r="3965" spans="1:15" s="81" customFormat="1" hidden="1">
      <c r="A3965" s="81" t="str">
        <f t="shared" si="150"/>
        <v>FRLG.comSOUNDBARbluetooth soundbarbarre de son bluetooth</v>
      </c>
      <c r="B3965" s="106" t="str">
        <f t="shared" si="151"/>
        <v>FR_LG.com</v>
      </c>
      <c r="C3965" s="107" t="s">
        <v>251</v>
      </c>
      <c r="D3965" s="107" t="s">
        <v>321</v>
      </c>
      <c r="E3965" s="107" t="s">
        <v>2527</v>
      </c>
      <c r="F3965" s="107" t="s">
        <v>2830</v>
      </c>
      <c r="G3965" s="107" t="s">
        <v>2831</v>
      </c>
      <c r="H3965" s="93" t="e">
        <v>#N/A</v>
      </c>
      <c r="I3965" s="99">
        <v>46076</v>
      </c>
      <c r="J3965" s="83" t="s">
        <v>189</v>
      </c>
      <c r="K3965" s="107"/>
      <c r="L3965" s="107"/>
      <c r="M3965" s="107"/>
      <c r="N3965" s="107"/>
      <c r="O3965" s="107"/>
    </row>
    <row r="3966" spans="1:15" s="81" customFormat="1" hidden="1">
      <c r="A3966" s="81" t="str">
        <f t="shared" si="150"/>
        <v>FRLG.comSOUNDBARsoundbar for tvbarre de son pour tv</v>
      </c>
      <c r="B3966" s="106" t="str">
        <f t="shared" si="151"/>
        <v>FR_LG.com</v>
      </c>
      <c r="C3966" s="107" t="s">
        <v>251</v>
      </c>
      <c r="D3966" s="107" t="s">
        <v>321</v>
      </c>
      <c r="E3966" s="107" t="s">
        <v>2527</v>
      </c>
      <c r="F3966" s="107" t="s">
        <v>2573</v>
      </c>
      <c r="G3966" s="107" t="s">
        <v>2832</v>
      </c>
      <c r="H3966" s="93" t="e">
        <v>#N/A</v>
      </c>
      <c r="I3966" s="99">
        <v>46076</v>
      </c>
      <c r="J3966" s="83" t="s">
        <v>189</v>
      </c>
      <c r="K3966" s="107"/>
      <c r="L3966" s="107"/>
      <c r="M3966" s="107"/>
      <c r="N3966" s="107"/>
      <c r="O3966" s="107"/>
    </row>
    <row r="3967" spans="1:15" s="81" customFormat="1" hidden="1">
      <c r="A3967" s="81" t="str">
        <f t="shared" si="150"/>
        <v>FRLG.comSOUNDBARtv sound barbarre de son tv</v>
      </c>
      <c r="B3967" s="106" t="str">
        <f t="shared" si="151"/>
        <v>FR_LG.com</v>
      </c>
      <c r="C3967" s="107" t="s">
        <v>251</v>
      </c>
      <c r="D3967" s="107" t="s">
        <v>321</v>
      </c>
      <c r="E3967" s="107" t="s">
        <v>2527</v>
      </c>
      <c r="F3967" s="107" t="s">
        <v>2833</v>
      </c>
      <c r="G3967" s="107" t="s">
        <v>2834</v>
      </c>
      <c r="H3967" s="93" t="e">
        <v>#N/A</v>
      </c>
      <c r="I3967" s="99">
        <v>46076</v>
      </c>
      <c r="J3967" s="83" t="s">
        <v>189</v>
      </c>
      <c r="K3967" s="107"/>
      <c r="L3967" s="107"/>
      <c r="M3967" s="107"/>
      <c r="N3967" s="107"/>
      <c r="O3967" s="107"/>
    </row>
    <row r="3968" spans="1:15" s="81" customFormat="1" hidden="1">
      <c r="A3968" s="81" t="str">
        <f t="shared" si="150"/>
        <v>FRLG.comWireless HeadsetEarbudsécouteurs</v>
      </c>
      <c r="B3968" s="106" t="str">
        <f t="shared" si="151"/>
        <v>FR_LG.com</v>
      </c>
      <c r="C3968" s="107" t="s">
        <v>251</v>
      </c>
      <c r="D3968" s="107" t="s">
        <v>321</v>
      </c>
      <c r="E3968" s="107" t="s">
        <v>2373</v>
      </c>
      <c r="F3968" s="107" t="s">
        <v>2534</v>
      </c>
      <c r="G3968" s="107" t="s">
        <v>2845</v>
      </c>
      <c r="H3968" s="93" t="e">
        <v>#N/A</v>
      </c>
      <c r="I3968" s="99">
        <v>46076</v>
      </c>
      <c r="J3968" s="83" t="s">
        <v>189</v>
      </c>
      <c r="K3968" s="107"/>
      <c r="L3968" s="107"/>
      <c r="M3968" s="107"/>
      <c r="N3968" s="107"/>
      <c r="O3968" s="107"/>
    </row>
    <row r="3969" spans="1:15" s="81" customFormat="1" hidden="1">
      <c r="A3969" s="81" t="str">
        <f t="shared" si="150"/>
        <v>FRLG.comWireless Headsetbluetooth headphonesécouteurs bluetooth</v>
      </c>
      <c r="B3969" s="106" t="str">
        <f t="shared" si="151"/>
        <v>FR_LG.com</v>
      </c>
      <c r="C3969" s="107" t="s">
        <v>251</v>
      </c>
      <c r="D3969" s="107" t="s">
        <v>321</v>
      </c>
      <c r="E3969" s="107" t="s">
        <v>2373</v>
      </c>
      <c r="F3969" s="107" t="s">
        <v>2846</v>
      </c>
      <c r="G3969" s="107" t="s">
        <v>2847</v>
      </c>
      <c r="H3969" s="93" t="e">
        <v>#N/A</v>
      </c>
      <c r="I3969" s="99">
        <v>46076</v>
      </c>
      <c r="J3969" s="83" t="s">
        <v>189</v>
      </c>
      <c r="K3969" s="107"/>
      <c r="L3969" s="107"/>
      <c r="M3969" s="107"/>
      <c r="N3969" s="107"/>
      <c r="O3969" s="107"/>
    </row>
    <row r="3970" spans="1:15" s="81" customFormat="1" hidden="1">
      <c r="A3970" s="81" t="str">
        <f t="shared" si="150"/>
        <v>FRLG.comWireless Headsetsports bluetooth earphonesécouteurs bluetooth sport</v>
      </c>
      <c r="B3970" s="106" t="str">
        <f t="shared" si="151"/>
        <v>FR_LG.com</v>
      </c>
      <c r="C3970" s="107" t="s">
        <v>251</v>
      </c>
      <c r="D3970" s="107" t="s">
        <v>321</v>
      </c>
      <c r="E3970" s="107" t="s">
        <v>2373</v>
      </c>
      <c r="F3970" s="107" t="s">
        <v>2848</v>
      </c>
      <c r="G3970" s="107" t="s">
        <v>2849</v>
      </c>
      <c r="H3970" s="93" t="e">
        <v>#N/A</v>
      </c>
      <c r="I3970" s="99">
        <v>46076</v>
      </c>
      <c r="J3970" s="83" t="s">
        <v>189</v>
      </c>
      <c r="K3970" s="107"/>
      <c r="L3970" s="107"/>
      <c r="M3970" s="107"/>
      <c r="N3970" s="107"/>
      <c r="O3970" s="107"/>
    </row>
    <row r="3971" spans="1:15" s="81" customFormat="1" hidden="1">
      <c r="A3971" s="81" t="str">
        <f t="shared" si="150"/>
        <v>FRLG.comWireless HeadsetWireless Earbudsécouteurs sans fil</v>
      </c>
      <c r="B3971" s="106" t="str">
        <f t="shared" si="151"/>
        <v>FR_LG.com</v>
      </c>
      <c r="C3971" s="107" t="s">
        <v>251</v>
      </c>
      <c r="D3971" s="107" t="s">
        <v>321</v>
      </c>
      <c r="E3971" s="107" t="s">
        <v>2373</v>
      </c>
      <c r="F3971" s="107" t="s">
        <v>2760</v>
      </c>
      <c r="G3971" s="107" t="s">
        <v>2850</v>
      </c>
      <c r="H3971" s="93" t="e">
        <v>#N/A</v>
      </c>
      <c r="I3971" s="99">
        <v>46076</v>
      </c>
      <c r="J3971" s="83" t="s">
        <v>189</v>
      </c>
      <c r="K3971" s="107"/>
      <c r="L3971" s="107"/>
      <c r="M3971" s="107"/>
      <c r="N3971" s="107"/>
      <c r="O3971" s="107"/>
    </row>
    <row r="3972" spans="1:15" s="111" customFormat="1" hidden="1">
      <c r="A3972" s="111" t="str">
        <f t="shared" si="150"/>
        <v>FRLG.comDryerDryerséchoir</v>
      </c>
      <c r="B3972" s="112" t="str">
        <f t="shared" si="151"/>
        <v>FR_LG.com</v>
      </c>
      <c r="C3972" s="113" t="s">
        <v>251</v>
      </c>
      <c r="D3972" s="113" t="s">
        <v>567</v>
      </c>
      <c r="E3972" s="113" t="s">
        <v>2431</v>
      </c>
      <c r="F3972" s="113" t="s">
        <v>2431</v>
      </c>
      <c r="G3972" s="113" t="s">
        <v>3764</v>
      </c>
      <c r="H3972" s="93" t="e">
        <v>#N/A</v>
      </c>
      <c r="I3972" s="99">
        <v>46076</v>
      </c>
      <c r="J3972" s="83" t="s">
        <v>189</v>
      </c>
      <c r="K3972" s="113"/>
      <c r="L3972" s="113"/>
      <c r="M3972" s="113"/>
      <c r="N3972" s="113"/>
      <c r="O3972" s="113"/>
    </row>
    <row r="3973" spans="1:15" hidden="1">
      <c r="A3973" s="75" t="str">
        <f t="shared" si="150"/>
        <v>FRDARTYBluetooth Speakerwireless portable speakersenceinte portable sans fil</v>
      </c>
      <c r="B3973" s="94" t="str">
        <f t="shared" si="151"/>
        <v>FR_DARTY</v>
      </c>
      <c r="C3973" s="93" t="s">
        <v>251</v>
      </c>
      <c r="D3973" s="93" t="s">
        <v>254</v>
      </c>
      <c r="E3973" s="93" t="s">
        <v>2307</v>
      </c>
      <c r="F3973" s="93" t="s">
        <v>2475</v>
      </c>
      <c r="G3973" s="93" t="s">
        <v>3765</v>
      </c>
      <c r="H3973" s="93" t="e">
        <v>#N/A</v>
      </c>
      <c r="I3973" s="105" t="s">
        <v>3759</v>
      </c>
      <c r="J3973" s="93" t="s">
        <v>189</v>
      </c>
      <c r="K3973" s="93"/>
      <c r="L3973" s="93"/>
      <c r="M3973" s="93"/>
      <c r="N3973" s="93"/>
      <c r="O3973" s="93" t="s">
        <v>646</v>
      </c>
    </row>
    <row r="3974" spans="1:15" hidden="1">
      <c r="A3974" s="75" t="str">
        <f t="shared" si="150"/>
        <v>FRDARTYSOUNDBARtv soundbarbarre de son de télévision</v>
      </c>
      <c r="B3974" s="94" t="str">
        <f t="shared" si="151"/>
        <v>FR_DARTY</v>
      </c>
      <c r="C3974" s="93" t="s">
        <v>251</v>
      </c>
      <c r="D3974" s="93" t="s">
        <v>254</v>
      </c>
      <c r="E3974" s="93" t="s">
        <v>165</v>
      </c>
      <c r="F3974" s="93" t="s">
        <v>2686</v>
      </c>
      <c r="G3974" s="93" t="s">
        <v>3766</v>
      </c>
      <c r="H3974" s="93" t="e">
        <v>#N/A</v>
      </c>
      <c r="I3974" s="105" t="s">
        <v>3759</v>
      </c>
      <c r="J3974" s="93" t="s">
        <v>189</v>
      </c>
      <c r="K3974" s="93"/>
      <c r="L3974" s="93"/>
      <c r="M3974" s="93"/>
      <c r="N3974" s="93"/>
      <c r="O3974" s="93" t="s">
        <v>646</v>
      </c>
    </row>
    <row r="3975" spans="1:15" hidden="1">
      <c r="A3975" s="75" t="str">
        <f t="shared" si="150"/>
        <v>FRDARTYSOUNDBARSurround sound systemSystème de son surround</v>
      </c>
      <c r="B3975" s="94" t="str">
        <f t="shared" si="151"/>
        <v>FR_DARTY</v>
      </c>
      <c r="C3975" s="93" t="s">
        <v>251</v>
      </c>
      <c r="D3975" s="93" t="s">
        <v>254</v>
      </c>
      <c r="E3975" s="93" t="s">
        <v>165</v>
      </c>
      <c r="F3975" s="93" t="s">
        <v>2772</v>
      </c>
      <c r="G3975" s="93" t="s">
        <v>3767</v>
      </c>
      <c r="H3975" s="93" t="e">
        <v>#N/A</v>
      </c>
      <c r="I3975" s="105" t="s">
        <v>3759</v>
      </c>
      <c r="J3975" s="93" t="s">
        <v>189</v>
      </c>
      <c r="K3975" s="93"/>
      <c r="L3975" s="93"/>
      <c r="M3975" s="93"/>
      <c r="N3975" s="93"/>
      <c r="O3975" s="93" t="s">
        <v>646</v>
      </c>
    </row>
    <row r="3976" spans="1:15" hidden="1">
      <c r="A3976" s="75" t="str">
        <f t="shared" si="150"/>
        <v>FRDARTYSOUNDBARtv soundson de la télévision</v>
      </c>
      <c r="B3976" s="94" t="str">
        <f t="shared" si="151"/>
        <v>FR_DARTY</v>
      </c>
      <c r="C3976" s="93" t="s">
        <v>251</v>
      </c>
      <c r="D3976" s="93" t="s">
        <v>254</v>
      </c>
      <c r="E3976" s="93" t="s">
        <v>165</v>
      </c>
      <c r="F3976" s="93" t="s">
        <v>2774</v>
      </c>
      <c r="G3976" s="93" t="s">
        <v>3768</v>
      </c>
      <c r="H3976" s="93" t="e">
        <v>#N/A</v>
      </c>
      <c r="I3976" s="105" t="s">
        <v>3759</v>
      </c>
      <c r="J3976" s="93" t="s">
        <v>189</v>
      </c>
      <c r="K3976" s="93"/>
      <c r="L3976" s="93"/>
      <c r="M3976" s="93"/>
      <c r="N3976" s="93"/>
      <c r="O3976" s="93" t="s">
        <v>646</v>
      </c>
    </row>
    <row r="3977" spans="1:15" hidden="1">
      <c r="A3977" s="75" t="str">
        <f t="shared" ref="A3977:A4037" si="152">C3977&amp;D3977&amp;E3977&amp;F3977&amp;G3977</f>
        <v>FRDARTYWIRELESS HEADSETWireless HeadsetCasque Sans fil</v>
      </c>
      <c r="B3977" s="94" t="str">
        <f t="shared" ref="B3977:B4038" si="153">C3977&amp;"_"&amp;D3977</f>
        <v>FR_DARTY</v>
      </c>
      <c r="C3977" s="93" t="s">
        <v>251</v>
      </c>
      <c r="D3977" s="93" t="s">
        <v>254</v>
      </c>
      <c r="E3977" s="93" t="s">
        <v>2201</v>
      </c>
      <c r="F3977" s="93" t="s">
        <v>2373</v>
      </c>
      <c r="G3977" s="93" t="s">
        <v>3769</v>
      </c>
      <c r="H3977" s="93" t="e">
        <v>#N/A</v>
      </c>
      <c r="I3977" s="105" t="s">
        <v>3759</v>
      </c>
      <c r="J3977" s="93" t="s">
        <v>189</v>
      </c>
      <c r="K3977" s="93"/>
      <c r="L3977" s="93"/>
      <c r="M3977" s="93"/>
      <c r="N3977" s="93"/>
      <c r="O3977" s="93" t="s">
        <v>646</v>
      </c>
    </row>
    <row r="3978" spans="1:15" hidden="1">
      <c r="A3978" s="75" t="str">
        <f t="shared" si="152"/>
        <v>FRDARTYWIRELESS HEADSETHeadphonesCasque</v>
      </c>
      <c r="B3978" s="94" t="str">
        <f t="shared" si="153"/>
        <v>FR_DARTY</v>
      </c>
      <c r="C3978" s="93" t="s">
        <v>251</v>
      </c>
      <c r="D3978" s="93" t="s">
        <v>254</v>
      </c>
      <c r="E3978" s="93" t="s">
        <v>2201</v>
      </c>
      <c r="F3978" s="93" t="s">
        <v>2754</v>
      </c>
      <c r="G3978" s="93" t="s">
        <v>3770</v>
      </c>
      <c r="H3978" s="93" t="e">
        <v>#N/A</v>
      </c>
      <c r="I3978" s="105" t="s">
        <v>3759</v>
      </c>
      <c r="J3978" s="93" t="s">
        <v>189</v>
      </c>
      <c r="K3978" s="93"/>
      <c r="L3978" s="93"/>
      <c r="M3978" s="93"/>
      <c r="N3978" s="93"/>
      <c r="O3978" s="93" t="s">
        <v>646</v>
      </c>
    </row>
    <row r="3979" spans="1:15" hidden="1">
      <c r="A3979" s="75" t="str">
        <f t="shared" si="152"/>
        <v>FRDARTYWIRELESS HEADSETbluetooth headsetCasque Bluetooth</v>
      </c>
      <c r="B3979" s="94" t="str">
        <f t="shared" si="153"/>
        <v>FR_DARTY</v>
      </c>
      <c r="C3979" s="93" t="s">
        <v>251</v>
      </c>
      <c r="D3979" s="93" t="s">
        <v>254</v>
      </c>
      <c r="E3979" s="93" t="s">
        <v>2201</v>
      </c>
      <c r="F3979" s="93" t="s">
        <v>2756</v>
      </c>
      <c r="G3979" s="93" t="s">
        <v>3771</v>
      </c>
      <c r="H3979" s="93" t="e">
        <v>#N/A</v>
      </c>
      <c r="I3979" s="105" t="s">
        <v>3759</v>
      </c>
      <c r="J3979" s="93" t="s">
        <v>189</v>
      </c>
      <c r="K3979" s="93"/>
      <c r="L3979" s="93"/>
      <c r="M3979" s="93"/>
      <c r="N3979" s="93"/>
      <c r="O3979" s="93" t="s">
        <v>646</v>
      </c>
    </row>
    <row r="3980" spans="1:15" hidden="1">
      <c r="A3980" s="75" t="str">
        <f t="shared" si="152"/>
        <v>FRFNACBluetooth Speakerwireless portable speakersenceinte portable sans fil</v>
      </c>
      <c r="B3980" s="94" t="str">
        <f t="shared" si="153"/>
        <v>FR_FNAC</v>
      </c>
      <c r="C3980" s="93" t="s">
        <v>251</v>
      </c>
      <c r="D3980" s="93" t="s">
        <v>256</v>
      </c>
      <c r="E3980" s="93" t="s">
        <v>2307</v>
      </c>
      <c r="F3980" s="93" t="s">
        <v>2475</v>
      </c>
      <c r="G3980" s="93" t="s">
        <v>3765</v>
      </c>
      <c r="H3980" s="93" t="e">
        <v>#N/A</v>
      </c>
      <c r="I3980" s="105" t="s">
        <v>3759</v>
      </c>
      <c r="J3980" s="93" t="s">
        <v>189</v>
      </c>
      <c r="K3980" s="93"/>
      <c r="L3980" s="93"/>
      <c r="M3980" s="93"/>
      <c r="N3980" s="93"/>
      <c r="O3980" s="93" t="s">
        <v>646</v>
      </c>
    </row>
    <row r="3981" spans="1:15" hidden="1">
      <c r="A3981" s="75" t="str">
        <f t="shared" si="152"/>
        <v>FRFNACSOUNDBARtv soundbarbarre de son de télévision</v>
      </c>
      <c r="B3981" s="94" t="str">
        <f t="shared" si="153"/>
        <v>FR_FNAC</v>
      </c>
      <c r="C3981" s="93" t="s">
        <v>251</v>
      </c>
      <c r="D3981" s="93" t="s">
        <v>256</v>
      </c>
      <c r="E3981" s="93" t="s">
        <v>165</v>
      </c>
      <c r="F3981" s="93" t="s">
        <v>2686</v>
      </c>
      <c r="G3981" s="93" t="s">
        <v>3766</v>
      </c>
      <c r="H3981" s="93" t="e">
        <v>#N/A</v>
      </c>
      <c r="I3981" s="105" t="s">
        <v>3759</v>
      </c>
      <c r="J3981" s="93" t="s">
        <v>189</v>
      </c>
      <c r="K3981" s="93"/>
      <c r="L3981" s="93"/>
      <c r="M3981" s="93"/>
      <c r="N3981" s="93"/>
      <c r="O3981" s="93" t="s">
        <v>646</v>
      </c>
    </row>
    <row r="3982" spans="1:15" hidden="1">
      <c r="A3982" s="75" t="str">
        <f t="shared" si="152"/>
        <v>FRFNACSOUNDBARSurround sound systemSystème de son surround</v>
      </c>
      <c r="B3982" s="94" t="str">
        <f t="shared" si="153"/>
        <v>FR_FNAC</v>
      </c>
      <c r="C3982" s="93" t="s">
        <v>251</v>
      </c>
      <c r="D3982" s="93" t="s">
        <v>256</v>
      </c>
      <c r="E3982" s="93" t="s">
        <v>165</v>
      </c>
      <c r="F3982" s="93" t="s">
        <v>2772</v>
      </c>
      <c r="G3982" s="93" t="s">
        <v>3767</v>
      </c>
      <c r="H3982" s="93" t="e">
        <v>#N/A</v>
      </c>
      <c r="I3982" s="105" t="s">
        <v>3759</v>
      </c>
      <c r="J3982" s="93" t="s">
        <v>189</v>
      </c>
      <c r="K3982" s="93"/>
      <c r="L3982" s="93"/>
      <c r="M3982" s="93"/>
      <c r="N3982" s="93"/>
      <c r="O3982" s="93" t="s">
        <v>646</v>
      </c>
    </row>
    <row r="3983" spans="1:15" hidden="1">
      <c r="A3983" s="75" t="str">
        <f t="shared" si="152"/>
        <v>FRFNACSOUNDBARtv soundson de la télévision</v>
      </c>
      <c r="B3983" s="94" t="str">
        <f t="shared" si="153"/>
        <v>FR_FNAC</v>
      </c>
      <c r="C3983" s="93" t="s">
        <v>251</v>
      </c>
      <c r="D3983" s="93" t="s">
        <v>256</v>
      </c>
      <c r="E3983" s="93" t="s">
        <v>165</v>
      </c>
      <c r="F3983" s="93" t="s">
        <v>2774</v>
      </c>
      <c r="G3983" s="93" t="s">
        <v>3768</v>
      </c>
      <c r="H3983" s="93" t="e">
        <v>#N/A</v>
      </c>
      <c r="I3983" s="105" t="s">
        <v>3759</v>
      </c>
      <c r="J3983" s="93" t="s">
        <v>189</v>
      </c>
      <c r="K3983" s="93"/>
      <c r="L3983" s="93"/>
      <c r="M3983" s="93"/>
      <c r="N3983" s="93"/>
      <c r="O3983" s="93" t="s">
        <v>646</v>
      </c>
    </row>
    <row r="3984" spans="1:15" hidden="1">
      <c r="A3984" s="75" t="str">
        <f t="shared" si="152"/>
        <v>FRFNACWIRELESS HEADSETWireless HeadsetCasque Sans fil</v>
      </c>
      <c r="B3984" s="94" t="str">
        <f t="shared" si="153"/>
        <v>FR_FNAC</v>
      </c>
      <c r="C3984" s="93" t="s">
        <v>251</v>
      </c>
      <c r="D3984" s="93" t="s">
        <v>256</v>
      </c>
      <c r="E3984" s="93" t="s">
        <v>2201</v>
      </c>
      <c r="F3984" s="93" t="s">
        <v>2373</v>
      </c>
      <c r="G3984" s="93" t="s">
        <v>3769</v>
      </c>
      <c r="H3984" s="93" t="e">
        <v>#N/A</v>
      </c>
      <c r="I3984" s="105" t="s">
        <v>3759</v>
      </c>
      <c r="J3984" s="93" t="s">
        <v>189</v>
      </c>
      <c r="K3984" s="93"/>
      <c r="L3984" s="93"/>
      <c r="M3984" s="93"/>
      <c r="N3984" s="93"/>
      <c r="O3984" s="93" t="s">
        <v>646</v>
      </c>
    </row>
    <row r="3985" spans="1:15" hidden="1">
      <c r="A3985" s="75" t="str">
        <f t="shared" si="152"/>
        <v>FRFNACWIRELESS HEADSETHeadphonesCasque</v>
      </c>
      <c r="B3985" s="94" t="str">
        <f t="shared" si="153"/>
        <v>FR_FNAC</v>
      </c>
      <c r="C3985" s="93" t="s">
        <v>251</v>
      </c>
      <c r="D3985" s="93" t="s">
        <v>256</v>
      </c>
      <c r="E3985" s="93" t="s">
        <v>2201</v>
      </c>
      <c r="F3985" s="93" t="s">
        <v>2754</v>
      </c>
      <c r="G3985" s="93" t="s">
        <v>3770</v>
      </c>
      <c r="H3985" s="93" t="e">
        <v>#N/A</v>
      </c>
      <c r="I3985" s="105" t="s">
        <v>3759</v>
      </c>
      <c r="J3985" s="93" t="s">
        <v>189</v>
      </c>
      <c r="K3985" s="93"/>
      <c r="L3985" s="93"/>
      <c r="M3985" s="93"/>
      <c r="N3985" s="93"/>
      <c r="O3985" s="93" t="s">
        <v>646</v>
      </c>
    </row>
    <row r="3986" spans="1:15" hidden="1">
      <c r="A3986" s="75" t="str">
        <f t="shared" si="152"/>
        <v>FRFNACWIRELESS HEADSETbluetooth headsetCasque Bluetooth</v>
      </c>
      <c r="B3986" s="94" t="str">
        <f t="shared" si="153"/>
        <v>FR_FNAC</v>
      </c>
      <c r="C3986" s="93" t="s">
        <v>251</v>
      </c>
      <c r="D3986" s="93" t="s">
        <v>256</v>
      </c>
      <c r="E3986" s="93" t="s">
        <v>2201</v>
      </c>
      <c r="F3986" s="93" t="s">
        <v>2756</v>
      </c>
      <c r="G3986" s="93" t="s">
        <v>3771</v>
      </c>
      <c r="H3986" s="93" t="e">
        <v>#N/A</v>
      </c>
      <c r="I3986" s="105" t="s">
        <v>3759</v>
      </c>
      <c r="J3986" s="93" t="s">
        <v>189</v>
      </c>
      <c r="K3986" s="93"/>
      <c r="L3986" s="93"/>
      <c r="M3986" s="93"/>
      <c r="N3986" s="93"/>
      <c r="O3986" s="93" t="s">
        <v>646</v>
      </c>
    </row>
    <row r="3987" spans="1:15" s="81" customFormat="1" hidden="1">
      <c r="A3987" s="81" t="str">
        <f t="shared" si="152"/>
        <v>FRLG.comMonitormonitormoniteur</v>
      </c>
      <c r="B3987" s="106" t="str">
        <f t="shared" si="153"/>
        <v>FR_LG.com</v>
      </c>
      <c r="C3987" s="107" t="s">
        <v>248</v>
      </c>
      <c r="D3987" s="107" t="s">
        <v>321</v>
      </c>
      <c r="E3987" s="107" t="s">
        <v>2320</v>
      </c>
      <c r="F3987" s="107" t="s">
        <v>2323</v>
      </c>
      <c r="G3987" s="107" t="s">
        <v>2863</v>
      </c>
      <c r="H3987" s="93" t="e">
        <v>#N/A</v>
      </c>
      <c r="I3987" s="99">
        <v>46076</v>
      </c>
      <c r="J3987" s="83" t="s">
        <v>189</v>
      </c>
      <c r="K3987" s="107"/>
      <c r="L3987" s="107"/>
      <c r="M3987" s="107"/>
      <c r="N3987" s="107"/>
      <c r="O3987" s="107"/>
    </row>
    <row r="3988" spans="1:15" s="81" customFormat="1" hidden="1">
      <c r="A3988" s="81" t="str">
        <f t="shared" si="152"/>
        <v>FRLG.comMonitorgaming monitormoniteur de jeu</v>
      </c>
      <c r="B3988" s="106" t="str">
        <f t="shared" si="153"/>
        <v>FR_LG.com</v>
      </c>
      <c r="C3988" s="107" t="s">
        <v>248</v>
      </c>
      <c r="D3988" s="107" t="s">
        <v>321</v>
      </c>
      <c r="E3988" s="107" t="s">
        <v>2320</v>
      </c>
      <c r="F3988" s="107" t="s">
        <v>2322</v>
      </c>
      <c r="G3988" s="107" t="s">
        <v>2864</v>
      </c>
      <c r="H3988" s="93" t="e">
        <v>#N/A</v>
      </c>
      <c r="I3988" s="99">
        <v>46076</v>
      </c>
      <c r="J3988" s="83" t="s">
        <v>189</v>
      </c>
      <c r="K3988" s="107"/>
      <c r="L3988" s="107"/>
      <c r="M3988" s="107"/>
      <c r="N3988" s="107"/>
      <c r="O3988" s="107"/>
    </row>
    <row r="3989" spans="1:15" s="81" customFormat="1" hidden="1">
      <c r="A3989" s="81" t="str">
        <f t="shared" si="152"/>
        <v>FRLG.comRefrigeratorfridgefrigo</v>
      </c>
      <c r="B3989" s="106" t="str">
        <f t="shared" si="153"/>
        <v>FR_LG.com</v>
      </c>
      <c r="C3989" s="107" t="s">
        <v>248</v>
      </c>
      <c r="D3989" s="107" t="s">
        <v>321</v>
      </c>
      <c r="E3989" s="107" t="s">
        <v>2326</v>
      </c>
      <c r="F3989" s="107" t="s">
        <v>2414</v>
      </c>
      <c r="G3989" s="107" t="s">
        <v>2865</v>
      </c>
      <c r="H3989" s="93" t="e">
        <v>#N/A</v>
      </c>
      <c r="I3989" s="99">
        <v>46076</v>
      </c>
      <c r="J3989" s="83" t="s">
        <v>189</v>
      </c>
      <c r="K3989" s="107"/>
      <c r="L3989" s="107"/>
      <c r="M3989" s="107"/>
      <c r="N3989" s="107"/>
      <c r="O3989" s="107"/>
    </row>
    <row r="3990" spans="1:15" s="81" customFormat="1" hidden="1">
      <c r="A3990" s="81" t="str">
        <f t="shared" si="152"/>
        <v>FRLG.comRefrigeratorrefrigeratorréfrigérateur</v>
      </c>
      <c r="B3990" s="106" t="str">
        <f t="shared" si="153"/>
        <v>FR_LG.com</v>
      </c>
      <c r="C3990" s="107" t="s">
        <v>248</v>
      </c>
      <c r="D3990" s="107" t="s">
        <v>321</v>
      </c>
      <c r="E3990" s="107" t="s">
        <v>2326</v>
      </c>
      <c r="F3990" s="107" t="s">
        <v>2329</v>
      </c>
      <c r="G3990" s="107" t="s">
        <v>2866</v>
      </c>
      <c r="H3990" s="93" t="e">
        <v>#N/A</v>
      </c>
      <c r="I3990" s="99">
        <v>46076</v>
      </c>
      <c r="J3990" s="83" t="s">
        <v>189</v>
      </c>
      <c r="K3990" s="107"/>
      <c r="L3990" s="107"/>
      <c r="M3990" s="107"/>
      <c r="N3990" s="107"/>
      <c r="O3990" s="107"/>
    </row>
    <row r="3991" spans="1:15" s="81" customFormat="1" hidden="1">
      <c r="A3991" s="81" t="str">
        <f t="shared" si="152"/>
        <v>FRLG.comTVtvtéléviseur</v>
      </c>
      <c r="B3991" s="106" t="str">
        <f t="shared" si="153"/>
        <v>FR_LG.com</v>
      </c>
      <c r="C3991" s="107" t="s">
        <v>248</v>
      </c>
      <c r="D3991" s="107" t="s">
        <v>321</v>
      </c>
      <c r="E3991" s="107" t="s">
        <v>161</v>
      </c>
      <c r="F3991" s="107" t="s">
        <v>2444</v>
      </c>
      <c r="G3991" s="107" t="s">
        <v>2867</v>
      </c>
      <c r="H3991" s="93" t="e">
        <v>#N/A</v>
      </c>
      <c r="I3991" s="99">
        <v>46076</v>
      </c>
      <c r="J3991" s="83" t="s">
        <v>189</v>
      </c>
      <c r="K3991" s="107"/>
      <c r="L3991" s="107"/>
      <c r="M3991" s="107"/>
      <c r="N3991" s="107"/>
      <c r="O3991" s="107"/>
    </row>
    <row r="3992" spans="1:15" s="81" customFormat="1" hidden="1">
      <c r="A3992" s="81" t="str">
        <f t="shared" si="152"/>
        <v>FRLG.comWashing Machinewashing machinelave-linge</v>
      </c>
      <c r="B3992" s="106" t="str">
        <f t="shared" si="153"/>
        <v>FR_LG.com</v>
      </c>
      <c r="C3992" s="107" t="s">
        <v>248</v>
      </c>
      <c r="D3992" s="107" t="s">
        <v>321</v>
      </c>
      <c r="E3992" s="107" t="s">
        <v>2333</v>
      </c>
      <c r="F3992" s="107" t="s">
        <v>2340</v>
      </c>
      <c r="G3992" s="107" t="s">
        <v>2842</v>
      </c>
      <c r="H3992" s="93" t="e">
        <v>#N/A</v>
      </c>
      <c r="I3992" s="99">
        <v>46076</v>
      </c>
      <c r="J3992" s="83" t="s">
        <v>189</v>
      </c>
      <c r="K3992" s="107"/>
      <c r="L3992" s="107"/>
      <c r="M3992" s="107"/>
      <c r="N3992" s="107"/>
      <c r="O3992" s="107"/>
    </row>
    <row r="3993" spans="1:15" s="81" customFormat="1" hidden="1">
      <c r="A3993" s="81" t="str">
        <f t="shared" si="152"/>
        <v>FRLG.comWashing Machinewasher dryerlave-linge séchant</v>
      </c>
      <c r="B3993" s="106" t="str">
        <f t="shared" si="153"/>
        <v>FR_LG.com</v>
      </c>
      <c r="C3993" s="107" t="s">
        <v>248</v>
      </c>
      <c r="D3993" s="107" t="s">
        <v>321</v>
      </c>
      <c r="E3993" s="107" t="s">
        <v>2333</v>
      </c>
      <c r="F3993" s="107" t="s">
        <v>2339</v>
      </c>
      <c r="G3993" s="107" t="s">
        <v>2868</v>
      </c>
      <c r="H3993" s="93" t="e">
        <v>#N/A</v>
      </c>
      <c r="I3993" s="99">
        <v>46076</v>
      </c>
      <c r="J3993" s="83" t="s">
        <v>189</v>
      </c>
      <c r="K3993" s="107"/>
      <c r="L3993" s="107"/>
      <c r="M3993" s="107"/>
      <c r="N3993" s="107"/>
      <c r="O3993" s="107"/>
    </row>
    <row r="3994" spans="1:15" hidden="1">
      <c r="A3994" s="75" t="str">
        <f t="shared" si="152"/>
        <v>INFLIPKARTAir ConditionerACAC</v>
      </c>
      <c r="B3994" s="94" t="str">
        <f t="shared" si="153"/>
        <v>IN_FLIPKART</v>
      </c>
      <c r="C3994" s="93" t="s">
        <v>302</v>
      </c>
      <c r="D3994" s="93" t="s">
        <v>595</v>
      </c>
      <c r="E3994" s="93" t="s">
        <v>2346</v>
      </c>
      <c r="F3994" s="93" t="s">
        <v>2492</v>
      </c>
      <c r="G3994" s="93" t="s">
        <v>2492</v>
      </c>
      <c r="H3994" s="93" t="e">
        <v>#N/A</v>
      </c>
      <c r="I3994" s="105" t="s">
        <v>3759</v>
      </c>
      <c r="J3994" s="93" t="s">
        <v>189</v>
      </c>
      <c r="K3994" s="93"/>
      <c r="L3994" s="93"/>
      <c r="M3994" s="93"/>
      <c r="N3994" s="93"/>
      <c r="O3994" s="93" t="s">
        <v>646</v>
      </c>
    </row>
    <row r="3995" spans="1:15" hidden="1">
      <c r="A3995" s="75" t="str">
        <f t="shared" si="152"/>
        <v>INFLIPKARTAir Conditionerair conditionerair conditioner</v>
      </c>
      <c r="B3995" s="94" t="str">
        <f t="shared" si="153"/>
        <v>IN_FLIPKART</v>
      </c>
      <c r="C3995" s="93" t="s">
        <v>302</v>
      </c>
      <c r="D3995" s="93" t="s">
        <v>595</v>
      </c>
      <c r="E3995" s="93" t="s">
        <v>2346</v>
      </c>
      <c r="F3995" s="93" t="s">
        <v>2347</v>
      </c>
      <c r="G3995" s="93" t="s">
        <v>2347</v>
      </c>
      <c r="H3995" s="93" t="e">
        <v>#N/A</v>
      </c>
      <c r="I3995" s="105" t="s">
        <v>3759</v>
      </c>
      <c r="J3995" s="93" t="s">
        <v>189</v>
      </c>
      <c r="K3995" s="93"/>
      <c r="L3995" s="93"/>
      <c r="M3995" s="93"/>
      <c r="N3995" s="93"/>
      <c r="O3995" s="93" t="s">
        <v>646</v>
      </c>
    </row>
    <row r="3996" spans="1:15" hidden="1">
      <c r="A3996" s="75" t="str">
        <f t="shared" si="152"/>
        <v>INFLIPKARTAir Conditionerinverter air conditionerinverter air conditioner</v>
      </c>
      <c r="B3996" s="94" t="str">
        <f t="shared" si="153"/>
        <v>IN_FLIPKART</v>
      </c>
      <c r="C3996" s="93" t="s">
        <v>302</v>
      </c>
      <c r="D3996" s="93" t="s">
        <v>595</v>
      </c>
      <c r="E3996" s="93" t="s">
        <v>2346</v>
      </c>
      <c r="F3996" s="93" t="s">
        <v>2348</v>
      </c>
      <c r="G3996" s="93" t="s">
        <v>2348</v>
      </c>
      <c r="H3996" s="93" t="e">
        <v>#N/A</v>
      </c>
      <c r="I3996" s="105" t="s">
        <v>3759</v>
      </c>
      <c r="J3996" s="93" t="s">
        <v>189</v>
      </c>
      <c r="K3996" s="93"/>
      <c r="L3996" s="93"/>
      <c r="M3996" s="93"/>
      <c r="N3996" s="93"/>
      <c r="O3996" s="93" t="s">
        <v>646</v>
      </c>
    </row>
    <row r="3997" spans="1:15" hidden="1">
      <c r="A3997" s="75" t="str">
        <f t="shared" si="152"/>
        <v>INFLIPKARTAir Conditionersplit ACsplit AC</v>
      </c>
      <c r="B3997" s="94" t="str">
        <f t="shared" si="153"/>
        <v>IN_FLIPKART</v>
      </c>
      <c r="C3997" s="93" t="s">
        <v>302</v>
      </c>
      <c r="D3997" s="93" t="s">
        <v>595</v>
      </c>
      <c r="E3997" s="93" t="s">
        <v>2346</v>
      </c>
      <c r="F3997" s="93" t="s">
        <v>2495</v>
      </c>
      <c r="G3997" s="93" t="s">
        <v>2495</v>
      </c>
      <c r="H3997" s="93" t="e">
        <v>#N/A</v>
      </c>
      <c r="I3997" s="105" t="s">
        <v>3759</v>
      </c>
      <c r="J3997" s="93" t="s">
        <v>189</v>
      </c>
      <c r="K3997" s="93"/>
      <c r="L3997" s="93"/>
      <c r="M3997" s="93"/>
      <c r="N3997" s="93"/>
      <c r="O3997" s="93" t="s">
        <v>646</v>
      </c>
    </row>
    <row r="3998" spans="1:15" hidden="1">
      <c r="A3998" s="75" t="str">
        <f t="shared" si="152"/>
        <v>INFLIPKARTAir Conditionerwindow air conditioner window AC</v>
      </c>
      <c r="B3998" s="94" t="str">
        <f t="shared" si="153"/>
        <v>IN_FLIPKART</v>
      </c>
      <c r="C3998" s="93" t="s">
        <v>302</v>
      </c>
      <c r="D3998" s="93" t="s">
        <v>595</v>
      </c>
      <c r="E3998" s="93" t="s">
        <v>2346</v>
      </c>
      <c r="F3998" s="93" t="s">
        <v>3001</v>
      </c>
      <c r="G3998" s="93" t="s">
        <v>3002</v>
      </c>
      <c r="H3998" s="93" t="e">
        <v>#N/A</v>
      </c>
      <c r="I3998" s="105" t="s">
        <v>3759</v>
      </c>
      <c r="J3998" s="93" t="s">
        <v>189</v>
      </c>
      <c r="K3998" s="93"/>
      <c r="L3998" s="93"/>
      <c r="M3998" s="93"/>
      <c r="N3998" s="93"/>
      <c r="O3998" s="93" t="s">
        <v>646</v>
      </c>
    </row>
    <row r="3999" spans="1:15" hidden="1">
      <c r="A3999" s="75" t="str">
        <f t="shared" si="152"/>
        <v>ITAMAZONBluetooth Speakerbluetooth speakeraltoparlante bluetooth</v>
      </c>
      <c r="B3999" s="94" t="str">
        <f t="shared" si="153"/>
        <v>IT_AMAZON</v>
      </c>
      <c r="C3999" s="93" t="s">
        <v>271</v>
      </c>
      <c r="D3999" s="93" t="s">
        <v>262</v>
      </c>
      <c r="E3999" s="93" t="s">
        <v>2307</v>
      </c>
      <c r="F3999" s="93" t="s">
        <v>2657</v>
      </c>
      <c r="G3999" s="93" t="s">
        <v>3046</v>
      </c>
      <c r="H3999" s="93" t="e">
        <v>#N/A</v>
      </c>
      <c r="I3999" s="105" t="s">
        <v>3759</v>
      </c>
      <c r="J3999" s="93" t="s">
        <v>189</v>
      </c>
      <c r="K3999" s="93"/>
      <c r="L3999" s="93"/>
      <c r="M3999" s="93"/>
      <c r="N3999" s="93"/>
      <c r="O3999" s="93" t="s">
        <v>646</v>
      </c>
    </row>
    <row r="4000" spans="1:15" hidden="1">
      <c r="A4000" s="75" t="str">
        <f t="shared" si="152"/>
        <v>ITAMAZONBluetooth SpeakerspeakersAltoparlanti</v>
      </c>
      <c r="B4000" s="94" t="str">
        <f t="shared" si="153"/>
        <v>IT_AMAZON</v>
      </c>
      <c r="C4000" s="93" t="s">
        <v>271</v>
      </c>
      <c r="D4000" s="93" t="s">
        <v>262</v>
      </c>
      <c r="E4000" s="93" t="s">
        <v>2307</v>
      </c>
      <c r="F4000" s="93" t="s">
        <v>2471</v>
      </c>
      <c r="G4000" s="93" t="s">
        <v>3047</v>
      </c>
      <c r="H4000" s="93" t="e">
        <v>#N/A</v>
      </c>
      <c r="I4000" s="105" t="s">
        <v>3759</v>
      </c>
      <c r="J4000" s="93" t="s">
        <v>189</v>
      </c>
      <c r="K4000" s="93"/>
      <c r="L4000" s="93"/>
      <c r="M4000" s="93"/>
      <c r="N4000" s="93"/>
      <c r="O4000" s="93" t="s">
        <v>646</v>
      </c>
    </row>
    <row r="4001" spans="1:15" hidden="1">
      <c r="A4001" s="75" t="str">
        <f t="shared" si="152"/>
        <v>ITAMAZONWIRELESS HEADSETEar budsAuricolari</v>
      </c>
      <c r="B4001" s="94" t="str">
        <f t="shared" si="153"/>
        <v>IT_AMAZON</v>
      </c>
      <c r="C4001" s="93" t="s">
        <v>271</v>
      </c>
      <c r="D4001" s="93" t="s">
        <v>262</v>
      </c>
      <c r="E4001" s="93" t="s">
        <v>2201</v>
      </c>
      <c r="F4001" s="93" t="s">
        <v>2380</v>
      </c>
      <c r="G4001" s="93" t="s">
        <v>3056</v>
      </c>
      <c r="H4001" s="93" t="e">
        <v>#N/A</v>
      </c>
      <c r="I4001" s="105" t="s">
        <v>3759</v>
      </c>
      <c r="J4001" s="93" t="s">
        <v>189</v>
      </c>
      <c r="K4001" s="93"/>
      <c r="L4001" s="93"/>
      <c r="M4001" s="93"/>
      <c r="N4001" s="93"/>
      <c r="O4001" s="93" t="s">
        <v>646</v>
      </c>
    </row>
    <row r="4002" spans="1:15" hidden="1">
      <c r="A4002" s="75" t="str">
        <f t="shared" si="152"/>
        <v>ITAMAZONWIRELESS HEADSETAuricolari wirelessAuricolari wireless</v>
      </c>
      <c r="B4002" s="94" t="str">
        <f t="shared" si="153"/>
        <v>IT_AMAZON</v>
      </c>
      <c r="C4002" s="93" t="s">
        <v>271</v>
      </c>
      <c r="D4002" s="93" t="s">
        <v>262</v>
      </c>
      <c r="E4002" s="93" t="s">
        <v>2201</v>
      </c>
      <c r="F4002" s="93" t="s">
        <v>3058</v>
      </c>
      <c r="G4002" s="93" t="s">
        <v>3058</v>
      </c>
      <c r="H4002" s="93" t="e">
        <v>#N/A</v>
      </c>
      <c r="I4002" s="105" t="s">
        <v>3759</v>
      </c>
      <c r="J4002" s="93" t="s">
        <v>189</v>
      </c>
      <c r="K4002" s="93"/>
      <c r="L4002" s="93"/>
      <c r="M4002" s="93"/>
      <c r="N4002" s="93"/>
      <c r="O4002" s="93" t="s">
        <v>646</v>
      </c>
    </row>
    <row r="4003" spans="1:15" hidden="1">
      <c r="A4003" s="75" t="str">
        <f t="shared" si="152"/>
        <v>ITAMAZONWIRELESS HEADSETCuffie BluetoothCuffie Bluetooth</v>
      </c>
      <c r="B4003" s="94" t="str">
        <f t="shared" si="153"/>
        <v>IT_AMAZON</v>
      </c>
      <c r="C4003" s="93" t="s">
        <v>271</v>
      </c>
      <c r="D4003" s="93" t="s">
        <v>262</v>
      </c>
      <c r="E4003" s="93" t="s">
        <v>2201</v>
      </c>
      <c r="F4003" s="93" t="s">
        <v>3059</v>
      </c>
      <c r="G4003" s="93" t="s">
        <v>3059</v>
      </c>
      <c r="H4003" s="93" t="e">
        <v>#N/A</v>
      </c>
      <c r="I4003" s="105" t="s">
        <v>3759</v>
      </c>
      <c r="J4003" s="93" t="s">
        <v>189</v>
      </c>
      <c r="K4003" s="93"/>
      <c r="L4003" s="93"/>
      <c r="M4003" s="93"/>
      <c r="N4003" s="93"/>
      <c r="O4003" s="93" t="s">
        <v>646</v>
      </c>
    </row>
    <row r="4004" spans="1:15" hidden="1">
      <c r="A4004" s="75" t="str">
        <f t="shared" si="152"/>
        <v>ITAMAZONWIRELESS HEADSETAuricolari BluetoothAuricolari Bluetooth</v>
      </c>
      <c r="B4004" s="94" t="str">
        <f t="shared" si="153"/>
        <v>IT_AMAZON</v>
      </c>
      <c r="C4004" s="93" t="s">
        <v>271</v>
      </c>
      <c r="D4004" s="93" t="s">
        <v>262</v>
      </c>
      <c r="E4004" s="93" t="s">
        <v>2201</v>
      </c>
      <c r="F4004" s="93" t="s">
        <v>3057</v>
      </c>
      <c r="G4004" s="93" t="s">
        <v>3057</v>
      </c>
      <c r="H4004" s="93" t="e">
        <v>#N/A</v>
      </c>
      <c r="I4004" s="105" t="s">
        <v>3759</v>
      </c>
      <c r="J4004" s="93" t="s">
        <v>189</v>
      </c>
      <c r="K4004" s="93"/>
      <c r="L4004" s="93"/>
      <c r="M4004" s="93"/>
      <c r="N4004" s="93"/>
      <c r="O4004" s="93" t="s">
        <v>646</v>
      </c>
    </row>
    <row r="4005" spans="1:15" hidden="1">
      <c r="A4005" s="75" t="str">
        <f t="shared" si="152"/>
        <v>ITAMAZONSOUNDBARSoundbarSoundbar</v>
      </c>
      <c r="B4005" s="94" t="str">
        <f t="shared" si="153"/>
        <v>IT_AMAZON</v>
      </c>
      <c r="C4005" s="93" t="s">
        <v>271</v>
      </c>
      <c r="D4005" s="93" t="s">
        <v>262</v>
      </c>
      <c r="E4005" s="93" t="s">
        <v>165</v>
      </c>
      <c r="F4005" s="93" t="s">
        <v>2363</v>
      </c>
      <c r="G4005" s="93" t="s">
        <v>2363</v>
      </c>
      <c r="H4005" s="93" t="e">
        <v>#N/A</v>
      </c>
      <c r="I4005" s="105" t="s">
        <v>3759</v>
      </c>
      <c r="J4005" s="93" t="s">
        <v>189</v>
      </c>
      <c r="K4005" s="93"/>
      <c r="L4005" s="93"/>
      <c r="M4005" s="93"/>
      <c r="N4005" s="93"/>
      <c r="O4005" s="93" t="s">
        <v>646</v>
      </c>
    </row>
    <row r="4006" spans="1:15" hidden="1">
      <c r="A4006" s="75" t="str">
        <f t="shared" si="152"/>
        <v>ITAMAZONSOUNDBARsoundbar per tvsoundbar per tv</v>
      </c>
      <c r="B4006" s="94" t="str">
        <f t="shared" si="153"/>
        <v>IT_AMAZON</v>
      </c>
      <c r="C4006" s="93" t="s">
        <v>271</v>
      </c>
      <c r="D4006" s="93" t="s">
        <v>262</v>
      </c>
      <c r="E4006" s="93" t="s">
        <v>165</v>
      </c>
      <c r="F4006" s="93" t="s">
        <v>3054</v>
      </c>
      <c r="G4006" s="93" t="s">
        <v>3054</v>
      </c>
      <c r="H4006" s="93" t="e">
        <v>#N/A</v>
      </c>
      <c r="I4006" s="105" t="s">
        <v>3759</v>
      </c>
      <c r="J4006" s="93" t="s">
        <v>189</v>
      </c>
      <c r="K4006" s="93"/>
      <c r="L4006" s="93"/>
      <c r="M4006" s="93"/>
      <c r="N4006" s="93"/>
      <c r="O4006" s="93" t="s">
        <v>646</v>
      </c>
    </row>
    <row r="4007" spans="1:15" hidden="1">
      <c r="A4007" s="75" t="str">
        <f t="shared" si="152"/>
        <v>ITAMAZONSOUNDBARsoundbar tvsoundbar tv</v>
      </c>
      <c r="B4007" s="94" t="str">
        <f t="shared" si="153"/>
        <v>IT_AMAZON</v>
      </c>
      <c r="C4007" s="93" t="s">
        <v>271</v>
      </c>
      <c r="D4007" s="93" t="s">
        <v>262</v>
      </c>
      <c r="E4007" s="93" t="s">
        <v>165</v>
      </c>
      <c r="F4007" s="93" t="s">
        <v>3055</v>
      </c>
      <c r="G4007" s="93" t="s">
        <v>3055</v>
      </c>
      <c r="H4007" s="93" t="e">
        <v>#N/A</v>
      </c>
      <c r="I4007" s="105" t="s">
        <v>3759</v>
      </c>
      <c r="J4007" s="93" t="s">
        <v>189</v>
      </c>
      <c r="K4007" s="93"/>
      <c r="L4007" s="93"/>
      <c r="M4007" s="93"/>
      <c r="N4007" s="93"/>
      <c r="O4007" s="93" t="s">
        <v>646</v>
      </c>
    </row>
    <row r="4008" spans="1:15" hidden="1">
      <c r="A4008" s="75" t="str">
        <f t="shared" si="152"/>
        <v>ITAMAZONBluetooth Speakerportable speakersaltoparlanti portatil</v>
      </c>
      <c r="B4008" s="94" t="str">
        <f t="shared" si="153"/>
        <v>IT_AMAZON</v>
      </c>
      <c r="C4008" s="93" t="s">
        <v>271</v>
      </c>
      <c r="D4008" s="93" t="s">
        <v>262</v>
      </c>
      <c r="E4008" s="93" t="s">
        <v>2307</v>
      </c>
      <c r="F4008" s="93" t="s">
        <v>2473</v>
      </c>
      <c r="G4008" s="93" t="s">
        <v>3048</v>
      </c>
      <c r="H4008" s="93" t="e">
        <v>#N/A</v>
      </c>
      <c r="I4008" s="105" t="s">
        <v>3759</v>
      </c>
      <c r="J4008" s="93" t="s">
        <v>189</v>
      </c>
      <c r="K4008" s="93"/>
      <c r="L4008" s="93"/>
      <c r="M4008" s="93"/>
      <c r="N4008" s="93"/>
      <c r="O4008" s="93" t="s">
        <v>646</v>
      </c>
    </row>
    <row r="4009" spans="1:15" hidden="1">
      <c r="A4009" s="75" t="str">
        <f t="shared" si="152"/>
        <v>ITAMAZONBluetooth Speakerbluetooth speakerscasse bluetooth</v>
      </c>
      <c r="B4009" s="94" t="str">
        <f t="shared" si="153"/>
        <v>IT_AMAZON</v>
      </c>
      <c r="C4009" s="93" t="s">
        <v>271</v>
      </c>
      <c r="D4009" s="93" t="s">
        <v>262</v>
      </c>
      <c r="E4009" s="93" t="s">
        <v>2307</v>
      </c>
      <c r="F4009" s="93" t="s">
        <v>3049</v>
      </c>
      <c r="G4009" s="93" t="s">
        <v>3050</v>
      </c>
      <c r="H4009" s="93" t="e">
        <v>#N/A</v>
      </c>
      <c r="I4009" s="105" t="s">
        <v>3759</v>
      </c>
      <c r="J4009" s="93" t="s">
        <v>189</v>
      </c>
      <c r="K4009" s="93"/>
      <c r="L4009" s="93"/>
      <c r="M4009" s="93"/>
      <c r="N4009" s="93"/>
      <c r="O4009" s="93" t="s">
        <v>646</v>
      </c>
    </row>
    <row r="4010" spans="1:15" hidden="1">
      <c r="A4010" s="75" t="str">
        <f t="shared" si="152"/>
        <v>ITAMAZONSOUNDBARSound barSound bar</v>
      </c>
      <c r="B4010" s="94" t="str">
        <f t="shared" si="153"/>
        <v>IT_AMAZON</v>
      </c>
      <c r="C4010" s="93" t="s">
        <v>271</v>
      </c>
      <c r="D4010" s="93" t="s">
        <v>262</v>
      </c>
      <c r="E4010" s="93" t="s">
        <v>165</v>
      </c>
      <c r="F4010" s="93" t="s">
        <v>2365</v>
      </c>
      <c r="G4010" s="93" t="s">
        <v>2365</v>
      </c>
      <c r="H4010" s="93" t="e">
        <v>#N/A</v>
      </c>
      <c r="I4010" s="105" t="s">
        <v>3759</v>
      </c>
      <c r="J4010" s="93" t="s">
        <v>189</v>
      </c>
      <c r="K4010" s="93"/>
      <c r="L4010" s="93"/>
      <c r="M4010" s="93"/>
      <c r="N4010" s="93"/>
      <c r="O4010" s="93" t="s">
        <v>646</v>
      </c>
    </row>
    <row r="4011" spans="1:15" s="81" customFormat="1" hidden="1">
      <c r="A4011" s="81" t="str">
        <f t="shared" si="152"/>
        <v>ITLG.comMonitormonitormonitor</v>
      </c>
      <c r="B4011" s="106" t="str">
        <f t="shared" si="153"/>
        <v>IT_LG.com</v>
      </c>
      <c r="C4011" s="107" t="s">
        <v>269</v>
      </c>
      <c r="D4011" s="107" t="s">
        <v>321</v>
      </c>
      <c r="E4011" s="107" t="s">
        <v>2320</v>
      </c>
      <c r="F4011" s="107" t="s">
        <v>2323</v>
      </c>
      <c r="G4011" s="107" t="s">
        <v>2323</v>
      </c>
      <c r="H4011" s="93" t="e">
        <v>#N/A</v>
      </c>
      <c r="I4011" s="99">
        <v>46076</v>
      </c>
      <c r="J4011" s="83" t="s">
        <v>189</v>
      </c>
      <c r="K4011" s="107"/>
      <c r="L4011" s="107"/>
      <c r="M4011" s="107"/>
      <c r="N4011" s="107"/>
      <c r="O4011" s="107"/>
    </row>
    <row r="4012" spans="1:15" s="81" customFormat="1" hidden="1">
      <c r="A4012" s="81" t="str">
        <f t="shared" si="152"/>
        <v>ITLG.comMonitorgaming monitormonitor da gaming</v>
      </c>
      <c r="B4012" s="106" t="str">
        <f t="shared" si="153"/>
        <v>IT_LG.com</v>
      </c>
      <c r="C4012" s="107" t="s">
        <v>269</v>
      </c>
      <c r="D4012" s="107" t="s">
        <v>321</v>
      </c>
      <c r="E4012" s="107" t="s">
        <v>2320</v>
      </c>
      <c r="F4012" s="107" t="s">
        <v>2322</v>
      </c>
      <c r="G4012" s="107" t="s">
        <v>3061</v>
      </c>
      <c r="H4012" s="93" t="e">
        <v>#N/A</v>
      </c>
      <c r="I4012" s="99">
        <v>46076</v>
      </c>
      <c r="J4012" s="83" t="s">
        <v>189</v>
      </c>
      <c r="K4012" s="107"/>
      <c r="L4012" s="107"/>
      <c r="M4012" s="107"/>
      <c r="N4012" s="107"/>
      <c r="O4012" s="107"/>
    </row>
    <row r="4013" spans="1:15" s="81" customFormat="1" hidden="1">
      <c r="A4013" s="81" t="str">
        <f t="shared" si="152"/>
        <v>ITLG.comRefrigeratorfridgefrigo</v>
      </c>
      <c r="B4013" s="106" t="str">
        <f t="shared" si="153"/>
        <v>IT_LG.com</v>
      </c>
      <c r="C4013" s="107" t="s">
        <v>269</v>
      </c>
      <c r="D4013" s="107" t="s">
        <v>321</v>
      </c>
      <c r="E4013" s="107" t="s">
        <v>2326</v>
      </c>
      <c r="F4013" s="107" t="s">
        <v>2414</v>
      </c>
      <c r="G4013" s="107" t="s">
        <v>2865</v>
      </c>
      <c r="H4013" s="93" t="e">
        <v>#N/A</v>
      </c>
      <c r="I4013" s="99">
        <v>46076</v>
      </c>
      <c r="J4013" s="83" t="s">
        <v>189</v>
      </c>
      <c r="K4013" s="107"/>
      <c r="L4013" s="107"/>
      <c r="M4013" s="107"/>
      <c r="N4013" s="107"/>
      <c r="O4013" s="107"/>
    </row>
    <row r="4014" spans="1:15" s="81" customFormat="1" hidden="1">
      <c r="A4014" s="81" t="str">
        <f t="shared" si="152"/>
        <v>ITLG.comRefrigeratorrefrigeratorfrigorifero</v>
      </c>
      <c r="B4014" s="106" t="str">
        <f t="shared" si="153"/>
        <v>IT_LG.com</v>
      </c>
      <c r="C4014" s="107" t="s">
        <v>269</v>
      </c>
      <c r="D4014" s="107" t="s">
        <v>321</v>
      </c>
      <c r="E4014" s="107" t="s">
        <v>2326</v>
      </c>
      <c r="F4014" s="107" t="s">
        <v>2329</v>
      </c>
      <c r="G4014" s="107" t="s">
        <v>3031</v>
      </c>
      <c r="H4014" s="93" t="e">
        <v>#N/A</v>
      </c>
      <c r="I4014" s="99">
        <v>46076</v>
      </c>
      <c r="J4014" s="83" t="s">
        <v>189</v>
      </c>
      <c r="K4014" s="107"/>
      <c r="L4014" s="107"/>
      <c r="M4014" s="107"/>
      <c r="N4014" s="107"/>
      <c r="O4014" s="107"/>
    </row>
    <row r="4015" spans="1:15" s="81" customFormat="1" hidden="1">
      <c r="A4015" s="81" t="str">
        <f t="shared" si="152"/>
        <v>ITLG.comTVtvtelevisore</v>
      </c>
      <c r="B4015" s="106" t="str">
        <f t="shared" si="153"/>
        <v>IT_LG.com</v>
      </c>
      <c r="C4015" s="107" t="s">
        <v>269</v>
      </c>
      <c r="D4015" s="107" t="s">
        <v>321</v>
      </c>
      <c r="E4015" s="107" t="s">
        <v>161</v>
      </c>
      <c r="F4015" s="107" t="s">
        <v>2444</v>
      </c>
      <c r="G4015" s="107" t="s">
        <v>3062</v>
      </c>
      <c r="H4015" s="93" t="e">
        <v>#N/A</v>
      </c>
      <c r="I4015" s="99">
        <v>46076</v>
      </c>
      <c r="J4015" s="83" t="s">
        <v>189</v>
      </c>
      <c r="K4015" s="107"/>
      <c r="L4015" s="107"/>
      <c r="M4015" s="107"/>
      <c r="N4015" s="107"/>
      <c r="O4015" s="107"/>
    </row>
    <row r="4016" spans="1:15" s="81" customFormat="1" hidden="1">
      <c r="A4016" s="81" t="str">
        <f t="shared" si="152"/>
        <v>ITLG.comWashing Machinewasher dryerlavasciuga</v>
      </c>
      <c r="B4016" s="106" t="str">
        <f t="shared" si="153"/>
        <v>IT_LG.com</v>
      </c>
      <c r="C4016" s="107" t="s">
        <v>269</v>
      </c>
      <c r="D4016" s="107" t="s">
        <v>321</v>
      </c>
      <c r="E4016" s="107" t="s">
        <v>2333</v>
      </c>
      <c r="F4016" s="107" t="s">
        <v>2339</v>
      </c>
      <c r="G4016" s="107" t="s">
        <v>3037</v>
      </c>
      <c r="H4016" s="93" t="e">
        <v>#N/A</v>
      </c>
      <c r="I4016" s="99">
        <v>46076</v>
      </c>
      <c r="J4016" s="83" t="s">
        <v>189</v>
      </c>
      <c r="K4016" s="107"/>
      <c r="L4016" s="107"/>
      <c r="M4016" s="107"/>
      <c r="N4016" s="107"/>
      <c r="O4016" s="107"/>
    </row>
    <row r="4017" spans="1:15" s="81" customFormat="1" hidden="1">
      <c r="A4017" s="81" t="str">
        <f t="shared" si="152"/>
        <v>ITLG.comWashing Machinewashing machinelavatrice</v>
      </c>
      <c r="B4017" s="106" t="str">
        <f t="shared" si="153"/>
        <v>IT_LG.com</v>
      </c>
      <c r="C4017" s="107" t="s">
        <v>269</v>
      </c>
      <c r="D4017" s="107" t="s">
        <v>321</v>
      </c>
      <c r="E4017" s="107" t="s">
        <v>2333</v>
      </c>
      <c r="F4017" s="107" t="s">
        <v>2340</v>
      </c>
      <c r="G4017" s="107" t="s">
        <v>3038</v>
      </c>
      <c r="H4017" s="93" t="e">
        <v>#N/A</v>
      </c>
      <c r="I4017" s="99">
        <v>46076</v>
      </c>
      <c r="J4017" s="83" t="s">
        <v>189</v>
      </c>
      <c r="K4017" s="107"/>
      <c r="L4017" s="107"/>
      <c r="M4017" s="107"/>
      <c r="N4017" s="107"/>
      <c r="O4017" s="107"/>
    </row>
    <row r="4018" spans="1:15" s="108" customFormat="1" hidden="1">
      <c r="A4018" s="108" t="str">
        <f t="shared" si="152"/>
        <v>ITLG.comAir Conditionerair conditionercondizionatore</v>
      </c>
      <c r="B4018" s="109" t="str">
        <f t="shared" si="153"/>
        <v>IT_LG.com</v>
      </c>
      <c r="C4018" s="110" t="s">
        <v>269</v>
      </c>
      <c r="D4018" s="110" t="s">
        <v>321</v>
      </c>
      <c r="E4018" s="110" t="s">
        <v>2524</v>
      </c>
      <c r="F4018" s="110" t="s">
        <v>2347</v>
      </c>
      <c r="G4018" s="110" t="s">
        <v>3039</v>
      </c>
      <c r="H4018" s="93" t="e">
        <v>#N/A</v>
      </c>
      <c r="I4018" s="99">
        <v>46076</v>
      </c>
      <c r="J4018" s="83" t="s">
        <v>189</v>
      </c>
      <c r="K4018" s="110"/>
      <c r="L4018" s="110"/>
      <c r="M4018" s="110"/>
      <c r="N4018" s="110"/>
      <c r="O4018" s="110"/>
    </row>
    <row r="4019" spans="1:15" s="108" customFormat="1" hidden="1">
      <c r="A4019" s="108" t="str">
        <f t="shared" si="152"/>
        <v>ITLG.comAir Conditionerinverter air conditionercondizionatore inverter</v>
      </c>
      <c r="B4019" s="109" t="str">
        <f t="shared" si="153"/>
        <v>IT_LG.com</v>
      </c>
      <c r="C4019" s="110" t="s">
        <v>269</v>
      </c>
      <c r="D4019" s="110" t="s">
        <v>321</v>
      </c>
      <c r="E4019" s="110" t="s">
        <v>2524</v>
      </c>
      <c r="F4019" s="110" t="s">
        <v>2348</v>
      </c>
      <c r="G4019" s="110" t="s">
        <v>3040</v>
      </c>
      <c r="H4019" s="93" t="e">
        <v>#N/A</v>
      </c>
      <c r="I4019" s="99">
        <v>46076</v>
      </c>
      <c r="J4019" s="83" t="s">
        <v>189</v>
      </c>
      <c r="K4019" s="110"/>
      <c r="L4019" s="110"/>
      <c r="M4019" s="110"/>
      <c r="N4019" s="110"/>
      <c r="O4019" s="110"/>
    </row>
    <row r="4020" spans="1:15" s="108" customFormat="1" hidden="1">
      <c r="A4020" s="108" t="str">
        <f t="shared" si="152"/>
        <v>ITLG.comAir Conditionersplit air conditionercondizionatore split</v>
      </c>
      <c r="B4020" s="109" t="str">
        <f t="shared" si="153"/>
        <v>IT_LG.com</v>
      </c>
      <c r="C4020" s="110" t="s">
        <v>269</v>
      </c>
      <c r="D4020" s="110" t="s">
        <v>321</v>
      </c>
      <c r="E4020" s="110" t="s">
        <v>2524</v>
      </c>
      <c r="F4020" s="110" t="s">
        <v>2422</v>
      </c>
      <c r="G4020" s="110" t="s">
        <v>3041</v>
      </c>
      <c r="H4020" s="93" t="e">
        <v>#N/A</v>
      </c>
      <c r="I4020" s="99">
        <v>46076</v>
      </c>
      <c r="J4020" s="83" t="s">
        <v>189</v>
      </c>
      <c r="K4020" s="110"/>
      <c r="L4020" s="110"/>
      <c r="M4020" s="110"/>
      <c r="N4020" s="110"/>
      <c r="O4020" s="110"/>
    </row>
    <row r="4021" spans="1:15" s="108" customFormat="1" hidden="1">
      <c r="A4021" s="108" t="str">
        <f t="shared" si="152"/>
        <v>ITLG.comAir Conditionersplit inverter air conditionerclimatizzatore split inverter</v>
      </c>
      <c r="B4021" s="109" t="str">
        <f t="shared" si="153"/>
        <v>IT_LG.com</v>
      </c>
      <c r="C4021" s="110" t="s">
        <v>269</v>
      </c>
      <c r="D4021" s="110" t="s">
        <v>321</v>
      </c>
      <c r="E4021" s="110" t="s">
        <v>2524</v>
      </c>
      <c r="F4021" s="110" t="s">
        <v>2423</v>
      </c>
      <c r="G4021" s="110" t="s">
        <v>3042</v>
      </c>
      <c r="H4021" s="93" t="e">
        <v>#N/A</v>
      </c>
      <c r="I4021" s="99">
        <v>46076</v>
      </c>
      <c r="J4021" s="83" t="s">
        <v>189</v>
      </c>
      <c r="K4021" s="110"/>
      <c r="L4021" s="110"/>
      <c r="M4021" s="110"/>
      <c r="N4021" s="110"/>
      <c r="O4021" s="110"/>
    </row>
    <row r="4022" spans="1:15" s="108" customFormat="1" hidden="1">
      <c r="A4022" s="108" t="str">
        <f t="shared" si="152"/>
        <v>ITLG.comAir Conditionerwindow inverter air conditionercondizionatore inverter da finestra</v>
      </c>
      <c r="B4022" s="109" t="str">
        <f t="shared" si="153"/>
        <v>IT_LG.com</v>
      </c>
      <c r="C4022" s="110" t="s">
        <v>269</v>
      </c>
      <c r="D4022" s="110" t="s">
        <v>321</v>
      </c>
      <c r="E4022" s="110" t="s">
        <v>2524</v>
      </c>
      <c r="F4022" s="110" t="s">
        <v>2424</v>
      </c>
      <c r="G4022" s="110" t="s">
        <v>3044</v>
      </c>
      <c r="H4022" s="93" t="e">
        <v>#N/A</v>
      </c>
      <c r="I4022" s="99">
        <v>46076</v>
      </c>
      <c r="J4022" s="83" t="s">
        <v>189</v>
      </c>
      <c r="K4022" s="110"/>
      <c r="L4022" s="110"/>
      <c r="M4022" s="110"/>
      <c r="N4022" s="110"/>
      <c r="O4022" s="110"/>
    </row>
    <row r="4023" spans="1:15" s="81" customFormat="1" hidden="1">
      <c r="A4023" s="81" t="str">
        <f t="shared" si="152"/>
        <v>ITLG.comBluetooth Speakerbluetooth speakeraltoparlante bluetooth</v>
      </c>
      <c r="B4023" s="106" t="str">
        <f t="shared" si="153"/>
        <v>IT_LG.com</v>
      </c>
      <c r="C4023" s="107" t="s">
        <v>271</v>
      </c>
      <c r="D4023" s="107" t="s">
        <v>321</v>
      </c>
      <c r="E4023" s="107" t="s">
        <v>2307</v>
      </c>
      <c r="F4023" s="107" t="s">
        <v>2657</v>
      </c>
      <c r="G4023" s="107" t="s">
        <v>3046</v>
      </c>
      <c r="H4023" s="93" t="e">
        <v>#N/A</v>
      </c>
      <c r="I4023" s="99">
        <v>46076</v>
      </c>
      <c r="J4023" s="83" t="s">
        <v>189</v>
      </c>
      <c r="K4023" s="107"/>
      <c r="L4023" s="107"/>
      <c r="M4023" s="107"/>
      <c r="N4023" s="107"/>
      <c r="O4023" s="107"/>
    </row>
    <row r="4024" spans="1:15" s="81" customFormat="1" hidden="1">
      <c r="A4024" s="81" t="str">
        <f t="shared" si="152"/>
        <v>ITLG.comBluetooth SpeakerspeakersAltoparlanti</v>
      </c>
      <c r="B4024" s="106" t="str">
        <f t="shared" si="153"/>
        <v>IT_LG.com</v>
      </c>
      <c r="C4024" s="107" t="s">
        <v>271</v>
      </c>
      <c r="D4024" s="107" t="s">
        <v>321</v>
      </c>
      <c r="E4024" s="107" t="s">
        <v>2307</v>
      </c>
      <c r="F4024" s="107" t="s">
        <v>2471</v>
      </c>
      <c r="G4024" s="107" t="s">
        <v>3047</v>
      </c>
      <c r="H4024" s="93" t="e">
        <v>#N/A</v>
      </c>
      <c r="I4024" s="99">
        <v>46076</v>
      </c>
      <c r="J4024" s="83" t="s">
        <v>189</v>
      </c>
      <c r="K4024" s="107"/>
      <c r="L4024" s="107"/>
      <c r="M4024" s="107"/>
      <c r="N4024" s="107"/>
      <c r="O4024" s="107"/>
    </row>
    <row r="4025" spans="1:15" s="81" customFormat="1" hidden="1">
      <c r="A4025" s="81" t="str">
        <f t="shared" si="152"/>
        <v>ITLG.comBluetooth Speakerportable speakersaltoparlanti portatil</v>
      </c>
      <c r="B4025" s="106" t="str">
        <f t="shared" si="153"/>
        <v>IT_LG.com</v>
      </c>
      <c r="C4025" s="107" t="s">
        <v>271</v>
      </c>
      <c r="D4025" s="107" t="s">
        <v>321</v>
      </c>
      <c r="E4025" s="107" t="s">
        <v>2307</v>
      </c>
      <c r="F4025" s="107" t="s">
        <v>2473</v>
      </c>
      <c r="G4025" s="107" t="s">
        <v>3048</v>
      </c>
      <c r="H4025" s="93" t="e">
        <v>#N/A</v>
      </c>
      <c r="I4025" s="99">
        <v>46076</v>
      </c>
      <c r="J4025" s="83" t="s">
        <v>189</v>
      </c>
      <c r="K4025" s="107"/>
      <c r="L4025" s="107"/>
      <c r="M4025" s="107"/>
      <c r="N4025" s="107"/>
      <c r="O4025" s="107"/>
    </row>
    <row r="4026" spans="1:15" s="81" customFormat="1" hidden="1">
      <c r="A4026" s="81" t="str">
        <f t="shared" si="152"/>
        <v>ITLG.comBluetooth Speakerbluetooth speakerscasse bluetooth</v>
      </c>
      <c r="B4026" s="106" t="str">
        <f t="shared" si="153"/>
        <v>IT_LG.com</v>
      </c>
      <c r="C4026" s="107" t="s">
        <v>271</v>
      </c>
      <c r="D4026" s="107" t="s">
        <v>321</v>
      </c>
      <c r="E4026" s="107" t="s">
        <v>2307</v>
      </c>
      <c r="F4026" s="107" t="s">
        <v>3049</v>
      </c>
      <c r="G4026" s="107" t="s">
        <v>3050</v>
      </c>
      <c r="H4026" s="93" t="e">
        <v>#N/A</v>
      </c>
      <c r="I4026" s="99">
        <v>46076</v>
      </c>
      <c r="J4026" s="83" t="s">
        <v>189</v>
      </c>
      <c r="K4026" s="107"/>
      <c r="L4026" s="107"/>
      <c r="M4026" s="107"/>
      <c r="N4026" s="107"/>
      <c r="O4026" s="107"/>
    </row>
    <row r="4027" spans="1:15" s="81" customFormat="1" hidden="1">
      <c r="A4027" s="81" t="str">
        <f t="shared" si="152"/>
        <v>ITLG.comSOUNDBARSoundbarSoundbar</v>
      </c>
      <c r="B4027" s="106" t="str">
        <f t="shared" si="153"/>
        <v>IT_LG.com</v>
      </c>
      <c r="C4027" s="107" t="s">
        <v>271</v>
      </c>
      <c r="D4027" s="107" t="s">
        <v>321</v>
      </c>
      <c r="E4027" s="107" t="s">
        <v>2527</v>
      </c>
      <c r="F4027" s="107" t="s">
        <v>2363</v>
      </c>
      <c r="G4027" s="107" t="s">
        <v>2363</v>
      </c>
      <c r="H4027" s="93" t="e">
        <v>#N/A</v>
      </c>
      <c r="I4027" s="99">
        <v>46076</v>
      </c>
      <c r="J4027" s="83" t="s">
        <v>189</v>
      </c>
      <c r="K4027" s="107"/>
      <c r="L4027" s="107"/>
      <c r="M4027" s="107"/>
      <c r="N4027" s="107"/>
      <c r="O4027" s="107"/>
    </row>
    <row r="4028" spans="1:15" s="81" customFormat="1" hidden="1">
      <c r="A4028" s="81" t="str">
        <f t="shared" si="152"/>
        <v>ITLG.comSOUNDBARsoundbar for tvsoundbar per tv</v>
      </c>
      <c r="B4028" s="106" t="str">
        <f t="shared" si="153"/>
        <v>IT_LG.com</v>
      </c>
      <c r="C4028" s="107" t="s">
        <v>271</v>
      </c>
      <c r="D4028" s="107" t="s">
        <v>321</v>
      </c>
      <c r="E4028" s="107" t="s">
        <v>2527</v>
      </c>
      <c r="F4028" s="107" t="s">
        <v>2573</v>
      </c>
      <c r="G4028" s="107" t="s">
        <v>3054</v>
      </c>
      <c r="H4028" s="93" t="e">
        <v>#N/A</v>
      </c>
      <c r="I4028" s="99">
        <v>46076</v>
      </c>
      <c r="J4028" s="83" t="s">
        <v>189</v>
      </c>
      <c r="K4028" s="107"/>
      <c r="L4028" s="107"/>
      <c r="M4028" s="107"/>
      <c r="N4028" s="107"/>
      <c r="O4028" s="107"/>
    </row>
    <row r="4029" spans="1:15" s="81" customFormat="1" hidden="1">
      <c r="A4029" s="81" t="str">
        <f t="shared" si="152"/>
        <v>ITLG.comSOUNDBARtv soundbarsoundbar tv</v>
      </c>
      <c r="B4029" s="106" t="str">
        <f t="shared" si="153"/>
        <v>IT_LG.com</v>
      </c>
      <c r="C4029" s="107" t="s">
        <v>271</v>
      </c>
      <c r="D4029" s="107" t="s">
        <v>321</v>
      </c>
      <c r="E4029" s="107" t="s">
        <v>2527</v>
      </c>
      <c r="F4029" s="107" t="s">
        <v>2686</v>
      </c>
      <c r="G4029" s="107" t="s">
        <v>3055</v>
      </c>
      <c r="H4029" s="93" t="e">
        <v>#N/A</v>
      </c>
      <c r="I4029" s="99">
        <v>46076</v>
      </c>
      <c r="J4029" s="83" t="s">
        <v>189</v>
      </c>
      <c r="K4029" s="107"/>
      <c r="L4029" s="107"/>
      <c r="M4029" s="107"/>
      <c r="N4029" s="107"/>
      <c r="O4029" s="107"/>
    </row>
    <row r="4030" spans="1:15" s="81" customFormat="1" hidden="1">
      <c r="A4030" s="81" t="str">
        <f t="shared" si="152"/>
        <v>ITLG.comWireless HeadsetEarbudsAuricolari</v>
      </c>
      <c r="B4030" s="106" t="str">
        <f t="shared" si="153"/>
        <v>IT_LG.com</v>
      </c>
      <c r="C4030" s="107" t="s">
        <v>271</v>
      </c>
      <c r="D4030" s="107" t="s">
        <v>321</v>
      </c>
      <c r="E4030" s="107" t="s">
        <v>2705</v>
      </c>
      <c r="F4030" s="107" t="s">
        <v>2534</v>
      </c>
      <c r="G4030" s="107" t="s">
        <v>3056</v>
      </c>
      <c r="H4030" s="93" t="e">
        <v>#N/A</v>
      </c>
      <c r="I4030" s="99">
        <v>46076</v>
      </c>
      <c r="J4030" s="83" t="s">
        <v>189</v>
      </c>
      <c r="K4030" s="107"/>
      <c r="L4030" s="107"/>
      <c r="M4030" s="107"/>
      <c r="N4030" s="107"/>
      <c r="O4030" s="107"/>
    </row>
    <row r="4031" spans="1:15" s="81" customFormat="1" hidden="1">
      <c r="A4031" s="81" t="str">
        <f t="shared" si="152"/>
        <v>ITLG.comWireless HeadsetEar budsAuricolari</v>
      </c>
      <c r="B4031" s="106" t="str">
        <f t="shared" si="153"/>
        <v>IT_LG.com</v>
      </c>
      <c r="C4031" s="107" t="s">
        <v>271</v>
      </c>
      <c r="D4031" s="107" t="s">
        <v>321</v>
      </c>
      <c r="E4031" s="107" t="s">
        <v>2705</v>
      </c>
      <c r="F4031" s="107" t="s">
        <v>2380</v>
      </c>
      <c r="G4031" s="107" t="s">
        <v>3056</v>
      </c>
      <c r="H4031" s="93" t="e">
        <v>#N/A</v>
      </c>
      <c r="I4031" s="99">
        <v>46076</v>
      </c>
      <c r="J4031" s="83" t="s">
        <v>189</v>
      </c>
      <c r="K4031" s="107"/>
      <c r="L4031" s="107"/>
      <c r="M4031" s="107"/>
      <c r="N4031" s="107"/>
      <c r="O4031" s="107"/>
    </row>
    <row r="4032" spans="1:15" s="81" customFormat="1" hidden="1">
      <c r="A4032" s="81" t="str">
        <f t="shared" si="152"/>
        <v>ITLG.comWireless HeadsetBluetooth earbudsAuricolari Bluetooth</v>
      </c>
      <c r="B4032" s="106" t="str">
        <f t="shared" si="153"/>
        <v>IT_LG.com</v>
      </c>
      <c r="C4032" s="107" t="s">
        <v>271</v>
      </c>
      <c r="D4032" s="107" t="s">
        <v>321</v>
      </c>
      <c r="E4032" s="107" t="s">
        <v>2705</v>
      </c>
      <c r="F4032" s="107" t="s">
        <v>2382</v>
      </c>
      <c r="G4032" s="107" t="s">
        <v>3057</v>
      </c>
      <c r="H4032" s="93" t="e">
        <v>#N/A</v>
      </c>
      <c r="I4032" s="99">
        <v>46076</v>
      </c>
      <c r="J4032" s="83" t="s">
        <v>189</v>
      </c>
      <c r="K4032" s="107"/>
      <c r="L4032" s="107"/>
      <c r="M4032" s="107"/>
      <c r="N4032" s="107"/>
      <c r="O4032" s="107"/>
    </row>
    <row r="4033" spans="1:15" s="81" customFormat="1" hidden="1">
      <c r="A4033" s="81" t="str">
        <f t="shared" si="152"/>
        <v>ITLG.comWireless HeadsetWireless earbudsAuricolari wireless</v>
      </c>
      <c r="B4033" s="106" t="str">
        <f t="shared" si="153"/>
        <v>IT_LG.com</v>
      </c>
      <c r="C4033" s="107" t="s">
        <v>271</v>
      </c>
      <c r="D4033" s="107" t="s">
        <v>321</v>
      </c>
      <c r="E4033" s="107" t="s">
        <v>2705</v>
      </c>
      <c r="F4033" s="107" t="s">
        <v>2376</v>
      </c>
      <c r="G4033" s="107" t="s">
        <v>3058</v>
      </c>
      <c r="H4033" s="93" t="e">
        <v>#N/A</v>
      </c>
      <c r="I4033" s="99">
        <v>46076</v>
      </c>
      <c r="J4033" s="83" t="s">
        <v>189</v>
      </c>
      <c r="K4033" s="107"/>
      <c r="L4033" s="107"/>
      <c r="M4033" s="107"/>
      <c r="N4033" s="107"/>
      <c r="O4033" s="107"/>
    </row>
    <row r="4034" spans="1:15" s="81" customFormat="1" hidden="1">
      <c r="A4034" s="81" t="str">
        <f t="shared" si="152"/>
        <v>ITLG.comWireless HeadsetBluetooth HeadphonesCuffie Bluetooth</v>
      </c>
      <c r="B4034" s="106" t="str">
        <f t="shared" si="153"/>
        <v>IT_LG.com</v>
      </c>
      <c r="C4034" s="107" t="s">
        <v>271</v>
      </c>
      <c r="D4034" s="107" t="s">
        <v>321</v>
      </c>
      <c r="E4034" s="107" t="s">
        <v>2705</v>
      </c>
      <c r="F4034" s="107" t="s">
        <v>2533</v>
      </c>
      <c r="G4034" s="107" t="s">
        <v>3059</v>
      </c>
      <c r="H4034" s="93" t="e">
        <v>#N/A</v>
      </c>
      <c r="I4034" s="99">
        <v>46076</v>
      </c>
      <c r="J4034" s="83" t="s">
        <v>189</v>
      </c>
      <c r="K4034" s="107"/>
      <c r="L4034" s="107"/>
      <c r="M4034" s="107"/>
      <c r="N4034" s="107"/>
      <c r="O4034" s="107"/>
    </row>
    <row r="4035" spans="1:15" s="111" customFormat="1" hidden="1">
      <c r="A4035" s="111" t="str">
        <f t="shared" si="152"/>
        <v>ITLG.comDryerDryerAsciugatrici</v>
      </c>
      <c r="B4035" s="112" t="str">
        <f t="shared" si="153"/>
        <v>IT_LG.com</v>
      </c>
      <c r="C4035" s="113" t="s">
        <v>271</v>
      </c>
      <c r="D4035" s="113" t="s">
        <v>567</v>
      </c>
      <c r="E4035" s="113" t="s">
        <v>2431</v>
      </c>
      <c r="F4035" s="113" t="s">
        <v>2431</v>
      </c>
      <c r="G4035" s="113" t="s">
        <v>3045</v>
      </c>
      <c r="H4035" s="93" t="e">
        <v>#N/A</v>
      </c>
      <c r="I4035" s="99">
        <v>46076</v>
      </c>
      <c r="J4035" s="83" t="s">
        <v>189</v>
      </c>
      <c r="K4035" s="113"/>
      <c r="L4035" s="113"/>
      <c r="M4035" s="113"/>
      <c r="N4035" s="113"/>
      <c r="O4035" s="113"/>
    </row>
    <row r="4036" spans="1:15" s="108" customFormat="1" hidden="1">
      <c r="A4036" s="108" t="str">
        <f t="shared" si="152"/>
        <v>SAEXTRADryerLG Dryerمجفف ال جي</v>
      </c>
      <c r="B4036" s="109" t="str">
        <f t="shared" si="153"/>
        <v>SA_EXTRA</v>
      </c>
      <c r="C4036" s="110" t="s">
        <v>339</v>
      </c>
      <c r="D4036" s="110" t="s">
        <v>602</v>
      </c>
      <c r="E4036" s="110" t="s">
        <v>2535</v>
      </c>
      <c r="F4036" s="110" t="s">
        <v>2623</v>
      </c>
      <c r="G4036" s="126" t="s">
        <v>3772</v>
      </c>
      <c r="H4036" s="93" t="e">
        <v>#N/A</v>
      </c>
      <c r="I4036" s="99">
        <v>46076</v>
      </c>
      <c r="J4036" s="83" t="s">
        <v>189</v>
      </c>
      <c r="K4036" s="110"/>
      <c r="L4036" s="110"/>
      <c r="M4036" s="110"/>
      <c r="N4036" s="110"/>
      <c r="O4036" s="110"/>
    </row>
    <row r="4037" spans="1:15" hidden="1">
      <c r="A4037" s="75" t="str">
        <f t="shared" si="152"/>
        <v>SGLAZADAAir Conditionerair conditionerair conditioner</v>
      </c>
      <c r="B4037" s="94" t="str">
        <f t="shared" si="153"/>
        <v>SG_LAZADA</v>
      </c>
      <c r="C4037" s="93" t="s">
        <v>211</v>
      </c>
      <c r="D4037" s="93" t="s">
        <v>215</v>
      </c>
      <c r="E4037" s="93" t="s">
        <v>2346</v>
      </c>
      <c r="F4037" s="93" t="s">
        <v>2347</v>
      </c>
      <c r="G4037" s="93" t="s">
        <v>2347</v>
      </c>
      <c r="H4037" s="93" t="e">
        <v>#N/A</v>
      </c>
      <c r="I4037" s="105" t="s">
        <v>3759</v>
      </c>
      <c r="J4037" s="93" t="s">
        <v>189</v>
      </c>
      <c r="K4037" s="93"/>
      <c r="L4037" s="93"/>
      <c r="M4037" s="93"/>
      <c r="N4037" s="93"/>
      <c r="O4037" s="93" t="s">
        <v>646</v>
      </c>
    </row>
    <row r="4038" spans="1:15" hidden="1">
      <c r="A4038" s="75" t="str">
        <f t="shared" ref="A4038:A4101" si="154">C4038&amp;D4038&amp;E4038&amp;F4038&amp;G4038</f>
        <v>SGLAZADAAir Conditionerportable air conditionerportable air conditioner</v>
      </c>
      <c r="B4038" s="94" t="str">
        <f t="shared" si="153"/>
        <v>SG_LAZADA</v>
      </c>
      <c r="C4038" s="93" t="s">
        <v>211</v>
      </c>
      <c r="D4038" s="93" t="s">
        <v>215</v>
      </c>
      <c r="E4038" s="93" t="s">
        <v>2346</v>
      </c>
      <c r="F4038" s="93" t="s">
        <v>2349</v>
      </c>
      <c r="G4038" s="93" t="s">
        <v>2349</v>
      </c>
      <c r="H4038" s="93" t="e">
        <v>#N/A</v>
      </c>
      <c r="I4038" s="105" t="s">
        <v>3759</v>
      </c>
      <c r="J4038" s="93" t="s">
        <v>189</v>
      </c>
      <c r="K4038" s="93"/>
      <c r="L4038" s="93"/>
      <c r="M4038" s="93"/>
      <c r="N4038" s="93"/>
      <c r="O4038" s="93" t="s">
        <v>646</v>
      </c>
    </row>
    <row r="4039" spans="1:15" hidden="1">
      <c r="A4039" s="75" t="str">
        <f t="shared" si="154"/>
        <v>SGLAZADAAir Conditionerwindow air conditionerAircon install</v>
      </c>
      <c r="B4039" s="94" t="str">
        <f t="shared" ref="B4039:B4102" si="155">C4039&amp;"_"&amp;D4039</f>
        <v>SG_LAZADA</v>
      </c>
      <c r="C4039" s="93" t="s">
        <v>211</v>
      </c>
      <c r="D4039" s="93" t="s">
        <v>215</v>
      </c>
      <c r="E4039" s="93" t="s">
        <v>2346</v>
      </c>
      <c r="F4039" s="93" t="s">
        <v>2350</v>
      </c>
      <c r="G4039" s="93" t="s">
        <v>3461</v>
      </c>
      <c r="H4039" s="93" t="e">
        <v>#N/A</v>
      </c>
      <c r="I4039" s="105" t="s">
        <v>3759</v>
      </c>
      <c r="J4039" s="93" t="s">
        <v>189</v>
      </c>
      <c r="K4039" s="93"/>
      <c r="L4039" s="93"/>
      <c r="M4039" s="93"/>
      <c r="N4039" s="93"/>
      <c r="O4039" s="93" t="s">
        <v>646</v>
      </c>
    </row>
    <row r="4040" spans="1:15" hidden="1">
      <c r="A4040" s="75" t="str">
        <f t="shared" si="154"/>
        <v>SGLAZADAAir Conditionerinverter air conditionerinverter air conditioner</v>
      </c>
      <c r="B4040" s="94" t="str">
        <f t="shared" si="155"/>
        <v>SG_LAZADA</v>
      </c>
      <c r="C4040" s="93" t="s">
        <v>211</v>
      </c>
      <c r="D4040" s="93" t="s">
        <v>215</v>
      </c>
      <c r="E4040" s="93" t="s">
        <v>2346</v>
      </c>
      <c r="F4040" s="93" t="s">
        <v>2348</v>
      </c>
      <c r="G4040" s="93" t="s">
        <v>2348</v>
      </c>
      <c r="H4040" s="93" t="e">
        <v>#N/A</v>
      </c>
      <c r="I4040" s="105" t="s">
        <v>3759</v>
      </c>
      <c r="J4040" s="93" t="s">
        <v>189</v>
      </c>
      <c r="K4040" s="93"/>
      <c r="L4040" s="93"/>
      <c r="M4040" s="93"/>
      <c r="N4040" s="93"/>
      <c r="O4040" s="93" t="s">
        <v>646</v>
      </c>
    </row>
    <row r="4041" spans="1:15" hidden="1">
      <c r="A4041" s="75" t="str">
        <f t="shared" si="154"/>
        <v>SGLAZADALaptopLaptopLaptop</v>
      </c>
      <c r="B4041" s="94" t="str">
        <f t="shared" si="155"/>
        <v>SG_LAZADA</v>
      </c>
      <c r="C4041" s="93" t="s">
        <v>211</v>
      </c>
      <c r="D4041" s="93" t="s">
        <v>215</v>
      </c>
      <c r="E4041" s="93" t="s">
        <v>2407</v>
      </c>
      <c r="F4041" s="93" t="s">
        <v>2407</v>
      </c>
      <c r="G4041" s="93" t="s">
        <v>2407</v>
      </c>
      <c r="H4041" s="93" t="e">
        <v>#N/A</v>
      </c>
      <c r="I4041" s="105" t="s">
        <v>3759</v>
      </c>
      <c r="J4041" s="93" t="s">
        <v>189</v>
      </c>
      <c r="K4041" s="93"/>
      <c r="L4041" s="93"/>
      <c r="M4041" s="93"/>
      <c r="N4041" s="93"/>
      <c r="O4041" s="93" t="s">
        <v>646</v>
      </c>
    </row>
    <row r="4042" spans="1:15" hidden="1">
      <c r="A4042" s="75" t="str">
        <f t="shared" si="154"/>
        <v>SGLAZADALaptopLightweight LaptopLightweight Laptop</v>
      </c>
      <c r="B4042" s="94" t="str">
        <f t="shared" si="155"/>
        <v>SG_LAZADA</v>
      </c>
      <c r="C4042" s="93" t="s">
        <v>211</v>
      </c>
      <c r="D4042" s="93" t="s">
        <v>215</v>
      </c>
      <c r="E4042" s="93" t="s">
        <v>2407</v>
      </c>
      <c r="F4042" s="93" t="s">
        <v>2411</v>
      </c>
      <c r="G4042" s="93" t="s">
        <v>2411</v>
      </c>
      <c r="H4042" s="93" t="e">
        <v>#N/A</v>
      </c>
      <c r="I4042" s="105" t="s">
        <v>3759</v>
      </c>
      <c r="J4042" s="93" t="s">
        <v>189</v>
      </c>
      <c r="K4042" s="93"/>
      <c r="L4042" s="93"/>
      <c r="M4042" s="93"/>
      <c r="N4042" s="93"/>
      <c r="O4042" s="93" t="s">
        <v>646</v>
      </c>
    </row>
    <row r="4043" spans="1:15" hidden="1">
      <c r="A4043" s="75" t="str">
        <f t="shared" si="154"/>
        <v>SGLAZADALaptop17inch Laptop17inch Laptop</v>
      </c>
      <c r="B4043" s="94" t="str">
        <f t="shared" si="155"/>
        <v>SG_LAZADA</v>
      </c>
      <c r="C4043" s="93" t="s">
        <v>211</v>
      </c>
      <c r="D4043" s="93" t="s">
        <v>215</v>
      </c>
      <c r="E4043" s="93" t="s">
        <v>2407</v>
      </c>
      <c r="F4043" s="93" t="s">
        <v>2409</v>
      </c>
      <c r="G4043" s="93" t="s">
        <v>2409</v>
      </c>
      <c r="H4043" s="93" t="e">
        <v>#N/A</v>
      </c>
      <c r="I4043" s="105" t="s">
        <v>3759</v>
      </c>
      <c r="J4043" s="93" t="s">
        <v>189</v>
      </c>
      <c r="K4043" s="93"/>
      <c r="L4043" s="93"/>
      <c r="M4043" s="93"/>
      <c r="N4043" s="93"/>
      <c r="O4043" s="93" t="s">
        <v>646</v>
      </c>
    </row>
    <row r="4044" spans="1:15" hidden="1">
      <c r="A4044" s="75" t="str">
        <f t="shared" si="154"/>
        <v>SGLAZADALaptop15inch Laptop15inch Laptop</v>
      </c>
      <c r="B4044" s="94" t="str">
        <f t="shared" si="155"/>
        <v>SG_LAZADA</v>
      </c>
      <c r="C4044" s="93" t="s">
        <v>211</v>
      </c>
      <c r="D4044" s="93" t="s">
        <v>215</v>
      </c>
      <c r="E4044" s="93" t="s">
        <v>2407</v>
      </c>
      <c r="F4044" s="93" t="s">
        <v>2408</v>
      </c>
      <c r="G4044" s="93" t="s">
        <v>2408</v>
      </c>
      <c r="H4044" s="93" t="e">
        <v>#N/A</v>
      </c>
      <c r="I4044" s="105" t="s">
        <v>3759</v>
      </c>
      <c r="J4044" s="93" t="s">
        <v>189</v>
      </c>
      <c r="K4044" s="93"/>
      <c r="L4044" s="93"/>
      <c r="M4044" s="93"/>
      <c r="N4044" s="93"/>
      <c r="O4044" s="93" t="s">
        <v>646</v>
      </c>
    </row>
    <row r="4045" spans="1:15" hidden="1">
      <c r="A4045" s="75" t="str">
        <f t="shared" si="154"/>
        <v>SGLAZADALaptopi7 laptopi7 laptop</v>
      </c>
      <c r="B4045" s="94" t="str">
        <f t="shared" si="155"/>
        <v>SG_LAZADA</v>
      </c>
      <c r="C4045" s="93" t="s">
        <v>211</v>
      </c>
      <c r="D4045" s="93" t="s">
        <v>215</v>
      </c>
      <c r="E4045" s="93" t="s">
        <v>2407</v>
      </c>
      <c r="F4045" s="93" t="s">
        <v>2410</v>
      </c>
      <c r="G4045" s="93" t="s">
        <v>2410</v>
      </c>
      <c r="H4045" s="93" t="e">
        <v>#N/A</v>
      </c>
      <c r="I4045" s="105" t="s">
        <v>3759</v>
      </c>
      <c r="J4045" s="93" t="s">
        <v>189</v>
      </c>
      <c r="K4045" s="93"/>
      <c r="L4045" s="93"/>
      <c r="M4045" s="93"/>
      <c r="N4045" s="93"/>
      <c r="O4045" s="93" t="s">
        <v>646</v>
      </c>
    </row>
    <row r="4046" spans="1:15" hidden="1">
      <c r="A4046" s="75" t="str">
        <f t="shared" si="154"/>
        <v>SGLAZADALaptop14 in laptop14in laptop</v>
      </c>
      <c r="B4046" s="94" t="str">
        <f t="shared" si="155"/>
        <v>SG_LAZADA</v>
      </c>
      <c r="C4046" s="93" t="s">
        <v>211</v>
      </c>
      <c r="D4046" s="93" t="s">
        <v>215</v>
      </c>
      <c r="E4046" s="93" t="s">
        <v>2407</v>
      </c>
      <c r="F4046" s="93" t="s">
        <v>3485</v>
      </c>
      <c r="G4046" s="93" t="s">
        <v>3486</v>
      </c>
      <c r="H4046" s="93" t="e">
        <v>#N/A</v>
      </c>
      <c r="I4046" s="105" t="s">
        <v>3759</v>
      </c>
      <c r="J4046" s="93" t="s">
        <v>189</v>
      </c>
      <c r="K4046" s="93"/>
      <c r="L4046" s="93"/>
      <c r="M4046" s="93"/>
      <c r="N4046" s="93"/>
      <c r="O4046" s="93" t="s">
        <v>646</v>
      </c>
    </row>
    <row r="4047" spans="1:15" hidden="1">
      <c r="A4047" s="75" t="str">
        <f t="shared" si="154"/>
        <v>SGLAZADACordless stick vacuumCordless stick vacuumcordless stick vacuum</v>
      </c>
      <c r="B4047" s="94" t="str">
        <f t="shared" si="155"/>
        <v>SG_LAZADA</v>
      </c>
      <c r="C4047" s="93" t="s">
        <v>211</v>
      </c>
      <c r="D4047" s="93" t="s">
        <v>215</v>
      </c>
      <c r="E4047" s="93" t="s">
        <v>2435</v>
      </c>
      <c r="F4047" s="93" t="s">
        <v>2435</v>
      </c>
      <c r="G4047" s="93" t="s">
        <v>2436</v>
      </c>
      <c r="H4047" s="93" t="e">
        <v>#N/A</v>
      </c>
      <c r="I4047" s="105" t="s">
        <v>3759</v>
      </c>
      <c r="J4047" s="93" t="s">
        <v>189</v>
      </c>
      <c r="K4047" s="93"/>
      <c r="L4047" s="93"/>
      <c r="M4047" s="93"/>
      <c r="N4047" s="93"/>
      <c r="O4047" s="93" t="s">
        <v>646</v>
      </c>
    </row>
    <row r="4048" spans="1:15" hidden="1">
      <c r="A4048" s="75" t="str">
        <f t="shared" si="154"/>
        <v>SGLAZADACordless stick vacuumCordless stick vacuumhand vacuum</v>
      </c>
      <c r="B4048" s="94" t="str">
        <f t="shared" si="155"/>
        <v>SG_LAZADA</v>
      </c>
      <c r="C4048" s="93" t="s">
        <v>211</v>
      </c>
      <c r="D4048" s="93" t="s">
        <v>215</v>
      </c>
      <c r="E4048" s="93" t="s">
        <v>2435</v>
      </c>
      <c r="F4048" s="93" t="s">
        <v>2435</v>
      </c>
      <c r="G4048" s="93" t="s">
        <v>3465</v>
      </c>
      <c r="H4048" s="93" t="e">
        <v>#N/A</v>
      </c>
      <c r="I4048" s="105" t="s">
        <v>3759</v>
      </c>
      <c r="J4048" s="93" t="s">
        <v>189</v>
      </c>
      <c r="K4048" s="93"/>
      <c r="L4048" s="93"/>
      <c r="M4048" s="93"/>
      <c r="N4048" s="93"/>
      <c r="O4048" s="93" t="s">
        <v>646</v>
      </c>
    </row>
    <row r="4049" spans="1:15" hidden="1">
      <c r="A4049" s="75" t="str">
        <f t="shared" si="154"/>
        <v>SGLAZADACordless stick vacuumCordless stick vacuumHandheld Vacuum Cleaner</v>
      </c>
      <c r="B4049" s="94" t="str">
        <f t="shared" si="155"/>
        <v>SG_LAZADA</v>
      </c>
      <c r="C4049" s="93" t="s">
        <v>211</v>
      </c>
      <c r="D4049" s="93" t="s">
        <v>215</v>
      </c>
      <c r="E4049" s="93" t="s">
        <v>2435</v>
      </c>
      <c r="F4049" s="93" t="s">
        <v>2435</v>
      </c>
      <c r="G4049" s="93" t="s">
        <v>3466</v>
      </c>
      <c r="H4049" s="93" t="e">
        <v>#N/A</v>
      </c>
      <c r="I4049" s="105" t="s">
        <v>3759</v>
      </c>
      <c r="J4049" s="93" t="s">
        <v>189</v>
      </c>
      <c r="K4049" s="93"/>
      <c r="L4049" s="93"/>
      <c r="M4049" s="93"/>
      <c r="N4049" s="93"/>
      <c r="O4049" s="93" t="s">
        <v>646</v>
      </c>
    </row>
    <row r="4050" spans="1:15" hidden="1">
      <c r="A4050" s="75" t="str">
        <f t="shared" si="154"/>
        <v>SGLAZADACordless stick vacuumCordless stick vacuumvacuum cleaner</v>
      </c>
      <c r="B4050" s="94" t="str">
        <f t="shared" si="155"/>
        <v>SG_LAZADA</v>
      </c>
      <c r="C4050" s="93" t="s">
        <v>211</v>
      </c>
      <c r="D4050" s="93" t="s">
        <v>215</v>
      </c>
      <c r="E4050" s="93" t="s">
        <v>2435</v>
      </c>
      <c r="F4050" s="93" t="s">
        <v>2435</v>
      </c>
      <c r="G4050" s="93" t="s">
        <v>2882</v>
      </c>
      <c r="H4050" s="93" t="e">
        <v>#N/A</v>
      </c>
      <c r="I4050" s="105" t="s">
        <v>3759</v>
      </c>
      <c r="J4050" s="93" t="s">
        <v>189</v>
      </c>
      <c r="K4050" s="93"/>
      <c r="L4050" s="93"/>
      <c r="M4050" s="93"/>
      <c r="N4050" s="93"/>
      <c r="O4050" s="93" t="s">
        <v>646</v>
      </c>
    </row>
    <row r="4051" spans="1:15" hidden="1">
      <c r="A4051" s="75" t="str">
        <f t="shared" si="154"/>
        <v>SGLAZADALaptop17inch Laptop17in laptop</v>
      </c>
      <c r="B4051" s="94" t="str">
        <f t="shared" si="155"/>
        <v>SG_LAZADA</v>
      </c>
      <c r="C4051" s="93" t="s">
        <v>211</v>
      </c>
      <c r="D4051" s="93" t="s">
        <v>215</v>
      </c>
      <c r="E4051" s="93" t="s">
        <v>2407</v>
      </c>
      <c r="F4051" s="93" t="s">
        <v>2409</v>
      </c>
      <c r="G4051" s="93" t="s">
        <v>3488</v>
      </c>
      <c r="H4051" s="93" t="e">
        <v>#N/A</v>
      </c>
      <c r="I4051" s="105" t="s">
        <v>3759</v>
      </c>
      <c r="J4051" s="93" t="s">
        <v>189</v>
      </c>
      <c r="K4051" s="93"/>
      <c r="L4051" s="93"/>
      <c r="M4051" s="93"/>
      <c r="N4051" s="93"/>
      <c r="O4051" s="93" t="s">
        <v>646</v>
      </c>
    </row>
    <row r="4052" spans="1:15" hidden="1">
      <c r="A4052" s="75" t="str">
        <f t="shared" si="154"/>
        <v>SGLAZADALaptop15inch Laptop15in laptop</v>
      </c>
      <c r="B4052" s="94" t="str">
        <f t="shared" si="155"/>
        <v>SG_LAZADA</v>
      </c>
      <c r="C4052" s="93" t="s">
        <v>211</v>
      </c>
      <c r="D4052" s="93" t="s">
        <v>215</v>
      </c>
      <c r="E4052" s="93" t="s">
        <v>2407</v>
      </c>
      <c r="F4052" s="93" t="s">
        <v>2408</v>
      </c>
      <c r="G4052" s="93" t="s">
        <v>3487</v>
      </c>
      <c r="H4052" s="93" t="e">
        <v>#N/A</v>
      </c>
      <c r="I4052" s="105" t="s">
        <v>3759</v>
      </c>
      <c r="J4052" s="93" t="s">
        <v>189</v>
      </c>
      <c r="K4052" s="93"/>
      <c r="L4052" s="93"/>
      <c r="M4052" s="93"/>
      <c r="N4052" s="93"/>
      <c r="O4052" s="93" t="s">
        <v>646</v>
      </c>
    </row>
    <row r="4053" spans="1:15" hidden="1">
      <c r="A4053" s="75" t="str">
        <f t="shared" si="154"/>
        <v>SGLAZADADryerdryerdryer</v>
      </c>
      <c r="B4053" s="94" t="str">
        <f t="shared" si="155"/>
        <v>SG_LAZADA</v>
      </c>
      <c r="C4053" s="93" t="s">
        <v>211</v>
      </c>
      <c r="D4053" s="93" t="s">
        <v>215</v>
      </c>
      <c r="E4053" s="93" t="s">
        <v>2431</v>
      </c>
      <c r="F4053" s="93" t="s">
        <v>2927</v>
      </c>
      <c r="G4053" s="93" t="s">
        <v>2927</v>
      </c>
      <c r="H4053" s="93" t="e">
        <v>#N/A</v>
      </c>
      <c r="I4053" s="105" t="s">
        <v>3759</v>
      </c>
      <c r="J4053" s="93" t="s">
        <v>189</v>
      </c>
      <c r="K4053" s="93"/>
      <c r="L4053" s="93"/>
      <c r="M4053" s="93"/>
      <c r="N4053" s="93"/>
      <c r="O4053" s="93" t="s">
        <v>646</v>
      </c>
    </row>
    <row r="4054" spans="1:15" hidden="1">
      <c r="A4054" s="75" t="str">
        <f t="shared" si="154"/>
        <v>SGLAZADADryerHeat pump dryerHeat pump dryer</v>
      </c>
      <c r="B4054" s="94" t="str">
        <f t="shared" si="155"/>
        <v>SG_LAZADA</v>
      </c>
      <c r="C4054" s="93" t="s">
        <v>211</v>
      </c>
      <c r="D4054" s="93" t="s">
        <v>215</v>
      </c>
      <c r="E4054" s="93" t="s">
        <v>2431</v>
      </c>
      <c r="F4054" s="93" t="s">
        <v>3472</v>
      </c>
      <c r="G4054" s="93" t="s">
        <v>3472</v>
      </c>
      <c r="H4054" s="93" t="e">
        <v>#N/A</v>
      </c>
      <c r="I4054" s="105" t="s">
        <v>3759</v>
      </c>
      <c r="J4054" s="93" t="s">
        <v>189</v>
      </c>
      <c r="K4054" s="93"/>
      <c r="L4054" s="93"/>
      <c r="M4054" s="93"/>
      <c r="N4054" s="93"/>
      <c r="O4054" s="93" t="s">
        <v>646</v>
      </c>
    </row>
    <row r="4055" spans="1:15" hidden="1">
      <c r="A4055" s="75" t="str">
        <f t="shared" si="154"/>
        <v>SGLAZADADryercondenser dryercondenser dryer</v>
      </c>
      <c r="B4055" s="94" t="str">
        <f t="shared" si="155"/>
        <v>SG_LAZADA</v>
      </c>
      <c r="C4055" s="93" t="s">
        <v>211</v>
      </c>
      <c r="D4055" s="93" t="s">
        <v>215</v>
      </c>
      <c r="E4055" s="93" t="s">
        <v>2431</v>
      </c>
      <c r="F4055" s="93" t="s">
        <v>3484</v>
      </c>
      <c r="G4055" s="93" t="s">
        <v>3484</v>
      </c>
      <c r="H4055" s="93" t="e">
        <v>#N/A</v>
      </c>
      <c r="I4055" s="105" t="s">
        <v>3759</v>
      </c>
      <c r="J4055" s="93" t="s">
        <v>189</v>
      </c>
      <c r="K4055" s="93"/>
      <c r="L4055" s="93"/>
      <c r="M4055" s="93"/>
      <c r="N4055" s="93"/>
      <c r="O4055" s="93" t="s">
        <v>646</v>
      </c>
    </row>
    <row r="4056" spans="1:15" hidden="1">
      <c r="A4056" s="75" t="str">
        <f t="shared" si="154"/>
        <v>SGLAZADADryerClothes dryerClothes dryer</v>
      </c>
      <c r="B4056" s="94" t="str">
        <f t="shared" si="155"/>
        <v>SG_LAZADA</v>
      </c>
      <c r="C4056" s="93" t="s">
        <v>211</v>
      </c>
      <c r="D4056" s="93" t="s">
        <v>215</v>
      </c>
      <c r="E4056" s="93" t="s">
        <v>2431</v>
      </c>
      <c r="F4056" s="93" t="s">
        <v>3469</v>
      </c>
      <c r="G4056" s="93" t="s">
        <v>3469</v>
      </c>
      <c r="H4056" s="93" t="e">
        <v>#N/A</v>
      </c>
      <c r="I4056" s="105" t="s">
        <v>3759</v>
      </c>
      <c r="J4056" s="93" t="s">
        <v>189</v>
      </c>
      <c r="K4056" s="93"/>
      <c r="L4056" s="93"/>
      <c r="M4056" s="93"/>
      <c r="N4056" s="93"/>
      <c r="O4056" s="93" t="s">
        <v>646</v>
      </c>
    </row>
    <row r="4057" spans="1:15" hidden="1">
      <c r="A4057" s="75" t="str">
        <f t="shared" si="154"/>
        <v>SGLAZADADishwasherDishwasherDishwasher</v>
      </c>
      <c r="B4057" s="94" t="str">
        <f t="shared" si="155"/>
        <v>SG_LAZADA</v>
      </c>
      <c r="C4057" s="93" t="s">
        <v>211</v>
      </c>
      <c r="D4057" s="93" t="s">
        <v>215</v>
      </c>
      <c r="E4057" s="93" t="s">
        <v>2440</v>
      </c>
      <c r="F4057" s="93" t="s">
        <v>2440</v>
      </c>
      <c r="G4057" s="93" t="s">
        <v>2440</v>
      </c>
      <c r="H4057" s="93" t="e">
        <v>#N/A</v>
      </c>
      <c r="I4057" s="105" t="s">
        <v>3759</v>
      </c>
      <c r="J4057" s="93" t="s">
        <v>189</v>
      </c>
      <c r="K4057" s="93"/>
      <c r="L4057" s="93"/>
      <c r="M4057" s="93"/>
      <c r="N4057" s="93"/>
      <c r="O4057" s="93" t="s">
        <v>646</v>
      </c>
    </row>
    <row r="4058" spans="1:15" hidden="1">
      <c r="A4058" s="75" t="str">
        <f t="shared" si="154"/>
        <v>SGLAZADADishwasherFreestanding dishwasherFreestanding dishwasher</v>
      </c>
      <c r="B4058" s="94" t="str">
        <f t="shared" si="155"/>
        <v>SG_LAZADA</v>
      </c>
      <c r="C4058" s="93" t="s">
        <v>211</v>
      </c>
      <c r="D4058" s="93" t="s">
        <v>215</v>
      </c>
      <c r="E4058" s="93" t="s">
        <v>2440</v>
      </c>
      <c r="F4058" s="93" t="s">
        <v>3467</v>
      </c>
      <c r="G4058" s="93" t="s">
        <v>3467</v>
      </c>
      <c r="H4058" s="93" t="e">
        <v>#N/A</v>
      </c>
      <c r="I4058" s="105" t="s">
        <v>3759</v>
      </c>
      <c r="J4058" s="93" t="s">
        <v>189</v>
      </c>
      <c r="K4058" s="93"/>
      <c r="L4058" s="93"/>
      <c r="M4058" s="93"/>
      <c r="N4058" s="93"/>
      <c r="O4058" s="93" t="s">
        <v>646</v>
      </c>
    </row>
    <row r="4059" spans="1:15" hidden="1">
      <c r="A4059" s="75" t="str">
        <f t="shared" si="154"/>
        <v>SGLAZADADishwasherSteam dishwasherSteam dishwasher</v>
      </c>
      <c r="B4059" s="94" t="str">
        <f t="shared" si="155"/>
        <v>SG_LAZADA</v>
      </c>
      <c r="C4059" s="93" t="s">
        <v>211</v>
      </c>
      <c r="D4059" s="93" t="s">
        <v>215</v>
      </c>
      <c r="E4059" s="93" t="s">
        <v>2440</v>
      </c>
      <c r="F4059" s="93" t="s">
        <v>3483</v>
      </c>
      <c r="G4059" s="93" t="s">
        <v>3483</v>
      </c>
      <c r="H4059" s="93" t="e">
        <v>#N/A</v>
      </c>
      <c r="I4059" s="105" t="s">
        <v>3759</v>
      </c>
      <c r="J4059" s="93" t="s">
        <v>189</v>
      </c>
      <c r="K4059" s="93"/>
      <c r="L4059" s="93"/>
      <c r="M4059" s="93"/>
      <c r="N4059" s="93"/>
      <c r="O4059" s="93" t="s">
        <v>646</v>
      </c>
    </row>
    <row r="4060" spans="1:15" hidden="1">
      <c r="A4060" s="75" t="str">
        <f t="shared" si="154"/>
        <v>SGLAZADAAir Cleanerair purifierair purifier</v>
      </c>
      <c r="B4060" s="94" t="str">
        <f t="shared" si="155"/>
        <v>SG_LAZADA</v>
      </c>
      <c r="C4060" s="93" t="s">
        <v>211</v>
      </c>
      <c r="D4060" s="93" t="s">
        <v>215</v>
      </c>
      <c r="E4060" s="93" t="s">
        <v>2342</v>
      </c>
      <c r="F4060" s="93" t="s">
        <v>2869</v>
      </c>
      <c r="G4060" s="93" t="s">
        <v>2869</v>
      </c>
      <c r="H4060" s="93" t="e">
        <v>#N/A</v>
      </c>
      <c r="I4060" s="105" t="s">
        <v>3759</v>
      </c>
      <c r="J4060" s="93" t="s">
        <v>189</v>
      </c>
      <c r="K4060" s="93"/>
      <c r="L4060" s="93"/>
      <c r="M4060" s="93"/>
      <c r="N4060" s="93"/>
      <c r="O4060" s="93" t="s">
        <v>646</v>
      </c>
    </row>
    <row r="4061" spans="1:15" hidden="1">
      <c r="A4061" s="75" t="str">
        <f t="shared" si="154"/>
        <v>SGLAZADAAir Cleanerair cleanerair cleaner</v>
      </c>
      <c r="B4061" s="94" t="str">
        <f t="shared" si="155"/>
        <v>SG_LAZADA</v>
      </c>
      <c r="C4061" s="93" t="s">
        <v>211</v>
      </c>
      <c r="D4061" s="93" t="s">
        <v>215</v>
      </c>
      <c r="E4061" s="93" t="s">
        <v>2342</v>
      </c>
      <c r="F4061" s="93" t="s">
        <v>3481</v>
      </c>
      <c r="G4061" s="93" t="s">
        <v>3481</v>
      </c>
      <c r="H4061" s="93" t="e">
        <v>#N/A</v>
      </c>
      <c r="I4061" s="105" t="s">
        <v>3759</v>
      </c>
      <c r="J4061" s="93" t="s">
        <v>189</v>
      </c>
      <c r="K4061" s="93"/>
      <c r="L4061" s="93"/>
      <c r="M4061" s="93"/>
      <c r="N4061" s="93"/>
      <c r="O4061" s="93" t="s">
        <v>646</v>
      </c>
    </row>
    <row r="4062" spans="1:15" hidden="1">
      <c r="A4062" s="75" t="str">
        <f t="shared" si="154"/>
        <v>SGLAZADAAir Cleanerair treatmentair treatment</v>
      </c>
      <c r="B4062" s="94" t="str">
        <f t="shared" si="155"/>
        <v>SG_LAZADA</v>
      </c>
      <c r="C4062" s="93" t="s">
        <v>211</v>
      </c>
      <c r="D4062" s="93" t="s">
        <v>215</v>
      </c>
      <c r="E4062" s="93" t="s">
        <v>2342</v>
      </c>
      <c r="F4062" s="93" t="s">
        <v>3773</v>
      </c>
      <c r="G4062" s="93" t="s">
        <v>3482</v>
      </c>
      <c r="H4062" s="93" t="e">
        <v>#N/A</v>
      </c>
      <c r="I4062" s="105" t="s">
        <v>3759</v>
      </c>
      <c r="J4062" s="93" t="s">
        <v>189</v>
      </c>
      <c r="K4062" s="93"/>
      <c r="L4062" s="93"/>
      <c r="M4062" s="93"/>
      <c r="N4062" s="93"/>
      <c r="O4062" s="93" t="s">
        <v>646</v>
      </c>
    </row>
    <row r="4063" spans="1:15" ht="17.399999999999999" hidden="1">
      <c r="A4063" s="75" t="str">
        <f t="shared" si="154"/>
        <v>THLAZADAAir Conditionerair conditionerแอร์</v>
      </c>
      <c r="B4063" s="94" t="str">
        <f t="shared" si="155"/>
        <v>TH_LAZADA</v>
      </c>
      <c r="C4063" s="93" t="s">
        <v>230</v>
      </c>
      <c r="D4063" s="93" t="s">
        <v>215</v>
      </c>
      <c r="E4063" s="93" t="s">
        <v>2346</v>
      </c>
      <c r="F4063" s="93" t="s">
        <v>2347</v>
      </c>
      <c r="G4063" s="93" t="s">
        <v>3540</v>
      </c>
      <c r="H4063" s="93" t="e">
        <v>#N/A</v>
      </c>
      <c r="I4063" s="105" t="s">
        <v>3759</v>
      </c>
      <c r="J4063" s="93" t="s">
        <v>189</v>
      </c>
      <c r="K4063" s="93"/>
      <c r="L4063" s="93"/>
      <c r="M4063" s="93"/>
      <c r="N4063" s="93"/>
      <c r="O4063" s="93" t="s">
        <v>646</v>
      </c>
    </row>
    <row r="4064" spans="1:15" ht="17.399999999999999" hidden="1">
      <c r="A4064" s="75" t="str">
        <f t="shared" si="154"/>
        <v>THLAZADAAir Conditionerinverter air conditionerแอร์ inverter</v>
      </c>
      <c r="B4064" s="94" t="str">
        <f t="shared" si="155"/>
        <v>TH_LAZADA</v>
      </c>
      <c r="C4064" s="93" t="s">
        <v>230</v>
      </c>
      <c r="D4064" s="93" t="s">
        <v>215</v>
      </c>
      <c r="E4064" s="93" t="s">
        <v>2346</v>
      </c>
      <c r="F4064" s="93" t="s">
        <v>2348</v>
      </c>
      <c r="G4064" s="93" t="s">
        <v>3541</v>
      </c>
      <c r="H4064" s="93" t="e">
        <v>#N/A</v>
      </c>
      <c r="I4064" s="105" t="s">
        <v>3759</v>
      </c>
      <c r="J4064" s="93" t="s">
        <v>189</v>
      </c>
      <c r="K4064" s="93"/>
      <c r="L4064" s="93"/>
      <c r="M4064" s="93"/>
      <c r="N4064" s="93"/>
      <c r="O4064" s="93" t="s">
        <v>646</v>
      </c>
    </row>
    <row r="4065" spans="1:15" ht="17.399999999999999" hidden="1">
      <c r="A4065" s="75" t="str">
        <f t="shared" si="154"/>
        <v>THLAZADAAir CleanerAir Cleanerเครื่องฟอกอากาศ</v>
      </c>
      <c r="B4065" s="94" t="str">
        <f t="shared" si="155"/>
        <v>TH_LAZADA</v>
      </c>
      <c r="C4065" s="93" t="s">
        <v>230</v>
      </c>
      <c r="D4065" s="93" t="s">
        <v>215</v>
      </c>
      <c r="E4065" s="93" t="s">
        <v>2342</v>
      </c>
      <c r="F4065" s="93" t="s">
        <v>2342</v>
      </c>
      <c r="G4065" s="93" t="s">
        <v>3490</v>
      </c>
      <c r="H4065" s="93" t="e">
        <v>#N/A</v>
      </c>
      <c r="I4065" s="105" t="s">
        <v>3759</v>
      </c>
      <c r="J4065" s="93" t="s">
        <v>189</v>
      </c>
      <c r="K4065" s="93"/>
      <c r="L4065" s="93"/>
      <c r="M4065" s="93"/>
      <c r="N4065" s="93"/>
      <c r="O4065" s="93" t="s">
        <v>646</v>
      </c>
    </row>
    <row r="4066" spans="1:15" ht="17.399999999999999" hidden="1">
      <c r="A4066" s="75" t="str">
        <f t="shared" si="154"/>
        <v>THLAZADAAir CleanerAir Treatmentรักษาอากาศ</v>
      </c>
      <c r="B4066" s="94" t="str">
        <f t="shared" si="155"/>
        <v>TH_LAZADA</v>
      </c>
      <c r="C4066" s="93" t="s">
        <v>230</v>
      </c>
      <c r="D4066" s="93" t="s">
        <v>215</v>
      </c>
      <c r="E4066" s="93" t="s">
        <v>2342</v>
      </c>
      <c r="F4066" s="93" t="s">
        <v>2345</v>
      </c>
      <c r="G4066" s="93" t="s">
        <v>3492</v>
      </c>
      <c r="H4066" s="93" t="e">
        <v>#N/A</v>
      </c>
      <c r="I4066" s="105" t="s">
        <v>3759</v>
      </c>
      <c r="J4066" s="93" t="s">
        <v>189</v>
      </c>
      <c r="K4066" s="93"/>
      <c r="L4066" s="93"/>
      <c r="M4066" s="93"/>
      <c r="N4066" s="93"/>
      <c r="O4066" s="93" t="s">
        <v>646</v>
      </c>
    </row>
    <row r="4067" spans="1:15" ht="17.399999999999999" hidden="1">
      <c r="A4067" s="75" t="str">
        <f t="shared" si="154"/>
        <v>THLAZADALaptopLaptopแล็ปท็อป</v>
      </c>
      <c r="B4067" s="94" t="str">
        <f t="shared" si="155"/>
        <v>TH_LAZADA</v>
      </c>
      <c r="C4067" s="93" t="s">
        <v>230</v>
      </c>
      <c r="D4067" s="93" t="s">
        <v>215</v>
      </c>
      <c r="E4067" s="93" t="s">
        <v>2407</v>
      </c>
      <c r="F4067" s="93" t="s">
        <v>2407</v>
      </c>
      <c r="G4067" s="93" t="s">
        <v>3774</v>
      </c>
      <c r="H4067" s="93" t="e">
        <v>#N/A</v>
      </c>
      <c r="I4067" s="105" t="s">
        <v>3759</v>
      </c>
      <c r="J4067" s="93" t="s">
        <v>189</v>
      </c>
      <c r="K4067" s="93"/>
      <c r="L4067" s="93"/>
      <c r="M4067" s="93"/>
      <c r="N4067" s="93"/>
      <c r="O4067" s="93" t="s">
        <v>646</v>
      </c>
    </row>
    <row r="4068" spans="1:15" ht="17.399999999999999" hidden="1">
      <c r="A4068" s="75" t="str">
        <f t="shared" si="154"/>
        <v>THLAZADALaptopLightweight Laptopแล็ปท็อปน้ําหนักเบา</v>
      </c>
      <c r="B4068" s="94" t="str">
        <f t="shared" si="155"/>
        <v>TH_LAZADA</v>
      </c>
      <c r="C4068" s="93" t="s">
        <v>230</v>
      </c>
      <c r="D4068" s="93" t="s">
        <v>215</v>
      </c>
      <c r="E4068" s="93" t="s">
        <v>2407</v>
      </c>
      <c r="F4068" s="93" t="s">
        <v>2411</v>
      </c>
      <c r="G4068" s="93" t="s">
        <v>3775</v>
      </c>
      <c r="H4068" s="93" t="e">
        <v>#N/A</v>
      </c>
      <c r="I4068" s="105" t="s">
        <v>3759</v>
      </c>
      <c r="J4068" s="93" t="s">
        <v>189</v>
      </c>
      <c r="K4068" s="93"/>
      <c r="L4068" s="93"/>
      <c r="M4068" s="93"/>
      <c r="N4068" s="93"/>
      <c r="O4068" s="93" t="s">
        <v>646</v>
      </c>
    </row>
    <row r="4069" spans="1:15" ht="17.399999999999999" hidden="1">
      <c r="A4069" s="75" t="str">
        <f t="shared" si="154"/>
        <v>THLAZADALaptop17 inch Laptopแล็ปท็อป 17 นิ้ว</v>
      </c>
      <c r="B4069" s="94" t="str">
        <f t="shared" si="155"/>
        <v>TH_LAZADA</v>
      </c>
      <c r="C4069" s="93" t="s">
        <v>230</v>
      </c>
      <c r="D4069" s="93" t="s">
        <v>215</v>
      </c>
      <c r="E4069" s="93" t="s">
        <v>2407</v>
      </c>
      <c r="F4069" s="93" t="s">
        <v>2808</v>
      </c>
      <c r="G4069" s="93" t="s">
        <v>3776</v>
      </c>
      <c r="H4069" s="93" t="e">
        <v>#N/A</v>
      </c>
      <c r="I4069" s="105" t="s">
        <v>3759</v>
      </c>
      <c r="J4069" s="93" t="s">
        <v>189</v>
      </c>
      <c r="K4069" s="93"/>
      <c r="L4069" s="93"/>
      <c r="M4069" s="93"/>
      <c r="N4069" s="93"/>
      <c r="O4069" s="93" t="s">
        <v>646</v>
      </c>
    </row>
    <row r="4070" spans="1:15" ht="17.399999999999999" hidden="1">
      <c r="A4070" s="75" t="str">
        <f t="shared" si="154"/>
        <v>THLAZADALaptop15 inch Laptopแล็ปท็อป 15 นิ้ว</v>
      </c>
      <c r="B4070" s="94" t="str">
        <f t="shared" si="155"/>
        <v>TH_LAZADA</v>
      </c>
      <c r="C4070" s="93" t="s">
        <v>230</v>
      </c>
      <c r="D4070" s="93" t="s">
        <v>215</v>
      </c>
      <c r="E4070" s="93" t="s">
        <v>2407</v>
      </c>
      <c r="F4070" s="93" t="s">
        <v>2806</v>
      </c>
      <c r="G4070" s="93" t="s">
        <v>3777</v>
      </c>
      <c r="H4070" s="93" t="e">
        <v>#N/A</v>
      </c>
      <c r="I4070" s="105" t="s">
        <v>3759</v>
      </c>
      <c r="J4070" s="93" t="s">
        <v>189</v>
      </c>
      <c r="K4070" s="93"/>
      <c r="L4070" s="93"/>
      <c r="M4070" s="93"/>
      <c r="N4070" s="93"/>
      <c r="O4070" s="93" t="s">
        <v>646</v>
      </c>
    </row>
    <row r="4071" spans="1:15" ht="17.399999999999999" hidden="1">
      <c r="A4071" s="75" t="str">
        <f t="shared" si="154"/>
        <v>THLAZADALaptopi7 laptopแล็ปท็อป i7</v>
      </c>
      <c r="B4071" s="94" t="str">
        <f t="shared" si="155"/>
        <v>TH_LAZADA</v>
      </c>
      <c r="C4071" s="93" t="s">
        <v>230</v>
      </c>
      <c r="D4071" s="93" t="s">
        <v>215</v>
      </c>
      <c r="E4071" s="93" t="s">
        <v>2407</v>
      </c>
      <c r="F4071" s="93" t="s">
        <v>2410</v>
      </c>
      <c r="G4071" s="93" t="s">
        <v>3778</v>
      </c>
      <c r="H4071" s="93" t="e">
        <v>#N/A</v>
      </c>
      <c r="I4071" s="105" t="s">
        <v>3759</v>
      </c>
      <c r="J4071" s="93" t="s">
        <v>189</v>
      </c>
      <c r="K4071" s="93"/>
      <c r="L4071" s="93"/>
      <c r="M4071" s="93"/>
      <c r="N4071" s="93"/>
      <c r="O4071" s="93" t="s">
        <v>646</v>
      </c>
    </row>
    <row r="4072" spans="1:15" hidden="1">
      <c r="A4072" s="75" t="str">
        <f t="shared" si="154"/>
        <v>TWMOMOSHOPWIRELESS HEADSETIn-ear headphones入耳式耳機</v>
      </c>
      <c r="B4072" s="94" t="str">
        <f t="shared" si="155"/>
        <v>TW_MOMOSHOP</v>
      </c>
      <c r="C4072" s="93" t="s">
        <v>218</v>
      </c>
      <c r="D4072" s="93" t="s">
        <v>219</v>
      </c>
      <c r="E4072" s="93" t="s">
        <v>2201</v>
      </c>
      <c r="F4072" s="93" t="s">
        <v>3479</v>
      </c>
      <c r="G4072" s="93" t="s">
        <v>3779</v>
      </c>
      <c r="H4072" s="93" t="e">
        <v>#N/A</v>
      </c>
      <c r="I4072" s="105" t="s">
        <v>3759</v>
      </c>
      <c r="J4072" s="93" t="s">
        <v>189</v>
      </c>
      <c r="K4072" s="93"/>
      <c r="L4072" s="93"/>
      <c r="M4072" s="93"/>
      <c r="N4072" s="93"/>
      <c r="O4072" s="93" t="s">
        <v>646</v>
      </c>
    </row>
    <row r="4073" spans="1:15" hidden="1">
      <c r="A4073" s="75" t="str">
        <f t="shared" si="154"/>
        <v>TWMOMOSHOPWIRELESS HEADSETIn-ear true wireless headphonesTWS耳機</v>
      </c>
      <c r="B4073" s="94" t="str">
        <f t="shared" si="155"/>
        <v>TW_MOMOSHOP</v>
      </c>
      <c r="C4073" s="93" t="s">
        <v>218</v>
      </c>
      <c r="D4073" s="93" t="s">
        <v>219</v>
      </c>
      <c r="E4073" s="93" t="s">
        <v>2201</v>
      </c>
      <c r="F4073" s="93" t="s">
        <v>3480</v>
      </c>
      <c r="G4073" s="93" t="s">
        <v>3780</v>
      </c>
      <c r="H4073" s="93" t="e">
        <v>#N/A</v>
      </c>
      <c r="I4073" s="105" t="s">
        <v>3759</v>
      </c>
      <c r="J4073" s="93" t="s">
        <v>189</v>
      </c>
      <c r="K4073" s="93"/>
      <c r="L4073" s="93"/>
      <c r="M4073" s="93"/>
      <c r="N4073" s="93"/>
      <c r="O4073" s="93" t="s">
        <v>646</v>
      </c>
    </row>
    <row r="4074" spans="1:15" hidden="1">
      <c r="A4074" s="75" t="str">
        <f t="shared" si="154"/>
        <v>TWMOMOSHOPBluetooth Speakerportable speaker藍牙揚聲器</v>
      </c>
      <c r="B4074" s="94" t="str">
        <f t="shared" si="155"/>
        <v>TW_MOMOSHOP</v>
      </c>
      <c r="C4074" s="93" t="s">
        <v>218</v>
      </c>
      <c r="D4074" s="93" t="s">
        <v>219</v>
      </c>
      <c r="E4074" s="93" t="s">
        <v>2307</v>
      </c>
      <c r="F4074" s="93" t="s">
        <v>2875</v>
      </c>
      <c r="G4074" s="93" t="s">
        <v>3781</v>
      </c>
      <c r="H4074" s="93" t="e">
        <v>#N/A</v>
      </c>
      <c r="I4074" s="105" t="s">
        <v>3759</v>
      </c>
      <c r="J4074" s="93" t="s">
        <v>189</v>
      </c>
      <c r="K4074" s="93"/>
      <c r="L4074" s="93"/>
      <c r="M4074" s="93"/>
      <c r="N4074" s="93"/>
      <c r="O4074" s="93" t="s">
        <v>646</v>
      </c>
    </row>
    <row r="4075" spans="1:15" hidden="1">
      <c r="A4075" s="75" t="str">
        <f t="shared" si="154"/>
        <v>TWMOMOSHOPRefrigerator上下門冰箱</v>
      </c>
      <c r="B4075" s="94" t="str">
        <f t="shared" si="155"/>
        <v>TW_MOMOSHOP</v>
      </c>
      <c r="C4075" s="93" t="s">
        <v>218</v>
      </c>
      <c r="D4075" s="93" t="s">
        <v>219</v>
      </c>
      <c r="E4075" s="93" t="s">
        <v>2326</v>
      </c>
      <c r="F4075" s="93"/>
      <c r="G4075" s="93" t="s">
        <v>3782</v>
      </c>
      <c r="H4075" s="93" t="s">
        <v>3783</v>
      </c>
      <c r="I4075" s="105" t="s">
        <v>3759</v>
      </c>
      <c r="J4075" s="93" t="s">
        <v>189</v>
      </c>
      <c r="K4075" s="93"/>
      <c r="L4075" s="93"/>
      <c r="M4075" s="93"/>
      <c r="N4075" s="93"/>
      <c r="O4075" s="93" t="s">
        <v>646</v>
      </c>
    </row>
    <row r="4076" spans="1:15" hidden="1">
      <c r="A4076" s="75" t="str">
        <f t="shared" si="154"/>
        <v>TWMOMOSHOPTVuhd TVuhd電視</v>
      </c>
      <c r="B4076" s="94" t="str">
        <f t="shared" si="155"/>
        <v>TW_MOMOSHOP</v>
      </c>
      <c r="C4076" s="93" t="s">
        <v>218</v>
      </c>
      <c r="D4076" s="93" t="s">
        <v>219</v>
      </c>
      <c r="E4076" s="93" t="s">
        <v>161</v>
      </c>
      <c r="F4076" s="93" t="s">
        <v>2399</v>
      </c>
      <c r="G4076" s="93" t="s">
        <v>3784</v>
      </c>
      <c r="H4076" s="93" t="e">
        <v>#N/A</v>
      </c>
      <c r="I4076" s="105" t="s">
        <v>3759</v>
      </c>
      <c r="J4076" s="93" t="s">
        <v>189</v>
      </c>
      <c r="K4076" s="93"/>
      <c r="L4076" s="93"/>
      <c r="M4076" s="93"/>
      <c r="N4076" s="93"/>
      <c r="O4076" s="93" t="s">
        <v>646</v>
      </c>
    </row>
    <row r="4077" spans="1:15" hidden="1">
      <c r="A4077" s="75" t="str">
        <f t="shared" si="154"/>
        <v>TWMOMOSHOPRefrigeratorfrench door refrigerator多門冰箱</v>
      </c>
      <c r="B4077" s="94" t="str">
        <f t="shared" si="155"/>
        <v>TW_MOMOSHOP</v>
      </c>
      <c r="C4077" s="93" t="s">
        <v>218</v>
      </c>
      <c r="D4077" s="93" t="s">
        <v>219</v>
      </c>
      <c r="E4077" s="93" t="s">
        <v>2326</v>
      </c>
      <c r="F4077" s="93" t="s">
        <v>3785</v>
      </c>
      <c r="G4077" s="93" t="s">
        <v>3786</v>
      </c>
      <c r="H4077" s="93" t="e">
        <v>#N/A</v>
      </c>
      <c r="I4077" s="105" t="s">
        <v>3759</v>
      </c>
      <c r="J4077" s="93" t="s">
        <v>189</v>
      </c>
      <c r="K4077" s="93"/>
      <c r="L4077" s="93"/>
      <c r="M4077" s="93"/>
      <c r="N4077" s="93"/>
      <c r="O4077" s="93" t="s">
        <v>646</v>
      </c>
    </row>
    <row r="4078" spans="1:15" hidden="1">
      <c r="A4078" s="75" t="str">
        <f t="shared" si="154"/>
        <v>TWPCHOMERefrigeratorbottom freezer refrigerator下門冰箱</v>
      </c>
      <c r="B4078" s="94" t="str">
        <f t="shared" si="155"/>
        <v>TW_PCHOME</v>
      </c>
      <c r="C4078" s="93" t="s">
        <v>218</v>
      </c>
      <c r="D4078" s="93" t="s">
        <v>222</v>
      </c>
      <c r="E4078" s="93" t="s">
        <v>2326</v>
      </c>
      <c r="F4078" s="93" t="s">
        <v>2327</v>
      </c>
      <c r="G4078" s="93" t="s">
        <v>3787</v>
      </c>
      <c r="H4078" s="93" t="e">
        <v>#N/A</v>
      </c>
      <c r="I4078" s="105" t="s">
        <v>3759</v>
      </c>
      <c r="J4078" s="93" t="s">
        <v>189</v>
      </c>
      <c r="K4078" s="93"/>
      <c r="L4078" s="93"/>
      <c r="M4078" s="93"/>
      <c r="N4078" s="93"/>
      <c r="O4078" s="93" t="s">
        <v>646</v>
      </c>
    </row>
    <row r="4079" spans="1:15" hidden="1">
      <c r="A4079" s="75" t="str">
        <f t="shared" si="154"/>
        <v>TWPCHOMERefrigeratortop freezer refrigerator上門冰箱</v>
      </c>
      <c r="B4079" s="94" t="str">
        <f t="shared" si="155"/>
        <v>TW_PCHOME</v>
      </c>
      <c r="C4079" s="93" t="s">
        <v>218</v>
      </c>
      <c r="D4079" s="93" t="s">
        <v>222</v>
      </c>
      <c r="E4079" s="93" t="s">
        <v>2326</v>
      </c>
      <c r="F4079" s="93" t="s">
        <v>2332</v>
      </c>
      <c r="G4079" s="93" t="s">
        <v>3788</v>
      </c>
      <c r="H4079" s="93" t="e">
        <v>#N/A</v>
      </c>
      <c r="I4079" s="105" t="s">
        <v>3759</v>
      </c>
      <c r="J4079" s="93" t="s">
        <v>189</v>
      </c>
      <c r="K4079" s="93"/>
      <c r="L4079" s="93"/>
      <c r="M4079" s="93"/>
      <c r="N4079" s="93"/>
      <c r="O4079" s="93" t="s">
        <v>646</v>
      </c>
    </row>
    <row r="4080" spans="1:15" hidden="1">
      <c r="A4080" s="75" t="str">
        <f t="shared" si="154"/>
        <v>TWPCHOMETVuhd TVuhd電視</v>
      </c>
      <c r="B4080" s="94" t="str">
        <f t="shared" si="155"/>
        <v>TW_PCHOME</v>
      </c>
      <c r="C4080" s="93" t="s">
        <v>218</v>
      </c>
      <c r="D4080" s="93" t="s">
        <v>222</v>
      </c>
      <c r="E4080" s="93" t="s">
        <v>161</v>
      </c>
      <c r="F4080" s="93" t="s">
        <v>2399</v>
      </c>
      <c r="G4080" s="93" t="s">
        <v>3784</v>
      </c>
      <c r="H4080" s="93" t="e">
        <v>#N/A</v>
      </c>
      <c r="I4080" s="105" t="s">
        <v>3759</v>
      </c>
      <c r="J4080" s="93" t="s">
        <v>189</v>
      </c>
      <c r="K4080" s="93"/>
      <c r="L4080" s="93"/>
      <c r="M4080" s="93"/>
      <c r="N4080" s="93"/>
      <c r="O4080" s="93" t="s">
        <v>646</v>
      </c>
    </row>
    <row r="4081" spans="1:15" hidden="1">
      <c r="A4081" s="75" t="str">
        <f t="shared" si="154"/>
        <v>TWPCHOMEMonitoruhd monitoruhd螢幕</v>
      </c>
      <c r="B4081" s="94" t="str">
        <f t="shared" si="155"/>
        <v>TW_PCHOME</v>
      </c>
      <c r="C4081" s="93" t="s">
        <v>218</v>
      </c>
      <c r="D4081" s="93" t="s">
        <v>222</v>
      </c>
      <c r="E4081" s="93" t="s">
        <v>2320</v>
      </c>
      <c r="F4081" s="93" t="s">
        <v>2324</v>
      </c>
      <c r="G4081" s="93" t="s">
        <v>3789</v>
      </c>
      <c r="H4081" s="93" t="e">
        <v>#N/A</v>
      </c>
      <c r="I4081" s="105" t="s">
        <v>3759</v>
      </c>
      <c r="J4081" s="93" t="s">
        <v>189</v>
      </c>
      <c r="K4081" s="93"/>
      <c r="L4081" s="93"/>
      <c r="M4081" s="93"/>
      <c r="N4081" s="93"/>
      <c r="O4081" s="93" t="s">
        <v>646</v>
      </c>
    </row>
    <row r="4082" spans="1:15" hidden="1">
      <c r="A4082" s="75" t="str">
        <f t="shared" si="154"/>
        <v>TWPCHOMECordless stick vacuumstick vacuum cleaner直立無線手持吸塵器</v>
      </c>
      <c r="B4082" s="94" t="str">
        <f t="shared" si="155"/>
        <v>TW_PCHOME</v>
      </c>
      <c r="C4082" s="93" t="s">
        <v>218</v>
      </c>
      <c r="D4082" s="93" t="s">
        <v>222</v>
      </c>
      <c r="E4082" s="93" t="s">
        <v>2435</v>
      </c>
      <c r="F4082" s="93" t="s">
        <v>2439</v>
      </c>
      <c r="G4082" s="93" t="s">
        <v>3599</v>
      </c>
      <c r="H4082" s="93" t="e">
        <v>#N/A</v>
      </c>
      <c r="I4082" s="105" t="s">
        <v>3759</v>
      </c>
      <c r="J4082" s="93" t="s">
        <v>189</v>
      </c>
      <c r="K4082" s="93"/>
      <c r="L4082" s="93"/>
      <c r="M4082" s="93"/>
      <c r="N4082" s="93"/>
      <c r="O4082" s="93" t="s">
        <v>646</v>
      </c>
    </row>
    <row r="4083" spans="1:15" hidden="1">
      <c r="A4083" s="75" t="str">
        <f t="shared" si="154"/>
        <v>TWPCHOMECordless stick vacuumhandstick Vacuum手持吸塵器</v>
      </c>
      <c r="B4083" s="94" t="str">
        <f t="shared" si="155"/>
        <v>TW_PCHOME</v>
      </c>
      <c r="C4083" s="93" t="s">
        <v>218</v>
      </c>
      <c r="D4083" s="93" t="s">
        <v>222</v>
      </c>
      <c r="E4083" s="93" t="s">
        <v>2435</v>
      </c>
      <c r="F4083" s="93" t="s">
        <v>2437</v>
      </c>
      <c r="G4083" s="93" t="s">
        <v>3598</v>
      </c>
      <c r="H4083" s="93" t="e">
        <v>#N/A</v>
      </c>
      <c r="I4083" s="105" t="s">
        <v>3759</v>
      </c>
      <c r="J4083" s="93" t="s">
        <v>189</v>
      </c>
      <c r="K4083" s="93"/>
      <c r="L4083" s="93"/>
      <c r="M4083" s="93"/>
      <c r="N4083" s="93"/>
      <c r="O4083" s="93" t="s">
        <v>646</v>
      </c>
    </row>
    <row r="4084" spans="1:15" hidden="1">
      <c r="A4084" s="75" t="str">
        <f t="shared" si="154"/>
        <v>TWPCHOMECordless stick vacuumcordless vacuum無線吸塵器</v>
      </c>
      <c r="B4084" s="94" t="str">
        <f t="shared" si="155"/>
        <v>TW_PCHOME</v>
      </c>
      <c r="C4084" s="93" t="s">
        <v>218</v>
      </c>
      <c r="D4084" s="93" t="s">
        <v>222</v>
      </c>
      <c r="E4084" s="93" t="s">
        <v>2435</v>
      </c>
      <c r="F4084" s="93" t="s">
        <v>3596</v>
      </c>
      <c r="G4084" s="93" t="s">
        <v>3597</v>
      </c>
      <c r="H4084" s="93" t="e">
        <v>#N/A</v>
      </c>
      <c r="I4084" s="105" t="s">
        <v>3759</v>
      </c>
      <c r="J4084" s="93" t="s">
        <v>189</v>
      </c>
      <c r="K4084" s="93"/>
      <c r="L4084" s="93"/>
      <c r="M4084" s="93"/>
      <c r="N4084" s="93"/>
      <c r="O4084" s="93" t="s">
        <v>646</v>
      </c>
    </row>
    <row r="4085" spans="1:15" hidden="1">
      <c r="A4085" s="75" t="str">
        <f t="shared" si="154"/>
        <v>TWPCHOMEWIRELESS HEADSETIn-ear headphones入耳式耳機</v>
      </c>
      <c r="B4085" s="94" t="str">
        <f t="shared" si="155"/>
        <v>TW_PCHOME</v>
      </c>
      <c r="C4085" s="93" t="s">
        <v>218</v>
      </c>
      <c r="D4085" s="93" t="s">
        <v>222</v>
      </c>
      <c r="E4085" s="93" t="s">
        <v>2201</v>
      </c>
      <c r="F4085" s="93" t="s">
        <v>3479</v>
      </c>
      <c r="G4085" s="93" t="s">
        <v>3779</v>
      </c>
      <c r="H4085" s="93" t="e">
        <v>#N/A</v>
      </c>
      <c r="I4085" s="105" t="s">
        <v>3759</v>
      </c>
      <c r="J4085" s="93" t="s">
        <v>189</v>
      </c>
      <c r="K4085" s="93"/>
      <c r="L4085" s="93"/>
      <c r="M4085" s="93"/>
      <c r="N4085" s="93"/>
      <c r="O4085" s="93" t="s">
        <v>646</v>
      </c>
    </row>
    <row r="4086" spans="1:15" hidden="1">
      <c r="A4086" s="75" t="str">
        <f t="shared" si="154"/>
        <v>TWPCHOMEWIRELESS HEADSETIn-ear true wireless headphonesTWS耳機</v>
      </c>
      <c r="B4086" s="94" t="str">
        <f t="shared" si="155"/>
        <v>TW_PCHOME</v>
      </c>
      <c r="C4086" s="93" t="s">
        <v>218</v>
      </c>
      <c r="D4086" s="93" t="s">
        <v>222</v>
      </c>
      <c r="E4086" s="93" t="s">
        <v>2201</v>
      </c>
      <c r="F4086" s="93" t="s">
        <v>3480</v>
      </c>
      <c r="G4086" s="93" t="s">
        <v>3780</v>
      </c>
      <c r="H4086" s="93" t="e">
        <v>#N/A</v>
      </c>
      <c r="I4086" s="105" t="s">
        <v>3759</v>
      </c>
      <c r="J4086" s="93" t="s">
        <v>189</v>
      </c>
      <c r="K4086" s="93"/>
      <c r="L4086" s="93"/>
      <c r="M4086" s="93"/>
      <c r="N4086" s="93"/>
      <c r="O4086" s="93" t="s">
        <v>646</v>
      </c>
    </row>
    <row r="4087" spans="1:15" hidden="1">
      <c r="A4087" s="75" t="str">
        <f t="shared" si="154"/>
        <v>TWPCHOMEBluetooth Speakerportable speaker藍牙揚聲器</v>
      </c>
      <c r="B4087" s="94" t="str">
        <f t="shared" si="155"/>
        <v>TW_PCHOME</v>
      </c>
      <c r="C4087" s="93" t="s">
        <v>218</v>
      </c>
      <c r="D4087" s="93" t="s">
        <v>222</v>
      </c>
      <c r="E4087" s="93" t="s">
        <v>2307</v>
      </c>
      <c r="F4087" s="93" t="s">
        <v>2875</v>
      </c>
      <c r="G4087" s="93" t="s">
        <v>3790</v>
      </c>
      <c r="H4087" s="93" t="e">
        <v>#N/A</v>
      </c>
      <c r="I4087" s="105" t="s">
        <v>3759</v>
      </c>
      <c r="J4087" s="93" t="s">
        <v>189</v>
      </c>
      <c r="K4087" s="93"/>
      <c r="L4087" s="93"/>
      <c r="M4087" s="93"/>
      <c r="N4087" s="93"/>
      <c r="O4087" s="93" t="s">
        <v>646</v>
      </c>
    </row>
    <row r="4088" spans="1:15" hidden="1">
      <c r="A4088" s="75" t="str">
        <f t="shared" si="154"/>
        <v>UKAOMonitor4k monitor4k monitor</v>
      </c>
      <c r="B4088" s="94" t="str">
        <f t="shared" si="155"/>
        <v>UK_AO</v>
      </c>
      <c r="C4088" s="93" t="s">
        <v>27</v>
      </c>
      <c r="D4088" s="93" t="s">
        <v>297</v>
      </c>
      <c r="E4088" s="93" t="s">
        <v>2320</v>
      </c>
      <c r="F4088" s="93" t="s">
        <v>2321</v>
      </c>
      <c r="G4088" s="93" t="s">
        <v>2321</v>
      </c>
      <c r="H4088" s="93" t="e">
        <v>#N/A</v>
      </c>
      <c r="I4088" s="105" t="s">
        <v>3759</v>
      </c>
      <c r="J4088" s="93" t="s">
        <v>189</v>
      </c>
      <c r="K4088" s="93"/>
      <c r="L4088" s="93"/>
      <c r="M4088" s="93"/>
      <c r="N4088" s="93"/>
      <c r="O4088" s="93" t="s">
        <v>646</v>
      </c>
    </row>
    <row r="4089" spans="1:15" hidden="1">
      <c r="A4089" s="75" t="str">
        <f t="shared" si="154"/>
        <v>UKAOMonitorgaming monitorgaming monitor</v>
      </c>
      <c r="B4089" s="94" t="str">
        <f t="shared" si="155"/>
        <v>UK_AO</v>
      </c>
      <c r="C4089" s="93" t="s">
        <v>27</v>
      </c>
      <c r="D4089" s="93" t="s">
        <v>297</v>
      </c>
      <c r="E4089" s="93" t="s">
        <v>2320</v>
      </c>
      <c r="F4089" s="93" t="s">
        <v>2322</v>
      </c>
      <c r="G4089" s="93" t="s">
        <v>2322</v>
      </c>
      <c r="H4089" s="93" t="e">
        <v>#N/A</v>
      </c>
      <c r="I4089" s="105" t="s">
        <v>3759</v>
      </c>
      <c r="J4089" s="93" t="s">
        <v>189</v>
      </c>
      <c r="K4089" s="93"/>
      <c r="L4089" s="93"/>
      <c r="M4089" s="93"/>
      <c r="N4089" s="93"/>
      <c r="O4089" s="93" t="s">
        <v>646</v>
      </c>
    </row>
    <row r="4090" spans="1:15" hidden="1">
      <c r="A4090" s="75" t="str">
        <f t="shared" si="154"/>
        <v>UKAOMonitormonitormonitor</v>
      </c>
      <c r="B4090" s="94" t="str">
        <f t="shared" si="155"/>
        <v>UK_AO</v>
      </c>
      <c r="C4090" s="93" t="s">
        <v>27</v>
      </c>
      <c r="D4090" s="93" t="s">
        <v>297</v>
      </c>
      <c r="E4090" s="93" t="s">
        <v>2320</v>
      </c>
      <c r="F4090" s="93" t="s">
        <v>2323</v>
      </c>
      <c r="G4090" s="93" t="s">
        <v>2323</v>
      </c>
      <c r="H4090" s="93" t="e">
        <v>#N/A</v>
      </c>
      <c r="I4090" s="105" t="s">
        <v>3759</v>
      </c>
      <c r="J4090" s="93" t="s">
        <v>189</v>
      </c>
      <c r="K4090" s="93"/>
      <c r="L4090" s="93"/>
      <c r="M4090" s="93"/>
      <c r="N4090" s="93"/>
      <c r="O4090" s="93" t="s">
        <v>646</v>
      </c>
    </row>
    <row r="4091" spans="1:15" hidden="1">
      <c r="A4091" s="75" t="str">
        <f t="shared" si="154"/>
        <v>UKAOMonitoruhd monitoruhd monitor</v>
      </c>
      <c r="B4091" s="94" t="str">
        <f t="shared" si="155"/>
        <v>UK_AO</v>
      </c>
      <c r="C4091" s="93" t="s">
        <v>27</v>
      </c>
      <c r="D4091" s="93" t="s">
        <v>297</v>
      </c>
      <c r="E4091" s="93" t="s">
        <v>2320</v>
      </c>
      <c r="F4091" s="93" t="s">
        <v>2324</v>
      </c>
      <c r="G4091" s="93" t="s">
        <v>2324</v>
      </c>
      <c r="H4091" s="93" t="e">
        <v>#N/A</v>
      </c>
      <c r="I4091" s="105" t="s">
        <v>3759</v>
      </c>
      <c r="J4091" s="93" t="s">
        <v>189</v>
      </c>
      <c r="K4091" s="93"/>
      <c r="L4091" s="93"/>
      <c r="M4091" s="93"/>
      <c r="N4091" s="93"/>
      <c r="O4091" s="93" t="s">
        <v>646</v>
      </c>
    </row>
    <row r="4092" spans="1:15" hidden="1">
      <c r="A4092" s="75" t="str">
        <f t="shared" si="154"/>
        <v>UKAOMonitorultrawide monitorultrawide monitor</v>
      </c>
      <c r="B4092" s="94" t="str">
        <f t="shared" si="155"/>
        <v>UK_AO</v>
      </c>
      <c r="C4092" s="93" t="s">
        <v>27</v>
      </c>
      <c r="D4092" s="93" t="s">
        <v>297</v>
      </c>
      <c r="E4092" s="93" t="s">
        <v>2545</v>
      </c>
      <c r="F4092" s="93" t="s">
        <v>2325</v>
      </c>
      <c r="G4092" s="93" t="s">
        <v>2325</v>
      </c>
      <c r="H4092" s="93" t="e">
        <v>#N/A</v>
      </c>
      <c r="I4092" s="105" t="s">
        <v>3759</v>
      </c>
      <c r="J4092" s="93" t="s">
        <v>189</v>
      </c>
      <c r="K4092" s="93"/>
      <c r="L4092" s="93"/>
      <c r="M4092" s="93"/>
      <c r="N4092" s="93"/>
      <c r="O4092" s="93" t="s">
        <v>646</v>
      </c>
    </row>
    <row r="4093" spans="1:15" hidden="1">
      <c r="A4093" s="75" t="str">
        <f t="shared" si="154"/>
        <v>UKCURRYSWIRELESS HEADSETWireless HeadsetWireless Headset</v>
      </c>
      <c r="B4093" s="94" t="str">
        <f t="shared" si="155"/>
        <v>UK_CURRYS</v>
      </c>
      <c r="C4093" s="93" t="s">
        <v>27</v>
      </c>
      <c r="D4093" s="93" t="s">
        <v>615</v>
      </c>
      <c r="E4093" s="93" t="s">
        <v>2201</v>
      </c>
      <c r="F4093" s="93" t="s">
        <v>2373</v>
      </c>
      <c r="G4093" s="93" t="s">
        <v>2373</v>
      </c>
      <c r="H4093" s="93" t="e">
        <v>#N/A</v>
      </c>
      <c r="I4093" s="105" t="s">
        <v>3759</v>
      </c>
      <c r="J4093" s="93" t="s">
        <v>189</v>
      </c>
      <c r="K4093" s="93"/>
      <c r="L4093" s="93"/>
      <c r="M4093" s="93"/>
      <c r="N4093" s="93"/>
      <c r="O4093" s="93" t="s">
        <v>646</v>
      </c>
    </row>
    <row r="4094" spans="1:15" hidden="1">
      <c r="A4094" s="75" t="str">
        <f t="shared" si="154"/>
        <v>UKCURRYSWIRELESS HEADSETHeadphonesHeadphones</v>
      </c>
      <c r="B4094" s="94" t="str">
        <f t="shared" si="155"/>
        <v>UK_CURRYS</v>
      </c>
      <c r="C4094" s="93" t="s">
        <v>27</v>
      </c>
      <c r="D4094" s="93" t="s">
        <v>615</v>
      </c>
      <c r="E4094" s="93" t="s">
        <v>2201</v>
      </c>
      <c r="F4094" s="93" t="s">
        <v>2754</v>
      </c>
      <c r="G4094" s="93" t="s">
        <v>2754</v>
      </c>
      <c r="H4094" s="93" t="e">
        <v>#N/A</v>
      </c>
      <c r="I4094" s="105" t="s">
        <v>3759</v>
      </c>
      <c r="J4094" s="93" t="s">
        <v>189</v>
      </c>
      <c r="K4094" s="93"/>
      <c r="L4094" s="93"/>
      <c r="M4094" s="93"/>
      <c r="N4094" s="93"/>
      <c r="O4094" s="93" t="s">
        <v>646</v>
      </c>
    </row>
    <row r="4095" spans="1:15" hidden="1">
      <c r="A4095" s="75" t="str">
        <f t="shared" si="154"/>
        <v>UKCURRYSWIRELESS HEADSETbluetooth headsetbluetooth headset</v>
      </c>
      <c r="B4095" s="94" t="str">
        <f t="shared" si="155"/>
        <v>UK_CURRYS</v>
      </c>
      <c r="C4095" s="93" t="s">
        <v>27</v>
      </c>
      <c r="D4095" s="93" t="s">
        <v>615</v>
      </c>
      <c r="E4095" s="93" t="s">
        <v>2201</v>
      </c>
      <c r="F4095" s="93" t="s">
        <v>2756</v>
      </c>
      <c r="G4095" s="93" t="s">
        <v>2756</v>
      </c>
      <c r="H4095" s="93" t="e">
        <v>#N/A</v>
      </c>
      <c r="I4095" s="105" t="s">
        <v>3759</v>
      </c>
      <c r="J4095" s="93" t="s">
        <v>189</v>
      </c>
      <c r="K4095" s="93"/>
      <c r="L4095" s="93"/>
      <c r="M4095" s="93"/>
      <c r="N4095" s="93"/>
      <c r="O4095" s="93" t="s">
        <v>646</v>
      </c>
    </row>
    <row r="4096" spans="1:15" hidden="1">
      <c r="A4096" s="75" t="str">
        <f t="shared" si="154"/>
        <v>UKCURRYSSOUNDBARSurround sound systemSurround sound system</v>
      </c>
      <c r="B4096" s="94" t="str">
        <f t="shared" si="155"/>
        <v>UK_CURRYS</v>
      </c>
      <c r="C4096" s="93" t="s">
        <v>27</v>
      </c>
      <c r="D4096" s="93" t="s">
        <v>615</v>
      </c>
      <c r="E4096" s="93" t="s">
        <v>165</v>
      </c>
      <c r="F4096" s="93" t="s">
        <v>2772</v>
      </c>
      <c r="G4096" s="93" t="s">
        <v>2772</v>
      </c>
      <c r="H4096" s="93" t="e">
        <v>#N/A</v>
      </c>
      <c r="I4096" s="105" t="s">
        <v>3759</v>
      </c>
      <c r="J4096" s="93" t="s">
        <v>189</v>
      </c>
      <c r="K4096" s="93"/>
      <c r="L4096" s="93"/>
      <c r="M4096" s="93"/>
      <c r="N4096" s="93"/>
      <c r="O4096" s="93" t="s">
        <v>646</v>
      </c>
    </row>
    <row r="4097" spans="1:15" hidden="1">
      <c r="A4097" s="75" t="str">
        <f t="shared" si="154"/>
        <v>VNCAOPHONGAir Conditionersplit ACmay dieu hoa split</v>
      </c>
      <c r="B4097" s="94" t="str">
        <f t="shared" si="155"/>
        <v>VN_CAOPHONG</v>
      </c>
      <c r="C4097" s="93" t="s">
        <v>237</v>
      </c>
      <c r="D4097" s="93" t="s">
        <v>238</v>
      </c>
      <c r="E4097" s="93" t="s">
        <v>2346</v>
      </c>
      <c r="F4097" s="93" t="s">
        <v>2495</v>
      </c>
      <c r="G4097" s="93" t="s">
        <v>3791</v>
      </c>
      <c r="H4097" s="93" t="s">
        <v>3696</v>
      </c>
      <c r="I4097" s="105" t="s">
        <v>3759</v>
      </c>
      <c r="J4097" s="93" t="s">
        <v>189</v>
      </c>
      <c r="K4097" s="93"/>
      <c r="L4097" s="93"/>
      <c r="M4097" s="93"/>
      <c r="N4097" s="93"/>
      <c r="O4097" s="93" t="s">
        <v>646</v>
      </c>
    </row>
    <row r="4098" spans="1:15" hidden="1">
      <c r="A4098" s="75" t="str">
        <f t="shared" si="154"/>
        <v>VNCAOPHONGLaptopLaptopMay Tinh Bang</v>
      </c>
      <c r="B4098" s="94" t="str">
        <f t="shared" si="155"/>
        <v>VN_CAOPHONG</v>
      </c>
      <c r="C4098" s="93" t="s">
        <v>237</v>
      </c>
      <c r="D4098" s="93" t="s">
        <v>238</v>
      </c>
      <c r="E4098" s="93" t="s">
        <v>2407</v>
      </c>
      <c r="F4098" s="93" t="s">
        <v>2407</v>
      </c>
      <c r="G4098" s="93" t="s">
        <v>3792</v>
      </c>
      <c r="H4098" s="93" t="s">
        <v>3696</v>
      </c>
      <c r="I4098" s="105" t="s">
        <v>3759</v>
      </c>
      <c r="J4098" s="93" t="s">
        <v>189</v>
      </c>
      <c r="K4098" s="93"/>
      <c r="L4098" s="93"/>
      <c r="M4098" s="93"/>
      <c r="N4098" s="93"/>
      <c r="O4098" s="93" t="s">
        <v>646</v>
      </c>
    </row>
    <row r="4099" spans="1:15" hidden="1">
      <c r="A4099" s="75" t="str">
        <f t="shared" si="154"/>
        <v>VNCAOPHONGStylerlg StylerLG Tu Cham Soc Quan Ao Thong Minh</v>
      </c>
      <c r="B4099" s="94" t="str">
        <f t="shared" si="155"/>
        <v>VN_CAOPHONG</v>
      </c>
      <c r="C4099" s="93" t="s">
        <v>237</v>
      </c>
      <c r="D4099" s="93" t="s">
        <v>238</v>
      </c>
      <c r="E4099" s="93" t="s">
        <v>3281</v>
      </c>
      <c r="F4099" s="93" t="s">
        <v>3734</v>
      </c>
      <c r="G4099" s="93" t="s">
        <v>3793</v>
      </c>
      <c r="H4099" s="93" t="s">
        <v>3696</v>
      </c>
      <c r="I4099" s="105" t="s">
        <v>3759</v>
      </c>
      <c r="J4099" s="93" t="s">
        <v>189</v>
      </c>
      <c r="K4099" s="93"/>
      <c r="L4099" s="93"/>
      <c r="M4099" s="93"/>
      <c r="N4099" s="93"/>
      <c r="O4099" s="93" t="s">
        <v>646</v>
      </c>
    </row>
    <row r="4100" spans="1:15" hidden="1">
      <c r="A4100" s="75" t="str">
        <f t="shared" si="154"/>
        <v>VNCAOPHONGMonitorMonitorman hinh may tinh</v>
      </c>
      <c r="B4100" s="94" t="str">
        <f t="shared" si="155"/>
        <v>VN_CAOPHONG</v>
      </c>
      <c r="C4100" s="93" t="s">
        <v>237</v>
      </c>
      <c r="D4100" s="93" t="s">
        <v>238</v>
      </c>
      <c r="E4100" s="93" t="s">
        <v>2320</v>
      </c>
      <c r="F4100" s="93" t="s">
        <v>2320</v>
      </c>
      <c r="G4100" s="93" t="s">
        <v>3794</v>
      </c>
      <c r="H4100" s="93" t="s">
        <v>3696</v>
      </c>
      <c r="I4100" s="105" t="s">
        <v>3759</v>
      </c>
      <c r="J4100" s="93" t="s">
        <v>189</v>
      </c>
      <c r="K4100" s="93"/>
      <c r="L4100" s="93"/>
      <c r="M4100" s="93"/>
      <c r="N4100" s="93"/>
      <c r="O4100" s="93" t="s">
        <v>646</v>
      </c>
    </row>
    <row r="4101" spans="1:15" hidden="1">
      <c r="A4101" s="75" t="str">
        <f t="shared" si="154"/>
        <v>BRMERCADOLIVREBluetooth SpeakerBluetooth speakerCaixa Bluetooth</v>
      </c>
      <c r="B4101" s="94" t="str">
        <f t="shared" si="155"/>
        <v>BR_MERCADOLIVRE</v>
      </c>
      <c r="C4101" s="93" t="s">
        <v>311</v>
      </c>
      <c r="D4101" s="93" t="s">
        <v>312</v>
      </c>
      <c r="E4101" s="93" t="s">
        <v>2307</v>
      </c>
      <c r="F4101" s="93" t="s">
        <v>2481</v>
      </c>
      <c r="G4101" s="93" t="s">
        <v>3795</v>
      </c>
      <c r="H4101" s="93" t="e">
        <v>#N/A</v>
      </c>
      <c r="I4101" s="105" t="s">
        <v>3759</v>
      </c>
      <c r="J4101" s="93" t="s">
        <v>189</v>
      </c>
      <c r="K4101" s="93"/>
      <c r="L4101" s="93"/>
      <c r="M4101" s="93"/>
      <c r="N4101" s="93"/>
      <c r="O4101" s="93" t="s">
        <v>646</v>
      </c>
    </row>
    <row r="4102" spans="1:15" hidden="1">
      <c r="A4102" s="75" t="str">
        <f t="shared" ref="A4102:A4164" si="156">C4102&amp;D4102&amp;E4102&amp;F4102&amp;G4102</f>
        <v>BRAMERICANASWIRELESS HEADSETWireless HeadsetFone de ouvido</v>
      </c>
      <c r="B4102" s="94" t="str">
        <f t="shared" si="155"/>
        <v>BR_AMERICANAS</v>
      </c>
      <c r="C4102" s="93" t="s">
        <v>311</v>
      </c>
      <c r="D4102" s="93" t="s">
        <v>822</v>
      </c>
      <c r="E4102" s="93" t="s">
        <v>2201</v>
      </c>
      <c r="F4102" s="93" t="s">
        <v>2373</v>
      </c>
      <c r="G4102" s="93" t="s">
        <v>2490</v>
      </c>
      <c r="H4102" s="93" t="e">
        <v>#N/A</v>
      </c>
      <c r="I4102" s="105" t="s">
        <v>3759</v>
      </c>
      <c r="J4102" s="93" t="s">
        <v>189</v>
      </c>
      <c r="K4102" s="93"/>
      <c r="L4102" s="93"/>
      <c r="M4102" s="93"/>
      <c r="N4102" s="93"/>
      <c r="O4102" s="93" t="s">
        <v>646</v>
      </c>
    </row>
    <row r="4103" spans="1:15" hidden="1">
      <c r="A4103" s="75" t="str">
        <f t="shared" si="156"/>
        <v>BRAMERICANASSOUNDBARHome TheaterHome Theater</v>
      </c>
      <c r="B4103" s="94" t="str">
        <f t="shared" ref="B4103:B4147" si="157">C4103&amp;"_"&amp;D4103</f>
        <v>BR_AMERICANAS</v>
      </c>
      <c r="C4103" s="93" t="s">
        <v>311</v>
      </c>
      <c r="D4103" s="93" t="s">
        <v>822</v>
      </c>
      <c r="E4103" s="93" t="s">
        <v>165</v>
      </c>
      <c r="F4103" s="93" t="s">
        <v>2486</v>
      </c>
      <c r="G4103" s="93" t="s">
        <v>2486</v>
      </c>
      <c r="H4103" s="93" t="e">
        <v>#N/A</v>
      </c>
      <c r="I4103" s="105" t="s">
        <v>3759</v>
      </c>
      <c r="J4103" s="93" t="s">
        <v>189</v>
      </c>
      <c r="K4103" s="93"/>
      <c r="L4103" s="93"/>
      <c r="M4103" s="93"/>
      <c r="N4103" s="93"/>
      <c r="O4103" s="93" t="s">
        <v>646</v>
      </c>
    </row>
    <row r="4104" spans="1:15" hidden="1">
      <c r="A4104" s="75" t="str">
        <f t="shared" si="156"/>
        <v>BRAMERICANASSOUNDBARMini SystemMini System</v>
      </c>
      <c r="B4104" s="94" t="str">
        <f t="shared" si="157"/>
        <v>BR_AMERICANAS</v>
      </c>
      <c r="C4104" s="93" t="s">
        <v>311</v>
      </c>
      <c r="D4104" s="93" t="s">
        <v>822</v>
      </c>
      <c r="E4104" s="93" t="s">
        <v>165</v>
      </c>
      <c r="F4104" s="93" t="s">
        <v>2487</v>
      </c>
      <c r="G4104" s="93" t="s">
        <v>2487</v>
      </c>
      <c r="H4104" s="93" t="e">
        <v>#N/A</v>
      </c>
      <c r="I4104" s="105" t="s">
        <v>3759</v>
      </c>
      <c r="J4104" s="93" t="s">
        <v>189</v>
      </c>
      <c r="K4104" s="93"/>
      <c r="L4104" s="93"/>
      <c r="M4104" s="93"/>
      <c r="N4104" s="93"/>
      <c r="O4104" s="93" t="s">
        <v>646</v>
      </c>
    </row>
    <row r="4105" spans="1:15" hidden="1">
      <c r="A4105" s="75" t="str">
        <f t="shared" si="156"/>
        <v>BRAMERICANASSOUNDBARSound BarSound Bar</v>
      </c>
      <c r="B4105" s="94" t="str">
        <f t="shared" si="157"/>
        <v>BR_AMERICANAS</v>
      </c>
      <c r="C4105" s="93" t="s">
        <v>311</v>
      </c>
      <c r="D4105" s="93" t="s">
        <v>822</v>
      </c>
      <c r="E4105" s="93" t="s">
        <v>165</v>
      </c>
      <c r="F4105" s="93" t="s">
        <v>2488</v>
      </c>
      <c r="G4105" s="93" t="s">
        <v>2488</v>
      </c>
      <c r="H4105" s="93" t="e">
        <v>#N/A</v>
      </c>
      <c r="I4105" s="105" t="s">
        <v>3759</v>
      </c>
      <c r="J4105" s="93" t="s">
        <v>189</v>
      </c>
      <c r="K4105" s="93"/>
      <c r="L4105" s="93"/>
      <c r="M4105" s="93"/>
      <c r="N4105" s="93"/>
      <c r="O4105" s="93" t="s">
        <v>646</v>
      </c>
    </row>
    <row r="4106" spans="1:15" hidden="1">
      <c r="A4106" s="75" t="str">
        <f t="shared" si="156"/>
        <v>BRAMERICANASSOUNDBARAll in OneAll in One</v>
      </c>
      <c r="B4106" s="94" t="str">
        <f t="shared" si="157"/>
        <v>BR_AMERICANAS</v>
      </c>
      <c r="C4106" s="93" t="s">
        <v>311</v>
      </c>
      <c r="D4106" s="93" t="s">
        <v>822</v>
      </c>
      <c r="E4106" s="93" t="s">
        <v>165</v>
      </c>
      <c r="F4106" s="93" t="s">
        <v>2489</v>
      </c>
      <c r="G4106" s="93" t="s">
        <v>2489</v>
      </c>
      <c r="H4106" s="93" t="e">
        <v>#N/A</v>
      </c>
      <c r="I4106" s="105" t="s">
        <v>3759</v>
      </c>
      <c r="J4106" s="93" t="s">
        <v>189</v>
      </c>
      <c r="K4106" s="93"/>
      <c r="L4106" s="93"/>
      <c r="M4106" s="93"/>
      <c r="N4106" s="93"/>
      <c r="O4106" s="93" t="s">
        <v>646</v>
      </c>
    </row>
    <row r="4107" spans="1:15" hidden="1">
      <c r="A4107" s="75" t="str">
        <f t="shared" si="156"/>
        <v>BRFASTSHOPTV4k TV4k TV</v>
      </c>
      <c r="B4107" s="94" t="str">
        <f t="shared" si="157"/>
        <v>BR_FASTSHOP</v>
      </c>
      <c r="C4107" s="93" t="s">
        <v>311</v>
      </c>
      <c r="D4107" s="93" t="s">
        <v>324</v>
      </c>
      <c r="E4107" s="93" t="s">
        <v>161</v>
      </c>
      <c r="F4107" s="93" t="s">
        <v>2368</v>
      </c>
      <c r="G4107" s="93" t="s">
        <v>2368</v>
      </c>
      <c r="H4107" s="93" t="e">
        <v>#N/A</v>
      </c>
      <c r="I4107" s="105" t="s">
        <v>3759</v>
      </c>
      <c r="J4107" s="93" t="s">
        <v>189</v>
      </c>
      <c r="K4107" s="93"/>
      <c r="L4107" s="93"/>
      <c r="M4107" s="93"/>
      <c r="N4107" s="93"/>
      <c r="O4107" s="93" t="s">
        <v>646</v>
      </c>
    </row>
    <row r="4108" spans="1:15" hidden="1">
      <c r="A4108" s="75" t="str">
        <f t="shared" si="156"/>
        <v>BRFASTSHOPBluetooth Speakerspeakersalto-falante</v>
      </c>
      <c r="B4108" s="94" t="str">
        <f t="shared" si="157"/>
        <v>BR_FASTSHOP</v>
      </c>
      <c r="C4108" s="93" t="s">
        <v>311</v>
      </c>
      <c r="D4108" s="93" t="s">
        <v>1164</v>
      </c>
      <c r="E4108" s="93" t="s">
        <v>2307</v>
      </c>
      <c r="F4108" s="93" t="s">
        <v>2471</v>
      </c>
      <c r="G4108" s="93" t="s">
        <v>2472</v>
      </c>
      <c r="H4108" s="93" t="e">
        <v>#N/A</v>
      </c>
      <c r="I4108" s="105" t="s">
        <v>3759</v>
      </c>
      <c r="J4108" s="93" t="s">
        <v>189</v>
      </c>
      <c r="K4108" s="93"/>
      <c r="L4108" s="93"/>
      <c r="M4108" s="93"/>
      <c r="N4108" s="93"/>
      <c r="O4108" s="93" t="s">
        <v>646</v>
      </c>
    </row>
    <row r="4109" spans="1:15" hidden="1">
      <c r="A4109" s="75" t="str">
        <f t="shared" si="156"/>
        <v>BRFASTSHOPBluetooth Speakerportable speakersalto-falantes portáteis</v>
      </c>
      <c r="B4109" s="94" t="str">
        <f t="shared" si="157"/>
        <v>BR_FASTSHOP</v>
      </c>
      <c r="C4109" s="93" t="s">
        <v>311</v>
      </c>
      <c r="D4109" s="93" t="s">
        <v>1164</v>
      </c>
      <c r="E4109" s="93" t="s">
        <v>2307</v>
      </c>
      <c r="F4109" s="93" t="s">
        <v>2473</v>
      </c>
      <c r="G4109" s="93" t="s">
        <v>2474</v>
      </c>
      <c r="H4109" s="93" t="e">
        <v>#N/A</v>
      </c>
      <c r="I4109" s="105" t="s">
        <v>3759</v>
      </c>
      <c r="J4109" s="93" t="s">
        <v>189</v>
      </c>
      <c r="K4109" s="93"/>
      <c r="L4109" s="93"/>
      <c r="M4109" s="93"/>
      <c r="N4109" s="93"/>
      <c r="O4109" s="93" t="s">
        <v>646</v>
      </c>
    </row>
    <row r="4110" spans="1:15" hidden="1">
      <c r="A4110" s="75" t="str">
        <f t="shared" si="156"/>
        <v>BRFASTSHOPBluetooth Speakerwireless portable speakersalto-falantes portáteis sem fio</v>
      </c>
      <c r="B4110" s="94" t="str">
        <f t="shared" si="157"/>
        <v>BR_FASTSHOP</v>
      </c>
      <c r="C4110" s="93" t="s">
        <v>311</v>
      </c>
      <c r="D4110" s="93" t="s">
        <v>1164</v>
      </c>
      <c r="E4110" s="93" t="s">
        <v>2307</v>
      </c>
      <c r="F4110" s="93" t="s">
        <v>2475</v>
      </c>
      <c r="G4110" s="93" t="s">
        <v>2476</v>
      </c>
      <c r="H4110" s="93" t="e">
        <v>#N/A</v>
      </c>
      <c r="I4110" s="105" t="s">
        <v>3759</v>
      </c>
      <c r="J4110" s="93" t="s">
        <v>189</v>
      </c>
      <c r="K4110" s="93"/>
      <c r="L4110" s="93"/>
      <c r="M4110" s="93"/>
      <c r="N4110" s="93"/>
      <c r="O4110" s="93" t="s">
        <v>646</v>
      </c>
    </row>
    <row r="4111" spans="1:15" hidden="1">
      <c r="A4111" s="75" t="str">
        <f t="shared" si="156"/>
        <v>BRFASTSHOPAir Conditionerair conditionerar condicionado</v>
      </c>
      <c r="B4111" s="94" t="str">
        <f t="shared" si="157"/>
        <v>BR_FASTSHOP</v>
      </c>
      <c r="C4111" s="93" t="s">
        <v>311</v>
      </c>
      <c r="D4111" s="93" t="s">
        <v>1164</v>
      </c>
      <c r="E4111" s="93" t="s">
        <v>2346</v>
      </c>
      <c r="F4111" s="93" t="s">
        <v>2347</v>
      </c>
      <c r="G4111" s="93" t="s">
        <v>2493</v>
      </c>
      <c r="H4111" s="93" t="e">
        <v>#N/A</v>
      </c>
      <c r="I4111" s="105" t="s">
        <v>3759</v>
      </c>
      <c r="J4111" s="93" t="s">
        <v>189</v>
      </c>
      <c r="K4111" s="93"/>
      <c r="L4111" s="93"/>
      <c r="M4111" s="93"/>
      <c r="N4111" s="93"/>
      <c r="O4111" s="93" t="s">
        <v>646</v>
      </c>
    </row>
    <row r="4112" spans="1:15" hidden="1">
      <c r="A4112" s="75" t="str">
        <f t="shared" si="156"/>
        <v>BRFASTSHOPAir Conditionerinverter air conditionerar condicionado inverter</v>
      </c>
      <c r="B4112" s="94" t="str">
        <f t="shared" si="157"/>
        <v>BR_FASTSHOP</v>
      </c>
      <c r="C4112" s="93" t="s">
        <v>311</v>
      </c>
      <c r="D4112" s="93" t="s">
        <v>1164</v>
      </c>
      <c r="E4112" s="93" t="s">
        <v>2346</v>
      </c>
      <c r="F4112" s="93" t="s">
        <v>2348</v>
      </c>
      <c r="G4112" s="93" t="s">
        <v>2494</v>
      </c>
      <c r="H4112" s="93" t="e">
        <v>#N/A</v>
      </c>
      <c r="I4112" s="105" t="s">
        <v>3759</v>
      </c>
      <c r="J4112" s="93" t="s">
        <v>189</v>
      </c>
      <c r="K4112" s="93"/>
      <c r="L4112" s="93"/>
      <c r="M4112" s="93"/>
      <c r="N4112" s="93"/>
      <c r="O4112" s="93" t="s">
        <v>646</v>
      </c>
    </row>
    <row r="4113" spans="1:15" hidden="1">
      <c r="A4113" s="75" t="str">
        <f t="shared" si="156"/>
        <v>BRFASTSHOPBluetooth Speakerbluetooth speakerCaixa Bluetooth</v>
      </c>
      <c r="B4113" s="94" t="str">
        <f t="shared" si="157"/>
        <v>BR_FASTSHOP</v>
      </c>
      <c r="C4113" s="93" t="s">
        <v>311</v>
      </c>
      <c r="D4113" s="93" t="s">
        <v>1164</v>
      </c>
      <c r="E4113" s="93" t="s">
        <v>2307</v>
      </c>
      <c r="F4113" s="93" t="s">
        <v>2657</v>
      </c>
      <c r="G4113" s="93" t="s">
        <v>2496</v>
      </c>
      <c r="H4113" s="93" t="e">
        <v>#N/A</v>
      </c>
      <c r="I4113" s="105" t="s">
        <v>3759</v>
      </c>
      <c r="J4113" s="93" t="s">
        <v>189</v>
      </c>
      <c r="K4113" s="93"/>
      <c r="L4113" s="93"/>
      <c r="M4113" s="93"/>
      <c r="N4113" s="93"/>
      <c r="O4113" s="93" t="s">
        <v>646</v>
      </c>
    </row>
    <row r="4114" spans="1:15" hidden="1">
      <c r="A4114" s="75" t="str">
        <f t="shared" si="156"/>
        <v>BRFASTSHOPBluetooth Speakerbluetooth speaker portableCaixa Bluetooth Portátil</v>
      </c>
      <c r="B4114" s="94" t="str">
        <f t="shared" si="157"/>
        <v>BR_FASTSHOP</v>
      </c>
      <c r="C4114" s="93" t="s">
        <v>311</v>
      </c>
      <c r="D4114" s="93" t="s">
        <v>1164</v>
      </c>
      <c r="E4114" s="93" t="s">
        <v>2307</v>
      </c>
      <c r="F4114" s="93" t="s">
        <v>2479</v>
      </c>
      <c r="G4114" s="93" t="s">
        <v>2480</v>
      </c>
      <c r="H4114" s="93" t="e">
        <v>#N/A</v>
      </c>
      <c r="I4114" s="105" t="s">
        <v>3759</v>
      </c>
      <c r="J4114" s="93" t="s">
        <v>189</v>
      </c>
      <c r="K4114" s="93"/>
      <c r="L4114" s="93"/>
      <c r="M4114" s="93"/>
      <c r="N4114" s="93"/>
      <c r="O4114" s="93" t="s">
        <v>646</v>
      </c>
    </row>
    <row r="4115" spans="1:15" hidden="1">
      <c r="A4115" s="75" t="str">
        <f t="shared" si="156"/>
        <v>BRFASTSHOPRefrigeratorrefrigeratorgeladeira</v>
      </c>
      <c r="B4115" s="94" t="str">
        <f t="shared" si="157"/>
        <v>BR_FASTSHOP</v>
      </c>
      <c r="C4115" s="93" t="s">
        <v>311</v>
      </c>
      <c r="D4115" s="93" t="s">
        <v>1164</v>
      </c>
      <c r="E4115" s="93" t="s">
        <v>2326</v>
      </c>
      <c r="F4115" s="93" t="s">
        <v>2329</v>
      </c>
      <c r="G4115" s="93" t="s">
        <v>2467</v>
      </c>
      <c r="H4115" s="93" t="e">
        <v>#N/A</v>
      </c>
      <c r="I4115" s="105" t="s">
        <v>3759</v>
      </c>
      <c r="J4115" s="93" t="s">
        <v>189</v>
      </c>
      <c r="K4115" s="93"/>
      <c r="L4115" s="93"/>
      <c r="M4115" s="93"/>
      <c r="N4115" s="93"/>
      <c r="O4115" s="93" t="s">
        <v>646</v>
      </c>
    </row>
    <row r="4116" spans="1:15" hidden="1">
      <c r="A4116" s="75" t="str">
        <f t="shared" si="156"/>
        <v>BRFASTSHOPRefrigeratorbottom freezer refrigeratorgeladeira bottom freezer</v>
      </c>
      <c r="B4116" s="94" t="str">
        <f t="shared" si="157"/>
        <v>BR_FASTSHOP</v>
      </c>
      <c r="C4116" s="93" t="s">
        <v>311</v>
      </c>
      <c r="D4116" s="93" t="s">
        <v>1164</v>
      </c>
      <c r="E4116" s="93" t="s">
        <v>2326</v>
      </c>
      <c r="F4116" s="93" t="s">
        <v>3753</v>
      </c>
      <c r="G4116" s="93" t="s">
        <v>3754</v>
      </c>
      <c r="H4116" s="93" t="e">
        <v>#N/A</v>
      </c>
      <c r="I4116" s="105" t="s">
        <v>3759</v>
      </c>
      <c r="J4116" s="93" t="s">
        <v>189</v>
      </c>
      <c r="K4116" s="93"/>
      <c r="L4116" s="93"/>
      <c r="M4116" s="93"/>
      <c r="N4116" s="93"/>
      <c r="O4116" s="93" t="s">
        <v>646</v>
      </c>
    </row>
    <row r="4117" spans="1:15" hidden="1">
      <c r="A4117" s="75" t="str">
        <f t="shared" si="156"/>
        <v>BRFASTSHOPRefrigeratorfrench door refrigeratorgeladeira french door</v>
      </c>
      <c r="B4117" s="94" t="str">
        <f t="shared" si="157"/>
        <v>BR_FASTSHOP</v>
      </c>
      <c r="C4117" s="93" t="s">
        <v>311</v>
      </c>
      <c r="D4117" s="93" t="s">
        <v>1164</v>
      </c>
      <c r="E4117" s="93" t="s">
        <v>2326</v>
      </c>
      <c r="F4117" s="93" t="s">
        <v>2328</v>
      </c>
      <c r="G4117" s="93" t="s">
        <v>2500</v>
      </c>
      <c r="H4117" s="93" t="e">
        <v>#N/A</v>
      </c>
      <c r="I4117" s="105" t="s">
        <v>3759</v>
      </c>
      <c r="J4117" s="93" t="s">
        <v>189</v>
      </c>
      <c r="K4117" s="93"/>
      <c r="L4117" s="93"/>
      <c r="M4117" s="93"/>
      <c r="N4117" s="93"/>
      <c r="O4117" s="93" t="s">
        <v>646</v>
      </c>
    </row>
    <row r="4118" spans="1:15" hidden="1">
      <c r="A4118" s="75" t="str">
        <f t="shared" si="156"/>
        <v>BRFASTSHOPRefrigeratorside by side refrigeratorgeladeira side by side</v>
      </c>
      <c r="B4118" s="94" t="str">
        <f t="shared" si="157"/>
        <v>BR_FASTSHOP</v>
      </c>
      <c r="C4118" s="93" t="s">
        <v>311</v>
      </c>
      <c r="D4118" s="93" t="s">
        <v>1164</v>
      </c>
      <c r="E4118" s="93" t="s">
        <v>2326</v>
      </c>
      <c r="F4118" s="93" t="s">
        <v>2330</v>
      </c>
      <c r="G4118" s="93" t="s">
        <v>2505</v>
      </c>
      <c r="H4118" s="93" t="e">
        <v>#N/A</v>
      </c>
      <c r="I4118" s="105" t="s">
        <v>3759</v>
      </c>
      <c r="J4118" s="93" t="s">
        <v>189</v>
      </c>
      <c r="K4118" s="93"/>
      <c r="L4118" s="93"/>
      <c r="M4118" s="93"/>
      <c r="N4118" s="93"/>
      <c r="O4118" s="93" t="s">
        <v>646</v>
      </c>
    </row>
    <row r="4119" spans="1:15" hidden="1">
      <c r="A4119" s="75" t="str">
        <f t="shared" si="156"/>
        <v>BRFASTSHOPRefrigeratortop freezer refrigeratorgeladeira top freezer</v>
      </c>
      <c r="B4119" s="94" t="str">
        <f t="shared" si="157"/>
        <v>BR_FASTSHOP</v>
      </c>
      <c r="C4119" s="93" t="s">
        <v>311</v>
      </c>
      <c r="D4119" s="93" t="s">
        <v>1164</v>
      </c>
      <c r="E4119" s="93" t="s">
        <v>2326</v>
      </c>
      <c r="F4119" s="93" t="s">
        <v>2332</v>
      </c>
      <c r="G4119" s="93" t="s">
        <v>2506</v>
      </c>
      <c r="H4119" s="93" t="e">
        <v>#N/A</v>
      </c>
      <c r="I4119" s="105" t="s">
        <v>3759</v>
      </c>
      <c r="J4119" s="93" t="s">
        <v>189</v>
      </c>
      <c r="K4119" s="93"/>
      <c r="L4119" s="93"/>
      <c r="M4119" s="93"/>
      <c r="N4119" s="93"/>
      <c r="O4119" s="93" t="s">
        <v>646</v>
      </c>
    </row>
    <row r="4120" spans="1:15" hidden="1">
      <c r="A4120" s="75" t="str">
        <f t="shared" si="156"/>
        <v>BRFASTSHOPWashing MachineWasher dryer comboLava e seca</v>
      </c>
      <c r="B4120" s="94" t="str">
        <f t="shared" si="157"/>
        <v>BR_FASTSHOP</v>
      </c>
      <c r="C4120" s="93" t="s">
        <v>311</v>
      </c>
      <c r="D4120" s="93" t="s">
        <v>1164</v>
      </c>
      <c r="E4120" s="93" t="s">
        <v>2333</v>
      </c>
      <c r="F4120" s="93" t="s">
        <v>2513</v>
      </c>
      <c r="G4120" s="93" t="s">
        <v>2514</v>
      </c>
      <c r="H4120" s="93" t="e">
        <v>#N/A</v>
      </c>
      <c r="I4120" s="105" t="s">
        <v>3759</v>
      </c>
      <c r="J4120" s="93" t="s">
        <v>189</v>
      </c>
      <c r="K4120" s="93"/>
      <c r="L4120" s="93"/>
      <c r="M4120" s="93"/>
      <c r="N4120" s="93"/>
      <c r="O4120" s="93" t="s">
        <v>646</v>
      </c>
    </row>
    <row r="4121" spans="1:15" hidden="1">
      <c r="A4121" s="75" t="str">
        <f t="shared" si="156"/>
        <v>BRFASTSHOPWashing Machinefront loaderlavadora front load</v>
      </c>
      <c r="B4121" s="94" t="str">
        <f t="shared" si="157"/>
        <v>BR_FASTSHOP</v>
      </c>
      <c r="C4121" s="93" t="s">
        <v>311</v>
      </c>
      <c r="D4121" s="93" t="s">
        <v>1164</v>
      </c>
      <c r="E4121" s="93" t="s">
        <v>2333</v>
      </c>
      <c r="F4121" s="93" t="s">
        <v>3755</v>
      </c>
      <c r="G4121" s="93" t="s">
        <v>3756</v>
      </c>
      <c r="H4121" s="93" t="e">
        <v>#N/A</v>
      </c>
      <c r="I4121" s="105" t="s">
        <v>3759</v>
      </c>
      <c r="J4121" s="93" t="s">
        <v>189</v>
      </c>
      <c r="K4121" s="93"/>
      <c r="L4121" s="93"/>
      <c r="M4121" s="93"/>
      <c r="N4121" s="93"/>
      <c r="O4121" s="93" t="s">
        <v>646</v>
      </c>
    </row>
    <row r="4122" spans="1:15" hidden="1">
      <c r="A4122" s="75" t="str">
        <f t="shared" si="156"/>
        <v>BRFASTSHOPWashing Machinetop loaderlavadora top load</v>
      </c>
      <c r="B4122" s="94" t="str">
        <f t="shared" si="157"/>
        <v>BR_FASTSHOP</v>
      </c>
      <c r="C4122" s="93" t="s">
        <v>311</v>
      </c>
      <c r="D4122" s="93" t="s">
        <v>1164</v>
      </c>
      <c r="E4122" s="93" t="s">
        <v>2333</v>
      </c>
      <c r="F4122" s="93" t="s">
        <v>3757</v>
      </c>
      <c r="G4122" s="93" t="s">
        <v>3758</v>
      </c>
      <c r="H4122" s="93" t="e">
        <v>#N/A</v>
      </c>
      <c r="I4122" s="105" t="s">
        <v>3759</v>
      </c>
      <c r="J4122" s="93" t="s">
        <v>189</v>
      </c>
      <c r="K4122" s="93"/>
      <c r="L4122" s="93"/>
      <c r="M4122" s="93"/>
      <c r="N4122" s="93"/>
      <c r="O4122" s="93" t="s">
        <v>646</v>
      </c>
    </row>
    <row r="4123" spans="1:15" hidden="1">
      <c r="A4123" s="75" t="str">
        <f t="shared" si="156"/>
        <v>BRFASTSHOPWashing Machinewashing machineMáquina de lavar</v>
      </c>
      <c r="B4123" s="94" t="str">
        <f t="shared" si="157"/>
        <v>BR_FASTSHOP</v>
      </c>
      <c r="C4123" s="93" t="s">
        <v>311</v>
      </c>
      <c r="D4123" s="93" t="s">
        <v>1164</v>
      </c>
      <c r="E4123" s="93" t="s">
        <v>2333</v>
      </c>
      <c r="F4123" s="93" t="s">
        <v>2340</v>
      </c>
      <c r="G4123" s="93" t="s">
        <v>2515</v>
      </c>
      <c r="H4123" s="93" t="e">
        <v>#N/A</v>
      </c>
      <c r="I4123" s="105" t="s">
        <v>3759</v>
      </c>
      <c r="J4123" s="93" t="s">
        <v>189</v>
      </c>
      <c r="K4123" s="93"/>
      <c r="L4123" s="93"/>
      <c r="M4123" s="93"/>
      <c r="N4123" s="93"/>
      <c r="O4123" s="93" t="s">
        <v>646</v>
      </c>
    </row>
    <row r="4124" spans="1:15" hidden="1">
      <c r="A4124" s="75" t="str">
        <f t="shared" si="156"/>
        <v>BRFASTSHOPMonitormonitormonitor</v>
      </c>
      <c r="B4124" s="94" t="str">
        <f t="shared" si="157"/>
        <v>BR_FASTSHOP</v>
      </c>
      <c r="C4124" s="93" t="s">
        <v>311</v>
      </c>
      <c r="D4124" s="93" t="s">
        <v>1164</v>
      </c>
      <c r="E4124" s="93" t="s">
        <v>2320</v>
      </c>
      <c r="F4124" s="93" t="s">
        <v>2323</v>
      </c>
      <c r="G4124" s="93" t="s">
        <v>2323</v>
      </c>
      <c r="H4124" s="93" t="e">
        <v>#N/A</v>
      </c>
      <c r="I4124" s="105" t="s">
        <v>3759</v>
      </c>
      <c r="J4124" s="93" t="s">
        <v>189</v>
      </c>
      <c r="K4124" s="93"/>
      <c r="L4124" s="93"/>
      <c r="M4124" s="93"/>
      <c r="N4124" s="93"/>
      <c r="O4124" s="93" t="s">
        <v>646</v>
      </c>
    </row>
    <row r="4125" spans="1:15" hidden="1">
      <c r="A4125" s="75" t="str">
        <f t="shared" si="156"/>
        <v>BRFASTSHOPMonitor4k monitormonitor 4k</v>
      </c>
      <c r="B4125" s="94" t="str">
        <f t="shared" si="157"/>
        <v>BR_FASTSHOP</v>
      </c>
      <c r="C4125" s="93" t="s">
        <v>311</v>
      </c>
      <c r="D4125" s="93" t="s">
        <v>1164</v>
      </c>
      <c r="E4125" s="93" t="s">
        <v>2320</v>
      </c>
      <c r="F4125" s="93" t="s">
        <v>2321</v>
      </c>
      <c r="G4125" s="93" t="s">
        <v>2497</v>
      </c>
      <c r="H4125" s="93" t="e">
        <v>#N/A</v>
      </c>
      <c r="I4125" s="105" t="s">
        <v>3759</v>
      </c>
      <c r="J4125" s="93" t="s">
        <v>189</v>
      </c>
      <c r="K4125" s="93"/>
      <c r="L4125" s="93"/>
      <c r="M4125" s="93"/>
      <c r="N4125" s="93"/>
      <c r="O4125" s="93" t="s">
        <v>646</v>
      </c>
    </row>
    <row r="4126" spans="1:15" hidden="1">
      <c r="A4126" s="75" t="str">
        <f t="shared" si="156"/>
        <v>BRFASTSHOPMonitorgaming monitormonitor gamer</v>
      </c>
      <c r="B4126" s="94" t="str">
        <f t="shared" si="157"/>
        <v>BR_FASTSHOP</v>
      </c>
      <c r="C4126" s="93" t="s">
        <v>311</v>
      </c>
      <c r="D4126" s="93" t="s">
        <v>1164</v>
      </c>
      <c r="E4126" s="93" t="s">
        <v>2320</v>
      </c>
      <c r="F4126" s="93" t="s">
        <v>2322</v>
      </c>
      <c r="G4126" s="93" t="s">
        <v>2466</v>
      </c>
      <c r="H4126" s="93" t="e">
        <v>#N/A</v>
      </c>
      <c r="I4126" s="105" t="s">
        <v>3759</v>
      </c>
      <c r="J4126" s="93" t="s">
        <v>189</v>
      </c>
      <c r="K4126" s="93"/>
      <c r="L4126" s="93"/>
      <c r="M4126" s="93"/>
      <c r="N4126" s="93"/>
      <c r="O4126" s="93" t="s">
        <v>646</v>
      </c>
    </row>
    <row r="4127" spans="1:15" hidden="1">
      <c r="A4127" s="75" t="str">
        <f t="shared" si="156"/>
        <v>BRFASTSHOPMonitoruhd monitormonitor uhd</v>
      </c>
      <c r="B4127" s="94" t="str">
        <f t="shared" si="157"/>
        <v>BR_FASTSHOP</v>
      </c>
      <c r="C4127" s="93" t="s">
        <v>311</v>
      </c>
      <c r="D4127" s="93" t="s">
        <v>1164</v>
      </c>
      <c r="E4127" s="93" t="s">
        <v>2320</v>
      </c>
      <c r="F4127" s="93" t="s">
        <v>2324</v>
      </c>
      <c r="G4127" s="93" t="s">
        <v>2498</v>
      </c>
      <c r="H4127" s="93" t="e">
        <v>#N/A</v>
      </c>
      <c r="I4127" s="105" t="s">
        <v>3759</v>
      </c>
      <c r="J4127" s="93" t="s">
        <v>189</v>
      </c>
      <c r="K4127" s="93"/>
      <c r="L4127" s="93"/>
      <c r="M4127" s="93"/>
      <c r="N4127" s="93"/>
      <c r="O4127" s="93" t="s">
        <v>646</v>
      </c>
    </row>
    <row r="4128" spans="1:15" hidden="1">
      <c r="A4128" s="75" t="str">
        <f t="shared" si="156"/>
        <v>BRFASTSHOPMonitorultrawide monitormonitor ultrawide</v>
      </c>
      <c r="B4128" s="94" t="str">
        <f t="shared" si="157"/>
        <v>BR_FASTSHOP</v>
      </c>
      <c r="C4128" s="93" t="s">
        <v>311</v>
      </c>
      <c r="D4128" s="93" t="s">
        <v>1164</v>
      </c>
      <c r="E4128" s="93" t="s">
        <v>2320</v>
      </c>
      <c r="F4128" s="93" t="s">
        <v>2325</v>
      </c>
      <c r="G4128" s="93" t="s">
        <v>2499</v>
      </c>
      <c r="H4128" s="93" t="e">
        <v>#N/A</v>
      </c>
      <c r="I4128" s="105" t="s">
        <v>3759</v>
      </c>
      <c r="J4128" s="93" t="s">
        <v>189</v>
      </c>
      <c r="K4128" s="93"/>
      <c r="L4128" s="93"/>
      <c r="M4128" s="93"/>
      <c r="N4128" s="93"/>
      <c r="O4128" s="93" t="s">
        <v>646</v>
      </c>
    </row>
    <row r="4129" spans="1:15" hidden="1">
      <c r="A4129" s="75" t="str">
        <f t="shared" si="156"/>
        <v>BRFASTSHOPTVoled TVoled TV</v>
      </c>
      <c r="B4129" s="94" t="str">
        <f t="shared" si="157"/>
        <v>BR_FASTSHOP</v>
      </c>
      <c r="C4129" s="93" t="s">
        <v>311</v>
      </c>
      <c r="D4129" s="93" t="s">
        <v>1164</v>
      </c>
      <c r="E4129" s="93" t="s">
        <v>161</v>
      </c>
      <c r="F4129" s="93" t="s">
        <v>2369</v>
      </c>
      <c r="G4129" s="93" t="s">
        <v>2369</v>
      </c>
      <c r="H4129" s="93" t="e">
        <v>#N/A</v>
      </c>
      <c r="I4129" s="105" t="s">
        <v>3759</v>
      </c>
      <c r="J4129" s="93" t="s">
        <v>189</v>
      </c>
      <c r="K4129" s="93"/>
      <c r="L4129" s="93"/>
      <c r="M4129" s="93"/>
      <c r="N4129" s="93"/>
      <c r="O4129" s="93" t="s">
        <v>646</v>
      </c>
    </row>
    <row r="4130" spans="1:15" hidden="1">
      <c r="A4130" s="75" t="str">
        <f t="shared" si="156"/>
        <v>BRFASTSHOPTVsmart TVsmart TV</v>
      </c>
      <c r="B4130" s="94" t="str">
        <f t="shared" si="157"/>
        <v>BR_FASTSHOP</v>
      </c>
      <c r="C4130" s="93" t="s">
        <v>311</v>
      </c>
      <c r="D4130" s="93" t="s">
        <v>1164</v>
      </c>
      <c r="E4130" s="93" t="s">
        <v>161</v>
      </c>
      <c r="F4130" s="93" t="s">
        <v>2371</v>
      </c>
      <c r="G4130" s="93" t="s">
        <v>2371</v>
      </c>
      <c r="H4130" s="93" t="e">
        <v>#N/A</v>
      </c>
      <c r="I4130" s="105" t="s">
        <v>3759</v>
      </c>
      <c r="J4130" s="93" t="s">
        <v>189</v>
      </c>
      <c r="K4130" s="93"/>
      <c r="L4130" s="93"/>
      <c r="M4130" s="93"/>
      <c r="N4130" s="93"/>
      <c r="O4130" s="93" t="s">
        <v>646</v>
      </c>
    </row>
    <row r="4131" spans="1:15" hidden="1">
      <c r="A4131" s="75" t="str">
        <f t="shared" si="156"/>
        <v>BRFASTSHOPTVTVTV</v>
      </c>
      <c r="B4131" s="94" t="str">
        <f t="shared" si="157"/>
        <v>BR_FASTSHOP</v>
      </c>
      <c r="C4131" s="93" t="s">
        <v>311</v>
      </c>
      <c r="D4131" s="93" t="s">
        <v>1164</v>
      </c>
      <c r="E4131" s="93" t="s">
        <v>161</v>
      </c>
      <c r="F4131" s="93" t="s">
        <v>161</v>
      </c>
      <c r="G4131" s="93" t="s">
        <v>161</v>
      </c>
      <c r="H4131" s="93" t="e">
        <v>#N/A</v>
      </c>
      <c r="I4131" s="105" t="s">
        <v>3759</v>
      </c>
      <c r="J4131" s="93" t="s">
        <v>189</v>
      </c>
      <c r="K4131" s="93"/>
      <c r="L4131" s="93"/>
      <c r="M4131" s="93"/>
      <c r="N4131" s="93"/>
      <c r="O4131" s="93" t="s">
        <v>646</v>
      </c>
    </row>
    <row r="4132" spans="1:15" hidden="1">
      <c r="A4132" s="75" t="str">
        <f t="shared" si="156"/>
        <v>BRFASTSHOPTVuhd TVuhd TV</v>
      </c>
      <c r="B4132" s="94" t="str">
        <f t="shared" si="157"/>
        <v>BR_FASTSHOP</v>
      </c>
      <c r="C4132" s="93" t="s">
        <v>311</v>
      </c>
      <c r="D4132" s="93" t="s">
        <v>1164</v>
      </c>
      <c r="E4132" s="93" t="s">
        <v>161</v>
      </c>
      <c r="F4132" s="93" t="s">
        <v>2399</v>
      </c>
      <c r="G4132" s="93" t="s">
        <v>2399</v>
      </c>
      <c r="H4132" s="93" t="e">
        <v>#N/A</v>
      </c>
      <c r="I4132" s="105" t="s">
        <v>3759</v>
      </c>
      <c r="J4132" s="93" t="s">
        <v>189</v>
      </c>
      <c r="K4132" s="93"/>
      <c r="L4132" s="93"/>
      <c r="M4132" s="93"/>
      <c r="N4132" s="93"/>
      <c r="O4132" s="93" t="s">
        <v>646</v>
      </c>
    </row>
    <row r="4133" spans="1:15" hidden="1">
      <c r="A4133" s="75" t="str">
        <f t="shared" si="156"/>
        <v>BRFASTSHOPWIRELESS HEADSETWireless HeadsetFone de ouvido</v>
      </c>
      <c r="B4133" s="94" t="str">
        <f t="shared" si="157"/>
        <v>BR_FASTSHOP</v>
      </c>
      <c r="C4133" s="93" t="s">
        <v>311</v>
      </c>
      <c r="D4133" s="93" t="s">
        <v>1164</v>
      </c>
      <c r="E4133" s="93" t="s">
        <v>2201</v>
      </c>
      <c r="F4133" s="93" t="s">
        <v>2373</v>
      </c>
      <c r="G4133" s="93" t="s">
        <v>2490</v>
      </c>
      <c r="H4133" s="93" t="e">
        <v>#N/A</v>
      </c>
      <c r="I4133" s="105" t="s">
        <v>3759</v>
      </c>
      <c r="J4133" s="93" t="s">
        <v>189</v>
      </c>
      <c r="K4133" s="93"/>
      <c r="L4133" s="93"/>
      <c r="M4133" s="93"/>
      <c r="N4133" s="93"/>
      <c r="O4133" s="93" t="s">
        <v>646</v>
      </c>
    </row>
    <row r="4134" spans="1:15" hidden="1">
      <c r="A4134" s="75" t="str">
        <f t="shared" si="156"/>
        <v>BRFASTSHOPSOUNDBARHome TheaterHome Theater</v>
      </c>
      <c r="B4134" s="94" t="str">
        <f t="shared" si="157"/>
        <v>BR_FASTSHOP</v>
      </c>
      <c r="C4134" s="93" t="s">
        <v>311</v>
      </c>
      <c r="D4134" s="93" t="s">
        <v>1164</v>
      </c>
      <c r="E4134" s="93" t="s">
        <v>165</v>
      </c>
      <c r="F4134" s="93" t="s">
        <v>2486</v>
      </c>
      <c r="G4134" s="93" t="s">
        <v>2486</v>
      </c>
      <c r="H4134" s="93" t="e">
        <v>#N/A</v>
      </c>
      <c r="I4134" s="105" t="s">
        <v>3759</v>
      </c>
      <c r="J4134" s="93" t="s">
        <v>189</v>
      </c>
      <c r="K4134" s="93"/>
      <c r="L4134" s="93"/>
      <c r="M4134" s="93"/>
      <c r="N4134" s="93"/>
      <c r="O4134" s="93" t="s">
        <v>646</v>
      </c>
    </row>
    <row r="4135" spans="1:15" hidden="1">
      <c r="A4135" s="75" t="str">
        <f t="shared" si="156"/>
        <v>BRFASTSHOPSOUNDBARMini SystemMini System</v>
      </c>
      <c r="B4135" s="94" t="str">
        <f t="shared" si="157"/>
        <v>BR_FASTSHOP</v>
      </c>
      <c r="C4135" s="93" t="s">
        <v>311</v>
      </c>
      <c r="D4135" s="93" t="s">
        <v>1164</v>
      </c>
      <c r="E4135" s="93" t="s">
        <v>165</v>
      </c>
      <c r="F4135" s="93" t="s">
        <v>2487</v>
      </c>
      <c r="G4135" s="93" t="s">
        <v>2487</v>
      </c>
      <c r="H4135" s="93" t="e">
        <v>#N/A</v>
      </c>
      <c r="I4135" s="105" t="s">
        <v>3759</v>
      </c>
      <c r="J4135" s="93" t="s">
        <v>189</v>
      </c>
      <c r="K4135" s="93"/>
      <c r="L4135" s="93"/>
      <c r="M4135" s="93"/>
      <c r="N4135" s="93"/>
      <c r="O4135" s="93" t="s">
        <v>646</v>
      </c>
    </row>
    <row r="4136" spans="1:15" hidden="1">
      <c r="A4136" s="75" t="str">
        <f t="shared" si="156"/>
        <v>BRFASTSHOPSOUNDBARSound BarSound Bar</v>
      </c>
      <c r="B4136" s="94" t="str">
        <f t="shared" si="157"/>
        <v>BR_FASTSHOP</v>
      </c>
      <c r="C4136" s="93" t="s">
        <v>311</v>
      </c>
      <c r="D4136" s="93" t="s">
        <v>1164</v>
      </c>
      <c r="E4136" s="93" t="s">
        <v>165</v>
      </c>
      <c r="F4136" s="93" t="s">
        <v>2488</v>
      </c>
      <c r="G4136" s="93" t="s">
        <v>2488</v>
      </c>
      <c r="H4136" s="93" t="e">
        <v>#N/A</v>
      </c>
      <c r="I4136" s="105" t="s">
        <v>3759</v>
      </c>
      <c r="J4136" s="93" t="s">
        <v>189</v>
      </c>
      <c r="K4136" s="93"/>
      <c r="L4136" s="93"/>
      <c r="M4136" s="93"/>
      <c r="N4136" s="93"/>
      <c r="O4136" s="93" t="s">
        <v>646</v>
      </c>
    </row>
    <row r="4137" spans="1:15" hidden="1">
      <c r="A4137" s="75" t="str">
        <f t="shared" si="156"/>
        <v>BRFASTSHOPSOUNDBARAll in OneAll in One</v>
      </c>
      <c r="B4137" s="94" t="str">
        <f t="shared" si="157"/>
        <v>BR_FASTSHOP</v>
      </c>
      <c r="C4137" s="83" t="s">
        <v>311</v>
      </c>
      <c r="D4137" s="83" t="s">
        <v>1164</v>
      </c>
      <c r="E4137" s="83" t="s">
        <v>165</v>
      </c>
      <c r="F4137" s="83" t="s">
        <v>2489</v>
      </c>
      <c r="G4137" s="83" t="s">
        <v>2489</v>
      </c>
      <c r="H4137" s="93" t="e">
        <v>#N/A</v>
      </c>
      <c r="I4137" s="84" t="s">
        <v>3759</v>
      </c>
      <c r="J4137" s="83" t="s">
        <v>189</v>
      </c>
      <c r="K4137" s="83"/>
      <c r="L4137" s="83"/>
      <c r="M4137" s="83"/>
      <c r="N4137" s="83"/>
      <c r="O4137" s="83" t="s">
        <v>646</v>
      </c>
    </row>
    <row r="4138" spans="1:15" s="81" customFormat="1" hidden="1">
      <c r="A4138" s="81" t="str">
        <f t="shared" si="156"/>
        <v>BRFASTSHOPDryerDryersecador</v>
      </c>
      <c r="B4138" s="106" t="str">
        <f t="shared" si="157"/>
        <v>BR_FASTSHOP</v>
      </c>
      <c r="C4138" s="127" t="s">
        <v>311</v>
      </c>
      <c r="D4138" s="127" t="s">
        <v>1164</v>
      </c>
      <c r="E4138" s="127" t="s">
        <v>2535</v>
      </c>
      <c r="F4138" s="107" t="s">
        <v>2431</v>
      </c>
      <c r="G4138" s="107" t="s">
        <v>2491</v>
      </c>
      <c r="H4138" s="93" t="e">
        <v>#N/A</v>
      </c>
      <c r="I4138" s="99">
        <v>46076</v>
      </c>
      <c r="J4138" s="83" t="s">
        <v>189</v>
      </c>
      <c r="K4138" s="127"/>
      <c r="L4138" s="127"/>
      <c r="M4138" s="127"/>
      <c r="N4138" s="127"/>
      <c r="O4138" s="127"/>
    </row>
    <row r="4139" spans="1:15" hidden="1">
      <c r="A4139" s="75" t="str">
        <f t="shared" si="156"/>
        <v>FRSS.comDRYERDryerséchoir</v>
      </c>
      <c r="B4139" s="94" t="str">
        <f t="shared" si="157"/>
        <v>FR_SS.com</v>
      </c>
      <c r="C4139" s="216" t="s">
        <v>248</v>
      </c>
      <c r="D4139" s="216" t="s">
        <v>184</v>
      </c>
      <c r="E4139" s="218" t="s">
        <v>539</v>
      </c>
      <c r="F4139" s="128" t="s">
        <v>2431</v>
      </c>
      <c r="G4139" s="128" t="s">
        <v>2855</v>
      </c>
      <c r="H4139" s="93" t="e">
        <v>#N/A</v>
      </c>
      <c r="I4139" s="99">
        <v>45876</v>
      </c>
      <c r="J4139" s="93" t="s">
        <v>189</v>
      </c>
      <c r="K4139" s="94"/>
      <c r="L4139" s="94"/>
      <c r="M4139" s="94"/>
      <c r="N4139" s="94"/>
      <c r="O4139" s="94"/>
    </row>
    <row r="4140" spans="1:15" hidden="1">
      <c r="A4140" s="75" t="str">
        <f t="shared" si="156"/>
        <v>DESS.comDryerDryerTrockner</v>
      </c>
      <c r="B4140" s="94" t="str">
        <f t="shared" si="157"/>
        <v>DE_SS.com</v>
      </c>
      <c r="C4140" s="219" t="s">
        <v>261</v>
      </c>
      <c r="D4140" s="219" t="s">
        <v>184</v>
      </c>
      <c r="E4140" s="220" t="s">
        <v>2431</v>
      </c>
      <c r="F4140" s="128" t="s">
        <v>2431</v>
      </c>
      <c r="G4140" s="128" t="s">
        <v>3796</v>
      </c>
      <c r="H4140" s="93" t="e">
        <v>#N/A</v>
      </c>
      <c r="I4140" s="99">
        <v>45876</v>
      </c>
      <c r="J4140" s="93" t="s">
        <v>189</v>
      </c>
      <c r="K4140" s="94"/>
      <c r="L4140" s="94"/>
      <c r="M4140" s="94"/>
      <c r="N4140" s="94"/>
      <c r="O4140" s="94"/>
    </row>
    <row r="4141" spans="1:15" hidden="1">
      <c r="A4141" s="75" t="str">
        <f t="shared" si="156"/>
        <v>ITSS.comDRYERDryerAsciugatrici</v>
      </c>
      <c r="B4141" s="94" t="str">
        <f t="shared" si="157"/>
        <v>IT_SS.com</v>
      </c>
      <c r="C4141" s="216" t="s">
        <v>271</v>
      </c>
      <c r="D4141" s="216" t="s">
        <v>184</v>
      </c>
      <c r="E4141" s="218" t="s">
        <v>539</v>
      </c>
      <c r="F4141" s="128" t="s">
        <v>2431</v>
      </c>
      <c r="G4141" s="128" t="s">
        <v>3797</v>
      </c>
      <c r="H4141" s="93" t="e">
        <v>#N/A</v>
      </c>
      <c r="I4141" s="99">
        <v>45876</v>
      </c>
      <c r="J4141" s="93" t="s">
        <v>189</v>
      </c>
      <c r="K4141" s="94"/>
      <c r="L4141" s="94"/>
      <c r="M4141" s="94"/>
      <c r="N4141" s="94"/>
      <c r="O4141" s="94"/>
    </row>
    <row r="4142" spans="1:15" hidden="1">
      <c r="A4142" s="75" t="str">
        <f t="shared" si="156"/>
        <v>ESSS.comDRYERDryerSecadora</v>
      </c>
      <c r="B4142" s="94" t="str">
        <f t="shared" si="157"/>
        <v>ES_SS.com</v>
      </c>
      <c r="C4142" s="216" t="s">
        <v>285</v>
      </c>
      <c r="D4142" s="216" t="s">
        <v>184</v>
      </c>
      <c r="E4142" s="218" t="s">
        <v>539</v>
      </c>
      <c r="F4142" s="128" t="s">
        <v>2431</v>
      </c>
      <c r="G4142" s="128" t="s">
        <v>2776</v>
      </c>
      <c r="H4142" s="93" t="e">
        <v>#N/A</v>
      </c>
      <c r="I4142" s="99">
        <v>45876</v>
      </c>
      <c r="J4142" s="93" t="s">
        <v>189</v>
      </c>
      <c r="K4142" s="94"/>
      <c r="L4142" s="94"/>
      <c r="M4142" s="94"/>
      <c r="N4142" s="94"/>
      <c r="O4142" s="94"/>
    </row>
    <row r="4143" spans="1:15" hidden="1">
      <c r="A4143" s="75" t="str">
        <f t="shared" si="156"/>
        <v>UKSS.comDRYERDryerDryer</v>
      </c>
      <c r="B4143" s="94" t="str">
        <f t="shared" si="157"/>
        <v>UK_SS.com</v>
      </c>
      <c r="C4143" s="216" t="s">
        <v>27</v>
      </c>
      <c r="D4143" s="216" t="s">
        <v>184</v>
      </c>
      <c r="E4143" s="218" t="s">
        <v>539</v>
      </c>
      <c r="F4143" s="128" t="s">
        <v>2431</v>
      </c>
      <c r="G4143" s="128" t="s">
        <v>2535</v>
      </c>
      <c r="H4143" s="93" t="e">
        <v>#N/A</v>
      </c>
      <c r="I4143" s="99">
        <v>45876</v>
      </c>
      <c r="J4143" s="93" t="s">
        <v>189</v>
      </c>
      <c r="K4143" s="94"/>
      <c r="L4143" s="94"/>
      <c r="M4143" s="94"/>
      <c r="N4143" s="94"/>
      <c r="O4143" s="94"/>
    </row>
    <row r="4144" spans="1:15" hidden="1">
      <c r="A4144" s="75" t="str">
        <f t="shared" si="156"/>
        <v>BRSS.comDRYERDryersecador</v>
      </c>
      <c r="B4144" s="94" t="str">
        <f t="shared" si="157"/>
        <v>BR_SS.com</v>
      </c>
      <c r="C4144" s="216" t="s">
        <v>311</v>
      </c>
      <c r="D4144" s="216" t="s">
        <v>184</v>
      </c>
      <c r="E4144" s="218" t="s">
        <v>539</v>
      </c>
      <c r="F4144" s="128" t="s">
        <v>2431</v>
      </c>
      <c r="G4144" s="128" t="s">
        <v>3798</v>
      </c>
      <c r="H4144" s="93" t="e">
        <v>#N/A</v>
      </c>
      <c r="I4144" s="99">
        <v>45876</v>
      </c>
      <c r="J4144" s="93" t="s">
        <v>189</v>
      </c>
      <c r="K4144" s="94"/>
      <c r="L4144" s="94"/>
      <c r="M4144" s="94"/>
      <c r="N4144" s="94"/>
      <c r="O4144" s="94"/>
    </row>
    <row r="4145" spans="1:15" hidden="1">
      <c r="A4145" s="75" t="str">
        <f t="shared" si="156"/>
        <v>MXLIVERPOOLRACair conditioneraire acondicionado</v>
      </c>
      <c r="B4145" s="94" t="str">
        <f t="shared" si="157"/>
        <v>MX_LIVERPOOL</v>
      </c>
      <c r="C4145" s="216" t="s">
        <v>331</v>
      </c>
      <c r="D4145" s="216" t="s">
        <v>332</v>
      </c>
      <c r="E4145" s="218" t="s">
        <v>163</v>
      </c>
      <c r="F4145" s="129" t="s">
        <v>2347</v>
      </c>
      <c r="G4145" s="130" t="s">
        <v>2761</v>
      </c>
      <c r="H4145" s="93" t="e">
        <v>#N/A</v>
      </c>
      <c r="I4145" s="99">
        <v>45876</v>
      </c>
      <c r="J4145" s="93" t="s">
        <v>189</v>
      </c>
      <c r="K4145" s="94"/>
      <c r="L4145" s="94"/>
      <c r="M4145" s="94"/>
      <c r="N4145" s="94"/>
      <c r="O4145" s="94"/>
    </row>
    <row r="4146" spans="1:15" hidden="1">
      <c r="A4146" s="75" t="str">
        <f t="shared" si="156"/>
        <v>CASS.comDRYERDryerDryer</v>
      </c>
      <c r="B4146" s="94" t="str">
        <f t="shared" si="157"/>
        <v>CA_SS.com</v>
      </c>
      <c r="C4146" s="216" t="s">
        <v>345</v>
      </c>
      <c r="D4146" s="216" t="s">
        <v>184</v>
      </c>
      <c r="E4146" s="218" t="s">
        <v>539</v>
      </c>
      <c r="F4146" s="128" t="s">
        <v>2431</v>
      </c>
      <c r="G4146" s="128" t="s">
        <v>2535</v>
      </c>
      <c r="H4146" s="93" t="e">
        <v>#N/A</v>
      </c>
      <c r="I4146" s="99">
        <v>45876</v>
      </c>
      <c r="J4146" s="93" t="s">
        <v>189</v>
      </c>
      <c r="K4146" s="94"/>
      <c r="L4146" s="94"/>
      <c r="M4146" s="94"/>
      <c r="N4146" s="94"/>
      <c r="O4146" s="94"/>
    </row>
    <row r="4147" spans="1:15" hidden="1">
      <c r="A4147" s="75" t="str">
        <f t="shared" si="156"/>
        <v>USSS.comDRYERDryerDryer</v>
      </c>
      <c r="B4147" s="94" t="str">
        <f t="shared" si="157"/>
        <v>US_SS.com</v>
      </c>
      <c r="C4147" s="217" t="s">
        <v>359</v>
      </c>
      <c r="D4147" s="217" t="s">
        <v>184</v>
      </c>
      <c r="E4147" s="221" t="s">
        <v>539</v>
      </c>
      <c r="F4147" s="85" t="s">
        <v>2431</v>
      </c>
      <c r="G4147" s="85" t="s">
        <v>2535</v>
      </c>
      <c r="H4147" s="93" t="e">
        <v>#N/A</v>
      </c>
      <c r="I4147" s="86">
        <v>45876</v>
      </c>
      <c r="J4147" s="83" t="s">
        <v>189</v>
      </c>
      <c r="K4147" s="82"/>
      <c r="L4147" s="82"/>
      <c r="M4147" s="82"/>
      <c r="N4147" s="82"/>
      <c r="O4147" s="82"/>
    </row>
    <row r="4148" spans="1:15" hidden="1">
      <c r="A4148" s="75" t="str">
        <f t="shared" si="156"/>
        <v>BRAMAZONRefrigeratorrefrigeratorgeladeira</v>
      </c>
      <c r="B4148" s="94" t="str">
        <f t="shared" ref="B4148:B4164" si="158">C4148&amp;"_"&amp;D4148</f>
        <v>BR_AMAZON</v>
      </c>
      <c r="C4148" s="87" t="s">
        <v>311</v>
      </c>
      <c r="D4148" s="87" t="s">
        <v>262</v>
      </c>
      <c r="E4148" s="88" t="s">
        <v>2326</v>
      </c>
      <c r="F4148" s="88" t="s">
        <v>2329</v>
      </c>
      <c r="G4148" s="88" t="s">
        <v>2467</v>
      </c>
      <c r="H4148" s="93" t="e">
        <v>#N/A</v>
      </c>
      <c r="I4148" s="99">
        <v>46076</v>
      </c>
      <c r="J4148" s="83" t="s">
        <v>189</v>
      </c>
      <c r="K4148" s="87"/>
      <c r="L4148" s="87"/>
      <c r="M4148" s="87"/>
      <c r="N4148" s="87"/>
      <c r="O4148" s="89"/>
    </row>
    <row r="4149" spans="1:15" hidden="1">
      <c r="A4149" s="75" t="str">
        <f t="shared" si="156"/>
        <v>BRAMAZONRefrigeratorbottom freezer refrigeratorgeladeira bottom freezer</v>
      </c>
      <c r="B4149" s="94" t="str">
        <f t="shared" si="158"/>
        <v>BR_AMAZON</v>
      </c>
      <c r="C4149" s="94" t="s">
        <v>311</v>
      </c>
      <c r="D4149" s="94" t="s">
        <v>262</v>
      </c>
      <c r="E4149" s="93" t="s">
        <v>2326</v>
      </c>
      <c r="F4149" s="93" t="s">
        <v>3753</v>
      </c>
      <c r="G4149" s="93" t="s">
        <v>3754</v>
      </c>
      <c r="H4149" s="93" t="e">
        <v>#N/A</v>
      </c>
      <c r="I4149" s="99">
        <v>46076</v>
      </c>
      <c r="J4149" s="83" t="s">
        <v>189</v>
      </c>
      <c r="K4149" s="94"/>
      <c r="L4149" s="94"/>
      <c r="M4149" s="94"/>
      <c r="N4149" s="94"/>
      <c r="O4149" s="90"/>
    </row>
    <row r="4150" spans="1:15" hidden="1">
      <c r="A4150" s="75" t="str">
        <f t="shared" si="156"/>
        <v>BRAMAZONRefrigeratorfrench door refrigeratorgeladeira french door</v>
      </c>
      <c r="B4150" s="94" t="str">
        <f t="shared" si="158"/>
        <v>BR_AMAZON</v>
      </c>
      <c r="C4150" s="94" t="s">
        <v>311</v>
      </c>
      <c r="D4150" s="94" t="s">
        <v>262</v>
      </c>
      <c r="E4150" s="93" t="s">
        <v>2326</v>
      </c>
      <c r="F4150" s="93" t="s">
        <v>2328</v>
      </c>
      <c r="G4150" s="93" t="s">
        <v>2500</v>
      </c>
      <c r="H4150" s="93" t="e">
        <v>#N/A</v>
      </c>
      <c r="I4150" s="99">
        <v>46076</v>
      </c>
      <c r="J4150" s="83" t="s">
        <v>189</v>
      </c>
      <c r="K4150" s="94"/>
      <c r="L4150" s="94"/>
      <c r="M4150" s="94"/>
      <c r="N4150" s="94"/>
      <c r="O4150" s="90"/>
    </row>
    <row r="4151" spans="1:15" hidden="1">
      <c r="A4151" s="75" t="str">
        <f t="shared" si="156"/>
        <v>BRAMAZONRefrigeratorside by side refrigeratorgeladeira side by side</v>
      </c>
      <c r="B4151" s="94" t="str">
        <f t="shared" si="158"/>
        <v>BR_AMAZON</v>
      </c>
      <c r="C4151" s="94" t="s">
        <v>311</v>
      </c>
      <c r="D4151" s="94" t="s">
        <v>262</v>
      </c>
      <c r="E4151" s="93" t="s">
        <v>2326</v>
      </c>
      <c r="F4151" s="93" t="s">
        <v>2330</v>
      </c>
      <c r="G4151" s="93" t="s">
        <v>2505</v>
      </c>
      <c r="H4151" s="93" t="e">
        <v>#N/A</v>
      </c>
      <c r="I4151" s="99">
        <v>46076</v>
      </c>
      <c r="J4151" s="83" t="s">
        <v>189</v>
      </c>
      <c r="K4151" s="94"/>
      <c r="L4151" s="94"/>
      <c r="M4151" s="94"/>
      <c r="N4151" s="94"/>
      <c r="O4151" s="90"/>
    </row>
    <row r="4152" spans="1:15" ht="14.4" hidden="1" thickBot="1">
      <c r="A4152" s="75" t="str">
        <f t="shared" si="156"/>
        <v>BRAMAZONRefrigeratortop freezer refrigeratorgeladeira top freezer</v>
      </c>
      <c r="B4152" s="94" t="str">
        <f t="shared" si="158"/>
        <v>BR_AMAZON</v>
      </c>
      <c r="C4152" s="91" t="s">
        <v>311</v>
      </c>
      <c r="D4152" s="91" t="s">
        <v>262</v>
      </c>
      <c r="E4152" s="92" t="s">
        <v>2326</v>
      </c>
      <c r="F4152" s="92" t="s">
        <v>2332</v>
      </c>
      <c r="G4152" s="92" t="s">
        <v>2506</v>
      </c>
      <c r="H4152" s="93" t="e">
        <v>#N/A</v>
      </c>
      <c r="I4152" s="99">
        <v>46076</v>
      </c>
      <c r="J4152" s="83" t="s">
        <v>189</v>
      </c>
      <c r="K4152" s="82"/>
      <c r="L4152" s="82"/>
      <c r="M4152" s="82"/>
      <c r="N4152" s="82"/>
      <c r="O4152" s="131"/>
    </row>
    <row r="4153" spans="1:15" s="111" customFormat="1" hidden="1">
      <c r="A4153" s="111" t="str">
        <f t="shared" si="156"/>
        <v>BRAMAZONWashing MachineWasher dryer comboLava e seca</v>
      </c>
      <c r="B4153" s="112" t="str">
        <f t="shared" si="158"/>
        <v>BR_AMAZON</v>
      </c>
      <c r="C4153" s="132" t="s">
        <v>311</v>
      </c>
      <c r="D4153" s="132" t="s">
        <v>262</v>
      </c>
      <c r="E4153" s="113" t="s">
        <v>2333</v>
      </c>
      <c r="F4153" s="113" t="s">
        <v>2513</v>
      </c>
      <c r="G4153" s="113" t="s">
        <v>2514</v>
      </c>
      <c r="H4153" s="93" t="e">
        <v>#N/A</v>
      </c>
      <c r="I4153" s="99">
        <v>46076</v>
      </c>
      <c r="J4153" s="83" t="s">
        <v>189</v>
      </c>
      <c r="K4153" s="132"/>
      <c r="L4153" s="132"/>
      <c r="M4153" s="132"/>
      <c r="N4153" s="132"/>
      <c r="O4153" s="133"/>
    </row>
    <row r="4154" spans="1:15" s="111" customFormat="1" hidden="1">
      <c r="A4154" s="111" t="str">
        <f t="shared" si="156"/>
        <v>BRAMAZONWashing Machinefront loaderlavadora front load</v>
      </c>
      <c r="B4154" s="112" t="str">
        <f t="shared" si="158"/>
        <v>BR_AMAZON</v>
      </c>
      <c r="C4154" s="132" t="s">
        <v>311</v>
      </c>
      <c r="D4154" s="132" t="s">
        <v>262</v>
      </c>
      <c r="E4154" s="113" t="s">
        <v>2333</v>
      </c>
      <c r="F4154" s="113" t="s">
        <v>3755</v>
      </c>
      <c r="G4154" s="113" t="s">
        <v>3756</v>
      </c>
      <c r="H4154" s="93" t="e">
        <v>#N/A</v>
      </c>
      <c r="I4154" s="99">
        <v>46076</v>
      </c>
      <c r="J4154" s="83" t="s">
        <v>189</v>
      </c>
      <c r="K4154" s="132"/>
      <c r="L4154" s="132"/>
      <c r="M4154" s="132"/>
      <c r="N4154" s="132"/>
      <c r="O4154" s="133"/>
    </row>
    <row r="4155" spans="1:15" s="111" customFormat="1" hidden="1">
      <c r="A4155" s="111" t="str">
        <f t="shared" si="156"/>
        <v>BRAMAZONWashing Machinetop loaderlavadora top load</v>
      </c>
      <c r="B4155" s="112" t="str">
        <f t="shared" si="158"/>
        <v>BR_AMAZON</v>
      </c>
      <c r="C4155" s="132" t="s">
        <v>311</v>
      </c>
      <c r="D4155" s="132" t="s">
        <v>262</v>
      </c>
      <c r="E4155" s="113" t="s">
        <v>2333</v>
      </c>
      <c r="F4155" s="113" t="s">
        <v>3757</v>
      </c>
      <c r="G4155" s="113" t="s">
        <v>3758</v>
      </c>
      <c r="H4155" s="93" t="e">
        <v>#N/A</v>
      </c>
      <c r="I4155" s="99">
        <v>46076</v>
      </c>
      <c r="J4155" s="83" t="s">
        <v>189</v>
      </c>
      <c r="K4155" s="132"/>
      <c r="L4155" s="132"/>
      <c r="M4155" s="132"/>
      <c r="N4155" s="132"/>
      <c r="O4155" s="133"/>
    </row>
    <row r="4156" spans="1:15" s="111" customFormat="1" hidden="1">
      <c r="A4156" s="111" t="str">
        <f t="shared" si="156"/>
        <v>BRAMAZONWashing Machinewashing machineMáquina de lavar</v>
      </c>
      <c r="B4156" s="112" t="str">
        <f t="shared" si="158"/>
        <v>BR_AMAZON</v>
      </c>
      <c r="C4156" s="132" t="s">
        <v>311</v>
      </c>
      <c r="D4156" s="132" t="s">
        <v>262</v>
      </c>
      <c r="E4156" s="113" t="s">
        <v>2333</v>
      </c>
      <c r="F4156" s="113" t="s">
        <v>2340</v>
      </c>
      <c r="G4156" s="113" t="s">
        <v>2515</v>
      </c>
      <c r="H4156" s="93" t="e">
        <v>#N/A</v>
      </c>
      <c r="I4156" s="99">
        <v>46076</v>
      </c>
      <c r="J4156" s="83" t="s">
        <v>189</v>
      </c>
      <c r="K4156" s="132"/>
      <c r="L4156" s="132"/>
      <c r="M4156" s="132"/>
      <c r="N4156" s="132"/>
      <c r="O4156" s="133"/>
    </row>
    <row r="4157" spans="1:15" s="111" customFormat="1" hidden="1">
      <c r="A4157" s="111" t="str">
        <f t="shared" si="156"/>
        <v>BRAMAZONAir Conditionerair conditionerar condicionado</v>
      </c>
      <c r="B4157" s="112" t="str">
        <f t="shared" si="158"/>
        <v>BR_AMAZON</v>
      </c>
      <c r="C4157" s="132" t="s">
        <v>311</v>
      </c>
      <c r="D4157" s="132" t="s">
        <v>262</v>
      </c>
      <c r="E4157" s="114" t="s">
        <v>2346</v>
      </c>
      <c r="F4157" s="114" t="s">
        <v>2347</v>
      </c>
      <c r="G4157" s="114" t="s">
        <v>2493</v>
      </c>
      <c r="H4157" s="93" t="e">
        <v>#N/A</v>
      </c>
      <c r="I4157" s="99">
        <v>46076</v>
      </c>
      <c r="J4157" s="83" t="s">
        <v>189</v>
      </c>
      <c r="K4157" s="132"/>
      <c r="L4157" s="132"/>
      <c r="M4157" s="132"/>
      <c r="N4157" s="132"/>
      <c r="O4157" s="133"/>
    </row>
    <row r="4158" spans="1:15" s="111" customFormat="1" hidden="1">
      <c r="A4158" s="111" t="str">
        <f t="shared" si="156"/>
        <v>BRAMAZONAir Conditionerinverter air conditionerar condicionado inverter</v>
      </c>
      <c r="B4158" s="112" t="str">
        <f t="shared" si="158"/>
        <v>BR_AMAZON</v>
      </c>
      <c r="C4158" s="132" t="s">
        <v>311</v>
      </c>
      <c r="D4158" s="132" t="s">
        <v>262</v>
      </c>
      <c r="E4158" s="114" t="s">
        <v>2346</v>
      </c>
      <c r="F4158" s="114" t="s">
        <v>2348</v>
      </c>
      <c r="G4158" s="114" t="s">
        <v>2494</v>
      </c>
      <c r="H4158" s="93" t="e">
        <v>#N/A</v>
      </c>
      <c r="I4158" s="99">
        <v>46076</v>
      </c>
      <c r="J4158" s="83" t="s">
        <v>189</v>
      </c>
      <c r="K4158" s="132"/>
      <c r="L4158" s="132"/>
      <c r="M4158" s="132"/>
      <c r="N4158" s="132"/>
      <c r="O4158" s="133"/>
    </row>
    <row r="4159" spans="1:15" s="111" customFormat="1" hidden="1">
      <c r="A4159" s="111" t="str">
        <f t="shared" si="156"/>
        <v>BRAMAZONBluetooth Speakerspeakersalto-falante</v>
      </c>
      <c r="B4159" s="112" t="str">
        <f t="shared" si="158"/>
        <v>BR_AMAZON</v>
      </c>
      <c r="C4159" s="132" t="s">
        <v>311</v>
      </c>
      <c r="D4159" s="132" t="s">
        <v>262</v>
      </c>
      <c r="E4159" s="114" t="s">
        <v>2470</v>
      </c>
      <c r="F4159" s="114" t="s">
        <v>2471</v>
      </c>
      <c r="G4159" s="114" t="s">
        <v>2472</v>
      </c>
      <c r="H4159" s="93" t="e">
        <v>#N/A</v>
      </c>
      <c r="I4159" s="99">
        <v>46076</v>
      </c>
      <c r="J4159" s="83" t="s">
        <v>189</v>
      </c>
      <c r="K4159" s="132"/>
      <c r="L4159" s="132"/>
      <c r="M4159" s="132"/>
      <c r="N4159" s="132"/>
      <c r="O4159" s="133"/>
    </row>
    <row r="4160" spans="1:15" s="111" customFormat="1" hidden="1">
      <c r="A4160" s="111" t="str">
        <f t="shared" si="156"/>
        <v>BRAMAZONBluetooth Speakerportable speakersalto-falantes portáteis</v>
      </c>
      <c r="B4160" s="112" t="str">
        <f t="shared" si="158"/>
        <v>BR_AMAZON</v>
      </c>
      <c r="C4160" s="132" t="s">
        <v>311</v>
      </c>
      <c r="D4160" s="132" t="s">
        <v>262</v>
      </c>
      <c r="E4160" s="114" t="s">
        <v>2470</v>
      </c>
      <c r="F4160" s="114" t="s">
        <v>2473</v>
      </c>
      <c r="G4160" s="114" t="s">
        <v>2474</v>
      </c>
      <c r="H4160" s="93" t="e">
        <v>#N/A</v>
      </c>
      <c r="I4160" s="99">
        <v>46076</v>
      </c>
      <c r="J4160" s="83" t="s">
        <v>189</v>
      </c>
      <c r="K4160" s="132"/>
      <c r="L4160" s="132"/>
      <c r="M4160" s="132"/>
      <c r="N4160" s="132"/>
      <c r="O4160" s="133"/>
    </row>
    <row r="4161" spans="1:15" s="111" customFormat="1" hidden="1">
      <c r="A4161" s="111" t="str">
        <f t="shared" si="156"/>
        <v>BRAMAZONBluetooth Speakerwireless portable speakersalto-falantes portáteis sem fio</v>
      </c>
      <c r="B4161" s="112" t="str">
        <f t="shared" si="158"/>
        <v>BR_AMAZON</v>
      </c>
      <c r="C4161" s="132" t="s">
        <v>311</v>
      </c>
      <c r="D4161" s="132" t="s">
        <v>262</v>
      </c>
      <c r="E4161" s="114" t="s">
        <v>2470</v>
      </c>
      <c r="F4161" s="114" t="s">
        <v>2475</v>
      </c>
      <c r="G4161" s="114" t="s">
        <v>2476</v>
      </c>
      <c r="H4161" s="93" t="e">
        <v>#N/A</v>
      </c>
      <c r="I4161" s="99">
        <v>46076</v>
      </c>
      <c r="J4161" s="83" t="s">
        <v>189</v>
      </c>
      <c r="K4161" s="132"/>
      <c r="L4161" s="132"/>
      <c r="M4161" s="132"/>
      <c r="N4161" s="132"/>
      <c r="O4161" s="133"/>
    </row>
    <row r="4162" spans="1:15" s="111" customFormat="1" hidden="1">
      <c r="A4162" s="111" t="str">
        <f t="shared" si="156"/>
        <v>BRAMAZONBluetooth SpeakerAcoustic boxCaixa acústica</v>
      </c>
      <c r="B4162" s="112" t="str">
        <f t="shared" si="158"/>
        <v>BR_AMAZON</v>
      </c>
      <c r="C4162" s="132" t="s">
        <v>311</v>
      </c>
      <c r="D4162" s="132" t="s">
        <v>262</v>
      </c>
      <c r="E4162" s="114" t="s">
        <v>2470</v>
      </c>
      <c r="F4162" s="114" t="s">
        <v>2477</v>
      </c>
      <c r="G4162" s="114" t="s">
        <v>2478</v>
      </c>
      <c r="H4162" s="93" t="e">
        <v>#N/A</v>
      </c>
      <c r="I4162" s="99">
        <v>46076</v>
      </c>
      <c r="J4162" s="83" t="s">
        <v>189</v>
      </c>
      <c r="K4162" s="132"/>
      <c r="L4162" s="132"/>
      <c r="M4162" s="132"/>
      <c r="N4162" s="132"/>
      <c r="O4162" s="133"/>
    </row>
    <row r="4163" spans="1:15" s="111" customFormat="1" hidden="1">
      <c r="A4163" s="111" t="str">
        <f t="shared" si="156"/>
        <v>BRAMAZONBluetooth Speakerbluetooth speaker portableCaixa Bluetooth Portátil</v>
      </c>
      <c r="B4163" s="112" t="str">
        <f t="shared" si="158"/>
        <v>BR_AMAZON</v>
      </c>
      <c r="C4163" s="132" t="s">
        <v>311</v>
      </c>
      <c r="D4163" s="132" t="s">
        <v>262</v>
      </c>
      <c r="E4163" s="114" t="s">
        <v>2470</v>
      </c>
      <c r="F4163" s="114" t="s">
        <v>2479</v>
      </c>
      <c r="G4163" s="114" t="s">
        <v>2480</v>
      </c>
      <c r="H4163" s="93" t="e">
        <v>#N/A</v>
      </c>
      <c r="I4163" s="99">
        <v>46076</v>
      </c>
      <c r="J4163" s="83" t="s">
        <v>189</v>
      </c>
      <c r="K4163" s="132"/>
      <c r="L4163" s="132"/>
      <c r="M4163" s="132"/>
      <c r="N4163" s="132"/>
      <c r="O4163" s="133"/>
    </row>
    <row r="4164" spans="1:15" s="111" customFormat="1" hidden="1">
      <c r="A4164" s="111" t="str">
        <f t="shared" si="156"/>
        <v>BRAMAZONBluetooth SpeakerBluetooth speakerCaixa de som</v>
      </c>
      <c r="B4164" s="112" t="str">
        <f t="shared" si="158"/>
        <v>BR_AMAZON</v>
      </c>
      <c r="C4164" s="132" t="s">
        <v>311</v>
      </c>
      <c r="D4164" s="132" t="s">
        <v>262</v>
      </c>
      <c r="E4164" s="114" t="s">
        <v>2470</v>
      </c>
      <c r="F4164" s="114" t="s">
        <v>2481</v>
      </c>
      <c r="G4164" s="114" t="s">
        <v>2482</v>
      </c>
      <c r="H4164" s="93" t="e">
        <v>#N/A</v>
      </c>
      <c r="I4164" s="99">
        <v>46076</v>
      </c>
      <c r="J4164" s="83" t="s">
        <v>189</v>
      </c>
      <c r="K4164" s="132"/>
      <c r="L4164" s="132"/>
      <c r="M4164" s="132"/>
      <c r="N4164" s="132"/>
      <c r="O4164" s="133"/>
    </row>
    <row r="4165" spans="1:15" s="111" customFormat="1" hidden="1">
      <c r="A4165" s="111" t="str">
        <f t="shared" ref="A4165:A4173" si="159">C4165&amp;D4165&amp;E4165&amp;F4165&amp;G4165</f>
        <v>BRAMAZONBluetooth SpeakerBluetooth speakerCaixa de som bluetooth</v>
      </c>
      <c r="B4165" s="112" t="str">
        <f t="shared" ref="B4165:B4173" si="160">C4165&amp;"_"&amp;D4165</f>
        <v>BR_AMAZON</v>
      </c>
      <c r="C4165" s="132" t="s">
        <v>311</v>
      </c>
      <c r="D4165" s="132" t="s">
        <v>262</v>
      </c>
      <c r="E4165" s="114" t="s">
        <v>2470</v>
      </c>
      <c r="F4165" s="114" t="s">
        <v>2481</v>
      </c>
      <c r="G4165" s="114" t="s">
        <v>2483</v>
      </c>
      <c r="H4165" s="93" t="e">
        <v>#N/A</v>
      </c>
      <c r="I4165" s="99">
        <v>46076</v>
      </c>
      <c r="J4165" s="83" t="s">
        <v>189</v>
      </c>
      <c r="K4165" s="132"/>
      <c r="L4165" s="132"/>
      <c r="M4165" s="132"/>
      <c r="N4165" s="132"/>
      <c r="O4165" s="133"/>
    </row>
    <row r="4166" spans="1:15" s="111" customFormat="1" hidden="1">
      <c r="A4166" s="111" t="str">
        <f t="shared" si="159"/>
        <v>BRAMAZONBluetooth SpeakerPortable bluetooth speakerCaixa de som bluetooth portátil</v>
      </c>
      <c r="B4166" s="112" t="str">
        <f t="shared" si="160"/>
        <v>BR_AMAZON</v>
      </c>
      <c r="C4166" s="132" t="s">
        <v>311</v>
      </c>
      <c r="D4166" s="132" t="s">
        <v>262</v>
      </c>
      <c r="E4166" s="114" t="s">
        <v>2470</v>
      </c>
      <c r="F4166" s="114" t="s">
        <v>2312</v>
      </c>
      <c r="G4166" s="114" t="s">
        <v>2484</v>
      </c>
      <c r="H4166" s="93" t="e">
        <v>#N/A</v>
      </c>
      <c r="I4166" s="99">
        <v>46076</v>
      </c>
      <c r="J4166" s="83" t="s">
        <v>189</v>
      </c>
      <c r="K4166" s="132"/>
      <c r="L4166" s="132"/>
      <c r="M4166" s="132"/>
      <c r="N4166" s="132"/>
      <c r="O4166" s="133"/>
    </row>
    <row r="4167" spans="1:15" s="111" customFormat="1" hidden="1">
      <c r="A4167" s="111" t="str">
        <f t="shared" si="159"/>
        <v>BRAMAZONBluetooth SpeakerPortable bluetooth speakerCaixa de som portátil</v>
      </c>
      <c r="B4167" s="112" t="str">
        <f t="shared" si="160"/>
        <v>BR_AMAZON</v>
      </c>
      <c r="C4167" s="132" t="s">
        <v>311</v>
      </c>
      <c r="D4167" s="132" t="s">
        <v>262</v>
      </c>
      <c r="E4167" s="114" t="s">
        <v>2470</v>
      </c>
      <c r="F4167" s="114" t="s">
        <v>2312</v>
      </c>
      <c r="G4167" s="114" t="s">
        <v>2485</v>
      </c>
      <c r="H4167" s="93" t="e">
        <v>#N/A</v>
      </c>
      <c r="I4167" s="99">
        <v>46076</v>
      </c>
      <c r="J4167" s="83" t="s">
        <v>189</v>
      </c>
      <c r="K4167" s="132"/>
      <c r="L4167" s="132"/>
      <c r="M4167" s="132"/>
      <c r="N4167" s="132"/>
      <c r="O4167" s="133"/>
    </row>
    <row r="4168" spans="1:15" s="111" customFormat="1" hidden="1">
      <c r="A4168" s="111" t="str">
        <f t="shared" si="159"/>
        <v>BRAMAZONSOUNDBARHome TheaterHome Theater</v>
      </c>
      <c r="B4168" s="112" t="str">
        <f t="shared" si="160"/>
        <v>BR_AMAZON</v>
      </c>
      <c r="C4168" s="132" t="s">
        <v>311</v>
      </c>
      <c r="D4168" s="132" t="s">
        <v>262</v>
      </c>
      <c r="E4168" s="114" t="s">
        <v>165</v>
      </c>
      <c r="F4168" s="114" t="s">
        <v>2486</v>
      </c>
      <c r="G4168" s="114" t="s">
        <v>2486</v>
      </c>
      <c r="H4168" s="93" t="e">
        <v>#N/A</v>
      </c>
      <c r="I4168" s="99">
        <v>46076</v>
      </c>
      <c r="J4168" s="83" t="s">
        <v>189</v>
      </c>
      <c r="K4168" s="132"/>
      <c r="L4168" s="132"/>
      <c r="M4168" s="132"/>
      <c r="N4168" s="132"/>
      <c r="O4168" s="133"/>
    </row>
    <row r="4169" spans="1:15" s="111" customFormat="1" hidden="1">
      <c r="A4169" s="111" t="str">
        <f t="shared" si="159"/>
        <v>BRAMAZONSOUNDBARMini SystemMini System</v>
      </c>
      <c r="B4169" s="112" t="str">
        <f t="shared" si="160"/>
        <v>BR_AMAZON</v>
      </c>
      <c r="C4169" s="132" t="s">
        <v>311</v>
      </c>
      <c r="D4169" s="132" t="s">
        <v>262</v>
      </c>
      <c r="E4169" s="114" t="s">
        <v>165</v>
      </c>
      <c r="F4169" s="114" t="s">
        <v>2487</v>
      </c>
      <c r="G4169" s="114" t="s">
        <v>2487</v>
      </c>
      <c r="H4169" s="93" t="e">
        <v>#N/A</v>
      </c>
      <c r="I4169" s="99">
        <v>46076</v>
      </c>
      <c r="J4169" s="83" t="s">
        <v>189</v>
      </c>
      <c r="K4169" s="132"/>
      <c r="L4169" s="132"/>
      <c r="M4169" s="132"/>
      <c r="N4169" s="132"/>
      <c r="O4169" s="133"/>
    </row>
    <row r="4170" spans="1:15" s="111" customFormat="1" hidden="1">
      <c r="A4170" s="111" t="str">
        <f t="shared" si="159"/>
        <v>BRAMAZONSOUNDBARSound BarSound Bar</v>
      </c>
      <c r="B4170" s="112" t="str">
        <f t="shared" si="160"/>
        <v>BR_AMAZON</v>
      </c>
      <c r="C4170" s="132" t="s">
        <v>311</v>
      </c>
      <c r="D4170" s="132" t="s">
        <v>262</v>
      </c>
      <c r="E4170" s="114" t="s">
        <v>165</v>
      </c>
      <c r="F4170" s="114" t="s">
        <v>2488</v>
      </c>
      <c r="G4170" s="114" t="s">
        <v>2488</v>
      </c>
      <c r="H4170" s="93" t="e">
        <v>#N/A</v>
      </c>
      <c r="I4170" s="99">
        <v>46076</v>
      </c>
      <c r="J4170" s="83" t="s">
        <v>189</v>
      </c>
      <c r="K4170" s="132"/>
      <c r="L4170" s="132"/>
      <c r="M4170" s="132"/>
      <c r="N4170" s="132"/>
      <c r="O4170" s="133"/>
    </row>
    <row r="4171" spans="1:15" s="111" customFormat="1" hidden="1">
      <c r="A4171" s="111" t="str">
        <f t="shared" si="159"/>
        <v>BRAMAZONSOUNDBARAll in OneAll in One</v>
      </c>
      <c r="B4171" s="112" t="str">
        <f t="shared" si="160"/>
        <v>BR_AMAZON</v>
      </c>
      <c r="C4171" s="132" t="s">
        <v>311</v>
      </c>
      <c r="D4171" s="132" t="s">
        <v>262</v>
      </c>
      <c r="E4171" s="114" t="s">
        <v>165</v>
      </c>
      <c r="F4171" s="114" t="s">
        <v>2489</v>
      </c>
      <c r="G4171" s="114" t="s">
        <v>2489</v>
      </c>
      <c r="H4171" s="93" t="e">
        <v>#N/A</v>
      </c>
      <c r="I4171" s="99">
        <v>46076</v>
      </c>
      <c r="J4171" s="83" t="s">
        <v>189</v>
      </c>
      <c r="K4171" s="132"/>
      <c r="L4171" s="132"/>
      <c r="M4171" s="132"/>
      <c r="N4171" s="132"/>
      <c r="O4171" s="133"/>
    </row>
    <row r="4172" spans="1:15" s="111" customFormat="1" hidden="1">
      <c r="A4172" s="111" t="str">
        <f t="shared" si="159"/>
        <v>BRAMAZONWIRELESS HEADSETWireless HeadsetFone de ouvido</v>
      </c>
      <c r="B4172" s="112" t="str">
        <f t="shared" si="160"/>
        <v>BR_AMAZON</v>
      </c>
      <c r="C4172" s="132" t="s">
        <v>311</v>
      </c>
      <c r="D4172" s="132" t="s">
        <v>262</v>
      </c>
      <c r="E4172" s="114" t="s">
        <v>2201</v>
      </c>
      <c r="F4172" s="114" t="s">
        <v>2373</v>
      </c>
      <c r="G4172" s="114" t="s">
        <v>2490</v>
      </c>
      <c r="H4172" s="93" t="e">
        <v>#N/A</v>
      </c>
      <c r="I4172" s="99">
        <v>46076</v>
      </c>
      <c r="J4172" s="83" t="s">
        <v>189</v>
      </c>
      <c r="K4172" s="132"/>
      <c r="L4172" s="132"/>
      <c r="M4172" s="132"/>
      <c r="N4172" s="132"/>
      <c r="O4172" s="133"/>
    </row>
    <row r="4173" spans="1:15" s="111" customFormat="1" hidden="1">
      <c r="A4173" s="111" t="str">
        <f t="shared" si="159"/>
        <v>BRAMAZONDRYERDryersecador</v>
      </c>
      <c r="B4173" s="112" t="str">
        <f t="shared" si="160"/>
        <v>BR_AMAZON</v>
      </c>
      <c r="C4173" s="132" t="s">
        <v>311</v>
      </c>
      <c r="D4173" s="132" t="s">
        <v>262</v>
      </c>
      <c r="E4173" s="114" t="s">
        <v>539</v>
      </c>
      <c r="F4173" s="114" t="s">
        <v>2431</v>
      </c>
      <c r="G4173" s="114" t="s">
        <v>2491</v>
      </c>
      <c r="H4173" s="93" t="e">
        <v>#N/A</v>
      </c>
      <c r="I4173" s="99">
        <v>46076</v>
      </c>
      <c r="J4173" s="83" t="s">
        <v>189</v>
      </c>
      <c r="K4173" s="132"/>
      <c r="L4173" s="132"/>
      <c r="M4173" s="132"/>
      <c r="N4173" s="132"/>
      <c r="O4173" s="133"/>
    </row>
    <row r="4177" spans="2:9">
      <c r="C4177" s="93" t="s">
        <v>3799</v>
      </c>
      <c r="D4177" s="93" t="s">
        <v>516</v>
      </c>
      <c r="E4177" s="93" t="s">
        <v>2346</v>
      </c>
      <c r="F4177" s="94" t="s">
        <v>3800</v>
      </c>
      <c r="G4177" s="94"/>
      <c r="H4177" s="93" t="s">
        <v>3463</v>
      </c>
    </row>
    <row r="4178" spans="2:9">
      <c r="C4178" s="93" t="s">
        <v>292</v>
      </c>
      <c r="D4178" s="93" t="s">
        <v>293</v>
      </c>
      <c r="E4178" s="93" t="s">
        <v>2346</v>
      </c>
      <c r="F4178" s="94" t="s">
        <v>3801</v>
      </c>
      <c r="G4178" s="94"/>
    </row>
    <row r="4179" spans="2:9">
      <c r="C4179" s="93" t="s">
        <v>292</v>
      </c>
      <c r="D4179" s="93" t="s">
        <v>293</v>
      </c>
      <c r="E4179" s="93" t="s">
        <v>2346</v>
      </c>
      <c r="F4179" s="94" t="s">
        <v>3802</v>
      </c>
      <c r="G4179" s="94"/>
    </row>
    <row r="4187" spans="2:9">
      <c r="B4187" s="75" t="s">
        <v>3803</v>
      </c>
      <c r="H4187" s="75">
        <v>4203</v>
      </c>
      <c r="I4187" s="75">
        <v>12</v>
      </c>
    </row>
    <row r="4188" spans="2:9">
      <c r="B4188" s="75" t="s">
        <v>3804</v>
      </c>
      <c r="I4188" s="75">
        <f>H4187-I4187</f>
        <v>4191</v>
      </c>
    </row>
    <row r="4189" spans="2:9">
      <c r="B4189" s="75" t="s">
        <v>3800</v>
      </c>
    </row>
    <row r="4190" spans="2:9">
      <c r="B4190" s="75" t="s">
        <v>3801</v>
      </c>
    </row>
    <row r="4191" spans="2:9">
      <c r="B4191" s="75" t="s">
        <v>3802</v>
      </c>
    </row>
    <row r="4195" spans="6:6">
      <c r="F4195" s="75" t="s">
        <v>3805</v>
      </c>
    </row>
  </sheetData>
  <autoFilter ref="B8:O4173" xr:uid="{47EF104F-2F03-435A-8231-EC7E09B1F7C5}">
    <filterColumn colId="1">
      <filters>
        <filter val="AU"/>
      </filters>
    </filterColumn>
    <filterColumn colId="3">
      <filters>
        <filter val="Dryer"/>
        <filter val="Refrigerator"/>
        <filter val="Washing Machine"/>
      </filters>
    </filterColumn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7239-34EA-4FD1-88BD-50F1DC051FBF}">
  <dimension ref="G2:M65"/>
  <sheetViews>
    <sheetView zoomScale="85" zoomScaleNormal="85" workbookViewId="0">
      <selection activeCell="L34" sqref="L34"/>
    </sheetView>
  </sheetViews>
  <sheetFormatPr defaultRowHeight="17.399999999999999"/>
  <cols>
    <col min="7" max="7" width="22.09765625" customWidth="1"/>
    <col min="8" max="8" width="25.59765625" customWidth="1"/>
    <col min="9" max="9" width="28.69921875" customWidth="1"/>
    <col min="11" max="11" width="22.09765625" customWidth="1"/>
    <col min="12" max="12" width="25.59765625" customWidth="1"/>
    <col min="13" max="13" width="28.69921875" customWidth="1"/>
  </cols>
  <sheetData>
    <row r="2" spans="7:13">
      <c r="G2" s="103" t="s">
        <v>2296</v>
      </c>
      <c r="H2" s="103" t="s">
        <v>2297</v>
      </c>
      <c r="I2" s="103" t="s">
        <v>2298</v>
      </c>
      <c r="K2" s="103" t="s">
        <v>2296</v>
      </c>
      <c r="L2" s="103" t="s">
        <v>2297</v>
      </c>
      <c r="M2" s="103" t="s">
        <v>2298</v>
      </c>
    </row>
    <row r="3" spans="7:13">
      <c r="G3" t="s">
        <v>2326</v>
      </c>
      <c r="H3" t="s">
        <v>2327</v>
      </c>
      <c r="I3" t="s">
        <v>2412</v>
      </c>
      <c r="K3" t="s">
        <v>2333</v>
      </c>
      <c r="L3" t="s">
        <v>2334</v>
      </c>
      <c r="M3" t="s">
        <v>2418</v>
      </c>
    </row>
    <row r="4" spans="7:13">
      <c r="G4" t="s">
        <v>2326</v>
      </c>
      <c r="H4" t="s">
        <v>2328</v>
      </c>
      <c r="I4" t="s">
        <v>2413</v>
      </c>
      <c r="K4" t="s">
        <v>2333</v>
      </c>
      <c r="L4" t="s">
        <v>2336</v>
      </c>
      <c r="M4" t="s">
        <v>2419</v>
      </c>
    </row>
    <row r="5" spans="7:13">
      <c r="G5" t="s">
        <v>2326</v>
      </c>
      <c r="H5" t="s">
        <v>2414</v>
      </c>
      <c r="I5" t="s">
        <v>2415</v>
      </c>
      <c r="K5" t="s">
        <v>2333</v>
      </c>
      <c r="L5" t="s">
        <v>2338</v>
      </c>
      <c r="M5" t="s">
        <v>2420</v>
      </c>
    </row>
    <row r="6" spans="7:13">
      <c r="G6" t="s">
        <v>2326</v>
      </c>
      <c r="H6" t="s">
        <v>2329</v>
      </c>
      <c r="I6" t="s">
        <v>2329</v>
      </c>
      <c r="K6" t="s">
        <v>2333</v>
      </c>
      <c r="L6" t="s">
        <v>2340</v>
      </c>
      <c r="M6" t="s">
        <v>2421</v>
      </c>
    </row>
    <row r="7" spans="7:13">
      <c r="G7" t="s">
        <v>2326</v>
      </c>
      <c r="H7" t="s">
        <v>2330</v>
      </c>
      <c r="I7" t="s">
        <v>2416</v>
      </c>
      <c r="K7" t="s">
        <v>2333</v>
      </c>
      <c r="L7" t="s">
        <v>2339</v>
      </c>
      <c r="M7" t="s">
        <v>2339</v>
      </c>
    </row>
    <row r="8" spans="7:13">
      <c r="G8" t="s">
        <v>2326</v>
      </c>
      <c r="H8" t="s">
        <v>2332</v>
      </c>
      <c r="I8" t="s">
        <v>2417</v>
      </c>
      <c r="K8" t="s">
        <v>2333</v>
      </c>
      <c r="L8" t="s">
        <v>2340</v>
      </c>
      <c r="M8" t="s">
        <v>2340</v>
      </c>
    </row>
    <row r="9" spans="7:13">
      <c r="G9" t="s">
        <v>2333</v>
      </c>
      <c r="H9" t="s">
        <v>2334</v>
      </c>
      <c r="I9" t="s">
        <v>2418</v>
      </c>
      <c r="K9" t="s">
        <v>2326</v>
      </c>
      <c r="L9" t="s">
        <v>2327</v>
      </c>
      <c r="M9" t="s">
        <v>2412</v>
      </c>
    </row>
    <row r="10" spans="7:13">
      <c r="G10" t="s">
        <v>2333</v>
      </c>
      <c r="H10" t="s">
        <v>2336</v>
      </c>
      <c r="I10" t="s">
        <v>2419</v>
      </c>
      <c r="K10" t="s">
        <v>2326</v>
      </c>
      <c r="L10" t="s">
        <v>2328</v>
      </c>
      <c r="M10" t="s">
        <v>2413</v>
      </c>
    </row>
    <row r="11" spans="7:13">
      <c r="G11" t="s">
        <v>2333</v>
      </c>
      <c r="H11" t="s">
        <v>2338</v>
      </c>
      <c r="I11" t="s">
        <v>2420</v>
      </c>
      <c r="K11" t="s">
        <v>2326</v>
      </c>
      <c r="L11" t="s">
        <v>2414</v>
      </c>
      <c r="M11" t="s">
        <v>2415</v>
      </c>
    </row>
    <row r="12" spans="7:13">
      <c r="G12" t="s">
        <v>2333</v>
      </c>
      <c r="H12" t="s">
        <v>2340</v>
      </c>
      <c r="I12" t="s">
        <v>2421</v>
      </c>
      <c r="K12" t="s">
        <v>2326</v>
      </c>
      <c r="L12" t="s">
        <v>2329</v>
      </c>
      <c r="M12" t="s">
        <v>2329</v>
      </c>
    </row>
    <row r="13" spans="7:13">
      <c r="G13" t="s">
        <v>2431</v>
      </c>
      <c r="H13" t="s">
        <v>2431</v>
      </c>
      <c r="I13" t="s">
        <v>2431</v>
      </c>
      <c r="K13" t="s">
        <v>2326</v>
      </c>
      <c r="L13" t="s">
        <v>2330</v>
      </c>
      <c r="M13" t="s">
        <v>2416</v>
      </c>
    </row>
    <row r="14" spans="7:13">
      <c r="G14" t="s">
        <v>2431</v>
      </c>
      <c r="H14" t="s">
        <v>2432</v>
      </c>
      <c r="I14" t="s">
        <v>3806</v>
      </c>
      <c r="K14" t="s">
        <v>2326</v>
      </c>
      <c r="L14" t="s">
        <v>2332</v>
      </c>
      <c r="M14" t="s">
        <v>2417</v>
      </c>
    </row>
    <row r="15" spans="7:13">
      <c r="G15" t="s">
        <v>2431</v>
      </c>
      <c r="H15" t="s">
        <v>2434</v>
      </c>
      <c r="I15" t="s">
        <v>2434</v>
      </c>
      <c r="K15" t="s">
        <v>2326</v>
      </c>
      <c r="L15" t="s">
        <v>2414</v>
      </c>
      <c r="M15" t="s">
        <v>2414</v>
      </c>
    </row>
    <row r="16" spans="7:13">
      <c r="G16" t="s">
        <v>2431</v>
      </c>
      <c r="H16" t="s">
        <v>2431</v>
      </c>
      <c r="I16" t="s">
        <v>2431</v>
      </c>
      <c r="K16" t="s">
        <v>2431</v>
      </c>
      <c r="L16" t="s">
        <v>2431</v>
      </c>
      <c r="M16" t="s">
        <v>2431</v>
      </c>
    </row>
    <row r="17" spans="7:13">
      <c r="G17" t="s">
        <v>2431</v>
      </c>
      <c r="H17" t="s">
        <v>2432</v>
      </c>
      <c r="I17" t="s">
        <v>3806</v>
      </c>
      <c r="K17" t="s">
        <v>2431</v>
      </c>
      <c r="L17" t="s">
        <v>2432</v>
      </c>
      <c r="M17" t="s">
        <v>3806</v>
      </c>
    </row>
    <row r="18" spans="7:13">
      <c r="G18" t="s">
        <v>2431</v>
      </c>
      <c r="H18" t="s">
        <v>2434</v>
      </c>
      <c r="I18" t="s">
        <v>2434</v>
      </c>
      <c r="K18" t="s">
        <v>2431</v>
      </c>
      <c r="L18" t="s">
        <v>2434</v>
      </c>
      <c r="M18" t="s">
        <v>2434</v>
      </c>
    </row>
    <row r="19" spans="7:13">
      <c r="G19" t="s">
        <v>2326</v>
      </c>
      <c r="H19" t="s">
        <v>2327</v>
      </c>
      <c r="I19" t="s">
        <v>2412</v>
      </c>
    </row>
    <row r="20" spans="7:13">
      <c r="G20" t="s">
        <v>2326</v>
      </c>
      <c r="H20" t="s">
        <v>2328</v>
      </c>
      <c r="I20" t="s">
        <v>2413</v>
      </c>
    </row>
    <row r="21" spans="7:13">
      <c r="G21" t="s">
        <v>2326</v>
      </c>
      <c r="H21" t="s">
        <v>2414</v>
      </c>
      <c r="I21" t="s">
        <v>2415</v>
      </c>
    </row>
    <row r="22" spans="7:13">
      <c r="G22" t="s">
        <v>2326</v>
      </c>
      <c r="H22" t="s">
        <v>2329</v>
      </c>
      <c r="I22" t="s">
        <v>2329</v>
      </c>
    </row>
    <row r="23" spans="7:13">
      <c r="G23" t="s">
        <v>2326</v>
      </c>
      <c r="H23" t="s">
        <v>2330</v>
      </c>
      <c r="I23" t="s">
        <v>2416</v>
      </c>
    </row>
    <row r="24" spans="7:13">
      <c r="G24" t="s">
        <v>2326</v>
      </c>
      <c r="H24" t="s">
        <v>2332</v>
      </c>
      <c r="I24" t="s">
        <v>2417</v>
      </c>
    </row>
    <row r="25" spans="7:13">
      <c r="G25" t="s">
        <v>2333</v>
      </c>
      <c r="H25" t="s">
        <v>2334</v>
      </c>
      <c r="I25" t="s">
        <v>2418</v>
      </c>
    </row>
    <row r="26" spans="7:13">
      <c r="G26" t="s">
        <v>2333</v>
      </c>
      <c r="H26" t="s">
        <v>2336</v>
      </c>
      <c r="I26" t="s">
        <v>2419</v>
      </c>
    </row>
    <row r="27" spans="7:13">
      <c r="G27" t="s">
        <v>2333</v>
      </c>
      <c r="H27" t="s">
        <v>2338</v>
      </c>
      <c r="I27" t="s">
        <v>2420</v>
      </c>
    </row>
    <row r="28" spans="7:13">
      <c r="G28" t="s">
        <v>2333</v>
      </c>
      <c r="H28" t="s">
        <v>2340</v>
      </c>
      <c r="I28" t="s">
        <v>2421</v>
      </c>
    </row>
    <row r="29" spans="7:13">
      <c r="G29" t="s">
        <v>2431</v>
      </c>
      <c r="H29" t="s">
        <v>2431</v>
      </c>
      <c r="I29" t="s">
        <v>2431</v>
      </c>
    </row>
    <row r="30" spans="7:13">
      <c r="G30" t="s">
        <v>2431</v>
      </c>
      <c r="H30" t="s">
        <v>2432</v>
      </c>
      <c r="I30" t="s">
        <v>3806</v>
      </c>
    </row>
    <row r="31" spans="7:13">
      <c r="G31" t="s">
        <v>2431</v>
      </c>
      <c r="H31" t="s">
        <v>2434</v>
      </c>
      <c r="I31" t="s">
        <v>2434</v>
      </c>
    </row>
    <row r="32" spans="7:13">
      <c r="G32" t="s">
        <v>2326</v>
      </c>
      <c r="H32" t="s">
        <v>2327</v>
      </c>
      <c r="I32" t="s">
        <v>2412</v>
      </c>
    </row>
    <row r="33" spans="7:9">
      <c r="G33" t="s">
        <v>2326</v>
      </c>
      <c r="H33" t="s">
        <v>2328</v>
      </c>
      <c r="I33" t="s">
        <v>2413</v>
      </c>
    </row>
    <row r="34" spans="7:9">
      <c r="G34" t="s">
        <v>2326</v>
      </c>
      <c r="H34" t="s">
        <v>2414</v>
      </c>
      <c r="I34" t="s">
        <v>2415</v>
      </c>
    </row>
    <row r="35" spans="7:9">
      <c r="G35" t="s">
        <v>2326</v>
      </c>
      <c r="H35" t="s">
        <v>2329</v>
      </c>
      <c r="I35" t="s">
        <v>2329</v>
      </c>
    </row>
    <row r="36" spans="7:9">
      <c r="G36" t="s">
        <v>2326</v>
      </c>
      <c r="H36" t="s">
        <v>2330</v>
      </c>
      <c r="I36" t="s">
        <v>2416</v>
      </c>
    </row>
    <row r="37" spans="7:9">
      <c r="G37" t="s">
        <v>2326</v>
      </c>
      <c r="H37" t="s">
        <v>2332</v>
      </c>
      <c r="I37" t="s">
        <v>2417</v>
      </c>
    </row>
    <row r="38" spans="7:9">
      <c r="G38" t="s">
        <v>2333</v>
      </c>
      <c r="H38" t="s">
        <v>2334</v>
      </c>
      <c r="I38" t="s">
        <v>2418</v>
      </c>
    </row>
    <row r="39" spans="7:9">
      <c r="G39" t="s">
        <v>2333</v>
      </c>
      <c r="H39" t="s">
        <v>2336</v>
      </c>
      <c r="I39" t="s">
        <v>2419</v>
      </c>
    </row>
    <row r="40" spans="7:9">
      <c r="G40" t="s">
        <v>2333</v>
      </c>
      <c r="H40" t="s">
        <v>2338</v>
      </c>
      <c r="I40" t="s">
        <v>2420</v>
      </c>
    </row>
    <row r="41" spans="7:9">
      <c r="G41" t="s">
        <v>2333</v>
      </c>
      <c r="H41" t="s">
        <v>2340</v>
      </c>
      <c r="I41" t="s">
        <v>2421</v>
      </c>
    </row>
    <row r="42" spans="7:9">
      <c r="G42" t="s">
        <v>2326</v>
      </c>
      <c r="H42" t="s">
        <v>2414</v>
      </c>
      <c r="I42" t="s">
        <v>2414</v>
      </c>
    </row>
    <row r="43" spans="7:9">
      <c r="G43" t="s">
        <v>2326</v>
      </c>
      <c r="H43" t="s">
        <v>2329</v>
      </c>
      <c r="I43" t="s">
        <v>2329</v>
      </c>
    </row>
    <row r="44" spans="7:9">
      <c r="G44" t="s">
        <v>2333</v>
      </c>
      <c r="H44" t="s">
        <v>2339</v>
      </c>
      <c r="I44" t="s">
        <v>2339</v>
      </c>
    </row>
    <row r="45" spans="7:9">
      <c r="G45" t="s">
        <v>2333</v>
      </c>
      <c r="H45" t="s">
        <v>2340</v>
      </c>
      <c r="I45" t="s">
        <v>2340</v>
      </c>
    </row>
    <row r="46" spans="7:9">
      <c r="G46" t="s">
        <v>2326</v>
      </c>
      <c r="H46" t="s">
        <v>2414</v>
      </c>
      <c r="I46" t="s">
        <v>2414</v>
      </c>
    </row>
    <row r="47" spans="7:9">
      <c r="G47" t="s">
        <v>2326</v>
      </c>
      <c r="H47" t="s">
        <v>2329</v>
      </c>
      <c r="I47" t="s">
        <v>2329</v>
      </c>
    </row>
    <row r="48" spans="7:9">
      <c r="G48" t="s">
        <v>2333</v>
      </c>
      <c r="H48" t="s">
        <v>2339</v>
      </c>
      <c r="I48" t="s">
        <v>2339</v>
      </c>
    </row>
    <row r="49" spans="7:9">
      <c r="G49" t="s">
        <v>2333</v>
      </c>
      <c r="H49" t="s">
        <v>2340</v>
      </c>
      <c r="I49" t="s">
        <v>2340</v>
      </c>
    </row>
    <row r="50" spans="7:9">
      <c r="G50" t="s">
        <v>2431</v>
      </c>
      <c r="H50" t="s">
        <v>2431</v>
      </c>
      <c r="I50" t="s">
        <v>2431</v>
      </c>
    </row>
    <row r="51" spans="7:9">
      <c r="G51" t="s">
        <v>2431</v>
      </c>
      <c r="H51" t="s">
        <v>2432</v>
      </c>
      <c r="I51" t="s">
        <v>3806</v>
      </c>
    </row>
    <row r="52" spans="7:9">
      <c r="G52" t="s">
        <v>2431</v>
      </c>
      <c r="H52" t="s">
        <v>2434</v>
      </c>
      <c r="I52" t="s">
        <v>2434</v>
      </c>
    </row>
    <row r="53" spans="7:9">
      <c r="G53" t="s">
        <v>2431</v>
      </c>
      <c r="H53" t="s">
        <v>2431</v>
      </c>
      <c r="I53" t="s">
        <v>2431</v>
      </c>
    </row>
    <row r="54" spans="7:9">
      <c r="G54" t="s">
        <v>2431</v>
      </c>
      <c r="H54" t="s">
        <v>2432</v>
      </c>
      <c r="I54" t="s">
        <v>3806</v>
      </c>
    </row>
    <row r="55" spans="7:9">
      <c r="G55" t="s">
        <v>2431</v>
      </c>
      <c r="H55" t="s">
        <v>2434</v>
      </c>
      <c r="I55" t="s">
        <v>2434</v>
      </c>
    </row>
    <row r="56" spans="7:9">
      <c r="G56" t="s">
        <v>2326</v>
      </c>
      <c r="H56" t="s">
        <v>2327</v>
      </c>
      <c r="I56" t="s">
        <v>2412</v>
      </c>
    </row>
    <row r="57" spans="7:9">
      <c r="G57" t="s">
        <v>2326</v>
      </c>
      <c r="H57" t="s">
        <v>2328</v>
      </c>
      <c r="I57" t="s">
        <v>2413</v>
      </c>
    </row>
    <row r="58" spans="7:9">
      <c r="G58" t="s">
        <v>2326</v>
      </c>
      <c r="H58" t="s">
        <v>2414</v>
      </c>
      <c r="I58" t="s">
        <v>2415</v>
      </c>
    </row>
    <row r="59" spans="7:9">
      <c r="G59" t="s">
        <v>2326</v>
      </c>
      <c r="H59" t="s">
        <v>2329</v>
      </c>
      <c r="I59" t="s">
        <v>2329</v>
      </c>
    </row>
    <row r="60" spans="7:9">
      <c r="G60" t="s">
        <v>2326</v>
      </c>
      <c r="H60" t="s">
        <v>2330</v>
      </c>
      <c r="I60" t="s">
        <v>2416</v>
      </c>
    </row>
    <row r="61" spans="7:9">
      <c r="G61" t="s">
        <v>2326</v>
      </c>
      <c r="H61" t="s">
        <v>2332</v>
      </c>
      <c r="I61" t="s">
        <v>2417</v>
      </c>
    </row>
    <row r="62" spans="7:9">
      <c r="G62" t="s">
        <v>2333</v>
      </c>
      <c r="H62" t="s">
        <v>2334</v>
      </c>
      <c r="I62" t="s">
        <v>2418</v>
      </c>
    </row>
    <row r="63" spans="7:9">
      <c r="G63" t="s">
        <v>2333</v>
      </c>
      <c r="H63" t="s">
        <v>2336</v>
      </c>
      <c r="I63" t="s">
        <v>2419</v>
      </c>
    </row>
    <row r="64" spans="7:9">
      <c r="G64" t="s">
        <v>2333</v>
      </c>
      <c r="H64" t="s">
        <v>2338</v>
      </c>
      <c r="I64" t="s">
        <v>2420</v>
      </c>
    </row>
    <row r="65" spans="7:9">
      <c r="G65" t="s">
        <v>2333</v>
      </c>
      <c r="H65" t="s">
        <v>2340</v>
      </c>
      <c r="I65" t="s">
        <v>2421</v>
      </c>
    </row>
  </sheetData>
  <sortState xmlns:xlrd2="http://schemas.microsoft.com/office/spreadsheetml/2017/richdata2" ref="K3:M18">
    <sortCondition descending="1" ref="K3:K18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9E5B-FCB5-4722-A6D2-B1EDE63007D6}">
  <dimension ref="A1:K1321"/>
  <sheetViews>
    <sheetView showGridLines="0" zoomScale="85" zoomScaleNormal="85" workbookViewId="0">
      <selection activeCell="N39" sqref="N39"/>
    </sheetView>
  </sheetViews>
  <sheetFormatPr defaultColWidth="9" defaultRowHeight="13.8"/>
  <cols>
    <col min="1" max="2" width="13.69921875" style="5" customWidth="1"/>
    <col min="3" max="5" width="22" style="5" customWidth="1"/>
    <col min="6" max="6" width="82.5" style="36" customWidth="1"/>
    <col min="7" max="7" width="19.59765625" style="5" customWidth="1"/>
    <col min="8" max="8" width="21.59765625" style="5" customWidth="1"/>
    <col min="9" max="9" width="13.69921875" style="5" customWidth="1"/>
    <col min="10" max="10" width="6.19921875" style="1" customWidth="1"/>
    <col min="11" max="11" width="49.69921875" style="1" customWidth="1"/>
    <col min="12" max="16384" width="9" style="1"/>
  </cols>
  <sheetData>
    <row r="1" spans="1:11" ht="27.6">
      <c r="A1" s="311" t="s">
        <v>3807</v>
      </c>
      <c r="B1" s="311" t="s">
        <v>3808</v>
      </c>
      <c r="C1" s="311" t="s">
        <v>3809</v>
      </c>
      <c r="D1" s="311" t="s">
        <v>3810</v>
      </c>
      <c r="E1" s="311" t="s">
        <v>3811</v>
      </c>
      <c r="F1" s="312" t="s">
        <v>3812</v>
      </c>
      <c r="G1" s="311" t="s">
        <v>3813</v>
      </c>
      <c r="H1" s="311" t="s">
        <v>3814</v>
      </c>
      <c r="I1" s="311" t="s">
        <v>3815</v>
      </c>
      <c r="K1" s="35" t="s">
        <v>3816</v>
      </c>
    </row>
    <row r="2" spans="1:11">
      <c r="A2" s="313" t="s">
        <v>261</v>
      </c>
      <c r="B2" s="313" t="s">
        <v>711</v>
      </c>
      <c r="C2" s="313" t="s">
        <v>3817</v>
      </c>
      <c r="D2" s="313" t="s">
        <v>3817</v>
      </c>
      <c r="E2" s="313" t="s">
        <v>3818</v>
      </c>
      <c r="F2" s="314" t="s">
        <v>3819</v>
      </c>
      <c r="G2" s="313">
        <v>1200</v>
      </c>
      <c r="H2" s="313">
        <v>3000</v>
      </c>
      <c r="I2" s="313">
        <v>2023.02</v>
      </c>
    </row>
    <row r="3" spans="1:11">
      <c r="A3" s="313" t="s">
        <v>261</v>
      </c>
      <c r="B3" s="313" t="s">
        <v>711</v>
      </c>
      <c r="C3" s="313" t="s">
        <v>3817</v>
      </c>
      <c r="D3" s="313" t="s">
        <v>2659</v>
      </c>
      <c r="E3" s="313" t="s">
        <v>3820</v>
      </c>
      <c r="F3" s="314" t="s">
        <v>3821</v>
      </c>
      <c r="G3" s="313">
        <v>240</v>
      </c>
      <c r="H3" s="313">
        <v>240</v>
      </c>
      <c r="I3" s="313">
        <v>2023.02</v>
      </c>
    </row>
    <row r="4" spans="1:11">
      <c r="A4" s="313" t="s">
        <v>261</v>
      </c>
      <c r="B4" s="313" t="s">
        <v>711</v>
      </c>
      <c r="C4" s="313" t="s">
        <v>3822</v>
      </c>
      <c r="D4" s="313" t="s">
        <v>3822</v>
      </c>
      <c r="E4" s="313" t="s">
        <v>3820</v>
      </c>
      <c r="F4" s="314" t="s">
        <v>3823</v>
      </c>
      <c r="G4" s="313">
        <v>240</v>
      </c>
      <c r="H4" s="313">
        <v>240</v>
      </c>
      <c r="I4" s="313">
        <v>2023.02</v>
      </c>
    </row>
    <row r="5" spans="1:11">
      <c r="A5" s="313" t="s">
        <v>261</v>
      </c>
      <c r="B5" s="313" t="s">
        <v>711</v>
      </c>
      <c r="C5" s="313" t="s">
        <v>3824</v>
      </c>
      <c r="D5" s="313" t="s">
        <v>3824</v>
      </c>
      <c r="E5" s="313" t="s">
        <v>3820</v>
      </c>
      <c r="F5" s="314" t="s">
        <v>3825</v>
      </c>
      <c r="G5" s="313">
        <v>240</v>
      </c>
      <c r="H5" s="313">
        <v>240</v>
      </c>
      <c r="I5" s="313">
        <v>2023.02</v>
      </c>
    </row>
    <row r="6" spans="1:11">
      <c r="A6" s="313" t="s">
        <v>261</v>
      </c>
      <c r="B6" s="313" t="s">
        <v>711</v>
      </c>
      <c r="C6" s="313" t="s">
        <v>3824</v>
      </c>
      <c r="D6" s="313" t="s">
        <v>3824</v>
      </c>
      <c r="E6" s="313" t="s">
        <v>3818</v>
      </c>
      <c r="F6" s="314" t="s">
        <v>3826</v>
      </c>
      <c r="G6" s="313">
        <v>830</v>
      </c>
      <c r="H6" s="313">
        <v>2182</v>
      </c>
      <c r="I6" s="313">
        <v>2023.02</v>
      </c>
    </row>
    <row r="7" spans="1:11">
      <c r="A7" s="313" t="s">
        <v>261</v>
      </c>
      <c r="B7" s="313" t="s">
        <v>711</v>
      </c>
      <c r="C7" s="313" t="s">
        <v>3827</v>
      </c>
      <c r="D7" s="313" t="s">
        <v>3828</v>
      </c>
      <c r="E7" s="313" t="s">
        <v>3818</v>
      </c>
      <c r="F7" s="314" t="s">
        <v>3829</v>
      </c>
      <c r="G7" s="313">
        <v>600</v>
      </c>
      <c r="H7" s="313">
        <v>3000</v>
      </c>
      <c r="I7" s="313">
        <v>2023.02</v>
      </c>
    </row>
    <row r="8" spans="1:11">
      <c r="A8" s="313" t="s">
        <v>261</v>
      </c>
      <c r="B8" s="313" t="s">
        <v>711</v>
      </c>
      <c r="C8" s="313" t="s">
        <v>3830</v>
      </c>
      <c r="D8" s="313" t="s">
        <v>3830</v>
      </c>
      <c r="E8" s="313" t="s">
        <v>3820</v>
      </c>
      <c r="F8" s="314" t="s">
        <v>3831</v>
      </c>
      <c r="G8" s="313">
        <v>240</v>
      </c>
      <c r="H8" s="313">
        <v>240</v>
      </c>
      <c r="I8" s="313">
        <v>2023.02</v>
      </c>
    </row>
    <row r="9" spans="1:11">
      <c r="A9" s="313" t="s">
        <v>261</v>
      </c>
      <c r="B9" s="313" t="s">
        <v>711</v>
      </c>
      <c r="C9" s="313" t="s">
        <v>2397</v>
      </c>
      <c r="D9" s="313" t="s">
        <v>2397</v>
      </c>
      <c r="E9" s="313" t="s">
        <v>3818</v>
      </c>
      <c r="F9" s="314" t="s">
        <v>3832</v>
      </c>
      <c r="G9" s="313">
        <v>830</v>
      </c>
      <c r="H9" s="313">
        <v>2182</v>
      </c>
      <c r="I9" s="313">
        <v>2023.02</v>
      </c>
    </row>
    <row r="10" spans="1:11">
      <c r="A10" s="313" t="s">
        <v>261</v>
      </c>
      <c r="B10" s="313" t="s">
        <v>711</v>
      </c>
      <c r="C10" s="313" t="s">
        <v>3833</v>
      </c>
      <c r="D10" s="313" t="s">
        <v>3833</v>
      </c>
      <c r="E10" s="313" t="s">
        <v>3834</v>
      </c>
      <c r="F10" s="314" t="s">
        <v>3835</v>
      </c>
      <c r="G10" s="313">
        <v>160</v>
      </c>
      <c r="H10" s="313">
        <v>160</v>
      </c>
      <c r="I10" s="313">
        <v>2023.02</v>
      </c>
    </row>
    <row r="11" spans="1:11">
      <c r="A11" s="313" t="s">
        <v>261</v>
      </c>
      <c r="B11" s="313" t="s">
        <v>711</v>
      </c>
      <c r="C11" s="313" t="s">
        <v>3836</v>
      </c>
      <c r="D11" s="313" t="s">
        <v>3836</v>
      </c>
      <c r="E11" s="313" t="s">
        <v>3834</v>
      </c>
      <c r="F11" s="314" t="s">
        <v>3837</v>
      </c>
      <c r="G11" s="313">
        <v>240</v>
      </c>
      <c r="H11" s="313">
        <v>240</v>
      </c>
      <c r="I11" s="313">
        <v>2023.02</v>
      </c>
    </row>
    <row r="12" spans="1:11">
      <c r="A12" s="313" t="s">
        <v>261</v>
      </c>
      <c r="B12" s="313" t="s">
        <v>711</v>
      </c>
      <c r="C12" s="313" t="s">
        <v>3838</v>
      </c>
      <c r="D12" s="313" t="s">
        <v>3838</v>
      </c>
      <c r="E12" s="313" t="s">
        <v>3834</v>
      </c>
      <c r="F12" s="314" t="s">
        <v>3839</v>
      </c>
      <c r="G12" s="313">
        <v>1200</v>
      </c>
      <c r="H12" s="313">
        <v>3000</v>
      </c>
      <c r="I12" s="313">
        <v>2023.02</v>
      </c>
    </row>
    <row r="13" spans="1:11">
      <c r="A13" s="313" t="s">
        <v>261</v>
      </c>
      <c r="B13" s="313" t="s">
        <v>711</v>
      </c>
      <c r="C13" s="313" t="s">
        <v>3840</v>
      </c>
      <c r="D13" s="313" t="s">
        <v>3840</v>
      </c>
      <c r="E13" s="313" t="s">
        <v>3818</v>
      </c>
      <c r="F13" s="314" t="s">
        <v>3841</v>
      </c>
      <c r="G13" s="313">
        <v>830</v>
      </c>
      <c r="H13" s="313">
        <v>2182</v>
      </c>
      <c r="I13" s="313">
        <v>2023.02</v>
      </c>
    </row>
    <row r="14" spans="1:11">
      <c r="A14" s="313" t="s">
        <v>261</v>
      </c>
      <c r="B14" s="313" t="s">
        <v>711</v>
      </c>
      <c r="C14" s="313" t="s">
        <v>3842</v>
      </c>
      <c r="D14" s="313" t="s">
        <v>3842</v>
      </c>
      <c r="E14" s="313" t="s">
        <v>3820</v>
      </c>
      <c r="F14" s="314" t="s">
        <v>3843</v>
      </c>
      <c r="G14" s="313">
        <v>240</v>
      </c>
      <c r="H14" s="313">
        <v>240</v>
      </c>
      <c r="I14" s="313">
        <v>2023.02</v>
      </c>
    </row>
    <row r="15" spans="1:11">
      <c r="A15" s="313" t="s">
        <v>261</v>
      </c>
      <c r="B15" s="313" t="s">
        <v>3844</v>
      </c>
      <c r="C15" s="313" t="s">
        <v>3845</v>
      </c>
      <c r="D15" s="313" t="s">
        <v>3846</v>
      </c>
      <c r="E15" s="313" t="s">
        <v>3834</v>
      </c>
      <c r="F15" s="314" t="s">
        <v>3847</v>
      </c>
      <c r="G15" s="313">
        <v>426</v>
      </c>
      <c r="H15" s="313">
        <v>1002</v>
      </c>
      <c r="I15" s="313">
        <v>2023.02</v>
      </c>
    </row>
    <row r="16" spans="1:11">
      <c r="A16" s="313" t="s">
        <v>261</v>
      </c>
      <c r="B16" s="313" t="s">
        <v>3844</v>
      </c>
      <c r="C16" s="313" t="s">
        <v>3846</v>
      </c>
      <c r="D16" s="313" t="s">
        <v>3846</v>
      </c>
      <c r="E16" s="313" t="s">
        <v>3820</v>
      </c>
      <c r="F16" s="314" t="s">
        <v>3847</v>
      </c>
      <c r="G16" s="313">
        <v>211</v>
      </c>
      <c r="H16" s="313">
        <v>264</v>
      </c>
      <c r="I16" s="313">
        <v>2023.02</v>
      </c>
    </row>
    <row r="17" spans="1:9">
      <c r="A17" s="313" t="s">
        <v>261</v>
      </c>
      <c r="B17" s="313" t="s">
        <v>3844</v>
      </c>
      <c r="C17" s="313" t="s">
        <v>3846</v>
      </c>
      <c r="D17" s="313" t="s">
        <v>3846</v>
      </c>
      <c r="E17" s="313" t="s">
        <v>3848</v>
      </c>
      <c r="F17" s="314" t="s">
        <v>3847</v>
      </c>
      <c r="G17" s="313">
        <v>900</v>
      </c>
      <c r="H17" s="313">
        <v>1200</v>
      </c>
      <c r="I17" s="313">
        <v>2023.02</v>
      </c>
    </row>
    <row r="18" spans="1:9">
      <c r="A18" s="313" t="s">
        <v>261</v>
      </c>
      <c r="B18" s="313" t="s">
        <v>3844</v>
      </c>
      <c r="C18" s="313" t="s">
        <v>3846</v>
      </c>
      <c r="D18" s="313" t="s">
        <v>3846</v>
      </c>
      <c r="E18" s="313" t="s">
        <v>3849</v>
      </c>
      <c r="F18" s="314" t="s">
        <v>3847</v>
      </c>
      <c r="G18" s="313">
        <v>370</v>
      </c>
      <c r="H18" s="313">
        <v>1002</v>
      </c>
      <c r="I18" s="313">
        <v>2023.02</v>
      </c>
    </row>
    <row r="19" spans="1:9">
      <c r="A19" s="313" t="s">
        <v>261</v>
      </c>
      <c r="B19" s="313" t="s">
        <v>3844</v>
      </c>
      <c r="C19" s="313" t="s">
        <v>3846</v>
      </c>
      <c r="D19" s="313" t="s">
        <v>3846</v>
      </c>
      <c r="E19" s="313" t="s">
        <v>3834</v>
      </c>
      <c r="F19" s="314" t="s">
        <v>3847</v>
      </c>
      <c r="G19" s="313">
        <v>900</v>
      </c>
      <c r="H19" s="313">
        <v>1200</v>
      </c>
      <c r="I19" s="313">
        <v>2023.02</v>
      </c>
    </row>
    <row r="20" spans="1:9">
      <c r="A20" s="313" t="s">
        <v>261</v>
      </c>
      <c r="B20" s="313" t="s">
        <v>3844</v>
      </c>
      <c r="C20" s="313" t="s">
        <v>3846</v>
      </c>
      <c r="D20" s="313" t="s">
        <v>3850</v>
      </c>
      <c r="E20" s="313" t="s">
        <v>3849</v>
      </c>
      <c r="F20" s="314" t="s">
        <v>3851</v>
      </c>
      <c r="G20" s="313">
        <v>370</v>
      </c>
      <c r="H20" s="313">
        <v>1002</v>
      </c>
      <c r="I20" s="313">
        <v>2023.02</v>
      </c>
    </row>
    <row r="21" spans="1:9">
      <c r="A21" s="313" t="s">
        <v>261</v>
      </c>
      <c r="B21" s="313" t="s">
        <v>3844</v>
      </c>
      <c r="C21" s="313" t="s">
        <v>3846</v>
      </c>
      <c r="D21" s="313" t="s">
        <v>3850</v>
      </c>
      <c r="E21" s="313" t="s">
        <v>3834</v>
      </c>
      <c r="F21" s="314" t="s">
        <v>3851</v>
      </c>
      <c r="G21" s="313">
        <v>900</v>
      </c>
      <c r="H21" s="313">
        <v>1200</v>
      </c>
      <c r="I21" s="313">
        <v>2023.02</v>
      </c>
    </row>
    <row r="22" spans="1:9">
      <c r="A22" s="313" t="s">
        <v>261</v>
      </c>
      <c r="B22" s="313" t="s">
        <v>3844</v>
      </c>
      <c r="C22" s="313" t="s">
        <v>3846</v>
      </c>
      <c r="D22" s="313" t="s">
        <v>3852</v>
      </c>
      <c r="E22" s="313" t="s">
        <v>3849</v>
      </c>
      <c r="F22" s="314" t="s">
        <v>3853</v>
      </c>
      <c r="G22" s="313">
        <v>402</v>
      </c>
      <c r="H22" s="313">
        <v>1002</v>
      </c>
      <c r="I22" s="313">
        <v>2023.02</v>
      </c>
    </row>
    <row r="23" spans="1:9">
      <c r="A23" s="313" t="s">
        <v>261</v>
      </c>
      <c r="B23" s="313" t="s">
        <v>3844</v>
      </c>
      <c r="C23" s="313" t="s">
        <v>3846</v>
      </c>
      <c r="D23" s="313" t="s">
        <v>3852</v>
      </c>
      <c r="E23" s="313" t="s">
        <v>3834</v>
      </c>
      <c r="F23" s="314" t="s">
        <v>3853</v>
      </c>
      <c r="G23" s="313">
        <v>405</v>
      </c>
      <c r="H23" s="313">
        <v>1002</v>
      </c>
      <c r="I23" s="313">
        <v>2023.02</v>
      </c>
    </row>
    <row r="24" spans="1:9">
      <c r="A24" s="313" t="s">
        <v>261</v>
      </c>
      <c r="B24" s="313" t="s">
        <v>3844</v>
      </c>
      <c r="C24" s="313" t="s">
        <v>3836</v>
      </c>
      <c r="D24" s="313" t="s">
        <v>3836</v>
      </c>
      <c r="E24" s="313" t="s">
        <v>3854</v>
      </c>
      <c r="F24" s="314" t="s">
        <v>3855</v>
      </c>
      <c r="G24" s="313">
        <v>62</v>
      </c>
      <c r="H24" s="313">
        <v>78</v>
      </c>
      <c r="I24" s="313">
        <v>2023.02</v>
      </c>
    </row>
    <row r="25" spans="1:9">
      <c r="A25" s="313" t="s">
        <v>261</v>
      </c>
      <c r="B25" s="313" t="s">
        <v>3844</v>
      </c>
      <c r="C25" s="313" t="s">
        <v>3836</v>
      </c>
      <c r="D25" s="313" t="s">
        <v>3836</v>
      </c>
      <c r="E25" s="313" t="s">
        <v>3820</v>
      </c>
      <c r="F25" s="314" t="s">
        <v>3855</v>
      </c>
      <c r="G25" s="313">
        <v>264</v>
      </c>
      <c r="H25" s="313">
        <v>264</v>
      </c>
      <c r="I25" s="313">
        <v>2023.02</v>
      </c>
    </row>
    <row r="26" spans="1:9">
      <c r="A26" s="313" t="s">
        <v>261</v>
      </c>
      <c r="B26" s="313" t="s">
        <v>3844</v>
      </c>
      <c r="C26" s="313" t="s">
        <v>3836</v>
      </c>
      <c r="D26" s="313" t="s">
        <v>3836</v>
      </c>
      <c r="E26" s="313" t="s">
        <v>3848</v>
      </c>
      <c r="F26" s="314" t="s">
        <v>3855</v>
      </c>
      <c r="G26" s="313">
        <v>900</v>
      </c>
      <c r="H26" s="313">
        <v>1200</v>
      </c>
      <c r="I26" s="313">
        <v>2023.02</v>
      </c>
    </row>
    <row r="27" spans="1:9">
      <c r="A27" s="313" t="s">
        <v>261</v>
      </c>
      <c r="B27" s="313" t="s">
        <v>3844</v>
      </c>
      <c r="C27" s="313" t="s">
        <v>3836</v>
      </c>
      <c r="D27" s="313" t="s">
        <v>3836</v>
      </c>
      <c r="E27" s="313" t="s">
        <v>3849</v>
      </c>
      <c r="F27" s="314" t="s">
        <v>3855</v>
      </c>
      <c r="G27" s="313">
        <v>402</v>
      </c>
      <c r="H27" s="313">
        <v>1344</v>
      </c>
      <c r="I27" s="313">
        <v>2023.02</v>
      </c>
    </row>
    <row r="28" spans="1:9">
      <c r="A28" s="313" t="s">
        <v>261</v>
      </c>
      <c r="B28" s="313" t="s">
        <v>3844</v>
      </c>
      <c r="C28" s="313" t="s">
        <v>3836</v>
      </c>
      <c r="D28" s="313" t="s">
        <v>3836</v>
      </c>
      <c r="E28" s="313" t="s">
        <v>3834</v>
      </c>
      <c r="F28" s="314" t="s">
        <v>3855</v>
      </c>
      <c r="G28" s="313">
        <v>900</v>
      </c>
      <c r="H28" s="313">
        <v>1200</v>
      </c>
      <c r="I28" s="313">
        <v>2023.02</v>
      </c>
    </row>
    <row r="29" spans="1:9">
      <c r="A29" s="313" t="s">
        <v>261</v>
      </c>
      <c r="B29" s="313" t="s">
        <v>3844</v>
      </c>
      <c r="C29" s="313" t="s">
        <v>3856</v>
      </c>
      <c r="D29" s="313" t="s">
        <v>3856</v>
      </c>
      <c r="E29" s="313" t="s">
        <v>3849</v>
      </c>
      <c r="F29" s="314" t="s">
        <v>3857</v>
      </c>
      <c r="G29" s="313">
        <v>370</v>
      </c>
      <c r="H29" s="313">
        <v>1002</v>
      </c>
      <c r="I29" s="313">
        <v>2023.02</v>
      </c>
    </row>
    <row r="30" spans="1:9">
      <c r="A30" s="313" t="s">
        <v>261</v>
      </c>
      <c r="B30" s="313" t="s">
        <v>3844</v>
      </c>
      <c r="C30" s="313" t="s">
        <v>3856</v>
      </c>
      <c r="D30" s="313" t="s">
        <v>3856</v>
      </c>
      <c r="E30" s="313" t="s">
        <v>3834</v>
      </c>
      <c r="F30" s="314" t="s">
        <v>3857</v>
      </c>
      <c r="G30" s="313">
        <v>402</v>
      </c>
      <c r="H30" s="313">
        <v>1002</v>
      </c>
      <c r="I30" s="313">
        <v>2023.02</v>
      </c>
    </row>
    <row r="31" spans="1:9">
      <c r="A31" s="313" t="s">
        <v>261</v>
      </c>
      <c r="B31" s="313" t="s">
        <v>3844</v>
      </c>
      <c r="C31" s="313" t="s">
        <v>3858</v>
      </c>
      <c r="D31" s="313" t="s">
        <v>3858</v>
      </c>
      <c r="E31" s="313" t="s">
        <v>3849</v>
      </c>
      <c r="F31" s="314" t="s">
        <v>3859</v>
      </c>
      <c r="G31" s="313">
        <v>370</v>
      </c>
      <c r="H31" s="313">
        <v>1002</v>
      </c>
      <c r="I31" s="313">
        <v>2023.02</v>
      </c>
    </row>
    <row r="32" spans="1:9">
      <c r="A32" s="313" t="s">
        <v>261</v>
      </c>
      <c r="B32" s="313" t="s">
        <v>3844</v>
      </c>
      <c r="C32" s="313" t="s">
        <v>3858</v>
      </c>
      <c r="D32" s="313" t="s">
        <v>3858</v>
      </c>
      <c r="E32" s="313" t="s">
        <v>3834</v>
      </c>
      <c r="F32" s="314" t="s">
        <v>3859</v>
      </c>
      <c r="G32" s="313">
        <v>600</v>
      </c>
      <c r="H32" s="313">
        <v>800</v>
      </c>
      <c r="I32" s="313">
        <v>2023.02</v>
      </c>
    </row>
    <row r="33" spans="1:9">
      <c r="A33" s="313" t="s">
        <v>261</v>
      </c>
      <c r="B33" s="313" t="s">
        <v>3844</v>
      </c>
      <c r="C33" s="313" t="s">
        <v>3860</v>
      </c>
      <c r="D33" s="313" t="s">
        <v>2397</v>
      </c>
      <c r="E33" s="313" t="s">
        <v>3849</v>
      </c>
      <c r="F33" s="314" t="s">
        <v>3861</v>
      </c>
      <c r="G33" s="313">
        <v>402</v>
      </c>
      <c r="H33" s="313">
        <v>1002</v>
      </c>
      <c r="I33" s="313">
        <v>2023.02</v>
      </c>
    </row>
    <row r="34" spans="1:9">
      <c r="A34" s="313" t="s">
        <v>261</v>
      </c>
      <c r="B34" s="313" t="s">
        <v>3844</v>
      </c>
      <c r="C34" s="313" t="s">
        <v>3860</v>
      </c>
      <c r="D34" s="313" t="s">
        <v>2397</v>
      </c>
      <c r="E34" s="313" t="s">
        <v>3834</v>
      </c>
      <c r="F34" s="314" t="s">
        <v>3861</v>
      </c>
      <c r="G34" s="313">
        <v>451</v>
      </c>
      <c r="H34" s="313">
        <v>1002</v>
      </c>
      <c r="I34" s="313">
        <v>2023.02</v>
      </c>
    </row>
    <row r="35" spans="1:9">
      <c r="A35" s="313" t="s">
        <v>261</v>
      </c>
      <c r="B35" s="313" t="s">
        <v>3844</v>
      </c>
      <c r="C35" s="313" t="s">
        <v>3860</v>
      </c>
      <c r="D35" s="313" t="s">
        <v>3860</v>
      </c>
      <c r="E35" s="313" t="s">
        <v>3820</v>
      </c>
      <c r="F35" s="314" t="s">
        <v>3862</v>
      </c>
      <c r="G35" s="313">
        <v>216</v>
      </c>
      <c r="H35" s="313">
        <v>264</v>
      </c>
      <c r="I35" s="313">
        <v>2023.02</v>
      </c>
    </row>
    <row r="36" spans="1:9">
      <c r="A36" s="313" t="s">
        <v>261</v>
      </c>
      <c r="B36" s="313" t="s">
        <v>3844</v>
      </c>
      <c r="C36" s="313" t="s">
        <v>3860</v>
      </c>
      <c r="D36" s="313" t="s">
        <v>3860</v>
      </c>
      <c r="E36" s="313" t="s">
        <v>3848</v>
      </c>
      <c r="F36" s="314" t="s">
        <v>3862</v>
      </c>
      <c r="G36" s="313">
        <v>587</v>
      </c>
      <c r="H36" s="313">
        <v>786</v>
      </c>
      <c r="I36" s="313">
        <v>2023.02</v>
      </c>
    </row>
    <row r="37" spans="1:9">
      <c r="A37" s="313" t="s">
        <v>261</v>
      </c>
      <c r="B37" s="313" t="s">
        <v>3844</v>
      </c>
      <c r="C37" s="313" t="s">
        <v>3860</v>
      </c>
      <c r="D37" s="313" t="s">
        <v>3860</v>
      </c>
      <c r="E37" s="313" t="s">
        <v>3849</v>
      </c>
      <c r="F37" s="314" t="s">
        <v>3862</v>
      </c>
      <c r="G37" s="313">
        <v>394</v>
      </c>
      <c r="H37" s="313">
        <v>1002</v>
      </c>
      <c r="I37" s="313">
        <v>2023.02</v>
      </c>
    </row>
    <row r="38" spans="1:9">
      <c r="A38" s="313" t="s">
        <v>261</v>
      </c>
      <c r="B38" s="313" t="s">
        <v>3844</v>
      </c>
      <c r="C38" s="313" t="s">
        <v>3860</v>
      </c>
      <c r="D38" s="313" t="s">
        <v>3860</v>
      </c>
      <c r="E38" s="313" t="s">
        <v>3834</v>
      </c>
      <c r="F38" s="314" t="s">
        <v>3862</v>
      </c>
      <c r="G38" s="313">
        <v>481</v>
      </c>
      <c r="H38" s="313">
        <v>1002</v>
      </c>
      <c r="I38" s="313">
        <v>2023.02</v>
      </c>
    </row>
    <row r="39" spans="1:9">
      <c r="A39" s="313" t="s">
        <v>261</v>
      </c>
      <c r="B39" s="313" t="s">
        <v>3844</v>
      </c>
      <c r="C39" s="313" t="s">
        <v>2405</v>
      </c>
      <c r="D39" s="313" t="s">
        <v>2405</v>
      </c>
      <c r="E39" s="313" t="s">
        <v>3849</v>
      </c>
      <c r="F39" s="314" t="s">
        <v>3863</v>
      </c>
      <c r="G39" s="313">
        <v>370</v>
      </c>
      <c r="H39" s="313">
        <v>1002</v>
      </c>
      <c r="I39" s="313">
        <v>2023.02</v>
      </c>
    </row>
    <row r="40" spans="1:9">
      <c r="A40" s="313" t="s">
        <v>261</v>
      </c>
      <c r="B40" s="313" t="s">
        <v>3844</v>
      </c>
      <c r="C40" s="313" t="s">
        <v>2405</v>
      </c>
      <c r="D40" s="313" t="s">
        <v>2405</v>
      </c>
      <c r="E40" s="313" t="s">
        <v>3834</v>
      </c>
      <c r="F40" s="314" t="s">
        <v>3863</v>
      </c>
      <c r="G40" s="313">
        <v>405</v>
      </c>
      <c r="H40" s="313">
        <v>1002</v>
      </c>
      <c r="I40" s="313">
        <v>2023.02</v>
      </c>
    </row>
    <row r="41" spans="1:9">
      <c r="A41" s="313" t="s">
        <v>261</v>
      </c>
      <c r="B41" s="313" t="s">
        <v>3844</v>
      </c>
      <c r="C41" s="313" t="s">
        <v>2406</v>
      </c>
      <c r="D41" s="313" t="s">
        <v>2406</v>
      </c>
      <c r="E41" s="313" t="s">
        <v>3849</v>
      </c>
      <c r="F41" s="314" t="s">
        <v>3864</v>
      </c>
      <c r="G41" s="313">
        <v>370</v>
      </c>
      <c r="H41" s="313">
        <v>1002</v>
      </c>
      <c r="I41" s="313">
        <v>2023.02</v>
      </c>
    </row>
    <row r="42" spans="1:9">
      <c r="A42" s="313" t="s">
        <v>261</v>
      </c>
      <c r="B42" s="313" t="s">
        <v>3844</v>
      </c>
      <c r="C42" s="313" t="s">
        <v>2406</v>
      </c>
      <c r="D42" s="313" t="s">
        <v>2406</v>
      </c>
      <c r="E42" s="313" t="s">
        <v>3834</v>
      </c>
      <c r="F42" s="314" t="s">
        <v>3864</v>
      </c>
      <c r="G42" s="313">
        <v>402</v>
      </c>
      <c r="H42" s="313">
        <v>1002</v>
      </c>
      <c r="I42" s="313">
        <v>2023.02</v>
      </c>
    </row>
    <row r="43" spans="1:9">
      <c r="A43" s="313" t="s">
        <v>261</v>
      </c>
      <c r="B43" s="313" t="s">
        <v>3865</v>
      </c>
      <c r="C43" s="313" t="s">
        <v>3866</v>
      </c>
      <c r="D43" s="313" t="s">
        <v>3866</v>
      </c>
      <c r="E43" s="313" t="s">
        <v>3820</v>
      </c>
      <c r="F43" s="314" t="s">
        <v>3867</v>
      </c>
      <c r="G43" s="313">
        <v>216</v>
      </c>
      <c r="H43" s="313">
        <v>264</v>
      </c>
      <c r="I43" s="313">
        <v>2023.02</v>
      </c>
    </row>
    <row r="44" spans="1:9">
      <c r="A44" s="313" t="s">
        <v>261</v>
      </c>
      <c r="B44" s="313" t="s">
        <v>3865</v>
      </c>
      <c r="C44" s="313" t="s">
        <v>3866</v>
      </c>
      <c r="D44" s="313" t="s">
        <v>3866</v>
      </c>
      <c r="E44" s="313" t="s">
        <v>3848</v>
      </c>
      <c r="F44" s="314" t="s">
        <v>3867</v>
      </c>
      <c r="G44" s="313">
        <v>900</v>
      </c>
      <c r="H44" s="313">
        <v>1200</v>
      </c>
      <c r="I44" s="313">
        <v>2023.02</v>
      </c>
    </row>
    <row r="45" spans="1:9">
      <c r="A45" s="313" t="s">
        <v>261</v>
      </c>
      <c r="B45" s="313" t="s">
        <v>3865</v>
      </c>
      <c r="C45" s="313" t="s">
        <v>3866</v>
      </c>
      <c r="D45" s="313" t="s">
        <v>3866</v>
      </c>
      <c r="E45" s="313" t="s">
        <v>3849</v>
      </c>
      <c r="F45" s="314" t="s">
        <v>3867</v>
      </c>
      <c r="G45" s="313">
        <v>371</v>
      </c>
      <c r="H45" s="313">
        <v>910</v>
      </c>
      <c r="I45" s="313">
        <v>2023.02</v>
      </c>
    </row>
    <row r="46" spans="1:9">
      <c r="A46" s="313" t="s">
        <v>261</v>
      </c>
      <c r="B46" s="313" t="s">
        <v>3865</v>
      </c>
      <c r="C46" s="313" t="s">
        <v>3866</v>
      </c>
      <c r="D46" s="313" t="s">
        <v>3866</v>
      </c>
      <c r="E46" s="313" t="s">
        <v>3834</v>
      </c>
      <c r="F46" s="314" t="s">
        <v>3867</v>
      </c>
      <c r="G46" s="313">
        <v>400</v>
      </c>
      <c r="H46" s="313">
        <v>910</v>
      </c>
      <c r="I46" s="313">
        <v>2023.02</v>
      </c>
    </row>
    <row r="47" spans="1:9">
      <c r="A47" s="313" t="s">
        <v>261</v>
      </c>
      <c r="B47" s="313" t="s">
        <v>3865</v>
      </c>
      <c r="C47" s="313" t="s">
        <v>3866</v>
      </c>
      <c r="D47" s="313" t="s">
        <v>2659</v>
      </c>
      <c r="E47" s="313" t="s">
        <v>3849</v>
      </c>
      <c r="F47" s="314" t="s">
        <v>3868</v>
      </c>
      <c r="G47" s="313">
        <v>354</v>
      </c>
      <c r="H47" s="313">
        <v>910</v>
      </c>
      <c r="I47" s="313">
        <v>2023.02</v>
      </c>
    </row>
    <row r="48" spans="1:9">
      <c r="A48" s="313" t="s">
        <v>261</v>
      </c>
      <c r="B48" s="313" t="s">
        <v>3865</v>
      </c>
      <c r="C48" s="313" t="s">
        <v>3866</v>
      </c>
      <c r="D48" s="313" t="s">
        <v>2659</v>
      </c>
      <c r="E48" s="313" t="s">
        <v>3834</v>
      </c>
      <c r="F48" s="314" t="s">
        <v>3868</v>
      </c>
      <c r="G48" s="313">
        <v>371</v>
      </c>
      <c r="H48" s="313">
        <v>910</v>
      </c>
      <c r="I48" s="313">
        <v>2023.02</v>
      </c>
    </row>
    <row r="49" spans="1:9">
      <c r="A49" s="313" t="s">
        <v>261</v>
      </c>
      <c r="B49" s="313" t="s">
        <v>3865</v>
      </c>
      <c r="C49" s="313" t="s">
        <v>3866</v>
      </c>
      <c r="D49" s="313" t="s">
        <v>3869</v>
      </c>
      <c r="E49" s="313" t="s">
        <v>3834</v>
      </c>
      <c r="F49" s="314" t="s">
        <v>3870</v>
      </c>
      <c r="G49" s="313">
        <v>403</v>
      </c>
      <c r="H49" s="313">
        <v>910</v>
      </c>
      <c r="I49" s="313">
        <v>2023.02</v>
      </c>
    </row>
    <row r="50" spans="1:9">
      <c r="A50" s="313" t="s">
        <v>261</v>
      </c>
      <c r="B50" s="313" t="s">
        <v>3865</v>
      </c>
      <c r="C50" s="313" t="s">
        <v>3871</v>
      </c>
      <c r="D50" s="313" t="s">
        <v>3871</v>
      </c>
      <c r="E50" s="313" t="s">
        <v>3820</v>
      </c>
      <c r="F50" s="314" t="s">
        <v>3872</v>
      </c>
      <c r="G50" s="313">
        <v>216</v>
      </c>
      <c r="H50" s="313">
        <v>264</v>
      </c>
      <c r="I50" s="313">
        <v>2023.02</v>
      </c>
    </row>
    <row r="51" spans="1:9">
      <c r="A51" s="313" t="s">
        <v>261</v>
      </c>
      <c r="B51" s="313" t="s">
        <v>3865</v>
      </c>
      <c r="C51" s="313" t="s">
        <v>3871</v>
      </c>
      <c r="D51" s="313" t="s">
        <v>3873</v>
      </c>
      <c r="E51" s="313" t="s">
        <v>3848</v>
      </c>
      <c r="F51" s="314" t="s">
        <v>3872</v>
      </c>
      <c r="G51" s="313">
        <v>900</v>
      </c>
      <c r="H51" s="313">
        <v>1200</v>
      </c>
      <c r="I51" s="313">
        <v>2023.02</v>
      </c>
    </row>
    <row r="52" spans="1:9">
      <c r="A52" s="313" t="s">
        <v>261</v>
      </c>
      <c r="B52" s="313" t="s">
        <v>3865</v>
      </c>
      <c r="C52" s="313" t="s">
        <v>3871</v>
      </c>
      <c r="D52" s="313" t="s">
        <v>3871</v>
      </c>
      <c r="E52" s="313" t="s">
        <v>3849</v>
      </c>
      <c r="F52" s="314" t="s">
        <v>3872</v>
      </c>
      <c r="G52" s="313">
        <v>368</v>
      </c>
      <c r="H52" s="313">
        <v>910</v>
      </c>
      <c r="I52" s="313">
        <v>2023.02</v>
      </c>
    </row>
    <row r="53" spans="1:9">
      <c r="A53" s="313" t="s">
        <v>261</v>
      </c>
      <c r="B53" s="313" t="s">
        <v>3865</v>
      </c>
      <c r="C53" s="313" t="s">
        <v>3871</v>
      </c>
      <c r="D53" s="313" t="s">
        <v>3871</v>
      </c>
      <c r="E53" s="313" t="s">
        <v>3834</v>
      </c>
      <c r="F53" s="314" t="s">
        <v>3872</v>
      </c>
      <c r="G53" s="313">
        <v>400</v>
      </c>
      <c r="H53" s="313">
        <v>910</v>
      </c>
      <c r="I53" s="313">
        <v>2023.02</v>
      </c>
    </row>
    <row r="54" spans="1:9">
      <c r="A54" s="313" t="s">
        <v>261</v>
      </c>
      <c r="B54" s="313" t="s">
        <v>3865</v>
      </c>
      <c r="C54" s="313" t="s">
        <v>3836</v>
      </c>
      <c r="D54" s="313" t="s">
        <v>3836</v>
      </c>
      <c r="E54" s="313" t="s">
        <v>3854</v>
      </c>
      <c r="F54" s="314" t="s">
        <v>440</v>
      </c>
      <c r="G54" s="313">
        <v>62</v>
      </c>
      <c r="H54" s="313">
        <v>154</v>
      </c>
      <c r="I54" s="313">
        <v>2023.02</v>
      </c>
    </row>
    <row r="55" spans="1:9">
      <c r="A55" s="313" t="s">
        <v>261</v>
      </c>
      <c r="B55" s="313" t="s">
        <v>3865</v>
      </c>
      <c r="C55" s="313" t="s">
        <v>3836</v>
      </c>
      <c r="D55" s="313" t="s">
        <v>3836</v>
      </c>
      <c r="E55" s="313" t="s">
        <v>3820</v>
      </c>
      <c r="F55" s="314" t="s">
        <v>440</v>
      </c>
      <c r="G55" s="313">
        <v>216</v>
      </c>
      <c r="H55" s="313">
        <v>264</v>
      </c>
      <c r="I55" s="313">
        <v>2023.02</v>
      </c>
    </row>
    <row r="56" spans="1:9">
      <c r="A56" s="313" t="s">
        <v>261</v>
      </c>
      <c r="B56" s="313" t="s">
        <v>3865</v>
      </c>
      <c r="C56" s="313" t="s">
        <v>3836</v>
      </c>
      <c r="D56" s="313" t="s">
        <v>3836</v>
      </c>
      <c r="E56" s="313" t="s">
        <v>3848</v>
      </c>
      <c r="F56" s="314" t="s">
        <v>440</v>
      </c>
      <c r="G56" s="313">
        <v>900</v>
      </c>
      <c r="H56" s="313">
        <v>1200</v>
      </c>
      <c r="I56" s="313">
        <v>2023.02</v>
      </c>
    </row>
    <row r="57" spans="1:9">
      <c r="A57" s="313" t="s">
        <v>261</v>
      </c>
      <c r="B57" s="313" t="s">
        <v>3865</v>
      </c>
      <c r="C57" s="313" t="s">
        <v>3836</v>
      </c>
      <c r="D57" s="313" t="s">
        <v>3836</v>
      </c>
      <c r="E57" s="313" t="s">
        <v>3849</v>
      </c>
      <c r="F57" s="314" t="s">
        <v>440</v>
      </c>
      <c r="G57" s="313">
        <v>419</v>
      </c>
      <c r="H57" s="313">
        <v>1221</v>
      </c>
      <c r="I57" s="313">
        <v>2023.02</v>
      </c>
    </row>
    <row r="58" spans="1:9">
      <c r="A58" s="313" t="s">
        <v>261</v>
      </c>
      <c r="B58" s="313" t="s">
        <v>3865</v>
      </c>
      <c r="C58" s="313" t="s">
        <v>3836</v>
      </c>
      <c r="D58" s="313" t="s">
        <v>3836</v>
      </c>
      <c r="E58" s="313" t="s">
        <v>3834</v>
      </c>
      <c r="F58" s="314" t="s">
        <v>440</v>
      </c>
      <c r="G58" s="313">
        <v>411</v>
      </c>
      <c r="H58" s="313">
        <v>1221</v>
      </c>
      <c r="I58" s="313">
        <v>2023.02</v>
      </c>
    </row>
    <row r="59" spans="1:9">
      <c r="A59" s="313" t="s">
        <v>261</v>
      </c>
      <c r="B59" s="313" t="s">
        <v>3865</v>
      </c>
      <c r="C59" s="313" t="s">
        <v>3874</v>
      </c>
      <c r="D59" s="313" t="s">
        <v>3874</v>
      </c>
      <c r="E59" s="313" t="s">
        <v>3820</v>
      </c>
      <c r="F59" s="314" t="s">
        <v>3875</v>
      </c>
      <c r="G59" s="313">
        <v>216</v>
      </c>
      <c r="H59" s="313">
        <v>264</v>
      </c>
      <c r="I59" s="313">
        <v>2023.02</v>
      </c>
    </row>
    <row r="60" spans="1:9">
      <c r="A60" s="313" t="s">
        <v>261</v>
      </c>
      <c r="B60" s="313" t="s">
        <v>3865</v>
      </c>
      <c r="C60" s="313" t="s">
        <v>3874</v>
      </c>
      <c r="D60" s="313" t="s">
        <v>3874</v>
      </c>
      <c r="E60" s="313" t="s">
        <v>3848</v>
      </c>
      <c r="F60" s="314" t="s">
        <v>3875</v>
      </c>
      <c r="G60" s="313">
        <v>587</v>
      </c>
      <c r="H60" s="313">
        <v>786</v>
      </c>
      <c r="I60" s="313">
        <v>2023.02</v>
      </c>
    </row>
    <row r="61" spans="1:9">
      <c r="A61" s="313" t="s">
        <v>261</v>
      </c>
      <c r="B61" s="313" t="s">
        <v>3865</v>
      </c>
      <c r="C61" s="313" t="s">
        <v>3874</v>
      </c>
      <c r="D61" s="313" t="s">
        <v>3874</v>
      </c>
      <c r="E61" s="313" t="s">
        <v>3849</v>
      </c>
      <c r="F61" s="314" t="s">
        <v>3875</v>
      </c>
      <c r="G61" s="313">
        <v>400</v>
      </c>
      <c r="H61" s="313">
        <v>910</v>
      </c>
      <c r="I61" s="313">
        <v>2023.02</v>
      </c>
    </row>
    <row r="62" spans="1:9">
      <c r="A62" s="313" t="s">
        <v>261</v>
      </c>
      <c r="B62" s="313" t="s">
        <v>3865</v>
      </c>
      <c r="C62" s="313" t="s">
        <v>3874</v>
      </c>
      <c r="D62" s="313" t="s">
        <v>3874</v>
      </c>
      <c r="E62" s="313" t="s">
        <v>3834</v>
      </c>
      <c r="F62" s="314" t="s">
        <v>3875</v>
      </c>
      <c r="G62" s="313">
        <v>403</v>
      </c>
      <c r="H62" s="313">
        <v>1002</v>
      </c>
      <c r="I62" s="313">
        <v>2023.02</v>
      </c>
    </row>
    <row r="63" spans="1:9">
      <c r="A63" s="313" t="s">
        <v>261</v>
      </c>
      <c r="B63" s="313" t="s">
        <v>3865</v>
      </c>
      <c r="C63" s="313" t="s">
        <v>3876</v>
      </c>
      <c r="D63" s="313" t="s">
        <v>2397</v>
      </c>
      <c r="E63" s="313" t="s">
        <v>3849</v>
      </c>
      <c r="F63" s="314" t="s">
        <v>3877</v>
      </c>
      <c r="G63" s="313">
        <v>387</v>
      </c>
      <c r="H63" s="313">
        <v>910</v>
      </c>
      <c r="I63" s="313">
        <v>2023.02</v>
      </c>
    </row>
    <row r="64" spans="1:9">
      <c r="A64" s="313" t="s">
        <v>261</v>
      </c>
      <c r="B64" s="313" t="s">
        <v>3865</v>
      </c>
      <c r="C64" s="313" t="s">
        <v>3876</v>
      </c>
      <c r="D64" s="313" t="s">
        <v>2397</v>
      </c>
      <c r="E64" s="313" t="s">
        <v>3878</v>
      </c>
      <c r="F64" s="314" t="s">
        <v>3877</v>
      </c>
      <c r="G64" s="313">
        <v>593</v>
      </c>
      <c r="H64" s="313">
        <v>485</v>
      </c>
      <c r="I64" s="313">
        <v>2023.02</v>
      </c>
    </row>
    <row r="65" spans="1:9">
      <c r="A65" s="313" t="s">
        <v>261</v>
      </c>
      <c r="B65" s="313" t="s">
        <v>3865</v>
      </c>
      <c r="C65" s="313" t="s">
        <v>3876</v>
      </c>
      <c r="D65" s="313" t="s">
        <v>2397</v>
      </c>
      <c r="E65" s="313" t="s">
        <v>3834</v>
      </c>
      <c r="F65" s="314" t="s">
        <v>3877</v>
      </c>
      <c r="G65" s="313">
        <v>368</v>
      </c>
      <c r="H65" s="313">
        <v>910</v>
      </c>
      <c r="I65" s="313">
        <v>2023.02</v>
      </c>
    </row>
    <row r="66" spans="1:9">
      <c r="A66" s="313" t="s">
        <v>261</v>
      </c>
      <c r="B66" s="313" t="s">
        <v>3865</v>
      </c>
      <c r="C66" s="313" t="s">
        <v>3876</v>
      </c>
      <c r="D66" s="313" t="s">
        <v>3879</v>
      </c>
      <c r="E66" s="313" t="s">
        <v>3820</v>
      </c>
      <c r="F66" s="314" t="s">
        <v>3880</v>
      </c>
      <c r="G66" s="313">
        <v>216</v>
      </c>
      <c r="H66" s="313">
        <v>264</v>
      </c>
      <c r="I66" s="313">
        <v>2023.02</v>
      </c>
    </row>
    <row r="67" spans="1:9">
      <c r="A67" s="313" t="s">
        <v>261</v>
      </c>
      <c r="B67" s="313" t="s">
        <v>3865</v>
      </c>
      <c r="C67" s="313" t="s">
        <v>3876</v>
      </c>
      <c r="D67" s="313" t="s">
        <v>3879</v>
      </c>
      <c r="E67" s="313" t="s">
        <v>3849</v>
      </c>
      <c r="F67" s="314" t="s">
        <v>3880</v>
      </c>
      <c r="G67" s="313">
        <v>368</v>
      </c>
      <c r="H67" s="313">
        <v>910</v>
      </c>
      <c r="I67" s="313">
        <v>2023.02</v>
      </c>
    </row>
    <row r="68" spans="1:9">
      <c r="A68" s="313" t="s">
        <v>261</v>
      </c>
      <c r="B68" s="313" t="s">
        <v>3865</v>
      </c>
      <c r="C68" s="313" t="s">
        <v>3876</v>
      </c>
      <c r="D68" s="313" t="s">
        <v>3879</v>
      </c>
      <c r="E68" s="313" t="s">
        <v>3834</v>
      </c>
      <c r="F68" s="314" t="s">
        <v>3880</v>
      </c>
      <c r="G68" s="313">
        <v>400</v>
      </c>
      <c r="H68" s="313">
        <v>1002</v>
      </c>
      <c r="I68" s="313">
        <v>2023.02</v>
      </c>
    </row>
    <row r="69" spans="1:9">
      <c r="A69" s="313" t="s">
        <v>261</v>
      </c>
      <c r="B69" s="313" t="s">
        <v>3865</v>
      </c>
      <c r="C69" s="313" t="s">
        <v>3876</v>
      </c>
      <c r="D69" s="313" t="s">
        <v>3876</v>
      </c>
      <c r="E69" s="313" t="s">
        <v>3848</v>
      </c>
      <c r="F69" s="314" t="s">
        <v>3880</v>
      </c>
      <c r="G69" s="313">
        <v>900</v>
      </c>
      <c r="H69" s="313">
        <v>1200</v>
      </c>
      <c r="I69" s="313">
        <v>2023.02</v>
      </c>
    </row>
    <row r="70" spans="1:9">
      <c r="A70" s="313" t="s">
        <v>261</v>
      </c>
      <c r="B70" s="313" t="s">
        <v>3865</v>
      </c>
      <c r="C70" s="313" t="s">
        <v>3876</v>
      </c>
      <c r="D70" s="313" t="s">
        <v>3876</v>
      </c>
      <c r="E70" s="313" t="s">
        <v>3834</v>
      </c>
      <c r="F70" s="314" t="s">
        <v>3880</v>
      </c>
      <c r="G70" s="313">
        <v>900</v>
      </c>
      <c r="H70" s="313">
        <v>1200</v>
      </c>
      <c r="I70" s="313">
        <v>2023.02</v>
      </c>
    </row>
    <row r="71" spans="1:9">
      <c r="A71" s="313" t="s">
        <v>3881</v>
      </c>
      <c r="B71" s="313" t="s">
        <v>3882</v>
      </c>
      <c r="C71" s="313" t="s">
        <v>3836</v>
      </c>
      <c r="D71" s="313" t="s">
        <v>3836</v>
      </c>
      <c r="E71" s="313" t="s">
        <v>3883</v>
      </c>
      <c r="F71" s="314" t="s">
        <v>517</v>
      </c>
      <c r="G71" s="313">
        <v>768</v>
      </c>
      <c r="H71" s="313">
        <v>1024</v>
      </c>
      <c r="I71" s="313">
        <v>2023.02</v>
      </c>
    </row>
    <row r="72" spans="1:9">
      <c r="A72" s="313" t="s">
        <v>3881</v>
      </c>
      <c r="B72" s="313" t="s">
        <v>3882</v>
      </c>
      <c r="C72" s="313" t="s">
        <v>3836</v>
      </c>
      <c r="D72" s="313" t="s">
        <v>3836</v>
      </c>
      <c r="E72" s="313" t="s">
        <v>3884</v>
      </c>
      <c r="F72" s="314" t="s">
        <v>517</v>
      </c>
      <c r="G72" s="313">
        <v>335</v>
      </c>
      <c r="H72" s="313">
        <v>670</v>
      </c>
      <c r="I72" s="313">
        <v>2023.02</v>
      </c>
    </row>
    <row r="73" spans="1:9">
      <c r="A73" s="313" t="s">
        <v>3881</v>
      </c>
      <c r="B73" s="313" t="s">
        <v>3882</v>
      </c>
      <c r="C73" s="313" t="s">
        <v>3836</v>
      </c>
      <c r="D73" s="313" t="s">
        <v>3836</v>
      </c>
      <c r="E73" s="313" t="s">
        <v>3885</v>
      </c>
      <c r="F73" s="314" t="s">
        <v>517</v>
      </c>
      <c r="G73" s="313">
        <v>720</v>
      </c>
      <c r="H73" s="313">
        <v>1920</v>
      </c>
      <c r="I73" s="313">
        <v>2023.02</v>
      </c>
    </row>
    <row r="74" spans="1:9">
      <c r="A74" s="313" t="s">
        <v>3881</v>
      </c>
      <c r="B74" s="313" t="s">
        <v>3882</v>
      </c>
      <c r="C74" s="313" t="s">
        <v>3886</v>
      </c>
      <c r="D74" s="313" t="s">
        <v>3886</v>
      </c>
      <c r="E74" s="313" t="s">
        <v>3884</v>
      </c>
      <c r="F74" s="314" t="s">
        <v>3887</v>
      </c>
      <c r="G74" s="313">
        <v>335</v>
      </c>
      <c r="H74" s="313">
        <v>670</v>
      </c>
      <c r="I74" s="313">
        <v>2023.02</v>
      </c>
    </row>
    <row r="75" spans="1:9">
      <c r="A75" s="313" t="s">
        <v>3881</v>
      </c>
      <c r="B75" s="313" t="s">
        <v>3882</v>
      </c>
      <c r="C75" s="313" t="s">
        <v>3886</v>
      </c>
      <c r="D75" s="313" t="s">
        <v>3886</v>
      </c>
      <c r="E75" s="313" t="s">
        <v>3885</v>
      </c>
      <c r="F75" s="314" t="s">
        <v>3887</v>
      </c>
      <c r="G75" s="313">
        <v>720</v>
      </c>
      <c r="H75" s="313">
        <v>1920</v>
      </c>
      <c r="I75" s="313">
        <v>2023.02</v>
      </c>
    </row>
    <row r="76" spans="1:9">
      <c r="A76" s="313" t="s">
        <v>3881</v>
      </c>
      <c r="B76" s="313" t="s">
        <v>3882</v>
      </c>
      <c r="C76" s="313" t="s">
        <v>3886</v>
      </c>
      <c r="D76" s="313" t="s">
        <v>3888</v>
      </c>
      <c r="E76" s="313" t="s">
        <v>3883</v>
      </c>
      <c r="F76" s="314" t="s">
        <v>3889</v>
      </c>
      <c r="G76" s="313">
        <v>256</v>
      </c>
      <c r="H76" s="313">
        <v>1536</v>
      </c>
      <c r="I76" s="313">
        <v>2023.02</v>
      </c>
    </row>
    <row r="77" spans="1:9">
      <c r="A77" s="313" t="s">
        <v>3881</v>
      </c>
      <c r="B77" s="313" t="s">
        <v>3882</v>
      </c>
      <c r="C77" s="313" t="s">
        <v>3886</v>
      </c>
      <c r="D77" s="313" t="s">
        <v>3888</v>
      </c>
      <c r="E77" s="313" t="s">
        <v>3885</v>
      </c>
      <c r="F77" s="314" t="s">
        <v>3889</v>
      </c>
      <c r="G77" s="313">
        <v>346</v>
      </c>
      <c r="H77" s="313">
        <v>2076</v>
      </c>
      <c r="I77" s="313">
        <v>2023.02</v>
      </c>
    </row>
    <row r="78" spans="1:9">
      <c r="A78" s="313" t="s">
        <v>3881</v>
      </c>
      <c r="B78" s="313" t="s">
        <v>3882</v>
      </c>
      <c r="C78" s="313" t="s">
        <v>3886</v>
      </c>
      <c r="D78" s="313" t="s">
        <v>3890</v>
      </c>
      <c r="E78" s="313" t="s">
        <v>3885</v>
      </c>
      <c r="F78" s="314" t="s">
        <v>3891</v>
      </c>
      <c r="G78" s="313">
        <v>256</v>
      </c>
      <c r="H78" s="313">
        <v>1536</v>
      </c>
      <c r="I78" s="313">
        <v>2023.02</v>
      </c>
    </row>
    <row r="79" spans="1:9">
      <c r="A79" s="313" t="s">
        <v>285</v>
      </c>
      <c r="B79" s="313" t="s">
        <v>711</v>
      </c>
      <c r="C79" s="313" t="s">
        <v>3892</v>
      </c>
      <c r="D79" s="313" t="s">
        <v>2755</v>
      </c>
      <c r="E79" s="313" t="s">
        <v>3818</v>
      </c>
      <c r="F79" s="314" t="s">
        <v>3893</v>
      </c>
      <c r="G79" s="313">
        <v>500</v>
      </c>
      <c r="H79" s="313">
        <v>1000</v>
      </c>
      <c r="I79" s="313">
        <v>2023.02</v>
      </c>
    </row>
    <row r="80" spans="1:9">
      <c r="A80" s="313" t="s">
        <v>285</v>
      </c>
      <c r="B80" s="313" t="s">
        <v>711</v>
      </c>
      <c r="C80" s="313" t="s">
        <v>3836</v>
      </c>
      <c r="D80" s="313" t="s">
        <v>3836</v>
      </c>
      <c r="E80" s="313" t="s">
        <v>3894</v>
      </c>
      <c r="F80" s="314" t="s">
        <v>286</v>
      </c>
      <c r="G80" s="313">
        <v>250</v>
      </c>
      <c r="H80" s="313">
        <v>300</v>
      </c>
      <c r="I80" s="313">
        <v>2023.02</v>
      </c>
    </row>
    <row r="81" spans="1:9">
      <c r="A81" s="313" t="s">
        <v>285</v>
      </c>
      <c r="B81" s="313" t="s">
        <v>711</v>
      </c>
      <c r="C81" s="313" t="s">
        <v>3836</v>
      </c>
      <c r="D81" s="313" t="s">
        <v>3836</v>
      </c>
      <c r="E81" s="313" t="s">
        <v>3834</v>
      </c>
      <c r="F81" s="314" t="s">
        <v>286</v>
      </c>
      <c r="G81" s="313">
        <v>195</v>
      </c>
      <c r="H81" s="313">
        <v>174</v>
      </c>
      <c r="I81" s="313">
        <v>2023.02</v>
      </c>
    </row>
    <row r="82" spans="1:9">
      <c r="A82" s="313" t="s">
        <v>285</v>
      </c>
      <c r="B82" s="313" t="s">
        <v>711</v>
      </c>
      <c r="C82" s="313" t="s">
        <v>3895</v>
      </c>
      <c r="D82" s="313" t="s">
        <v>3895</v>
      </c>
      <c r="E82" s="313" t="s">
        <v>3854</v>
      </c>
      <c r="F82" s="314" t="s">
        <v>3896</v>
      </c>
      <c r="G82" s="313">
        <v>60</v>
      </c>
      <c r="H82" s="313">
        <v>150</v>
      </c>
      <c r="I82" s="313">
        <v>2023.02</v>
      </c>
    </row>
    <row r="83" spans="1:9">
      <c r="A83" s="313" t="s">
        <v>285</v>
      </c>
      <c r="B83" s="313" t="s">
        <v>711</v>
      </c>
      <c r="C83" s="313" t="s">
        <v>3895</v>
      </c>
      <c r="D83" s="313" t="s">
        <v>3895</v>
      </c>
      <c r="E83" s="313" t="s">
        <v>3820</v>
      </c>
      <c r="F83" s="314" t="s">
        <v>3896</v>
      </c>
      <c r="G83" s="313">
        <v>240</v>
      </c>
      <c r="H83" s="313">
        <v>240</v>
      </c>
      <c r="I83" s="313">
        <v>2023.02</v>
      </c>
    </row>
    <row r="84" spans="1:9">
      <c r="A84" s="313" t="s">
        <v>285</v>
      </c>
      <c r="B84" s="313" t="s">
        <v>711</v>
      </c>
      <c r="C84" s="313" t="s">
        <v>3895</v>
      </c>
      <c r="D84" s="313" t="s">
        <v>3895</v>
      </c>
      <c r="E84" s="313" t="s">
        <v>3818</v>
      </c>
      <c r="F84" s="314" t="s">
        <v>3896</v>
      </c>
      <c r="G84" s="313">
        <v>4480</v>
      </c>
      <c r="H84" s="313">
        <v>6720</v>
      </c>
      <c r="I84" s="313">
        <v>2023.02</v>
      </c>
    </row>
    <row r="85" spans="1:9">
      <c r="A85" s="313" t="s">
        <v>285</v>
      </c>
      <c r="B85" s="313" t="s">
        <v>711</v>
      </c>
      <c r="C85" s="313" t="s">
        <v>3895</v>
      </c>
      <c r="D85" s="313" t="s">
        <v>3895</v>
      </c>
      <c r="E85" s="313" t="s">
        <v>3820</v>
      </c>
      <c r="F85" s="314" t="s">
        <v>3896</v>
      </c>
      <c r="G85" s="313">
        <v>240</v>
      </c>
      <c r="H85" s="313">
        <v>240</v>
      </c>
      <c r="I85" s="313">
        <v>2023.02</v>
      </c>
    </row>
    <row r="86" spans="1:9">
      <c r="A86" s="313" t="s">
        <v>285</v>
      </c>
      <c r="B86" s="313" t="s">
        <v>711</v>
      </c>
      <c r="C86" s="313" t="s">
        <v>3897</v>
      </c>
      <c r="D86" s="313" t="s">
        <v>3897</v>
      </c>
      <c r="E86" s="313" t="s">
        <v>3818</v>
      </c>
      <c r="F86" s="314" t="s">
        <v>3898</v>
      </c>
      <c r="G86" s="313">
        <v>431</v>
      </c>
      <c r="H86" s="313">
        <v>1150</v>
      </c>
      <c r="I86" s="313">
        <v>2023.02</v>
      </c>
    </row>
    <row r="87" spans="1:9">
      <c r="A87" s="313" t="s">
        <v>251</v>
      </c>
      <c r="B87" s="313" t="s">
        <v>711</v>
      </c>
      <c r="C87" s="313" t="s">
        <v>3836</v>
      </c>
      <c r="D87" s="313" t="s">
        <v>3836</v>
      </c>
      <c r="E87" s="313" t="s">
        <v>3848</v>
      </c>
      <c r="F87" s="314" t="s">
        <v>438</v>
      </c>
      <c r="G87" s="313">
        <v>500</v>
      </c>
      <c r="H87" s="313">
        <v>1940</v>
      </c>
      <c r="I87" s="313">
        <v>2023.02</v>
      </c>
    </row>
    <row r="88" spans="1:9">
      <c r="A88" s="313" t="s">
        <v>251</v>
      </c>
      <c r="B88" s="313" t="s">
        <v>711</v>
      </c>
      <c r="C88" s="313" t="s">
        <v>3836</v>
      </c>
      <c r="D88" s="313" t="s">
        <v>3836</v>
      </c>
      <c r="E88" s="313" t="s">
        <v>3899</v>
      </c>
      <c r="F88" s="314" t="s">
        <v>438</v>
      </c>
      <c r="G88" s="313">
        <v>0</v>
      </c>
      <c r="H88" s="313">
        <v>0</v>
      </c>
      <c r="I88" s="313">
        <v>2023.02</v>
      </c>
    </row>
    <row r="89" spans="1:9">
      <c r="A89" s="313" t="s">
        <v>251</v>
      </c>
      <c r="B89" s="313" t="s">
        <v>711</v>
      </c>
      <c r="C89" s="313" t="s">
        <v>3836</v>
      </c>
      <c r="D89" s="313" t="s">
        <v>3836</v>
      </c>
      <c r="E89" s="313" t="s">
        <v>3900</v>
      </c>
      <c r="F89" s="314" t="s">
        <v>438</v>
      </c>
      <c r="G89" s="313">
        <v>250</v>
      </c>
      <c r="H89" s="313">
        <v>300</v>
      </c>
      <c r="I89" s="313">
        <v>2023.02</v>
      </c>
    </row>
    <row r="90" spans="1:9">
      <c r="A90" s="313" t="s">
        <v>251</v>
      </c>
      <c r="B90" s="313" t="s">
        <v>711</v>
      </c>
      <c r="C90" s="313" t="s">
        <v>3836</v>
      </c>
      <c r="D90" s="313" t="s">
        <v>3836</v>
      </c>
      <c r="E90" s="313" t="s">
        <v>3901</v>
      </c>
      <c r="F90" s="314" t="s">
        <v>438</v>
      </c>
      <c r="G90" s="313">
        <v>250</v>
      </c>
      <c r="H90" s="313">
        <v>300</v>
      </c>
      <c r="I90" s="313">
        <v>2023.02</v>
      </c>
    </row>
    <row r="91" spans="1:9">
      <c r="A91" s="313" t="s">
        <v>251</v>
      </c>
      <c r="B91" s="313" t="s">
        <v>711</v>
      </c>
      <c r="C91" s="313" t="s">
        <v>3836</v>
      </c>
      <c r="D91" s="313" t="s">
        <v>3836</v>
      </c>
      <c r="E91" s="313" t="s">
        <v>3834</v>
      </c>
      <c r="F91" s="314" t="s">
        <v>438</v>
      </c>
      <c r="G91" s="313">
        <v>1200</v>
      </c>
      <c r="H91" s="313">
        <v>3000</v>
      </c>
      <c r="I91" s="313">
        <v>2023.02</v>
      </c>
    </row>
    <row r="92" spans="1:9">
      <c r="A92" s="313" t="s">
        <v>251</v>
      </c>
      <c r="B92" s="313" t="s">
        <v>711</v>
      </c>
      <c r="C92" s="313" t="s">
        <v>3902</v>
      </c>
      <c r="D92" s="313" t="s">
        <v>3902</v>
      </c>
      <c r="E92" s="313" t="s">
        <v>3818</v>
      </c>
      <c r="F92" s="314" t="s">
        <v>3903</v>
      </c>
      <c r="G92" s="313">
        <v>830</v>
      </c>
      <c r="H92" s="313">
        <v>2182</v>
      </c>
      <c r="I92" s="313">
        <v>2023.02</v>
      </c>
    </row>
    <row r="93" spans="1:9">
      <c r="A93" s="313" t="s">
        <v>271</v>
      </c>
      <c r="B93" s="313" t="s">
        <v>3904</v>
      </c>
      <c r="C93" s="313" t="s">
        <v>3905</v>
      </c>
      <c r="D93" s="313" t="s">
        <v>3906</v>
      </c>
      <c r="E93" s="313" t="s">
        <v>3820</v>
      </c>
      <c r="F93" s="314" t="s">
        <v>3907</v>
      </c>
      <c r="G93" s="313">
        <v>700</v>
      </c>
      <c r="H93" s="313">
        <v>700</v>
      </c>
      <c r="I93" s="313">
        <v>2023.02</v>
      </c>
    </row>
    <row r="94" spans="1:9">
      <c r="A94" s="313" t="s">
        <v>271</v>
      </c>
      <c r="B94" s="313" t="s">
        <v>3904</v>
      </c>
      <c r="C94" s="313" t="s">
        <v>3905</v>
      </c>
      <c r="D94" s="313" t="s">
        <v>3906</v>
      </c>
      <c r="E94" s="313" t="s">
        <v>3908</v>
      </c>
      <c r="F94" s="314" t="s">
        <v>3907</v>
      </c>
      <c r="G94" s="313">
        <v>800</v>
      </c>
      <c r="H94" s="313">
        <v>250</v>
      </c>
      <c r="I94" s="313">
        <v>2023.02</v>
      </c>
    </row>
    <row r="95" spans="1:9">
      <c r="A95" s="313" t="s">
        <v>271</v>
      </c>
      <c r="B95" s="313" t="s">
        <v>3904</v>
      </c>
      <c r="C95" s="313" t="s">
        <v>3905</v>
      </c>
      <c r="D95" s="313" t="s">
        <v>3906</v>
      </c>
      <c r="E95" s="313" t="s">
        <v>3848</v>
      </c>
      <c r="F95" s="314" t="s">
        <v>3907</v>
      </c>
      <c r="G95" s="313">
        <v>379</v>
      </c>
      <c r="H95" s="313">
        <v>823</v>
      </c>
      <c r="I95" s="313">
        <v>2023.02</v>
      </c>
    </row>
    <row r="96" spans="1:9">
      <c r="A96" s="313" t="s">
        <v>271</v>
      </c>
      <c r="B96" s="313" t="s">
        <v>3904</v>
      </c>
      <c r="C96" s="313" t="s">
        <v>3905</v>
      </c>
      <c r="D96" s="313" t="s">
        <v>3906</v>
      </c>
      <c r="E96" s="313" t="s">
        <v>3834</v>
      </c>
      <c r="F96" s="314" t="s">
        <v>3907</v>
      </c>
      <c r="G96" s="313">
        <v>379</v>
      </c>
      <c r="H96" s="313">
        <v>823</v>
      </c>
      <c r="I96" s="313">
        <v>2023.02</v>
      </c>
    </row>
    <row r="97" spans="1:9">
      <c r="A97" s="313" t="s">
        <v>271</v>
      </c>
      <c r="B97" s="313" t="s">
        <v>3904</v>
      </c>
      <c r="C97" s="313" t="s">
        <v>3905</v>
      </c>
      <c r="D97" s="313" t="s">
        <v>3905</v>
      </c>
      <c r="E97" s="313" t="s">
        <v>3854</v>
      </c>
      <c r="F97" s="314" t="s">
        <v>3909</v>
      </c>
      <c r="G97" s="313">
        <v>153</v>
      </c>
      <c r="H97" s="313">
        <v>233</v>
      </c>
      <c r="I97" s="313">
        <v>2023.02</v>
      </c>
    </row>
    <row r="98" spans="1:9">
      <c r="A98" s="313" t="s">
        <v>271</v>
      </c>
      <c r="B98" s="313" t="s">
        <v>3904</v>
      </c>
      <c r="C98" s="313" t="s">
        <v>3905</v>
      </c>
      <c r="D98" s="313" t="s">
        <v>3905</v>
      </c>
      <c r="E98" s="313" t="s">
        <v>3908</v>
      </c>
      <c r="F98" s="314" t="s">
        <v>3909</v>
      </c>
      <c r="G98" s="313">
        <v>800</v>
      </c>
      <c r="H98" s="313">
        <v>250</v>
      </c>
      <c r="I98" s="313">
        <v>2023.02</v>
      </c>
    </row>
    <row r="99" spans="1:9">
      <c r="A99" s="313" t="s">
        <v>271</v>
      </c>
      <c r="B99" s="313" t="s">
        <v>3904</v>
      </c>
      <c r="C99" s="313" t="s">
        <v>3905</v>
      </c>
      <c r="D99" s="313" t="s">
        <v>3905</v>
      </c>
      <c r="E99" s="313" t="s">
        <v>3848</v>
      </c>
      <c r="F99" s="314" t="s">
        <v>3909</v>
      </c>
      <c r="G99" s="313">
        <v>532</v>
      </c>
      <c r="H99" s="313">
        <v>501</v>
      </c>
      <c r="I99" s="313">
        <v>2023.02</v>
      </c>
    </row>
    <row r="100" spans="1:9">
      <c r="A100" s="313" t="s">
        <v>271</v>
      </c>
      <c r="B100" s="313" t="s">
        <v>3904</v>
      </c>
      <c r="C100" s="313" t="s">
        <v>3905</v>
      </c>
      <c r="D100" s="313" t="s">
        <v>3905</v>
      </c>
      <c r="E100" s="313" t="s">
        <v>3834</v>
      </c>
      <c r="F100" s="314" t="s">
        <v>3909</v>
      </c>
      <c r="G100" s="313">
        <v>379</v>
      </c>
      <c r="H100" s="313">
        <v>823</v>
      </c>
      <c r="I100" s="313">
        <v>2023.02</v>
      </c>
    </row>
    <row r="101" spans="1:9">
      <c r="A101" s="313" t="s">
        <v>271</v>
      </c>
      <c r="B101" s="313" t="s">
        <v>3904</v>
      </c>
      <c r="C101" s="313" t="s">
        <v>3905</v>
      </c>
      <c r="D101" s="313" t="s">
        <v>3910</v>
      </c>
      <c r="E101" s="313" t="s">
        <v>3908</v>
      </c>
      <c r="F101" s="314" t="s">
        <v>3911</v>
      </c>
      <c r="G101" s="313">
        <v>800</v>
      </c>
      <c r="H101" s="313">
        <v>250</v>
      </c>
      <c r="I101" s="313">
        <v>2023.02</v>
      </c>
    </row>
    <row r="102" spans="1:9">
      <c r="A102" s="313" t="s">
        <v>271</v>
      </c>
      <c r="B102" s="313" t="s">
        <v>3904</v>
      </c>
      <c r="C102" s="313" t="s">
        <v>3836</v>
      </c>
      <c r="D102" s="313" t="s">
        <v>3836</v>
      </c>
      <c r="E102" s="313" t="s">
        <v>3854</v>
      </c>
      <c r="F102" s="314" t="s">
        <v>274</v>
      </c>
      <c r="G102" s="313">
        <v>176</v>
      </c>
      <c r="H102" s="313">
        <v>370</v>
      </c>
      <c r="I102" s="313">
        <v>2023.02</v>
      </c>
    </row>
    <row r="103" spans="1:9">
      <c r="A103" s="313" t="s">
        <v>271</v>
      </c>
      <c r="B103" s="313" t="s">
        <v>3904</v>
      </c>
      <c r="C103" s="313" t="s">
        <v>3836</v>
      </c>
      <c r="D103" s="313" t="s">
        <v>3836</v>
      </c>
      <c r="E103" s="313" t="s">
        <v>3820</v>
      </c>
      <c r="F103" s="314" t="s">
        <v>274</v>
      </c>
      <c r="G103" s="313">
        <v>228</v>
      </c>
      <c r="H103" s="313">
        <v>204</v>
      </c>
      <c r="I103" s="313">
        <v>2023.02</v>
      </c>
    </row>
    <row r="104" spans="1:9">
      <c r="A104" s="313" t="s">
        <v>271</v>
      </c>
      <c r="B104" s="313" t="s">
        <v>3904</v>
      </c>
      <c r="C104" s="313" t="s">
        <v>3836</v>
      </c>
      <c r="D104" s="313" t="s">
        <v>3836</v>
      </c>
      <c r="E104" s="313" t="s">
        <v>3848</v>
      </c>
      <c r="F104" s="314" t="s">
        <v>274</v>
      </c>
      <c r="G104" s="313">
        <v>341</v>
      </c>
      <c r="H104" s="313">
        <v>1110</v>
      </c>
      <c r="I104" s="313">
        <v>2023.02</v>
      </c>
    </row>
    <row r="105" spans="1:9">
      <c r="A105" s="313" t="s">
        <v>271</v>
      </c>
      <c r="B105" s="313" t="s">
        <v>3904</v>
      </c>
      <c r="C105" s="313" t="s">
        <v>3836</v>
      </c>
      <c r="D105" s="313" t="s">
        <v>3836</v>
      </c>
      <c r="E105" s="313" t="s">
        <v>3849</v>
      </c>
      <c r="F105" s="314" t="s">
        <v>274</v>
      </c>
      <c r="G105" s="313">
        <v>290</v>
      </c>
      <c r="H105" s="313">
        <v>1110</v>
      </c>
      <c r="I105" s="313">
        <v>2023.02</v>
      </c>
    </row>
    <row r="106" spans="1:9">
      <c r="A106" s="313" t="s">
        <v>271</v>
      </c>
      <c r="B106" s="313" t="s">
        <v>3904</v>
      </c>
      <c r="C106" s="313" t="s">
        <v>3836</v>
      </c>
      <c r="D106" s="313" t="s">
        <v>3836</v>
      </c>
      <c r="E106" s="313" t="s">
        <v>3834</v>
      </c>
      <c r="F106" s="314" t="s">
        <v>274</v>
      </c>
      <c r="G106" s="313">
        <v>379</v>
      </c>
      <c r="H106" s="313">
        <v>1344</v>
      </c>
      <c r="I106" s="313">
        <v>2023.02</v>
      </c>
    </row>
    <row r="107" spans="1:9">
      <c r="A107" s="313" t="s">
        <v>271</v>
      </c>
      <c r="B107" s="313" t="s">
        <v>3904</v>
      </c>
      <c r="C107" s="313" t="s">
        <v>3912</v>
      </c>
      <c r="D107" s="313" t="s">
        <v>3866</v>
      </c>
      <c r="E107" s="313" t="s">
        <v>3908</v>
      </c>
      <c r="F107" s="314" t="s">
        <v>3913</v>
      </c>
      <c r="G107" s="313">
        <v>800</v>
      </c>
      <c r="H107" s="313">
        <v>250</v>
      </c>
      <c r="I107" s="313">
        <v>2023.02</v>
      </c>
    </row>
    <row r="108" spans="1:9">
      <c r="A108" s="313" t="s">
        <v>271</v>
      </c>
      <c r="B108" s="313" t="s">
        <v>3904</v>
      </c>
      <c r="C108" s="313" t="s">
        <v>3912</v>
      </c>
      <c r="D108" s="313" t="s">
        <v>3914</v>
      </c>
      <c r="E108" s="313" t="s">
        <v>3908</v>
      </c>
      <c r="F108" s="314" t="s">
        <v>3915</v>
      </c>
      <c r="G108" s="313">
        <v>800</v>
      </c>
      <c r="H108" s="313">
        <v>250</v>
      </c>
      <c r="I108" s="313">
        <v>2023.02</v>
      </c>
    </row>
    <row r="109" spans="1:9">
      <c r="A109" s="313" t="s">
        <v>271</v>
      </c>
      <c r="B109" s="313" t="s">
        <v>3904</v>
      </c>
      <c r="C109" s="313" t="s">
        <v>3912</v>
      </c>
      <c r="D109" s="313" t="s">
        <v>161</v>
      </c>
      <c r="E109" s="313" t="s">
        <v>3854</v>
      </c>
      <c r="F109" s="314" t="s">
        <v>3916</v>
      </c>
      <c r="G109" s="313">
        <v>263</v>
      </c>
      <c r="H109" s="313">
        <v>233</v>
      </c>
      <c r="I109" s="313">
        <v>2023.02</v>
      </c>
    </row>
    <row r="110" spans="1:9">
      <c r="A110" s="313" t="s">
        <v>271</v>
      </c>
      <c r="B110" s="313" t="s">
        <v>3904</v>
      </c>
      <c r="C110" s="313" t="s">
        <v>3912</v>
      </c>
      <c r="D110" s="313" t="s">
        <v>161</v>
      </c>
      <c r="E110" s="313" t="s">
        <v>3820</v>
      </c>
      <c r="F110" s="314" t="s">
        <v>3916</v>
      </c>
      <c r="G110" s="313">
        <v>263</v>
      </c>
      <c r="H110" s="313">
        <v>233</v>
      </c>
      <c r="I110" s="313">
        <v>2023.02</v>
      </c>
    </row>
    <row r="111" spans="1:9">
      <c r="A111" s="313" t="s">
        <v>271</v>
      </c>
      <c r="B111" s="313" t="s">
        <v>3904</v>
      </c>
      <c r="C111" s="313" t="s">
        <v>3912</v>
      </c>
      <c r="D111" s="313" t="s">
        <v>161</v>
      </c>
      <c r="E111" s="313" t="s">
        <v>3908</v>
      </c>
      <c r="F111" s="314" t="s">
        <v>3916</v>
      </c>
      <c r="G111" s="313">
        <v>800</v>
      </c>
      <c r="H111" s="313">
        <v>250</v>
      </c>
      <c r="I111" s="313">
        <v>2023.02</v>
      </c>
    </row>
    <row r="112" spans="1:9">
      <c r="A112" s="313" t="s">
        <v>271</v>
      </c>
      <c r="B112" s="313" t="s">
        <v>3904</v>
      </c>
      <c r="C112" s="313" t="s">
        <v>3912</v>
      </c>
      <c r="D112" s="313" t="s">
        <v>161</v>
      </c>
      <c r="E112" s="313" t="s">
        <v>3848</v>
      </c>
      <c r="F112" s="314" t="s">
        <v>3916</v>
      </c>
      <c r="G112" s="313">
        <v>370</v>
      </c>
      <c r="H112" s="313">
        <v>1002</v>
      </c>
      <c r="I112" s="313">
        <v>2023.02</v>
      </c>
    </row>
    <row r="113" spans="1:9">
      <c r="A113" s="313" t="s">
        <v>271</v>
      </c>
      <c r="B113" s="313" t="s">
        <v>3904</v>
      </c>
      <c r="C113" s="313" t="s">
        <v>3912</v>
      </c>
      <c r="D113" s="313" t="s">
        <v>161</v>
      </c>
      <c r="E113" s="313" t="s">
        <v>3834</v>
      </c>
      <c r="F113" s="314" t="s">
        <v>3916</v>
      </c>
      <c r="G113" s="313">
        <v>379</v>
      </c>
      <c r="H113" s="313">
        <v>823</v>
      </c>
      <c r="I113" s="313">
        <v>2023.02</v>
      </c>
    </row>
    <row r="114" spans="1:9">
      <c r="A114" s="313" t="s">
        <v>271</v>
      </c>
      <c r="B114" s="313" t="s">
        <v>3904</v>
      </c>
      <c r="C114" s="313" t="s">
        <v>3912</v>
      </c>
      <c r="D114" s="313" t="s">
        <v>3912</v>
      </c>
      <c r="E114" s="313" t="s">
        <v>3854</v>
      </c>
      <c r="F114" s="314" t="s">
        <v>3917</v>
      </c>
      <c r="G114" s="313">
        <v>153</v>
      </c>
      <c r="H114" s="313">
        <v>233</v>
      </c>
      <c r="I114" s="313">
        <v>2023.02</v>
      </c>
    </row>
    <row r="115" spans="1:9">
      <c r="A115" s="313" t="s">
        <v>271</v>
      </c>
      <c r="B115" s="313" t="s">
        <v>3904</v>
      </c>
      <c r="C115" s="313" t="s">
        <v>3912</v>
      </c>
      <c r="D115" s="313" t="s">
        <v>3912</v>
      </c>
      <c r="E115" s="313" t="s">
        <v>3908</v>
      </c>
      <c r="F115" s="314" t="s">
        <v>3917</v>
      </c>
      <c r="G115" s="313">
        <v>292</v>
      </c>
      <c r="H115" s="313">
        <v>350</v>
      </c>
      <c r="I115" s="313">
        <v>2023.02</v>
      </c>
    </row>
    <row r="116" spans="1:9">
      <c r="A116" s="313" t="s">
        <v>271</v>
      </c>
      <c r="B116" s="313" t="s">
        <v>3904</v>
      </c>
      <c r="C116" s="313" t="s">
        <v>3912</v>
      </c>
      <c r="D116" s="313" t="s">
        <v>3912</v>
      </c>
      <c r="E116" s="313" t="s">
        <v>3848</v>
      </c>
      <c r="F116" s="314" t="s">
        <v>3917</v>
      </c>
      <c r="G116" s="313">
        <v>532</v>
      </c>
      <c r="H116" s="313">
        <v>501</v>
      </c>
      <c r="I116" s="313">
        <v>2023.02</v>
      </c>
    </row>
    <row r="117" spans="1:9">
      <c r="A117" s="313" t="s">
        <v>271</v>
      </c>
      <c r="B117" s="313" t="s">
        <v>3904</v>
      </c>
      <c r="C117" s="313" t="s">
        <v>3912</v>
      </c>
      <c r="D117" s="313" t="s">
        <v>3912</v>
      </c>
      <c r="E117" s="313" t="s">
        <v>3834</v>
      </c>
      <c r="F117" s="314" t="s">
        <v>3917</v>
      </c>
      <c r="G117" s="313">
        <v>379</v>
      </c>
      <c r="H117" s="313">
        <v>823</v>
      </c>
      <c r="I117" s="313">
        <v>2023.02</v>
      </c>
    </row>
    <row r="118" spans="1:9">
      <c r="A118" s="313" t="s">
        <v>278</v>
      </c>
      <c r="B118" s="313" t="s">
        <v>3918</v>
      </c>
      <c r="C118" s="313" t="s">
        <v>2425</v>
      </c>
      <c r="D118" s="313" t="s">
        <v>2425</v>
      </c>
      <c r="E118" s="313" t="s">
        <v>3854</v>
      </c>
      <c r="F118" s="314" t="s">
        <v>998</v>
      </c>
      <c r="G118" s="313">
        <v>100</v>
      </c>
      <c r="H118" s="313">
        <v>220</v>
      </c>
      <c r="I118" s="313">
        <v>2023.02</v>
      </c>
    </row>
    <row r="119" spans="1:9">
      <c r="A119" s="313" t="s">
        <v>278</v>
      </c>
      <c r="B119" s="313" t="s">
        <v>3918</v>
      </c>
      <c r="C119" s="313" t="s">
        <v>3919</v>
      </c>
      <c r="D119" s="313" t="s">
        <v>3919</v>
      </c>
      <c r="E119" s="313" t="s">
        <v>3820</v>
      </c>
      <c r="F119" s="314" t="s">
        <v>3920</v>
      </c>
      <c r="G119" s="313">
        <v>287</v>
      </c>
      <c r="H119" s="313">
        <v>512</v>
      </c>
      <c r="I119" s="313">
        <v>2023.02</v>
      </c>
    </row>
    <row r="120" spans="1:9">
      <c r="A120" s="313" t="s">
        <v>278</v>
      </c>
      <c r="B120" s="313" t="s">
        <v>3918</v>
      </c>
      <c r="C120" s="313" t="s">
        <v>3919</v>
      </c>
      <c r="D120" s="313" t="s">
        <v>3919</v>
      </c>
      <c r="E120" s="313" t="s">
        <v>3818</v>
      </c>
      <c r="F120" s="314" t="s">
        <v>3920</v>
      </c>
      <c r="G120" s="313">
        <v>240</v>
      </c>
      <c r="H120" s="313">
        <v>1246</v>
      </c>
      <c r="I120" s="313">
        <v>2023.02</v>
      </c>
    </row>
    <row r="121" spans="1:9">
      <c r="A121" s="313" t="s">
        <v>278</v>
      </c>
      <c r="B121" s="313" t="s">
        <v>3918</v>
      </c>
      <c r="C121" s="313" t="s">
        <v>3919</v>
      </c>
      <c r="D121" s="313" t="s">
        <v>3921</v>
      </c>
      <c r="E121" s="313" t="s">
        <v>3854</v>
      </c>
      <c r="F121" s="314" t="s">
        <v>3922</v>
      </c>
      <c r="G121" s="313">
        <v>36</v>
      </c>
      <c r="H121" s="313">
        <v>220</v>
      </c>
      <c r="I121" s="313">
        <v>2023.02</v>
      </c>
    </row>
    <row r="122" spans="1:9">
      <c r="A122" s="313" t="s">
        <v>278</v>
      </c>
      <c r="B122" s="313" t="s">
        <v>3918</v>
      </c>
      <c r="C122" s="313" t="s">
        <v>3836</v>
      </c>
      <c r="D122" s="313" t="s">
        <v>3836</v>
      </c>
      <c r="E122" s="313" t="s">
        <v>3820</v>
      </c>
      <c r="F122" s="314" t="s">
        <v>652</v>
      </c>
      <c r="G122" s="313">
        <v>174</v>
      </c>
      <c r="H122" s="313">
        <v>310</v>
      </c>
      <c r="I122" s="313">
        <v>2023.02</v>
      </c>
    </row>
    <row r="123" spans="1:9">
      <c r="A123" s="313" t="s">
        <v>278</v>
      </c>
      <c r="B123" s="313" t="s">
        <v>3918</v>
      </c>
      <c r="C123" s="313" t="s">
        <v>3923</v>
      </c>
      <c r="D123" s="313" t="s">
        <v>3923</v>
      </c>
      <c r="E123" s="313" t="s">
        <v>3854</v>
      </c>
      <c r="F123" s="314" t="s">
        <v>3924</v>
      </c>
      <c r="G123" s="313">
        <v>73</v>
      </c>
      <c r="H123" s="313">
        <v>220</v>
      </c>
      <c r="I123" s="313">
        <v>2023.02</v>
      </c>
    </row>
    <row r="124" spans="1:9">
      <c r="A124" s="313" t="s">
        <v>278</v>
      </c>
      <c r="B124" s="313" t="s">
        <v>3918</v>
      </c>
      <c r="C124" s="313" t="s">
        <v>3923</v>
      </c>
      <c r="D124" s="313" t="s">
        <v>3923</v>
      </c>
      <c r="E124" s="313" t="s">
        <v>3820</v>
      </c>
      <c r="F124" s="314" t="s">
        <v>3924</v>
      </c>
      <c r="G124" s="313">
        <v>288</v>
      </c>
      <c r="H124" s="313">
        <v>511</v>
      </c>
      <c r="I124" s="313">
        <v>2023.02</v>
      </c>
    </row>
    <row r="125" spans="1:9">
      <c r="A125" s="313" t="s">
        <v>278</v>
      </c>
      <c r="B125" s="313" t="s">
        <v>3918</v>
      </c>
      <c r="C125" s="313" t="s">
        <v>3923</v>
      </c>
      <c r="D125" s="313" t="s">
        <v>3923</v>
      </c>
      <c r="E125" s="313" t="s">
        <v>3849</v>
      </c>
      <c r="F125" s="314" t="s">
        <v>3924</v>
      </c>
      <c r="G125" s="313">
        <v>535</v>
      </c>
      <c r="H125" s="313">
        <v>1248</v>
      </c>
      <c r="I125" s="313">
        <v>2023.02</v>
      </c>
    </row>
    <row r="126" spans="1:9">
      <c r="A126" s="313" t="s">
        <v>278</v>
      </c>
      <c r="B126" s="313" t="s">
        <v>3918</v>
      </c>
      <c r="C126" s="313" t="s">
        <v>3925</v>
      </c>
      <c r="D126" s="313" t="s">
        <v>3926</v>
      </c>
      <c r="E126" s="313" t="s">
        <v>3854</v>
      </c>
      <c r="F126" s="314" t="s">
        <v>3927</v>
      </c>
      <c r="G126" s="313">
        <v>76</v>
      </c>
      <c r="H126" s="313">
        <v>220</v>
      </c>
      <c r="I126" s="313">
        <v>2023.02</v>
      </c>
    </row>
    <row r="127" spans="1:9">
      <c r="A127" s="313" t="s">
        <v>278</v>
      </c>
      <c r="B127" s="313" t="s">
        <v>3918</v>
      </c>
      <c r="C127" s="313" t="s">
        <v>3925</v>
      </c>
      <c r="D127" s="313" t="s">
        <v>3928</v>
      </c>
      <c r="E127" s="313" t="s">
        <v>3854</v>
      </c>
      <c r="F127" s="314" t="s">
        <v>3929</v>
      </c>
      <c r="G127" s="313">
        <v>74</v>
      </c>
      <c r="H127" s="313">
        <v>220</v>
      </c>
      <c r="I127" s="313">
        <v>2023.02</v>
      </c>
    </row>
    <row r="128" spans="1:9">
      <c r="A128" s="313" t="s">
        <v>278</v>
      </c>
      <c r="B128" s="313" t="s">
        <v>3918</v>
      </c>
      <c r="C128" s="313" t="s">
        <v>3930</v>
      </c>
      <c r="D128" s="313" t="s">
        <v>3931</v>
      </c>
      <c r="E128" s="313" t="s">
        <v>3854</v>
      </c>
      <c r="F128" s="314" t="s">
        <v>3932</v>
      </c>
      <c r="G128" s="313">
        <v>27</v>
      </c>
      <c r="H128" s="313">
        <v>220</v>
      </c>
      <c r="I128" s="313">
        <v>2023.02</v>
      </c>
    </row>
    <row r="129" spans="1:9">
      <c r="A129" s="313" t="s">
        <v>278</v>
      </c>
      <c r="B129" s="313" t="s">
        <v>3918</v>
      </c>
      <c r="C129" s="313" t="s">
        <v>3930</v>
      </c>
      <c r="D129" s="313" t="s">
        <v>3930</v>
      </c>
      <c r="E129" s="313" t="s">
        <v>3820</v>
      </c>
      <c r="F129" s="314" t="s">
        <v>3933</v>
      </c>
      <c r="G129" s="313">
        <v>140</v>
      </c>
      <c r="H129" s="313">
        <v>260</v>
      </c>
      <c r="I129" s="313">
        <v>2023.02</v>
      </c>
    </row>
    <row r="130" spans="1:9">
      <c r="A130" s="313" t="s">
        <v>278</v>
      </c>
      <c r="B130" s="313" t="s">
        <v>3918</v>
      </c>
      <c r="C130" s="313" t="s">
        <v>3934</v>
      </c>
      <c r="D130" s="313" t="s">
        <v>3935</v>
      </c>
      <c r="E130" s="313" t="s">
        <v>3854</v>
      </c>
      <c r="F130" s="314" t="s">
        <v>3936</v>
      </c>
      <c r="G130" s="313">
        <v>84</v>
      </c>
      <c r="H130" s="313">
        <v>220</v>
      </c>
      <c r="I130" s="313">
        <v>2023.02</v>
      </c>
    </row>
    <row r="131" spans="1:9">
      <c r="A131" s="313" t="s">
        <v>278</v>
      </c>
      <c r="B131" s="313" t="s">
        <v>3918</v>
      </c>
      <c r="C131" s="313" t="s">
        <v>3934</v>
      </c>
      <c r="D131" s="313" t="s">
        <v>3935</v>
      </c>
      <c r="E131" s="313" t="s">
        <v>3937</v>
      </c>
      <c r="F131" s="314" t="s">
        <v>3936</v>
      </c>
      <c r="G131" s="313">
        <v>400</v>
      </c>
      <c r="H131" s="313">
        <v>313</v>
      </c>
      <c r="I131" s="313">
        <v>2023.02</v>
      </c>
    </row>
    <row r="132" spans="1:9">
      <c r="A132" s="313" t="s">
        <v>278</v>
      </c>
      <c r="B132" s="313" t="s">
        <v>3918</v>
      </c>
      <c r="C132" s="313" t="s">
        <v>3934</v>
      </c>
      <c r="D132" s="313" t="s">
        <v>3934</v>
      </c>
      <c r="E132" s="313" t="s">
        <v>3820</v>
      </c>
      <c r="F132" s="314" t="s">
        <v>3938</v>
      </c>
      <c r="G132" s="313">
        <v>141</v>
      </c>
      <c r="H132" s="313">
        <v>220</v>
      </c>
      <c r="I132" s="313">
        <v>2023.02</v>
      </c>
    </row>
    <row r="133" spans="1:9">
      <c r="A133" s="313" t="s">
        <v>278</v>
      </c>
      <c r="B133" s="313" t="s">
        <v>3918</v>
      </c>
      <c r="C133" s="313" t="s">
        <v>3939</v>
      </c>
      <c r="D133" s="313" t="s">
        <v>3940</v>
      </c>
      <c r="E133" s="313" t="s">
        <v>3854</v>
      </c>
      <c r="F133" s="314" t="s">
        <v>3941</v>
      </c>
      <c r="G133" s="313">
        <v>49</v>
      </c>
      <c r="H133" s="313">
        <v>220</v>
      </c>
      <c r="I133" s="313">
        <v>2023.02</v>
      </c>
    </row>
    <row r="134" spans="1:9">
      <c r="A134" s="313" t="s">
        <v>278</v>
      </c>
      <c r="B134" s="313" t="s">
        <v>3918</v>
      </c>
      <c r="C134" s="313" t="s">
        <v>3939</v>
      </c>
      <c r="D134" s="313" t="s">
        <v>3942</v>
      </c>
      <c r="E134" s="313" t="s">
        <v>3854</v>
      </c>
      <c r="F134" s="314" t="s">
        <v>3943</v>
      </c>
      <c r="G134" s="313">
        <v>83</v>
      </c>
      <c r="H134" s="313">
        <v>220</v>
      </c>
      <c r="I134" s="313">
        <v>2023.02</v>
      </c>
    </row>
    <row r="135" spans="1:9">
      <c r="A135" s="313" t="s">
        <v>278</v>
      </c>
      <c r="B135" s="313" t="s">
        <v>3918</v>
      </c>
      <c r="C135" s="313" t="s">
        <v>3939</v>
      </c>
      <c r="D135" s="313" t="s">
        <v>3939</v>
      </c>
      <c r="E135" s="313" t="s">
        <v>3820</v>
      </c>
      <c r="F135" s="314" t="s">
        <v>3944</v>
      </c>
      <c r="G135" s="313">
        <v>141</v>
      </c>
      <c r="H135" s="313">
        <v>220</v>
      </c>
      <c r="I135" s="313">
        <v>2023.02</v>
      </c>
    </row>
    <row r="136" spans="1:9">
      <c r="A136" s="313" t="s">
        <v>292</v>
      </c>
      <c r="B136" s="313" t="s">
        <v>3945</v>
      </c>
      <c r="C136" s="313" t="s">
        <v>2431</v>
      </c>
      <c r="D136" s="313" t="s">
        <v>3425</v>
      </c>
      <c r="E136" s="313" t="s">
        <v>3820</v>
      </c>
      <c r="F136" s="314" t="s">
        <v>3946</v>
      </c>
      <c r="G136" s="313">
        <v>120</v>
      </c>
      <c r="H136" s="313">
        <v>120</v>
      </c>
      <c r="I136" s="313">
        <v>2023.02</v>
      </c>
    </row>
    <row r="137" spans="1:9">
      <c r="A137" s="313" t="s">
        <v>292</v>
      </c>
      <c r="B137" s="313" t="s">
        <v>3945</v>
      </c>
      <c r="C137" s="313" t="s">
        <v>2431</v>
      </c>
      <c r="D137" s="313" t="s">
        <v>3425</v>
      </c>
      <c r="E137" s="313" t="s">
        <v>3878</v>
      </c>
      <c r="F137" s="314" t="s">
        <v>3946</v>
      </c>
      <c r="G137" s="313">
        <v>0</v>
      </c>
      <c r="H137" s="313">
        <v>0</v>
      </c>
      <c r="I137" s="313">
        <v>2023.02</v>
      </c>
    </row>
    <row r="138" spans="1:9">
      <c r="A138" s="313" t="s">
        <v>292</v>
      </c>
      <c r="B138" s="313" t="s">
        <v>3945</v>
      </c>
      <c r="C138" s="313" t="s">
        <v>2431</v>
      </c>
      <c r="D138" s="313" t="s">
        <v>3425</v>
      </c>
      <c r="E138" s="313" t="s">
        <v>3834</v>
      </c>
      <c r="F138" s="314" t="s">
        <v>3946</v>
      </c>
      <c r="G138" s="313">
        <v>227</v>
      </c>
      <c r="H138" s="313">
        <v>1366</v>
      </c>
      <c r="I138" s="313">
        <v>2023.02</v>
      </c>
    </row>
    <row r="139" spans="1:9">
      <c r="A139" s="313" t="s">
        <v>292</v>
      </c>
      <c r="B139" s="313" t="s">
        <v>3945</v>
      </c>
      <c r="C139" s="313" t="s">
        <v>3836</v>
      </c>
      <c r="D139" s="313" t="s">
        <v>3836</v>
      </c>
      <c r="E139" s="313" t="s">
        <v>3848</v>
      </c>
      <c r="F139" s="314" t="s">
        <v>294</v>
      </c>
      <c r="G139" s="313">
        <v>0</v>
      </c>
      <c r="H139" s="313">
        <v>0</v>
      </c>
      <c r="I139" s="313">
        <v>2023.02</v>
      </c>
    </row>
    <row r="140" spans="1:9">
      <c r="A140" s="313" t="s">
        <v>292</v>
      </c>
      <c r="B140" s="313" t="s">
        <v>3945</v>
      </c>
      <c r="C140" s="313" t="s">
        <v>3836</v>
      </c>
      <c r="D140" s="313" t="s">
        <v>3836</v>
      </c>
      <c r="E140" s="313" t="s">
        <v>3937</v>
      </c>
      <c r="F140" s="314" t="s">
        <v>294</v>
      </c>
      <c r="G140" s="313">
        <v>160</v>
      </c>
      <c r="H140" s="313">
        <v>321</v>
      </c>
      <c r="I140" s="313">
        <v>2023.02</v>
      </c>
    </row>
    <row r="141" spans="1:9">
      <c r="A141" s="313" t="s">
        <v>292</v>
      </c>
      <c r="B141" s="313" t="s">
        <v>3945</v>
      </c>
      <c r="C141" s="313" t="s">
        <v>3836</v>
      </c>
      <c r="D141" s="313" t="s">
        <v>3836</v>
      </c>
      <c r="E141" s="313" t="s">
        <v>3834</v>
      </c>
      <c r="F141" s="314" t="s">
        <v>294</v>
      </c>
      <c r="G141" s="313">
        <v>512</v>
      </c>
      <c r="H141" s="313">
        <v>1366</v>
      </c>
      <c r="I141" s="313">
        <v>2023.02</v>
      </c>
    </row>
    <row r="142" spans="1:9">
      <c r="A142" s="313" t="s">
        <v>292</v>
      </c>
      <c r="B142" s="313" t="s">
        <v>3945</v>
      </c>
      <c r="C142" s="313" t="s">
        <v>3947</v>
      </c>
      <c r="D142" s="313" t="s">
        <v>3947</v>
      </c>
      <c r="E142" s="313" t="s">
        <v>3820</v>
      </c>
      <c r="F142" s="314" t="s">
        <v>3948</v>
      </c>
      <c r="G142" s="313">
        <v>120</v>
      </c>
      <c r="H142" s="313">
        <v>120</v>
      </c>
      <c r="I142" s="313">
        <v>2023.02</v>
      </c>
    </row>
    <row r="143" spans="1:9">
      <c r="A143" s="313" t="s">
        <v>292</v>
      </c>
      <c r="B143" s="313" t="s">
        <v>3945</v>
      </c>
      <c r="C143" s="313" t="s">
        <v>3947</v>
      </c>
      <c r="D143" s="313" t="s">
        <v>3947</v>
      </c>
      <c r="E143" s="313" t="s">
        <v>3834</v>
      </c>
      <c r="F143" s="314" t="s">
        <v>3948</v>
      </c>
      <c r="G143" s="313">
        <v>227</v>
      </c>
      <c r="H143" s="313">
        <v>1366</v>
      </c>
      <c r="I143" s="313">
        <v>2023.02</v>
      </c>
    </row>
    <row r="144" spans="1:9">
      <c r="A144" s="313" t="s">
        <v>292</v>
      </c>
      <c r="B144" s="313" t="s">
        <v>3945</v>
      </c>
      <c r="C144" s="313" t="s">
        <v>3949</v>
      </c>
      <c r="D144" s="313" t="s">
        <v>3949</v>
      </c>
      <c r="E144" s="313" t="s">
        <v>3820</v>
      </c>
      <c r="F144" s="314" t="s">
        <v>3950</v>
      </c>
      <c r="G144" s="313">
        <v>120</v>
      </c>
      <c r="H144" s="313">
        <v>120</v>
      </c>
      <c r="I144" s="313">
        <v>2023.02</v>
      </c>
    </row>
    <row r="145" spans="1:9">
      <c r="A145" s="313" t="s">
        <v>292</v>
      </c>
      <c r="B145" s="313" t="s">
        <v>3945</v>
      </c>
      <c r="C145" s="313" t="s">
        <v>3949</v>
      </c>
      <c r="D145" s="313" t="s">
        <v>3949</v>
      </c>
      <c r="E145" s="313" t="s">
        <v>3834</v>
      </c>
      <c r="F145" s="314" t="s">
        <v>3950</v>
      </c>
      <c r="G145" s="313">
        <v>227</v>
      </c>
      <c r="H145" s="313">
        <v>1366</v>
      </c>
      <c r="I145" s="313">
        <v>2023.02</v>
      </c>
    </row>
    <row r="146" spans="1:9">
      <c r="A146" s="313" t="s">
        <v>292</v>
      </c>
      <c r="B146" s="313" t="s">
        <v>3945</v>
      </c>
      <c r="C146" s="313" t="s">
        <v>3951</v>
      </c>
      <c r="D146" s="313" t="s">
        <v>3951</v>
      </c>
      <c r="E146" s="313" t="s">
        <v>3834</v>
      </c>
      <c r="F146" s="314" t="s">
        <v>3952</v>
      </c>
      <c r="G146" s="313">
        <v>256</v>
      </c>
      <c r="H146" s="313">
        <v>1536</v>
      </c>
      <c r="I146" s="313">
        <v>2023.02</v>
      </c>
    </row>
    <row r="147" spans="1:9">
      <c r="A147" s="313" t="s">
        <v>292</v>
      </c>
      <c r="B147" s="313" t="s">
        <v>3945</v>
      </c>
      <c r="C147" s="313" t="s">
        <v>3953</v>
      </c>
      <c r="D147" s="313" t="s">
        <v>3953</v>
      </c>
      <c r="E147" s="313" t="s">
        <v>3820</v>
      </c>
      <c r="F147" s="314" t="s">
        <v>3954</v>
      </c>
      <c r="G147" s="313">
        <v>120</v>
      </c>
      <c r="H147" s="313">
        <v>120</v>
      </c>
      <c r="I147" s="313">
        <v>2023.02</v>
      </c>
    </row>
    <row r="148" spans="1:9">
      <c r="A148" s="313" t="s">
        <v>292</v>
      </c>
      <c r="B148" s="313" t="s">
        <v>3945</v>
      </c>
      <c r="C148" s="313" t="s">
        <v>3953</v>
      </c>
      <c r="D148" s="313" t="s">
        <v>3953</v>
      </c>
      <c r="E148" s="313" t="s">
        <v>3834</v>
      </c>
      <c r="F148" s="314" t="s">
        <v>3954</v>
      </c>
      <c r="G148" s="313">
        <v>256</v>
      </c>
      <c r="H148" s="313">
        <v>1536</v>
      </c>
      <c r="I148" s="313">
        <v>2023.02</v>
      </c>
    </row>
    <row r="149" spans="1:9">
      <c r="A149" s="313" t="s">
        <v>292</v>
      </c>
      <c r="B149" s="313" t="s">
        <v>3945</v>
      </c>
      <c r="C149" s="313" t="s">
        <v>3955</v>
      </c>
      <c r="D149" s="313" t="s">
        <v>3955</v>
      </c>
      <c r="E149" s="313" t="s">
        <v>3834</v>
      </c>
      <c r="F149" s="314" t="s">
        <v>3956</v>
      </c>
      <c r="G149" s="313">
        <v>0</v>
      </c>
      <c r="H149" s="313">
        <v>0</v>
      </c>
      <c r="I149" s="313">
        <v>2023.02</v>
      </c>
    </row>
    <row r="150" spans="1:9">
      <c r="A150" s="313" t="s">
        <v>292</v>
      </c>
      <c r="B150" s="313" t="s">
        <v>3945</v>
      </c>
      <c r="C150" s="313" t="s">
        <v>3957</v>
      </c>
      <c r="D150" s="313" t="s">
        <v>3958</v>
      </c>
      <c r="E150" s="313" t="s">
        <v>3820</v>
      </c>
      <c r="F150" s="314" t="s">
        <v>3959</v>
      </c>
      <c r="G150" s="313">
        <v>0</v>
      </c>
      <c r="H150" s="313">
        <v>0</v>
      </c>
      <c r="I150" s="313">
        <v>2023.02</v>
      </c>
    </row>
    <row r="151" spans="1:9">
      <c r="A151" s="313" t="s">
        <v>292</v>
      </c>
      <c r="B151" s="313" t="s">
        <v>3945</v>
      </c>
      <c r="C151" s="313" t="s">
        <v>3957</v>
      </c>
      <c r="D151" s="313" t="s">
        <v>3958</v>
      </c>
      <c r="E151" s="313" t="s">
        <v>3834</v>
      </c>
      <c r="F151" s="314" t="s">
        <v>3959</v>
      </c>
      <c r="G151" s="313">
        <v>346</v>
      </c>
      <c r="H151" s="313">
        <v>2076</v>
      </c>
      <c r="I151" s="313">
        <v>2023.02</v>
      </c>
    </row>
    <row r="152" spans="1:9">
      <c r="A152" s="313" t="s">
        <v>292</v>
      </c>
      <c r="B152" s="313" t="s">
        <v>3945</v>
      </c>
      <c r="C152" s="313" t="s">
        <v>3957</v>
      </c>
      <c r="D152" s="313" t="s">
        <v>3960</v>
      </c>
      <c r="E152" s="313" t="s">
        <v>3834</v>
      </c>
      <c r="F152" s="314" t="s">
        <v>3961</v>
      </c>
      <c r="G152" s="313">
        <v>227</v>
      </c>
      <c r="H152" s="313">
        <v>1366</v>
      </c>
      <c r="I152" s="313">
        <v>2023.02</v>
      </c>
    </row>
    <row r="153" spans="1:9">
      <c r="A153" s="313" t="s">
        <v>292</v>
      </c>
      <c r="B153" s="313" t="s">
        <v>3945</v>
      </c>
      <c r="C153" s="313" t="s">
        <v>3957</v>
      </c>
      <c r="D153" s="313" t="s">
        <v>3957</v>
      </c>
      <c r="E153" s="313" t="s">
        <v>3820</v>
      </c>
      <c r="F153" s="314" t="s">
        <v>3962</v>
      </c>
      <c r="G153" s="313">
        <v>120</v>
      </c>
      <c r="H153" s="313">
        <v>120</v>
      </c>
      <c r="I153" s="313">
        <v>2023.02</v>
      </c>
    </row>
    <row r="154" spans="1:9">
      <c r="A154" s="313" t="s">
        <v>292</v>
      </c>
      <c r="B154" s="313" t="s">
        <v>3945</v>
      </c>
      <c r="C154" s="313" t="s">
        <v>3957</v>
      </c>
      <c r="D154" s="313" t="s">
        <v>3957</v>
      </c>
      <c r="E154" s="313" t="s">
        <v>3849</v>
      </c>
      <c r="F154" s="314" t="s">
        <v>3962</v>
      </c>
      <c r="G154" s="313">
        <v>320</v>
      </c>
      <c r="H154" s="313">
        <v>1920</v>
      </c>
      <c r="I154" s="313">
        <v>2023.02</v>
      </c>
    </row>
    <row r="155" spans="1:9">
      <c r="A155" s="313" t="s">
        <v>292</v>
      </c>
      <c r="B155" s="313" t="s">
        <v>3945</v>
      </c>
      <c r="C155" s="313" t="s">
        <v>3957</v>
      </c>
      <c r="D155" s="313" t="s">
        <v>3957</v>
      </c>
      <c r="E155" s="313" t="s">
        <v>3834</v>
      </c>
      <c r="F155" s="314" t="s">
        <v>3962</v>
      </c>
      <c r="G155" s="313">
        <v>0</v>
      </c>
      <c r="H155" s="313">
        <v>0</v>
      </c>
      <c r="I155" s="313">
        <v>2023.02</v>
      </c>
    </row>
    <row r="156" spans="1:9">
      <c r="A156" s="313" t="s">
        <v>292</v>
      </c>
      <c r="B156" s="313" t="s">
        <v>3945</v>
      </c>
      <c r="C156" s="313" t="s">
        <v>3963</v>
      </c>
      <c r="D156" s="313" t="s">
        <v>161</v>
      </c>
      <c r="E156" s="313" t="s">
        <v>3820</v>
      </c>
      <c r="F156" s="314" t="s">
        <v>3964</v>
      </c>
      <c r="G156" s="313">
        <v>0</v>
      </c>
      <c r="H156" s="313">
        <v>0</v>
      </c>
      <c r="I156" s="313">
        <v>2023.02</v>
      </c>
    </row>
    <row r="157" spans="1:9">
      <c r="A157" s="313" t="s">
        <v>292</v>
      </c>
      <c r="B157" s="313" t="s">
        <v>3945</v>
      </c>
      <c r="C157" s="313" t="s">
        <v>3963</v>
      </c>
      <c r="D157" s="313" t="s">
        <v>161</v>
      </c>
      <c r="E157" s="313" t="s">
        <v>3878</v>
      </c>
      <c r="F157" s="314" t="s">
        <v>3964</v>
      </c>
      <c r="G157" s="313">
        <v>0</v>
      </c>
      <c r="H157" s="313">
        <v>0</v>
      </c>
      <c r="I157" s="313">
        <v>2023.02</v>
      </c>
    </row>
    <row r="158" spans="1:9">
      <c r="A158" s="313" t="s">
        <v>292</v>
      </c>
      <c r="B158" s="313" t="s">
        <v>3945</v>
      </c>
      <c r="C158" s="313" t="s">
        <v>3963</v>
      </c>
      <c r="D158" s="313" t="s">
        <v>161</v>
      </c>
      <c r="E158" s="313" t="s">
        <v>3834</v>
      </c>
      <c r="F158" s="314" t="s">
        <v>3964</v>
      </c>
      <c r="G158" s="313">
        <v>256</v>
      </c>
      <c r="H158" s="313">
        <v>1536</v>
      </c>
      <c r="I158" s="313">
        <v>2023.02</v>
      </c>
    </row>
    <row r="159" spans="1:9">
      <c r="A159" s="313" t="s">
        <v>292</v>
      </c>
      <c r="B159" s="313" t="s">
        <v>3945</v>
      </c>
      <c r="C159" s="313" t="s">
        <v>3963</v>
      </c>
      <c r="D159" s="313" t="s">
        <v>3963</v>
      </c>
      <c r="E159" s="313" t="s">
        <v>3820</v>
      </c>
      <c r="F159" s="314" t="s">
        <v>3965</v>
      </c>
      <c r="G159" s="313">
        <v>0</v>
      </c>
      <c r="H159" s="313">
        <v>0</v>
      </c>
      <c r="I159" s="313">
        <v>2023.02</v>
      </c>
    </row>
    <row r="160" spans="1:9">
      <c r="A160" s="313" t="s">
        <v>292</v>
      </c>
      <c r="B160" s="313" t="s">
        <v>3945</v>
      </c>
      <c r="C160" s="313" t="s">
        <v>3963</v>
      </c>
      <c r="D160" s="313" t="s">
        <v>3963</v>
      </c>
      <c r="E160" s="313" t="s">
        <v>3834</v>
      </c>
      <c r="F160" s="314" t="s">
        <v>3965</v>
      </c>
      <c r="G160" s="313">
        <v>227</v>
      </c>
      <c r="H160" s="313">
        <v>1366</v>
      </c>
      <c r="I160" s="313">
        <v>2023.02</v>
      </c>
    </row>
    <row r="161" spans="1:9">
      <c r="A161" s="313" t="s">
        <v>292</v>
      </c>
      <c r="B161" s="313" t="s">
        <v>3945</v>
      </c>
      <c r="C161" s="313" t="s">
        <v>3966</v>
      </c>
      <c r="D161" s="313" t="s">
        <v>3434</v>
      </c>
      <c r="E161" s="313" t="s">
        <v>3820</v>
      </c>
      <c r="F161" s="314" t="s">
        <v>3967</v>
      </c>
      <c r="G161" s="313">
        <v>120</v>
      </c>
      <c r="H161" s="313">
        <v>120</v>
      </c>
      <c r="I161" s="313">
        <v>2023.02</v>
      </c>
    </row>
    <row r="162" spans="1:9">
      <c r="A162" s="313" t="s">
        <v>292</v>
      </c>
      <c r="B162" s="313" t="s">
        <v>3945</v>
      </c>
      <c r="C162" s="313" t="s">
        <v>3966</v>
      </c>
      <c r="D162" s="313" t="s">
        <v>3434</v>
      </c>
      <c r="E162" s="313" t="s">
        <v>3834</v>
      </c>
      <c r="F162" s="314" t="s">
        <v>3967</v>
      </c>
      <c r="G162" s="313">
        <v>227</v>
      </c>
      <c r="H162" s="313">
        <v>1366</v>
      </c>
      <c r="I162" s="313">
        <v>2023.02</v>
      </c>
    </row>
    <row r="163" spans="1:9">
      <c r="A163" s="313" t="s">
        <v>292</v>
      </c>
      <c r="B163" s="313" t="s">
        <v>3945</v>
      </c>
      <c r="C163" s="313" t="s">
        <v>3966</v>
      </c>
      <c r="D163" s="313" t="s">
        <v>3444</v>
      </c>
      <c r="E163" s="313" t="s">
        <v>3820</v>
      </c>
      <c r="F163" s="314" t="s">
        <v>3968</v>
      </c>
      <c r="G163" s="313">
        <v>120</v>
      </c>
      <c r="H163" s="313">
        <v>120</v>
      </c>
      <c r="I163" s="313">
        <v>2023.02</v>
      </c>
    </row>
    <row r="164" spans="1:9">
      <c r="A164" s="313" t="s">
        <v>292</v>
      </c>
      <c r="B164" s="313" t="s">
        <v>3945</v>
      </c>
      <c r="C164" s="313" t="s">
        <v>3966</v>
      </c>
      <c r="D164" s="313" t="s">
        <v>3444</v>
      </c>
      <c r="E164" s="313" t="s">
        <v>3848</v>
      </c>
      <c r="F164" s="314" t="s">
        <v>3968</v>
      </c>
      <c r="G164" s="313">
        <v>0</v>
      </c>
      <c r="H164" s="313">
        <v>0</v>
      </c>
      <c r="I164" s="313">
        <v>2023.02</v>
      </c>
    </row>
    <row r="165" spans="1:9">
      <c r="A165" s="313" t="s">
        <v>292</v>
      </c>
      <c r="B165" s="313" t="s">
        <v>3945</v>
      </c>
      <c r="C165" s="313" t="s">
        <v>3966</v>
      </c>
      <c r="D165" s="313" t="s">
        <v>3444</v>
      </c>
      <c r="E165" s="313" t="s">
        <v>3878</v>
      </c>
      <c r="F165" s="314" t="s">
        <v>3968</v>
      </c>
      <c r="G165" s="313">
        <v>0</v>
      </c>
      <c r="H165" s="313">
        <v>0</v>
      </c>
      <c r="I165" s="313">
        <v>2023.02</v>
      </c>
    </row>
    <row r="166" spans="1:9">
      <c r="A166" s="313" t="s">
        <v>292</v>
      </c>
      <c r="B166" s="313" t="s">
        <v>3945</v>
      </c>
      <c r="C166" s="313" t="s">
        <v>3966</v>
      </c>
      <c r="D166" s="313" t="s">
        <v>3444</v>
      </c>
      <c r="E166" s="313" t="s">
        <v>3834</v>
      </c>
      <c r="F166" s="314" t="s">
        <v>3968</v>
      </c>
      <c r="G166" s="313">
        <v>227</v>
      </c>
      <c r="H166" s="313">
        <v>1366</v>
      </c>
      <c r="I166" s="313">
        <v>2023.02</v>
      </c>
    </row>
    <row r="167" spans="1:9">
      <c r="A167" s="313" t="s">
        <v>292</v>
      </c>
      <c r="B167" s="313" t="s">
        <v>3945</v>
      </c>
      <c r="C167" s="313" t="s">
        <v>3966</v>
      </c>
      <c r="D167" s="313" t="s">
        <v>3966</v>
      </c>
      <c r="E167" s="313" t="s">
        <v>3969</v>
      </c>
      <c r="F167" s="314" t="s">
        <v>3970</v>
      </c>
      <c r="G167" s="313">
        <v>0</v>
      </c>
      <c r="H167" s="313">
        <v>0</v>
      </c>
      <c r="I167" s="313">
        <v>2023.02</v>
      </c>
    </row>
    <row r="168" spans="1:9">
      <c r="A168" s="313" t="s">
        <v>292</v>
      </c>
      <c r="B168" s="313" t="s">
        <v>3945</v>
      </c>
      <c r="C168" s="313" t="s">
        <v>3966</v>
      </c>
      <c r="D168" s="313" t="s">
        <v>3966</v>
      </c>
      <c r="E168" s="313" t="s">
        <v>3820</v>
      </c>
      <c r="F168" s="314" t="s">
        <v>3970</v>
      </c>
      <c r="G168" s="313">
        <v>0</v>
      </c>
      <c r="H168" s="313">
        <v>0</v>
      </c>
      <c r="I168" s="313">
        <v>2023.02</v>
      </c>
    </row>
    <row r="169" spans="1:9">
      <c r="A169" s="313" t="s">
        <v>292</v>
      </c>
      <c r="B169" s="313" t="s">
        <v>3945</v>
      </c>
      <c r="C169" s="313" t="s">
        <v>3966</v>
      </c>
      <c r="D169" s="313" t="s">
        <v>3966</v>
      </c>
      <c r="E169" s="313" t="s">
        <v>3849</v>
      </c>
      <c r="F169" s="314" t="s">
        <v>3970</v>
      </c>
      <c r="G169" s="313">
        <v>346</v>
      </c>
      <c r="H169" s="313">
        <v>2076</v>
      </c>
      <c r="I169" s="313">
        <v>2023.02</v>
      </c>
    </row>
    <row r="170" spans="1:9">
      <c r="A170" s="313" t="s">
        <v>292</v>
      </c>
      <c r="B170" s="313" t="s">
        <v>3945</v>
      </c>
      <c r="C170" s="313" t="s">
        <v>3966</v>
      </c>
      <c r="D170" s="313" t="s">
        <v>3966</v>
      </c>
      <c r="E170" s="313" t="s">
        <v>3834</v>
      </c>
      <c r="F170" s="314" t="s">
        <v>3970</v>
      </c>
      <c r="G170" s="313">
        <v>200</v>
      </c>
      <c r="H170" s="313">
        <v>1049</v>
      </c>
      <c r="I170" s="313">
        <v>2023.02</v>
      </c>
    </row>
    <row r="171" spans="1:9">
      <c r="A171" s="313" t="s">
        <v>27</v>
      </c>
      <c r="B171" s="313" t="s">
        <v>711</v>
      </c>
      <c r="C171" s="313" t="s">
        <v>3971</v>
      </c>
      <c r="D171" s="313" t="s">
        <v>3836</v>
      </c>
      <c r="E171" s="313" t="s">
        <v>3820</v>
      </c>
      <c r="F171" s="314" t="s">
        <v>3972</v>
      </c>
      <c r="G171" s="313">
        <v>240</v>
      </c>
      <c r="H171" s="313">
        <v>240</v>
      </c>
      <c r="I171" s="313">
        <v>2023.02</v>
      </c>
    </row>
    <row r="172" spans="1:9">
      <c r="A172" s="313" t="s">
        <v>27</v>
      </c>
      <c r="B172" s="313" t="s">
        <v>711</v>
      </c>
      <c r="C172" s="313" t="s">
        <v>3973</v>
      </c>
      <c r="D172" s="313" t="s">
        <v>3973</v>
      </c>
      <c r="E172" s="313" t="s">
        <v>3820</v>
      </c>
      <c r="F172" s="314" t="s">
        <v>3974</v>
      </c>
      <c r="G172" s="313">
        <v>240</v>
      </c>
      <c r="H172" s="313">
        <v>240</v>
      </c>
      <c r="I172" s="313">
        <v>2023.02</v>
      </c>
    </row>
    <row r="173" spans="1:9">
      <c r="A173" s="313" t="s">
        <v>27</v>
      </c>
      <c r="B173" s="313" t="s">
        <v>711</v>
      </c>
      <c r="C173" s="313" t="s">
        <v>3973</v>
      </c>
      <c r="D173" s="313" t="s">
        <v>3973</v>
      </c>
      <c r="E173" s="313" t="s">
        <v>3848</v>
      </c>
      <c r="F173" s="314" t="s">
        <v>3974</v>
      </c>
      <c r="G173" s="313">
        <v>250</v>
      </c>
      <c r="H173" s="313">
        <v>1500</v>
      </c>
      <c r="I173" s="313">
        <v>2023.02</v>
      </c>
    </row>
    <row r="174" spans="1:9">
      <c r="A174" s="313" t="s">
        <v>27</v>
      </c>
      <c r="B174" s="313" t="s">
        <v>711</v>
      </c>
      <c r="C174" s="313" t="s">
        <v>3973</v>
      </c>
      <c r="D174" s="313" t="s">
        <v>3973</v>
      </c>
      <c r="E174" s="313" t="s">
        <v>3818</v>
      </c>
      <c r="F174" s="314" t="s">
        <v>3974</v>
      </c>
      <c r="G174" s="313">
        <v>1200</v>
      </c>
      <c r="H174" s="313">
        <v>3000</v>
      </c>
      <c r="I174" s="313">
        <v>2023.02</v>
      </c>
    </row>
    <row r="175" spans="1:9">
      <c r="A175" s="313" t="s">
        <v>27</v>
      </c>
      <c r="B175" s="313" t="s">
        <v>711</v>
      </c>
      <c r="C175" s="313" t="s">
        <v>3973</v>
      </c>
      <c r="D175" s="313" t="s">
        <v>3975</v>
      </c>
      <c r="E175" s="313" t="s">
        <v>3820</v>
      </c>
      <c r="F175" s="314" t="s">
        <v>3976</v>
      </c>
      <c r="G175" s="313">
        <v>240</v>
      </c>
      <c r="H175" s="313">
        <v>240</v>
      </c>
      <c r="I175" s="313">
        <v>2023.02</v>
      </c>
    </row>
    <row r="176" spans="1:9">
      <c r="A176" s="313" t="s">
        <v>27</v>
      </c>
      <c r="B176" s="313" t="s">
        <v>711</v>
      </c>
      <c r="C176" s="313" t="s">
        <v>3973</v>
      </c>
      <c r="D176" s="313" t="s">
        <v>3975</v>
      </c>
      <c r="E176" s="313" t="s">
        <v>3818</v>
      </c>
      <c r="F176" s="314" t="s">
        <v>3976</v>
      </c>
      <c r="G176" s="313">
        <v>1500</v>
      </c>
      <c r="H176" s="313">
        <v>3000</v>
      </c>
      <c r="I176" s="313">
        <v>2023.02</v>
      </c>
    </row>
    <row r="177" spans="1:9">
      <c r="A177" s="313" t="s">
        <v>27</v>
      </c>
      <c r="B177" s="313" t="s">
        <v>711</v>
      </c>
      <c r="C177" s="313" t="s">
        <v>3977</v>
      </c>
      <c r="D177" s="313" t="s">
        <v>3977</v>
      </c>
      <c r="E177" s="313" t="s">
        <v>3854</v>
      </c>
      <c r="F177" s="314" t="s">
        <v>3978</v>
      </c>
      <c r="G177" s="313">
        <v>42</v>
      </c>
      <c r="H177" s="313">
        <v>130</v>
      </c>
      <c r="I177" s="313">
        <v>2023.02</v>
      </c>
    </row>
    <row r="178" spans="1:9">
      <c r="A178" s="313" t="s">
        <v>27</v>
      </c>
      <c r="B178" s="313" t="s">
        <v>711</v>
      </c>
      <c r="C178" s="313" t="s">
        <v>3979</v>
      </c>
      <c r="D178" s="313" t="s">
        <v>3979</v>
      </c>
      <c r="E178" s="313" t="s">
        <v>3820</v>
      </c>
      <c r="F178" s="314" t="s">
        <v>3980</v>
      </c>
      <c r="G178" s="313">
        <v>240</v>
      </c>
      <c r="H178" s="313">
        <v>240</v>
      </c>
      <c r="I178" s="313">
        <v>2023.02</v>
      </c>
    </row>
    <row r="179" spans="1:9">
      <c r="A179" s="313" t="s">
        <v>27</v>
      </c>
      <c r="B179" s="313" t="s">
        <v>711</v>
      </c>
      <c r="C179" s="313" t="s">
        <v>3979</v>
      </c>
      <c r="D179" s="313" t="s">
        <v>3979</v>
      </c>
      <c r="E179" s="313" t="s">
        <v>3818</v>
      </c>
      <c r="F179" s="314" t="s">
        <v>3980</v>
      </c>
      <c r="G179" s="313">
        <v>820</v>
      </c>
      <c r="H179" s="313">
        <v>1236</v>
      </c>
      <c r="I179" s="313">
        <v>2023.02</v>
      </c>
    </row>
    <row r="180" spans="1:9">
      <c r="A180" s="313" t="s">
        <v>27</v>
      </c>
      <c r="B180" s="313" t="s">
        <v>711</v>
      </c>
      <c r="C180" s="313" t="s">
        <v>3979</v>
      </c>
      <c r="D180" s="313" t="s">
        <v>3981</v>
      </c>
      <c r="E180" s="313" t="s">
        <v>3820</v>
      </c>
      <c r="F180" s="314" t="s">
        <v>3982</v>
      </c>
      <c r="G180" s="313">
        <v>240</v>
      </c>
      <c r="H180" s="313">
        <v>240</v>
      </c>
      <c r="I180" s="313">
        <v>2023.02</v>
      </c>
    </row>
    <row r="181" spans="1:9">
      <c r="A181" s="313" t="s">
        <v>27</v>
      </c>
      <c r="B181" s="313" t="s">
        <v>711</v>
      </c>
      <c r="C181" s="313" t="s">
        <v>3979</v>
      </c>
      <c r="D181" s="313" t="s">
        <v>3981</v>
      </c>
      <c r="E181" s="313" t="s">
        <v>3818</v>
      </c>
      <c r="F181" s="314" t="s">
        <v>3982</v>
      </c>
      <c r="G181" s="313">
        <v>600</v>
      </c>
      <c r="H181" s="313">
        <v>1428</v>
      </c>
      <c r="I181" s="313">
        <v>2023.02</v>
      </c>
    </row>
    <row r="182" spans="1:9">
      <c r="A182" s="313" t="s">
        <v>27</v>
      </c>
      <c r="B182" s="313" t="s">
        <v>711</v>
      </c>
      <c r="C182" s="313" t="s">
        <v>3983</v>
      </c>
      <c r="D182" s="313" t="s">
        <v>3984</v>
      </c>
      <c r="E182" s="313" t="s">
        <v>3820</v>
      </c>
      <c r="F182" s="314" t="s">
        <v>3985</v>
      </c>
      <c r="G182" s="313">
        <v>240</v>
      </c>
      <c r="H182" s="313">
        <v>240</v>
      </c>
      <c r="I182" s="313">
        <v>2023.02</v>
      </c>
    </row>
    <row r="183" spans="1:9">
      <c r="A183" s="313" t="s">
        <v>27</v>
      </c>
      <c r="B183" s="313" t="s">
        <v>711</v>
      </c>
      <c r="C183" s="313" t="s">
        <v>3983</v>
      </c>
      <c r="D183" s="313" t="s">
        <v>3984</v>
      </c>
      <c r="E183" s="313" t="s">
        <v>3818</v>
      </c>
      <c r="F183" s="314" t="s">
        <v>3985</v>
      </c>
      <c r="G183" s="313">
        <v>830</v>
      </c>
      <c r="H183" s="313">
        <v>2182</v>
      </c>
      <c r="I183" s="313">
        <v>2023.02</v>
      </c>
    </row>
    <row r="184" spans="1:9">
      <c r="A184" s="313" t="s">
        <v>27</v>
      </c>
      <c r="B184" s="313" t="s">
        <v>711</v>
      </c>
      <c r="C184" s="313" t="s">
        <v>3986</v>
      </c>
      <c r="D184" s="313" t="s">
        <v>2429</v>
      </c>
      <c r="E184" s="313" t="s">
        <v>3820</v>
      </c>
      <c r="F184" s="314" t="s">
        <v>3987</v>
      </c>
      <c r="G184" s="313">
        <v>240</v>
      </c>
      <c r="H184" s="313">
        <v>240</v>
      </c>
      <c r="I184" s="313">
        <v>2023.02</v>
      </c>
    </row>
    <row r="185" spans="1:9">
      <c r="A185" s="313" t="s">
        <v>27</v>
      </c>
      <c r="B185" s="313" t="s">
        <v>711</v>
      </c>
      <c r="C185" s="313" t="s">
        <v>3986</v>
      </c>
      <c r="D185" s="313" t="s">
        <v>2429</v>
      </c>
      <c r="E185" s="313" t="s">
        <v>3818</v>
      </c>
      <c r="F185" s="314" t="s">
        <v>3988</v>
      </c>
      <c r="G185" s="313">
        <v>500</v>
      </c>
      <c r="H185" s="313">
        <v>1000</v>
      </c>
      <c r="I185" s="313">
        <v>2023.02</v>
      </c>
    </row>
    <row r="186" spans="1:9">
      <c r="A186" s="313" t="s">
        <v>27</v>
      </c>
      <c r="B186" s="313" t="s">
        <v>711</v>
      </c>
      <c r="C186" s="313" t="s">
        <v>3989</v>
      </c>
      <c r="D186" s="313" t="s">
        <v>3989</v>
      </c>
      <c r="E186" s="313" t="s">
        <v>3820</v>
      </c>
      <c r="F186" s="314" t="s">
        <v>3990</v>
      </c>
      <c r="G186" s="313">
        <v>240</v>
      </c>
      <c r="H186" s="313">
        <v>240</v>
      </c>
      <c r="I186" s="313">
        <v>2023.02</v>
      </c>
    </row>
    <row r="187" spans="1:9">
      <c r="A187" s="313" t="s">
        <v>27</v>
      </c>
      <c r="B187" s="313" t="s">
        <v>711</v>
      </c>
      <c r="C187" s="313" t="s">
        <v>3989</v>
      </c>
      <c r="D187" s="313" t="s">
        <v>3989</v>
      </c>
      <c r="E187" s="313" t="s">
        <v>3818</v>
      </c>
      <c r="F187" s="314" t="s">
        <v>3990</v>
      </c>
      <c r="G187" s="313">
        <v>830</v>
      </c>
      <c r="H187" s="313">
        <v>2182</v>
      </c>
      <c r="I187" s="313">
        <v>2023.02</v>
      </c>
    </row>
    <row r="188" spans="1:9">
      <c r="A188" s="313" t="s">
        <v>27</v>
      </c>
      <c r="B188" s="313" t="s">
        <v>711</v>
      </c>
      <c r="C188" s="313" t="s">
        <v>3991</v>
      </c>
      <c r="D188" s="313" t="s">
        <v>3991</v>
      </c>
      <c r="E188" s="313" t="s">
        <v>3820</v>
      </c>
      <c r="F188" s="314" t="s">
        <v>3992</v>
      </c>
      <c r="G188" s="313">
        <v>240</v>
      </c>
      <c r="H188" s="313">
        <v>240</v>
      </c>
      <c r="I188" s="313">
        <v>2023.02</v>
      </c>
    </row>
    <row r="189" spans="1:9">
      <c r="A189" s="313" t="s">
        <v>27</v>
      </c>
      <c r="B189" s="313" t="s">
        <v>711</v>
      </c>
      <c r="C189" s="313" t="s">
        <v>3991</v>
      </c>
      <c r="D189" s="313" t="s">
        <v>3991</v>
      </c>
      <c r="E189" s="313" t="s">
        <v>3818</v>
      </c>
      <c r="F189" s="314" t="s">
        <v>3992</v>
      </c>
      <c r="G189" s="313">
        <v>4480</v>
      </c>
      <c r="H189" s="313">
        <v>6457</v>
      </c>
      <c r="I189" s="313">
        <v>2023.02</v>
      </c>
    </row>
    <row r="190" spans="1:9">
      <c r="A190" s="313" t="s">
        <v>27</v>
      </c>
      <c r="B190" s="313" t="s">
        <v>711</v>
      </c>
      <c r="C190" s="313" t="s">
        <v>3981</v>
      </c>
      <c r="D190" s="313" t="s">
        <v>3975</v>
      </c>
      <c r="E190" s="313" t="s">
        <v>3848</v>
      </c>
      <c r="F190" s="314" t="s">
        <v>3993</v>
      </c>
      <c r="G190" s="313">
        <v>150</v>
      </c>
      <c r="H190" s="313">
        <v>1500</v>
      </c>
      <c r="I190" s="313">
        <v>2023.02</v>
      </c>
    </row>
    <row r="191" spans="1:9">
      <c r="A191" s="313" t="s">
        <v>27</v>
      </c>
      <c r="B191" s="313" t="s">
        <v>711</v>
      </c>
      <c r="C191" s="313" t="s">
        <v>3981</v>
      </c>
      <c r="D191" s="313" t="s">
        <v>3975</v>
      </c>
      <c r="E191" s="313" t="s">
        <v>3818</v>
      </c>
      <c r="F191" s="314" t="s">
        <v>3993</v>
      </c>
      <c r="G191" s="313">
        <v>960</v>
      </c>
      <c r="H191" s="313">
        <v>1280</v>
      </c>
      <c r="I191" s="313">
        <v>2023.02</v>
      </c>
    </row>
    <row r="192" spans="1:9">
      <c r="A192" s="313" t="s">
        <v>27</v>
      </c>
      <c r="B192" s="313" t="s">
        <v>711</v>
      </c>
      <c r="C192" s="313" t="s">
        <v>3836</v>
      </c>
      <c r="D192" s="313" t="s">
        <v>3836</v>
      </c>
      <c r="E192" s="313" t="s">
        <v>3848</v>
      </c>
      <c r="F192" s="314" t="s">
        <v>296</v>
      </c>
      <c r="G192" s="313">
        <v>500</v>
      </c>
      <c r="H192" s="313">
        <v>1940</v>
      </c>
      <c r="I192" s="313">
        <v>2023.02</v>
      </c>
    </row>
    <row r="193" spans="1:9">
      <c r="A193" s="313" t="s">
        <v>27</v>
      </c>
      <c r="B193" s="313" t="s">
        <v>711</v>
      </c>
      <c r="C193" s="313" t="s">
        <v>3836</v>
      </c>
      <c r="D193" s="313" t="s">
        <v>3836</v>
      </c>
      <c r="E193" s="313" t="s">
        <v>3899</v>
      </c>
      <c r="F193" s="314" t="s">
        <v>296</v>
      </c>
      <c r="G193" s="313">
        <v>250</v>
      </c>
      <c r="H193" s="313">
        <v>300</v>
      </c>
      <c r="I193" s="313">
        <v>2023.02</v>
      </c>
    </row>
    <row r="194" spans="1:9">
      <c r="A194" s="313" t="s">
        <v>27</v>
      </c>
      <c r="B194" s="313" t="s">
        <v>711</v>
      </c>
      <c r="C194" s="313" t="s">
        <v>3836</v>
      </c>
      <c r="D194" s="313" t="s">
        <v>3836</v>
      </c>
      <c r="E194" s="313" t="s">
        <v>3834</v>
      </c>
      <c r="F194" s="314" t="s">
        <v>296</v>
      </c>
      <c r="G194" s="313">
        <v>1200</v>
      </c>
      <c r="H194" s="313">
        <v>3000</v>
      </c>
      <c r="I194" s="313">
        <v>2023.02</v>
      </c>
    </row>
    <row r="195" spans="1:9">
      <c r="A195" s="313" t="s">
        <v>27</v>
      </c>
      <c r="B195" s="313" t="s">
        <v>711</v>
      </c>
      <c r="C195" s="313" t="s">
        <v>3994</v>
      </c>
      <c r="D195" s="313" t="s">
        <v>3994</v>
      </c>
      <c r="E195" s="313" t="s">
        <v>3820</v>
      </c>
      <c r="F195" s="314" t="s">
        <v>3995</v>
      </c>
      <c r="G195" s="313">
        <v>240</v>
      </c>
      <c r="H195" s="313">
        <v>240</v>
      </c>
      <c r="I195" s="313">
        <v>2023.02</v>
      </c>
    </row>
    <row r="196" spans="1:9">
      <c r="A196" s="313" t="s">
        <v>27</v>
      </c>
      <c r="B196" s="313" t="s">
        <v>711</v>
      </c>
      <c r="C196" s="313" t="s">
        <v>3994</v>
      </c>
      <c r="D196" s="313" t="s">
        <v>3994</v>
      </c>
      <c r="E196" s="313" t="s">
        <v>3818</v>
      </c>
      <c r="F196" s="314" t="s">
        <v>3996</v>
      </c>
      <c r="G196" s="313">
        <v>830</v>
      </c>
      <c r="H196" s="313">
        <v>2182</v>
      </c>
      <c r="I196" s="313">
        <v>2023.02</v>
      </c>
    </row>
    <row r="197" spans="1:9">
      <c r="A197" s="313" t="s">
        <v>27</v>
      </c>
      <c r="B197" s="313" t="s">
        <v>297</v>
      </c>
      <c r="C197" s="313" t="s">
        <v>3997</v>
      </c>
      <c r="D197" s="313" t="s">
        <v>3997</v>
      </c>
      <c r="E197" s="313" t="s">
        <v>3820</v>
      </c>
      <c r="F197" s="314" t="s">
        <v>3998</v>
      </c>
      <c r="G197" s="313">
        <v>134</v>
      </c>
      <c r="H197" s="313">
        <v>216</v>
      </c>
      <c r="I197" s="313">
        <v>2023.02</v>
      </c>
    </row>
    <row r="198" spans="1:9">
      <c r="A198" s="313" t="s">
        <v>27</v>
      </c>
      <c r="B198" s="313" t="s">
        <v>297</v>
      </c>
      <c r="C198" s="313" t="s">
        <v>3997</v>
      </c>
      <c r="D198" s="313" t="s">
        <v>3997</v>
      </c>
      <c r="E198" s="313" t="s">
        <v>3878</v>
      </c>
      <c r="F198" s="314" t="s">
        <v>3998</v>
      </c>
      <c r="G198" s="313">
        <v>375</v>
      </c>
      <c r="H198" s="313">
        <v>480</v>
      </c>
      <c r="I198" s="313">
        <v>2023.02</v>
      </c>
    </row>
    <row r="199" spans="1:9">
      <c r="A199" s="313" t="s">
        <v>27</v>
      </c>
      <c r="B199" s="313" t="s">
        <v>297</v>
      </c>
      <c r="C199" s="313" t="s">
        <v>3999</v>
      </c>
      <c r="D199" s="313" t="s">
        <v>3999</v>
      </c>
      <c r="E199" s="313" t="s">
        <v>3854</v>
      </c>
      <c r="F199" s="314" t="s">
        <v>4000</v>
      </c>
      <c r="G199" s="313">
        <v>140</v>
      </c>
      <c r="H199" s="313">
        <v>636</v>
      </c>
      <c r="I199" s="313">
        <v>2023.02</v>
      </c>
    </row>
    <row r="200" spans="1:9">
      <c r="A200" s="313" t="s">
        <v>27</v>
      </c>
      <c r="B200" s="313" t="s">
        <v>297</v>
      </c>
      <c r="C200" s="313" t="s">
        <v>3999</v>
      </c>
      <c r="D200" s="313" t="s">
        <v>3999</v>
      </c>
      <c r="E200" s="313" t="s">
        <v>3848</v>
      </c>
      <c r="F200" s="314" t="s">
        <v>4000</v>
      </c>
      <c r="G200" s="313">
        <v>265</v>
      </c>
      <c r="H200" s="313">
        <v>474</v>
      </c>
      <c r="I200" s="313">
        <v>2023.02</v>
      </c>
    </row>
    <row r="201" spans="1:9">
      <c r="A201" s="313" t="s">
        <v>27</v>
      </c>
      <c r="B201" s="313" t="s">
        <v>297</v>
      </c>
      <c r="C201" s="313" t="s">
        <v>3999</v>
      </c>
      <c r="D201" s="313" t="s">
        <v>3999</v>
      </c>
      <c r="E201" s="313" t="s">
        <v>3818</v>
      </c>
      <c r="F201" s="314" t="s">
        <v>4000</v>
      </c>
      <c r="G201" s="313">
        <v>258</v>
      </c>
      <c r="H201" s="313">
        <v>750</v>
      </c>
      <c r="I201" s="313">
        <v>2023.02</v>
      </c>
    </row>
    <row r="202" spans="1:9">
      <c r="A202" s="313" t="s">
        <v>27</v>
      </c>
      <c r="B202" s="313" t="s">
        <v>297</v>
      </c>
      <c r="C202" s="313" t="s">
        <v>4001</v>
      </c>
      <c r="D202" s="313" t="s">
        <v>4002</v>
      </c>
      <c r="E202" s="313" t="s">
        <v>3854</v>
      </c>
      <c r="F202" s="314" t="s">
        <v>4003</v>
      </c>
      <c r="G202" s="313">
        <v>140</v>
      </c>
      <c r="H202" s="313">
        <v>373</v>
      </c>
      <c r="I202" s="313">
        <v>2023.02</v>
      </c>
    </row>
    <row r="203" spans="1:9">
      <c r="A203" s="313" t="s">
        <v>27</v>
      </c>
      <c r="B203" s="313" t="s">
        <v>297</v>
      </c>
      <c r="C203" s="313" t="s">
        <v>4001</v>
      </c>
      <c r="D203" s="313" t="s">
        <v>4002</v>
      </c>
      <c r="E203" s="313" t="s">
        <v>3848</v>
      </c>
      <c r="F203" s="314" t="s">
        <v>4003</v>
      </c>
      <c r="G203" s="313">
        <v>210</v>
      </c>
      <c r="H203" s="313">
        <v>931</v>
      </c>
      <c r="I203" s="313">
        <v>2023.02</v>
      </c>
    </row>
    <row r="204" spans="1:9">
      <c r="A204" s="313" t="s">
        <v>27</v>
      </c>
      <c r="B204" s="313" t="s">
        <v>297</v>
      </c>
      <c r="C204" s="313" t="s">
        <v>4001</v>
      </c>
      <c r="D204" s="313" t="s">
        <v>4001</v>
      </c>
      <c r="E204" s="313" t="s">
        <v>3854</v>
      </c>
      <c r="F204" s="314" t="s">
        <v>4004</v>
      </c>
      <c r="G204" s="313">
        <v>140</v>
      </c>
      <c r="H204" s="313">
        <v>636</v>
      </c>
      <c r="I204" s="313">
        <v>2023.02</v>
      </c>
    </row>
    <row r="205" spans="1:9">
      <c r="A205" s="313" t="s">
        <v>27</v>
      </c>
      <c r="B205" s="313" t="s">
        <v>297</v>
      </c>
      <c r="C205" s="313" t="s">
        <v>4001</v>
      </c>
      <c r="D205" s="313" t="s">
        <v>4001</v>
      </c>
      <c r="E205" s="313" t="s">
        <v>3820</v>
      </c>
      <c r="F205" s="314" t="s">
        <v>4004</v>
      </c>
      <c r="G205" s="313">
        <v>350</v>
      </c>
      <c r="H205" s="313">
        <v>107</v>
      </c>
      <c r="I205" s="313">
        <v>2023.02</v>
      </c>
    </row>
    <row r="206" spans="1:9">
      <c r="A206" s="313" t="s">
        <v>27</v>
      </c>
      <c r="B206" s="313" t="s">
        <v>297</v>
      </c>
      <c r="C206" s="313" t="s">
        <v>4001</v>
      </c>
      <c r="D206" s="313" t="s">
        <v>4001</v>
      </c>
      <c r="E206" s="313" t="s">
        <v>3878</v>
      </c>
      <c r="F206" s="314" t="s">
        <v>4004</v>
      </c>
      <c r="G206" s="313">
        <v>184</v>
      </c>
      <c r="H206" s="313">
        <v>130</v>
      </c>
      <c r="I206" s="313">
        <v>2023.02</v>
      </c>
    </row>
    <row r="207" spans="1:9">
      <c r="A207" s="313" t="s">
        <v>27</v>
      </c>
      <c r="B207" s="313" t="s">
        <v>297</v>
      </c>
      <c r="C207" s="313" t="s">
        <v>2415</v>
      </c>
      <c r="D207" s="313" t="s">
        <v>2415</v>
      </c>
      <c r="E207" s="313" t="s">
        <v>3854</v>
      </c>
      <c r="F207" s="314" t="s">
        <v>4005</v>
      </c>
      <c r="G207" s="313">
        <v>140</v>
      </c>
      <c r="H207" s="313">
        <v>636</v>
      </c>
      <c r="I207" s="313">
        <v>2023.02</v>
      </c>
    </row>
    <row r="208" spans="1:9">
      <c r="A208" s="313" t="s">
        <v>27</v>
      </c>
      <c r="B208" s="313" t="s">
        <v>297</v>
      </c>
      <c r="C208" s="313" t="s">
        <v>2415</v>
      </c>
      <c r="D208" s="313" t="s">
        <v>2415</v>
      </c>
      <c r="E208" s="313" t="s">
        <v>3820</v>
      </c>
      <c r="F208" s="314" t="s">
        <v>4005</v>
      </c>
      <c r="G208" s="313">
        <v>350</v>
      </c>
      <c r="H208" s="313">
        <v>107</v>
      </c>
      <c r="I208" s="313">
        <v>2023.02</v>
      </c>
    </row>
    <row r="209" spans="1:9">
      <c r="A209" s="313" t="s">
        <v>27</v>
      </c>
      <c r="B209" s="313" t="s">
        <v>297</v>
      </c>
      <c r="C209" s="313" t="s">
        <v>4006</v>
      </c>
      <c r="D209" s="313" t="s">
        <v>4006</v>
      </c>
      <c r="E209" s="313" t="s">
        <v>3820</v>
      </c>
      <c r="F209" s="314" t="s">
        <v>4007</v>
      </c>
      <c r="G209" s="313">
        <v>357</v>
      </c>
      <c r="H209" s="313">
        <v>395</v>
      </c>
      <c r="I209" s="313">
        <v>2023.02</v>
      </c>
    </row>
    <row r="210" spans="1:9">
      <c r="A210" s="313" t="s">
        <v>27</v>
      </c>
      <c r="B210" s="313" t="s">
        <v>297</v>
      </c>
      <c r="C210" s="313" t="s">
        <v>4006</v>
      </c>
      <c r="D210" s="313" t="s">
        <v>4006</v>
      </c>
      <c r="E210" s="313" t="s">
        <v>3878</v>
      </c>
      <c r="F210" s="314" t="s">
        <v>4007</v>
      </c>
      <c r="G210" s="313">
        <v>375</v>
      </c>
      <c r="H210" s="313">
        <v>480</v>
      </c>
      <c r="I210" s="313">
        <v>2023.02</v>
      </c>
    </row>
    <row r="211" spans="1:9">
      <c r="A211" s="313" t="s">
        <v>27</v>
      </c>
      <c r="B211" s="313" t="s">
        <v>297</v>
      </c>
      <c r="C211" s="313" t="s">
        <v>3836</v>
      </c>
      <c r="D211" s="313" t="s">
        <v>3836</v>
      </c>
      <c r="E211" s="313" t="s">
        <v>3878</v>
      </c>
      <c r="F211" s="314" t="s">
        <v>4008</v>
      </c>
      <c r="G211" s="313">
        <v>1200</v>
      </c>
      <c r="H211" s="313">
        <v>4000</v>
      </c>
      <c r="I211" s="313">
        <v>2023.02</v>
      </c>
    </row>
    <row r="212" spans="1:9">
      <c r="A212" s="313" t="s">
        <v>27</v>
      </c>
      <c r="B212" s="313" t="s">
        <v>297</v>
      </c>
      <c r="C212" s="313" t="s">
        <v>3836</v>
      </c>
      <c r="D212" s="313" t="s">
        <v>3836</v>
      </c>
      <c r="E212" s="313" t="s">
        <v>3834</v>
      </c>
      <c r="F212" s="314" t="s">
        <v>4008</v>
      </c>
      <c r="G212" s="313">
        <v>1200</v>
      </c>
      <c r="H212" s="313">
        <v>4000</v>
      </c>
      <c r="I212" s="313">
        <v>2023.02</v>
      </c>
    </row>
    <row r="213" spans="1:9">
      <c r="A213" s="313" t="s">
        <v>27</v>
      </c>
      <c r="B213" s="313" t="s">
        <v>297</v>
      </c>
      <c r="C213" s="313" t="s">
        <v>3828</v>
      </c>
      <c r="D213" s="313" t="s">
        <v>3828</v>
      </c>
      <c r="E213" s="313" t="s">
        <v>3854</v>
      </c>
      <c r="F213" s="314" t="s">
        <v>4009</v>
      </c>
      <c r="G213" s="313">
        <v>140</v>
      </c>
      <c r="H213" s="313">
        <v>420</v>
      </c>
      <c r="I213" s="313">
        <v>2023.02</v>
      </c>
    </row>
    <row r="214" spans="1:9">
      <c r="A214" s="313" t="s">
        <v>27</v>
      </c>
      <c r="B214" s="313" t="s">
        <v>297</v>
      </c>
      <c r="C214" s="313" t="s">
        <v>3828</v>
      </c>
      <c r="D214" s="313" t="s">
        <v>3828</v>
      </c>
      <c r="E214" s="313" t="s">
        <v>3820</v>
      </c>
      <c r="F214" s="314" t="s">
        <v>4009</v>
      </c>
      <c r="G214" s="313">
        <v>176</v>
      </c>
      <c r="H214" s="313">
        <v>280</v>
      </c>
      <c r="I214" s="313">
        <v>2023.02</v>
      </c>
    </row>
    <row r="215" spans="1:9">
      <c r="A215" s="313" t="s">
        <v>27</v>
      </c>
      <c r="B215" s="313" t="s">
        <v>297</v>
      </c>
      <c r="C215" s="313" t="s">
        <v>3828</v>
      </c>
      <c r="D215" s="313" t="s">
        <v>3828</v>
      </c>
      <c r="E215" s="313" t="s">
        <v>3878</v>
      </c>
      <c r="F215" s="314" t="s">
        <v>4009</v>
      </c>
      <c r="G215" s="313">
        <v>375</v>
      </c>
      <c r="H215" s="313">
        <v>480</v>
      </c>
      <c r="I215" s="313">
        <v>2023.02</v>
      </c>
    </row>
    <row r="216" spans="1:9">
      <c r="A216" s="313" t="s">
        <v>27</v>
      </c>
      <c r="B216" s="313" t="s">
        <v>297</v>
      </c>
      <c r="C216" s="313" t="s">
        <v>4010</v>
      </c>
      <c r="D216" s="313" t="s">
        <v>4010</v>
      </c>
      <c r="E216" s="313" t="s">
        <v>3820</v>
      </c>
      <c r="F216" s="314" t="s">
        <v>4011</v>
      </c>
      <c r="G216" s="313">
        <v>325</v>
      </c>
      <c r="H216" s="313">
        <v>375</v>
      </c>
      <c r="I216" s="313">
        <v>2023.02</v>
      </c>
    </row>
    <row r="217" spans="1:9">
      <c r="A217" s="313" t="s">
        <v>27</v>
      </c>
      <c r="B217" s="313" t="s">
        <v>297</v>
      </c>
      <c r="C217" s="313" t="s">
        <v>4010</v>
      </c>
      <c r="D217" s="313" t="s">
        <v>4010</v>
      </c>
      <c r="E217" s="313" t="s">
        <v>3878</v>
      </c>
      <c r="F217" s="314" t="s">
        <v>4011</v>
      </c>
      <c r="G217" s="313">
        <v>265</v>
      </c>
      <c r="H217" s="313">
        <v>326</v>
      </c>
      <c r="I217" s="313">
        <v>2023.02</v>
      </c>
    </row>
    <row r="218" spans="1:9">
      <c r="A218" s="313" t="s">
        <v>27</v>
      </c>
      <c r="B218" s="313" t="s">
        <v>297</v>
      </c>
      <c r="C218" s="313" t="s">
        <v>4012</v>
      </c>
      <c r="D218" s="313" t="s">
        <v>2415</v>
      </c>
      <c r="E218" s="313" t="s">
        <v>3854</v>
      </c>
      <c r="F218" s="314" t="s">
        <v>4013</v>
      </c>
      <c r="G218" s="313">
        <v>140</v>
      </c>
      <c r="H218" s="313">
        <v>636</v>
      </c>
      <c r="I218" s="313">
        <v>2023.02</v>
      </c>
    </row>
    <row r="219" spans="1:9">
      <c r="A219" s="313" t="s">
        <v>27</v>
      </c>
      <c r="B219" s="313" t="s">
        <v>297</v>
      </c>
      <c r="C219" s="313" t="s">
        <v>4014</v>
      </c>
      <c r="D219" s="313" t="s">
        <v>4015</v>
      </c>
      <c r="E219" s="313" t="s">
        <v>3854</v>
      </c>
      <c r="F219" s="314" t="s">
        <v>4016</v>
      </c>
      <c r="G219" s="313">
        <v>140</v>
      </c>
      <c r="H219" s="313">
        <v>636</v>
      </c>
      <c r="I219" s="313">
        <v>2023.02</v>
      </c>
    </row>
    <row r="220" spans="1:9">
      <c r="A220" s="313" t="s">
        <v>27</v>
      </c>
      <c r="B220" s="313" t="s">
        <v>297</v>
      </c>
      <c r="C220" s="313" t="s">
        <v>4014</v>
      </c>
      <c r="D220" s="313" t="s">
        <v>4015</v>
      </c>
      <c r="E220" s="313" t="s">
        <v>3848</v>
      </c>
      <c r="F220" s="314" t="s">
        <v>4016</v>
      </c>
      <c r="G220" s="313">
        <v>210</v>
      </c>
      <c r="H220" s="313">
        <v>931</v>
      </c>
      <c r="I220" s="313">
        <v>2023.02</v>
      </c>
    </row>
    <row r="221" spans="1:9">
      <c r="A221" s="313" t="s">
        <v>27</v>
      </c>
      <c r="B221" s="313" t="s">
        <v>297</v>
      </c>
      <c r="C221" s="313" t="s">
        <v>4017</v>
      </c>
      <c r="D221" s="313" t="s">
        <v>4017</v>
      </c>
      <c r="E221" s="313" t="s">
        <v>3820</v>
      </c>
      <c r="F221" s="314" t="s">
        <v>4018</v>
      </c>
      <c r="G221" s="313">
        <v>160</v>
      </c>
      <c r="H221" s="313">
        <v>160</v>
      </c>
      <c r="I221" s="313">
        <v>2023.02</v>
      </c>
    </row>
    <row r="222" spans="1:9">
      <c r="A222" s="313" t="s">
        <v>27</v>
      </c>
      <c r="B222" s="313" t="s">
        <v>297</v>
      </c>
      <c r="C222" s="313" t="s">
        <v>4017</v>
      </c>
      <c r="D222" s="313" t="s">
        <v>4017</v>
      </c>
      <c r="E222" s="313" t="s">
        <v>3878</v>
      </c>
      <c r="F222" s="314" t="s">
        <v>4018</v>
      </c>
      <c r="G222" s="313">
        <v>175</v>
      </c>
      <c r="H222" s="313">
        <v>480</v>
      </c>
      <c r="I222" s="313">
        <v>2023.02</v>
      </c>
    </row>
    <row r="223" spans="1:9">
      <c r="A223" s="313" t="s">
        <v>27</v>
      </c>
      <c r="B223" s="313" t="s">
        <v>297</v>
      </c>
      <c r="C223" s="313" t="s">
        <v>4015</v>
      </c>
      <c r="D223" s="313" t="s">
        <v>4015</v>
      </c>
      <c r="E223" s="313" t="s">
        <v>3854</v>
      </c>
      <c r="F223" s="314" t="s">
        <v>4019</v>
      </c>
      <c r="G223" s="313">
        <v>140</v>
      </c>
      <c r="H223" s="313">
        <v>653</v>
      </c>
      <c r="I223" s="313">
        <v>2023.02</v>
      </c>
    </row>
    <row r="224" spans="1:9">
      <c r="A224" s="313" t="s">
        <v>27</v>
      </c>
      <c r="B224" s="313" t="s">
        <v>297</v>
      </c>
      <c r="C224" s="313" t="s">
        <v>4015</v>
      </c>
      <c r="D224" s="313" t="s">
        <v>4015</v>
      </c>
      <c r="E224" s="313" t="s">
        <v>3848</v>
      </c>
      <c r="F224" s="314" t="s">
        <v>4019</v>
      </c>
      <c r="G224" s="313">
        <v>210</v>
      </c>
      <c r="H224" s="313">
        <v>931</v>
      </c>
      <c r="I224" s="313">
        <v>2023.02</v>
      </c>
    </row>
    <row r="225" spans="1:9">
      <c r="A225" s="313" t="s">
        <v>27</v>
      </c>
      <c r="B225" s="313" t="s">
        <v>297</v>
      </c>
      <c r="C225" s="313" t="s">
        <v>4015</v>
      </c>
      <c r="D225" s="313" t="s">
        <v>4015</v>
      </c>
      <c r="E225" s="313" t="s">
        <v>3878</v>
      </c>
      <c r="F225" s="314" t="s">
        <v>4020</v>
      </c>
      <c r="G225" s="313">
        <v>160</v>
      </c>
      <c r="H225" s="313">
        <v>320</v>
      </c>
      <c r="I225" s="313">
        <v>2023.02</v>
      </c>
    </row>
    <row r="226" spans="1:9">
      <c r="A226" s="313" t="s">
        <v>27</v>
      </c>
      <c r="B226" s="313" t="s">
        <v>297</v>
      </c>
      <c r="C226" s="313" t="s">
        <v>2421</v>
      </c>
      <c r="D226" s="313" t="s">
        <v>2421</v>
      </c>
      <c r="E226" s="313" t="s">
        <v>3854</v>
      </c>
      <c r="F226" s="314" t="s">
        <v>4021</v>
      </c>
      <c r="G226" s="313">
        <v>140</v>
      </c>
      <c r="H226" s="313">
        <v>636</v>
      </c>
      <c r="I226" s="313">
        <v>2023.02</v>
      </c>
    </row>
    <row r="227" spans="1:9">
      <c r="A227" s="313" t="s">
        <v>27</v>
      </c>
      <c r="B227" s="313" t="s">
        <v>297</v>
      </c>
      <c r="C227" s="313" t="s">
        <v>2421</v>
      </c>
      <c r="D227" s="313" t="s">
        <v>2421</v>
      </c>
      <c r="E227" s="313" t="s">
        <v>3820</v>
      </c>
      <c r="F227" s="314" t="s">
        <v>4021</v>
      </c>
      <c r="G227" s="313">
        <v>375</v>
      </c>
      <c r="H227" s="313">
        <v>480</v>
      </c>
      <c r="I227" s="313">
        <v>2023.02</v>
      </c>
    </row>
    <row r="228" spans="1:9">
      <c r="A228" s="313" t="s">
        <v>27</v>
      </c>
      <c r="B228" s="313" t="s">
        <v>297</v>
      </c>
      <c r="C228" s="313" t="s">
        <v>2421</v>
      </c>
      <c r="D228" s="313" t="s">
        <v>2421</v>
      </c>
      <c r="E228" s="313" t="s">
        <v>3878</v>
      </c>
      <c r="F228" s="314" t="s">
        <v>4021</v>
      </c>
      <c r="G228" s="313">
        <v>375</v>
      </c>
      <c r="H228" s="313">
        <v>425</v>
      </c>
      <c r="I228" s="313">
        <v>2023.02</v>
      </c>
    </row>
    <row r="229" spans="1:9">
      <c r="A229" s="313" t="s">
        <v>27</v>
      </c>
      <c r="B229" s="313" t="s">
        <v>4022</v>
      </c>
      <c r="C229" s="313" t="s">
        <v>3836</v>
      </c>
      <c r="D229" s="313" t="s">
        <v>3836</v>
      </c>
      <c r="E229" s="313" t="s">
        <v>3878</v>
      </c>
      <c r="F229" s="314" t="s">
        <v>4023</v>
      </c>
      <c r="G229" s="313">
        <v>373</v>
      </c>
      <c r="H229" s="313">
        <v>379</v>
      </c>
      <c r="I229" s="313">
        <v>2023.02</v>
      </c>
    </row>
    <row r="230" spans="1:9">
      <c r="A230" s="313" t="s">
        <v>27</v>
      </c>
      <c r="B230" s="313" t="s">
        <v>4022</v>
      </c>
      <c r="C230" s="313" t="s">
        <v>3836</v>
      </c>
      <c r="D230" s="313" t="s">
        <v>3836</v>
      </c>
      <c r="E230" s="313" t="s">
        <v>3937</v>
      </c>
      <c r="F230" s="314" t="s">
        <v>4023</v>
      </c>
      <c r="G230" s="313">
        <v>465</v>
      </c>
      <c r="H230" s="313">
        <v>767</v>
      </c>
      <c r="I230" s="313">
        <v>2023.02</v>
      </c>
    </row>
    <row r="231" spans="1:9">
      <c r="A231" s="313" t="s">
        <v>27</v>
      </c>
      <c r="B231" s="313" t="s">
        <v>4022</v>
      </c>
      <c r="C231" s="313" t="s">
        <v>3836</v>
      </c>
      <c r="D231" s="313" t="s">
        <v>3836</v>
      </c>
      <c r="E231" s="313" t="s">
        <v>3818</v>
      </c>
      <c r="F231" s="314" t="s">
        <v>4023</v>
      </c>
      <c r="G231" s="313">
        <v>2000</v>
      </c>
      <c r="H231" s="313">
        <v>2000</v>
      </c>
      <c r="I231" s="313">
        <v>2023.02</v>
      </c>
    </row>
    <row r="232" spans="1:9">
      <c r="A232" s="313" t="s">
        <v>27</v>
      </c>
      <c r="B232" s="313" t="s">
        <v>4022</v>
      </c>
      <c r="C232" s="313" t="s">
        <v>4024</v>
      </c>
      <c r="D232" s="313" t="s">
        <v>4025</v>
      </c>
      <c r="E232" s="313" t="s">
        <v>4026</v>
      </c>
      <c r="F232" s="314" t="s">
        <v>4027</v>
      </c>
      <c r="G232" s="313">
        <v>800</v>
      </c>
      <c r="H232" s="313">
        <v>600</v>
      </c>
      <c r="I232" s="313">
        <v>2023.02</v>
      </c>
    </row>
    <row r="233" spans="1:9">
      <c r="A233" s="313" t="s">
        <v>27</v>
      </c>
      <c r="B233" s="313" t="s">
        <v>4022</v>
      </c>
      <c r="C233" s="313" t="s">
        <v>4024</v>
      </c>
      <c r="D233" s="313" t="s">
        <v>4025</v>
      </c>
      <c r="E233" s="313" t="s">
        <v>3818</v>
      </c>
      <c r="F233" s="314" t="s">
        <v>4027</v>
      </c>
      <c r="G233" s="313">
        <v>80</v>
      </c>
      <c r="H233" s="313">
        <v>80</v>
      </c>
      <c r="I233" s="313">
        <v>2023.02</v>
      </c>
    </row>
    <row r="234" spans="1:9">
      <c r="A234" s="313" t="s">
        <v>27</v>
      </c>
      <c r="B234" s="313" t="s">
        <v>4022</v>
      </c>
      <c r="C234" s="313" t="s">
        <v>4024</v>
      </c>
      <c r="D234" s="313" t="s">
        <v>4028</v>
      </c>
      <c r="E234" s="313" t="s">
        <v>3878</v>
      </c>
      <c r="F234" s="314" t="s">
        <v>4029</v>
      </c>
      <c r="G234" s="313">
        <v>490</v>
      </c>
      <c r="H234" s="313">
        <v>740</v>
      </c>
      <c r="I234" s="313">
        <v>2023.02</v>
      </c>
    </row>
    <row r="235" spans="1:9">
      <c r="A235" s="313" t="s">
        <v>27</v>
      </c>
      <c r="B235" s="313" t="s">
        <v>4022</v>
      </c>
      <c r="C235" s="313" t="s">
        <v>4024</v>
      </c>
      <c r="D235" s="313" t="s">
        <v>4028</v>
      </c>
      <c r="E235" s="313" t="s">
        <v>3937</v>
      </c>
      <c r="F235" s="314" t="s">
        <v>4029</v>
      </c>
      <c r="G235" s="313">
        <v>241</v>
      </c>
      <c r="H235" s="313">
        <v>580</v>
      </c>
      <c r="I235" s="313">
        <v>2023.02</v>
      </c>
    </row>
    <row r="236" spans="1:9">
      <c r="A236" s="313" t="s">
        <v>27</v>
      </c>
      <c r="B236" s="313" t="s">
        <v>4022</v>
      </c>
      <c r="C236" s="313" t="s">
        <v>4024</v>
      </c>
      <c r="D236" s="313" t="s">
        <v>4028</v>
      </c>
      <c r="E236" s="313" t="s">
        <v>3818</v>
      </c>
      <c r="F236" s="314" t="s">
        <v>4029</v>
      </c>
      <c r="G236" s="313">
        <v>600</v>
      </c>
      <c r="H236" s="313">
        <v>1160</v>
      </c>
      <c r="I236" s="313">
        <v>2023.02</v>
      </c>
    </row>
    <row r="237" spans="1:9">
      <c r="A237" s="313" t="s">
        <v>27</v>
      </c>
      <c r="B237" s="313" t="s">
        <v>4022</v>
      </c>
      <c r="C237" s="313" t="s">
        <v>4024</v>
      </c>
      <c r="D237" s="313" t="s">
        <v>4030</v>
      </c>
      <c r="E237" s="313" t="s">
        <v>3854</v>
      </c>
      <c r="F237" s="314" t="s">
        <v>4031</v>
      </c>
      <c r="G237" s="313">
        <v>120</v>
      </c>
      <c r="H237" s="313">
        <v>200</v>
      </c>
      <c r="I237" s="313">
        <v>2023.02</v>
      </c>
    </row>
    <row r="238" spans="1:9">
      <c r="A238" s="313" t="s">
        <v>27</v>
      </c>
      <c r="B238" s="313" t="s">
        <v>4022</v>
      </c>
      <c r="C238" s="313" t="s">
        <v>4024</v>
      </c>
      <c r="D238" s="313" t="s">
        <v>4030</v>
      </c>
      <c r="E238" s="313" t="s">
        <v>3820</v>
      </c>
      <c r="F238" s="314" t="s">
        <v>4031</v>
      </c>
      <c r="G238" s="313">
        <v>490</v>
      </c>
      <c r="H238" s="313">
        <v>740</v>
      </c>
      <c r="I238" s="313">
        <v>2023.02</v>
      </c>
    </row>
    <row r="239" spans="1:9">
      <c r="A239" s="313" t="s">
        <v>27</v>
      </c>
      <c r="B239" s="313" t="s">
        <v>4022</v>
      </c>
      <c r="C239" s="313" t="s">
        <v>4024</v>
      </c>
      <c r="D239" s="313" t="s">
        <v>4030</v>
      </c>
      <c r="E239" s="313" t="s">
        <v>3848</v>
      </c>
      <c r="F239" s="314" t="s">
        <v>4031</v>
      </c>
      <c r="G239" s="313">
        <v>490</v>
      </c>
      <c r="H239" s="313">
        <v>740</v>
      </c>
      <c r="I239" s="313">
        <v>2023.02</v>
      </c>
    </row>
    <row r="240" spans="1:9">
      <c r="A240" s="313" t="s">
        <v>27</v>
      </c>
      <c r="B240" s="313" t="s">
        <v>4022</v>
      </c>
      <c r="C240" s="313" t="s">
        <v>4024</v>
      </c>
      <c r="D240" s="313" t="s">
        <v>4030</v>
      </c>
      <c r="E240" s="313" t="s">
        <v>3937</v>
      </c>
      <c r="F240" s="314" t="s">
        <v>4031</v>
      </c>
      <c r="G240" s="313">
        <v>540</v>
      </c>
      <c r="H240" s="313">
        <v>540</v>
      </c>
      <c r="I240" s="313">
        <v>2023.02</v>
      </c>
    </row>
    <row r="241" spans="1:9">
      <c r="A241" s="313" t="s">
        <v>27</v>
      </c>
      <c r="B241" s="313" t="s">
        <v>4022</v>
      </c>
      <c r="C241" s="313" t="s">
        <v>4024</v>
      </c>
      <c r="D241" s="313" t="s">
        <v>4030</v>
      </c>
      <c r="E241" s="313" t="s">
        <v>3900</v>
      </c>
      <c r="F241" s="314" t="s">
        <v>4031</v>
      </c>
      <c r="G241" s="313">
        <v>104</v>
      </c>
      <c r="H241" s="313">
        <v>870</v>
      </c>
      <c r="I241" s="313">
        <v>2023.02</v>
      </c>
    </row>
    <row r="242" spans="1:9">
      <c r="A242" s="313" t="s">
        <v>27</v>
      </c>
      <c r="B242" s="313" t="s">
        <v>4022</v>
      </c>
      <c r="C242" s="313" t="s">
        <v>4024</v>
      </c>
      <c r="D242" s="313" t="s">
        <v>4030</v>
      </c>
      <c r="E242" s="313" t="s">
        <v>3818</v>
      </c>
      <c r="F242" s="314" t="s">
        <v>4031</v>
      </c>
      <c r="G242" s="313">
        <v>600</v>
      </c>
      <c r="H242" s="313">
        <v>1160</v>
      </c>
      <c r="I242" s="313">
        <v>2023.02</v>
      </c>
    </row>
    <row r="243" spans="1:9">
      <c r="A243" s="313" t="s">
        <v>27</v>
      </c>
      <c r="B243" s="313" t="s">
        <v>4022</v>
      </c>
      <c r="C243" s="313" t="s">
        <v>4024</v>
      </c>
      <c r="D243" s="313" t="s">
        <v>4032</v>
      </c>
      <c r="E243" s="313" t="s">
        <v>3854</v>
      </c>
      <c r="F243" s="314" t="s">
        <v>4033</v>
      </c>
      <c r="G243" s="313">
        <v>120</v>
      </c>
      <c r="H243" s="313">
        <v>200</v>
      </c>
      <c r="I243" s="313">
        <v>2023.02</v>
      </c>
    </row>
    <row r="244" spans="1:9">
      <c r="A244" s="313" t="s">
        <v>27</v>
      </c>
      <c r="B244" s="313" t="s">
        <v>4022</v>
      </c>
      <c r="C244" s="313" t="s">
        <v>4024</v>
      </c>
      <c r="D244" s="313" t="s">
        <v>4032</v>
      </c>
      <c r="E244" s="313" t="s">
        <v>3820</v>
      </c>
      <c r="F244" s="314" t="s">
        <v>4033</v>
      </c>
      <c r="G244" s="313">
        <v>490</v>
      </c>
      <c r="H244" s="313">
        <v>740</v>
      </c>
      <c r="I244" s="313">
        <v>2023.02</v>
      </c>
    </row>
    <row r="245" spans="1:9">
      <c r="A245" s="313" t="s">
        <v>27</v>
      </c>
      <c r="B245" s="313" t="s">
        <v>4022</v>
      </c>
      <c r="C245" s="313" t="s">
        <v>4024</v>
      </c>
      <c r="D245" s="313" t="s">
        <v>4032</v>
      </c>
      <c r="E245" s="313" t="s">
        <v>3848</v>
      </c>
      <c r="F245" s="314" t="s">
        <v>4033</v>
      </c>
      <c r="G245" s="313">
        <v>490</v>
      </c>
      <c r="H245" s="313">
        <v>740</v>
      </c>
      <c r="I245" s="313">
        <v>2023.02</v>
      </c>
    </row>
    <row r="246" spans="1:9">
      <c r="A246" s="313" t="s">
        <v>27</v>
      </c>
      <c r="B246" s="313" t="s">
        <v>4022</v>
      </c>
      <c r="C246" s="313" t="s">
        <v>4024</v>
      </c>
      <c r="D246" s="313" t="s">
        <v>4032</v>
      </c>
      <c r="E246" s="313" t="s">
        <v>3878</v>
      </c>
      <c r="F246" s="314" t="s">
        <v>4033</v>
      </c>
      <c r="G246" s="313">
        <v>1400</v>
      </c>
      <c r="H246" s="313">
        <v>1040</v>
      </c>
      <c r="I246" s="313">
        <v>2023.02</v>
      </c>
    </row>
    <row r="247" spans="1:9">
      <c r="A247" s="313" t="s">
        <v>27</v>
      </c>
      <c r="B247" s="313" t="s">
        <v>4022</v>
      </c>
      <c r="C247" s="313" t="s">
        <v>4024</v>
      </c>
      <c r="D247" s="313" t="s">
        <v>4032</v>
      </c>
      <c r="E247" s="313" t="s">
        <v>3937</v>
      </c>
      <c r="F247" s="314" t="s">
        <v>4033</v>
      </c>
      <c r="G247" s="313">
        <v>270</v>
      </c>
      <c r="H247" s="313">
        <v>540</v>
      </c>
      <c r="I247" s="313">
        <v>2023.02</v>
      </c>
    </row>
    <row r="248" spans="1:9">
      <c r="A248" s="313" t="s">
        <v>27</v>
      </c>
      <c r="B248" s="313" t="s">
        <v>4022</v>
      </c>
      <c r="C248" s="313" t="s">
        <v>4024</v>
      </c>
      <c r="D248" s="313" t="s">
        <v>4032</v>
      </c>
      <c r="E248" s="313" t="s">
        <v>3818</v>
      </c>
      <c r="F248" s="314" t="s">
        <v>4033</v>
      </c>
      <c r="G248" s="313">
        <v>490</v>
      </c>
      <c r="H248" s="313">
        <v>740</v>
      </c>
      <c r="I248" s="313">
        <v>2023.02</v>
      </c>
    </row>
    <row r="249" spans="1:9">
      <c r="A249" s="313" t="s">
        <v>27</v>
      </c>
      <c r="B249" s="313" t="s">
        <v>4022</v>
      </c>
      <c r="C249" s="313" t="s">
        <v>4024</v>
      </c>
      <c r="D249" s="313" t="s">
        <v>4034</v>
      </c>
      <c r="E249" s="313" t="s">
        <v>3818</v>
      </c>
      <c r="F249" s="314" t="s">
        <v>4035</v>
      </c>
      <c r="G249" s="313">
        <v>500</v>
      </c>
      <c r="H249" s="313">
        <v>1650</v>
      </c>
      <c r="I249" s="313">
        <v>2023.02</v>
      </c>
    </row>
    <row r="250" spans="1:9">
      <c r="A250" s="313" t="s">
        <v>27</v>
      </c>
      <c r="B250" s="313" t="s">
        <v>4022</v>
      </c>
      <c r="C250" s="313" t="s">
        <v>4024</v>
      </c>
      <c r="D250" s="313" t="s">
        <v>4036</v>
      </c>
      <c r="E250" s="313" t="s">
        <v>3854</v>
      </c>
      <c r="F250" s="314" t="s">
        <v>4037</v>
      </c>
      <c r="G250" s="313">
        <v>120</v>
      </c>
      <c r="H250" s="313">
        <v>200</v>
      </c>
      <c r="I250" s="313">
        <v>2023.02</v>
      </c>
    </row>
    <row r="251" spans="1:9">
      <c r="A251" s="313" t="s">
        <v>27</v>
      </c>
      <c r="B251" s="313" t="s">
        <v>4022</v>
      </c>
      <c r="C251" s="313" t="s">
        <v>4024</v>
      </c>
      <c r="D251" s="313" t="s">
        <v>4036</v>
      </c>
      <c r="E251" s="313" t="s">
        <v>3848</v>
      </c>
      <c r="F251" s="314" t="s">
        <v>4037</v>
      </c>
      <c r="G251" s="313">
        <v>490</v>
      </c>
      <c r="H251" s="313">
        <v>740</v>
      </c>
      <c r="I251" s="313">
        <v>2023.02</v>
      </c>
    </row>
    <row r="252" spans="1:9">
      <c r="A252" s="313" t="s">
        <v>27</v>
      </c>
      <c r="B252" s="313" t="s">
        <v>4022</v>
      </c>
      <c r="C252" s="313" t="s">
        <v>4024</v>
      </c>
      <c r="D252" s="313" t="s">
        <v>4036</v>
      </c>
      <c r="E252" s="313" t="s">
        <v>3900</v>
      </c>
      <c r="F252" s="314" t="s">
        <v>4037</v>
      </c>
      <c r="G252" s="313">
        <v>104</v>
      </c>
      <c r="H252" s="313">
        <v>870</v>
      </c>
      <c r="I252" s="313">
        <v>2023.02</v>
      </c>
    </row>
    <row r="253" spans="1:9">
      <c r="A253" s="313" t="s">
        <v>27</v>
      </c>
      <c r="B253" s="313" t="s">
        <v>4022</v>
      </c>
      <c r="C253" s="313" t="s">
        <v>4024</v>
      </c>
      <c r="D253" s="313" t="s">
        <v>4036</v>
      </c>
      <c r="E253" s="313" t="s">
        <v>3818</v>
      </c>
      <c r="F253" s="314" t="s">
        <v>4037</v>
      </c>
      <c r="G253" s="313">
        <v>490</v>
      </c>
      <c r="H253" s="313">
        <v>740</v>
      </c>
      <c r="I253" s="313">
        <v>2023.02</v>
      </c>
    </row>
    <row r="254" spans="1:9">
      <c r="A254" s="313" t="s">
        <v>201</v>
      </c>
      <c r="B254" s="313" t="s">
        <v>4038</v>
      </c>
      <c r="C254" s="313" t="s">
        <v>4039</v>
      </c>
      <c r="D254" s="313" t="s">
        <v>4039</v>
      </c>
      <c r="E254" s="313" t="s">
        <v>3818</v>
      </c>
      <c r="F254" s="314" t="s">
        <v>4040</v>
      </c>
      <c r="G254" s="313">
        <v>90</v>
      </c>
      <c r="H254" s="313">
        <v>52</v>
      </c>
      <c r="I254" s="313">
        <v>2023.03</v>
      </c>
    </row>
    <row r="255" spans="1:9">
      <c r="A255" s="313" t="s">
        <v>201</v>
      </c>
      <c r="B255" s="313" t="s">
        <v>4038</v>
      </c>
      <c r="C255" s="313" t="s">
        <v>4041</v>
      </c>
      <c r="D255" s="313" t="s">
        <v>4041</v>
      </c>
      <c r="E255" s="313" t="s">
        <v>3854</v>
      </c>
      <c r="F255" s="314" t="s">
        <v>4042</v>
      </c>
      <c r="G255" s="313">
        <v>21</v>
      </c>
      <c r="H255" s="313">
        <v>333</v>
      </c>
      <c r="I255" s="313">
        <v>2023.03</v>
      </c>
    </row>
    <row r="256" spans="1:9">
      <c r="A256" s="313" t="s">
        <v>201</v>
      </c>
      <c r="B256" s="313" t="s">
        <v>4038</v>
      </c>
      <c r="C256" s="313" t="s">
        <v>4041</v>
      </c>
      <c r="D256" s="313" t="s">
        <v>4041</v>
      </c>
      <c r="E256" s="313" t="s">
        <v>3820</v>
      </c>
      <c r="F256" s="314" t="s">
        <v>4042</v>
      </c>
      <c r="G256" s="313">
        <v>90</v>
      </c>
      <c r="H256" s="313">
        <v>66</v>
      </c>
      <c r="I256" s="313">
        <v>2023.03</v>
      </c>
    </row>
    <row r="257" spans="1:9">
      <c r="A257" s="313" t="s">
        <v>201</v>
      </c>
      <c r="B257" s="313" t="s">
        <v>4038</v>
      </c>
      <c r="C257" s="313" t="s">
        <v>4041</v>
      </c>
      <c r="D257" s="313" t="s">
        <v>4041</v>
      </c>
      <c r="E257" s="313" t="s">
        <v>3849</v>
      </c>
      <c r="F257" s="314" t="s">
        <v>4042</v>
      </c>
      <c r="G257" s="313">
        <v>23</v>
      </c>
      <c r="H257" s="313">
        <v>91</v>
      </c>
      <c r="I257" s="313">
        <v>2023.03</v>
      </c>
    </row>
    <row r="258" spans="1:9">
      <c r="A258" s="313" t="s">
        <v>201</v>
      </c>
      <c r="B258" s="313" t="s">
        <v>4038</v>
      </c>
      <c r="C258" s="313" t="s">
        <v>4041</v>
      </c>
      <c r="D258" s="313" t="s">
        <v>4041</v>
      </c>
      <c r="E258" s="313" t="s">
        <v>3878</v>
      </c>
      <c r="F258" s="314" t="s">
        <v>4042</v>
      </c>
      <c r="G258" s="313">
        <v>233</v>
      </c>
      <c r="H258" s="313">
        <v>370</v>
      </c>
      <c r="I258" s="313">
        <v>2023.03</v>
      </c>
    </row>
    <row r="259" spans="1:9">
      <c r="A259" s="313" t="s">
        <v>201</v>
      </c>
      <c r="B259" s="313" t="s">
        <v>4038</v>
      </c>
      <c r="C259" s="313" t="s">
        <v>4041</v>
      </c>
      <c r="D259" s="313" t="s">
        <v>4041</v>
      </c>
      <c r="E259" s="313" t="s">
        <v>3834</v>
      </c>
      <c r="F259" s="314" t="s">
        <v>4042</v>
      </c>
      <c r="G259" s="313">
        <v>355</v>
      </c>
      <c r="H259" s="313">
        <v>1700</v>
      </c>
      <c r="I259" s="313">
        <v>2023.03</v>
      </c>
    </row>
    <row r="260" spans="1:9">
      <c r="A260" s="313" t="s">
        <v>201</v>
      </c>
      <c r="B260" s="313" t="s">
        <v>4038</v>
      </c>
      <c r="C260" s="313" t="s">
        <v>4043</v>
      </c>
      <c r="D260" s="313" t="s">
        <v>4043</v>
      </c>
      <c r="E260" s="313" t="s">
        <v>3818</v>
      </c>
      <c r="F260" s="314" t="s">
        <v>4044</v>
      </c>
      <c r="G260" s="313">
        <v>1065</v>
      </c>
      <c r="H260" s="313">
        <v>5100</v>
      </c>
      <c r="I260" s="313">
        <v>2023.03</v>
      </c>
    </row>
    <row r="261" spans="1:9">
      <c r="A261" s="313" t="s">
        <v>201</v>
      </c>
      <c r="B261" s="313" t="s">
        <v>4038</v>
      </c>
      <c r="C261" s="313" t="s">
        <v>4045</v>
      </c>
      <c r="D261" s="313" t="s">
        <v>4045</v>
      </c>
      <c r="E261" s="313" t="s">
        <v>3818</v>
      </c>
      <c r="F261" s="314" t="s">
        <v>4046</v>
      </c>
      <c r="G261" s="313">
        <v>366</v>
      </c>
      <c r="H261" s="313">
        <v>1170</v>
      </c>
      <c r="I261" s="313">
        <v>2023.03</v>
      </c>
    </row>
    <row r="262" spans="1:9">
      <c r="A262" s="313" t="s">
        <v>201</v>
      </c>
      <c r="B262" s="313" t="s">
        <v>4038</v>
      </c>
      <c r="C262" s="313" t="s">
        <v>4006</v>
      </c>
      <c r="D262" s="313" t="s">
        <v>4006</v>
      </c>
      <c r="E262" s="313" t="s">
        <v>3854</v>
      </c>
      <c r="F262" s="314" t="s">
        <v>4047</v>
      </c>
      <c r="G262" s="313">
        <v>38</v>
      </c>
      <c r="H262" s="313">
        <v>108</v>
      </c>
      <c r="I262" s="313">
        <v>2023.03</v>
      </c>
    </row>
    <row r="263" spans="1:9">
      <c r="A263" s="313" t="s">
        <v>201</v>
      </c>
      <c r="B263" s="313" t="s">
        <v>4038</v>
      </c>
      <c r="C263" s="313" t="s">
        <v>4006</v>
      </c>
      <c r="D263" s="313" t="s">
        <v>4006</v>
      </c>
      <c r="E263" s="313" t="s">
        <v>3854</v>
      </c>
      <c r="F263" s="314" t="s">
        <v>4048</v>
      </c>
      <c r="G263" s="313">
        <v>355</v>
      </c>
      <c r="H263" s="313">
        <v>1700</v>
      </c>
      <c r="I263" s="313">
        <v>2023.03</v>
      </c>
    </row>
    <row r="264" spans="1:9">
      <c r="A264" s="313" t="s">
        <v>201</v>
      </c>
      <c r="B264" s="313" t="s">
        <v>4038</v>
      </c>
      <c r="C264" s="313" t="s">
        <v>4006</v>
      </c>
      <c r="D264" s="313" t="s">
        <v>4006</v>
      </c>
      <c r="E264" s="313" t="s">
        <v>3820</v>
      </c>
      <c r="F264" s="314" t="s">
        <v>4048</v>
      </c>
      <c r="G264" s="313">
        <v>90</v>
      </c>
      <c r="H264" s="313">
        <v>92</v>
      </c>
      <c r="I264" s="313">
        <v>2023.03</v>
      </c>
    </row>
    <row r="265" spans="1:9">
      <c r="A265" s="313" t="s">
        <v>201</v>
      </c>
      <c r="B265" s="313" t="s">
        <v>4038</v>
      </c>
      <c r="C265" s="313" t="s">
        <v>4006</v>
      </c>
      <c r="D265" s="313" t="s">
        <v>4006</v>
      </c>
      <c r="E265" s="313" t="s">
        <v>3820</v>
      </c>
      <c r="F265" s="314" t="s">
        <v>4047</v>
      </c>
      <c r="G265" s="313">
        <v>90</v>
      </c>
      <c r="H265" s="313">
        <v>73</v>
      </c>
      <c r="I265" s="313">
        <v>2023.03</v>
      </c>
    </row>
    <row r="266" spans="1:9">
      <c r="A266" s="313" t="s">
        <v>201</v>
      </c>
      <c r="B266" s="313" t="s">
        <v>4038</v>
      </c>
      <c r="C266" s="313" t="s">
        <v>4006</v>
      </c>
      <c r="D266" s="313" t="s">
        <v>4006</v>
      </c>
      <c r="E266" s="313" t="s">
        <v>3849</v>
      </c>
      <c r="F266" s="314" t="s">
        <v>4047</v>
      </c>
      <c r="G266" s="313">
        <v>355</v>
      </c>
      <c r="H266" s="313">
        <v>1700</v>
      </c>
      <c r="I266" s="313">
        <v>2023.03</v>
      </c>
    </row>
    <row r="267" spans="1:9">
      <c r="A267" s="313" t="s">
        <v>201</v>
      </c>
      <c r="B267" s="313" t="s">
        <v>4038</v>
      </c>
      <c r="C267" s="313" t="s">
        <v>4006</v>
      </c>
      <c r="D267" s="313" t="s">
        <v>4006</v>
      </c>
      <c r="E267" s="313" t="s">
        <v>3849</v>
      </c>
      <c r="F267" s="314" t="s">
        <v>4048</v>
      </c>
      <c r="G267" s="313">
        <v>90</v>
      </c>
      <c r="H267" s="313">
        <v>46</v>
      </c>
      <c r="I267" s="313">
        <v>2023.03</v>
      </c>
    </row>
    <row r="268" spans="1:9">
      <c r="A268" s="313" t="s">
        <v>201</v>
      </c>
      <c r="B268" s="313" t="s">
        <v>4038</v>
      </c>
      <c r="C268" s="313" t="s">
        <v>4006</v>
      </c>
      <c r="D268" s="313" t="s">
        <v>4006</v>
      </c>
      <c r="E268" s="313" t="s">
        <v>3878</v>
      </c>
      <c r="F268" s="314" t="s">
        <v>4047</v>
      </c>
      <c r="G268" s="313">
        <v>233</v>
      </c>
      <c r="H268" s="313">
        <v>370</v>
      </c>
      <c r="I268" s="313">
        <v>2023.03</v>
      </c>
    </row>
    <row r="269" spans="1:9">
      <c r="A269" s="313" t="s">
        <v>201</v>
      </c>
      <c r="B269" s="313" t="s">
        <v>4038</v>
      </c>
      <c r="C269" s="313" t="s">
        <v>4006</v>
      </c>
      <c r="D269" s="313" t="s">
        <v>4006</v>
      </c>
      <c r="E269" s="313" t="s">
        <v>3834</v>
      </c>
      <c r="F269" s="314" t="s">
        <v>4048</v>
      </c>
      <c r="G269" s="313">
        <v>355</v>
      </c>
      <c r="H269" s="313">
        <v>1700</v>
      </c>
      <c r="I269" s="313">
        <v>2023.03</v>
      </c>
    </row>
    <row r="270" spans="1:9">
      <c r="A270" s="313" t="s">
        <v>201</v>
      </c>
      <c r="B270" s="313" t="s">
        <v>4038</v>
      </c>
      <c r="C270" s="313" t="s">
        <v>4006</v>
      </c>
      <c r="D270" s="313" t="s">
        <v>4006</v>
      </c>
      <c r="E270" s="313" t="s">
        <v>3834</v>
      </c>
      <c r="F270" s="314" t="s">
        <v>4047</v>
      </c>
      <c r="G270" s="313">
        <v>347</v>
      </c>
      <c r="H270" s="313">
        <v>1699</v>
      </c>
      <c r="I270" s="313">
        <v>2023.03</v>
      </c>
    </row>
    <row r="271" spans="1:9">
      <c r="A271" s="313" t="s">
        <v>201</v>
      </c>
      <c r="B271" s="313" t="s">
        <v>4038</v>
      </c>
      <c r="C271" s="313" t="s">
        <v>4006</v>
      </c>
      <c r="D271" s="313" t="s">
        <v>4049</v>
      </c>
      <c r="E271" s="313" t="s">
        <v>3818</v>
      </c>
      <c r="F271" s="314" t="s">
        <v>4050</v>
      </c>
      <c r="G271" s="313">
        <v>366</v>
      </c>
      <c r="H271" s="313">
        <v>1170</v>
      </c>
      <c r="I271" s="313">
        <v>2023.03</v>
      </c>
    </row>
    <row r="272" spans="1:9">
      <c r="A272" s="313" t="s">
        <v>201</v>
      </c>
      <c r="B272" s="313" t="s">
        <v>4038</v>
      </c>
      <c r="C272" s="313" t="s">
        <v>3836</v>
      </c>
      <c r="D272" s="313" t="s">
        <v>3836</v>
      </c>
      <c r="E272" s="313" t="s">
        <v>3820</v>
      </c>
      <c r="F272" s="314" t="s">
        <v>210</v>
      </c>
      <c r="G272" s="313">
        <v>370</v>
      </c>
      <c r="H272" s="313">
        <v>278</v>
      </c>
      <c r="I272" s="313">
        <v>2023.03</v>
      </c>
    </row>
    <row r="273" spans="1:9">
      <c r="A273" s="313" t="s">
        <v>201</v>
      </c>
      <c r="B273" s="313" t="s">
        <v>4038</v>
      </c>
      <c r="C273" s="313" t="s">
        <v>3836</v>
      </c>
      <c r="D273" s="313" t="s">
        <v>3836</v>
      </c>
      <c r="E273" s="313" t="s">
        <v>3820</v>
      </c>
      <c r="F273" s="314"/>
      <c r="G273" s="313"/>
      <c r="H273" s="313"/>
      <c r="I273" s="313">
        <v>2023.03</v>
      </c>
    </row>
    <row r="274" spans="1:9">
      <c r="A274" s="313" t="s">
        <v>201</v>
      </c>
      <c r="B274" s="313" t="s">
        <v>4038</v>
      </c>
      <c r="C274" s="313" t="s">
        <v>3836</v>
      </c>
      <c r="D274" s="313" t="s">
        <v>3836</v>
      </c>
      <c r="E274" s="313" t="s">
        <v>3849</v>
      </c>
      <c r="F274" s="314" t="s">
        <v>210</v>
      </c>
      <c r="G274" s="313">
        <v>370</v>
      </c>
      <c r="H274" s="313">
        <v>278</v>
      </c>
      <c r="I274" s="313">
        <v>2023.03</v>
      </c>
    </row>
    <row r="275" spans="1:9">
      <c r="A275" s="313" t="s">
        <v>201</v>
      </c>
      <c r="B275" s="313" t="s">
        <v>4038</v>
      </c>
      <c r="C275" s="313" t="s">
        <v>3836</v>
      </c>
      <c r="D275" s="313" t="s">
        <v>3836</v>
      </c>
      <c r="E275" s="313" t="s">
        <v>4051</v>
      </c>
      <c r="F275" s="314" t="s">
        <v>210</v>
      </c>
      <c r="G275" s="313">
        <v>582</v>
      </c>
      <c r="H275" s="313">
        <v>1150</v>
      </c>
      <c r="I275" s="313">
        <v>2023.03</v>
      </c>
    </row>
    <row r="276" spans="1:9">
      <c r="A276" s="313" t="s">
        <v>201</v>
      </c>
      <c r="B276" s="313" t="s">
        <v>4038</v>
      </c>
      <c r="C276" s="313" t="s">
        <v>3836</v>
      </c>
      <c r="D276" s="313" t="s">
        <v>3836</v>
      </c>
      <c r="E276" s="313" t="s">
        <v>3834</v>
      </c>
      <c r="F276" s="314" t="s">
        <v>210</v>
      </c>
      <c r="G276" s="313">
        <v>982</v>
      </c>
      <c r="H276" s="313">
        <v>1150</v>
      </c>
      <c r="I276" s="313">
        <v>2023.03</v>
      </c>
    </row>
    <row r="277" spans="1:9">
      <c r="A277" s="313" t="s">
        <v>201</v>
      </c>
      <c r="B277" s="313" t="s">
        <v>4038</v>
      </c>
      <c r="C277" s="313" t="s">
        <v>4010</v>
      </c>
      <c r="D277" s="313" t="s">
        <v>2421</v>
      </c>
      <c r="E277" s="313" t="s">
        <v>3818</v>
      </c>
      <c r="F277" s="314" t="s">
        <v>4052</v>
      </c>
      <c r="G277" s="313">
        <v>366</v>
      </c>
      <c r="H277" s="313">
        <v>1170</v>
      </c>
      <c r="I277" s="313">
        <v>2023.03</v>
      </c>
    </row>
    <row r="278" spans="1:9">
      <c r="A278" s="313" t="s">
        <v>201</v>
      </c>
      <c r="B278" s="313" t="s">
        <v>4038</v>
      </c>
      <c r="C278" s="313" t="s">
        <v>4053</v>
      </c>
      <c r="D278" s="313" t="s">
        <v>4053</v>
      </c>
      <c r="E278" s="313" t="s">
        <v>3854</v>
      </c>
      <c r="F278" s="314" t="s">
        <v>4054</v>
      </c>
      <c r="G278" s="313">
        <v>39</v>
      </c>
      <c r="H278" s="313">
        <v>136</v>
      </c>
      <c r="I278" s="313">
        <v>2023.03</v>
      </c>
    </row>
    <row r="279" spans="1:9">
      <c r="A279" s="313" t="s">
        <v>201</v>
      </c>
      <c r="B279" s="313" t="s">
        <v>4038</v>
      </c>
      <c r="C279" s="313" t="s">
        <v>4053</v>
      </c>
      <c r="D279" s="313" t="s">
        <v>4053</v>
      </c>
      <c r="E279" s="313" t="s">
        <v>3820</v>
      </c>
      <c r="F279" s="314" t="s">
        <v>4054</v>
      </c>
      <c r="G279" s="313">
        <v>69</v>
      </c>
      <c r="H279" s="313">
        <v>109</v>
      </c>
      <c r="I279" s="313">
        <v>2023.03</v>
      </c>
    </row>
    <row r="280" spans="1:9">
      <c r="A280" s="313" t="s">
        <v>201</v>
      </c>
      <c r="B280" s="313" t="s">
        <v>4038</v>
      </c>
      <c r="C280" s="313" t="s">
        <v>4053</v>
      </c>
      <c r="D280" s="313" t="s">
        <v>4053</v>
      </c>
      <c r="E280" s="313" t="s">
        <v>3849</v>
      </c>
      <c r="F280" s="314" t="s">
        <v>4054</v>
      </c>
      <c r="G280" s="313">
        <v>233</v>
      </c>
      <c r="H280" s="313">
        <v>370</v>
      </c>
      <c r="I280" s="313">
        <v>2023.03</v>
      </c>
    </row>
    <row r="281" spans="1:9">
      <c r="A281" s="313" t="s">
        <v>201</v>
      </c>
      <c r="B281" s="313" t="s">
        <v>4038</v>
      </c>
      <c r="C281" s="313" t="s">
        <v>4053</v>
      </c>
      <c r="D281" s="313" t="s">
        <v>4053</v>
      </c>
      <c r="E281" s="313" t="s">
        <v>3849</v>
      </c>
      <c r="F281" s="314"/>
      <c r="G281" s="313"/>
      <c r="H281" s="313"/>
      <c r="I281" s="313">
        <v>2023.03</v>
      </c>
    </row>
    <row r="282" spans="1:9">
      <c r="A282" s="313" t="s">
        <v>201</v>
      </c>
      <c r="B282" s="313" t="s">
        <v>4038</v>
      </c>
      <c r="C282" s="313" t="s">
        <v>4053</v>
      </c>
      <c r="D282" s="313" t="s">
        <v>4053</v>
      </c>
      <c r="E282" s="313" t="s">
        <v>3878</v>
      </c>
      <c r="F282" s="314" t="s">
        <v>4054</v>
      </c>
      <c r="G282" s="313">
        <v>233</v>
      </c>
      <c r="H282" s="313">
        <v>370</v>
      </c>
      <c r="I282" s="313">
        <v>2023.03</v>
      </c>
    </row>
    <row r="283" spans="1:9">
      <c r="A283" s="313" t="s">
        <v>201</v>
      </c>
      <c r="B283" s="313" t="s">
        <v>4038</v>
      </c>
      <c r="C283" s="313" t="s">
        <v>4053</v>
      </c>
      <c r="D283" s="313" t="s">
        <v>4053</v>
      </c>
      <c r="E283" s="313" t="s">
        <v>3834</v>
      </c>
      <c r="F283" s="314" t="s">
        <v>4054</v>
      </c>
      <c r="G283" s="313">
        <v>1420</v>
      </c>
      <c r="H283" s="313">
        <v>6800</v>
      </c>
      <c r="I283" s="313">
        <v>2023.03</v>
      </c>
    </row>
    <row r="284" spans="1:9">
      <c r="A284" s="313" t="s">
        <v>201</v>
      </c>
      <c r="B284" s="313" t="s">
        <v>4038</v>
      </c>
      <c r="C284" s="313" t="s">
        <v>4055</v>
      </c>
      <c r="D284" s="313" t="s">
        <v>4056</v>
      </c>
      <c r="E284" s="313" t="s">
        <v>3969</v>
      </c>
      <c r="F284" s="314" t="s">
        <v>4057</v>
      </c>
      <c r="G284" s="313">
        <v>140</v>
      </c>
      <c r="H284" s="313">
        <v>1170</v>
      </c>
      <c r="I284" s="313">
        <v>2023.03</v>
      </c>
    </row>
    <row r="285" spans="1:9">
      <c r="A285" s="313" t="s">
        <v>201</v>
      </c>
      <c r="B285" s="313" t="s">
        <v>4038</v>
      </c>
      <c r="C285" s="313" t="s">
        <v>4055</v>
      </c>
      <c r="D285" s="313" t="s">
        <v>4056</v>
      </c>
      <c r="E285" s="313" t="s">
        <v>3818</v>
      </c>
      <c r="F285" s="314" t="s">
        <v>4057</v>
      </c>
      <c r="G285" s="313">
        <v>140</v>
      </c>
      <c r="H285" s="313">
        <v>585</v>
      </c>
      <c r="I285" s="313">
        <v>2023.03</v>
      </c>
    </row>
    <row r="286" spans="1:9">
      <c r="A286" s="313" t="s">
        <v>201</v>
      </c>
      <c r="B286" s="313" t="s">
        <v>4038</v>
      </c>
      <c r="C286" s="313" t="s">
        <v>4055</v>
      </c>
      <c r="D286" s="313" t="s">
        <v>4055</v>
      </c>
      <c r="E286" s="313" t="s">
        <v>3854</v>
      </c>
      <c r="F286" s="314" t="s">
        <v>4058</v>
      </c>
      <c r="G286" s="313">
        <v>32</v>
      </c>
      <c r="H286" s="313">
        <v>138</v>
      </c>
      <c r="I286" s="313">
        <v>2023.03</v>
      </c>
    </row>
    <row r="287" spans="1:9">
      <c r="A287" s="313" t="s">
        <v>201</v>
      </c>
      <c r="B287" s="313" t="s">
        <v>4038</v>
      </c>
      <c r="C287" s="313" t="s">
        <v>4055</v>
      </c>
      <c r="D287" s="313" t="s">
        <v>4055</v>
      </c>
      <c r="E287" s="313" t="s">
        <v>3820</v>
      </c>
      <c r="F287" s="314" t="s">
        <v>4058</v>
      </c>
      <c r="G287" s="313">
        <v>90</v>
      </c>
      <c r="H287" s="313">
        <v>90</v>
      </c>
      <c r="I287" s="313">
        <v>2023.03</v>
      </c>
    </row>
    <row r="288" spans="1:9">
      <c r="A288" s="313" t="s">
        <v>201</v>
      </c>
      <c r="B288" s="313" t="s">
        <v>4038</v>
      </c>
      <c r="C288" s="313" t="s">
        <v>4055</v>
      </c>
      <c r="D288" s="313" t="s">
        <v>4055</v>
      </c>
      <c r="E288" s="313" t="s">
        <v>3849</v>
      </c>
      <c r="F288" s="314" t="s">
        <v>4058</v>
      </c>
      <c r="G288" s="313">
        <v>90</v>
      </c>
      <c r="H288" s="313">
        <v>77</v>
      </c>
      <c r="I288" s="313">
        <v>2023.03</v>
      </c>
    </row>
    <row r="289" spans="1:9">
      <c r="A289" s="313" t="s">
        <v>201</v>
      </c>
      <c r="B289" s="313" t="s">
        <v>4038</v>
      </c>
      <c r="C289" s="313" t="s">
        <v>4055</v>
      </c>
      <c r="D289" s="313" t="s">
        <v>4055</v>
      </c>
      <c r="E289" s="313" t="s">
        <v>3878</v>
      </c>
      <c r="F289" s="314" t="s">
        <v>4058</v>
      </c>
      <c r="G289" s="313">
        <v>233</v>
      </c>
      <c r="H289" s="313">
        <v>370</v>
      </c>
      <c r="I289" s="313">
        <v>2023.03</v>
      </c>
    </row>
    <row r="290" spans="1:9">
      <c r="A290" s="313" t="s">
        <v>201</v>
      </c>
      <c r="B290" s="313" t="s">
        <v>4038</v>
      </c>
      <c r="C290" s="313" t="s">
        <v>4055</v>
      </c>
      <c r="D290" s="313" t="s">
        <v>4055</v>
      </c>
      <c r="E290" s="313" t="s">
        <v>3834</v>
      </c>
      <c r="F290" s="314" t="s">
        <v>4058</v>
      </c>
      <c r="G290" s="313">
        <v>90</v>
      </c>
      <c r="H290" s="313">
        <v>22</v>
      </c>
      <c r="I290" s="313">
        <v>2023.03</v>
      </c>
    </row>
    <row r="291" spans="1:9">
      <c r="A291" s="313" t="s">
        <v>345</v>
      </c>
      <c r="B291" s="313" t="s">
        <v>4059</v>
      </c>
      <c r="C291" s="313" t="s">
        <v>4060</v>
      </c>
      <c r="D291" s="313" t="s">
        <v>4060</v>
      </c>
      <c r="E291" s="313" t="s">
        <v>3854</v>
      </c>
      <c r="F291" s="314" t="s">
        <v>4061</v>
      </c>
      <c r="G291" s="313">
        <v>95</v>
      </c>
      <c r="H291" s="313">
        <v>210</v>
      </c>
      <c r="I291" s="313">
        <v>2023.03</v>
      </c>
    </row>
    <row r="292" spans="1:9">
      <c r="A292" s="313" t="s">
        <v>345</v>
      </c>
      <c r="B292" s="313" t="s">
        <v>4059</v>
      </c>
      <c r="C292" s="313" t="s">
        <v>4060</v>
      </c>
      <c r="D292" s="313" t="s">
        <v>4060</v>
      </c>
      <c r="E292" s="313" t="s">
        <v>3848</v>
      </c>
      <c r="F292" s="314" t="s">
        <v>4061</v>
      </c>
      <c r="G292" s="313">
        <v>234</v>
      </c>
      <c r="H292" s="313">
        <v>1360</v>
      </c>
      <c r="I292" s="313">
        <v>2023.03</v>
      </c>
    </row>
    <row r="293" spans="1:9">
      <c r="A293" s="313" t="s">
        <v>345</v>
      </c>
      <c r="B293" s="313" t="s">
        <v>4059</v>
      </c>
      <c r="C293" s="313" t="s">
        <v>4060</v>
      </c>
      <c r="D293" s="313" t="s">
        <v>4060</v>
      </c>
      <c r="E293" s="313" t="s">
        <v>4062</v>
      </c>
      <c r="F293" s="314" t="s">
        <v>4061</v>
      </c>
      <c r="G293" s="313">
        <v>220</v>
      </c>
      <c r="H293" s="313">
        <v>330</v>
      </c>
      <c r="I293" s="313">
        <v>2023.03</v>
      </c>
    </row>
    <row r="294" spans="1:9">
      <c r="A294" s="313" t="s">
        <v>345</v>
      </c>
      <c r="B294" s="313" t="s">
        <v>4059</v>
      </c>
      <c r="C294" s="313" t="s">
        <v>4060</v>
      </c>
      <c r="D294" s="313" t="s">
        <v>4060</v>
      </c>
      <c r="E294" s="313" t="s">
        <v>3818</v>
      </c>
      <c r="F294" s="314" t="s">
        <v>4061</v>
      </c>
      <c r="G294" s="313">
        <v>134</v>
      </c>
      <c r="H294" s="313">
        <v>1360</v>
      </c>
      <c r="I294" s="313">
        <v>2023.03</v>
      </c>
    </row>
    <row r="295" spans="1:9">
      <c r="A295" s="313" t="s">
        <v>345</v>
      </c>
      <c r="B295" s="313" t="s">
        <v>4059</v>
      </c>
      <c r="C295" s="313" t="s">
        <v>3836</v>
      </c>
      <c r="D295" s="313" t="s">
        <v>3836</v>
      </c>
      <c r="E295" s="313" t="s">
        <v>3820</v>
      </c>
      <c r="F295" s="314" t="s">
        <v>505</v>
      </c>
      <c r="G295" s="313">
        <v>188</v>
      </c>
      <c r="H295" s="313">
        <v>197</v>
      </c>
      <c r="I295" s="313">
        <v>2023.03</v>
      </c>
    </row>
    <row r="296" spans="1:9">
      <c r="A296" s="313" t="s">
        <v>345</v>
      </c>
      <c r="B296" s="313" t="s">
        <v>4059</v>
      </c>
      <c r="C296" s="313" t="s">
        <v>3836</v>
      </c>
      <c r="D296" s="313" t="s">
        <v>3836</v>
      </c>
      <c r="E296" s="313" t="s">
        <v>3937</v>
      </c>
      <c r="F296" s="314" t="s">
        <v>505</v>
      </c>
      <c r="G296" s="313">
        <v>616</v>
      </c>
      <c r="H296" s="313">
        <v>738</v>
      </c>
      <c r="I296" s="313">
        <v>2023.03</v>
      </c>
    </row>
    <row r="297" spans="1:9">
      <c r="A297" s="313" t="s">
        <v>345</v>
      </c>
      <c r="B297" s="313" t="s">
        <v>4059</v>
      </c>
      <c r="C297" s="313" t="s">
        <v>3836</v>
      </c>
      <c r="D297" s="313" t="s">
        <v>3836</v>
      </c>
      <c r="E297" s="313" t="s">
        <v>3818</v>
      </c>
      <c r="F297" s="314" t="s">
        <v>505</v>
      </c>
      <c r="G297" s="313">
        <v>423</v>
      </c>
      <c r="H297" s="313">
        <v>1280</v>
      </c>
      <c r="I297" s="313">
        <v>2023.03</v>
      </c>
    </row>
    <row r="298" spans="1:9">
      <c r="A298" s="313" t="s">
        <v>470</v>
      </c>
      <c r="B298" s="313" t="s">
        <v>4063</v>
      </c>
      <c r="C298" s="313" t="s">
        <v>3866</v>
      </c>
      <c r="D298" s="313" t="s">
        <v>3866</v>
      </c>
      <c r="E298" s="313" t="s">
        <v>3820</v>
      </c>
      <c r="F298" s="314" t="s">
        <v>4064</v>
      </c>
      <c r="G298" s="313">
        <v>180</v>
      </c>
      <c r="H298" s="313">
        <v>180</v>
      </c>
      <c r="I298" s="313">
        <v>2023.03</v>
      </c>
    </row>
    <row r="299" spans="1:9">
      <c r="A299" s="313" t="s">
        <v>470</v>
      </c>
      <c r="B299" s="313" t="s">
        <v>4063</v>
      </c>
      <c r="C299" s="313" t="s">
        <v>4065</v>
      </c>
      <c r="D299" s="313" t="s">
        <v>4065</v>
      </c>
      <c r="E299" s="313" t="s">
        <v>3854</v>
      </c>
      <c r="F299" s="314" t="s">
        <v>4066</v>
      </c>
      <c r="G299" s="313">
        <v>75</v>
      </c>
      <c r="H299" s="313">
        <v>165</v>
      </c>
      <c r="I299" s="313">
        <v>2023.03</v>
      </c>
    </row>
    <row r="300" spans="1:9">
      <c r="A300" s="313" t="s">
        <v>470</v>
      </c>
      <c r="B300" s="313" t="s">
        <v>4063</v>
      </c>
      <c r="C300" s="313" t="s">
        <v>4065</v>
      </c>
      <c r="D300" s="313" t="s">
        <v>4065</v>
      </c>
      <c r="E300" s="313" t="s">
        <v>3820</v>
      </c>
      <c r="F300" s="314" t="s">
        <v>4066</v>
      </c>
      <c r="G300" s="313">
        <v>100</v>
      </c>
      <c r="H300" s="313">
        <v>100</v>
      </c>
      <c r="I300" s="313">
        <v>2023.03</v>
      </c>
    </row>
    <row r="301" spans="1:9">
      <c r="A301" s="313" t="s">
        <v>470</v>
      </c>
      <c r="B301" s="313" t="s">
        <v>4063</v>
      </c>
      <c r="C301" s="313" t="s">
        <v>4065</v>
      </c>
      <c r="D301" s="313" t="s">
        <v>4065</v>
      </c>
      <c r="E301" s="313" t="s">
        <v>3878</v>
      </c>
      <c r="F301" s="314" t="s">
        <v>4066</v>
      </c>
      <c r="G301" s="313">
        <v>252</v>
      </c>
      <c r="H301" s="313">
        <v>260</v>
      </c>
      <c r="I301" s="313">
        <v>2023.03</v>
      </c>
    </row>
    <row r="302" spans="1:9">
      <c r="A302" s="313" t="s">
        <v>470</v>
      </c>
      <c r="B302" s="313" t="s">
        <v>4063</v>
      </c>
      <c r="C302" s="313" t="s">
        <v>4067</v>
      </c>
      <c r="D302" s="313" t="s">
        <v>4067</v>
      </c>
      <c r="E302" s="313" t="s">
        <v>3854</v>
      </c>
      <c r="F302" s="314" t="s">
        <v>4068</v>
      </c>
      <c r="G302" s="313">
        <v>39</v>
      </c>
      <c r="H302" s="313">
        <v>111</v>
      </c>
      <c r="I302" s="313">
        <v>2023.03</v>
      </c>
    </row>
    <row r="303" spans="1:9">
      <c r="A303" s="313" t="s">
        <v>470</v>
      </c>
      <c r="B303" s="313" t="s">
        <v>4063</v>
      </c>
      <c r="C303" s="313" t="s">
        <v>4067</v>
      </c>
      <c r="D303" s="313" t="s">
        <v>4067</v>
      </c>
      <c r="E303" s="313" t="s">
        <v>3820</v>
      </c>
      <c r="F303" s="314" t="s">
        <v>4068</v>
      </c>
      <c r="G303" s="313">
        <v>100</v>
      </c>
      <c r="H303" s="313">
        <v>100</v>
      </c>
      <c r="I303" s="313">
        <v>2023.03</v>
      </c>
    </row>
    <row r="304" spans="1:9">
      <c r="A304" s="313" t="s">
        <v>470</v>
      </c>
      <c r="B304" s="313" t="s">
        <v>4063</v>
      </c>
      <c r="C304" s="313" t="s">
        <v>4067</v>
      </c>
      <c r="D304" s="313" t="s">
        <v>4067</v>
      </c>
      <c r="E304" s="313" t="s">
        <v>3878</v>
      </c>
      <c r="F304" s="314" t="s">
        <v>4068</v>
      </c>
      <c r="G304" s="313">
        <v>252</v>
      </c>
      <c r="H304" s="313">
        <v>260</v>
      </c>
      <c r="I304" s="313">
        <v>2023.03</v>
      </c>
    </row>
    <row r="305" spans="1:9">
      <c r="A305" s="313" t="s">
        <v>470</v>
      </c>
      <c r="B305" s="313" t="s">
        <v>4063</v>
      </c>
      <c r="C305" s="313" t="s">
        <v>4069</v>
      </c>
      <c r="D305" s="313" t="s">
        <v>4069</v>
      </c>
      <c r="E305" s="313" t="s">
        <v>3834</v>
      </c>
      <c r="F305" s="314" t="s">
        <v>4070</v>
      </c>
      <c r="G305" s="313">
        <v>400</v>
      </c>
      <c r="H305" s="313">
        <v>1400</v>
      </c>
      <c r="I305" s="313">
        <v>2023.03</v>
      </c>
    </row>
    <row r="306" spans="1:9">
      <c r="A306" s="313" t="s">
        <v>470</v>
      </c>
      <c r="B306" s="313" t="s">
        <v>4063</v>
      </c>
      <c r="C306" s="313" t="s">
        <v>4071</v>
      </c>
      <c r="D306" s="313" t="s">
        <v>4071</v>
      </c>
      <c r="E306" s="313" t="s">
        <v>3834</v>
      </c>
      <c r="F306" s="314" t="s">
        <v>4072</v>
      </c>
      <c r="G306" s="313">
        <v>400</v>
      </c>
      <c r="H306" s="313">
        <v>1400</v>
      </c>
      <c r="I306" s="313">
        <v>2023.03</v>
      </c>
    </row>
    <row r="307" spans="1:9">
      <c r="A307" s="313" t="s">
        <v>470</v>
      </c>
      <c r="B307" s="313" t="s">
        <v>4063</v>
      </c>
      <c r="C307" s="313" t="s">
        <v>4073</v>
      </c>
      <c r="D307" s="313" t="s">
        <v>4073</v>
      </c>
      <c r="E307" s="313" t="s">
        <v>3854</v>
      </c>
      <c r="F307" s="314" t="s">
        <v>4074</v>
      </c>
      <c r="G307" s="313">
        <v>75</v>
      </c>
      <c r="H307" s="313">
        <v>165</v>
      </c>
      <c r="I307" s="313">
        <v>2023.03</v>
      </c>
    </row>
    <row r="308" spans="1:9">
      <c r="A308" s="313" t="s">
        <v>470</v>
      </c>
      <c r="B308" s="313" t="s">
        <v>4063</v>
      </c>
      <c r="C308" s="313" t="s">
        <v>4075</v>
      </c>
      <c r="D308" s="313" t="s">
        <v>4075</v>
      </c>
      <c r="E308" s="313" t="s">
        <v>3854</v>
      </c>
      <c r="F308" s="314" t="s">
        <v>4076</v>
      </c>
      <c r="G308" s="313">
        <v>75</v>
      </c>
      <c r="H308" s="313">
        <v>165</v>
      </c>
      <c r="I308" s="313">
        <v>2023.03</v>
      </c>
    </row>
    <row r="309" spans="1:9">
      <c r="A309" s="313" t="s">
        <v>261</v>
      </c>
      <c r="B309" s="313" t="s">
        <v>714</v>
      </c>
      <c r="C309" s="313" t="s">
        <v>3866</v>
      </c>
      <c r="D309" s="313" t="s">
        <v>3866</v>
      </c>
      <c r="E309" s="313" t="s">
        <v>3820</v>
      </c>
      <c r="F309" s="314" t="s">
        <v>4077</v>
      </c>
      <c r="G309" s="313">
        <v>200</v>
      </c>
      <c r="H309" s="313">
        <v>200</v>
      </c>
      <c r="I309" s="313">
        <v>2023.03</v>
      </c>
    </row>
    <row r="310" spans="1:9">
      <c r="A310" s="313" t="s">
        <v>261</v>
      </c>
      <c r="B310" s="313" t="s">
        <v>714</v>
      </c>
      <c r="C310" s="313" t="s">
        <v>3866</v>
      </c>
      <c r="D310" s="313" t="s">
        <v>3866</v>
      </c>
      <c r="E310" s="313" t="s">
        <v>3899</v>
      </c>
      <c r="F310" s="314" t="s">
        <v>4077</v>
      </c>
      <c r="G310" s="313">
        <v>603</v>
      </c>
      <c r="H310" s="313">
        <v>160</v>
      </c>
      <c r="I310" s="313">
        <v>2023.03</v>
      </c>
    </row>
    <row r="311" spans="1:9">
      <c r="A311" s="313" t="s">
        <v>261</v>
      </c>
      <c r="B311" s="313" t="s">
        <v>714</v>
      </c>
      <c r="C311" s="313" t="s">
        <v>2397</v>
      </c>
      <c r="D311" s="313" t="s">
        <v>2397</v>
      </c>
      <c r="E311" s="313" t="s">
        <v>3899</v>
      </c>
      <c r="F311" s="314" t="s">
        <v>4078</v>
      </c>
      <c r="G311" s="313">
        <v>603</v>
      </c>
      <c r="H311" s="313">
        <v>160</v>
      </c>
      <c r="I311" s="313">
        <v>2023.03</v>
      </c>
    </row>
    <row r="312" spans="1:9">
      <c r="A312" s="313" t="s">
        <v>261</v>
      </c>
      <c r="B312" s="313" t="s">
        <v>714</v>
      </c>
      <c r="C312" s="313" t="s">
        <v>4079</v>
      </c>
      <c r="D312" s="313" t="s">
        <v>4079</v>
      </c>
      <c r="E312" s="313" t="s">
        <v>3820</v>
      </c>
      <c r="F312" s="314" t="s">
        <v>4080</v>
      </c>
      <c r="G312" s="313">
        <v>200</v>
      </c>
      <c r="H312" s="313">
        <v>200</v>
      </c>
      <c r="I312" s="313">
        <v>2023.03</v>
      </c>
    </row>
    <row r="313" spans="1:9">
      <c r="A313" s="313" t="s">
        <v>261</v>
      </c>
      <c r="B313" s="313" t="s">
        <v>714</v>
      </c>
      <c r="C313" s="313" t="s">
        <v>4079</v>
      </c>
      <c r="D313" s="313" t="s">
        <v>4079</v>
      </c>
      <c r="E313" s="313" t="s">
        <v>3848</v>
      </c>
      <c r="F313" s="314" t="s">
        <v>4080</v>
      </c>
      <c r="G313" s="313">
        <v>490</v>
      </c>
      <c r="H313" s="313">
        <v>1854</v>
      </c>
      <c r="I313" s="313">
        <v>2023.03</v>
      </c>
    </row>
    <row r="314" spans="1:9">
      <c r="A314" s="313" t="s">
        <v>261</v>
      </c>
      <c r="B314" s="313" t="s">
        <v>714</v>
      </c>
      <c r="C314" s="313" t="s">
        <v>4079</v>
      </c>
      <c r="D314" s="313" t="s">
        <v>4079</v>
      </c>
      <c r="E314" s="313" t="s">
        <v>3849</v>
      </c>
      <c r="F314" s="314" t="s">
        <v>4080</v>
      </c>
      <c r="G314" s="313">
        <v>0</v>
      </c>
      <c r="H314" s="313">
        <v>0</v>
      </c>
      <c r="I314" s="313">
        <v>2023.03</v>
      </c>
    </row>
    <row r="315" spans="1:9">
      <c r="A315" s="313" t="s">
        <v>261</v>
      </c>
      <c r="B315" s="313" t="s">
        <v>714</v>
      </c>
      <c r="C315" s="313" t="s">
        <v>4079</v>
      </c>
      <c r="D315" s="313" t="s">
        <v>4079</v>
      </c>
      <c r="E315" s="313" t="s">
        <v>3878</v>
      </c>
      <c r="F315" s="314" t="s">
        <v>4080</v>
      </c>
      <c r="G315" s="313">
        <v>0</v>
      </c>
      <c r="H315" s="313">
        <v>0</v>
      </c>
      <c r="I315" s="313">
        <v>2023.03</v>
      </c>
    </row>
    <row r="316" spans="1:9">
      <c r="A316" s="313" t="s">
        <v>261</v>
      </c>
      <c r="B316" s="313" t="s">
        <v>714</v>
      </c>
      <c r="C316" s="313" t="s">
        <v>3836</v>
      </c>
      <c r="D316" s="313" t="s">
        <v>3836</v>
      </c>
      <c r="E316" s="313" t="s">
        <v>3820</v>
      </c>
      <c r="F316" s="314" t="s">
        <v>267</v>
      </c>
      <c r="G316" s="313">
        <v>200</v>
      </c>
      <c r="H316" s="313">
        <v>200</v>
      </c>
      <c r="I316" s="313">
        <v>2023.03</v>
      </c>
    </row>
    <row r="317" spans="1:9">
      <c r="A317" s="313" t="s">
        <v>261</v>
      </c>
      <c r="B317" s="313" t="s">
        <v>714</v>
      </c>
      <c r="C317" s="313" t="s">
        <v>3836</v>
      </c>
      <c r="D317" s="313" t="s">
        <v>3836</v>
      </c>
      <c r="E317" s="313" t="s">
        <v>3848</v>
      </c>
      <c r="F317" s="314" t="s">
        <v>267</v>
      </c>
      <c r="G317" s="313">
        <v>490</v>
      </c>
      <c r="H317" s="313">
        <v>1854</v>
      </c>
      <c r="I317" s="313">
        <v>2023.03</v>
      </c>
    </row>
    <row r="318" spans="1:9">
      <c r="A318" s="313" t="s">
        <v>261</v>
      </c>
      <c r="B318" s="313" t="s">
        <v>714</v>
      </c>
      <c r="C318" s="313" t="s">
        <v>3836</v>
      </c>
      <c r="D318" s="313" t="s">
        <v>3836</v>
      </c>
      <c r="E318" s="313" t="s">
        <v>3849</v>
      </c>
      <c r="F318" s="314" t="s">
        <v>267</v>
      </c>
      <c r="G318" s="313">
        <v>0</v>
      </c>
      <c r="H318" s="313">
        <v>0</v>
      </c>
      <c r="I318" s="313">
        <v>2023.03</v>
      </c>
    </row>
    <row r="319" spans="1:9">
      <c r="A319" s="313" t="s">
        <v>261</v>
      </c>
      <c r="B319" s="313" t="s">
        <v>714</v>
      </c>
      <c r="C319" s="313" t="s">
        <v>3836</v>
      </c>
      <c r="D319" s="313" t="s">
        <v>3836</v>
      </c>
      <c r="E319" s="313" t="s">
        <v>3899</v>
      </c>
      <c r="F319" s="314" t="s">
        <v>267</v>
      </c>
      <c r="G319" s="313">
        <v>603</v>
      </c>
      <c r="H319" s="313">
        <v>160</v>
      </c>
      <c r="I319" s="313">
        <v>2023.03</v>
      </c>
    </row>
    <row r="320" spans="1:9">
      <c r="A320" s="313" t="s">
        <v>261</v>
      </c>
      <c r="B320" s="313" t="s">
        <v>714</v>
      </c>
      <c r="C320" s="313" t="s">
        <v>3874</v>
      </c>
      <c r="D320" s="313" t="s">
        <v>3874</v>
      </c>
      <c r="E320" s="313" t="s">
        <v>3820</v>
      </c>
      <c r="F320" s="314" t="s">
        <v>4081</v>
      </c>
      <c r="G320" s="313">
        <v>800</v>
      </c>
      <c r="H320" s="313">
        <v>800</v>
      </c>
      <c r="I320" s="313">
        <v>2023.03</v>
      </c>
    </row>
    <row r="321" spans="1:9">
      <c r="A321" s="313" t="s">
        <v>261</v>
      </c>
      <c r="B321" s="313" t="s">
        <v>714</v>
      </c>
      <c r="C321" s="313" t="s">
        <v>3874</v>
      </c>
      <c r="D321" s="313" t="s">
        <v>3874</v>
      </c>
      <c r="E321" s="313" t="s">
        <v>3848</v>
      </c>
      <c r="F321" s="314" t="s">
        <v>4081</v>
      </c>
      <c r="G321" s="313">
        <v>0</v>
      </c>
      <c r="H321" s="313">
        <v>0</v>
      </c>
      <c r="I321" s="313">
        <v>2023.03</v>
      </c>
    </row>
    <row r="322" spans="1:9">
      <c r="A322" s="313" t="s">
        <v>261</v>
      </c>
      <c r="B322" s="313" t="s">
        <v>714</v>
      </c>
      <c r="C322" s="313" t="s">
        <v>3874</v>
      </c>
      <c r="D322" s="313" t="s">
        <v>3874</v>
      </c>
      <c r="E322" s="313" t="s">
        <v>3849</v>
      </c>
      <c r="F322" s="314" t="s">
        <v>4081</v>
      </c>
      <c r="G322" s="313">
        <v>500</v>
      </c>
      <c r="H322" s="313">
        <v>889</v>
      </c>
      <c r="I322" s="313">
        <v>2023.03</v>
      </c>
    </row>
    <row r="323" spans="1:9">
      <c r="A323" s="313" t="s">
        <v>261</v>
      </c>
      <c r="B323" s="313" t="s">
        <v>714</v>
      </c>
      <c r="C323" s="313" t="s">
        <v>3874</v>
      </c>
      <c r="D323" s="313" t="s">
        <v>3874</v>
      </c>
      <c r="E323" s="313" t="s">
        <v>3899</v>
      </c>
      <c r="F323" s="314" t="s">
        <v>4081</v>
      </c>
      <c r="G323" s="313">
        <v>603</v>
      </c>
      <c r="H323" s="313">
        <v>160</v>
      </c>
      <c r="I323" s="313">
        <v>2023.03</v>
      </c>
    </row>
    <row r="324" spans="1:9">
      <c r="A324" s="313" t="s">
        <v>261</v>
      </c>
      <c r="B324" s="313" t="s">
        <v>714</v>
      </c>
      <c r="C324" s="313" t="s">
        <v>3874</v>
      </c>
      <c r="D324" s="313" t="s">
        <v>3874</v>
      </c>
      <c r="E324" s="313" t="s">
        <v>3937</v>
      </c>
      <c r="F324" s="314" t="s">
        <v>4081</v>
      </c>
      <c r="G324" s="313">
        <v>368</v>
      </c>
      <c r="H324" s="313">
        <v>518</v>
      </c>
      <c r="I324" s="313">
        <v>2023.03</v>
      </c>
    </row>
    <row r="325" spans="1:9">
      <c r="A325" s="313" t="s">
        <v>261</v>
      </c>
      <c r="B325" s="313" t="s">
        <v>714</v>
      </c>
      <c r="C325" s="313" t="s">
        <v>3874</v>
      </c>
      <c r="D325" s="313" t="s">
        <v>3874</v>
      </c>
      <c r="E325" s="313" t="s">
        <v>3818</v>
      </c>
      <c r="F325" s="314" t="s">
        <v>4081</v>
      </c>
      <c r="G325" s="313">
        <v>0</v>
      </c>
      <c r="H325" s="313">
        <v>0</v>
      </c>
      <c r="I325" s="313">
        <v>2023.03</v>
      </c>
    </row>
    <row r="326" spans="1:9">
      <c r="A326" s="313" t="s">
        <v>261</v>
      </c>
      <c r="B326" s="313" t="s">
        <v>714</v>
      </c>
      <c r="C326" s="313" t="s">
        <v>3874</v>
      </c>
      <c r="D326" s="313" t="s">
        <v>3874</v>
      </c>
      <c r="E326" s="313" t="s">
        <v>3834</v>
      </c>
      <c r="F326" s="314" t="s">
        <v>4081</v>
      </c>
      <c r="G326" s="313">
        <v>600</v>
      </c>
      <c r="H326" s="313">
        <v>1600</v>
      </c>
      <c r="I326" s="313">
        <v>2023.03</v>
      </c>
    </row>
    <row r="327" spans="1:9">
      <c r="A327" s="313" t="s">
        <v>261</v>
      </c>
      <c r="B327" s="313" t="s">
        <v>714</v>
      </c>
      <c r="C327" s="313" t="s">
        <v>3874</v>
      </c>
      <c r="D327" s="313" t="s">
        <v>3858</v>
      </c>
      <c r="E327" s="313" t="s">
        <v>3900</v>
      </c>
      <c r="F327" s="314" t="s">
        <v>4082</v>
      </c>
      <c r="G327" s="313">
        <v>500</v>
      </c>
      <c r="H327" s="313">
        <v>1940</v>
      </c>
      <c r="I327" s="313">
        <v>2023.03</v>
      </c>
    </row>
    <row r="328" spans="1:9">
      <c r="A328" s="313" t="s">
        <v>261</v>
      </c>
      <c r="B328" s="313" t="s">
        <v>714</v>
      </c>
      <c r="C328" s="313" t="s">
        <v>4083</v>
      </c>
      <c r="D328" s="313" t="s">
        <v>2397</v>
      </c>
      <c r="E328" s="313" t="s">
        <v>3848</v>
      </c>
      <c r="F328" s="314" t="s">
        <v>4084</v>
      </c>
      <c r="G328" s="313">
        <v>490</v>
      </c>
      <c r="H328" s="313">
        <v>1854</v>
      </c>
      <c r="I328" s="313">
        <v>2023.03</v>
      </c>
    </row>
    <row r="329" spans="1:9">
      <c r="A329" s="313" t="s">
        <v>261</v>
      </c>
      <c r="B329" s="313" t="s">
        <v>714</v>
      </c>
      <c r="C329" s="313" t="s">
        <v>4083</v>
      </c>
      <c r="D329" s="313" t="s">
        <v>2397</v>
      </c>
      <c r="E329" s="313" t="s">
        <v>3899</v>
      </c>
      <c r="F329" s="314" t="s">
        <v>4084</v>
      </c>
      <c r="G329" s="313">
        <v>603</v>
      </c>
      <c r="H329" s="313">
        <v>160</v>
      </c>
      <c r="I329" s="313">
        <v>2023.03</v>
      </c>
    </row>
    <row r="330" spans="1:9">
      <c r="A330" s="313" t="s">
        <v>261</v>
      </c>
      <c r="B330" s="313" t="s">
        <v>714</v>
      </c>
      <c r="C330" s="313" t="s">
        <v>4083</v>
      </c>
      <c r="D330" s="313" t="s">
        <v>2407</v>
      </c>
      <c r="E330" s="313" t="s">
        <v>3820</v>
      </c>
      <c r="F330" s="314" t="s">
        <v>4085</v>
      </c>
      <c r="G330" s="313">
        <v>200</v>
      </c>
      <c r="H330" s="313">
        <v>200</v>
      </c>
      <c r="I330" s="313">
        <v>2023.03</v>
      </c>
    </row>
    <row r="331" spans="1:9">
      <c r="A331" s="313" t="s">
        <v>261</v>
      </c>
      <c r="B331" s="313" t="s">
        <v>714</v>
      </c>
      <c r="C331" s="313" t="s">
        <v>4083</v>
      </c>
      <c r="D331" s="313" t="s">
        <v>2407</v>
      </c>
      <c r="E331" s="313" t="s">
        <v>3848</v>
      </c>
      <c r="F331" s="314" t="s">
        <v>4085</v>
      </c>
      <c r="G331" s="313">
        <v>490</v>
      </c>
      <c r="H331" s="313">
        <v>1854</v>
      </c>
      <c r="I331" s="313">
        <v>2023.03</v>
      </c>
    </row>
    <row r="332" spans="1:9">
      <c r="A332" s="313" t="s">
        <v>261</v>
      </c>
      <c r="B332" s="313" t="s">
        <v>714</v>
      </c>
      <c r="C332" s="313" t="s">
        <v>4083</v>
      </c>
      <c r="D332" s="313" t="s">
        <v>2407</v>
      </c>
      <c r="E332" s="313" t="s">
        <v>3900</v>
      </c>
      <c r="F332" s="314" t="s">
        <v>4086</v>
      </c>
      <c r="G332" s="313">
        <v>500</v>
      </c>
      <c r="H332" s="313">
        <v>1940</v>
      </c>
      <c r="I332" s="313">
        <v>2023.03</v>
      </c>
    </row>
    <row r="333" spans="1:9">
      <c r="A333" s="313" t="s">
        <v>261</v>
      </c>
      <c r="B333" s="313" t="s">
        <v>714</v>
      </c>
      <c r="C333" s="313" t="s">
        <v>4083</v>
      </c>
      <c r="D333" s="313" t="s">
        <v>2659</v>
      </c>
      <c r="E333" s="313" t="s">
        <v>3900</v>
      </c>
      <c r="F333" s="314" t="s">
        <v>4087</v>
      </c>
      <c r="G333" s="313">
        <v>500</v>
      </c>
      <c r="H333" s="313">
        <v>1940</v>
      </c>
      <c r="I333" s="313">
        <v>2023.03</v>
      </c>
    </row>
    <row r="334" spans="1:9">
      <c r="A334" s="313" t="s">
        <v>261</v>
      </c>
      <c r="B334" s="313" t="s">
        <v>714</v>
      </c>
      <c r="C334" s="313" t="s">
        <v>4083</v>
      </c>
      <c r="D334" s="313" t="s">
        <v>4083</v>
      </c>
      <c r="E334" s="313" t="s">
        <v>3820</v>
      </c>
      <c r="F334" s="314" t="s">
        <v>4088</v>
      </c>
      <c r="G334" s="313">
        <v>200</v>
      </c>
      <c r="H334" s="313">
        <v>200</v>
      </c>
      <c r="I334" s="313">
        <v>2023.03</v>
      </c>
    </row>
    <row r="335" spans="1:9">
      <c r="A335" s="313" t="s">
        <v>261</v>
      </c>
      <c r="B335" s="313" t="s">
        <v>714</v>
      </c>
      <c r="C335" s="313" t="s">
        <v>4083</v>
      </c>
      <c r="D335" s="313" t="s">
        <v>4083</v>
      </c>
      <c r="E335" s="313" t="s">
        <v>3848</v>
      </c>
      <c r="F335" s="314" t="s">
        <v>4088</v>
      </c>
      <c r="G335" s="313">
        <v>490</v>
      </c>
      <c r="H335" s="313">
        <v>1854</v>
      </c>
      <c r="I335" s="313">
        <v>2023.03</v>
      </c>
    </row>
    <row r="336" spans="1:9">
      <c r="A336" s="313" t="s">
        <v>261</v>
      </c>
      <c r="B336" s="313" t="s">
        <v>714</v>
      </c>
      <c r="C336" s="313" t="s">
        <v>4083</v>
      </c>
      <c r="D336" s="313" t="s">
        <v>4083</v>
      </c>
      <c r="E336" s="313" t="s">
        <v>3899</v>
      </c>
      <c r="F336" s="314" t="s">
        <v>4088</v>
      </c>
      <c r="G336" s="313">
        <v>603</v>
      </c>
      <c r="H336" s="313">
        <v>160</v>
      </c>
      <c r="I336" s="313">
        <v>2023.03</v>
      </c>
    </row>
    <row r="337" spans="1:9">
      <c r="A337" s="313" t="s">
        <v>261</v>
      </c>
      <c r="B337" s="313" t="s">
        <v>714</v>
      </c>
      <c r="C337" s="313" t="s">
        <v>2405</v>
      </c>
      <c r="D337" s="313" t="s">
        <v>2405</v>
      </c>
      <c r="E337" s="313" t="s">
        <v>4089</v>
      </c>
      <c r="F337" s="314" t="s">
        <v>4090</v>
      </c>
      <c r="G337" s="313">
        <v>338</v>
      </c>
      <c r="H337" s="313">
        <v>600</v>
      </c>
      <c r="I337" s="313">
        <v>2023.03</v>
      </c>
    </row>
    <row r="338" spans="1:9">
      <c r="A338" s="313" t="s">
        <v>261</v>
      </c>
      <c r="B338" s="313" t="s">
        <v>714</v>
      </c>
      <c r="C338" s="313" t="s">
        <v>2405</v>
      </c>
      <c r="D338" s="313" t="s">
        <v>2405</v>
      </c>
      <c r="E338" s="313" t="s">
        <v>3848</v>
      </c>
      <c r="F338" s="314" t="s">
        <v>4090</v>
      </c>
      <c r="G338" s="313">
        <v>900</v>
      </c>
      <c r="H338" s="313">
        <v>1350</v>
      </c>
      <c r="I338" s="313">
        <v>2023.03</v>
      </c>
    </row>
    <row r="339" spans="1:9">
      <c r="A339" s="313" t="s">
        <v>261</v>
      </c>
      <c r="B339" s="313" t="s">
        <v>714</v>
      </c>
      <c r="C339" s="313" t="s">
        <v>2405</v>
      </c>
      <c r="D339" s="313" t="s">
        <v>2405</v>
      </c>
      <c r="E339" s="313" t="s">
        <v>3899</v>
      </c>
      <c r="F339" s="314" t="s">
        <v>4090</v>
      </c>
      <c r="G339" s="313">
        <v>603</v>
      </c>
      <c r="H339" s="313">
        <v>160</v>
      </c>
      <c r="I339" s="313">
        <v>2023.03</v>
      </c>
    </row>
    <row r="340" spans="1:9">
      <c r="A340" s="313" t="s">
        <v>285</v>
      </c>
      <c r="B340" s="313" t="s">
        <v>4091</v>
      </c>
      <c r="C340" s="313" t="s">
        <v>4092</v>
      </c>
      <c r="D340" s="313" t="s">
        <v>4093</v>
      </c>
      <c r="E340" s="313" t="s">
        <v>3937</v>
      </c>
      <c r="F340" s="314" t="s">
        <v>4094</v>
      </c>
      <c r="G340" s="313">
        <v>533</v>
      </c>
      <c r="H340" s="313">
        <v>800</v>
      </c>
      <c r="I340" s="313">
        <v>2023.03</v>
      </c>
    </row>
    <row r="341" spans="1:9">
      <c r="A341" s="313" t="s">
        <v>285</v>
      </c>
      <c r="B341" s="313" t="s">
        <v>4091</v>
      </c>
      <c r="C341" s="313" t="s">
        <v>4095</v>
      </c>
      <c r="D341" s="313" t="s">
        <v>4095</v>
      </c>
      <c r="E341" s="313" t="s">
        <v>3854</v>
      </c>
      <c r="F341" s="314" t="s">
        <v>4096</v>
      </c>
      <c r="G341" s="313">
        <v>709</v>
      </c>
      <c r="H341" s="313">
        <v>2560</v>
      </c>
      <c r="I341" s="313">
        <v>2023.03</v>
      </c>
    </row>
    <row r="342" spans="1:9">
      <c r="A342" s="313" t="s">
        <v>285</v>
      </c>
      <c r="B342" s="313" t="s">
        <v>4091</v>
      </c>
      <c r="C342" s="313" t="s">
        <v>4095</v>
      </c>
      <c r="D342" s="313" t="s">
        <v>4095</v>
      </c>
      <c r="E342" s="313" t="s">
        <v>3848</v>
      </c>
      <c r="F342" s="314" t="s">
        <v>4096</v>
      </c>
      <c r="G342" s="313">
        <v>333</v>
      </c>
      <c r="H342" s="313">
        <v>800</v>
      </c>
      <c r="I342" s="313">
        <v>2023.03</v>
      </c>
    </row>
    <row r="343" spans="1:9">
      <c r="A343" s="313" t="s">
        <v>285</v>
      </c>
      <c r="B343" s="313" t="s">
        <v>4091</v>
      </c>
      <c r="C343" s="313" t="s">
        <v>4095</v>
      </c>
      <c r="D343" s="313" t="s">
        <v>4095</v>
      </c>
      <c r="E343" s="313" t="s">
        <v>3878</v>
      </c>
      <c r="F343" s="314" t="s">
        <v>4096</v>
      </c>
      <c r="G343" s="313">
        <v>384</v>
      </c>
      <c r="H343" s="313">
        <v>1366</v>
      </c>
      <c r="I343" s="313">
        <v>2023.03</v>
      </c>
    </row>
    <row r="344" spans="1:9">
      <c r="A344" s="313" t="s">
        <v>285</v>
      </c>
      <c r="B344" s="313" t="s">
        <v>4091</v>
      </c>
      <c r="C344" s="313" t="s">
        <v>4095</v>
      </c>
      <c r="D344" s="313" t="s">
        <v>4097</v>
      </c>
      <c r="E344" s="313" t="s">
        <v>4089</v>
      </c>
      <c r="F344" s="314" t="s">
        <v>4098</v>
      </c>
      <c r="G344" s="313">
        <v>1321</v>
      </c>
      <c r="H344" s="313">
        <v>800</v>
      </c>
      <c r="I344" s="313">
        <v>2023.03</v>
      </c>
    </row>
    <row r="345" spans="1:9">
      <c r="A345" s="313" t="s">
        <v>285</v>
      </c>
      <c r="B345" s="313" t="s">
        <v>4091</v>
      </c>
      <c r="C345" s="313" t="s">
        <v>4095</v>
      </c>
      <c r="D345" s="313" t="s">
        <v>4097</v>
      </c>
      <c r="E345" s="313" t="s">
        <v>3854</v>
      </c>
      <c r="F345" s="314" t="s">
        <v>4098</v>
      </c>
      <c r="G345" s="313">
        <v>140</v>
      </c>
      <c r="H345" s="313">
        <v>600</v>
      </c>
      <c r="I345" s="313">
        <v>2023.03</v>
      </c>
    </row>
    <row r="346" spans="1:9">
      <c r="A346" s="313" t="s">
        <v>285</v>
      </c>
      <c r="B346" s="313" t="s">
        <v>4091</v>
      </c>
      <c r="C346" s="313" t="s">
        <v>4099</v>
      </c>
      <c r="D346" s="313" t="s">
        <v>4100</v>
      </c>
      <c r="E346" s="313" t="s">
        <v>3818</v>
      </c>
      <c r="F346" s="314" t="s">
        <v>4101</v>
      </c>
      <c r="G346" s="313">
        <v>400</v>
      </c>
      <c r="H346" s="313">
        <v>1200</v>
      </c>
      <c r="I346" s="313">
        <v>2023.03</v>
      </c>
    </row>
    <row r="347" spans="1:9">
      <c r="A347" s="313" t="s">
        <v>285</v>
      </c>
      <c r="B347" s="313" t="s">
        <v>4091</v>
      </c>
      <c r="C347" s="313" t="s">
        <v>4099</v>
      </c>
      <c r="D347" s="313" t="s">
        <v>4099</v>
      </c>
      <c r="E347" s="313" t="s">
        <v>3878</v>
      </c>
      <c r="F347" s="314" t="s">
        <v>4102</v>
      </c>
      <c r="G347" s="313">
        <v>800</v>
      </c>
      <c r="H347" s="313">
        <v>800</v>
      </c>
      <c r="I347" s="313">
        <v>2023.03</v>
      </c>
    </row>
    <row r="348" spans="1:9">
      <c r="A348" s="313" t="s">
        <v>285</v>
      </c>
      <c r="B348" s="313" t="s">
        <v>4091</v>
      </c>
      <c r="C348" s="313" t="s">
        <v>4099</v>
      </c>
      <c r="D348" s="313" t="s">
        <v>4103</v>
      </c>
      <c r="E348" s="313" t="s">
        <v>3820</v>
      </c>
      <c r="F348" s="314" t="s">
        <v>4104</v>
      </c>
      <c r="G348" s="313">
        <v>500</v>
      </c>
      <c r="H348" s="313">
        <v>600</v>
      </c>
      <c r="I348" s="313">
        <v>2023.03</v>
      </c>
    </row>
    <row r="349" spans="1:9">
      <c r="A349" s="313" t="s">
        <v>285</v>
      </c>
      <c r="B349" s="313" t="s">
        <v>4091</v>
      </c>
      <c r="C349" s="313" t="s">
        <v>4099</v>
      </c>
      <c r="D349" s="313" t="s">
        <v>4103</v>
      </c>
      <c r="E349" s="313" t="s">
        <v>3848</v>
      </c>
      <c r="F349" s="314" t="s">
        <v>4104</v>
      </c>
      <c r="G349" s="313">
        <v>400</v>
      </c>
      <c r="H349" s="313">
        <v>1200</v>
      </c>
      <c r="I349" s="313">
        <v>2023.03</v>
      </c>
    </row>
    <row r="350" spans="1:9">
      <c r="A350" s="313" t="s">
        <v>285</v>
      </c>
      <c r="B350" s="313" t="s">
        <v>4091</v>
      </c>
      <c r="C350" s="313" t="s">
        <v>4099</v>
      </c>
      <c r="D350" s="313" t="s">
        <v>4103</v>
      </c>
      <c r="E350" s="313" t="s">
        <v>3878</v>
      </c>
      <c r="F350" s="314" t="s">
        <v>4104</v>
      </c>
      <c r="G350" s="313">
        <v>600</v>
      </c>
      <c r="H350" s="313">
        <v>600</v>
      </c>
      <c r="I350" s="313">
        <v>2023.03</v>
      </c>
    </row>
    <row r="351" spans="1:9">
      <c r="A351" s="313" t="s">
        <v>285</v>
      </c>
      <c r="B351" s="313" t="s">
        <v>4091</v>
      </c>
      <c r="C351" s="313" t="s">
        <v>4099</v>
      </c>
      <c r="D351" s="313" t="s">
        <v>161</v>
      </c>
      <c r="E351" s="313" t="s">
        <v>3854</v>
      </c>
      <c r="F351" s="314" t="s">
        <v>4105</v>
      </c>
      <c r="G351" s="313">
        <v>140</v>
      </c>
      <c r="H351" s="313">
        <v>600</v>
      </c>
      <c r="I351" s="313">
        <v>2023.03</v>
      </c>
    </row>
    <row r="352" spans="1:9">
      <c r="A352" s="313" t="s">
        <v>285</v>
      </c>
      <c r="B352" s="313" t="s">
        <v>4091</v>
      </c>
      <c r="C352" s="313" t="s">
        <v>4099</v>
      </c>
      <c r="D352" s="313" t="s">
        <v>161</v>
      </c>
      <c r="E352" s="313" t="s">
        <v>3820</v>
      </c>
      <c r="F352" s="314" t="s">
        <v>4105</v>
      </c>
      <c r="G352" s="313">
        <v>533</v>
      </c>
      <c r="H352" s="313">
        <v>800</v>
      </c>
      <c r="I352" s="313">
        <v>2023.03</v>
      </c>
    </row>
    <row r="353" spans="1:9">
      <c r="A353" s="313" t="s">
        <v>285</v>
      </c>
      <c r="B353" s="313" t="s">
        <v>4091</v>
      </c>
      <c r="C353" s="313" t="s">
        <v>4099</v>
      </c>
      <c r="D353" s="313" t="s">
        <v>161</v>
      </c>
      <c r="E353" s="313" t="s">
        <v>3848</v>
      </c>
      <c r="F353" s="314" t="s">
        <v>4105</v>
      </c>
      <c r="G353" s="313">
        <v>450</v>
      </c>
      <c r="H353" s="313">
        <v>800</v>
      </c>
      <c r="I353" s="313">
        <v>2023.03</v>
      </c>
    </row>
    <row r="354" spans="1:9">
      <c r="A354" s="313" t="s">
        <v>285</v>
      </c>
      <c r="B354" s="313" t="s">
        <v>4091</v>
      </c>
      <c r="C354" s="313" t="s">
        <v>4099</v>
      </c>
      <c r="D354" s="313" t="s">
        <v>161</v>
      </c>
      <c r="E354" s="313" t="s">
        <v>3878</v>
      </c>
      <c r="F354" s="314" t="s">
        <v>4105</v>
      </c>
      <c r="G354" s="313">
        <v>600</v>
      </c>
      <c r="H354" s="313">
        <v>600</v>
      </c>
      <c r="I354" s="313">
        <v>2023.03</v>
      </c>
    </row>
    <row r="355" spans="1:9">
      <c r="A355" s="313" t="s">
        <v>285</v>
      </c>
      <c r="B355" s="313" t="s">
        <v>4091</v>
      </c>
      <c r="C355" s="313" t="s">
        <v>4099</v>
      </c>
      <c r="D355" s="313" t="s">
        <v>161</v>
      </c>
      <c r="E355" s="313" t="s">
        <v>3818</v>
      </c>
      <c r="F355" s="314" t="s">
        <v>4105</v>
      </c>
      <c r="G355" s="313">
        <v>308</v>
      </c>
      <c r="H355" s="313">
        <v>587</v>
      </c>
      <c r="I355" s="313">
        <v>2023.03</v>
      </c>
    </row>
    <row r="356" spans="1:9">
      <c r="A356" s="313" t="s">
        <v>285</v>
      </c>
      <c r="B356" s="313" t="s">
        <v>4091</v>
      </c>
      <c r="C356" s="313" t="s">
        <v>3836</v>
      </c>
      <c r="D356" s="313" t="s">
        <v>3836</v>
      </c>
      <c r="E356" s="313" t="s">
        <v>3969</v>
      </c>
      <c r="F356" s="314" t="s">
        <v>4106</v>
      </c>
      <c r="G356" s="313">
        <v>270</v>
      </c>
      <c r="H356" s="313">
        <v>800</v>
      </c>
      <c r="I356" s="313">
        <v>2023.03</v>
      </c>
    </row>
    <row r="357" spans="1:9">
      <c r="A357" s="313" t="s">
        <v>285</v>
      </c>
      <c r="B357" s="313" t="s">
        <v>4091</v>
      </c>
      <c r="C357" s="313" t="s">
        <v>3836</v>
      </c>
      <c r="D357" s="313" t="s">
        <v>3836</v>
      </c>
      <c r="E357" s="313" t="s">
        <v>3849</v>
      </c>
      <c r="F357" s="314" t="s">
        <v>4106</v>
      </c>
      <c r="G357" s="313">
        <v>985</v>
      </c>
      <c r="H357" s="313">
        <v>1600</v>
      </c>
      <c r="I357" s="313">
        <v>2023.03</v>
      </c>
    </row>
    <row r="358" spans="1:9">
      <c r="A358" s="313" t="s">
        <v>285</v>
      </c>
      <c r="B358" s="313" t="s">
        <v>4091</v>
      </c>
      <c r="C358" s="313" t="s">
        <v>2839</v>
      </c>
      <c r="D358" s="313" t="s">
        <v>2839</v>
      </c>
      <c r="E358" s="313" t="s">
        <v>3854</v>
      </c>
      <c r="F358" s="314" t="s">
        <v>4107</v>
      </c>
      <c r="G358" s="313">
        <v>140</v>
      </c>
      <c r="H358" s="313">
        <v>600</v>
      </c>
      <c r="I358" s="313">
        <v>2023.03</v>
      </c>
    </row>
    <row r="359" spans="1:9">
      <c r="A359" s="313" t="s">
        <v>285</v>
      </c>
      <c r="B359" s="313" t="s">
        <v>4091</v>
      </c>
      <c r="C359" s="313" t="s">
        <v>2840</v>
      </c>
      <c r="D359" s="313" t="s">
        <v>2840</v>
      </c>
      <c r="E359" s="313" t="s">
        <v>3854</v>
      </c>
      <c r="F359" s="314" t="s">
        <v>4108</v>
      </c>
      <c r="G359" s="313">
        <v>140</v>
      </c>
      <c r="H359" s="313">
        <v>600</v>
      </c>
      <c r="I359" s="313">
        <v>2023.03</v>
      </c>
    </row>
    <row r="360" spans="1:9">
      <c r="A360" s="313" t="s">
        <v>285</v>
      </c>
      <c r="B360" s="313" t="s">
        <v>3844</v>
      </c>
      <c r="C360" s="313" t="s">
        <v>4109</v>
      </c>
      <c r="D360" s="313" t="s">
        <v>4109</v>
      </c>
      <c r="E360" s="313" t="s">
        <v>3834</v>
      </c>
      <c r="F360" s="314" t="s">
        <v>4110</v>
      </c>
      <c r="G360" s="313">
        <v>587</v>
      </c>
      <c r="H360" s="313">
        <v>786</v>
      </c>
      <c r="I360" s="313">
        <v>2023.03</v>
      </c>
    </row>
    <row r="361" spans="1:9">
      <c r="A361" s="313" t="s">
        <v>285</v>
      </c>
      <c r="B361" s="313" t="s">
        <v>3844</v>
      </c>
      <c r="C361" s="313" t="s">
        <v>4111</v>
      </c>
      <c r="D361" s="313" t="s">
        <v>4111</v>
      </c>
      <c r="E361" s="313" t="s">
        <v>3820</v>
      </c>
      <c r="F361" s="314" t="s">
        <v>4112</v>
      </c>
      <c r="G361" s="313">
        <v>198</v>
      </c>
      <c r="H361" s="313">
        <v>264</v>
      </c>
      <c r="I361" s="313">
        <v>2023.03</v>
      </c>
    </row>
    <row r="362" spans="1:9">
      <c r="A362" s="313" t="s">
        <v>285</v>
      </c>
      <c r="B362" s="313" t="s">
        <v>3844</v>
      </c>
      <c r="C362" s="313" t="s">
        <v>4113</v>
      </c>
      <c r="D362" s="313" t="s">
        <v>4114</v>
      </c>
      <c r="E362" s="313" t="s">
        <v>3848</v>
      </c>
      <c r="F362" s="314" t="s">
        <v>4115</v>
      </c>
      <c r="G362" s="313">
        <v>900</v>
      </c>
      <c r="H362" s="313">
        <v>1200</v>
      </c>
      <c r="I362" s="313">
        <v>2023.03</v>
      </c>
    </row>
    <row r="363" spans="1:9">
      <c r="A363" s="313" t="s">
        <v>285</v>
      </c>
      <c r="B363" s="313" t="s">
        <v>3844</v>
      </c>
      <c r="C363" s="313" t="s">
        <v>4113</v>
      </c>
      <c r="D363" s="313" t="s">
        <v>4114</v>
      </c>
      <c r="E363" s="313" t="s">
        <v>3849</v>
      </c>
      <c r="F363" s="314" t="s">
        <v>4115</v>
      </c>
      <c r="G363" s="313">
        <v>426</v>
      </c>
      <c r="H363" s="313">
        <v>1002</v>
      </c>
      <c r="I363" s="313">
        <v>2023.03</v>
      </c>
    </row>
    <row r="364" spans="1:9">
      <c r="A364" s="313" t="s">
        <v>285</v>
      </c>
      <c r="B364" s="313" t="s">
        <v>3844</v>
      </c>
      <c r="C364" s="313" t="s">
        <v>4113</v>
      </c>
      <c r="D364" s="313" t="s">
        <v>4114</v>
      </c>
      <c r="E364" s="313" t="s">
        <v>3878</v>
      </c>
      <c r="F364" s="314" t="s">
        <v>4115</v>
      </c>
      <c r="G364" s="313">
        <v>453</v>
      </c>
      <c r="H364" s="313">
        <v>365</v>
      </c>
      <c r="I364" s="313">
        <v>2023.03</v>
      </c>
    </row>
    <row r="365" spans="1:9">
      <c r="A365" s="313" t="s">
        <v>285</v>
      </c>
      <c r="B365" s="313" t="s">
        <v>3844</v>
      </c>
      <c r="C365" s="313" t="s">
        <v>4113</v>
      </c>
      <c r="D365" s="313" t="s">
        <v>4116</v>
      </c>
      <c r="E365" s="313" t="s">
        <v>3820</v>
      </c>
      <c r="F365" s="314" t="s">
        <v>4117</v>
      </c>
      <c r="G365" s="313">
        <v>198</v>
      </c>
      <c r="H365" s="313">
        <v>264</v>
      </c>
      <c r="I365" s="313">
        <v>2023.03</v>
      </c>
    </row>
    <row r="366" spans="1:9">
      <c r="A366" s="313" t="s">
        <v>285</v>
      </c>
      <c r="B366" s="313" t="s">
        <v>3844</v>
      </c>
      <c r="C366" s="313" t="s">
        <v>4113</v>
      </c>
      <c r="D366" s="313" t="s">
        <v>4116</v>
      </c>
      <c r="E366" s="313" t="s">
        <v>3848</v>
      </c>
      <c r="F366" s="314" t="s">
        <v>4117</v>
      </c>
      <c r="G366" s="313">
        <v>900</v>
      </c>
      <c r="H366" s="313">
        <v>1200</v>
      </c>
      <c r="I366" s="313">
        <v>2023.03</v>
      </c>
    </row>
    <row r="367" spans="1:9">
      <c r="A367" s="313" t="s">
        <v>285</v>
      </c>
      <c r="B367" s="313" t="s">
        <v>3844</v>
      </c>
      <c r="C367" s="313" t="s">
        <v>4113</v>
      </c>
      <c r="D367" s="313" t="s">
        <v>4113</v>
      </c>
      <c r="E367" s="313" t="s">
        <v>3820</v>
      </c>
      <c r="F367" s="314" t="s">
        <v>4118</v>
      </c>
      <c r="G367" s="313">
        <v>198</v>
      </c>
      <c r="H367" s="313">
        <v>264</v>
      </c>
      <c r="I367" s="313">
        <v>2023.03</v>
      </c>
    </row>
    <row r="368" spans="1:9">
      <c r="A368" s="313" t="s">
        <v>285</v>
      </c>
      <c r="B368" s="313" t="s">
        <v>3844</v>
      </c>
      <c r="C368" s="313" t="s">
        <v>4113</v>
      </c>
      <c r="D368" s="313" t="s">
        <v>4113</v>
      </c>
      <c r="E368" s="313" t="s">
        <v>3848</v>
      </c>
      <c r="F368" s="314" t="s">
        <v>4118</v>
      </c>
      <c r="G368" s="313">
        <v>587</v>
      </c>
      <c r="H368" s="313">
        <v>786</v>
      </c>
      <c r="I368" s="313">
        <v>2023.03</v>
      </c>
    </row>
    <row r="369" spans="1:9">
      <c r="A369" s="313" t="s">
        <v>285</v>
      </c>
      <c r="B369" s="313" t="s">
        <v>3844</v>
      </c>
      <c r="C369" s="313" t="s">
        <v>4113</v>
      </c>
      <c r="D369" s="313" t="s">
        <v>4113</v>
      </c>
      <c r="E369" s="313" t="s">
        <v>3849</v>
      </c>
      <c r="F369" s="314" t="s">
        <v>4118</v>
      </c>
      <c r="G369" s="313">
        <v>370</v>
      </c>
      <c r="H369" s="313">
        <v>1002</v>
      </c>
      <c r="I369" s="313">
        <v>2023.03</v>
      </c>
    </row>
    <row r="370" spans="1:9">
      <c r="A370" s="313" t="s">
        <v>285</v>
      </c>
      <c r="B370" s="313" t="s">
        <v>3844</v>
      </c>
      <c r="C370" s="313" t="s">
        <v>4113</v>
      </c>
      <c r="D370" s="313" t="s">
        <v>4113</v>
      </c>
      <c r="E370" s="313" t="s">
        <v>3878</v>
      </c>
      <c r="F370" s="314" t="s">
        <v>4118</v>
      </c>
      <c r="G370" s="313">
        <v>532</v>
      </c>
      <c r="H370" s="313">
        <v>501</v>
      </c>
      <c r="I370" s="313">
        <v>2023.03</v>
      </c>
    </row>
    <row r="371" spans="1:9">
      <c r="A371" s="313" t="s">
        <v>285</v>
      </c>
      <c r="B371" s="313" t="s">
        <v>3844</v>
      </c>
      <c r="C371" s="313" t="s">
        <v>3836</v>
      </c>
      <c r="D371" s="313" t="s">
        <v>3836</v>
      </c>
      <c r="E371" s="313" t="s">
        <v>3854</v>
      </c>
      <c r="F371" s="314" t="s">
        <v>4119</v>
      </c>
      <c r="G371" s="313">
        <v>38</v>
      </c>
      <c r="H371" s="313">
        <v>250</v>
      </c>
      <c r="I371" s="313">
        <v>2023.03</v>
      </c>
    </row>
    <row r="372" spans="1:9">
      <c r="A372" s="313" t="s">
        <v>285</v>
      </c>
      <c r="B372" s="313" t="s">
        <v>3844</v>
      </c>
      <c r="C372" s="313" t="s">
        <v>3836</v>
      </c>
      <c r="D372" s="313" t="s">
        <v>3836</v>
      </c>
      <c r="E372" s="313" t="s">
        <v>3820</v>
      </c>
      <c r="F372" s="314" t="s">
        <v>4119</v>
      </c>
      <c r="G372" s="313">
        <v>198</v>
      </c>
      <c r="H372" s="313">
        <v>264</v>
      </c>
      <c r="I372" s="313">
        <v>2023.03</v>
      </c>
    </row>
    <row r="373" spans="1:9">
      <c r="A373" s="313" t="s">
        <v>285</v>
      </c>
      <c r="B373" s="313" t="s">
        <v>3844</v>
      </c>
      <c r="C373" s="313" t="s">
        <v>3836</v>
      </c>
      <c r="D373" s="313" t="s">
        <v>3836</v>
      </c>
      <c r="E373" s="313" t="s">
        <v>3848</v>
      </c>
      <c r="F373" s="314" t="s">
        <v>4119</v>
      </c>
      <c r="G373" s="313">
        <v>324</v>
      </c>
      <c r="H373" s="313">
        <v>1538</v>
      </c>
      <c r="I373" s="313">
        <v>2023.03</v>
      </c>
    </row>
    <row r="374" spans="1:9">
      <c r="A374" s="313" t="s">
        <v>285</v>
      </c>
      <c r="B374" s="313" t="s">
        <v>3844</v>
      </c>
      <c r="C374" s="313" t="s">
        <v>3836</v>
      </c>
      <c r="D374" s="313" t="s">
        <v>3836</v>
      </c>
      <c r="E374" s="313" t="s">
        <v>3849</v>
      </c>
      <c r="F374" s="314" t="s">
        <v>4119</v>
      </c>
      <c r="G374" s="313">
        <v>354</v>
      </c>
      <c r="H374" s="313">
        <v>1221</v>
      </c>
      <c r="I374" s="313">
        <v>2023.03</v>
      </c>
    </row>
    <row r="375" spans="1:9">
      <c r="A375" s="313" t="s">
        <v>285</v>
      </c>
      <c r="B375" s="313" t="s">
        <v>3844</v>
      </c>
      <c r="C375" s="313" t="s">
        <v>3836</v>
      </c>
      <c r="D375" s="313" t="s">
        <v>3836</v>
      </c>
      <c r="E375" s="313" t="s">
        <v>3878</v>
      </c>
      <c r="F375" s="314" t="s">
        <v>4119</v>
      </c>
      <c r="G375" s="313">
        <v>599</v>
      </c>
      <c r="H375" s="313">
        <v>611</v>
      </c>
      <c r="I375" s="313">
        <v>2023.03</v>
      </c>
    </row>
    <row r="376" spans="1:9">
      <c r="A376" s="313" t="s">
        <v>285</v>
      </c>
      <c r="B376" s="313" t="s">
        <v>3844</v>
      </c>
      <c r="C376" s="313" t="s">
        <v>3895</v>
      </c>
      <c r="D376" s="313" t="s">
        <v>3895</v>
      </c>
      <c r="E376" s="313" t="s">
        <v>3820</v>
      </c>
      <c r="F376" s="314" t="s">
        <v>4120</v>
      </c>
      <c r="G376" s="313">
        <v>198</v>
      </c>
      <c r="H376" s="313">
        <v>264</v>
      </c>
      <c r="I376" s="313">
        <v>2023.03</v>
      </c>
    </row>
    <row r="377" spans="1:9">
      <c r="A377" s="313" t="s">
        <v>285</v>
      </c>
      <c r="B377" s="313" t="s">
        <v>3844</v>
      </c>
      <c r="C377" s="313" t="s">
        <v>3895</v>
      </c>
      <c r="D377" s="313" t="s">
        <v>3895</v>
      </c>
      <c r="E377" s="313" t="s">
        <v>3848</v>
      </c>
      <c r="F377" s="314" t="s">
        <v>4120</v>
      </c>
      <c r="G377" s="313">
        <v>900</v>
      </c>
      <c r="H377" s="313">
        <v>1200</v>
      </c>
      <c r="I377" s="313">
        <v>2023.03</v>
      </c>
    </row>
    <row r="378" spans="1:9">
      <c r="A378" s="313" t="s">
        <v>285</v>
      </c>
      <c r="B378" s="313" t="s">
        <v>3844</v>
      </c>
      <c r="C378" s="313" t="s">
        <v>3895</v>
      </c>
      <c r="D378" s="313" t="s">
        <v>3895</v>
      </c>
      <c r="E378" s="313" t="s">
        <v>3849</v>
      </c>
      <c r="F378" s="314" t="s">
        <v>4120</v>
      </c>
      <c r="G378" s="313">
        <v>402</v>
      </c>
      <c r="H378" s="313">
        <v>1002</v>
      </c>
      <c r="I378" s="313">
        <v>2023.03</v>
      </c>
    </row>
    <row r="379" spans="1:9">
      <c r="A379" s="313" t="s">
        <v>285</v>
      </c>
      <c r="B379" s="313" t="s">
        <v>3844</v>
      </c>
      <c r="C379" s="313" t="s">
        <v>3895</v>
      </c>
      <c r="D379" s="313" t="s">
        <v>3895</v>
      </c>
      <c r="E379" s="313" t="s">
        <v>3878</v>
      </c>
      <c r="F379" s="314" t="s">
        <v>4120</v>
      </c>
      <c r="G379" s="313">
        <v>646</v>
      </c>
      <c r="H379" s="313">
        <v>501</v>
      </c>
      <c r="I379" s="313">
        <v>2023.03</v>
      </c>
    </row>
    <row r="380" spans="1:9">
      <c r="A380" s="313" t="s">
        <v>285</v>
      </c>
      <c r="B380" s="313" t="s">
        <v>3844</v>
      </c>
      <c r="C380" s="313" t="s">
        <v>3895</v>
      </c>
      <c r="D380" s="313" t="s">
        <v>3895</v>
      </c>
      <c r="E380" s="313" t="s">
        <v>3834</v>
      </c>
      <c r="F380" s="314" t="s">
        <v>4120</v>
      </c>
      <c r="G380" s="313">
        <v>349</v>
      </c>
      <c r="H380" s="313">
        <v>915</v>
      </c>
      <c r="I380" s="313">
        <v>2023.03</v>
      </c>
    </row>
    <row r="381" spans="1:9">
      <c r="A381" s="313" t="s">
        <v>285</v>
      </c>
      <c r="B381" s="313" t="s">
        <v>3844</v>
      </c>
      <c r="C381" s="313" t="s">
        <v>4121</v>
      </c>
      <c r="D381" s="313" t="s">
        <v>4121</v>
      </c>
      <c r="E381" s="313" t="s">
        <v>3878</v>
      </c>
      <c r="F381" s="314" t="s">
        <v>4122</v>
      </c>
      <c r="G381" s="313">
        <v>632</v>
      </c>
      <c r="H381" s="313">
        <v>501</v>
      </c>
      <c r="I381" s="313">
        <v>2023.03</v>
      </c>
    </row>
    <row r="382" spans="1:9">
      <c r="A382" s="313" t="s">
        <v>285</v>
      </c>
      <c r="B382" s="313" t="s">
        <v>3844</v>
      </c>
      <c r="C382" s="313" t="s">
        <v>4121</v>
      </c>
      <c r="D382" s="313" t="s">
        <v>4121</v>
      </c>
      <c r="E382" s="313" t="s">
        <v>3834</v>
      </c>
      <c r="F382" s="314" t="s">
        <v>4122</v>
      </c>
      <c r="G382" s="313">
        <v>402</v>
      </c>
      <c r="H382" s="313">
        <v>910</v>
      </c>
      <c r="I382" s="313">
        <v>2023.03</v>
      </c>
    </row>
    <row r="383" spans="1:9">
      <c r="A383" s="313" t="s">
        <v>251</v>
      </c>
      <c r="B383" s="313" t="s">
        <v>4123</v>
      </c>
      <c r="C383" s="313" t="s">
        <v>4124</v>
      </c>
      <c r="D383" s="313" t="s">
        <v>4124</v>
      </c>
      <c r="E383" s="313" t="s">
        <v>4125</v>
      </c>
      <c r="F383" s="314" t="s">
        <v>4126</v>
      </c>
      <c r="G383" s="313">
        <v>0</v>
      </c>
      <c r="H383" s="313">
        <v>0</v>
      </c>
      <c r="I383" s="313">
        <v>2023.03</v>
      </c>
    </row>
    <row r="384" spans="1:9">
      <c r="A384" s="313" t="s">
        <v>251</v>
      </c>
      <c r="B384" s="313" t="s">
        <v>4123</v>
      </c>
      <c r="C384" s="313" t="s">
        <v>4124</v>
      </c>
      <c r="D384" s="313" t="s">
        <v>4124</v>
      </c>
      <c r="E384" s="313" t="s">
        <v>3849</v>
      </c>
      <c r="F384" s="314" t="s">
        <v>4126</v>
      </c>
      <c r="G384" s="313">
        <v>0</v>
      </c>
      <c r="H384" s="313">
        <v>0</v>
      </c>
      <c r="I384" s="313">
        <v>2023.03</v>
      </c>
    </row>
    <row r="385" spans="1:9">
      <c r="A385" s="313" t="s">
        <v>251</v>
      </c>
      <c r="B385" s="313" t="s">
        <v>4123</v>
      </c>
      <c r="C385" s="313" t="s">
        <v>4124</v>
      </c>
      <c r="D385" s="313" t="s">
        <v>4124</v>
      </c>
      <c r="E385" s="313" t="s">
        <v>3834</v>
      </c>
      <c r="F385" s="314" t="s">
        <v>4126</v>
      </c>
      <c r="G385" s="313">
        <v>0</v>
      </c>
      <c r="H385" s="313">
        <v>0</v>
      </c>
      <c r="I385" s="313">
        <v>2023.03</v>
      </c>
    </row>
    <row r="386" spans="1:9">
      <c r="A386" s="313" t="s">
        <v>251</v>
      </c>
      <c r="B386" s="313" t="s">
        <v>4123</v>
      </c>
      <c r="C386" s="313" t="s">
        <v>4127</v>
      </c>
      <c r="D386" s="313" t="s">
        <v>4127</v>
      </c>
      <c r="E386" s="313" t="s">
        <v>3820</v>
      </c>
      <c r="F386" s="314" t="s">
        <v>4128</v>
      </c>
      <c r="G386" s="313">
        <v>146</v>
      </c>
      <c r="H386" s="313">
        <v>146</v>
      </c>
      <c r="I386" s="313">
        <v>2023.03</v>
      </c>
    </row>
    <row r="387" spans="1:9">
      <c r="A387" s="313" t="s">
        <v>251</v>
      </c>
      <c r="B387" s="313" t="s">
        <v>4123</v>
      </c>
      <c r="C387" s="313" t="s">
        <v>4127</v>
      </c>
      <c r="D387" s="313" t="s">
        <v>4127</v>
      </c>
      <c r="E387" s="313" t="s">
        <v>3848</v>
      </c>
      <c r="F387" s="314" t="s">
        <v>4128</v>
      </c>
      <c r="G387" s="313">
        <v>0</v>
      </c>
      <c r="H387" s="313">
        <v>0</v>
      </c>
      <c r="I387" s="313">
        <v>2023.03</v>
      </c>
    </row>
    <row r="388" spans="1:9">
      <c r="A388" s="313" t="s">
        <v>251</v>
      </c>
      <c r="B388" s="313" t="s">
        <v>4123</v>
      </c>
      <c r="C388" s="313" t="s">
        <v>4127</v>
      </c>
      <c r="D388" s="313" t="s">
        <v>4127</v>
      </c>
      <c r="E388" s="313" t="s">
        <v>3834</v>
      </c>
      <c r="F388" s="314" t="s">
        <v>4128</v>
      </c>
      <c r="G388" s="313">
        <v>0</v>
      </c>
      <c r="H388" s="313">
        <v>0</v>
      </c>
      <c r="I388" s="313">
        <v>2023.03</v>
      </c>
    </row>
    <row r="389" spans="1:9">
      <c r="A389" s="313" t="s">
        <v>251</v>
      </c>
      <c r="B389" s="313" t="s">
        <v>4123</v>
      </c>
      <c r="C389" s="313" t="s">
        <v>4127</v>
      </c>
      <c r="D389" s="313" t="s">
        <v>4129</v>
      </c>
      <c r="E389" s="313" t="s">
        <v>4125</v>
      </c>
      <c r="F389" s="314" t="s">
        <v>927</v>
      </c>
      <c r="G389" s="313">
        <v>0</v>
      </c>
      <c r="H389" s="313">
        <v>0</v>
      </c>
      <c r="I389" s="313">
        <v>2023.03</v>
      </c>
    </row>
    <row r="390" spans="1:9">
      <c r="A390" s="313" t="s">
        <v>251</v>
      </c>
      <c r="B390" s="313" t="s">
        <v>4123</v>
      </c>
      <c r="C390" s="313" t="s">
        <v>4127</v>
      </c>
      <c r="D390" s="313" t="s">
        <v>4129</v>
      </c>
      <c r="E390" s="313" t="s">
        <v>4125</v>
      </c>
      <c r="F390" s="314" t="s">
        <v>4130</v>
      </c>
      <c r="G390" s="313">
        <v>0</v>
      </c>
      <c r="H390" s="313">
        <v>0</v>
      </c>
      <c r="I390" s="313">
        <v>2023.03</v>
      </c>
    </row>
    <row r="391" spans="1:9">
      <c r="A391" s="313" t="s">
        <v>251</v>
      </c>
      <c r="B391" s="313" t="s">
        <v>4123</v>
      </c>
      <c r="C391" s="313" t="s">
        <v>4127</v>
      </c>
      <c r="D391" s="313" t="s">
        <v>4129</v>
      </c>
      <c r="E391" s="313" t="s">
        <v>4125</v>
      </c>
      <c r="F391" s="314" t="s">
        <v>929</v>
      </c>
      <c r="G391" s="313">
        <v>0</v>
      </c>
      <c r="H391" s="313">
        <v>0</v>
      </c>
      <c r="I391" s="313">
        <v>2023.03</v>
      </c>
    </row>
    <row r="392" spans="1:9">
      <c r="A392" s="313" t="s">
        <v>251</v>
      </c>
      <c r="B392" s="313" t="s">
        <v>4123</v>
      </c>
      <c r="C392" s="313" t="s">
        <v>4127</v>
      </c>
      <c r="D392" s="313" t="s">
        <v>4129</v>
      </c>
      <c r="E392" s="313" t="s">
        <v>4125</v>
      </c>
      <c r="F392" s="314" t="s">
        <v>967</v>
      </c>
      <c r="G392" s="313">
        <v>0</v>
      </c>
      <c r="H392" s="313">
        <v>0</v>
      </c>
      <c r="I392" s="313">
        <v>2023.03</v>
      </c>
    </row>
    <row r="393" spans="1:9">
      <c r="A393" s="313" t="s">
        <v>251</v>
      </c>
      <c r="B393" s="313" t="s">
        <v>4123</v>
      </c>
      <c r="C393" s="313" t="s">
        <v>4127</v>
      </c>
      <c r="D393" s="313" t="s">
        <v>4129</v>
      </c>
      <c r="E393" s="313" t="s">
        <v>3849</v>
      </c>
      <c r="F393" s="314" t="s">
        <v>967</v>
      </c>
      <c r="G393" s="313">
        <v>0</v>
      </c>
      <c r="H393" s="313">
        <v>0</v>
      </c>
      <c r="I393" s="313">
        <v>2023.03</v>
      </c>
    </row>
    <row r="394" spans="1:9">
      <c r="A394" s="313" t="s">
        <v>251</v>
      </c>
      <c r="B394" s="313" t="s">
        <v>4123</v>
      </c>
      <c r="C394" s="313" t="s">
        <v>4127</v>
      </c>
      <c r="D394" s="313" t="s">
        <v>4129</v>
      </c>
      <c r="E394" s="313" t="s">
        <v>3849</v>
      </c>
      <c r="F394" s="314" t="s">
        <v>929</v>
      </c>
      <c r="G394" s="313">
        <v>0</v>
      </c>
      <c r="H394" s="313">
        <v>0</v>
      </c>
      <c r="I394" s="313">
        <v>2023.03</v>
      </c>
    </row>
    <row r="395" spans="1:9">
      <c r="A395" s="313" t="s">
        <v>251</v>
      </c>
      <c r="B395" s="313" t="s">
        <v>4123</v>
      </c>
      <c r="C395" s="313" t="s">
        <v>4127</v>
      </c>
      <c r="D395" s="313" t="s">
        <v>4129</v>
      </c>
      <c r="E395" s="313" t="s">
        <v>3849</v>
      </c>
      <c r="F395" s="314" t="s">
        <v>927</v>
      </c>
      <c r="G395" s="313">
        <v>0</v>
      </c>
      <c r="H395" s="313">
        <v>0</v>
      </c>
      <c r="I395" s="313">
        <v>2023.03</v>
      </c>
    </row>
    <row r="396" spans="1:9">
      <c r="A396" s="313" t="s">
        <v>251</v>
      </c>
      <c r="B396" s="313" t="s">
        <v>4123</v>
      </c>
      <c r="C396" s="313" t="s">
        <v>4127</v>
      </c>
      <c r="D396" s="313" t="s">
        <v>4129</v>
      </c>
      <c r="E396" s="313" t="s">
        <v>4026</v>
      </c>
      <c r="F396" s="314" t="s">
        <v>967</v>
      </c>
      <c r="G396" s="313">
        <v>0</v>
      </c>
      <c r="H396" s="313">
        <v>0</v>
      </c>
      <c r="I396" s="313">
        <v>2023.03</v>
      </c>
    </row>
    <row r="397" spans="1:9">
      <c r="A397" s="313" t="s">
        <v>251</v>
      </c>
      <c r="B397" s="313" t="s">
        <v>4123</v>
      </c>
      <c r="C397" s="313" t="s">
        <v>4127</v>
      </c>
      <c r="D397" s="313" t="s">
        <v>4129</v>
      </c>
      <c r="E397" s="313" t="s">
        <v>4131</v>
      </c>
      <c r="F397" s="314" t="s">
        <v>4130</v>
      </c>
      <c r="G397" s="313">
        <v>0</v>
      </c>
      <c r="H397" s="313">
        <v>0</v>
      </c>
      <c r="I397" s="313">
        <v>2023.03</v>
      </c>
    </row>
    <row r="398" spans="1:9">
      <c r="A398" s="313" t="s">
        <v>251</v>
      </c>
      <c r="B398" s="313" t="s">
        <v>4123</v>
      </c>
      <c r="C398" s="313" t="s">
        <v>4127</v>
      </c>
      <c r="D398" s="313" t="s">
        <v>4129</v>
      </c>
      <c r="E398" s="313" t="s">
        <v>4131</v>
      </c>
      <c r="F398" s="314" t="s">
        <v>929</v>
      </c>
      <c r="G398" s="313">
        <v>0</v>
      </c>
      <c r="H398" s="313">
        <v>0</v>
      </c>
      <c r="I398" s="313">
        <v>2023.03</v>
      </c>
    </row>
    <row r="399" spans="1:9">
      <c r="A399" s="313" t="s">
        <v>251</v>
      </c>
      <c r="B399" s="313" t="s">
        <v>4123</v>
      </c>
      <c r="C399" s="313" t="s">
        <v>4127</v>
      </c>
      <c r="D399" s="313" t="s">
        <v>4129</v>
      </c>
      <c r="E399" s="313" t="s">
        <v>4131</v>
      </c>
      <c r="F399" s="314" t="s">
        <v>967</v>
      </c>
      <c r="G399" s="313">
        <v>0</v>
      </c>
      <c r="H399" s="313">
        <v>0</v>
      </c>
      <c r="I399" s="313">
        <v>2023.03</v>
      </c>
    </row>
    <row r="400" spans="1:9">
      <c r="A400" s="313" t="s">
        <v>251</v>
      </c>
      <c r="B400" s="313" t="s">
        <v>4123</v>
      </c>
      <c r="C400" s="313" t="s">
        <v>4127</v>
      </c>
      <c r="D400" s="313" t="s">
        <v>4129</v>
      </c>
      <c r="E400" s="313" t="s">
        <v>4131</v>
      </c>
      <c r="F400" s="314" t="s">
        <v>927</v>
      </c>
      <c r="G400" s="313">
        <v>0</v>
      </c>
      <c r="H400" s="313">
        <v>0</v>
      </c>
      <c r="I400" s="313">
        <v>2023.03</v>
      </c>
    </row>
    <row r="401" spans="1:9">
      <c r="A401" s="313" t="s">
        <v>251</v>
      </c>
      <c r="B401" s="313" t="s">
        <v>4123</v>
      </c>
      <c r="C401" s="313" t="s">
        <v>4127</v>
      </c>
      <c r="D401" s="313" t="s">
        <v>4129</v>
      </c>
      <c r="E401" s="313" t="s">
        <v>3834</v>
      </c>
      <c r="F401" s="314" t="s">
        <v>4130</v>
      </c>
      <c r="G401" s="313">
        <v>0</v>
      </c>
      <c r="H401" s="313">
        <v>0</v>
      </c>
      <c r="I401" s="313">
        <v>2023.03</v>
      </c>
    </row>
    <row r="402" spans="1:9">
      <c r="A402" s="313" t="s">
        <v>251</v>
      </c>
      <c r="B402" s="313" t="s">
        <v>4123</v>
      </c>
      <c r="C402" s="313" t="s">
        <v>4127</v>
      </c>
      <c r="D402" s="313" t="s">
        <v>4129</v>
      </c>
      <c r="E402" s="313" t="s">
        <v>3834</v>
      </c>
      <c r="F402" s="314" t="s">
        <v>929</v>
      </c>
      <c r="G402" s="313">
        <v>0</v>
      </c>
      <c r="H402" s="313">
        <v>0</v>
      </c>
      <c r="I402" s="313">
        <v>2023.03</v>
      </c>
    </row>
    <row r="403" spans="1:9">
      <c r="A403" s="313" t="s">
        <v>251</v>
      </c>
      <c r="B403" s="313" t="s">
        <v>4123</v>
      </c>
      <c r="C403" s="313" t="s">
        <v>4127</v>
      </c>
      <c r="D403" s="313" t="s">
        <v>4132</v>
      </c>
      <c r="E403" s="313" t="s">
        <v>4125</v>
      </c>
      <c r="F403" s="314" t="s">
        <v>4133</v>
      </c>
      <c r="G403" s="313">
        <v>0</v>
      </c>
      <c r="H403" s="313">
        <v>0</v>
      </c>
      <c r="I403" s="313">
        <v>2023.03</v>
      </c>
    </row>
    <row r="404" spans="1:9">
      <c r="A404" s="313" t="s">
        <v>251</v>
      </c>
      <c r="B404" s="313" t="s">
        <v>4123</v>
      </c>
      <c r="C404" s="313" t="s">
        <v>4127</v>
      </c>
      <c r="D404" s="313" t="s">
        <v>4132</v>
      </c>
      <c r="E404" s="313" t="s">
        <v>3849</v>
      </c>
      <c r="F404" s="314" t="s">
        <v>4133</v>
      </c>
      <c r="G404" s="313">
        <v>0</v>
      </c>
      <c r="H404" s="313">
        <v>0</v>
      </c>
      <c r="I404" s="313">
        <v>2023.03</v>
      </c>
    </row>
    <row r="405" spans="1:9">
      <c r="A405" s="313" t="s">
        <v>251</v>
      </c>
      <c r="B405" s="313" t="s">
        <v>4123</v>
      </c>
      <c r="C405" s="313" t="s">
        <v>4127</v>
      </c>
      <c r="D405" s="313" t="s">
        <v>4132</v>
      </c>
      <c r="E405" s="313" t="s">
        <v>3834</v>
      </c>
      <c r="F405" s="314" t="s">
        <v>4133</v>
      </c>
      <c r="G405" s="313">
        <v>0</v>
      </c>
      <c r="H405" s="313">
        <v>0</v>
      </c>
      <c r="I405" s="313">
        <v>2023.03</v>
      </c>
    </row>
    <row r="406" spans="1:9">
      <c r="A406" s="313" t="s">
        <v>251</v>
      </c>
      <c r="B406" s="313" t="s">
        <v>4123</v>
      </c>
      <c r="C406" s="313" t="s">
        <v>4127</v>
      </c>
      <c r="D406" s="313" t="s">
        <v>2824</v>
      </c>
      <c r="E406" s="313" t="s">
        <v>4125</v>
      </c>
      <c r="F406" s="314" t="s">
        <v>4134</v>
      </c>
      <c r="G406" s="313">
        <v>0</v>
      </c>
      <c r="H406" s="313">
        <v>0</v>
      </c>
      <c r="I406" s="313">
        <v>2023.03</v>
      </c>
    </row>
    <row r="407" spans="1:9">
      <c r="A407" s="313" t="s">
        <v>251</v>
      </c>
      <c r="B407" s="313" t="s">
        <v>4123</v>
      </c>
      <c r="C407" s="313" t="s">
        <v>4127</v>
      </c>
      <c r="D407" s="313" t="s">
        <v>2824</v>
      </c>
      <c r="E407" s="313" t="s">
        <v>4125</v>
      </c>
      <c r="F407" s="314" t="s">
        <v>920</v>
      </c>
      <c r="G407" s="313">
        <v>0</v>
      </c>
      <c r="H407" s="313">
        <v>0</v>
      </c>
      <c r="I407" s="313">
        <v>2023.03</v>
      </c>
    </row>
    <row r="408" spans="1:9">
      <c r="A408" s="313" t="s">
        <v>251</v>
      </c>
      <c r="B408" s="313" t="s">
        <v>4123</v>
      </c>
      <c r="C408" s="313" t="s">
        <v>4127</v>
      </c>
      <c r="D408" s="313" t="s">
        <v>2824</v>
      </c>
      <c r="E408" s="313" t="s">
        <v>4125</v>
      </c>
      <c r="F408" s="314" t="s">
        <v>919</v>
      </c>
      <c r="G408" s="313">
        <v>0</v>
      </c>
      <c r="H408" s="313">
        <v>0</v>
      </c>
      <c r="I408" s="313">
        <v>2023.03</v>
      </c>
    </row>
    <row r="409" spans="1:9">
      <c r="A409" s="313" t="s">
        <v>251</v>
      </c>
      <c r="B409" s="313" t="s">
        <v>4123</v>
      </c>
      <c r="C409" s="313" t="s">
        <v>4127</v>
      </c>
      <c r="D409" s="313" t="s">
        <v>2824</v>
      </c>
      <c r="E409" s="313" t="s">
        <v>4125</v>
      </c>
      <c r="F409" s="314" t="s">
        <v>917</v>
      </c>
      <c r="G409" s="313">
        <v>0</v>
      </c>
      <c r="H409" s="313">
        <v>0</v>
      </c>
      <c r="I409" s="313">
        <v>2023.03</v>
      </c>
    </row>
    <row r="410" spans="1:9">
      <c r="A410" s="313" t="s">
        <v>251</v>
      </c>
      <c r="B410" s="313" t="s">
        <v>4123</v>
      </c>
      <c r="C410" s="313" t="s">
        <v>4127</v>
      </c>
      <c r="D410" s="313" t="s">
        <v>2824</v>
      </c>
      <c r="E410" s="313" t="s">
        <v>4125</v>
      </c>
      <c r="F410" s="314" t="s">
        <v>925</v>
      </c>
      <c r="G410" s="313">
        <v>0</v>
      </c>
      <c r="H410" s="313">
        <v>0</v>
      </c>
      <c r="I410" s="313">
        <v>2023.03</v>
      </c>
    </row>
    <row r="411" spans="1:9">
      <c r="A411" s="313" t="s">
        <v>251</v>
      </c>
      <c r="B411" s="313" t="s">
        <v>4123</v>
      </c>
      <c r="C411" s="313" t="s">
        <v>4127</v>
      </c>
      <c r="D411" s="313" t="s">
        <v>2824</v>
      </c>
      <c r="E411" s="313" t="s">
        <v>3849</v>
      </c>
      <c r="F411" s="314" t="s">
        <v>919</v>
      </c>
      <c r="G411" s="313">
        <v>0</v>
      </c>
      <c r="H411" s="313">
        <v>0</v>
      </c>
      <c r="I411" s="313">
        <v>2023.03</v>
      </c>
    </row>
    <row r="412" spans="1:9">
      <c r="A412" s="313" t="s">
        <v>251</v>
      </c>
      <c r="B412" s="313" t="s">
        <v>4123</v>
      </c>
      <c r="C412" s="313" t="s">
        <v>4127</v>
      </c>
      <c r="D412" s="313" t="s">
        <v>2824</v>
      </c>
      <c r="E412" s="313" t="s">
        <v>3849</v>
      </c>
      <c r="F412" s="314" t="s">
        <v>920</v>
      </c>
      <c r="G412" s="313">
        <v>0</v>
      </c>
      <c r="H412" s="313">
        <v>0</v>
      </c>
      <c r="I412" s="313">
        <v>2023.03</v>
      </c>
    </row>
    <row r="413" spans="1:9">
      <c r="A413" s="313" t="s">
        <v>251</v>
      </c>
      <c r="B413" s="313" t="s">
        <v>4123</v>
      </c>
      <c r="C413" s="313" t="s">
        <v>4127</v>
      </c>
      <c r="D413" s="313" t="s">
        <v>2824</v>
      </c>
      <c r="E413" s="313" t="s">
        <v>3849</v>
      </c>
      <c r="F413" s="314" t="s">
        <v>925</v>
      </c>
      <c r="G413" s="313">
        <v>0</v>
      </c>
      <c r="H413" s="313">
        <v>0</v>
      </c>
      <c r="I413" s="313">
        <v>2023.03</v>
      </c>
    </row>
    <row r="414" spans="1:9">
      <c r="A414" s="313" t="s">
        <v>251</v>
      </c>
      <c r="B414" s="313" t="s">
        <v>4123</v>
      </c>
      <c r="C414" s="313" t="s">
        <v>4127</v>
      </c>
      <c r="D414" s="313" t="s">
        <v>2824</v>
      </c>
      <c r="E414" s="313" t="s">
        <v>3849</v>
      </c>
      <c r="F414" s="314" t="s">
        <v>917</v>
      </c>
      <c r="G414" s="313">
        <v>0</v>
      </c>
      <c r="H414" s="313">
        <v>0</v>
      </c>
      <c r="I414" s="313">
        <v>2023.03</v>
      </c>
    </row>
    <row r="415" spans="1:9">
      <c r="A415" s="313" t="s">
        <v>251</v>
      </c>
      <c r="B415" s="313" t="s">
        <v>4123</v>
      </c>
      <c r="C415" s="313" t="s">
        <v>4127</v>
      </c>
      <c r="D415" s="313" t="s">
        <v>2824</v>
      </c>
      <c r="E415" s="313" t="s">
        <v>3849</v>
      </c>
      <c r="F415" s="314" t="s">
        <v>4134</v>
      </c>
      <c r="G415" s="313">
        <v>0</v>
      </c>
      <c r="H415" s="313">
        <v>0</v>
      </c>
      <c r="I415" s="313">
        <v>2023.03</v>
      </c>
    </row>
    <row r="416" spans="1:9">
      <c r="A416" s="313" t="s">
        <v>251</v>
      </c>
      <c r="B416" s="313" t="s">
        <v>4123</v>
      </c>
      <c r="C416" s="313" t="s">
        <v>4127</v>
      </c>
      <c r="D416" s="313" t="s">
        <v>2824</v>
      </c>
      <c r="E416" s="313" t="s">
        <v>4026</v>
      </c>
      <c r="F416" s="314" t="s">
        <v>920</v>
      </c>
      <c r="G416" s="313">
        <v>0</v>
      </c>
      <c r="H416" s="313">
        <v>0</v>
      </c>
      <c r="I416" s="313">
        <v>2023.03</v>
      </c>
    </row>
    <row r="417" spans="1:9">
      <c r="A417" s="313" t="s">
        <v>251</v>
      </c>
      <c r="B417" s="313" t="s">
        <v>4123</v>
      </c>
      <c r="C417" s="313" t="s">
        <v>4127</v>
      </c>
      <c r="D417" s="313" t="s">
        <v>2824</v>
      </c>
      <c r="E417" s="313" t="s">
        <v>4026</v>
      </c>
      <c r="F417" s="314" t="s">
        <v>4134</v>
      </c>
      <c r="G417" s="313">
        <v>0</v>
      </c>
      <c r="H417" s="313">
        <v>0</v>
      </c>
      <c r="I417" s="313">
        <v>2023.03</v>
      </c>
    </row>
    <row r="418" spans="1:9">
      <c r="A418" s="313" t="s">
        <v>251</v>
      </c>
      <c r="B418" s="313" t="s">
        <v>4123</v>
      </c>
      <c r="C418" s="313" t="s">
        <v>4127</v>
      </c>
      <c r="D418" s="313" t="s">
        <v>2824</v>
      </c>
      <c r="E418" s="313" t="s">
        <v>4026</v>
      </c>
      <c r="F418" s="314" t="s">
        <v>919</v>
      </c>
      <c r="G418" s="313">
        <v>0</v>
      </c>
      <c r="H418" s="313">
        <v>0</v>
      </c>
      <c r="I418" s="313">
        <v>2023.03</v>
      </c>
    </row>
    <row r="419" spans="1:9">
      <c r="A419" s="313" t="s">
        <v>251</v>
      </c>
      <c r="B419" s="313" t="s">
        <v>4123</v>
      </c>
      <c r="C419" s="313" t="s">
        <v>4127</v>
      </c>
      <c r="D419" s="313" t="s">
        <v>2824</v>
      </c>
      <c r="E419" s="313" t="s">
        <v>3834</v>
      </c>
      <c r="F419" s="314" t="s">
        <v>4134</v>
      </c>
      <c r="G419" s="313">
        <v>160</v>
      </c>
      <c r="H419" s="313">
        <v>1260</v>
      </c>
      <c r="I419" s="313">
        <v>2023.03</v>
      </c>
    </row>
    <row r="420" spans="1:9">
      <c r="A420" s="313" t="s">
        <v>251</v>
      </c>
      <c r="B420" s="313" t="s">
        <v>4123</v>
      </c>
      <c r="C420" s="313" t="s">
        <v>4127</v>
      </c>
      <c r="D420" s="313" t="s">
        <v>2824</v>
      </c>
      <c r="E420" s="313" t="s">
        <v>3834</v>
      </c>
      <c r="F420" s="314" t="s">
        <v>920</v>
      </c>
      <c r="G420" s="313">
        <v>0</v>
      </c>
      <c r="H420" s="313">
        <v>0</v>
      </c>
      <c r="I420" s="313">
        <v>2023.03</v>
      </c>
    </row>
    <row r="421" spans="1:9">
      <c r="A421" s="313" t="s">
        <v>251</v>
      </c>
      <c r="B421" s="313" t="s">
        <v>4123</v>
      </c>
      <c r="C421" s="313" t="s">
        <v>3836</v>
      </c>
      <c r="D421" s="313" t="s">
        <v>3836</v>
      </c>
      <c r="E421" s="313" t="s">
        <v>3854</v>
      </c>
      <c r="F421" s="314" t="s">
        <v>253</v>
      </c>
      <c r="G421" s="313">
        <v>36</v>
      </c>
      <c r="H421" s="313">
        <v>130</v>
      </c>
      <c r="I421" s="313">
        <v>2023.03</v>
      </c>
    </row>
    <row r="422" spans="1:9">
      <c r="A422" s="313" t="s">
        <v>251</v>
      </c>
      <c r="B422" s="313" t="s">
        <v>4123</v>
      </c>
      <c r="C422" s="313" t="s">
        <v>3836</v>
      </c>
      <c r="D422" s="313" t="s">
        <v>3836</v>
      </c>
      <c r="E422" s="313" t="s">
        <v>3848</v>
      </c>
      <c r="F422" s="314" t="s">
        <v>253</v>
      </c>
      <c r="G422" s="313">
        <v>0</v>
      </c>
      <c r="H422" s="313">
        <v>0</v>
      </c>
      <c r="I422" s="313">
        <v>2023.03</v>
      </c>
    </row>
    <row r="423" spans="1:9">
      <c r="A423" s="313" t="s">
        <v>251</v>
      </c>
      <c r="B423" s="313" t="s">
        <v>4123</v>
      </c>
      <c r="C423" s="313" t="s">
        <v>3836</v>
      </c>
      <c r="D423" s="313" t="s">
        <v>3836</v>
      </c>
      <c r="E423" s="313" t="s">
        <v>3834</v>
      </c>
      <c r="F423" s="314" t="s">
        <v>253</v>
      </c>
      <c r="G423" s="313">
        <v>0</v>
      </c>
      <c r="H423" s="313">
        <v>0</v>
      </c>
      <c r="I423" s="313">
        <v>2023.03</v>
      </c>
    </row>
    <row r="424" spans="1:9">
      <c r="A424" s="313" t="s">
        <v>251</v>
      </c>
      <c r="B424" s="313" t="s">
        <v>4123</v>
      </c>
      <c r="C424" s="313" t="s">
        <v>4135</v>
      </c>
      <c r="D424" s="313" t="s">
        <v>4136</v>
      </c>
      <c r="E424" s="313" t="s">
        <v>3849</v>
      </c>
      <c r="F424" s="314" t="s">
        <v>964</v>
      </c>
      <c r="G424" s="313">
        <v>0</v>
      </c>
      <c r="H424" s="313">
        <v>0</v>
      </c>
      <c r="I424" s="313">
        <v>2023.03</v>
      </c>
    </row>
    <row r="425" spans="1:9">
      <c r="A425" s="313" t="s">
        <v>251</v>
      </c>
      <c r="B425" s="313" t="s">
        <v>4123</v>
      </c>
      <c r="C425" s="313" t="s">
        <v>4135</v>
      </c>
      <c r="D425" s="313" t="s">
        <v>4136</v>
      </c>
      <c r="E425" s="313" t="s">
        <v>3834</v>
      </c>
      <c r="F425" s="314" t="s">
        <v>964</v>
      </c>
      <c r="G425" s="313">
        <v>0</v>
      </c>
      <c r="H425" s="313">
        <v>0</v>
      </c>
      <c r="I425" s="313">
        <v>2023.03</v>
      </c>
    </row>
    <row r="426" spans="1:9">
      <c r="A426" s="313" t="s">
        <v>251</v>
      </c>
      <c r="B426" s="313" t="s">
        <v>4123</v>
      </c>
      <c r="C426" s="313" t="s">
        <v>4135</v>
      </c>
      <c r="D426" s="313" t="s">
        <v>4137</v>
      </c>
      <c r="E426" s="313" t="s">
        <v>3849</v>
      </c>
      <c r="F426" s="314" t="s">
        <v>4138</v>
      </c>
      <c r="G426" s="313">
        <v>0</v>
      </c>
      <c r="H426" s="313">
        <v>0</v>
      </c>
      <c r="I426" s="313">
        <v>2023.03</v>
      </c>
    </row>
    <row r="427" spans="1:9">
      <c r="A427" s="313" t="s">
        <v>251</v>
      </c>
      <c r="B427" s="313" t="s">
        <v>4123</v>
      </c>
      <c r="C427" s="313" t="s">
        <v>4135</v>
      </c>
      <c r="D427" s="313" t="s">
        <v>4137</v>
      </c>
      <c r="E427" s="313" t="s">
        <v>4131</v>
      </c>
      <c r="F427" s="314" t="s">
        <v>4138</v>
      </c>
      <c r="G427" s="313">
        <v>0</v>
      </c>
      <c r="H427" s="313">
        <v>0</v>
      </c>
      <c r="I427" s="313">
        <v>2023.03</v>
      </c>
    </row>
    <row r="428" spans="1:9">
      <c r="A428" s="313" t="s">
        <v>251</v>
      </c>
      <c r="B428" s="313" t="s">
        <v>4123</v>
      </c>
      <c r="C428" s="313" t="s">
        <v>4135</v>
      </c>
      <c r="D428" s="313" t="s">
        <v>4139</v>
      </c>
      <c r="E428" s="313" t="s">
        <v>3849</v>
      </c>
      <c r="F428" s="314" t="s">
        <v>4140</v>
      </c>
      <c r="G428" s="313">
        <v>0</v>
      </c>
      <c r="H428" s="313">
        <v>0</v>
      </c>
      <c r="I428" s="313">
        <v>2023.03</v>
      </c>
    </row>
    <row r="429" spans="1:9">
      <c r="A429" s="313" t="s">
        <v>251</v>
      </c>
      <c r="B429" s="313" t="s">
        <v>4123</v>
      </c>
      <c r="C429" s="313" t="s">
        <v>4135</v>
      </c>
      <c r="D429" s="313" t="s">
        <v>4139</v>
      </c>
      <c r="E429" s="313" t="s">
        <v>4131</v>
      </c>
      <c r="F429" s="314" t="s">
        <v>4140</v>
      </c>
      <c r="G429" s="313">
        <v>0</v>
      </c>
      <c r="H429" s="313">
        <v>0</v>
      </c>
      <c r="I429" s="313">
        <v>2023.03</v>
      </c>
    </row>
    <row r="430" spans="1:9">
      <c r="A430" s="313" t="s">
        <v>251</v>
      </c>
      <c r="B430" s="313" t="s">
        <v>4123</v>
      </c>
      <c r="C430" s="313" t="s">
        <v>4135</v>
      </c>
      <c r="D430" s="313" t="s">
        <v>4135</v>
      </c>
      <c r="E430" s="313" t="s">
        <v>3854</v>
      </c>
      <c r="F430" s="314" t="s">
        <v>4141</v>
      </c>
      <c r="G430" s="313">
        <v>0</v>
      </c>
      <c r="H430" s="313">
        <v>0</v>
      </c>
      <c r="I430" s="313">
        <v>2023.03</v>
      </c>
    </row>
    <row r="431" spans="1:9">
      <c r="A431" s="313" t="s">
        <v>251</v>
      </c>
      <c r="B431" s="313" t="s">
        <v>4123</v>
      </c>
      <c r="C431" s="313" t="s">
        <v>4135</v>
      </c>
      <c r="D431" s="313" t="s">
        <v>4135</v>
      </c>
      <c r="E431" s="313" t="s">
        <v>3820</v>
      </c>
      <c r="F431" s="314" t="s">
        <v>4141</v>
      </c>
      <c r="G431" s="313">
        <v>0</v>
      </c>
      <c r="H431" s="313">
        <v>0</v>
      </c>
      <c r="I431" s="313">
        <v>2023.03</v>
      </c>
    </row>
    <row r="432" spans="1:9">
      <c r="A432" s="313" t="s">
        <v>251</v>
      </c>
      <c r="B432" s="313" t="s">
        <v>4123</v>
      </c>
      <c r="C432" s="313" t="s">
        <v>4135</v>
      </c>
      <c r="D432" s="313" t="s">
        <v>4135</v>
      </c>
      <c r="E432" s="313" t="s">
        <v>3848</v>
      </c>
      <c r="F432" s="314" t="s">
        <v>4141</v>
      </c>
      <c r="G432" s="313">
        <v>0</v>
      </c>
      <c r="H432" s="313">
        <v>0</v>
      </c>
      <c r="I432" s="313">
        <v>2023.03</v>
      </c>
    </row>
    <row r="433" spans="1:9">
      <c r="A433" s="313" t="s">
        <v>251</v>
      </c>
      <c r="B433" s="313" t="s">
        <v>4123</v>
      </c>
      <c r="C433" s="313" t="s">
        <v>4135</v>
      </c>
      <c r="D433" s="313" t="s">
        <v>4142</v>
      </c>
      <c r="E433" s="313" t="s">
        <v>4125</v>
      </c>
      <c r="F433" s="314" t="s">
        <v>904</v>
      </c>
      <c r="G433" s="313">
        <v>0</v>
      </c>
      <c r="H433" s="313">
        <v>0</v>
      </c>
      <c r="I433" s="313">
        <v>2023.03</v>
      </c>
    </row>
    <row r="434" spans="1:9">
      <c r="A434" s="313" t="s">
        <v>251</v>
      </c>
      <c r="B434" s="313" t="s">
        <v>4123</v>
      </c>
      <c r="C434" s="313" t="s">
        <v>4135</v>
      </c>
      <c r="D434" s="313" t="s">
        <v>4142</v>
      </c>
      <c r="E434" s="313" t="s">
        <v>4125</v>
      </c>
      <c r="F434" s="314" t="s">
        <v>906</v>
      </c>
      <c r="G434" s="313">
        <v>0</v>
      </c>
      <c r="H434" s="313">
        <v>0</v>
      </c>
      <c r="I434" s="313">
        <v>2023.03</v>
      </c>
    </row>
    <row r="435" spans="1:9">
      <c r="A435" s="313" t="s">
        <v>251</v>
      </c>
      <c r="B435" s="313" t="s">
        <v>4123</v>
      </c>
      <c r="C435" s="313" t="s">
        <v>4135</v>
      </c>
      <c r="D435" s="313" t="s">
        <v>4142</v>
      </c>
      <c r="E435" s="313" t="s">
        <v>4125</v>
      </c>
      <c r="F435" s="314" t="s">
        <v>905</v>
      </c>
      <c r="G435" s="313">
        <v>0</v>
      </c>
      <c r="H435" s="313">
        <v>0</v>
      </c>
      <c r="I435" s="313">
        <v>2023.03</v>
      </c>
    </row>
    <row r="436" spans="1:9">
      <c r="A436" s="313" t="s">
        <v>251</v>
      </c>
      <c r="B436" s="313" t="s">
        <v>4123</v>
      </c>
      <c r="C436" s="313" t="s">
        <v>4135</v>
      </c>
      <c r="D436" s="313" t="s">
        <v>4142</v>
      </c>
      <c r="E436" s="313" t="s">
        <v>4125</v>
      </c>
      <c r="F436" s="314" t="s">
        <v>4143</v>
      </c>
      <c r="G436" s="313">
        <v>0</v>
      </c>
      <c r="H436" s="313">
        <v>0</v>
      </c>
      <c r="I436" s="313">
        <v>2023.03</v>
      </c>
    </row>
    <row r="437" spans="1:9">
      <c r="A437" s="313" t="s">
        <v>251</v>
      </c>
      <c r="B437" s="313" t="s">
        <v>4123</v>
      </c>
      <c r="C437" s="313" t="s">
        <v>4135</v>
      </c>
      <c r="D437" s="313" t="s">
        <v>4142</v>
      </c>
      <c r="E437" s="313" t="s">
        <v>4125</v>
      </c>
      <c r="F437" s="314" t="s">
        <v>4144</v>
      </c>
      <c r="G437" s="313">
        <v>0</v>
      </c>
      <c r="H437" s="313">
        <v>0</v>
      </c>
      <c r="I437" s="313">
        <v>2023.03</v>
      </c>
    </row>
    <row r="438" spans="1:9">
      <c r="A438" s="313" t="s">
        <v>251</v>
      </c>
      <c r="B438" s="313" t="s">
        <v>4123</v>
      </c>
      <c r="C438" s="313" t="s">
        <v>4135</v>
      </c>
      <c r="D438" s="313" t="s">
        <v>4142</v>
      </c>
      <c r="E438" s="313" t="s">
        <v>4125</v>
      </c>
      <c r="F438" s="314" t="s">
        <v>903</v>
      </c>
      <c r="G438" s="313">
        <v>0</v>
      </c>
      <c r="H438" s="313">
        <v>0</v>
      </c>
      <c r="I438" s="313">
        <v>2023.03</v>
      </c>
    </row>
    <row r="439" spans="1:9">
      <c r="A439" s="313" t="s">
        <v>251</v>
      </c>
      <c r="B439" s="313" t="s">
        <v>4123</v>
      </c>
      <c r="C439" s="313" t="s">
        <v>4135</v>
      </c>
      <c r="D439" s="313" t="s">
        <v>4142</v>
      </c>
      <c r="E439" s="313" t="s">
        <v>3849</v>
      </c>
      <c r="F439" s="314" t="s">
        <v>4143</v>
      </c>
      <c r="G439" s="313">
        <v>0</v>
      </c>
      <c r="H439" s="313">
        <v>0</v>
      </c>
      <c r="I439" s="313">
        <v>2023.03</v>
      </c>
    </row>
    <row r="440" spans="1:9">
      <c r="A440" s="313" t="s">
        <v>251</v>
      </c>
      <c r="B440" s="313" t="s">
        <v>4123</v>
      </c>
      <c r="C440" s="313" t="s">
        <v>4135</v>
      </c>
      <c r="D440" s="313" t="s">
        <v>4142</v>
      </c>
      <c r="E440" s="313" t="s">
        <v>3849</v>
      </c>
      <c r="F440" s="314" t="s">
        <v>905</v>
      </c>
      <c r="G440" s="313">
        <v>0</v>
      </c>
      <c r="H440" s="313">
        <v>0</v>
      </c>
      <c r="I440" s="313">
        <v>2023.03</v>
      </c>
    </row>
    <row r="441" spans="1:9">
      <c r="A441" s="313" t="s">
        <v>251</v>
      </c>
      <c r="B441" s="313" t="s">
        <v>4123</v>
      </c>
      <c r="C441" s="313" t="s">
        <v>4135</v>
      </c>
      <c r="D441" s="313" t="s">
        <v>4142</v>
      </c>
      <c r="E441" s="313" t="s">
        <v>3849</v>
      </c>
      <c r="F441" s="314" t="s">
        <v>4144</v>
      </c>
      <c r="G441" s="313">
        <v>0</v>
      </c>
      <c r="H441" s="313">
        <v>0</v>
      </c>
      <c r="I441" s="313">
        <v>2023.03</v>
      </c>
    </row>
    <row r="442" spans="1:9">
      <c r="A442" s="313" t="s">
        <v>251</v>
      </c>
      <c r="B442" s="313" t="s">
        <v>4123</v>
      </c>
      <c r="C442" s="313" t="s">
        <v>4135</v>
      </c>
      <c r="D442" s="313" t="s">
        <v>4142</v>
      </c>
      <c r="E442" s="313" t="s">
        <v>3849</v>
      </c>
      <c r="F442" s="314" t="s">
        <v>904</v>
      </c>
      <c r="G442" s="313">
        <v>0</v>
      </c>
      <c r="H442" s="313">
        <v>0</v>
      </c>
      <c r="I442" s="313">
        <v>2023.03</v>
      </c>
    </row>
    <row r="443" spans="1:9">
      <c r="A443" s="313" t="s">
        <v>251</v>
      </c>
      <c r="B443" s="313" t="s">
        <v>4123</v>
      </c>
      <c r="C443" s="313" t="s">
        <v>4135</v>
      </c>
      <c r="D443" s="313" t="s">
        <v>4142</v>
      </c>
      <c r="E443" s="313" t="s">
        <v>3849</v>
      </c>
      <c r="F443" s="314" t="s">
        <v>903</v>
      </c>
      <c r="G443" s="313">
        <v>0</v>
      </c>
      <c r="H443" s="313">
        <v>0</v>
      </c>
      <c r="I443" s="313">
        <v>2023.03</v>
      </c>
    </row>
    <row r="444" spans="1:9">
      <c r="A444" s="313" t="s">
        <v>251</v>
      </c>
      <c r="B444" s="313" t="s">
        <v>4123</v>
      </c>
      <c r="C444" s="313" t="s">
        <v>4135</v>
      </c>
      <c r="D444" s="313" t="s">
        <v>4142</v>
      </c>
      <c r="E444" s="313" t="s">
        <v>3849</v>
      </c>
      <c r="F444" s="314" t="s">
        <v>906</v>
      </c>
      <c r="G444" s="313">
        <v>0</v>
      </c>
      <c r="H444" s="313">
        <v>0</v>
      </c>
      <c r="I444" s="313">
        <v>2023.03</v>
      </c>
    </row>
    <row r="445" spans="1:9">
      <c r="A445" s="313" t="s">
        <v>251</v>
      </c>
      <c r="B445" s="313" t="s">
        <v>4123</v>
      </c>
      <c r="C445" s="313" t="s">
        <v>4135</v>
      </c>
      <c r="D445" s="313" t="s">
        <v>4142</v>
      </c>
      <c r="E445" s="313" t="s">
        <v>4131</v>
      </c>
      <c r="F445" s="314" t="s">
        <v>4144</v>
      </c>
      <c r="G445" s="313">
        <v>0</v>
      </c>
      <c r="H445" s="313">
        <v>0</v>
      </c>
      <c r="I445" s="313">
        <v>2023.03</v>
      </c>
    </row>
    <row r="446" spans="1:9">
      <c r="A446" s="313" t="s">
        <v>251</v>
      </c>
      <c r="B446" s="313" t="s">
        <v>4123</v>
      </c>
      <c r="C446" s="313" t="s">
        <v>4135</v>
      </c>
      <c r="D446" s="313" t="s">
        <v>4142</v>
      </c>
      <c r="E446" s="313" t="s">
        <v>4131</v>
      </c>
      <c r="F446" s="314" t="s">
        <v>905</v>
      </c>
      <c r="G446" s="313">
        <v>0</v>
      </c>
      <c r="H446" s="313">
        <v>0</v>
      </c>
      <c r="I446" s="313">
        <v>2023.03</v>
      </c>
    </row>
    <row r="447" spans="1:9">
      <c r="A447" s="313" t="s">
        <v>251</v>
      </c>
      <c r="B447" s="313" t="s">
        <v>4123</v>
      </c>
      <c r="C447" s="313" t="s">
        <v>4135</v>
      </c>
      <c r="D447" s="313" t="s">
        <v>4142</v>
      </c>
      <c r="E447" s="313" t="s">
        <v>4131</v>
      </c>
      <c r="F447" s="314" t="s">
        <v>904</v>
      </c>
      <c r="G447" s="313">
        <v>0</v>
      </c>
      <c r="H447" s="313">
        <v>0</v>
      </c>
      <c r="I447" s="313">
        <v>2023.03</v>
      </c>
    </row>
    <row r="448" spans="1:9">
      <c r="A448" s="313" t="s">
        <v>251</v>
      </c>
      <c r="B448" s="313" t="s">
        <v>4123</v>
      </c>
      <c r="C448" s="313" t="s">
        <v>4135</v>
      </c>
      <c r="D448" s="313" t="s">
        <v>4142</v>
      </c>
      <c r="E448" s="313" t="s">
        <v>4131</v>
      </c>
      <c r="F448" s="314" t="s">
        <v>4143</v>
      </c>
      <c r="G448" s="313">
        <v>0</v>
      </c>
      <c r="H448" s="313">
        <v>0</v>
      </c>
      <c r="I448" s="313">
        <v>2023.03</v>
      </c>
    </row>
    <row r="449" spans="1:9">
      <c r="A449" s="313" t="s">
        <v>251</v>
      </c>
      <c r="B449" s="313" t="s">
        <v>4123</v>
      </c>
      <c r="C449" s="313" t="s">
        <v>4135</v>
      </c>
      <c r="D449" s="313" t="s">
        <v>4142</v>
      </c>
      <c r="E449" s="313" t="s">
        <v>4131</v>
      </c>
      <c r="F449" s="314" t="s">
        <v>906</v>
      </c>
      <c r="G449" s="313">
        <v>0</v>
      </c>
      <c r="H449" s="313">
        <v>0</v>
      </c>
      <c r="I449" s="313">
        <v>2023.03</v>
      </c>
    </row>
    <row r="450" spans="1:9">
      <c r="A450" s="313" t="s">
        <v>251</v>
      </c>
      <c r="B450" s="313" t="s">
        <v>4123</v>
      </c>
      <c r="C450" s="313" t="s">
        <v>4135</v>
      </c>
      <c r="D450" s="313" t="s">
        <v>4142</v>
      </c>
      <c r="E450" s="313" t="s">
        <v>4131</v>
      </c>
      <c r="F450" s="314" t="s">
        <v>903</v>
      </c>
      <c r="G450" s="313">
        <v>0</v>
      </c>
      <c r="H450" s="313">
        <v>0</v>
      </c>
      <c r="I450" s="313">
        <v>2023.03</v>
      </c>
    </row>
    <row r="451" spans="1:9">
      <c r="A451" s="313" t="s">
        <v>251</v>
      </c>
      <c r="B451" s="313" t="s">
        <v>4123</v>
      </c>
      <c r="C451" s="313" t="s">
        <v>4135</v>
      </c>
      <c r="D451" s="313" t="s">
        <v>4142</v>
      </c>
      <c r="E451" s="313" t="s">
        <v>3834</v>
      </c>
      <c r="F451" s="314" t="s">
        <v>906</v>
      </c>
      <c r="G451" s="313">
        <v>0</v>
      </c>
      <c r="H451" s="313">
        <v>0</v>
      </c>
      <c r="I451" s="313">
        <v>2023.03</v>
      </c>
    </row>
    <row r="452" spans="1:9">
      <c r="A452" s="313" t="s">
        <v>251</v>
      </c>
      <c r="B452" s="313" t="s">
        <v>4123</v>
      </c>
      <c r="C452" s="313" t="s">
        <v>4135</v>
      </c>
      <c r="D452" s="313" t="s">
        <v>4142</v>
      </c>
      <c r="E452" s="313" t="s">
        <v>3834</v>
      </c>
      <c r="F452" s="314" t="s">
        <v>905</v>
      </c>
      <c r="G452" s="313">
        <v>0</v>
      </c>
      <c r="H452" s="313">
        <v>0</v>
      </c>
      <c r="I452" s="313">
        <v>2023.03</v>
      </c>
    </row>
    <row r="453" spans="1:9">
      <c r="A453" s="313" t="s">
        <v>251</v>
      </c>
      <c r="B453" s="313" t="s">
        <v>4123</v>
      </c>
      <c r="C453" s="313" t="s">
        <v>4135</v>
      </c>
      <c r="D453" s="313" t="s">
        <v>4142</v>
      </c>
      <c r="E453" s="313" t="s">
        <v>3834</v>
      </c>
      <c r="F453" s="314" t="s">
        <v>903</v>
      </c>
      <c r="G453" s="313">
        <v>0</v>
      </c>
      <c r="H453" s="313">
        <v>0</v>
      </c>
      <c r="I453" s="313">
        <v>2023.03</v>
      </c>
    </row>
    <row r="454" spans="1:9">
      <c r="A454" s="313" t="s">
        <v>251</v>
      </c>
      <c r="B454" s="313" t="s">
        <v>4123</v>
      </c>
      <c r="C454" s="313" t="s">
        <v>4145</v>
      </c>
      <c r="D454" s="313" t="s">
        <v>2813</v>
      </c>
      <c r="E454" s="313" t="s">
        <v>4125</v>
      </c>
      <c r="F454" s="314" t="s">
        <v>4146</v>
      </c>
      <c r="G454" s="313">
        <v>0</v>
      </c>
      <c r="H454" s="313">
        <v>0</v>
      </c>
      <c r="I454" s="313">
        <v>2023.03</v>
      </c>
    </row>
    <row r="455" spans="1:9">
      <c r="A455" s="313" t="s">
        <v>251</v>
      </c>
      <c r="B455" s="313" t="s">
        <v>4123</v>
      </c>
      <c r="C455" s="313" t="s">
        <v>4145</v>
      </c>
      <c r="D455" s="313" t="s">
        <v>2813</v>
      </c>
      <c r="E455" s="313" t="s">
        <v>4125</v>
      </c>
      <c r="F455" s="314" t="s">
        <v>4147</v>
      </c>
      <c r="G455" s="313">
        <v>0</v>
      </c>
      <c r="H455" s="313">
        <v>0</v>
      </c>
      <c r="I455" s="313">
        <v>2023.03</v>
      </c>
    </row>
    <row r="456" spans="1:9">
      <c r="A456" s="313" t="s">
        <v>251</v>
      </c>
      <c r="B456" s="313" t="s">
        <v>4123</v>
      </c>
      <c r="C456" s="313" t="s">
        <v>4145</v>
      </c>
      <c r="D456" s="313" t="s">
        <v>2813</v>
      </c>
      <c r="E456" s="313" t="s">
        <v>4125</v>
      </c>
      <c r="F456" s="314" t="s">
        <v>966</v>
      </c>
      <c r="G456" s="313">
        <v>0</v>
      </c>
      <c r="H456" s="313">
        <v>0</v>
      </c>
      <c r="I456" s="313">
        <v>2023.03</v>
      </c>
    </row>
    <row r="457" spans="1:9">
      <c r="A457" s="313" t="s">
        <v>251</v>
      </c>
      <c r="B457" s="313" t="s">
        <v>4123</v>
      </c>
      <c r="C457" s="313" t="s">
        <v>4145</v>
      </c>
      <c r="D457" s="313" t="s">
        <v>2813</v>
      </c>
      <c r="E457" s="313" t="s">
        <v>4125</v>
      </c>
      <c r="F457" s="314" t="s">
        <v>4148</v>
      </c>
      <c r="G457" s="313">
        <v>0</v>
      </c>
      <c r="H457" s="313">
        <v>0</v>
      </c>
      <c r="I457" s="313">
        <v>2023.03</v>
      </c>
    </row>
    <row r="458" spans="1:9">
      <c r="A458" s="313" t="s">
        <v>251</v>
      </c>
      <c r="B458" s="313" t="s">
        <v>4123</v>
      </c>
      <c r="C458" s="313" t="s">
        <v>4145</v>
      </c>
      <c r="D458" s="313" t="s">
        <v>2813</v>
      </c>
      <c r="E458" s="313" t="s">
        <v>3849</v>
      </c>
      <c r="F458" s="314" t="s">
        <v>4149</v>
      </c>
      <c r="G458" s="313">
        <v>0</v>
      </c>
      <c r="H458" s="313">
        <v>0</v>
      </c>
      <c r="I458" s="313">
        <v>2023.03</v>
      </c>
    </row>
    <row r="459" spans="1:9">
      <c r="A459" s="313" t="s">
        <v>251</v>
      </c>
      <c r="B459" s="313" t="s">
        <v>4123</v>
      </c>
      <c r="C459" s="313" t="s">
        <v>4145</v>
      </c>
      <c r="D459" s="313" t="s">
        <v>2813</v>
      </c>
      <c r="E459" s="313" t="s">
        <v>3849</v>
      </c>
      <c r="F459" s="314" t="s">
        <v>966</v>
      </c>
      <c r="G459" s="313">
        <v>0</v>
      </c>
      <c r="H459" s="313">
        <v>0</v>
      </c>
      <c r="I459" s="313">
        <v>2023.03</v>
      </c>
    </row>
    <row r="460" spans="1:9">
      <c r="A460" s="313" t="s">
        <v>251</v>
      </c>
      <c r="B460" s="313" t="s">
        <v>4123</v>
      </c>
      <c r="C460" s="313" t="s">
        <v>4145</v>
      </c>
      <c r="D460" s="313" t="s">
        <v>2813</v>
      </c>
      <c r="E460" s="313" t="s">
        <v>3849</v>
      </c>
      <c r="F460" s="314" t="s">
        <v>4146</v>
      </c>
      <c r="G460" s="313">
        <v>0</v>
      </c>
      <c r="H460" s="313">
        <v>0</v>
      </c>
      <c r="I460" s="313">
        <v>2023.03</v>
      </c>
    </row>
    <row r="461" spans="1:9">
      <c r="A461" s="313" t="s">
        <v>251</v>
      </c>
      <c r="B461" s="313" t="s">
        <v>4123</v>
      </c>
      <c r="C461" s="313" t="s">
        <v>4145</v>
      </c>
      <c r="D461" s="313" t="s">
        <v>2813</v>
      </c>
      <c r="E461" s="313" t="s">
        <v>3849</v>
      </c>
      <c r="F461" s="314" t="s">
        <v>4147</v>
      </c>
      <c r="G461" s="313">
        <v>0</v>
      </c>
      <c r="H461" s="313">
        <v>0</v>
      </c>
      <c r="I461" s="313">
        <v>2023.03</v>
      </c>
    </row>
    <row r="462" spans="1:9">
      <c r="A462" s="313" t="s">
        <v>251</v>
      </c>
      <c r="B462" s="313" t="s">
        <v>4123</v>
      </c>
      <c r="C462" s="313" t="s">
        <v>4145</v>
      </c>
      <c r="D462" s="313" t="s">
        <v>2813</v>
      </c>
      <c r="E462" s="313" t="s">
        <v>3849</v>
      </c>
      <c r="F462" s="314" t="s">
        <v>4148</v>
      </c>
      <c r="G462" s="313">
        <v>0</v>
      </c>
      <c r="H462" s="313">
        <v>0</v>
      </c>
      <c r="I462" s="313">
        <v>2023.03</v>
      </c>
    </row>
    <row r="463" spans="1:9">
      <c r="A463" s="313" t="s">
        <v>251</v>
      </c>
      <c r="B463" s="313" t="s">
        <v>4123</v>
      </c>
      <c r="C463" s="313" t="s">
        <v>4145</v>
      </c>
      <c r="D463" s="313" t="s">
        <v>2813</v>
      </c>
      <c r="E463" s="313" t="s">
        <v>3834</v>
      </c>
      <c r="F463" s="314" t="s">
        <v>4147</v>
      </c>
      <c r="G463" s="313">
        <v>0</v>
      </c>
      <c r="H463" s="313">
        <v>0</v>
      </c>
      <c r="I463" s="313">
        <v>2023.03</v>
      </c>
    </row>
    <row r="464" spans="1:9">
      <c r="A464" s="313" t="s">
        <v>251</v>
      </c>
      <c r="B464" s="313" t="s">
        <v>4123</v>
      </c>
      <c r="C464" s="313" t="s">
        <v>4145</v>
      </c>
      <c r="D464" s="313" t="s">
        <v>2813</v>
      </c>
      <c r="E464" s="313" t="s">
        <v>3834</v>
      </c>
      <c r="F464" s="314" t="s">
        <v>4146</v>
      </c>
      <c r="G464" s="313">
        <v>0</v>
      </c>
      <c r="H464" s="313">
        <v>0</v>
      </c>
      <c r="I464" s="313">
        <v>2023.03</v>
      </c>
    </row>
    <row r="465" spans="1:9">
      <c r="A465" s="313" t="s">
        <v>251</v>
      </c>
      <c r="B465" s="313" t="s">
        <v>4123</v>
      </c>
      <c r="C465" s="313" t="s">
        <v>4145</v>
      </c>
      <c r="D465" s="313" t="s">
        <v>2813</v>
      </c>
      <c r="E465" s="313" t="s">
        <v>3834</v>
      </c>
      <c r="F465" s="314" t="s">
        <v>4148</v>
      </c>
      <c r="G465" s="313">
        <v>0</v>
      </c>
      <c r="H465" s="313">
        <v>0</v>
      </c>
      <c r="I465" s="313">
        <v>2023.03</v>
      </c>
    </row>
    <row r="466" spans="1:9">
      <c r="A466" s="313" t="s">
        <v>251</v>
      </c>
      <c r="B466" s="313" t="s">
        <v>4123</v>
      </c>
      <c r="C466" s="313" t="s">
        <v>4150</v>
      </c>
      <c r="D466" s="313" t="s">
        <v>4150</v>
      </c>
      <c r="E466" s="313" t="s">
        <v>4125</v>
      </c>
      <c r="F466" s="314" t="s">
        <v>4151</v>
      </c>
      <c r="G466" s="313">
        <v>0</v>
      </c>
      <c r="H466" s="313">
        <v>0</v>
      </c>
      <c r="I466" s="313">
        <v>2023.03</v>
      </c>
    </row>
    <row r="467" spans="1:9">
      <c r="A467" s="313" t="s">
        <v>251</v>
      </c>
      <c r="B467" s="313" t="s">
        <v>4123</v>
      </c>
      <c r="C467" s="313" t="s">
        <v>4150</v>
      </c>
      <c r="D467" s="313" t="s">
        <v>4150</v>
      </c>
      <c r="E467" s="313" t="s">
        <v>3849</v>
      </c>
      <c r="F467" s="314" t="s">
        <v>4151</v>
      </c>
      <c r="G467" s="313">
        <v>0</v>
      </c>
      <c r="H467" s="313">
        <v>0</v>
      </c>
      <c r="I467" s="313">
        <v>2023.03</v>
      </c>
    </row>
    <row r="468" spans="1:9">
      <c r="A468" s="313" t="s">
        <v>251</v>
      </c>
      <c r="B468" s="313" t="s">
        <v>4123</v>
      </c>
      <c r="C468" s="313" t="s">
        <v>4150</v>
      </c>
      <c r="D468" s="313" t="s">
        <v>4150</v>
      </c>
      <c r="E468" s="313" t="s">
        <v>3834</v>
      </c>
      <c r="F468" s="314" t="s">
        <v>4151</v>
      </c>
      <c r="G468" s="313">
        <v>0</v>
      </c>
      <c r="H468" s="313">
        <v>0</v>
      </c>
      <c r="I468" s="313">
        <v>2023.03</v>
      </c>
    </row>
    <row r="469" spans="1:9">
      <c r="A469" s="313" t="s">
        <v>251</v>
      </c>
      <c r="B469" s="313" t="s">
        <v>4152</v>
      </c>
      <c r="C469" s="313" t="s">
        <v>4153</v>
      </c>
      <c r="D469" s="313" t="s">
        <v>4153</v>
      </c>
      <c r="E469" s="313" t="s">
        <v>3854</v>
      </c>
      <c r="F469" s="314" t="s">
        <v>4154</v>
      </c>
      <c r="G469" s="313">
        <v>90</v>
      </c>
      <c r="H469" s="313">
        <v>128</v>
      </c>
      <c r="I469" s="313">
        <v>2023.03</v>
      </c>
    </row>
    <row r="470" spans="1:9">
      <c r="A470" s="313" t="s">
        <v>251</v>
      </c>
      <c r="B470" s="313" t="s">
        <v>4152</v>
      </c>
      <c r="C470" s="313" t="s">
        <v>4153</v>
      </c>
      <c r="D470" s="313" t="s">
        <v>4153</v>
      </c>
      <c r="E470" s="313" t="s">
        <v>3834</v>
      </c>
      <c r="F470" s="314" t="s">
        <v>4154</v>
      </c>
      <c r="G470" s="313">
        <v>267</v>
      </c>
      <c r="H470" s="313">
        <v>980</v>
      </c>
      <c r="I470" s="313">
        <v>2023.03</v>
      </c>
    </row>
    <row r="471" spans="1:9">
      <c r="A471" s="313" t="s">
        <v>251</v>
      </c>
      <c r="B471" s="313" t="s">
        <v>4152</v>
      </c>
      <c r="C471" s="313" t="s">
        <v>4127</v>
      </c>
      <c r="D471" s="313" t="s">
        <v>4127</v>
      </c>
      <c r="E471" s="313" t="s">
        <v>3854</v>
      </c>
      <c r="F471" s="314" t="s">
        <v>4155</v>
      </c>
      <c r="G471" s="313">
        <v>90</v>
      </c>
      <c r="H471" s="313">
        <v>128</v>
      </c>
      <c r="I471" s="313">
        <v>2023.03</v>
      </c>
    </row>
    <row r="472" spans="1:9">
      <c r="A472" s="313" t="s">
        <v>251</v>
      </c>
      <c r="B472" s="313" t="s">
        <v>4152</v>
      </c>
      <c r="C472" s="313" t="s">
        <v>4127</v>
      </c>
      <c r="D472" s="313" t="s">
        <v>4127</v>
      </c>
      <c r="E472" s="313" t="s">
        <v>3848</v>
      </c>
      <c r="F472" s="314" t="s">
        <v>4155</v>
      </c>
      <c r="G472" s="313">
        <v>280</v>
      </c>
      <c r="H472" s="313">
        <v>640</v>
      </c>
      <c r="I472" s="313">
        <v>2023.03</v>
      </c>
    </row>
    <row r="473" spans="1:9">
      <c r="A473" s="313" t="s">
        <v>251</v>
      </c>
      <c r="B473" s="313" t="s">
        <v>4152</v>
      </c>
      <c r="C473" s="313" t="s">
        <v>4127</v>
      </c>
      <c r="D473" s="313" t="s">
        <v>4156</v>
      </c>
      <c r="E473" s="313" t="s">
        <v>3834</v>
      </c>
      <c r="F473" s="314" t="s">
        <v>4157</v>
      </c>
      <c r="G473" s="313">
        <v>267</v>
      </c>
      <c r="H473" s="313">
        <v>980</v>
      </c>
      <c r="I473" s="313">
        <v>2023.03</v>
      </c>
    </row>
    <row r="474" spans="1:9">
      <c r="A474" s="313" t="s">
        <v>251</v>
      </c>
      <c r="B474" s="313" t="s">
        <v>4152</v>
      </c>
      <c r="C474" s="313" t="s">
        <v>4127</v>
      </c>
      <c r="D474" s="313" t="s">
        <v>4132</v>
      </c>
      <c r="E474" s="313" t="s">
        <v>3834</v>
      </c>
      <c r="F474" s="314" t="s">
        <v>4158</v>
      </c>
      <c r="G474" s="313">
        <v>267</v>
      </c>
      <c r="H474" s="313">
        <v>1280</v>
      </c>
      <c r="I474" s="313">
        <v>2023.03</v>
      </c>
    </row>
    <row r="475" spans="1:9">
      <c r="A475" s="313" t="s">
        <v>251</v>
      </c>
      <c r="B475" s="313" t="s">
        <v>4152</v>
      </c>
      <c r="C475" s="313" t="s">
        <v>4127</v>
      </c>
      <c r="D475" s="313" t="s">
        <v>2824</v>
      </c>
      <c r="E475" s="313" t="s">
        <v>3834</v>
      </c>
      <c r="F475" s="314" t="s">
        <v>4159</v>
      </c>
      <c r="G475" s="313">
        <v>267</v>
      </c>
      <c r="H475" s="313">
        <v>980</v>
      </c>
      <c r="I475" s="313">
        <v>2023.03</v>
      </c>
    </row>
    <row r="476" spans="1:9">
      <c r="A476" s="313" t="s">
        <v>251</v>
      </c>
      <c r="B476" s="313" t="s">
        <v>4152</v>
      </c>
      <c r="C476" s="313" t="s">
        <v>4127</v>
      </c>
      <c r="D476" s="313" t="s">
        <v>2828</v>
      </c>
      <c r="E476" s="313" t="s">
        <v>3834</v>
      </c>
      <c r="F476" s="314" t="s">
        <v>4160</v>
      </c>
      <c r="G476" s="313">
        <v>404</v>
      </c>
      <c r="H476" s="313">
        <v>268</v>
      </c>
      <c r="I476" s="313">
        <v>2023.03</v>
      </c>
    </row>
    <row r="477" spans="1:9">
      <c r="A477" s="313" t="s">
        <v>251</v>
      </c>
      <c r="B477" s="313" t="s">
        <v>4152</v>
      </c>
      <c r="C477" s="313" t="s">
        <v>4127</v>
      </c>
      <c r="D477" s="313" t="s">
        <v>2828</v>
      </c>
      <c r="E477" s="313" t="s">
        <v>3834</v>
      </c>
      <c r="F477" s="314" t="s">
        <v>4161</v>
      </c>
      <c r="G477" s="313">
        <v>267</v>
      </c>
      <c r="H477" s="313">
        <v>980</v>
      </c>
      <c r="I477" s="313">
        <v>2023.03</v>
      </c>
    </row>
    <row r="478" spans="1:9">
      <c r="A478" s="313" t="s">
        <v>251</v>
      </c>
      <c r="B478" s="313" t="s">
        <v>4152</v>
      </c>
      <c r="C478" s="313" t="s">
        <v>4162</v>
      </c>
      <c r="D478" s="313" t="s">
        <v>4163</v>
      </c>
      <c r="E478" s="313" t="s">
        <v>3834</v>
      </c>
      <c r="F478" s="314" t="s">
        <v>4164</v>
      </c>
      <c r="G478" s="313">
        <v>267</v>
      </c>
      <c r="H478" s="313">
        <v>980</v>
      </c>
      <c r="I478" s="313">
        <v>2023.03</v>
      </c>
    </row>
    <row r="479" spans="1:9">
      <c r="A479" s="313" t="s">
        <v>251</v>
      </c>
      <c r="B479" s="313" t="s">
        <v>4152</v>
      </c>
      <c r="C479" s="313" t="s">
        <v>4165</v>
      </c>
      <c r="D479" s="313" t="s">
        <v>2800</v>
      </c>
      <c r="E479" s="313" t="s">
        <v>3834</v>
      </c>
      <c r="F479" s="314" t="s">
        <v>4166</v>
      </c>
      <c r="G479" s="313">
        <v>267</v>
      </c>
      <c r="H479" s="313">
        <v>980</v>
      </c>
      <c r="I479" s="313">
        <v>2023.03</v>
      </c>
    </row>
    <row r="480" spans="1:9">
      <c r="A480" s="313" t="s">
        <v>251</v>
      </c>
      <c r="B480" s="313" t="s">
        <v>4152</v>
      </c>
      <c r="C480" s="313" t="s">
        <v>4167</v>
      </c>
      <c r="D480" s="313" t="s">
        <v>4168</v>
      </c>
      <c r="E480" s="313" t="s">
        <v>3834</v>
      </c>
      <c r="F480" s="314" t="s">
        <v>4158</v>
      </c>
      <c r="G480" s="313">
        <v>267</v>
      </c>
      <c r="H480" s="313">
        <v>980</v>
      </c>
      <c r="I480" s="313">
        <v>2023.03</v>
      </c>
    </row>
    <row r="481" spans="1:9">
      <c r="A481" s="313" t="s">
        <v>251</v>
      </c>
      <c r="B481" s="313" t="s">
        <v>4152</v>
      </c>
      <c r="C481" s="313" t="s">
        <v>4169</v>
      </c>
      <c r="D481" s="313" t="s">
        <v>4170</v>
      </c>
      <c r="E481" s="313" t="s">
        <v>3834</v>
      </c>
      <c r="F481" s="314" t="s">
        <v>4171</v>
      </c>
      <c r="G481" s="313">
        <v>267</v>
      </c>
      <c r="H481" s="313">
        <v>980</v>
      </c>
      <c r="I481" s="313">
        <v>2023.03</v>
      </c>
    </row>
    <row r="482" spans="1:9">
      <c r="A482" s="313" t="s">
        <v>251</v>
      </c>
      <c r="B482" s="313" t="s">
        <v>4152</v>
      </c>
      <c r="C482" s="313" t="s">
        <v>4172</v>
      </c>
      <c r="D482" s="313" t="s">
        <v>4173</v>
      </c>
      <c r="E482" s="313" t="s">
        <v>3834</v>
      </c>
      <c r="F482" s="314" t="s">
        <v>4160</v>
      </c>
      <c r="G482" s="313">
        <v>267</v>
      </c>
      <c r="H482" s="313">
        <v>980</v>
      </c>
      <c r="I482" s="313">
        <v>2023.03</v>
      </c>
    </row>
    <row r="483" spans="1:9">
      <c r="A483" s="313" t="s">
        <v>251</v>
      </c>
      <c r="B483" s="313" t="s">
        <v>4152</v>
      </c>
      <c r="C483" s="313" t="s">
        <v>4172</v>
      </c>
      <c r="D483" s="313" t="s">
        <v>4174</v>
      </c>
      <c r="E483" s="313" t="s">
        <v>3834</v>
      </c>
      <c r="F483" s="314" t="s">
        <v>4175</v>
      </c>
      <c r="G483" s="313">
        <v>404</v>
      </c>
      <c r="H483" s="313">
        <v>268</v>
      </c>
      <c r="I483" s="313">
        <v>2023.03</v>
      </c>
    </row>
    <row r="484" spans="1:9">
      <c r="A484" s="313" t="s">
        <v>251</v>
      </c>
      <c r="B484" s="313" t="s">
        <v>4152</v>
      </c>
      <c r="C484" s="313" t="s">
        <v>3836</v>
      </c>
      <c r="D484" s="313" t="s">
        <v>3836</v>
      </c>
      <c r="E484" s="313" t="s">
        <v>3854</v>
      </c>
      <c r="F484" s="314" t="s">
        <v>255</v>
      </c>
      <c r="G484" s="313">
        <v>14</v>
      </c>
      <c r="H484" s="313">
        <v>128</v>
      </c>
      <c r="I484" s="313">
        <v>2023.03</v>
      </c>
    </row>
    <row r="485" spans="1:9">
      <c r="A485" s="313" t="s">
        <v>251</v>
      </c>
      <c r="B485" s="313" t="s">
        <v>4152</v>
      </c>
      <c r="C485" s="313" t="s">
        <v>3836</v>
      </c>
      <c r="D485" s="313" t="s">
        <v>3836</v>
      </c>
      <c r="E485" s="313" t="s">
        <v>3820</v>
      </c>
      <c r="F485" s="314" t="s">
        <v>255</v>
      </c>
      <c r="G485" s="313">
        <v>160</v>
      </c>
      <c r="H485" s="313">
        <v>224</v>
      </c>
      <c r="I485" s="313">
        <v>2023.03</v>
      </c>
    </row>
    <row r="486" spans="1:9">
      <c r="A486" s="313" t="s">
        <v>251</v>
      </c>
      <c r="B486" s="313" t="s">
        <v>4152</v>
      </c>
      <c r="C486" s="313" t="s">
        <v>4132</v>
      </c>
      <c r="D486" s="313" t="s">
        <v>4132</v>
      </c>
      <c r="E486" s="313" t="s">
        <v>3834</v>
      </c>
      <c r="F486" s="314" t="s">
        <v>1099</v>
      </c>
      <c r="G486" s="313">
        <v>267</v>
      </c>
      <c r="H486" s="313">
        <v>980</v>
      </c>
      <c r="I486" s="313">
        <v>2023.03</v>
      </c>
    </row>
    <row r="487" spans="1:9">
      <c r="A487" s="313" t="s">
        <v>251</v>
      </c>
      <c r="B487" s="313" t="s">
        <v>4152</v>
      </c>
      <c r="C487" s="313" t="s">
        <v>4176</v>
      </c>
      <c r="D487" s="313" t="s">
        <v>4142</v>
      </c>
      <c r="E487" s="313" t="s">
        <v>3818</v>
      </c>
      <c r="F487" s="314" t="s">
        <v>4177</v>
      </c>
      <c r="G487" s="313">
        <v>200</v>
      </c>
      <c r="H487" s="313">
        <v>576</v>
      </c>
      <c r="I487" s="313">
        <v>2023.03</v>
      </c>
    </row>
    <row r="488" spans="1:9">
      <c r="A488" s="313" t="s">
        <v>251</v>
      </c>
      <c r="B488" s="313" t="s">
        <v>4152</v>
      </c>
      <c r="C488" s="313" t="s">
        <v>4176</v>
      </c>
      <c r="D488" s="313" t="s">
        <v>4142</v>
      </c>
      <c r="E488" s="313" t="s">
        <v>3834</v>
      </c>
      <c r="F488" s="314" t="s">
        <v>4178</v>
      </c>
      <c r="G488" s="313">
        <v>267</v>
      </c>
      <c r="H488" s="313">
        <v>980</v>
      </c>
      <c r="I488" s="313">
        <v>2023.03</v>
      </c>
    </row>
    <row r="489" spans="1:9">
      <c r="A489" s="313" t="s">
        <v>251</v>
      </c>
      <c r="B489" s="313" t="s">
        <v>4152</v>
      </c>
      <c r="C489" s="313" t="s">
        <v>4176</v>
      </c>
      <c r="D489" s="313" t="s">
        <v>4142</v>
      </c>
      <c r="E489" s="313" t="s">
        <v>3834</v>
      </c>
      <c r="F489" s="314" t="s">
        <v>4179</v>
      </c>
      <c r="G489" s="313">
        <v>267</v>
      </c>
      <c r="H489" s="313">
        <v>1280</v>
      </c>
      <c r="I489" s="313">
        <v>2023.03</v>
      </c>
    </row>
    <row r="490" spans="1:9">
      <c r="A490" s="313" t="s">
        <v>251</v>
      </c>
      <c r="B490" s="313" t="s">
        <v>4152</v>
      </c>
      <c r="C490" s="313" t="s">
        <v>4176</v>
      </c>
      <c r="D490" s="313" t="s">
        <v>4176</v>
      </c>
      <c r="E490" s="313" t="s">
        <v>3854</v>
      </c>
      <c r="F490" s="314" t="s">
        <v>4180</v>
      </c>
      <c r="G490" s="313">
        <v>90</v>
      </c>
      <c r="H490" s="313">
        <v>128</v>
      </c>
      <c r="I490" s="313">
        <v>2023.03</v>
      </c>
    </row>
    <row r="491" spans="1:9">
      <c r="A491" s="313" t="s">
        <v>251</v>
      </c>
      <c r="B491" s="313" t="s">
        <v>4152</v>
      </c>
      <c r="C491" s="313" t="s">
        <v>4176</v>
      </c>
      <c r="D491" s="313" t="s">
        <v>4176</v>
      </c>
      <c r="E491" s="313" t="s">
        <v>3848</v>
      </c>
      <c r="F491" s="314" t="s">
        <v>4180</v>
      </c>
      <c r="G491" s="313">
        <v>280</v>
      </c>
      <c r="H491" s="313">
        <v>640</v>
      </c>
      <c r="I491" s="313">
        <v>2023.03</v>
      </c>
    </row>
    <row r="492" spans="1:9">
      <c r="A492" s="313" t="s">
        <v>442</v>
      </c>
      <c r="B492" s="313" t="s">
        <v>4181</v>
      </c>
      <c r="C492" s="313" t="s">
        <v>4182</v>
      </c>
      <c r="D492" s="313" t="s">
        <v>4183</v>
      </c>
      <c r="E492" s="313" t="s">
        <v>3848</v>
      </c>
      <c r="F492" s="314"/>
      <c r="G492" s="313">
        <v>716</v>
      </c>
      <c r="H492" s="313">
        <v>1012</v>
      </c>
      <c r="I492" s="313">
        <v>2023.03</v>
      </c>
    </row>
    <row r="493" spans="1:9">
      <c r="A493" s="313" t="s">
        <v>442</v>
      </c>
      <c r="B493" s="313" t="s">
        <v>4181</v>
      </c>
      <c r="C493" s="313" t="s">
        <v>4182</v>
      </c>
      <c r="D493" s="313" t="s">
        <v>4183</v>
      </c>
      <c r="E493" s="313" t="s">
        <v>3848</v>
      </c>
      <c r="F493" s="314" t="s">
        <v>4184</v>
      </c>
      <c r="G493" s="313">
        <v>716</v>
      </c>
      <c r="H493" s="313">
        <v>1012</v>
      </c>
      <c r="I493" s="313">
        <v>2023.03</v>
      </c>
    </row>
    <row r="494" spans="1:9">
      <c r="A494" s="313" t="s">
        <v>442</v>
      </c>
      <c r="B494" s="313" t="s">
        <v>4181</v>
      </c>
      <c r="C494" s="313" t="s">
        <v>4182</v>
      </c>
      <c r="D494" s="313" t="s">
        <v>4183</v>
      </c>
      <c r="E494" s="313" t="s">
        <v>3878</v>
      </c>
      <c r="F494" s="314" t="s">
        <v>4184</v>
      </c>
      <c r="G494" s="313">
        <v>628</v>
      </c>
      <c r="H494" s="313">
        <v>380</v>
      </c>
      <c r="I494" s="313">
        <v>2023.03</v>
      </c>
    </row>
    <row r="495" spans="1:9">
      <c r="A495" s="313" t="s">
        <v>442</v>
      </c>
      <c r="B495" s="313" t="s">
        <v>4181</v>
      </c>
      <c r="C495" s="313" t="s">
        <v>4182</v>
      </c>
      <c r="D495" s="313" t="s">
        <v>4183</v>
      </c>
      <c r="E495" s="313" t="s">
        <v>3834</v>
      </c>
      <c r="F495" s="314" t="s">
        <v>4184</v>
      </c>
      <c r="G495" s="313">
        <v>194</v>
      </c>
      <c r="H495" s="313">
        <v>1280</v>
      </c>
      <c r="I495" s="313">
        <v>2023.03</v>
      </c>
    </row>
    <row r="496" spans="1:9">
      <c r="A496" s="313" t="s">
        <v>442</v>
      </c>
      <c r="B496" s="313" t="s">
        <v>4181</v>
      </c>
      <c r="C496" s="313" t="s">
        <v>4182</v>
      </c>
      <c r="D496" s="313" t="s">
        <v>4185</v>
      </c>
      <c r="E496" s="313" t="s">
        <v>3848</v>
      </c>
      <c r="F496" s="314" t="s">
        <v>4186</v>
      </c>
      <c r="G496" s="313">
        <v>452</v>
      </c>
      <c r="H496" s="313">
        <v>1280</v>
      </c>
      <c r="I496" s="313">
        <v>2023.03</v>
      </c>
    </row>
    <row r="497" spans="1:9">
      <c r="A497" s="313" t="s">
        <v>442</v>
      </c>
      <c r="B497" s="313" t="s">
        <v>4181</v>
      </c>
      <c r="C497" s="313" t="s">
        <v>4182</v>
      </c>
      <c r="D497" s="313" t="s">
        <v>4185</v>
      </c>
      <c r="E497" s="313" t="s">
        <v>3834</v>
      </c>
      <c r="F497" s="314"/>
      <c r="G497" s="313">
        <v>194</v>
      </c>
      <c r="H497" s="313">
        <v>1280</v>
      </c>
      <c r="I497" s="313">
        <v>2023.03</v>
      </c>
    </row>
    <row r="498" spans="1:9">
      <c r="A498" s="313" t="s">
        <v>442</v>
      </c>
      <c r="B498" s="313" t="s">
        <v>4181</v>
      </c>
      <c r="C498" s="313" t="s">
        <v>4182</v>
      </c>
      <c r="D498" s="313" t="s">
        <v>4185</v>
      </c>
      <c r="E498" s="313" t="s">
        <v>3834</v>
      </c>
      <c r="F498" s="314" t="s">
        <v>4186</v>
      </c>
      <c r="G498" s="313">
        <v>194</v>
      </c>
      <c r="H498" s="313">
        <v>1280</v>
      </c>
      <c r="I498" s="313">
        <v>2023.03</v>
      </c>
    </row>
    <row r="499" spans="1:9">
      <c r="A499" s="313" t="s">
        <v>442</v>
      </c>
      <c r="B499" s="313" t="s">
        <v>4181</v>
      </c>
      <c r="C499" s="313" t="s">
        <v>4182</v>
      </c>
      <c r="D499" s="313" t="s">
        <v>4187</v>
      </c>
      <c r="E499" s="313" t="s">
        <v>3848</v>
      </c>
      <c r="F499" s="314" t="s">
        <v>4188</v>
      </c>
      <c r="G499" s="313">
        <v>716</v>
      </c>
      <c r="H499" s="313">
        <v>1012</v>
      </c>
      <c r="I499" s="313">
        <v>2023.03</v>
      </c>
    </row>
    <row r="500" spans="1:9">
      <c r="A500" s="313" t="s">
        <v>442</v>
      </c>
      <c r="B500" s="313" t="s">
        <v>4181</v>
      </c>
      <c r="C500" s="313" t="s">
        <v>4182</v>
      </c>
      <c r="D500" s="313" t="s">
        <v>4187</v>
      </c>
      <c r="E500" s="313" t="s">
        <v>3849</v>
      </c>
      <c r="F500" s="314" t="s">
        <v>4188</v>
      </c>
      <c r="G500" s="313">
        <v>716</v>
      </c>
      <c r="H500" s="313">
        <v>1012</v>
      </c>
      <c r="I500" s="313">
        <v>2023.03</v>
      </c>
    </row>
    <row r="501" spans="1:9">
      <c r="A501" s="313" t="s">
        <v>442</v>
      </c>
      <c r="B501" s="313" t="s">
        <v>4181</v>
      </c>
      <c r="C501" s="313" t="s">
        <v>4182</v>
      </c>
      <c r="D501" s="313" t="s">
        <v>4187</v>
      </c>
      <c r="E501" s="313" t="s">
        <v>3834</v>
      </c>
      <c r="F501" s="314"/>
      <c r="G501" s="313">
        <v>194</v>
      </c>
      <c r="H501" s="313">
        <v>1280</v>
      </c>
      <c r="I501" s="313">
        <v>2023.03</v>
      </c>
    </row>
    <row r="502" spans="1:9">
      <c r="A502" s="313" t="s">
        <v>442</v>
      </c>
      <c r="B502" s="313" t="s">
        <v>4181</v>
      </c>
      <c r="C502" s="313" t="s">
        <v>4182</v>
      </c>
      <c r="D502" s="313" t="s">
        <v>4187</v>
      </c>
      <c r="E502" s="313" t="s">
        <v>3834</v>
      </c>
      <c r="F502" s="314" t="s">
        <v>4188</v>
      </c>
      <c r="G502" s="313">
        <v>194</v>
      </c>
      <c r="H502" s="313">
        <v>1280</v>
      </c>
      <c r="I502" s="313">
        <v>2023.03</v>
      </c>
    </row>
    <row r="503" spans="1:9">
      <c r="A503" s="313" t="s">
        <v>442</v>
      </c>
      <c r="B503" s="313" t="s">
        <v>4181</v>
      </c>
      <c r="C503" s="313" t="s">
        <v>4182</v>
      </c>
      <c r="D503" s="313" t="s">
        <v>4189</v>
      </c>
      <c r="E503" s="313" t="s">
        <v>3848</v>
      </c>
      <c r="F503" s="314"/>
      <c r="G503" s="313">
        <v>716</v>
      </c>
      <c r="H503" s="313">
        <v>1012</v>
      </c>
      <c r="I503" s="313">
        <v>2023.03</v>
      </c>
    </row>
    <row r="504" spans="1:9">
      <c r="A504" s="313" t="s">
        <v>442</v>
      </c>
      <c r="B504" s="313" t="s">
        <v>4181</v>
      </c>
      <c r="C504" s="313" t="s">
        <v>4182</v>
      </c>
      <c r="D504" s="313" t="s">
        <v>4189</v>
      </c>
      <c r="E504" s="313" t="s">
        <v>3848</v>
      </c>
      <c r="F504" s="314" t="s">
        <v>4190</v>
      </c>
      <c r="G504" s="313">
        <v>716</v>
      </c>
      <c r="H504" s="313">
        <v>1012</v>
      </c>
      <c r="I504" s="313">
        <v>2023.03</v>
      </c>
    </row>
    <row r="505" spans="1:9">
      <c r="A505" s="313" t="s">
        <v>442</v>
      </c>
      <c r="B505" s="313" t="s">
        <v>4181</v>
      </c>
      <c r="C505" s="313" t="s">
        <v>4182</v>
      </c>
      <c r="D505" s="313" t="s">
        <v>4189</v>
      </c>
      <c r="E505" s="313" t="s">
        <v>3878</v>
      </c>
      <c r="F505" s="314" t="s">
        <v>4190</v>
      </c>
      <c r="G505" s="313">
        <v>716</v>
      </c>
      <c r="H505" s="313">
        <v>1012</v>
      </c>
      <c r="I505" s="313">
        <v>2023.03</v>
      </c>
    </row>
    <row r="506" spans="1:9">
      <c r="A506" s="313" t="s">
        <v>442</v>
      </c>
      <c r="B506" s="313" t="s">
        <v>4181</v>
      </c>
      <c r="C506" s="313" t="s">
        <v>4182</v>
      </c>
      <c r="D506" s="313" t="s">
        <v>4189</v>
      </c>
      <c r="E506" s="313" t="s">
        <v>3834</v>
      </c>
      <c r="F506" s="314" t="s">
        <v>4190</v>
      </c>
      <c r="G506" s="313">
        <v>200</v>
      </c>
      <c r="H506" s="313">
        <v>1280</v>
      </c>
      <c r="I506" s="313">
        <v>2023.03</v>
      </c>
    </row>
    <row r="507" spans="1:9">
      <c r="A507" s="313" t="s">
        <v>442</v>
      </c>
      <c r="B507" s="313" t="s">
        <v>4181</v>
      </c>
      <c r="C507" s="313" t="s">
        <v>4182</v>
      </c>
      <c r="D507" s="313" t="s">
        <v>2928</v>
      </c>
      <c r="E507" s="313" t="s">
        <v>3848</v>
      </c>
      <c r="F507" s="314" t="s">
        <v>4191</v>
      </c>
      <c r="G507" s="313">
        <v>716</v>
      </c>
      <c r="H507" s="313">
        <v>1012</v>
      </c>
      <c r="I507" s="313">
        <v>2023.03</v>
      </c>
    </row>
    <row r="508" spans="1:9">
      <c r="A508" s="313" t="s">
        <v>442</v>
      </c>
      <c r="B508" s="313" t="s">
        <v>4181</v>
      </c>
      <c r="C508" s="313" t="s">
        <v>4182</v>
      </c>
      <c r="D508" s="313" t="s">
        <v>2928</v>
      </c>
      <c r="E508" s="313" t="s">
        <v>3878</v>
      </c>
      <c r="F508" s="314" t="s">
        <v>4191</v>
      </c>
      <c r="G508" s="313">
        <v>716</v>
      </c>
      <c r="H508" s="313">
        <v>1012</v>
      </c>
      <c r="I508" s="313">
        <v>2023.03</v>
      </c>
    </row>
    <row r="509" spans="1:9">
      <c r="A509" s="313" t="s">
        <v>442</v>
      </c>
      <c r="B509" s="313" t="s">
        <v>4181</v>
      </c>
      <c r="C509" s="313" t="s">
        <v>4182</v>
      </c>
      <c r="D509" s="313" t="s">
        <v>2928</v>
      </c>
      <c r="E509" s="313" t="s">
        <v>3834</v>
      </c>
      <c r="F509" s="314" t="s">
        <v>4191</v>
      </c>
      <c r="G509" s="313">
        <v>194</v>
      </c>
      <c r="H509" s="313">
        <v>1280</v>
      </c>
      <c r="I509" s="313">
        <v>2023.03</v>
      </c>
    </row>
    <row r="510" spans="1:9">
      <c r="A510" s="313" t="s">
        <v>442</v>
      </c>
      <c r="B510" s="313" t="s">
        <v>4181</v>
      </c>
      <c r="C510" s="313" t="s">
        <v>4192</v>
      </c>
      <c r="D510" s="313" t="s">
        <v>4193</v>
      </c>
      <c r="E510" s="313" t="s">
        <v>3848</v>
      </c>
      <c r="F510" s="314" t="s">
        <v>4194</v>
      </c>
      <c r="G510" s="313">
        <v>716</v>
      </c>
      <c r="H510" s="313">
        <v>1012</v>
      </c>
      <c r="I510" s="313">
        <v>2023.03</v>
      </c>
    </row>
    <row r="511" spans="1:9">
      <c r="A511" s="313" t="s">
        <v>442</v>
      </c>
      <c r="B511" s="313" t="s">
        <v>4181</v>
      </c>
      <c r="C511" s="313" t="s">
        <v>4192</v>
      </c>
      <c r="D511" s="313" t="s">
        <v>4193</v>
      </c>
      <c r="E511" s="313" t="s">
        <v>3848</v>
      </c>
      <c r="F511" s="314"/>
      <c r="G511" s="313">
        <v>716</v>
      </c>
      <c r="H511" s="313">
        <v>1012</v>
      </c>
      <c r="I511" s="313">
        <v>2023.03</v>
      </c>
    </row>
    <row r="512" spans="1:9">
      <c r="A512" s="313" t="s">
        <v>442</v>
      </c>
      <c r="B512" s="313" t="s">
        <v>4181</v>
      </c>
      <c r="C512" s="313" t="s">
        <v>4192</v>
      </c>
      <c r="D512" s="313" t="s">
        <v>4193</v>
      </c>
      <c r="E512" s="313" t="s">
        <v>3818</v>
      </c>
      <c r="F512" s="314" t="s">
        <v>4194</v>
      </c>
      <c r="G512" s="313">
        <v>716</v>
      </c>
      <c r="H512" s="313">
        <v>1012</v>
      </c>
      <c r="I512" s="313">
        <v>2023.03</v>
      </c>
    </row>
    <row r="513" spans="1:9">
      <c r="A513" s="313" t="s">
        <v>442</v>
      </c>
      <c r="B513" s="313" t="s">
        <v>4181</v>
      </c>
      <c r="C513" s="313" t="s">
        <v>4192</v>
      </c>
      <c r="D513" s="313" t="s">
        <v>4193</v>
      </c>
      <c r="E513" s="313" t="s">
        <v>3834</v>
      </c>
      <c r="F513" s="314" t="s">
        <v>4194</v>
      </c>
      <c r="G513" s="313">
        <v>150</v>
      </c>
      <c r="H513" s="313">
        <v>960</v>
      </c>
      <c r="I513" s="313">
        <v>2023.03</v>
      </c>
    </row>
    <row r="514" spans="1:9">
      <c r="A514" s="313" t="s">
        <v>442</v>
      </c>
      <c r="B514" s="313" t="s">
        <v>4181</v>
      </c>
      <c r="C514" s="313" t="s">
        <v>4192</v>
      </c>
      <c r="D514" s="313" t="s">
        <v>4195</v>
      </c>
      <c r="E514" s="313" t="s">
        <v>3848</v>
      </c>
      <c r="F514" s="314" t="s">
        <v>4196</v>
      </c>
      <c r="G514" s="313">
        <v>716</v>
      </c>
      <c r="H514" s="313">
        <v>1012</v>
      </c>
      <c r="I514" s="313">
        <v>2023.03</v>
      </c>
    </row>
    <row r="515" spans="1:9">
      <c r="A515" s="313" t="s">
        <v>442</v>
      </c>
      <c r="B515" s="313" t="s">
        <v>4181</v>
      </c>
      <c r="C515" s="313" t="s">
        <v>4192</v>
      </c>
      <c r="D515" s="313" t="s">
        <v>4195</v>
      </c>
      <c r="E515" s="313" t="s">
        <v>3834</v>
      </c>
      <c r="F515" s="314" t="s">
        <v>4196</v>
      </c>
      <c r="G515" s="313">
        <v>150</v>
      </c>
      <c r="H515" s="313">
        <v>960</v>
      </c>
      <c r="I515" s="313">
        <v>2023.03</v>
      </c>
    </row>
    <row r="516" spans="1:9">
      <c r="A516" s="313" t="s">
        <v>442</v>
      </c>
      <c r="B516" s="313" t="s">
        <v>4181</v>
      </c>
      <c r="C516" s="313" t="s">
        <v>4192</v>
      </c>
      <c r="D516" s="313" t="s">
        <v>4197</v>
      </c>
      <c r="E516" s="313" t="s">
        <v>3848</v>
      </c>
      <c r="F516" s="314" t="s">
        <v>4198</v>
      </c>
      <c r="G516" s="313">
        <v>716</v>
      </c>
      <c r="H516" s="313">
        <v>1012</v>
      </c>
      <c r="I516" s="313">
        <v>2023.03</v>
      </c>
    </row>
    <row r="517" spans="1:9">
      <c r="A517" s="313" t="s">
        <v>442</v>
      </c>
      <c r="B517" s="313" t="s">
        <v>4181</v>
      </c>
      <c r="C517" s="313" t="s">
        <v>4192</v>
      </c>
      <c r="D517" s="313" t="s">
        <v>4197</v>
      </c>
      <c r="E517" s="313" t="s">
        <v>3834</v>
      </c>
      <c r="F517" s="314" t="s">
        <v>4198</v>
      </c>
      <c r="G517" s="313">
        <v>150</v>
      </c>
      <c r="H517" s="313">
        <v>960</v>
      </c>
      <c r="I517" s="313">
        <v>2023.03</v>
      </c>
    </row>
    <row r="518" spans="1:9">
      <c r="A518" s="313" t="s">
        <v>442</v>
      </c>
      <c r="B518" s="313" t="s">
        <v>4181</v>
      </c>
      <c r="C518" s="313" t="s">
        <v>4192</v>
      </c>
      <c r="D518" s="313" t="s">
        <v>4199</v>
      </c>
      <c r="E518" s="313" t="s">
        <v>3834</v>
      </c>
      <c r="F518" s="314" t="s">
        <v>4200</v>
      </c>
      <c r="G518" s="313">
        <v>97</v>
      </c>
      <c r="H518" s="313">
        <v>1280</v>
      </c>
      <c r="I518" s="313">
        <v>2023.03</v>
      </c>
    </row>
    <row r="519" spans="1:9">
      <c r="A519" s="313" t="s">
        <v>442</v>
      </c>
      <c r="B519" s="313" t="s">
        <v>4181</v>
      </c>
      <c r="C519" s="313" t="s">
        <v>4201</v>
      </c>
      <c r="D519" s="313" t="s">
        <v>4199</v>
      </c>
      <c r="E519" s="313" t="s">
        <v>3848</v>
      </c>
      <c r="F519" s="314" t="s">
        <v>4200</v>
      </c>
      <c r="G519" s="313">
        <v>716</v>
      </c>
      <c r="H519" s="313">
        <v>1012</v>
      </c>
      <c r="I519" s="313">
        <v>2023.03</v>
      </c>
    </row>
    <row r="520" spans="1:9">
      <c r="A520" s="313" t="s">
        <v>442</v>
      </c>
      <c r="B520" s="313" t="s">
        <v>4181</v>
      </c>
      <c r="C520" s="313" t="s">
        <v>4201</v>
      </c>
      <c r="D520" s="313" t="s">
        <v>4199</v>
      </c>
      <c r="E520" s="313" t="s">
        <v>3834</v>
      </c>
      <c r="F520" s="314" t="s">
        <v>4200</v>
      </c>
      <c r="G520" s="313">
        <v>194</v>
      </c>
      <c r="H520" s="313">
        <v>1280</v>
      </c>
      <c r="I520" s="313">
        <v>2023.03</v>
      </c>
    </row>
    <row r="521" spans="1:9">
      <c r="A521" s="313" t="s">
        <v>442</v>
      </c>
      <c r="B521" s="313" t="s">
        <v>4181</v>
      </c>
      <c r="C521" s="313" t="s">
        <v>3836</v>
      </c>
      <c r="D521" s="313" t="s">
        <v>3836</v>
      </c>
      <c r="E521" s="313" t="s">
        <v>3848</v>
      </c>
      <c r="F521" s="314" t="s">
        <v>4202</v>
      </c>
      <c r="G521" s="313">
        <v>334</v>
      </c>
      <c r="H521" s="313">
        <v>644</v>
      </c>
      <c r="I521" s="313">
        <v>2023.03</v>
      </c>
    </row>
    <row r="522" spans="1:9">
      <c r="A522" s="313" t="s">
        <v>442</v>
      </c>
      <c r="B522" s="313" t="s">
        <v>4181</v>
      </c>
      <c r="C522" s="313" t="s">
        <v>3836</v>
      </c>
      <c r="D522" s="313" t="s">
        <v>3836</v>
      </c>
      <c r="E522" s="313" t="s">
        <v>3849</v>
      </c>
      <c r="F522" s="314" t="s">
        <v>4202</v>
      </c>
      <c r="G522" s="313">
        <v>210</v>
      </c>
      <c r="H522" s="313">
        <v>280</v>
      </c>
      <c r="I522" s="313">
        <v>2023.03</v>
      </c>
    </row>
    <row r="523" spans="1:9">
      <c r="A523" s="313" t="s">
        <v>442</v>
      </c>
      <c r="B523" s="313" t="s">
        <v>4181</v>
      </c>
      <c r="C523" s="313" t="s">
        <v>3836</v>
      </c>
      <c r="D523" s="313" t="s">
        <v>3836</v>
      </c>
      <c r="E523" s="313" t="s">
        <v>3834</v>
      </c>
      <c r="F523" s="314"/>
      <c r="G523" s="313">
        <v>410</v>
      </c>
      <c r="H523" s="313">
        <v>1034</v>
      </c>
      <c r="I523" s="313">
        <v>2023.03</v>
      </c>
    </row>
    <row r="524" spans="1:9">
      <c r="A524" s="313" t="s">
        <v>442</v>
      </c>
      <c r="B524" s="313" t="s">
        <v>4181</v>
      </c>
      <c r="C524" s="313" t="s">
        <v>3836</v>
      </c>
      <c r="D524" s="313" t="s">
        <v>3836</v>
      </c>
      <c r="E524" s="313" t="s">
        <v>3834</v>
      </c>
      <c r="F524" s="314" t="s">
        <v>4202</v>
      </c>
      <c r="G524" s="313">
        <v>410</v>
      </c>
      <c r="H524" s="313">
        <v>1034</v>
      </c>
      <c r="I524" s="313">
        <v>2023.03</v>
      </c>
    </row>
    <row r="525" spans="1:9">
      <c r="A525" s="313" t="s">
        <v>442</v>
      </c>
      <c r="B525" s="313" t="s">
        <v>4181</v>
      </c>
      <c r="C525" s="313" t="s">
        <v>4203</v>
      </c>
      <c r="D525" s="313" t="s">
        <v>4204</v>
      </c>
      <c r="E525" s="313" t="s">
        <v>3848</v>
      </c>
      <c r="F525" s="314" t="s">
        <v>4205</v>
      </c>
      <c r="G525" s="313">
        <v>716</v>
      </c>
      <c r="H525" s="313">
        <v>1012</v>
      </c>
      <c r="I525" s="313">
        <v>2023.03</v>
      </c>
    </row>
    <row r="526" spans="1:9">
      <c r="A526" s="313" t="s">
        <v>442</v>
      </c>
      <c r="B526" s="313" t="s">
        <v>4181</v>
      </c>
      <c r="C526" s="313" t="s">
        <v>4203</v>
      </c>
      <c r="D526" s="313" t="s">
        <v>4204</v>
      </c>
      <c r="E526" s="313" t="s">
        <v>3878</v>
      </c>
      <c r="F526" s="314" t="s">
        <v>4205</v>
      </c>
      <c r="G526" s="313">
        <v>716</v>
      </c>
      <c r="H526" s="313">
        <v>1012</v>
      </c>
      <c r="I526" s="313">
        <v>2023.03</v>
      </c>
    </row>
    <row r="527" spans="1:9">
      <c r="A527" s="313" t="s">
        <v>442</v>
      </c>
      <c r="B527" s="313" t="s">
        <v>4181</v>
      </c>
      <c r="C527" s="313" t="s">
        <v>4203</v>
      </c>
      <c r="D527" s="313" t="s">
        <v>4204</v>
      </c>
      <c r="E527" s="313" t="s">
        <v>3834</v>
      </c>
      <c r="F527" s="314"/>
      <c r="G527" s="313">
        <v>194</v>
      </c>
      <c r="H527" s="313">
        <v>1280</v>
      </c>
      <c r="I527" s="313">
        <v>2023.03</v>
      </c>
    </row>
    <row r="528" spans="1:9">
      <c r="A528" s="313" t="s">
        <v>442</v>
      </c>
      <c r="B528" s="313" t="s">
        <v>4181</v>
      </c>
      <c r="C528" s="313" t="s">
        <v>4203</v>
      </c>
      <c r="D528" s="313" t="s">
        <v>4204</v>
      </c>
      <c r="E528" s="313" t="s">
        <v>3834</v>
      </c>
      <c r="F528" s="314" t="s">
        <v>4205</v>
      </c>
      <c r="G528" s="313">
        <v>194</v>
      </c>
      <c r="H528" s="313">
        <v>1280</v>
      </c>
      <c r="I528" s="313">
        <v>2023.03</v>
      </c>
    </row>
    <row r="529" spans="1:9">
      <c r="A529" s="313" t="s">
        <v>442</v>
      </c>
      <c r="B529" s="313" t="s">
        <v>4181</v>
      </c>
      <c r="C529" s="313" t="s">
        <v>4203</v>
      </c>
      <c r="D529" s="313" t="s">
        <v>4203</v>
      </c>
      <c r="E529" s="313" t="s">
        <v>3848</v>
      </c>
      <c r="F529" s="314" t="s">
        <v>4206</v>
      </c>
      <c r="G529" s="313">
        <v>716</v>
      </c>
      <c r="H529" s="313">
        <v>1012</v>
      </c>
      <c r="I529" s="313">
        <v>2023.03</v>
      </c>
    </row>
    <row r="530" spans="1:9">
      <c r="A530" s="313" t="s">
        <v>442</v>
      </c>
      <c r="B530" s="313" t="s">
        <v>4181</v>
      </c>
      <c r="C530" s="313" t="s">
        <v>4203</v>
      </c>
      <c r="D530" s="313" t="s">
        <v>4203</v>
      </c>
      <c r="E530" s="313" t="s">
        <v>3818</v>
      </c>
      <c r="F530" s="314" t="s">
        <v>4206</v>
      </c>
      <c r="G530" s="313">
        <v>716</v>
      </c>
      <c r="H530" s="313">
        <v>1012</v>
      </c>
      <c r="I530" s="313">
        <v>2023.03</v>
      </c>
    </row>
    <row r="531" spans="1:9">
      <c r="A531" s="313" t="s">
        <v>442</v>
      </c>
      <c r="B531" s="313" t="s">
        <v>4181</v>
      </c>
      <c r="C531" s="313" t="s">
        <v>4203</v>
      </c>
      <c r="D531" s="313" t="s">
        <v>4203</v>
      </c>
      <c r="E531" s="313" t="s">
        <v>3834</v>
      </c>
      <c r="F531" s="314"/>
      <c r="G531" s="313">
        <v>194</v>
      </c>
      <c r="H531" s="313">
        <v>1280</v>
      </c>
      <c r="I531" s="313">
        <v>2023.03</v>
      </c>
    </row>
    <row r="532" spans="1:9">
      <c r="A532" s="313" t="s">
        <v>442</v>
      </c>
      <c r="B532" s="313" t="s">
        <v>4181</v>
      </c>
      <c r="C532" s="313" t="s">
        <v>4203</v>
      </c>
      <c r="D532" s="313" t="s">
        <v>4203</v>
      </c>
      <c r="E532" s="313" t="s">
        <v>3834</v>
      </c>
      <c r="F532" s="314" t="s">
        <v>4206</v>
      </c>
      <c r="G532" s="313">
        <v>194</v>
      </c>
      <c r="H532" s="313">
        <v>1280</v>
      </c>
      <c r="I532" s="313">
        <v>2023.03</v>
      </c>
    </row>
    <row r="533" spans="1:9">
      <c r="A533" s="313" t="s">
        <v>442</v>
      </c>
      <c r="B533" s="313" t="s">
        <v>4181</v>
      </c>
      <c r="C533" s="313" t="s">
        <v>4207</v>
      </c>
      <c r="D533" s="313" t="s">
        <v>4208</v>
      </c>
      <c r="E533" s="313" t="s">
        <v>3848</v>
      </c>
      <c r="F533" s="314"/>
      <c r="G533" s="313">
        <v>716</v>
      </c>
      <c r="H533" s="313">
        <v>1012</v>
      </c>
      <c r="I533" s="313">
        <v>2023.03</v>
      </c>
    </row>
    <row r="534" spans="1:9">
      <c r="A534" s="313" t="s">
        <v>442</v>
      </c>
      <c r="B534" s="313" t="s">
        <v>4181</v>
      </c>
      <c r="C534" s="313" t="s">
        <v>4207</v>
      </c>
      <c r="D534" s="313" t="s">
        <v>4208</v>
      </c>
      <c r="E534" s="313" t="s">
        <v>3848</v>
      </c>
      <c r="F534" s="314" t="s">
        <v>4209</v>
      </c>
      <c r="G534" s="313">
        <v>716</v>
      </c>
      <c r="H534" s="313">
        <v>1012</v>
      </c>
      <c r="I534" s="313">
        <v>2023.03</v>
      </c>
    </row>
    <row r="535" spans="1:9">
      <c r="A535" s="313" t="s">
        <v>442</v>
      </c>
      <c r="B535" s="313" t="s">
        <v>4181</v>
      </c>
      <c r="C535" s="313" t="s">
        <v>4207</v>
      </c>
      <c r="D535" s="313" t="s">
        <v>4208</v>
      </c>
      <c r="E535" s="313" t="s">
        <v>3849</v>
      </c>
      <c r="F535" s="314" t="s">
        <v>4209</v>
      </c>
      <c r="G535" s="313">
        <v>716</v>
      </c>
      <c r="H535" s="313">
        <v>1012</v>
      </c>
      <c r="I535" s="313">
        <v>2023.03</v>
      </c>
    </row>
    <row r="536" spans="1:9">
      <c r="A536" s="313" t="s">
        <v>442</v>
      </c>
      <c r="B536" s="313" t="s">
        <v>4181</v>
      </c>
      <c r="C536" s="313" t="s">
        <v>4207</v>
      </c>
      <c r="D536" s="313" t="s">
        <v>4208</v>
      </c>
      <c r="E536" s="313" t="s">
        <v>3834</v>
      </c>
      <c r="F536" s="314"/>
      <c r="G536" s="313">
        <v>194</v>
      </c>
      <c r="H536" s="313">
        <v>1280</v>
      </c>
      <c r="I536" s="313">
        <v>2023.03</v>
      </c>
    </row>
    <row r="537" spans="1:9">
      <c r="A537" s="313" t="s">
        <v>442</v>
      </c>
      <c r="B537" s="313" t="s">
        <v>4181</v>
      </c>
      <c r="C537" s="313" t="s">
        <v>4207</v>
      </c>
      <c r="D537" s="313" t="s">
        <v>4208</v>
      </c>
      <c r="E537" s="313" t="s">
        <v>3834</v>
      </c>
      <c r="F537" s="314" t="s">
        <v>4209</v>
      </c>
      <c r="G537" s="313">
        <v>194</v>
      </c>
      <c r="H537" s="313">
        <v>1280</v>
      </c>
      <c r="I537" s="313">
        <v>2023.03</v>
      </c>
    </row>
    <row r="538" spans="1:9">
      <c r="A538" s="313" t="s">
        <v>442</v>
      </c>
      <c r="B538" s="313" t="s">
        <v>3844</v>
      </c>
      <c r="C538" s="313" t="s">
        <v>4210</v>
      </c>
      <c r="D538" s="313" t="s">
        <v>4210</v>
      </c>
      <c r="E538" s="313" t="s">
        <v>3848</v>
      </c>
      <c r="F538" s="314" t="s">
        <v>4211</v>
      </c>
      <c r="G538" s="313">
        <v>227</v>
      </c>
      <c r="H538" s="313">
        <v>948</v>
      </c>
      <c r="I538" s="313">
        <v>2023.03</v>
      </c>
    </row>
    <row r="539" spans="1:9">
      <c r="A539" s="313" t="s">
        <v>442</v>
      </c>
      <c r="B539" s="313" t="s">
        <v>3844</v>
      </c>
      <c r="C539" s="313" t="s">
        <v>4210</v>
      </c>
      <c r="D539" s="313" t="s">
        <v>4210</v>
      </c>
      <c r="E539" s="313" t="s">
        <v>3818</v>
      </c>
      <c r="F539" s="314" t="s">
        <v>4211</v>
      </c>
      <c r="G539" s="313">
        <v>227</v>
      </c>
      <c r="H539" s="313">
        <v>948</v>
      </c>
      <c r="I539" s="313">
        <v>2023.03</v>
      </c>
    </row>
    <row r="540" spans="1:9">
      <c r="A540" s="313" t="s">
        <v>442</v>
      </c>
      <c r="B540" s="313" t="s">
        <v>3844</v>
      </c>
      <c r="C540" s="313" t="s">
        <v>4210</v>
      </c>
      <c r="D540" s="313" t="s">
        <v>4210</v>
      </c>
      <c r="E540" s="313" t="s">
        <v>3834</v>
      </c>
      <c r="F540" s="314"/>
      <c r="G540" s="313">
        <v>300</v>
      </c>
      <c r="H540" s="313">
        <v>948</v>
      </c>
      <c r="I540" s="313">
        <v>2023.03</v>
      </c>
    </row>
    <row r="541" spans="1:9">
      <c r="A541" s="313" t="s">
        <v>442</v>
      </c>
      <c r="B541" s="313" t="s">
        <v>3844</v>
      </c>
      <c r="C541" s="313" t="s">
        <v>4210</v>
      </c>
      <c r="D541" s="313" t="s">
        <v>4210</v>
      </c>
      <c r="E541" s="313" t="s">
        <v>3834</v>
      </c>
      <c r="F541" s="314" t="s">
        <v>4211</v>
      </c>
      <c r="G541" s="313">
        <v>300</v>
      </c>
      <c r="H541" s="313">
        <v>948</v>
      </c>
      <c r="I541" s="313">
        <v>2023.03</v>
      </c>
    </row>
    <row r="542" spans="1:9">
      <c r="A542" s="313" t="s">
        <v>442</v>
      </c>
      <c r="B542" s="313" t="s">
        <v>3844</v>
      </c>
      <c r="C542" s="313" t="s">
        <v>4210</v>
      </c>
      <c r="D542" s="313" t="s">
        <v>4185</v>
      </c>
      <c r="E542" s="313" t="s">
        <v>3848</v>
      </c>
      <c r="F542" s="314" t="s">
        <v>4212</v>
      </c>
      <c r="G542" s="313">
        <v>55</v>
      </c>
      <c r="H542" s="313">
        <v>948</v>
      </c>
      <c r="I542" s="313">
        <v>2023.03</v>
      </c>
    </row>
    <row r="543" spans="1:9">
      <c r="A543" s="313" t="s">
        <v>442</v>
      </c>
      <c r="B543" s="313" t="s">
        <v>3844</v>
      </c>
      <c r="C543" s="313" t="s">
        <v>4210</v>
      </c>
      <c r="D543" s="313" t="s">
        <v>4185</v>
      </c>
      <c r="E543" s="313" t="s">
        <v>3834</v>
      </c>
      <c r="F543" s="314" t="s">
        <v>4212</v>
      </c>
      <c r="G543" s="313">
        <v>300</v>
      </c>
      <c r="H543" s="313">
        <v>948</v>
      </c>
      <c r="I543" s="313">
        <v>2023.03</v>
      </c>
    </row>
    <row r="544" spans="1:9">
      <c r="A544" s="313" t="s">
        <v>442</v>
      </c>
      <c r="B544" s="313" t="s">
        <v>3844</v>
      </c>
      <c r="C544" s="313" t="s">
        <v>4210</v>
      </c>
      <c r="D544" s="313" t="s">
        <v>4213</v>
      </c>
      <c r="E544" s="313" t="s">
        <v>3848</v>
      </c>
      <c r="F544" s="314" t="s">
        <v>4214</v>
      </c>
      <c r="G544" s="313">
        <v>55</v>
      </c>
      <c r="H544" s="313">
        <v>948</v>
      </c>
      <c r="I544" s="313">
        <v>2023.03</v>
      </c>
    </row>
    <row r="545" spans="1:9">
      <c r="A545" s="313" t="s">
        <v>442</v>
      </c>
      <c r="B545" s="313" t="s">
        <v>3844</v>
      </c>
      <c r="C545" s="313" t="s">
        <v>4210</v>
      </c>
      <c r="D545" s="313" t="s">
        <v>4213</v>
      </c>
      <c r="E545" s="313" t="s">
        <v>3834</v>
      </c>
      <c r="F545" s="314" t="s">
        <v>4214</v>
      </c>
      <c r="G545" s="313">
        <v>300</v>
      </c>
      <c r="H545" s="313">
        <v>948</v>
      </c>
      <c r="I545" s="313">
        <v>2023.03</v>
      </c>
    </row>
    <row r="546" spans="1:9">
      <c r="A546" s="313" t="s">
        <v>442</v>
      </c>
      <c r="B546" s="313" t="s">
        <v>3844</v>
      </c>
      <c r="C546" s="313" t="s">
        <v>4215</v>
      </c>
      <c r="D546" s="313" t="s">
        <v>4216</v>
      </c>
      <c r="E546" s="313" t="s">
        <v>3834</v>
      </c>
      <c r="F546" s="314" t="s">
        <v>4217</v>
      </c>
      <c r="G546" s="313">
        <v>300</v>
      </c>
      <c r="H546" s="313">
        <v>948</v>
      </c>
      <c r="I546" s="313">
        <v>2023.03</v>
      </c>
    </row>
    <row r="547" spans="1:9">
      <c r="A547" s="313" t="s">
        <v>442</v>
      </c>
      <c r="B547" s="313" t="s">
        <v>3844</v>
      </c>
      <c r="C547" s="313" t="s">
        <v>4218</v>
      </c>
      <c r="D547" s="313" t="s">
        <v>4216</v>
      </c>
      <c r="E547" s="313" t="s">
        <v>3848</v>
      </c>
      <c r="F547" s="314" t="s">
        <v>4217</v>
      </c>
      <c r="G547" s="313">
        <v>55</v>
      </c>
      <c r="H547" s="313">
        <v>948</v>
      </c>
      <c r="I547" s="313">
        <v>2023.03</v>
      </c>
    </row>
    <row r="548" spans="1:9">
      <c r="A548" s="313" t="s">
        <v>442</v>
      </c>
      <c r="B548" s="313" t="s">
        <v>3844</v>
      </c>
      <c r="C548" s="313" t="s">
        <v>4218</v>
      </c>
      <c r="D548" s="313" t="s">
        <v>4216</v>
      </c>
      <c r="E548" s="313" t="s">
        <v>3834</v>
      </c>
      <c r="F548" s="314" t="s">
        <v>4217</v>
      </c>
      <c r="G548" s="313">
        <v>300</v>
      </c>
      <c r="H548" s="313">
        <v>948</v>
      </c>
      <c r="I548" s="313">
        <v>2023.03</v>
      </c>
    </row>
    <row r="549" spans="1:9">
      <c r="A549" s="313" t="s">
        <v>442</v>
      </c>
      <c r="B549" s="313" t="s">
        <v>3844</v>
      </c>
      <c r="C549" s="313" t="s">
        <v>4218</v>
      </c>
      <c r="D549" s="313" t="s">
        <v>4219</v>
      </c>
      <c r="E549" s="313" t="s">
        <v>3848</v>
      </c>
      <c r="F549" s="314" t="s">
        <v>4220</v>
      </c>
      <c r="G549" s="313">
        <v>55</v>
      </c>
      <c r="H549" s="313">
        <v>948</v>
      </c>
      <c r="I549" s="313">
        <v>2023.03</v>
      </c>
    </row>
    <row r="550" spans="1:9">
      <c r="A550" s="313" t="s">
        <v>442</v>
      </c>
      <c r="B550" s="313" t="s">
        <v>3844</v>
      </c>
      <c r="C550" s="313" t="s">
        <v>4218</v>
      </c>
      <c r="D550" s="313" t="s">
        <v>4219</v>
      </c>
      <c r="E550" s="313" t="s">
        <v>3834</v>
      </c>
      <c r="F550" s="314" t="s">
        <v>4220</v>
      </c>
      <c r="G550" s="313">
        <v>300</v>
      </c>
      <c r="H550" s="313">
        <v>948</v>
      </c>
      <c r="I550" s="313">
        <v>2023.03</v>
      </c>
    </row>
    <row r="551" spans="1:9">
      <c r="A551" s="313" t="s">
        <v>442</v>
      </c>
      <c r="B551" s="313" t="s">
        <v>3844</v>
      </c>
      <c r="C551" s="313" t="s">
        <v>4221</v>
      </c>
      <c r="D551" s="313" t="s">
        <v>4193</v>
      </c>
      <c r="E551" s="313" t="s">
        <v>3834</v>
      </c>
      <c r="F551" s="314" t="s">
        <v>4222</v>
      </c>
      <c r="G551" s="313">
        <v>300</v>
      </c>
      <c r="H551" s="313">
        <v>948</v>
      </c>
      <c r="I551" s="313">
        <v>2023.03</v>
      </c>
    </row>
    <row r="552" spans="1:9">
      <c r="A552" s="313" t="s">
        <v>442</v>
      </c>
      <c r="B552" s="313" t="s">
        <v>3844</v>
      </c>
      <c r="C552" s="313" t="s">
        <v>4223</v>
      </c>
      <c r="D552" s="313" t="s">
        <v>4193</v>
      </c>
      <c r="E552" s="313" t="s">
        <v>3848</v>
      </c>
      <c r="F552" s="314" t="s">
        <v>4222</v>
      </c>
      <c r="G552" s="313">
        <v>55</v>
      </c>
      <c r="H552" s="313">
        <v>948</v>
      </c>
      <c r="I552" s="313">
        <v>2023.03</v>
      </c>
    </row>
    <row r="553" spans="1:9">
      <c r="A553" s="313" t="s">
        <v>442</v>
      </c>
      <c r="B553" s="313" t="s">
        <v>3844</v>
      </c>
      <c r="C553" s="313" t="s">
        <v>4223</v>
      </c>
      <c r="D553" s="313" t="s">
        <v>4193</v>
      </c>
      <c r="E553" s="313" t="s">
        <v>3818</v>
      </c>
      <c r="F553" s="314" t="s">
        <v>4222</v>
      </c>
      <c r="G553" s="313">
        <v>227</v>
      </c>
      <c r="H553" s="313">
        <v>948</v>
      </c>
      <c r="I553" s="313">
        <v>2023.03</v>
      </c>
    </row>
    <row r="554" spans="1:9">
      <c r="A554" s="313" t="s">
        <v>442</v>
      </c>
      <c r="B554" s="313" t="s">
        <v>3844</v>
      </c>
      <c r="C554" s="313" t="s">
        <v>4223</v>
      </c>
      <c r="D554" s="313" t="s">
        <v>4193</v>
      </c>
      <c r="E554" s="313" t="s">
        <v>3834</v>
      </c>
      <c r="F554" s="314" t="s">
        <v>4222</v>
      </c>
      <c r="G554" s="313">
        <v>300</v>
      </c>
      <c r="H554" s="313">
        <v>948</v>
      </c>
      <c r="I554" s="313">
        <v>2023.03</v>
      </c>
    </row>
    <row r="555" spans="1:9">
      <c r="A555" s="313" t="s">
        <v>442</v>
      </c>
      <c r="B555" s="313" t="s">
        <v>3844</v>
      </c>
      <c r="C555" s="313" t="s">
        <v>4223</v>
      </c>
      <c r="D555" s="313" t="s">
        <v>4195</v>
      </c>
      <c r="E555" s="313" t="s">
        <v>3848</v>
      </c>
      <c r="F555" s="314" t="s">
        <v>4224</v>
      </c>
      <c r="G555" s="313">
        <v>55</v>
      </c>
      <c r="H555" s="313">
        <v>948</v>
      </c>
      <c r="I555" s="313">
        <v>2023.03</v>
      </c>
    </row>
    <row r="556" spans="1:9">
      <c r="A556" s="313" t="s">
        <v>442</v>
      </c>
      <c r="B556" s="313" t="s">
        <v>3844</v>
      </c>
      <c r="C556" s="313" t="s">
        <v>4223</v>
      </c>
      <c r="D556" s="313" t="s">
        <v>4195</v>
      </c>
      <c r="E556" s="313" t="s">
        <v>3818</v>
      </c>
      <c r="F556" s="314" t="s">
        <v>4224</v>
      </c>
      <c r="G556" s="313">
        <v>227</v>
      </c>
      <c r="H556" s="313">
        <v>948</v>
      </c>
      <c r="I556" s="313">
        <v>2023.03</v>
      </c>
    </row>
    <row r="557" spans="1:9">
      <c r="A557" s="313" t="s">
        <v>442</v>
      </c>
      <c r="B557" s="313" t="s">
        <v>3844</v>
      </c>
      <c r="C557" s="313" t="s">
        <v>4223</v>
      </c>
      <c r="D557" s="313" t="s">
        <v>4195</v>
      </c>
      <c r="E557" s="313" t="s">
        <v>3834</v>
      </c>
      <c r="F557" s="314" t="s">
        <v>4224</v>
      </c>
      <c r="G557" s="313">
        <v>300</v>
      </c>
      <c r="H557" s="313">
        <v>948</v>
      </c>
      <c r="I557" s="313">
        <v>2023.03</v>
      </c>
    </row>
    <row r="558" spans="1:9">
      <c r="A558" s="313" t="s">
        <v>442</v>
      </c>
      <c r="B558" s="313" t="s">
        <v>3844</v>
      </c>
      <c r="C558" s="313" t="s">
        <v>4223</v>
      </c>
      <c r="D558" s="313" t="s">
        <v>4197</v>
      </c>
      <c r="E558" s="313" t="s">
        <v>3848</v>
      </c>
      <c r="F558" s="314" t="s">
        <v>4225</v>
      </c>
      <c r="G558" s="313">
        <v>55</v>
      </c>
      <c r="H558" s="313">
        <v>948</v>
      </c>
      <c r="I558" s="313">
        <v>2023.03</v>
      </c>
    </row>
    <row r="559" spans="1:9">
      <c r="A559" s="313" t="s">
        <v>442</v>
      </c>
      <c r="B559" s="313" t="s">
        <v>3844</v>
      </c>
      <c r="C559" s="313" t="s">
        <v>4223</v>
      </c>
      <c r="D559" s="313" t="s">
        <v>4197</v>
      </c>
      <c r="E559" s="313" t="s">
        <v>3818</v>
      </c>
      <c r="F559" s="314" t="s">
        <v>4225</v>
      </c>
      <c r="G559" s="313">
        <v>227</v>
      </c>
      <c r="H559" s="313">
        <v>948</v>
      </c>
      <c r="I559" s="313">
        <v>2023.03</v>
      </c>
    </row>
    <row r="560" spans="1:9">
      <c r="A560" s="313" t="s">
        <v>442</v>
      </c>
      <c r="B560" s="313" t="s">
        <v>3844</v>
      </c>
      <c r="C560" s="313" t="s">
        <v>4223</v>
      </c>
      <c r="D560" s="313" t="s">
        <v>4197</v>
      </c>
      <c r="E560" s="313" t="s">
        <v>3834</v>
      </c>
      <c r="F560" s="314" t="s">
        <v>4225</v>
      </c>
      <c r="G560" s="313">
        <v>300</v>
      </c>
      <c r="H560" s="313">
        <v>948</v>
      </c>
      <c r="I560" s="313">
        <v>2023.03</v>
      </c>
    </row>
    <row r="561" spans="1:9">
      <c r="A561" s="313" t="s">
        <v>442</v>
      </c>
      <c r="B561" s="313" t="s">
        <v>3844</v>
      </c>
      <c r="C561" s="313" t="s">
        <v>4223</v>
      </c>
      <c r="D561" s="313" t="s">
        <v>4226</v>
      </c>
      <c r="E561" s="313" t="s">
        <v>3848</v>
      </c>
      <c r="F561" s="314" t="s">
        <v>4227</v>
      </c>
      <c r="G561" s="313">
        <v>55</v>
      </c>
      <c r="H561" s="313">
        <v>948</v>
      </c>
      <c r="I561" s="313">
        <v>2023.03</v>
      </c>
    </row>
    <row r="562" spans="1:9">
      <c r="A562" s="313" t="s">
        <v>442</v>
      </c>
      <c r="B562" s="313" t="s">
        <v>3844</v>
      </c>
      <c r="C562" s="313" t="s">
        <v>4223</v>
      </c>
      <c r="D562" s="313" t="s">
        <v>4226</v>
      </c>
      <c r="E562" s="313" t="s">
        <v>3818</v>
      </c>
      <c r="F562" s="314" t="s">
        <v>4227</v>
      </c>
      <c r="G562" s="313">
        <v>227</v>
      </c>
      <c r="H562" s="313">
        <v>948</v>
      </c>
      <c r="I562" s="313">
        <v>2023.03</v>
      </c>
    </row>
    <row r="563" spans="1:9">
      <c r="A563" s="313" t="s">
        <v>442</v>
      </c>
      <c r="B563" s="313" t="s">
        <v>3844</v>
      </c>
      <c r="C563" s="313" t="s">
        <v>4223</v>
      </c>
      <c r="D563" s="313" t="s">
        <v>4226</v>
      </c>
      <c r="E563" s="313" t="s">
        <v>3834</v>
      </c>
      <c r="F563" s="314" t="s">
        <v>4227</v>
      </c>
      <c r="G563" s="313">
        <v>300</v>
      </c>
      <c r="H563" s="313">
        <v>948</v>
      </c>
      <c r="I563" s="313">
        <v>2023.03</v>
      </c>
    </row>
    <row r="564" spans="1:9">
      <c r="A564" s="313" t="s">
        <v>442</v>
      </c>
      <c r="B564" s="313" t="s">
        <v>3844</v>
      </c>
      <c r="C564" s="313" t="s">
        <v>4228</v>
      </c>
      <c r="D564" s="313" t="s">
        <v>4197</v>
      </c>
      <c r="E564" s="313" t="s">
        <v>3834</v>
      </c>
      <c r="F564" s="314" t="s">
        <v>4225</v>
      </c>
      <c r="G564" s="313">
        <v>300</v>
      </c>
      <c r="H564" s="313">
        <v>948</v>
      </c>
      <c r="I564" s="313">
        <v>2023.03</v>
      </c>
    </row>
    <row r="565" spans="1:9">
      <c r="A565" s="313" t="s">
        <v>442</v>
      </c>
      <c r="B565" s="313" t="s">
        <v>3844</v>
      </c>
      <c r="C565" s="313" t="s">
        <v>4229</v>
      </c>
      <c r="D565" s="313" t="s">
        <v>4230</v>
      </c>
      <c r="E565" s="313" t="s">
        <v>3848</v>
      </c>
      <c r="F565" s="314" t="s">
        <v>4231</v>
      </c>
      <c r="G565" s="313">
        <v>55</v>
      </c>
      <c r="H565" s="313">
        <v>948</v>
      </c>
      <c r="I565" s="313">
        <v>2023.03</v>
      </c>
    </row>
    <row r="566" spans="1:9">
      <c r="A566" s="313" t="s">
        <v>442</v>
      </c>
      <c r="B566" s="313" t="s">
        <v>3844</v>
      </c>
      <c r="C566" s="313" t="s">
        <v>4229</v>
      </c>
      <c r="D566" s="313" t="s">
        <v>4230</v>
      </c>
      <c r="E566" s="313" t="s">
        <v>3818</v>
      </c>
      <c r="F566" s="314" t="s">
        <v>4231</v>
      </c>
      <c r="G566" s="313">
        <v>227</v>
      </c>
      <c r="H566" s="313">
        <v>948</v>
      </c>
      <c r="I566" s="313">
        <v>2023.03</v>
      </c>
    </row>
    <row r="567" spans="1:9">
      <c r="A567" s="313" t="s">
        <v>442</v>
      </c>
      <c r="B567" s="313" t="s">
        <v>3844</v>
      </c>
      <c r="C567" s="313" t="s">
        <v>4229</v>
      </c>
      <c r="D567" s="313" t="s">
        <v>4230</v>
      </c>
      <c r="E567" s="313" t="s">
        <v>3834</v>
      </c>
      <c r="F567" s="314" t="s">
        <v>4231</v>
      </c>
      <c r="G567" s="313">
        <v>300</v>
      </c>
      <c r="H567" s="313">
        <v>948</v>
      </c>
      <c r="I567" s="313">
        <v>2023.03</v>
      </c>
    </row>
    <row r="568" spans="1:9">
      <c r="A568" s="313" t="s">
        <v>442</v>
      </c>
      <c r="B568" s="313" t="s">
        <v>3844</v>
      </c>
      <c r="C568" s="313" t="s">
        <v>4229</v>
      </c>
      <c r="D568" s="313" t="s">
        <v>4232</v>
      </c>
      <c r="E568" s="313" t="s">
        <v>3848</v>
      </c>
      <c r="F568" s="314" t="s">
        <v>4233</v>
      </c>
      <c r="G568" s="313">
        <v>55</v>
      </c>
      <c r="H568" s="313">
        <v>948</v>
      </c>
      <c r="I568" s="313">
        <v>2023.03</v>
      </c>
    </row>
    <row r="569" spans="1:9">
      <c r="A569" s="313" t="s">
        <v>442</v>
      </c>
      <c r="B569" s="313" t="s">
        <v>3844</v>
      </c>
      <c r="C569" s="313" t="s">
        <v>4229</v>
      </c>
      <c r="D569" s="313" t="s">
        <v>4232</v>
      </c>
      <c r="E569" s="313" t="s">
        <v>3818</v>
      </c>
      <c r="F569" s="314" t="s">
        <v>4233</v>
      </c>
      <c r="G569" s="313">
        <v>227</v>
      </c>
      <c r="H569" s="313">
        <v>948</v>
      </c>
      <c r="I569" s="313">
        <v>2023.03</v>
      </c>
    </row>
    <row r="570" spans="1:9">
      <c r="A570" s="313" t="s">
        <v>442</v>
      </c>
      <c r="B570" s="313" t="s">
        <v>3844</v>
      </c>
      <c r="C570" s="313" t="s">
        <v>4229</v>
      </c>
      <c r="D570" s="313" t="s">
        <v>4232</v>
      </c>
      <c r="E570" s="313" t="s">
        <v>3834</v>
      </c>
      <c r="F570" s="314" t="s">
        <v>4233</v>
      </c>
      <c r="G570" s="313">
        <v>300</v>
      </c>
      <c r="H570" s="313">
        <v>948</v>
      </c>
      <c r="I570" s="313">
        <v>2023.03</v>
      </c>
    </row>
    <row r="571" spans="1:9">
      <c r="A571" s="313" t="s">
        <v>442</v>
      </c>
      <c r="B571" s="313" t="s">
        <v>3844</v>
      </c>
      <c r="C571" s="313" t="s">
        <v>4229</v>
      </c>
      <c r="D571" s="313" t="s">
        <v>4234</v>
      </c>
      <c r="E571" s="313" t="s">
        <v>3848</v>
      </c>
      <c r="F571" s="314" t="s">
        <v>4235</v>
      </c>
      <c r="G571" s="313">
        <v>55</v>
      </c>
      <c r="H571" s="313">
        <v>948</v>
      </c>
      <c r="I571" s="313">
        <v>2023.03</v>
      </c>
    </row>
    <row r="572" spans="1:9">
      <c r="A572" s="313" t="s">
        <v>442</v>
      </c>
      <c r="B572" s="313" t="s">
        <v>3844</v>
      </c>
      <c r="C572" s="313" t="s">
        <v>4229</v>
      </c>
      <c r="D572" s="313" t="s">
        <v>4234</v>
      </c>
      <c r="E572" s="313" t="s">
        <v>3818</v>
      </c>
      <c r="F572" s="314" t="s">
        <v>4235</v>
      </c>
      <c r="G572" s="313">
        <v>227</v>
      </c>
      <c r="H572" s="313">
        <v>948</v>
      </c>
      <c r="I572" s="313">
        <v>2023.03</v>
      </c>
    </row>
    <row r="573" spans="1:9">
      <c r="A573" s="313" t="s">
        <v>442</v>
      </c>
      <c r="B573" s="313" t="s">
        <v>3844</v>
      </c>
      <c r="C573" s="313" t="s">
        <v>4229</v>
      </c>
      <c r="D573" s="313" t="s">
        <v>4234</v>
      </c>
      <c r="E573" s="313" t="s">
        <v>3834</v>
      </c>
      <c r="F573" s="314" t="s">
        <v>4235</v>
      </c>
      <c r="G573" s="313">
        <v>300</v>
      </c>
      <c r="H573" s="313">
        <v>948</v>
      </c>
      <c r="I573" s="313">
        <v>2023.03</v>
      </c>
    </row>
    <row r="574" spans="1:9">
      <c r="A574" s="313" t="s">
        <v>442</v>
      </c>
      <c r="B574" s="313" t="s">
        <v>3844</v>
      </c>
      <c r="C574" s="313" t="s">
        <v>4229</v>
      </c>
      <c r="D574" s="313" t="s">
        <v>4199</v>
      </c>
      <c r="E574" s="313" t="s">
        <v>3848</v>
      </c>
      <c r="F574" s="314" t="s">
        <v>4236</v>
      </c>
      <c r="G574" s="313">
        <v>55</v>
      </c>
      <c r="H574" s="313">
        <v>948</v>
      </c>
      <c r="I574" s="313">
        <v>2023.03</v>
      </c>
    </row>
    <row r="575" spans="1:9">
      <c r="A575" s="313" t="s">
        <v>442</v>
      </c>
      <c r="B575" s="313" t="s">
        <v>3844</v>
      </c>
      <c r="C575" s="313" t="s">
        <v>4229</v>
      </c>
      <c r="D575" s="313" t="s">
        <v>4199</v>
      </c>
      <c r="E575" s="313" t="s">
        <v>3818</v>
      </c>
      <c r="F575" s="314" t="s">
        <v>4236</v>
      </c>
      <c r="G575" s="313">
        <v>227</v>
      </c>
      <c r="H575" s="313">
        <v>948</v>
      </c>
      <c r="I575" s="313">
        <v>2023.03</v>
      </c>
    </row>
    <row r="576" spans="1:9">
      <c r="A576" s="313" t="s">
        <v>442</v>
      </c>
      <c r="B576" s="313" t="s">
        <v>3844</v>
      </c>
      <c r="C576" s="313" t="s">
        <v>4229</v>
      </c>
      <c r="D576" s="313" t="s">
        <v>4199</v>
      </c>
      <c r="E576" s="313" t="s">
        <v>3834</v>
      </c>
      <c r="F576" s="314" t="s">
        <v>4236</v>
      </c>
      <c r="G576" s="313">
        <v>300</v>
      </c>
      <c r="H576" s="313">
        <v>948</v>
      </c>
      <c r="I576" s="313">
        <v>2023.03</v>
      </c>
    </row>
    <row r="577" spans="1:9">
      <c r="A577" s="313" t="s">
        <v>442</v>
      </c>
      <c r="B577" s="313" t="s">
        <v>3844</v>
      </c>
      <c r="C577" s="313" t="s">
        <v>4237</v>
      </c>
      <c r="D577" s="313" t="s">
        <v>4232</v>
      </c>
      <c r="E577" s="313" t="s">
        <v>3834</v>
      </c>
      <c r="F577" s="314" t="s">
        <v>4233</v>
      </c>
      <c r="G577" s="313">
        <v>300</v>
      </c>
      <c r="H577" s="313">
        <v>948</v>
      </c>
      <c r="I577" s="313">
        <v>2023.03</v>
      </c>
    </row>
    <row r="578" spans="1:9">
      <c r="A578" s="313" t="s">
        <v>442</v>
      </c>
      <c r="B578" s="313" t="s">
        <v>3844</v>
      </c>
      <c r="C578" s="313" t="s">
        <v>3836</v>
      </c>
      <c r="D578" s="313" t="s">
        <v>3836</v>
      </c>
      <c r="E578" s="313" t="s">
        <v>3848</v>
      </c>
      <c r="F578" s="314" t="s">
        <v>4238</v>
      </c>
      <c r="G578" s="313">
        <v>430</v>
      </c>
      <c r="H578" s="313">
        <v>640</v>
      </c>
      <c r="I578" s="313">
        <v>2023.03</v>
      </c>
    </row>
    <row r="579" spans="1:9">
      <c r="A579" s="313" t="s">
        <v>442</v>
      </c>
      <c r="B579" s="313" t="s">
        <v>3844</v>
      </c>
      <c r="C579" s="313" t="s">
        <v>3836</v>
      </c>
      <c r="D579" s="313" t="s">
        <v>3836</v>
      </c>
      <c r="E579" s="313" t="s">
        <v>3818</v>
      </c>
      <c r="F579" s="314" t="s">
        <v>4238</v>
      </c>
      <c r="G579" s="313">
        <v>227</v>
      </c>
      <c r="H579" s="313">
        <v>1188</v>
      </c>
      <c r="I579" s="313">
        <v>2023.03</v>
      </c>
    </row>
    <row r="580" spans="1:9">
      <c r="A580" s="313" t="s">
        <v>442</v>
      </c>
      <c r="B580" s="313" t="s">
        <v>3844</v>
      </c>
      <c r="C580" s="313" t="s">
        <v>3836</v>
      </c>
      <c r="D580" s="313" t="s">
        <v>3836</v>
      </c>
      <c r="E580" s="313" t="s">
        <v>3834</v>
      </c>
      <c r="F580" s="314"/>
      <c r="G580" s="313">
        <v>400</v>
      </c>
      <c r="H580" s="313">
        <v>1920</v>
      </c>
      <c r="I580" s="313">
        <v>2023.03</v>
      </c>
    </row>
    <row r="581" spans="1:9">
      <c r="A581" s="313" t="s">
        <v>442</v>
      </c>
      <c r="B581" s="313" t="s">
        <v>3844</v>
      </c>
      <c r="C581" s="313" t="s">
        <v>3836</v>
      </c>
      <c r="D581" s="313" t="s">
        <v>3836</v>
      </c>
      <c r="E581" s="313" t="s">
        <v>3834</v>
      </c>
      <c r="F581" s="314" t="s">
        <v>4238</v>
      </c>
      <c r="G581" s="313">
        <v>400</v>
      </c>
      <c r="H581" s="313">
        <v>1920</v>
      </c>
      <c r="I581" s="313">
        <v>2023.03</v>
      </c>
    </row>
    <row r="582" spans="1:9">
      <c r="A582" s="313" t="s">
        <v>442</v>
      </c>
      <c r="B582" s="313" t="s">
        <v>3844</v>
      </c>
      <c r="C582" s="313" t="s">
        <v>4239</v>
      </c>
      <c r="D582" s="313" t="s">
        <v>2320</v>
      </c>
      <c r="E582" s="313" t="s">
        <v>3818</v>
      </c>
      <c r="F582" s="314" t="s">
        <v>4240</v>
      </c>
      <c r="G582" s="313">
        <v>300</v>
      </c>
      <c r="H582" s="313">
        <v>948</v>
      </c>
      <c r="I582" s="313">
        <v>2023.03</v>
      </c>
    </row>
    <row r="583" spans="1:9">
      <c r="A583" s="313" t="s">
        <v>442</v>
      </c>
      <c r="B583" s="313" t="s">
        <v>3844</v>
      </c>
      <c r="C583" s="313" t="s">
        <v>4239</v>
      </c>
      <c r="D583" s="313" t="s">
        <v>2320</v>
      </c>
      <c r="E583" s="313" t="s">
        <v>3834</v>
      </c>
      <c r="F583" s="314" t="s">
        <v>4240</v>
      </c>
      <c r="G583" s="313">
        <v>300</v>
      </c>
      <c r="H583" s="313">
        <v>948</v>
      </c>
      <c r="I583" s="313">
        <v>2023.03</v>
      </c>
    </row>
    <row r="584" spans="1:9">
      <c r="A584" s="313" t="s">
        <v>442</v>
      </c>
      <c r="B584" s="313" t="s">
        <v>3844</v>
      </c>
      <c r="C584" s="313" t="s">
        <v>4239</v>
      </c>
      <c r="D584" s="313" t="s">
        <v>4239</v>
      </c>
      <c r="E584" s="313" t="s">
        <v>3818</v>
      </c>
      <c r="F584" s="314" t="s">
        <v>4241</v>
      </c>
      <c r="G584" s="313">
        <v>227</v>
      </c>
      <c r="H584" s="313">
        <v>948</v>
      </c>
      <c r="I584" s="313">
        <v>2023.03</v>
      </c>
    </row>
    <row r="585" spans="1:9">
      <c r="A585" s="313" t="s">
        <v>442</v>
      </c>
      <c r="B585" s="313" t="s">
        <v>3844</v>
      </c>
      <c r="C585" s="313" t="s">
        <v>4239</v>
      </c>
      <c r="D585" s="313" t="s">
        <v>4239</v>
      </c>
      <c r="E585" s="313" t="s">
        <v>3834</v>
      </c>
      <c r="F585" s="314" t="s">
        <v>4241</v>
      </c>
      <c r="G585" s="313">
        <v>300</v>
      </c>
      <c r="H585" s="313">
        <v>948</v>
      </c>
      <c r="I585" s="313">
        <v>2023.03</v>
      </c>
    </row>
    <row r="586" spans="1:9">
      <c r="A586" s="313" t="s">
        <v>442</v>
      </c>
      <c r="B586" s="313" t="s">
        <v>3844</v>
      </c>
      <c r="C586" s="313" t="s">
        <v>4242</v>
      </c>
      <c r="D586" s="313" t="s">
        <v>4243</v>
      </c>
      <c r="E586" s="313" t="s">
        <v>3818</v>
      </c>
      <c r="F586" s="314" t="s">
        <v>4244</v>
      </c>
      <c r="G586" s="313">
        <v>300</v>
      </c>
      <c r="H586" s="313">
        <v>948</v>
      </c>
      <c r="I586" s="313">
        <v>2023.03</v>
      </c>
    </row>
    <row r="587" spans="1:9">
      <c r="A587" s="313" t="s">
        <v>442</v>
      </c>
      <c r="B587" s="313" t="s">
        <v>3844</v>
      </c>
      <c r="C587" s="313" t="s">
        <v>4242</v>
      </c>
      <c r="D587" s="313" t="s">
        <v>4243</v>
      </c>
      <c r="E587" s="313" t="s">
        <v>3834</v>
      </c>
      <c r="F587" s="314" t="s">
        <v>4244</v>
      </c>
      <c r="G587" s="313">
        <v>300</v>
      </c>
      <c r="H587" s="313">
        <v>948</v>
      </c>
      <c r="I587" s="313">
        <v>2023.03</v>
      </c>
    </row>
    <row r="588" spans="1:9">
      <c r="A588" s="313" t="s">
        <v>442</v>
      </c>
      <c r="B588" s="313" t="s">
        <v>3844</v>
      </c>
      <c r="C588" s="313" t="s">
        <v>4242</v>
      </c>
      <c r="D588" s="313" t="s">
        <v>4245</v>
      </c>
      <c r="E588" s="313" t="s">
        <v>3818</v>
      </c>
      <c r="F588" s="314" t="s">
        <v>4246</v>
      </c>
      <c r="G588" s="313">
        <v>300</v>
      </c>
      <c r="H588" s="313">
        <v>948</v>
      </c>
      <c r="I588" s="313">
        <v>2023.03</v>
      </c>
    </row>
    <row r="589" spans="1:9">
      <c r="A589" s="313" t="s">
        <v>442</v>
      </c>
      <c r="B589" s="313" t="s">
        <v>3844</v>
      </c>
      <c r="C589" s="313" t="s">
        <v>4242</v>
      </c>
      <c r="D589" s="313" t="s">
        <v>4245</v>
      </c>
      <c r="E589" s="313" t="s">
        <v>3834</v>
      </c>
      <c r="F589" s="314" t="s">
        <v>4246</v>
      </c>
      <c r="G589" s="313">
        <v>300</v>
      </c>
      <c r="H589" s="313">
        <v>948</v>
      </c>
      <c r="I589" s="313">
        <v>2023.03</v>
      </c>
    </row>
    <row r="590" spans="1:9">
      <c r="A590" s="313" t="s">
        <v>442</v>
      </c>
      <c r="B590" s="313" t="s">
        <v>3844</v>
      </c>
      <c r="C590" s="313" t="s">
        <v>4242</v>
      </c>
      <c r="D590" s="313" t="s">
        <v>4247</v>
      </c>
      <c r="E590" s="313" t="s">
        <v>3818</v>
      </c>
      <c r="F590" s="314" t="s">
        <v>4248</v>
      </c>
      <c r="G590" s="313">
        <v>300</v>
      </c>
      <c r="H590" s="313">
        <v>948</v>
      </c>
      <c r="I590" s="313">
        <v>2023.03</v>
      </c>
    </row>
    <row r="591" spans="1:9">
      <c r="A591" s="313" t="s">
        <v>442</v>
      </c>
      <c r="B591" s="313" t="s">
        <v>3844</v>
      </c>
      <c r="C591" s="313" t="s">
        <v>4242</v>
      </c>
      <c r="D591" s="313" t="s">
        <v>4247</v>
      </c>
      <c r="E591" s="313" t="s">
        <v>3834</v>
      </c>
      <c r="F591" s="314" t="s">
        <v>4248</v>
      </c>
      <c r="G591" s="313">
        <v>300</v>
      </c>
      <c r="H591" s="313">
        <v>948</v>
      </c>
      <c r="I591" s="313">
        <v>2023.03</v>
      </c>
    </row>
    <row r="592" spans="1:9">
      <c r="A592" s="313" t="s">
        <v>442</v>
      </c>
      <c r="B592" s="313" t="s">
        <v>3844</v>
      </c>
      <c r="C592" s="313" t="s">
        <v>4242</v>
      </c>
      <c r="D592" s="313" t="s">
        <v>4249</v>
      </c>
      <c r="E592" s="313" t="s">
        <v>3818</v>
      </c>
      <c r="F592" s="314" t="s">
        <v>4250</v>
      </c>
      <c r="G592" s="313">
        <v>300</v>
      </c>
      <c r="H592" s="313">
        <v>948</v>
      </c>
      <c r="I592" s="313">
        <v>2023.03</v>
      </c>
    </row>
    <row r="593" spans="1:9">
      <c r="A593" s="313" t="s">
        <v>442</v>
      </c>
      <c r="B593" s="313" t="s">
        <v>3844</v>
      </c>
      <c r="C593" s="313" t="s">
        <v>4242</v>
      </c>
      <c r="D593" s="313" t="s">
        <v>4249</v>
      </c>
      <c r="E593" s="313" t="s">
        <v>3834</v>
      </c>
      <c r="F593" s="314" t="s">
        <v>4250</v>
      </c>
      <c r="G593" s="313">
        <v>300</v>
      </c>
      <c r="H593" s="313">
        <v>948</v>
      </c>
      <c r="I593" s="313">
        <v>2023.03</v>
      </c>
    </row>
    <row r="594" spans="1:9">
      <c r="A594" s="313" t="s">
        <v>442</v>
      </c>
      <c r="B594" s="313" t="s">
        <v>3844</v>
      </c>
      <c r="C594" s="313" t="s">
        <v>4242</v>
      </c>
      <c r="D594" s="313" t="s">
        <v>4251</v>
      </c>
      <c r="E594" s="313" t="s">
        <v>3818</v>
      </c>
      <c r="F594" s="314" t="s">
        <v>4252</v>
      </c>
      <c r="G594" s="313">
        <v>300</v>
      </c>
      <c r="H594" s="313">
        <v>948</v>
      </c>
      <c r="I594" s="313">
        <v>2023.03</v>
      </c>
    </row>
    <row r="595" spans="1:9">
      <c r="A595" s="313" t="s">
        <v>442</v>
      </c>
      <c r="B595" s="313" t="s">
        <v>3844</v>
      </c>
      <c r="C595" s="313" t="s">
        <v>4242</v>
      </c>
      <c r="D595" s="313" t="s">
        <v>4251</v>
      </c>
      <c r="E595" s="313" t="s">
        <v>3834</v>
      </c>
      <c r="F595" s="314" t="s">
        <v>4252</v>
      </c>
      <c r="G595" s="313">
        <v>300</v>
      </c>
      <c r="H595" s="313">
        <v>948</v>
      </c>
      <c r="I595" s="313">
        <v>2023.03</v>
      </c>
    </row>
    <row r="596" spans="1:9">
      <c r="A596" s="313" t="s">
        <v>442</v>
      </c>
      <c r="B596" s="313" t="s">
        <v>3844</v>
      </c>
      <c r="C596" s="313" t="s">
        <v>4253</v>
      </c>
      <c r="D596" s="313" t="s">
        <v>4254</v>
      </c>
      <c r="E596" s="313" t="s">
        <v>3834</v>
      </c>
      <c r="F596" s="314" t="s">
        <v>4255</v>
      </c>
      <c r="G596" s="313">
        <v>300</v>
      </c>
      <c r="H596" s="313">
        <v>948</v>
      </c>
      <c r="I596" s="313">
        <v>2023.03</v>
      </c>
    </row>
    <row r="597" spans="1:9">
      <c r="A597" s="313" t="s">
        <v>442</v>
      </c>
      <c r="B597" s="313" t="s">
        <v>3844</v>
      </c>
      <c r="C597" s="313" t="s">
        <v>4253</v>
      </c>
      <c r="D597" s="313" t="s">
        <v>4253</v>
      </c>
      <c r="E597" s="313" t="s">
        <v>3818</v>
      </c>
      <c r="F597" s="314" t="s">
        <v>4256</v>
      </c>
      <c r="G597" s="313">
        <v>227</v>
      </c>
      <c r="H597" s="313">
        <v>948</v>
      </c>
      <c r="I597" s="313">
        <v>2023.03</v>
      </c>
    </row>
    <row r="598" spans="1:9">
      <c r="A598" s="313" t="s">
        <v>442</v>
      </c>
      <c r="B598" s="313" t="s">
        <v>3844</v>
      </c>
      <c r="C598" s="313" t="s">
        <v>4253</v>
      </c>
      <c r="D598" s="313" t="s">
        <v>4253</v>
      </c>
      <c r="E598" s="313" t="s">
        <v>3834</v>
      </c>
      <c r="F598" s="314"/>
      <c r="G598" s="313">
        <v>300</v>
      </c>
      <c r="H598" s="313">
        <v>948</v>
      </c>
      <c r="I598" s="313">
        <v>2023.03</v>
      </c>
    </row>
    <row r="599" spans="1:9">
      <c r="A599" s="313" t="s">
        <v>442</v>
      </c>
      <c r="B599" s="313" t="s">
        <v>3844</v>
      </c>
      <c r="C599" s="313" t="s">
        <v>4253</v>
      </c>
      <c r="D599" s="313" t="s">
        <v>4253</v>
      </c>
      <c r="E599" s="313" t="s">
        <v>3834</v>
      </c>
      <c r="F599" s="314" t="s">
        <v>4256</v>
      </c>
      <c r="G599" s="313">
        <v>300</v>
      </c>
      <c r="H599" s="313">
        <v>948</v>
      </c>
      <c r="I599" s="313">
        <v>2023.03</v>
      </c>
    </row>
    <row r="600" spans="1:9">
      <c r="A600" s="313" t="s">
        <v>442</v>
      </c>
      <c r="B600" s="313" t="s">
        <v>3844</v>
      </c>
      <c r="C600" s="313" t="s">
        <v>4253</v>
      </c>
      <c r="D600" s="313" t="s">
        <v>4253</v>
      </c>
      <c r="E600" s="313" t="s">
        <v>3834</v>
      </c>
      <c r="F600" s="314" t="s">
        <v>4255</v>
      </c>
      <c r="G600" s="313">
        <v>300</v>
      </c>
      <c r="H600" s="313">
        <v>948</v>
      </c>
      <c r="I600" s="313">
        <v>2023.03</v>
      </c>
    </row>
    <row r="601" spans="1:9">
      <c r="A601" s="313" t="s">
        <v>442</v>
      </c>
      <c r="B601" s="313" t="s">
        <v>3844</v>
      </c>
      <c r="C601" s="313" t="s">
        <v>4257</v>
      </c>
      <c r="D601" s="313" t="s">
        <v>4258</v>
      </c>
      <c r="E601" s="313" t="s">
        <v>3818</v>
      </c>
      <c r="F601" s="314" t="s">
        <v>4259</v>
      </c>
      <c r="G601" s="313">
        <v>227</v>
      </c>
      <c r="H601" s="313">
        <v>948</v>
      </c>
      <c r="I601" s="313">
        <v>2023.03</v>
      </c>
    </row>
    <row r="602" spans="1:9">
      <c r="A602" s="313" t="s">
        <v>442</v>
      </c>
      <c r="B602" s="313" t="s">
        <v>3844</v>
      </c>
      <c r="C602" s="313" t="s">
        <v>4257</v>
      </c>
      <c r="D602" s="313" t="s">
        <v>4258</v>
      </c>
      <c r="E602" s="313" t="s">
        <v>3834</v>
      </c>
      <c r="F602" s="314" t="s">
        <v>4259</v>
      </c>
      <c r="G602" s="313">
        <v>300</v>
      </c>
      <c r="H602" s="313">
        <v>948</v>
      </c>
      <c r="I602" s="313">
        <v>2023.03</v>
      </c>
    </row>
    <row r="603" spans="1:9">
      <c r="A603" s="313" t="s">
        <v>442</v>
      </c>
      <c r="B603" s="313" t="s">
        <v>3844</v>
      </c>
      <c r="C603" s="313" t="s">
        <v>4257</v>
      </c>
      <c r="D603" s="313" t="s">
        <v>2838</v>
      </c>
      <c r="E603" s="313" t="s">
        <v>3818</v>
      </c>
      <c r="F603" s="314" t="s">
        <v>4260</v>
      </c>
      <c r="G603" s="313">
        <v>227</v>
      </c>
      <c r="H603" s="313">
        <v>948</v>
      </c>
      <c r="I603" s="313">
        <v>2023.03</v>
      </c>
    </row>
    <row r="604" spans="1:9">
      <c r="A604" s="313" t="s">
        <v>442</v>
      </c>
      <c r="B604" s="313" t="s">
        <v>3844</v>
      </c>
      <c r="C604" s="313" t="s">
        <v>4257</v>
      </c>
      <c r="D604" s="313" t="s">
        <v>2838</v>
      </c>
      <c r="E604" s="313" t="s">
        <v>3834</v>
      </c>
      <c r="F604" s="314" t="s">
        <v>4260</v>
      </c>
      <c r="G604" s="313">
        <v>300</v>
      </c>
      <c r="H604" s="313">
        <v>948</v>
      </c>
      <c r="I604" s="313">
        <v>2023.03</v>
      </c>
    </row>
    <row r="605" spans="1:9">
      <c r="A605" s="313" t="s">
        <v>442</v>
      </c>
      <c r="B605" s="313" t="s">
        <v>3844</v>
      </c>
      <c r="C605" s="313" t="s">
        <v>4257</v>
      </c>
      <c r="D605" s="313" t="s">
        <v>2946</v>
      </c>
      <c r="E605" s="313" t="s">
        <v>3834</v>
      </c>
      <c r="F605" s="314" t="s">
        <v>4261</v>
      </c>
      <c r="G605" s="313">
        <v>300</v>
      </c>
      <c r="H605" s="313">
        <v>948</v>
      </c>
      <c r="I605" s="313">
        <v>2023.03</v>
      </c>
    </row>
    <row r="606" spans="1:9">
      <c r="A606" s="313" t="s">
        <v>442</v>
      </c>
      <c r="B606" s="313" t="s">
        <v>3844</v>
      </c>
      <c r="C606" s="313" t="s">
        <v>4257</v>
      </c>
      <c r="D606" s="313" t="s">
        <v>3243</v>
      </c>
      <c r="E606" s="313" t="s">
        <v>3818</v>
      </c>
      <c r="F606" s="314" t="s">
        <v>4262</v>
      </c>
      <c r="G606" s="313">
        <v>227</v>
      </c>
      <c r="H606" s="313">
        <v>948</v>
      </c>
      <c r="I606" s="313">
        <v>2023.03</v>
      </c>
    </row>
    <row r="607" spans="1:9">
      <c r="A607" s="313" t="s">
        <v>442</v>
      </c>
      <c r="B607" s="313" t="s">
        <v>3844</v>
      </c>
      <c r="C607" s="313" t="s">
        <v>4257</v>
      </c>
      <c r="D607" s="313" t="s">
        <v>3243</v>
      </c>
      <c r="E607" s="313" t="s">
        <v>3834</v>
      </c>
      <c r="F607" s="314" t="s">
        <v>4262</v>
      </c>
      <c r="G607" s="313">
        <v>300</v>
      </c>
      <c r="H607" s="313">
        <v>948</v>
      </c>
      <c r="I607" s="313">
        <v>2023.03</v>
      </c>
    </row>
    <row r="608" spans="1:9">
      <c r="A608" s="313" t="s">
        <v>442</v>
      </c>
      <c r="B608" s="313" t="s">
        <v>3844</v>
      </c>
      <c r="C608" s="313" t="s">
        <v>4257</v>
      </c>
      <c r="D608" s="313" t="s">
        <v>4263</v>
      </c>
      <c r="E608" s="313" t="s">
        <v>3818</v>
      </c>
      <c r="F608" s="314" t="s">
        <v>4264</v>
      </c>
      <c r="G608" s="313">
        <v>300</v>
      </c>
      <c r="H608" s="313">
        <v>948</v>
      </c>
      <c r="I608" s="313">
        <v>2023.03</v>
      </c>
    </row>
    <row r="609" spans="1:9">
      <c r="A609" s="313" t="s">
        <v>442</v>
      </c>
      <c r="B609" s="313" t="s">
        <v>3844</v>
      </c>
      <c r="C609" s="313" t="s">
        <v>4257</v>
      </c>
      <c r="D609" s="313" t="s">
        <v>4265</v>
      </c>
      <c r="E609" s="313" t="s">
        <v>3818</v>
      </c>
      <c r="F609" s="314" t="s">
        <v>4266</v>
      </c>
      <c r="G609" s="313">
        <v>227</v>
      </c>
      <c r="H609" s="313">
        <v>948</v>
      </c>
      <c r="I609" s="313">
        <v>2023.03</v>
      </c>
    </row>
    <row r="610" spans="1:9">
      <c r="A610" s="313" t="s">
        <v>442</v>
      </c>
      <c r="B610" s="313" t="s">
        <v>3844</v>
      </c>
      <c r="C610" s="313" t="s">
        <v>4257</v>
      </c>
      <c r="D610" s="313" t="s">
        <v>4265</v>
      </c>
      <c r="E610" s="313" t="s">
        <v>3834</v>
      </c>
      <c r="F610" s="314" t="s">
        <v>4266</v>
      </c>
      <c r="G610" s="313">
        <v>300</v>
      </c>
      <c r="H610" s="313">
        <v>948</v>
      </c>
      <c r="I610" s="313">
        <v>2023.03</v>
      </c>
    </row>
    <row r="611" spans="1:9">
      <c r="A611" s="313" t="s">
        <v>442</v>
      </c>
      <c r="B611" s="313" t="s">
        <v>3844</v>
      </c>
      <c r="C611" s="313" t="s">
        <v>4257</v>
      </c>
      <c r="D611" s="313" t="s">
        <v>4267</v>
      </c>
      <c r="E611" s="313" t="s">
        <v>3834</v>
      </c>
      <c r="F611" s="314" t="s">
        <v>4268</v>
      </c>
      <c r="G611" s="313">
        <v>300</v>
      </c>
      <c r="H611" s="313">
        <v>948</v>
      </c>
      <c r="I611" s="313">
        <v>2023.03</v>
      </c>
    </row>
    <row r="612" spans="1:9">
      <c r="A612" s="313" t="s">
        <v>442</v>
      </c>
      <c r="B612" s="313" t="s">
        <v>3844</v>
      </c>
      <c r="C612" s="313" t="s">
        <v>4257</v>
      </c>
      <c r="D612" s="313" t="s">
        <v>4269</v>
      </c>
      <c r="E612" s="313" t="s">
        <v>3834</v>
      </c>
      <c r="F612" s="314" t="s">
        <v>4270</v>
      </c>
      <c r="G612" s="313">
        <v>300</v>
      </c>
      <c r="H612" s="313">
        <v>948</v>
      </c>
      <c r="I612" s="313">
        <v>2023.03</v>
      </c>
    </row>
    <row r="613" spans="1:9">
      <c r="A613" s="313" t="s">
        <v>271</v>
      </c>
      <c r="B613" s="313" t="s">
        <v>4271</v>
      </c>
      <c r="C613" s="313" t="s">
        <v>4272</v>
      </c>
      <c r="D613" s="313" t="s">
        <v>4272</v>
      </c>
      <c r="E613" s="313" t="s">
        <v>3937</v>
      </c>
      <c r="F613" s="314" t="s">
        <v>4273</v>
      </c>
      <c r="G613" s="313">
        <v>360</v>
      </c>
      <c r="H613" s="313">
        <v>348</v>
      </c>
      <c r="I613" s="313">
        <v>2023.03</v>
      </c>
    </row>
    <row r="614" spans="1:9">
      <c r="A614" s="313" t="s">
        <v>271</v>
      </c>
      <c r="B614" s="313" t="s">
        <v>4271</v>
      </c>
      <c r="C614" s="313" t="s">
        <v>4272</v>
      </c>
      <c r="D614" s="313" t="s">
        <v>4272</v>
      </c>
      <c r="E614" s="313" t="s">
        <v>3834</v>
      </c>
      <c r="F614" s="314" t="s">
        <v>4273</v>
      </c>
      <c r="G614" s="313">
        <v>1520</v>
      </c>
      <c r="H614" s="313">
        <v>1000</v>
      </c>
      <c r="I614" s="313">
        <v>2023.03</v>
      </c>
    </row>
    <row r="615" spans="1:9">
      <c r="A615" s="313" t="s">
        <v>271</v>
      </c>
      <c r="B615" s="313" t="s">
        <v>4271</v>
      </c>
      <c r="C615" s="313" t="s">
        <v>3836</v>
      </c>
      <c r="D615" s="313" t="s">
        <v>3836</v>
      </c>
      <c r="E615" s="313" t="s">
        <v>3849</v>
      </c>
      <c r="F615" s="314" t="s">
        <v>4274</v>
      </c>
      <c r="G615" s="313">
        <v>992</v>
      </c>
      <c r="H615" s="313">
        <v>780</v>
      </c>
      <c r="I615" s="313">
        <v>2023.03</v>
      </c>
    </row>
    <row r="616" spans="1:9">
      <c r="A616" s="313" t="s">
        <v>271</v>
      </c>
      <c r="B616" s="313" t="s">
        <v>4271</v>
      </c>
      <c r="C616" s="313" t="s">
        <v>3836</v>
      </c>
      <c r="D616" s="313" t="s">
        <v>3836</v>
      </c>
      <c r="E616" s="313" t="s">
        <v>3834</v>
      </c>
      <c r="F616" s="314" t="s">
        <v>4274</v>
      </c>
      <c r="G616" s="313">
        <v>2300</v>
      </c>
      <c r="H616" s="313">
        <v>1000</v>
      </c>
      <c r="I616" s="313">
        <v>2023.03</v>
      </c>
    </row>
    <row r="617" spans="1:9">
      <c r="A617" s="313" t="s">
        <v>271</v>
      </c>
      <c r="B617" s="313" t="s">
        <v>4271</v>
      </c>
      <c r="C617" s="313" t="s">
        <v>4275</v>
      </c>
      <c r="D617" s="313" t="s">
        <v>4275</v>
      </c>
      <c r="E617" s="313" t="s">
        <v>3849</v>
      </c>
      <c r="F617" s="314" t="s">
        <v>4276</v>
      </c>
      <c r="G617" s="313">
        <v>0</v>
      </c>
      <c r="H617" s="313">
        <v>0</v>
      </c>
      <c r="I617" s="313">
        <v>2023.03</v>
      </c>
    </row>
    <row r="618" spans="1:9">
      <c r="A618" s="313" t="s">
        <v>271</v>
      </c>
      <c r="B618" s="313" t="s">
        <v>4271</v>
      </c>
      <c r="C618" s="313" t="s">
        <v>4275</v>
      </c>
      <c r="D618" s="313" t="s">
        <v>4275</v>
      </c>
      <c r="E618" s="313" t="s">
        <v>3937</v>
      </c>
      <c r="F618" s="314" t="s">
        <v>4276</v>
      </c>
      <c r="G618" s="313">
        <v>720</v>
      </c>
      <c r="H618" s="313">
        <v>1424</v>
      </c>
      <c r="I618" s="313">
        <v>2023.03</v>
      </c>
    </row>
    <row r="619" spans="1:9">
      <c r="A619" s="313" t="s">
        <v>446</v>
      </c>
      <c r="B619" s="313" t="s">
        <v>4277</v>
      </c>
      <c r="C619" s="313" t="s">
        <v>3836</v>
      </c>
      <c r="D619" s="313" t="s">
        <v>3836</v>
      </c>
      <c r="E619" s="313" t="s">
        <v>3820</v>
      </c>
      <c r="F619" s="314" t="s">
        <v>448</v>
      </c>
      <c r="G619" s="313">
        <v>120</v>
      </c>
      <c r="H619" s="313">
        <v>120</v>
      </c>
      <c r="I619" s="313">
        <v>2023.03</v>
      </c>
    </row>
    <row r="620" spans="1:9">
      <c r="A620" s="313" t="s">
        <v>446</v>
      </c>
      <c r="B620" s="313" t="s">
        <v>4277</v>
      </c>
      <c r="C620" s="313" t="s">
        <v>3836</v>
      </c>
      <c r="D620" s="313" t="s">
        <v>3836</v>
      </c>
      <c r="E620" s="313" t="s">
        <v>3937</v>
      </c>
      <c r="F620" s="314" t="s">
        <v>448</v>
      </c>
      <c r="G620" s="313">
        <v>400</v>
      </c>
      <c r="H620" s="313">
        <v>700</v>
      </c>
      <c r="I620" s="313">
        <v>2023.03</v>
      </c>
    </row>
    <row r="621" spans="1:9">
      <c r="A621" s="313" t="s">
        <v>446</v>
      </c>
      <c r="B621" s="313" t="s">
        <v>4277</v>
      </c>
      <c r="C621" s="313" t="s">
        <v>4278</v>
      </c>
      <c r="D621" s="313" t="s">
        <v>4278</v>
      </c>
      <c r="E621" s="313" t="s">
        <v>3820</v>
      </c>
      <c r="F621" s="314" t="s">
        <v>4279</v>
      </c>
      <c r="G621" s="313">
        <v>0</v>
      </c>
      <c r="H621" s="313">
        <v>0</v>
      </c>
      <c r="I621" s="313">
        <v>2023.03</v>
      </c>
    </row>
    <row r="622" spans="1:9">
      <c r="A622" s="313" t="s">
        <v>446</v>
      </c>
      <c r="B622" s="313" t="s">
        <v>4277</v>
      </c>
      <c r="C622" s="313" t="s">
        <v>4278</v>
      </c>
      <c r="D622" s="313" t="s">
        <v>4278</v>
      </c>
      <c r="E622" s="313" t="s">
        <v>3834</v>
      </c>
      <c r="F622" s="314" t="s">
        <v>4279</v>
      </c>
      <c r="G622" s="313">
        <v>0</v>
      </c>
      <c r="H622" s="313">
        <v>0</v>
      </c>
      <c r="I622" s="313">
        <v>2023.03</v>
      </c>
    </row>
    <row r="623" spans="1:9">
      <c r="A623" s="313" t="s">
        <v>446</v>
      </c>
      <c r="B623" s="313" t="s">
        <v>4277</v>
      </c>
      <c r="C623" s="313" t="s">
        <v>4278</v>
      </c>
      <c r="D623" s="313" t="s">
        <v>4280</v>
      </c>
      <c r="E623" s="313" t="s">
        <v>3820</v>
      </c>
      <c r="F623" s="314" t="s">
        <v>4281</v>
      </c>
      <c r="G623" s="313">
        <v>120</v>
      </c>
      <c r="H623" s="313">
        <v>120</v>
      </c>
      <c r="I623" s="313">
        <v>2023.03</v>
      </c>
    </row>
    <row r="624" spans="1:9">
      <c r="A624" s="313" t="s">
        <v>446</v>
      </c>
      <c r="B624" s="313" t="s">
        <v>4277</v>
      </c>
      <c r="C624" s="313" t="s">
        <v>4278</v>
      </c>
      <c r="D624" s="313" t="s">
        <v>4280</v>
      </c>
      <c r="E624" s="313" t="s">
        <v>3834</v>
      </c>
      <c r="F624" s="314" t="s">
        <v>4281</v>
      </c>
      <c r="G624" s="313">
        <v>227</v>
      </c>
      <c r="H624" s="313">
        <v>1366</v>
      </c>
      <c r="I624" s="313">
        <v>2023.03</v>
      </c>
    </row>
    <row r="625" spans="1:9">
      <c r="A625" s="313" t="s">
        <v>446</v>
      </c>
      <c r="B625" s="313" t="s">
        <v>4277</v>
      </c>
      <c r="C625" s="313" t="s">
        <v>4278</v>
      </c>
      <c r="D625" s="313" t="s">
        <v>2727</v>
      </c>
      <c r="E625" s="313" t="s">
        <v>3820</v>
      </c>
      <c r="F625" s="314" t="s">
        <v>4282</v>
      </c>
      <c r="G625" s="313">
        <v>120</v>
      </c>
      <c r="H625" s="313">
        <v>120</v>
      </c>
      <c r="I625" s="313">
        <v>2023.03</v>
      </c>
    </row>
    <row r="626" spans="1:9">
      <c r="A626" s="313" t="s">
        <v>446</v>
      </c>
      <c r="B626" s="313" t="s">
        <v>4277</v>
      </c>
      <c r="C626" s="313" t="s">
        <v>4283</v>
      </c>
      <c r="D626" s="313" t="s">
        <v>4283</v>
      </c>
      <c r="E626" s="313" t="s">
        <v>3820</v>
      </c>
      <c r="F626" s="314" t="s">
        <v>4284</v>
      </c>
      <c r="G626" s="313">
        <v>120</v>
      </c>
      <c r="H626" s="313">
        <v>120</v>
      </c>
      <c r="I626" s="313">
        <v>2023.03</v>
      </c>
    </row>
    <row r="627" spans="1:9">
      <c r="A627" s="313" t="s">
        <v>446</v>
      </c>
      <c r="B627" s="313" t="s">
        <v>4277</v>
      </c>
      <c r="C627" s="313" t="s">
        <v>4285</v>
      </c>
      <c r="D627" s="313" t="s">
        <v>4286</v>
      </c>
      <c r="E627" s="313" t="s">
        <v>3820</v>
      </c>
      <c r="F627" s="314" t="s">
        <v>4287</v>
      </c>
      <c r="G627" s="313">
        <v>120</v>
      </c>
      <c r="H627" s="313">
        <v>120</v>
      </c>
      <c r="I627" s="313">
        <v>2023.03</v>
      </c>
    </row>
    <row r="628" spans="1:9">
      <c r="A628" s="313" t="s">
        <v>446</v>
      </c>
      <c r="B628" s="313" t="s">
        <v>4277</v>
      </c>
      <c r="C628" s="313" t="s">
        <v>4285</v>
      </c>
      <c r="D628" s="313" t="s">
        <v>4286</v>
      </c>
      <c r="E628" s="313" t="s">
        <v>3834</v>
      </c>
      <c r="F628" s="314" t="s">
        <v>4287</v>
      </c>
      <c r="G628" s="313">
        <v>366</v>
      </c>
      <c r="H628" s="313">
        <v>1920</v>
      </c>
      <c r="I628" s="313">
        <v>2023.03</v>
      </c>
    </row>
    <row r="629" spans="1:9">
      <c r="A629" s="313" t="s">
        <v>446</v>
      </c>
      <c r="B629" s="313" t="s">
        <v>4277</v>
      </c>
      <c r="C629" s="313" t="s">
        <v>4285</v>
      </c>
      <c r="D629" s="313" t="s">
        <v>4285</v>
      </c>
      <c r="E629" s="313" t="s">
        <v>3820</v>
      </c>
      <c r="F629" s="314" t="s">
        <v>4288</v>
      </c>
      <c r="G629" s="313">
        <v>120</v>
      </c>
      <c r="H629" s="313">
        <v>120</v>
      </c>
      <c r="I629" s="313">
        <v>2023.03</v>
      </c>
    </row>
    <row r="630" spans="1:9">
      <c r="A630" s="313" t="s">
        <v>446</v>
      </c>
      <c r="B630" s="313" t="s">
        <v>4277</v>
      </c>
      <c r="C630" s="313" t="s">
        <v>4289</v>
      </c>
      <c r="D630" s="313" t="s">
        <v>4289</v>
      </c>
      <c r="E630" s="313" t="s">
        <v>3937</v>
      </c>
      <c r="F630" s="314" t="s">
        <v>4290</v>
      </c>
      <c r="G630" s="313">
        <v>150</v>
      </c>
      <c r="H630" s="313">
        <v>300</v>
      </c>
      <c r="I630" s="313">
        <v>2023.03</v>
      </c>
    </row>
    <row r="631" spans="1:9">
      <c r="A631" s="313" t="s">
        <v>446</v>
      </c>
      <c r="B631" s="313" t="s">
        <v>4277</v>
      </c>
      <c r="C631" s="313" t="s">
        <v>4289</v>
      </c>
      <c r="D631" s="313" t="s">
        <v>4289</v>
      </c>
      <c r="E631" s="313" t="s">
        <v>3937</v>
      </c>
      <c r="F631" s="314" t="s">
        <v>4291</v>
      </c>
      <c r="G631" s="313">
        <v>150</v>
      </c>
      <c r="H631" s="313">
        <v>300</v>
      </c>
      <c r="I631" s="313">
        <v>2023.03</v>
      </c>
    </row>
    <row r="632" spans="1:9">
      <c r="A632" s="313" t="s">
        <v>446</v>
      </c>
      <c r="B632" s="313" t="s">
        <v>4277</v>
      </c>
      <c r="C632" s="313" t="s">
        <v>4292</v>
      </c>
      <c r="D632" s="313" t="s">
        <v>161</v>
      </c>
      <c r="E632" s="313" t="s">
        <v>3820</v>
      </c>
      <c r="F632" s="314" t="s">
        <v>4293</v>
      </c>
      <c r="G632" s="313">
        <v>960</v>
      </c>
      <c r="H632" s="313">
        <v>960</v>
      </c>
      <c r="I632" s="313">
        <v>2023.03</v>
      </c>
    </row>
    <row r="633" spans="1:9">
      <c r="A633" s="313" t="s">
        <v>446</v>
      </c>
      <c r="B633" s="313" t="s">
        <v>4277</v>
      </c>
      <c r="C633" s="313" t="s">
        <v>4292</v>
      </c>
      <c r="D633" s="313" t="s">
        <v>161</v>
      </c>
      <c r="E633" s="313" t="s">
        <v>3878</v>
      </c>
      <c r="F633" s="314" t="s">
        <v>4293</v>
      </c>
      <c r="G633" s="313">
        <v>0</v>
      </c>
      <c r="H633" s="313">
        <v>0</v>
      </c>
      <c r="I633" s="313">
        <v>2023.03</v>
      </c>
    </row>
    <row r="634" spans="1:9">
      <c r="A634" s="313" t="s">
        <v>446</v>
      </c>
      <c r="B634" s="313" t="s">
        <v>4277</v>
      </c>
      <c r="C634" s="313" t="s">
        <v>4292</v>
      </c>
      <c r="D634" s="313" t="s">
        <v>161</v>
      </c>
      <c r="E634" s="313" t="s">
        <v>3834</v>
      </c>
      <c r="F634" s="314" t="s">
        <v>4293</v>
      </c>
      <c r="G634" s="313">
        <v>256</v>
      </c>
      <c r="H634" s="313">
        <v>1536</v>
      </c>
      <c r="I634" s="313">
        <v>2023.03</v>
      </c>
    </row>
    <row r="635" spans="1:9">
      <c r="A635" s="313" t="s">
        <v>446</v>
      </c>
      <c r="B635" s="313" t="s">
        <v>4277</v>
      </c>
      <c r="C635" s="313" t="s">
        <v>4292</v>
      </c>
      <c r="D635" s="313" t="s">
        <v>4292</v>
      </c>
      <c r="E635" s="313" t="s">
        <v>3820</v>
      </c>
      <c r="F635" s="314" t="s">
        <v>4294</v>
      </c>
      <c r="G635" s="313">
        <v>120</v>
      </c>
      <c r="H635" s="313">
        <v>120</v>
      </c>
      <c r="I635" s="313">
        <v>2023.03</v>
      </c>
    </row>
    <row r="636" spans="1:9">
      <c r="A636" s="313" t="s">
        <v>446</v>
      </c>
      <c r="B636" s="313" t="s">
        <v>4277</v>
      </c>
      <c r="C636" s="313" t="s">
        <v>4292</v>
      </c>
      <c r="D636" s="313" t="s">
        <v>4292</v>
      </c>
      <c r="E636" s="313" t="s">
        <v>3834</v>
      </c>
      <c r="F636" s="314" t="s">
        <v>4294</v>
      </c>
      <c r="G636" s="313">
        <v>173</v>
      </c>
      <c r="H636" s="313">
        <v>1038</v>
      </c>
      <c r="I636" s="313">
        <v>2023.03</v>
      </c>
    </row>
    <row r="637" spans="1:9">
      <c r="A637" s="313" t="s">
        <v>393</v>
      </c>
      <c r="B637" s="313" t="s">
        <v>4295</v>
      </c>
      <c r="C637" s="313" t="s">
        <v>4296</v>
      </c>
      <c r="D637" s="313" t="s">
        <v>4296</v>
      </c>
      <c r="E637" s="313" t="s">
        <v>4026</v>
      </c>
      <c r="F637" s="314" t="s">
        <v>4297</v>
      </c>
      <c r="G637" s="313">
        <v>400</v>
      </c>
      <c r="H637" s="313">
        <v>400</v>
      </c>
      <c r="I637" s="313">
        <v>2023.03</v>
      </c>
    </row>
    <row r="638" spans="1:9">
      <c r="A638" s="313" t="s">
        <v>393</v>
      </c>
      <c r="B638" s="313" t="s">
        <v>4295</v>
      </c>
      <c r="C638" s="313" t="s">
        <v>4296</v>
      </c>
      <c r="D638" s="313" t="s">
        <v>4296</v>
      </c>
      <c r="E638" s="313" t="s">
        <v>3834</v>
      </c>
      <c r="F638" s="314" t="s">
        <v>4297</v>
      </c>
      <c r="G638" s="313">
        <v>2350</v>
      </c>
      <c r="H638" s="313">
        <v>5001</v>
      </c>
      <c r="I638" s="313">
        <v>2023.03</v>
      </c>
    </row>
    <row r="639" spans="1:9">
      <c r="A639" s="313" t="s">
        <v>393</v>
      </c>
      <c r="B639" s="313" t="s">
        <v>4295</v>
      </c>
      <c r="C639" s="313" t="s">
        <v>4298</v>
      </c>
      <c r="D639" s="313" t="s">
        <v>4298</v>
      </c>
      <c r="E639" s="313" t="s">
        <v>4026</v>
      </c>
      <c r="F639" s="314" t="s">
        <v>4299</v>
      </c>
      <c r="G639" s="313">
        <v>401</v>
      </c>
      <c r="H639" s="313">
        <v>401</v>
      </c>
      <c r="I639" s="313">
        <v>2023.03</v>
      </c>
    </row>
    <row r="640" spans="1:9">
      <c r="A640" s="313" t="s">
        <v>393</v>
      </c>
      <c r="B640" s="313" t="s">
        <v>4295</v>
      </c>
      <c r="C640" s="313" t="s">
        <v>4298</v>
      </c>
      <c r="D640" s="313" t="s">
        <v>4298</v>
      </c>
      <c r="E640" s="313" t="s">
        <v>3834</v>
      </c>
      <c r="F640" s="314" t="s">
        <v>4299</v>
      </c>
      <c r="G640" s="313">
        <v>565</v>
      </c>
      <c r="H640" s="313">
        <v>1201</v>
      </c>
      <c r="I640" s="313">
        <v>2023.03</v>
      </c>
    </row>
    <row r="641" spans="1:9">
      <c r="A641" s="313" t="s">
        <v>393</v>
      </c>
      <c r="B641" s="313" t="s">
        <v>4295</v>
      </c>
      <c r="C641" s="313" t="s">
        <v>4300</v>
      </c>
      <c r="D641" s="313" t="s">
        <v>4300</v>
      </c>
      <c r="E641" s="313" t="s">
        <v>3848</v>
      </c>
      <c r="F641" s="314" t="s">
        <v>4301</v>
      </c>
      <c r="G641" s="313">
        <v>150</v>
      </c>
      <c r="H641" s="313">
        <v>1200</v>
      </c>
      <c r="I641" s="313">
        <v>2023.03</v>
      </c>
    </row>
    <row r="642" spans="1:9">
      <c r="A642" s="313" t="s">
        <v>393</v>
      </c>
      <c r="B642" s="313" t="s">
        <v>4295</v>
      </c>
      <c r="C642" s="313" t="s">
        <v>4300</v>
      </c>
      <c r="D642" s="313" t="s">
        <v>4300</v>
      </c>
      <c r="E642" s="313" t="s">
        <v>4026</v>
      </c>
      <c r="F642" s="314" t="s">
        <v>4301</v>
      </c>
      <c r="G642" s="313">
        <v>564</v>
      </c>
      <c r="H642" s="313">
        <v>1200</v>
      </c>
      <c r="I642" s="313">
        <v>2023.03</v>
      </c>
    </row>
    <row r="643" spans="1:9">
      <c r="A643" s="313" t="s">
        <v>393</v>
      </c>
      <c r="B643" s="313" t="s">
        <v>4295</v>
      </c>
      <c r="C643" s="313" t="s">
        <v>4300</v>
      </c>
      <c r="D643" s="313" t="s">
        <v>4300</v>
      </c>
      <c r="E643" s="313" t="s">
        <v>3834</v>
      </c>
      <c r="F643" s="314" t="s">
        <v>4301</v>
      </c>
      <c r="G643" s="313">
        <v>565</v>
      </c>
      <c r="H643" s="313">
        <v>1201</v>
      </c>
      <c r="I643" s="313">
        <v>2023.03</v>
      </c>
    </row>
    <row r="644" spans="1:9">
      <c r="A644" s="313" t="s">
        <v>393</v>
      </c>
      <c r="B644" s="313" t="s">
        <v>4295</v>
      </c>
      <c r="C644" s="313" t="s">
        <v>3836</v>
      </c>
      <c r="D644" s="313" t="s">
        <v>3836</v>
      </c>
      <c r="E644" s="313" t="s">
        <v>4026</v>
      </c>
      <c r="F644" s="314" t="s">
        <v>4302</v>
      </c>
      <c r="G644" s="313">
        <v>377</v>
      </c>
      <c r="H644" s="313">
        <v>400</v>
      </c>
      <c r="I644" s="313">
        <v>2023.03</v>
      </c>
    </row>
    <row r="645" spans="1:9">
      <c r="A645" s="313" t="s">
        <v>393</v>
      </c>
      <c r="B645" s="313" t="s">
        <v>4295</v>
      </c>
      <c r="C645" s="313" t="s">
        <v>3836</v>
      </c>
      <c r="D645" s="313" t="s">
        <v>3836</v>
      </c>
      <c r="E645" s="313" t="s">
        <v>3818</v>
      </c>
      <c r="F645" s="314" t="s">
        <v>4302</v>
      </c>
      <c r="G645" s="313">
        <v>453</v>
      </c>
      <c r="H645" s="313">
        <v>480</v>
      </c>
      <c r="I645" s="313">
        <v>2023.03</v>
      </c>
    </row>
    <row r="646" spans="1:9">
      <c r="A646" s="313" t="s">
        <v>393</v>
      </c>
      <c r="B646" s="313" t="s">
        <v>4295</v>
      </c>
      <c r="C646" s="313" t="s">
        <v>3836</v>
      </c>
      <c r="D646" s="313" t="s">
        <v>3836</v>
      </c>
      <c r="E646" s="313" t="s">
        <v>3834</v>
      </c>
      <c r="F646" s="314" t="s">
        <v>4302</v>
      </c>
      <c r="G646" s="313">
        <v>1176</v>
      </c>
      <c r="H646" s="313">
        <v>2500</v>
      </c>
      <c r="I646" s="313">
        <v>2023.03</v>
      </c>
    </row>
    <row r="647" spans="1:9">
      <c r="A647" s="313" t="s">
        <v>393</v>
      </c>
      <c r="B647" s="313" t="s">
        <v>4295</v>
      </c>
      <c r="C647" s="313" t="s">
        <v>4303</v>
      </c>
      <c r="D647" s="313" t="s">
        <v>4303</v>
      </c>
      <c r="E647" s="313" t="s">
        <v>4026</v>
      </c>
      <c r="F647" s="314" t="s">
        <v>4304</v>
      </c>
      <c r="G647" s="313">
        <v>400</v>
      </c>
      <c r="H647" s="313">
        <v>400</v>
      </c>
      <c r="I647" s="313">
        <v>2023.03</v>
      </c>
    </row>
    <row r="648" spans="1:9">
      <c r="A648" s="313" t="s">
        <v>393</v>
      </c>
      <c r="B648" s="313" t="s">
        <v>4295</v>
      </c>
      <c r="C648" s="313" t="s">
        <v>4303</v>
      </c>
      <c r="D648" s="313" t="s">
        <v>4303</v>
      </c>
      <c r="E648" s="313" t="s">
        <v>3834</v>
      </c>
      <c r="F648" s="314" t="s">
        <v>4304</v>
      </c>
      <c r="G648" s="313">
        <v>564</v>
      </c>
      <c r="H648" s="313">
        <v>1200</v>
      </c>
      <c r="I648" s="313">
        <v>2023.03</v>
      </c>
    </row>
    <row r="649" spans="1:9">
      <c r="A649" s="313" t="s">
        <v>450</v>
      </c>
      <c r="B649" s="313" t="s">
        <v>4305</v>
      </c>
      <c r="C649" s="313" t="s">
        <v>4306</v>
      </c>
      <c r="D649" s="313" t="s">
        <v>4306</v>
      </c>
      <c r="E649" s="313" t="s">
        <v>3848</v>
      </c>
      <c r="F649" s="314" t="s">
        <v>4307</v>
      </c>
      <c r="G649" s="313">
        <v>120</v>
      </c>
      <c r="H649" s="313">
        <v>870</v>
      </c>
      <c r="I649" s="313">
        <v>2023.03</v>
      </c>
    </row>
    <row r="650" spans="1:9">
      <c r="A650" s="313" t="s">
        <v>450</v>
      </c>
      <c r="B650" s="313" t="s">
        <v>4305</v>
      </c>
      <c r="C650" s="313" t="s">
        <v>4306</v>
      </c>
      <c r="D650" s="313" t="s">
        <v>4306</v>
      </c>
      <c r="E650" s="313" t="s">
        <v>3899</v>
      </c>
      <c r="F650" s="314" t="s">
        <v>4307</v>
      </c>
      <c r="G650" s="313">
        <v>1000</v>
      </c>
      <c r="H650" s="313">
        <v>480</v>
      </c>
      <c r="I650" s="313">
        <v>2023.03</v>
      </c>
    </row>
    <row r="651" spans="1:9">
      <c r="A651" s="313" t="s">
        <v>450</v>
      </c>
      <c r="B651" s="313" t="s">
        <v>4305</v>
      </c>
      <c r="C651" s="313" t="s">
        <v>4306</v>
      </c>
      <c r="D651" s="313" t="s">
        <v>4306</v>
      </c>
      <c r="E651" s="313" t="s">
        <v>3834</v>
      </c>
      <c r="F651" s="314" t="s">
        <v>4307</v>
      </c>
      <c r="G651" s="313">
        <v>100</v>
      </c>
      <c r="H651" s="313">
        <v>1200</v>
      </c>
      <c r="I651" s="313">
        <v>2023.03</v>
      </c>
    </row>
    <row r="652" spans="1:9">
      <c r="A652" s="313" t="s">
        <v>450</v>
      </c>
      <c r="B652" s="313" t="s">
        <v>4305</v>
      </c>
      <c r="C652" s="313" t="s">
        <v>4308</v>
      </c>
      <c r="D652" s="313" t="s">
        <v>4308</v>
      </c>
      <c r="E652" s="313" t="s">
        <v>3834</v>
      </c>
      <c r="F652" s="314" t="s">
        <v>4309</v>
      </c>
      <c r="G652" s="313">
        <v>100</v>
      </c>
      <c r="H652" s="313">
        <v>1200</v>
      </c>
      <c r="I652" s="313">
        <v>2023.03</v>
      </c>
    </row>
    <row r="653" spans="1:9">
      <c r="A653" s="313" t="s">
        <v>450</v>
      </c>
      <c r="B653" s="313" t="s">
        <v>4305</v>
      </c>
      <c r="C653" s="313" t="s">
        <v>4310</v>
      </c>
      <c r="D653" s="313" t="s">
        <v>4310</v>
      </c>
      <c r="E653" s="313" t="s">
        <v>3908</v>
      </c>
      <c r="F653" s="314" t="s">
        <v>4309</v>
      </c>
      <c r="G653" s="313">
        <v>1000</v>
      </c>
      <c r="H653" s="313">
        <v>480</v>
      </c>
      <c r="I653" s="313">
        <v>2023.03</v>
      </c>
    </row>
    <row r="654" spans="1:9">
      <c r="A654" s="313" t="s">
        <v>450</v>
      </c>
      <c r="B654" s="313" t="s">
        <v>4305</v>
      </c>
      <c r="C654" s="313" t="s">
        <v>4311</v>
      </c>
      <c r="D654" s="313" t="s">
        <v>4311</v>
      </c>
      <c r="E654" s="313" t="s">
        <v>3908</v>
      </c>
      <c r="F654" s="314" t="s">
        <v>4312</v>
      </c>
      <c r="G654" s="313">
        <v>1000</v>
      </c>
      <c r="H654" s="313">
        <v>480</v>
      </c>
      <c r="I654" s="313">
        <v>2023.03</v>
      </c>
    </row>
    <row r="655" spans="1:9">
      <c r="A655" s="313" t="s">
        <v>450</v>
      </c>
      <c r="B655" s="313" t="s">
        <v>4305</v>
      </c>
      <c r="C655" s="313" t="s">
        <v>4311</v>
      </c>
      <c r="D655" s="313" t="s">
        <v>4311</v>
      </c>
      <c r="E655" s="313" t="s">
        <v>3899</v>
      </c>
      <c r="F655" s="314" t="s">
        <v>4312</v>
      </c>
      <c r="G655" s="313">
        <v>1000</v>
      </c>
      <c r="H655" s="313">
        <v>480</v>
      </c>
      <c r="I655" s="313">
        <v>2023.03</v>
      </c>
    </row>
    <row r="656" spans="1:9">
      <c r="A656" s="313" t="s">
        <v>450</v>
      </c>
      <c r="B656" s="313" t="s">
        <v>4305</v>
      </c>
      <c r="C656" s="313" t="s">
        <v>4311</v>
      </c>
      <c r="D656" s="313" t="s">
        <v>4311</v>
      </c>
      <c r="E656" s="313" t="s">
        <v>3834</v>
      </c>
      <c r="F656" s="314" t="s">
        <v>4312</v>
      </c>
      <c r="G656" s="313">
        <v>100</v>
      </c>
      <c r="H656" s="313">
        <v>1200</v>
      </c>
      <c r="I656" s="313">
        <v>2023.03</v>
      </c>
    </row>
    <row r="657" spans="1:9">
      <c r="A657" s="313" t="s">
        <v>450</v>
      </c>
      <c r="B657" s="313" t="s">
        <v>4305</v>
      </c>
      <c r="C657" s="313" t="s">
        <v>4313</v>
      </c>
      <c r="D657" s="313" t="s">
        <v>4313</v>
      </c>
      <c r="E657" s="313" t="s">
        <v>3908</v>
      </c>
      <c r="F657" s="314" t="s">
        <v>4314</v>
      </c>
      <c r="G657" s="313">
        <v>1000</v>
      </c>
      <c r="H657" s="313">
        <v>480</v>
      </c>
      <c r="I657" s="313">
        <v>2023.03</v>
      </c>
    </row>
    <row r="658" spans="1:9">
      <c r="A658" s="313" t="s">
        <v>450</v>
      </c>
      <c r="B658" s="313" t="s">
        <v>4305</v>
      </c>
      <c r="C658" s="313" t="s">
        <v>4313</v>
      </c>
      <c r="D658" s="313" t="s">
        <v>4313</v>
      </c>
      <c r="E658" s="313" t="s">
        <v>3834</v>
      </c>
      <c r="F658" s="314" t="s">
        <v>4314</v>
      </c>
      <c r="G658" s="313">
        <v>101</v>
      </c>
      <c r="H658" s="313">
        <v>1201</v>
      </c>
      <c r="I658" s="313">
        <v>2023.03</v>
      </c>
    </row>
    <row r="659" spans="1:9">
      <c r="A659" s="313" t="s">
        <v>450</v>
      </c>
      <c r="B659" s="313" t="s">
        <v>4305</v>
      </c>
      <c r="C659" s="313" t="s">
        <v>4315</v>
      </c>
      <c r="D659" s="313" t="s">
        <v>4315</v>
      </c>
      <c r="E659" s="313" t="s">
        <v>3908</v>
      </c>
      <c r="F659" s="314" t="s">
        <v>4316</v>
      </c>
      <c r="G659" s="313">
        <v>1000</v>
      </c>
      <c r="H659" s="313">
        <v>480</v>
      </c>
      <c r="I659" s="313">
        <v>2023.03</v>
      </c>
    </row>
    <row r="660" spans="1:9">
      <c r="A660" s="313" t="s">
        <v>450</v>
      </c>
      <c r="B660" s="313" t="s">
        <v>4305</v>
      </c>
      <c r="C660" s="313" t="s">
        <v>4315</v>
      </c>
      <c r="D660" s="313" t="s">
        <v>4315</v>
      </c>
      <c r="E660" s="313" t="s">
        <v>3899</v>
      </c>
      <c r="F660" s="314" t="s">
        <v>4316</v>
      </c>
      <c r="G660" s="313">
        <v>1000</v>
      </c>
      <c r="H660" s="313">
        <v>480</v>
      </c>
      <c r="I660" s="313">
        <v>2023.03</v>
      </c>
    </row>
    <row r="661" spans="1:9">
      <c r="A661" s="313" t="s">
        <v>450</v>
      </c>
      <c r="B661" s="313" t="s">
        <v>4305</v>
      </c>
      <c r="C661" s="313" t="s">
        <v>4317</v>
      </c>
      <c r="D661" s="313" t="s">
        <v>4317</v>
      </c>
      <c r="E661" s="313" t="s">
        <v>3908</v>
      </c>
      <c r="F661" s="314" t="s">
        <v>4318</v>
      </c>
      <c r="G661" s="313">
        <v>1000</v>
      </c>
      <c r="H661" s="313">
        <v>480</v>
      </c>
      <c r="I661" s="313">
        <v>2023.03</v>
      </c>
    </row>
    <row r="662" spans="1:9">
      <c r="A662" s="313" t="s">
        <v>450</v>
      </c>
      <c r="B662" s="313" t="s">
        <v>4305</v>
      </c>
      <c r="C662" s="313" t="s">
        <v>4317</v>
      </c>
      <c r="D662" s="313" t="s">
        <v>4317</v>
      </c>
      <c r="E662" s="313" t="s">
        <v>3899</v>
      </c>
      <c r="F662" s="314" t="s">
        <v>4318</v>
      </c>
      <c r="G662" s="313">
        <v>1000</v>
      </c>
      <c r="H662" s="313">
        <v>480</v>
      </c>
      <c r="I662" s="313">
        <v>2023.03</v>
      </c>
    </row>
    <row r="663" spans="1:9">
      <c r="A663" s="313" t="s">
        <v>450</v>
      </c>
      <c r="B663" s="313" t="s">
        <v>4305</v>
      </c>
      <c r="C663" s="313" t="s">
        <v>4319</v>
      </c>
      <c r="D663" s="313" t="s">
        <v>4319</v>
      </c>
      <c r="E663" s="313" t="s">
        <v>3908</v>
      </c>
      <c r="F663" s="314" t="s">
        <v>4320</v>
      </c>
      <c r="G663" s="313">
        <v>1005</v>
      </c>
      <c r="H663" s="313">
        <v>480</v>
      </c>
      <c r="I663" s="313">
        <v>2023.03</v>
      </c>
    </row>
    <row r="664" spans="1:9">
      <c r="A664" s="313" t="s">
        <v>450</v>
      </c>
      <c r="B664" s="313" t="s">
        <v>4305</v>
      </c>
      <c r="C664" s="313" t="s">
        <v>4319</v>
      </c>
      <c r="D664" s="313" t="s">
        <v>4319</v>
      </c>
      <c r="E664" s="313" t="s">
        <v>3848</v>
      </c>
      <c r="F664" s="314" t="s">
        <v>4320</v>
      </c>
      <c r="G664" s="313">
        <v>121</v>
      </c>
      <c r="H664" s="313">
        <v>871</v>
      </c>
      <c r="I664" s="313">
        <v>2023.03</v>
      </c>
    </row>
    <row r="665" spans="1:9">
      <c r="A665" s="313" t="s">
        <v>450</v>
      </c>
      <c r="B665" s="313" t="s">
        <v>4305</v>
      </c>
      <c r="C665" s="313" t="s">
        <v>4319</v>
      </c>
      <c r="D665" s="313" t="s">
        <v>4319</v>
      </c>
      <c r="E665" s="313" t="s">
        <v>3899</v>
      </c>
      <c r="F665" s="314" t="s">
        <v>4320</v>
      </c>
      <c r="G665" s="313">
        <v>1005</v>
      </c>
      <c r="H665" s="313">
        <v>480</v>
      </c>
      <c r="I665" s="313">
        <v>2023.03</v>
      </c>
    </row>
    <row r="666" spans="1:9">
      <c r="A666" s="313" t="s">
        <v>450</v>
      </c>
      <c r="B666" s="313" t="s">
        <v>4305</v>
      </c>
      <c r="C666" s="313" t="s">
        <v>4321</v>
      </c>
      <c r="D666" s="313" t="s">
        <v>4321</v>
      </c>
      <c r="E666" s="313" t="s">
        <v>3899</v>
      </c>
      <c r="F666" s="314" t="s">
        <v>4322</v>
      </c>
      <c r="G666" s="313">
        <v>1005</v>
      </c>
      <c r="H666" s="313">
        <v>480</v>
      </c>
      <c r="I666" s="313">
        <v>2023.03</v>
      </c>
    </row>
    <row r="667" spans="1:9">
      <c r="A667" s="313" t="s">
        <v>450</v>
      </c>
      <c r="B667" s="313" t="s">
        <v>4305</v>
      </c>
      <c r="C667" s="313" t="s">
        <v>4321</v>
      </c>
      <c r="D667" s="313" t="s">
        <v>4321</v>
      </c>
      <c r="E667" s="313" t="s">
        <v>3834</v>
      </c>
      <c r="F667" s="314" t="s">
        <v>4322</v>
      </c>
      <c r="G667" s="313">
        <v>101</v>
      </c>
      <c r="H667" s="313">
        <v>1201</v>
      </c>
      <c r="I667" s="313">
        <v>2023.03</v>
      </c>
    </row>
    <row r="668" spans="1:9">
      <c r="A668" s="313" t="s">
        <v>450</v>
      </c>
      <c r="B668" s="313" t="s">
        <v>4305</v>
      </c>
      <c r="C668" s="313" t="s">
        <v>4323</v>
      </c>
      <c r="D668" s="313" t="s">
        <v>4323</v>
      </c>
      <c r="E668" s="313" t="s">
        <v>3899</v>
      </c>
      <c r="F668" s="314" t="s">
        <v>4324</v>
      </c>
      <c r="G668" s="313">
        <v>1000</v>
      </c>
      <c r="H668" s="313">
        <v>480</v>
      </c>
      <c r="I668" s="313">
        <v>2023.03</v>
      </c>
    </row>
    <row r="669" spans="1:9">
      <c r="A669" s="313" t="s">
        <v>450</v>
      </c>
      <c r="B669" s="313" t="s">
        <v>4305</v>
      </c>
      <c r="C669" s="313" t="s">
        <v>4325</v>
      </c>
      <c r="D669" s="313" t="s">
        <v>4325</v>
      </c>
      <c r="E669" s="313" t="s">
        <v>4326</v>
      </c>
      <c r="F669" s="314" t="s">
        <v>4327</v>
      </c>
      <c r="G669" s="313">
        <v>193</v>
      </c>
      <c r="H669" s="313">
        <v>282</v>
      </c>
      <c r="I669" s="313">
        <v>2023.03</v>
      </c>
    </row>
    <row r="670" spans="1:9">
      <c r="A670" s="313" t="s">
        <v>450</v>
      </c>
      <c r="B670" s="313" t="s">
        <v>4305</v>
      </c>
      <c r="C670" s="313" t="s">
        <v>4328</v>
      </c>
      <c r="D670" s="313" t="s">
        <v>4328</v>
      </c>
      <c r="E670" s="313" t="s">
        <v>3848</v>
      </c>
      <c r="F670" s="314" t="s">
        <v>4329</v>
      </c>
      <c r="G670" s="313">
        <v>120</v>
      </c>
      <c r="H670" s="313">
        <v>870</v>
      </c>
      <c r="I670" s="313">
        <v>2023.03</v>
      </c>
    </row>
    <row r="671" spans="1:9">
      <c r="A671" s="313" t="s">
        <v>450</v>
      </c>
      <c r="B671" s="313" t="s">
        <v>4305</v>
      </c>
      <c r="C671" s="313" t="s">
        <v>4328</v>
      </c>
      <c r="D671" s="313" t="s">
        <v>4328</v>
      </c>
      <c r="E671" s="313" t="s">
        <v>3899</v>
      </c>
      <c r="F671" s="314" t="s">
        <v>4329</v>
      </c>
      <c r="G671" s="313">
        <v>1000</v>
      </c>
      <c r="H671" s="313">
        <v>480</v>
      </c>
      <c r="I671" s="313">
        <v>2023.03</v>
      </c>
    </row>
    <row r="672" spans="1:9">
      <c r="A672" s="313" t="s">
        <v>450</v>
      </c>
      <c r="B672" s="313" t="s">
        <v>4305</v>
      </c>
      <c r="C672" s="313" t="s">
        <v>4330</v>
      </c>
      <c r="D672" s="313" t="s">
        <v>4330</v>
      </c>
      <c r="E672" s="313" t="s">
        <v>3834</v>
      </c>
      <c r="F672" s="314" t="s">
        <v>4331</v>
      </c>
      <c r="G672" s="313">
        <v>100</v>
      </c>
      <c r="H672" s="313">
        <v>1200</v>
      </c>
      <c r="I672" s="313">
        <v>2023.03</v>
      </c>
    </row>
    <row r="673" spans="1:9">
      <c r="A673" s="313" t="s">
        <v>450</v>
      </c>
      <c r="B673" s="313" t="s">
        <v>3844</v>
      </c>
      <c r="C673" s="313" t="s">
        <v>4332</v>
      </c>
      <c r="D673" s="313" t="s">
        <v>4332</v>
      </c>
      <c r="E673" s="313" t="s">
        <v>3854</v>
      </c>
      <c r="F673" s="314" t="s">
        <v>4333</v>
      </c>
      <c r="G673" s="313">
        <v>0</v>
      </c>
      <c r="H673" s="313">
        <v>0</v>
      </c>
      <c r="I673" s="313">
        <v>2023.03</v>
      </c>
    </row>
    <row r="674" spans="1:9">
      <c r="A674" s="313" t="s">
        <v>450</v>
      </c>
      <c r="B674" s="313" t="s">
        <v>3844</v>
      </c>
      <c r="C674" s="313" t="s">
        <v>4332</v>
      </c>
      <c r="D674" s="313" t="s">
        <v>4332</v>
      </c>
      <c r="E674" s="313" t="s">
        <v>3820</v>
      </c>
      <c r="F674" s="314" t="s">
        <v>4333</v>
      </c>
      <c r="G674" s="313">
        <v>100</v>
      </c>
      <c r="H674" s="313">
        <v>32</v>
      </c>
      <c r="I674" s="313">
        <v>2023.03</v>
      </c>
    </row>
    <row r="675" spans="1:9">
      <c r="A675" s="313" t="s">
        <v>450</v>
      </c>
      <c r="B675" s="313" t="s">
        <v>3844</v>
      </c>
      <c r="C675" s="313" t="s">
        <v>4332</v>
      </c>
      <c r="D675" s="313" t="s">
        <v>4332</v>
      </c>
      <c r="E675" s="313" t="s">
        <v>3937</v>
      </c>
      <c r="F675" s="314" t="s">
        <v>4333</v>
      </c>
      <c r="G675" s="313">
        <v>281</v>
      </c>
      <c r="H675" s="313">
        <v>529</v>
      </c>
      <c r="I675" s="313">
        <v>2023.03</v>
      </c>
    </row>
    <row r="676" spans="1:9">
      <c r="A676" s="313" t="s">
        <v>450</v>
      </c>
      <c r="B676" s="313" t="s">
        <v>3844</v>
      </c>
      <c r="C676" s="313" t="s">
        <v>4332</v>
      </c>
      <c r="D676" s="313" t="s">
        <v>4332</v>
      </c>
      <c r="E676" s="313" t="s">
        <v>3834</v>
      </c>
      <c r="F676" s="314" t="s">
        <v>4333</v>
      </c>
      <c r="G676" s="313">
        <v>0</v>
      </c>
      <c r="H676" s="313">
        <v>0</v>
      </c>
      <c r="I676" s="313">
        <v>2023.03</v>
      </c>
    </row>
    <row r="677" spans="1:9">
      <c r="A677" s="313" t="s">
        <v>450</v>
      </c>
      <c r="B677" s="313" t="s">
        <v>3844</v>
      </c>
      <c r="C677" s="313" t="s">
        <v>4332</v>
      </c>
      <c r="D677" s="313" t="s">
        <v>4334</v>
      </c>
      <c r="E677" s="313" t="s">
        <v>3820</v>
      </c>
      <c r="F677" s="314" t="s">
        <v>4335</v>
      </c>
      <c r="G677" s="313">
        <v>100</v>
      </c>
      <c r="H677" s="313">
        <v>31</v>
      </c>
      <c r="I677" s="313">
        <v>2023.03</v>
      </c>
    </row>
    <row r="678" spans="1:9">
      <c r="A678" s="313" t="s">
        <v>450</v>
      </c>
      <c r="B678" s="313" t="s">
        <v>3844</v>
      </c>
      <c r="C678" s="313" t="s">
        <v>4332</v>
      </c>
      <c r="D678" s="313" t="s">
        <v>4334</v>
      </c>
      <c r="E678" s="313" t="s">
        <v>3937</v>
      </c>
      <c r="F678" s="314" t="s">
        <v>4335</v>
      </c>
      <c r="G678" s="313">
        <v>200</v>
      </c>
      <c r="H678" s="313">
        <v>200</v>
      </c>
      <c r="I678" s="313">
        <v>2023.03</v>
      </c>
    </row>
    <row r="679" spans="1:9">
      <c r="A679" s="313" t="s">
        <v>450</v>
      </c>
      <c r="B679" s="313" t="s">
        <v>3844</v>
      </c>
      <c r="C679" s="313" t="s">
        <v>4332</v>
      </c>
      <c r="D679" s="313" t="s">
        <v>4334</v>
      </c>
      <c r="E679" s="313" t="s">
        <v>3834</v>
      </c>
      <c r="F679" s="314" t="s">
        <v>4335</v>
      </c>
      <c r="G679" s="313">
        <v>250</v>
      </c>
      <c r="H679" s="313">
        <v>1075</v>
      </c>
      <c r="I679" s="313">
        <v>2023.03</v>
      </c>
    </row>
    <row r="680" spans="1:9">
      <c r="A680" s="313" t="s">
        <v>450</v>
      </c>
      <c r="B680" s="313" t="s">
        <v>3844</v>
      </c>
      <c r="C680" s="313" t="s">
        <v>4332</v>
      </c>
      <c r="D680" s="313" t="s">
        <v>4336</v>
      </c>
      <c r="E680" s="313" t="s">
        <v>3820</v>
      </c>
      <c r="F680" s="314" t="s">
        <v>4337</v>
      </c>
      <c r="G680" s="313">
        <v>100</v>
      </c>
      <c r="H680" s="313">
        <v>72</v>
      </c>
      <c r="I680" s="313">
        <v>2023.03</v>
      </c>
    </row>
    <row r="681" spans="1:9">
      <c r="A681" s="313" t="s">
        <v>450</v>
      </c>
      <c r="B681" s="313" t="s">
        <v>3844</v>
      </c>
      <c r="C681" s="313" t="s">
        <v>4332</v>
      </c>
      <c r="D681" s="313" t="s">
        <v>4336</v>
      </c>
      <c r="E681" s="313" t="s">
        <v>3937</v>
      </c>
      <c r="F681" s="314" t="s">
        <v>4337</v>
      </c>
      <c r="G681" s="313">
        <v>200</v>
      </c>
      <c r="H681" s="313">
        <v>200</v>
      </c>
      <c r="I681" s="313">
        <v>2023.03</v>
      </c>
    </row>
    <row r="682" spans="1:9">
      <c r="A682" s="313" t="s">
        <v>450</v>
      </c>
      <c r="B682" s="313" t="s">
        <v>3844</v>
      </c>
      <c r="C682" s="313" t="s">
        <v>4332</v>
      </c>
      <c r="D682" s="313" t="s">
        <v>4336</v>
      </c>
      <c r="E682" s="313" t="s">
        <v>3834</v>
      </c>
      <c r="F682" s="314" t="s">
        <v>4337</v>
      </c>
      <c r="G682" s="313">
        <v>100</v>
      </c>
      <c r="H682" s="313">
        <v>1350</v>
      </c>
      <c r="I682" s="313">
        <v>2023.03</v>
      </c>
    </row>
    <row r="683" spans="1:9">
      <c r="A683" s="313" t="s">
        <v>450</v>
      </c>
      <c r="B683" s="313" t="s">
        <v>3844</v>
      </c>
      <c r="C683" s="313" t="s">
        <v>4332</v>
      </c>
      <c r="D683" s="313" t="s">
        <v>4338</v>
      </c>
      <c r="E683" s="313" t="s">
        <v>3834</v>
      </c>
      <c r="F683" s="314" t="s">
        <v>4339</v>
      </c>
      <c r="G683" s="313">
        <v>100</v>
      </c>
      <c r="H683" s="313">
        <v>1350</v>
      </c>
      <c r="I683" s="313">
        <v>2023.03</v>
      </c>
    </row>
    <row r="684" spans="1:9">
      <c r="A684" s="313" t="s">
        <v>450</v>
      </c>
      <c r="B684" s="313" t="s">
        <v>3844</v>
      </c>
      <c r="C684" s="313" t="s">
        <v>4332</v>
      </c>
      <c r="D684" s="313" t="s">
        <v>4340</v>
      </c>
      <c r="E684" s="313" t="s">
        <v>3834</v>
      </c>
      <c r="F684" s="314" t="s">
        <v>4341</v>
      </c>
      <c r="G684" s="313">
        <v>100</v>
      </c>
      <c r="H684" s="313">
        <v>1350</v>
      </c>
      <c r="I684" s="313">
        <v>2023.03</v>
      </c>
    </row>
    <row r="685" spans="1:9">
      <c r="A685" s="313" t="s">
        <v>450</v>
      </c>
      <c r="B685" s="313" t="s">
        <v>3844</v>
      </c>
      <c r="C685" s="313" t="s">
        <v>4311</v>
      </c>
      <c r="D685" s="313" t="s">
        <v>4311</v>
      </c>
      <c r="E685" s="313" t="s">
        <v>3854</v>
      </c>
      <c r="F685" s="314" t="s">
        <v>4342</v>
      </c>
      <c r="G685" s="313">
        <v>43</v>
      </c>
      <c r="H685" s="313">
        <v>151</v>
      </c>
      <c r="I685" s="313">
        <v>2023.03</v>
      </c>
    </row>
    <row r="686" spans="1:9">
      <c r="A686" s="313" t="s">
        <v>450</v>
      </c>
      <c r="B686" s="313" t="s">
        <v>3844</v>
      </c>
      <c r="C686" s="313" t="s">
        <v>4311</v>
      </c>
      <c r="D686" s="313" t="s">
        <v>4311</v>
      </c>
      <c r="E686" s="313" t="s">
        <v>3820</v>
      </c>
      <c r="F686" s="314" t="s">
        <v>4342</v>
      </c>
      <c r="G686" s="313">
        <v>100</v>
      </c>
      <c r="H686" s="313">
        <v>100</v>
      </c>
      <c r="I686" s="313">
        <v>2023.03</v>
      </c>
    </row>
    <row r="687" spans="1:9">
      <c r="A687" s="313" t="s">
        <v>450</v>
      </c>
      <c r="B687" s="313" t="s">
        <v>3844</v>
      </c>
      <c r="C687" s="313" t="s">
        <v>4311</v>
      </c>
      <c r="D687" s="313" t="s">
        <v>4311</v>
      </c>
      <c r="E687" s="313" t="s">
        <v>3899</v>
      </c>
      <c r="F687" s="314" t="s">
        <v>4342</v>
      </c>
      <c r="G687" s="313">
        <v>0</v>
      </c>
      <c r="H687" s="313">
        <v>0</v>
      </c>
      <c r="I687" s="313">
        <v>2023.03</v>
      </c>
    </row>
    <row r="688" spans="1:9">
      <c r="A688" s="313" t="s">
        <v>450</v>
      </c>
      <c r="B688" s="313" t="s">
        <v>3844</v>
      </c>
      <c r="C688" s="313" t="s">
        <v>4311</v>
      </c>
      <c r="D688" s="313" t="s">
        <v>4311</v>
      </c>
      <c r="E688" s="313" t="s">
        <v>3937</v>
      </c>
      <c r="F688" s="314" t="s">
        <v>4342</v>
      </c>
      <c r="G688" s="313">
        <v>281</v>
      </c>
      <c r="H688" s="313">
        <v>529</v>
      </c>
      <c r="I688" s="313">
        <v>2023.03</v>
      </c>
    </row>
    <row r="689" spans="1:9">
      <c r="A689" s="313" t="s">
        <v>450</v>
      </c>
      <c r="B689" s="313" t="s">
        <v>3844</v>
      </c>
      <c r="C689" s="313" t="s">
        <v>4311</v>
      </c>
      <c r="D689" s="313" t="s">
        <v>4311</v>
      </c>
      <c r="E689" s="313" t="s">
        <v>3834</v>
      </c>
      <c r="F689" s="314" t="s">
        <v>4342</v>
      </c>
      <c r="G689" s="313">
        <v>100</v>
      </c>
      <c r="H689" s="313">
        <v>1350</v>
      </c>
      <c r="I689" s="313">
        <v>2023.03</v>
      </c>
    </row>
    <row r="690" spans="1:9">
      <c r="A690" s="313" t="s">
        <v>450</v>
      </c>
      <c r="B690" s="313" t="s">
        <v>3844</v>
      </c>
      <c r="C690" s="313" t="s">
        <v>4343</v>
      </c>
      <c r="D690" s="313" t="s">
        <v>4344</v>
      </c>
      <c r="E690" s="313" t="s">
        <v>3820</v>
      </c>
      <c r="F690" s="314" t="s">
        <v>4345</v>
      </c>
      <c r="G690" s="313">
        <v>100</v>
      </c>
      <c r="H690" s="313">
        <v>92</v>
      </c>
      <c r="I690" s="313">
        <v>2023.03</v>
      </c>
    </row>
    <row r="691" spans="1:9">
      <c r="A691" s="313" t="s">
        <v>450</v>
      </c>
      <c r="B691" s="313" t="s">
        <v>3844</v>
      </c>
      <c r="C691" s="313" t="s">
        <v>4343</v>
      </c>
      <c r="D691" s="313" t="s">
        <v>4344</v>
      </c>
      <c r="E691" s="313" t="s">
        <v>3937</v>
      </c>
      <c r="F691" s="314" t="s">
        <v>4345</v>
      </c>
      <c r="G691" s="313">
        <v>200</v>
      </c>
      <c r="H691" s="313">
        <v>200</v>
      </c>
      <c r="I691" s="313">
        <v>2023.03</v>
      </c>
    </row>
    <row r="692" spans="1:9">
      <c r="A692" s="313" t="s">
        <v>450</v>
      </c>
      <c r="B692" s="313" t="s">
        <v>3844</v>
      </c>
      <c r="C692" s="313" t="s">
        <v>4343</v>
      </c>
      <c r="D692" s="313" t="s">
        <v>4346</v>
      </c>
      <c r="E692" s="313" t="s">
        <v>3834</v>
      </c>
      <c r="F692" s="314" t="s">
        <v>4347</v>
      </c>
      <c r="G692" s="313">
        <v>100</v>
      </c>
      <c r="H692" s="313">
        <v>1350</v>
      </c>
      <c r="I692" s="313">
        <v>2023.03</v>
      </c>
    </row>
    <row r="693" spans="1:9">
      <c r="A693" s="313" t="s">
        <v>450</v>
      </c>
      <c r="B693" s="313" t="s">
        <v>3844</v>
      </c>
      <c r="C693" s="313" t="s">
        <v>4343</v>
      </c>
      <c r="D693" s="313" t="s">
        <v>4343</v>
      </c>
      <c r="E693" s="313" t="s">
        <v>3854</v>
      </c>
      <c r="F693" s="314" t="s">
        <v>4348</v>
      </c>
      <c r="G693" s="313">
        <v>0</v>
      </c>
      <c r="H693" s="313">
        <v>0</v>
      </c>
      <c r="I693" s="313">
        <v>2023.03</v>
      </c>
    </row>
    <row r="694" spans="1:9">
      <c r="A694" s="313" t="s">
        <v>450</v>
      </c>
      <c r="B694" s="313" t="s">
        <v>3844</v>
      </c>
      <c r="C694" s="313" t="s">
        <v>4343</v>
      </c>
      <c r="D694" s="313" t="s">
        <v>4343</v>
      </c>
      <c r="E694" s="313" t="s">
        <v>3820</v>
      </c>
      <c r="F694" s="314" t="s">
        <v>4348</v>
      </c>
      <c r="G694" s="313">
        <v>100</v>
      </c>
      <c r="H694" s="313">
        <v>100</v>
      </c>
      <c r="I694" s="313">
        <v>2023.03</v>
      </c>
    </row>
    <row r="695" spans="1:9">
      <c r="A695" s="313" t="s">
        <v>450</v>
      </c>
      <c r="B695" s="313" t="s">
        <v>3844</v>
      </c>
      <c r="C695" s="313" t="s">
        <v>4343</v>
      </c>
      <c r="D695" s="313" t="s">
        <v>4343</v>
      </c>
      <c r="E695" s="313" t="s">
        <v>3937</v>
      </c>
      <c r="F695" s="314" t="s">
        <v>4348</v>
      </c>
      <c r="G695" s="313">
        <v>281</v>
      </c>
      <c r="H695" s="313">
        <v>262</v>
      </c>
      <c r="I695" s="313">
        <v>2023.03</v>
      </c>
    </row>
    <row r="696" spans="1:9">
      <c r="A696" s="313" t="s">
        <v>450</v>
      </c>
      <c r="B696" s="313" t="s">
        <v>3844</v>
      </c>
      <c r="C696" s="313" t="s">
        <v>4343</v>
      </c>
      <c r="D696" s="313" t="s">
        <v>4328</v>
      </c>
      <c r="E696" s="313" t="s">
        <v>3937</v>
      </c>
      <c r="F696" s="314" t="s">
        <v>4349</v>
      </c>
      <c r="G696" s="313">
        <v>200</v>
      </c>
      <c r="H696" s="313">
        <v>200</v>
      </c>
      <c r="I696" s="313">
        <v>2023.03</v>
      </c>
    </row>
    <row r="697" spans="1:9">
      <c r="A697" s="313" t="s">
        <v>450</v>
      </c>
      <c r="B697" s="313" t="s">
        <v>3844</v>
      </c>
      <c r="C697" s="313" t="s">
        <v>4343</v>
      </c>
      <c r="D697" s="313" t="s">
        <v>4328</v>
      </c>
      <c r="E697" s="313" t="s">
        <v>3834</v>
      </c>
      <c r="F697" s="314" t="s">
        <v>4349</v>
      </c>
      <c r="G697" s="313">
        <v>0</v>
      </c>
      <c r="H697" s="313">
        <v>0</v>
      </c>
      <c r="I697" s="313">
        <v>2023.03</v>
      </c>
    </row>
    <row r="698" spans="1:9">
      <c r="A698" s="313" t="s">
        <v>457</v>
      </c>
      <c r="B698" s="313" t="s">
        <v>4350</v>
      </c>
      <c r="C698" s="313" t="s">
        <v>4351</v>
      </c>
      <c r="D698" s="313" t="s">
        <v>4352</v>
      </c>
      <c r="E698" s="313" t="s">
        <v>3854</v>
      </c>
      <c r="F698" s="314" t="s">
        <v>4353</v>
      </c>
      <c r="G698" s="313">
        <v>40</v>
      </c>
      <c r="H698" s="313">
        <v>168</v>
      </c>
      <c r="I698" s="313">
        <v>2023.03</v>
      </c>
    </row>
    <row r="699" spans="1:9">
      <c r="A699" s="313" t="s">
        <v>457</v>
      </c>
      <c r="B699" s="313" t="s">
        <v>4350</v>
      </c>
      <c r="C699" s="313" t="s">
        <v>4351</v>
      </c>
      <c r="D699" s="313" t="s">
        <v>4352</v>
      </c>
      <c r="E699" s="313" t="s">
        <v>4354</v>
      </c>
      <c r="F699" s="314" t="s">
        <v>4353</v>
      </c>
      <c r="G699" s="313">
        <v>320</v>
      </c>
      <c r="H699" s="313">
        <v>700</v>
      </c>
      <c r="I699" s="313">
        <v>2023.03</v>
      </c>
    </row>
    <row r="700" spans="1:9">
      <c r="A700" s="313" t="s">
        <v>457</v>
      </c>
      <c r="B700" s="313" t="s">
        <v>4350</v>
      </c>
      <c r="C700" s="313" t="s">
        <v>4351</v>
      </c>
      <c r="D700" s="313" t="s">
        <v>4352</v>
      </c>
      <c r="E700" s="313" t="s">
        <v>4326</v>
      </c>
      <c r="F700" s="314" t="s">
        <v>4353</v>
      </c>
      <c r="G700" s="313">
        <v>972</v>
      </c>
      <c r="H700" s="313">
        <v>565</v>
      </c>
      <c r="I700" s="313">
        <v>2023.03</v>
      </c>
    </row>
    <row r="701" spans="1:9">
      <c r="A701" s="313" t="s">
        <v>457</v>
      </c>
      <c r="B701" s="313" t="s">
        <v>4350</v>
      </c>
      <c r="C701" s="313" t="s">
        <v>4351</v>
      </c>
      <c r="D701" s="313" t="s">
        <v>4352</v>
      </c>
      <c r="E701" s="313" t="s">
        <v>3937</v>
      </c>
      <c r="F701" s="314" t="s">
        <v>4353</v>
      </c>
      <c r="G701" s="313">
        <v>750</v>
      </c>
      <c r="H701" s="313">
        <v>750</v>
      </c>
      <c r="I701" s="313">
        <v>2023.03</v>
      </c>
    </row>
    <row r="702" spans="1:9">
      <c r="A702" s="313" t="s">
        <v>457</v>
      </c>
      <c r="B702" s="313" t="s">
        <v>4350</v>
      </c>
      <c r="C702" s="313" t="s">
        <v>3836</v>
      </c>
      <c r="D702" s="313" t="s">
        <v>3836</v>
      </c>
      <c r="E702" s="313" t="s">
        <v>3854</v>
      </c>
      <c r="F702" s="314" t="s">
        <v>4355</v>
      </c>
      <c r="G702" s="313">
        <v>40</v>
      </c>
      <c r="H702" s="313">
        <v>168</v>
      </c>
      <c r="I702" s="313">
        <v>2023.03</v>
      </c>
    </row>
    <row r="703" spans="1:9">
      <c r="A703" s="313" t="s">
        <v>457</v>
      </c>
      <c r="B703" s="313" t="s">
        <v>4350</v>
      </c>
      <c r="C703" s="313" t="s">
        <v>3836</v>
      </c>
      <c r="D703" s="313" t="s">
        <v>3836</v>
      </c>
      <c r="E703" s="313" t="s">
        <v>3878</v>
      </c>
      <c r="F703" s="314" t="s">
        <v>4355</v>
      </c>
      <c r="G703" s="313">
        <v>972</v>
      </c>
      <c r="H703" s="313">
        <v>566</v>
      </c>
      <c r="I703" s="313">
        <v>2023.03</v>
      </c>
    </row>
    <row r="704" spans="1:9">
      <c r="A704" s="313" t="s">
        <v>457</v>
      </c>
      <c r="B704" s="313" t="s">
        <v>4350</v>
      </c>
      <c r="C704" s="313" t="s">
        <v>3836</v>
      </c>
      <c r="D704" s="313" t="s">
        <v>3836</v>
      </c>
      <c r="E704" s="313" t="s">
        <v>3937</v>
      </c>
      <c r="F704" s="314" t="s">
        <v>4355</v>
      </c>
      <c r="G704" s="313">
        <v>750</v>
      </c>
      <c r="H704" s="313">
        <v>750</v>
      </c>
      <c r="I704" s="313">
        <v>2023.03</v>
      </c>
    </row>
    <row r="705" spans="1:9">
      <c r="A705" s="313" t="s">
        <v>457</v>
      </c>
      <c r="B705" s="313" t="s">
        <v>4350</v>
      </c>
      <c r="C705" s="313" t="s">
        <v>3836</v>
      </c>
      <c r="D705" s="313" t="s">
        <v>3836</v>
      </c>
      <c r="E705" s="313" t="s">
        <v>3834</v>
      </c>
      <c r="F705" s="314" t="s">
        <v>4355</v>
      </c>
      <c r="G705" s="313">
        <v>408</v>
      </c>
      <c r="H705" s="313">
        <v>750</v>
      </c>
      <c r="I705" s="313">
        <v>2023.03</v>
      </c>
    </row>
    <row r="706" spans="1:9">
      <c r="A706" s="313" t="s">
        <v>457</v>
      </c>
      <c r="B706" s="313" t="s">
        <v>4350</v>
      </c>
      <c r="C706" s="313" t="s">
        <v>4356</v>
      </c>
      <c r="D706" s="313" t="s">
        <v>2320</v>
      </c>
      <c r="E706" s="313" t="s">
        <v>3854</v>
      </c>
      <c r="F706" s="314" t="s">
        <v>4357</v>
      </c>
      <c r="G706" s="313">
        <v>40</v>
      </c>
      <c r="H706" s="313">
        <v>168</v>
      </c>
      <c r="I706" s="313">
        <v>2023.03</v>
      </c>
    </row>
    <row r="707" spans="1:9">
      <c r="A707" s="313" t="s">
        <v>457</v>
      </c>
      <c r="B707" s="313" t="s">
        <v>4350</v>
      </c>
      <c r="C707" s="313" t="s">
        <v>4356</v>
      </c>
      <c r="D707" s="313" t="s">
        <v>2320</v>
      </c>
      <c r="E707" s="313" t="s">
        <v>3820</v>
      </c>
      <c r="F707" s="314" t="s">
        <v>4357</v>
      </c>
      <c r="G707" s="313">
        <v>1204</v>
      </c>
      <c r="H707" s="313">
        <v>524</v>
      </c>
      <c r="I707" s="313">
        <v>2023.03</v>
      </c>
    </row>
    <row r="708" spans="1:9">
      <c r="A708" s="313" t="s">
        <v>457</v>
      </c>
      <c r="B708" s="313" t="s">
        <v>4350</v>
      </c>
      <c r="C708" s="313" t="s">
        <v>4356</v>
      </c>
      <c r="D708" s="313" t="s">
        <v>2320</v>
      </c>
      <c r="E708" s="313" t="s">
        <v>4354</v>
      </c>
      <c r="F708" s="314" t="s">
        <v>4357</v>
      </c>
      <c r="G708" s="313">
        <v>320</v>
      </c>
      <c r="H708" s="313">
        <v>700</v>
      </c>
      <c r="I708" s="313">
        <v>2023.03</v>
      </c>
    </row>
    <row r="709" spans="1:9">
      <c r="A709" s="313" t="s">
        <v>457</v>
      </c>
      <c r="B709" s="313" t="s">
        <v>4350</v>
      </c>
      <c r="C709" s="313" t="s">
        <v>4356</v>
      </c>
      <c r="D709" s="313" t="s">
        <v>2320</v>
      </c>
      <c r="E709" s="313" t="s">
        <v>3937</v>
      </c>
      <c r="F709" s="314" t="s">
        <v>4357</v>
      </c>
      <c r="G709" s="313">
        <v>750</v>
      </c>
      <c r="H709" s="313">
        <v>750</v>
      </c>
      <c r="I709" s="313">
        <v>2023.03</v>
      </c>
    </row>
    <row r="710" spans="1:9">
      <c r="A710" s="313" t="s">
        <v>457</v>
      </c>
      <c r="B710" s="313" t="s">
        <v>4350</v>
      </c>
      <c r="C710" s="313" t="s">
        <v>4356</v>
      </c>
      <c r="D710" s="313" t="s">
        <v>2320</v>
      </c>
      <c r="E710" s="313" t="s">
        <v>3818</v>
      </c>
      <c r="F710" s="314" t="s">
        <v>4357</v>
      </c>
      <c r="G710" s="313">
        <v>200</v>
      </c>
      <c r="H710" s="313">
        <v>700</v>
      </c>
      <c r="I710" s="313">
        <v>2023.03</v>
      </c>
    </row>
    <row r="711" spans="1:9">
      <c r="A711" s="313" t="s">
        <v>457</v>
      </c>
      <c r="B711" s="313" t="s">
        <v>4350</v>
      </c>
      <c r="C711" s="313" t="s">
        <v>4356</v>
      </c>
      <c r="D711" s="313" t="s">
        <v>2320</v>
      </c>
      <c r="E711" s="313" t="s">
        <v>3834</v>
      </c>
      <c r="F711" s="314" t="s">
        <v>4357</v>
      </c>
      <c r="G711" s="313">
        <v>408</v>
      </c>
      <c r="H711" s="313">
        <v>750</v>
      </c>
      <c r="I711" s="313">
        <v>2023.03</v>
      </c>
    </row>
    <row r="712" spans="1:9">
      <c r="A712" s="313" t="s">
        <v>457</v>
      </c>
      <c r="B712" s="313" t="s">
        <v>4350</v>
      </c>
      <c r="C712" s="313" t="s">
        <v>4358</v>
      </c>
      <c r="D712" s="313" t="s">
        <v>4358</v>
      </c>
      <c r="E712" s="313" t="s">
        <v>3848</v>
      </c>
      <c r="F712" s="314" t="s">
        <v>4359</v>
      </c>
      <c r="G712" s="313">
        <v>200</v>
      </c>
      <c r="H712" s="313">
        <v>700</v>
      </c>
      <c r="I712" s="313">
        <v>2023.03</v>
      </c>
    </row>
    <row r="713" spans="1:9">
      <c r="A713" s="313" t="s">
        <v>457</v>
      </c>
      <c r="B713" s="313" t="s">
        <v>4350</v>
      </c>
      <c r="C713" s="313" t="s">
        <v>4360</v>
      </c>
      <c r="D713" s="313" t="s">
        <v>2840</v>
      </c>
      <c r="E713" s="313" t="s">
        <v>3834</v>
      </c>
      <c r="F713" s="314" t="s">
        <v>4361</v>
      </c>
      <c r="G713" s="313">
        <v>417</v>
      </c>
      <c r="H713" s="313">
        <v>1458</v>
      </c>
      <c r="I713" s="313">
        <v>2023.03</v>
      </c>
    </row>
    <row r="714" spans="1:9">
      <c r="A714" s="313" t="s">
        <v>457</v>
      </c>
      <c r="B714" s="313" t="s">
        <v>726</v>
      </c>
      <c r="C714" s="313" t="s">
        <v>4362</v>
      </c>
      <c r="D714" s="313" t="s">
        <v>4362</v>
      </c>
      <c r="E714" s="313" t="s">
        <v>3848</v>
      </c>
      <c r="F714" s="314" t="s">
        <v>4363</v>
      </c>
      <c r="G714" s="313">
        <v>410</v>
      </c>
      <c r="H714" s="313">
        <v>937</v>
      </c>
      <c r="I714" s="313">
        <v>2023.03</v>
      </c>
    </row>
    <row r="715" spans="1:9">
      <c r="A715" s="313" t="s">
        <v>457</v>
      </c>
      <c r="B715" s="313" t="s">
        <v>726</v>
      </c>
      <c r="C715" s="313" t="s">
        <v>4362</v>
      </c>
      <c r="D715" s="313" t="s">
        <v>4362</v>
      </c>
      <c r="E715" s="313" t="s">
        <v>3834</v>
      </c>
      <c r="F715" s="314" t="s">
        <v>4363</v>
      </c>
      <c r="G715" s="313">
        <v>320</v>
      </c>
      <c r="H715" s="313">
        <v>814</v>
      </c>
      <c r="I715" s="313">
        <v>2023.03</v>
      </c>
    </row>
    <row r="716" spans="1:9">
      <c r="A716" s="313" t="s">
        <v>457</v>
      </c>
      <c r="B716" s="313" t="s">
        <v>726</v>
      </c>
      <c r="C716" s="313" t="s">
        <v>4092</v>
      </c>
      <c r="D716" s="313" t="s">
        <v>4092</v>
      </c>
      <c r="E716" s="313" t="s">
        <v>3848</v>
      </c>
      <c r="F716" s="314" t="s">
        <v>4364</v>
      </c>
      <c r="G716" s="313">
        <v>592</v>
      </c>
      <c r="H716" s="313">
        <v>1200</v>
      </c>
      <c r="I716" s="313">
        <v>2023.03</v>
      </c>
    </row>
    <row r="717" spans="1:9">
      <c r="A717" s="313" t="s">
        <v>457</v>
      </c>
      <c r="B717" s="313" t="s">
        <v>726</v>
      </c>
      <c r="C717" s="313" t="s">
        <v>4092</v>
      </c>
      <c r="D717" s="313" t="s">
        <v>4092</v>
      </c>
      <c r="E717" s="313" t="s">
        <v>3834</v>
      </c>
      <c r="F717" s="314" t="s">
        <v>4364</v>
      </c>
      <c r="G717" s="313">
        <v>527</v>
      </c>
      <c r="H717" s="313">
        <v>937</v>
      </c>
      <c r="I717" s="313">
        <v>2023.03</v>
      </c>
    </row>
    <row r="718" spans="1:9">
      <c r="A718" s="313" t="s">
        <v>457</v>
      </c>
      <c r="B718" s="313" t="s">
        <v>726</v>
      </c>
      <c r="C718" s="313" t="s">
        <v>3973</v>
      </c>
      <c r="D718" s="313" t="s">
        <v>3973</v>
      </c>
      <c r="E718" s="313" t="s">
        <v>3818</v>
      </c>
      <c r="F718" s="314" t="s">
        <v>4365</v>
      </c>
      <c r="G718" s="313">
        <v>320</v>
      </c>
      <c r="H718" s="313">
        <v>320</v>
      </c>
      <c r="I718" s="313">
        <v>2023.03</v>
      </c>
    </row>
    <row r="719" spans="1:9">
      <c r="A719" s="313" t="s">
        <v>457</v>
      </c>
      <c r="B719" s="313" t="s">
        <v>726</v>
      </c>
      <c r="C719" s="313" t="s">
        <v>3973</v>
      </c>
      <c r="D719" s="313" t="s">
        <v>3973</v>
      </c>
      <c r="E719" s="313" t="s">
        <v>3834</v>
      </c>
      <c r="F719" s="314" t="s">
        <v>4365</v>
      </c>
      <c r="G719" s="313">
        <v>320</v>
      </c>
      <c r="H719" s="313">
        <v>320</v>
      </c>
      <c r="I719" s="313">
        <v>2023.03</v>
      </c>
    </row>
    <row r="720" spans="1:9">
      <c r="A720" s="313" t="s">
        <v>457</v>
      </c>
      <c r="B720" s="313" t="s">
        <v>726</v>
      </c>
      <c r="C720" s="313" t="s">
        <v>3836</v>
      </c>
      <c r="D720" s="313" t="s">
        <v>3836</v>
      </c>
      <c r="E720" s="313" t="s">
        <v>3878</v>
      </c>
      <c r="F720" s="314" t="s">
        <v>461</v>
      </c>
      <c r="G720" s="313">
        <v>540</v>
      </c>
      <c r="H720" s="313">
        <v>375</v>
      </c>
      <c r="I720" s="313">
        <v>2023.03</v>
      </c>
    </row>
    <row r="721" spans="1:9">
      <c r="A721" s="313" t="s">
        <v>457</v>
      </c>
      <c r="B721" s="313" t="s">
        <v>726</v>
      </c>
      <c r="C721" s="313" t="s">
        <v>3828</v>
      </c>
      <c r="D721" s="313" t="s">
        <v>3828</v>
      </c>
      <c r="E721" s="313" t="s">
        <v>4354</v>
      </c>
      <c r="F721" s="314" t="s">
        <v>4366</v>
      </c>
      <c r="G721" s="313">
        <v>527</v>
      </c>
      <c r="H721" s="313">
        <v>937</v>
      </c>
      <c r="I721" s="313">
        <v>2023.03</v>
      </c>
    </row>
    <row r="722" spans="1:9">
      <c r="A722" s="313" t="s">
        <v>457</v>
      </c>
      <c r="B722" s="313" t="s">
        <v>726</v>
      </c>
      <c r="C722" s="313" t="s">
        <v>3828</v>
      </c>
      <c r="D722" s="313" t="s">
        <v>3828</v>
      </c>
      <c r="E722" s="313" t="s">
        <v>3848</v>
      </c>
      <c r="F722" s="314" t="s">
        <v>4366</v>
      </c>
      <c r="G722" s="313">
        <v>127</v>
      </c>
      <c r="H722" s="313">
        <v>109</v>
      </c>
      <c r="I722" s="313">
        <v>2023.03</v>
      </c>
    </row>
    <row r="723" spans="1:9">
      <c r="A723" s="313" t="s">
        <v>457</v>
      </c>
      <c r="B723" s="313" t="s">
        <v>726</v>
      </c>
      <c r="C723" s="313" t="s">
        <v>3828</v>
      </c>
      <c r="D723" s="313" t="s">
        <v>3828</v>
      </c>
      <c r="E723" s="313" t="s">
        <v>3818</v>
      </c>
      <c r="F723" s="314" t="s">
        <v>4366</v>
      </c>
      <c r="G723" s="313">
        <v>180</v>
      </c>
      <c r="H723" s="313">
        <v>1085</v>
      </c>
      <c r="I723" s="313">
        <v>2023.03</v>
      </c>
    </row>
    <row r="724" spans="1:9">
      <c r="A724" s="313" t="s">
        <v>457</v>
      </c>
      <c r="B724" s="313" t="s">
        <v>726</v>
      </c>
      <c r="C724" s="313" t="s">
        <v>3828</v>
      </c>
      <c r="D724" s="313" t="s">
        <v>3828</v>
      </c>
      <c r="E724" s="313" t="s">
        <v>3834</v>
      </c>
      <c r="F724" s="314" t="s">
        <v>4366</v>
      </c>
      <c r="G724" s="313">
        <v>270</v>
      </c>
      <c r="H724" s="313">
        <v>540</v>
      </c>
      <c r="I724" s="313">
        <v>2023.03</v>
      </c>
    </row>
    <row r="725" spans="1:9">
      <c r="A725" s="313" t="s">
        <v>457</v>
      </c>
      <c r="B725" s="313" t="s">
        <v>726</v>
      </c>
      <c r="C725" s="313" t="s">
        <v>4367</v>
      </c>
      <c r="D725" s="313" t="s">
        <v>4367</v>
      </c>
      <c r="E725" s="313" t="s">
        <v>3834</v>
      </c>
      <c r="F725" s="314" t="s">
        <v>4368</v>
      </c>
      <c r="G725" s="313">
        <v>320</v>
      </c>
      <c r="H725" s="313">
        <v>320</v>
      </c>
      <c r="I725" s="313">
        <v>2023.03</v>
      </c>
    </row>
    <row r="726" spans="1:9">
      <c r="A726" s="313" t="s">
        <v>457</v>
      </c>
      <c r="B726" s="313" t="s">
        <v>726</v>
      </c>
      <c r="C726" s="313" t="s">
        <v>4369</v>
      </c>
      <c r="D726" s="313" t="s">
        <v>4369</v>
      </c>
      <c r="E726" s="313" t="s">
        <v>3848</v>
      </c>
      <c r="F726" s="314" t="s">
        <v>4370</v>
      </c>
      <c r="G726" s="313">
        <v>306</v>
      </c>
      <c r="H726" s="313">
        <v>600</v>
      </c>
      <c r="I726" s="313">
        <v>2023.03</v>
      </c>
    </row>
    <row r="727" spans="1:9">
      <c r="A727" s="313" t="s">
        <v>457</v>
      </c>
      <c r="B727" s="313" t="s">
        <v>726</v>
      </c>
      <c r="C727" s="313" t="s">
        <v>4371</v>
      </c>
      <c r="D727" s="313" t="s">
        <v>4371</v>
      </c>
      <c r="E727" s="313" t="s">
        <v>3848</v>
      </c>
      <c r="F727" s="314" t="s">
        <v>4372</v>
      </c>
      <c r="G727" s="313">
        <v>127</v>
      </c>
      <c r="H727" s="313">
        <v>109</v>
      </c>
      <c r="I727" s="313">
        <v>2023.03</v>
      </c>
    </row>
    <row r="728" spans="1:9">
      <c r="A728" s="313" t="s">
        <v>457</v>
      </c>
      <c r="B728" s="313" t="s">
        <v>726</v>
      </c>
      <c r="C728" s="313" t="s">
        <v>4371</v>
      </c>
      <c r="D728" s="313" t="s">
        <v>4371</v>
      </c>
      <c r="E728" s="313" t="s">
        <v>3818</v>
      </c>
      <c r="F728" s="314" t="s">
        <v>4372</v>
      </c>
      <c r="G728" s="313">
        <v>188</v>
      </c>
      <c r="H728" s="313">
        <v>368</v>
      </c>
      <c r="I728" s="313">
        <v>2023.03</v>
      </c>
    </row>
    <row r="729" spans="1:9">
      <c r="A729" s="313" t="s">
        <v>457</v>
      </c>
      <c r="B729" s="313" t="s">
        <v>726</v>
      </c>
      <c r="C729" s="313" t="s">
        <v>4371</v>
      </c>
      <c r="D729" s="313" t="s">
        <v>4371</v>
      </c>
      <c r="E729" s="313" t="s">
        <v>3834</v>
      </c>
      <c r="F729" s="314" t="s">
        <v>4372</v>
      </c>
      <c r="G729" s="313">
        <v>351</v>
      </c>
      <c r="H729" s="313">
        <v>624</v>
      </c>
      <c r="I729" s="313">
        <v>2023.03</v>
      </c>
    </row>
    <row r="730" spans="1:9">
      <c r="A730" s="313" t="s">
        <v>457</v>
      </c>
      <c r="B730" s="313" t="s">
        <v>726</v>
      </c>
      <c r="C730" s="313" t="s">
        <v>4049</v>
      </c>
      <c r="D730" s="313" t="s">
        <v>4049</v>
      </c>
      <c r="E730" s="313" t="s">
        <v>3848</v>
      </c>
      <c r="F730" s="314" t="s">
        <v>4373</v>
      </c>
      <c r="G730" s="313">
        <v>273</v>
      </c>
      <c r="H730" s="313">
        <v>624</v>
      </c>
      <c r="I730" s="313">
        <v>2023.03</v>
      </c>
    </row>
    <row r="731" spans="1:9">
      <c r="A731" s="313" t="s">
        <v>457</v>
      </c>
      <c r="B731" s="313" t="s">
        <v>726</v>
      </c>
      <c r="C731" s="313" t="s">
        <v>4049</v>
      </c>
      <c r="D731" s="313" t="s">
        <v>4049</v>
      </c>
      <c r="E731" s="313" t="s">
        <v>3834</v>
      </c>
      <c r="F731" s="314" t="s">
        <v>4373</v>
      </c>
      <c r="G731" s="313">
        <v>321</v>
      </c>
      <c r="H731" s="313">
        <v>814</v>
      </c>
      <c r="I731" s="313">
        <v>2023.03</v>
      </c>
    </row>
    <row r="732" spans="1:9">
      <c r="A732" s="313" t="s">
        <v>457</v>
      </c>
      <c r="B732" s="313" t="s">
        <v>726</v>
      </c>
      <c r="C732" s="313" t="s">
        <v>4374</v>
      </c>
      <c r="D732" s="313" t="s">
        <v>4374</v>
      </c>
      <c r="E732" s="313" t="s">
        <v>3834</v>
      </c>
      <c r="F732" s="314" t="s">
        <v>4375</v>
      </c>
      <c r="G732" s="313">
        <v>320</v>
      </c>
      <c r="H732" s="313">
        <v>320</v>
      </c>
      <c r="I732" s="313">
        <v>2023.03</v>
      </c>
    </row>
    <row r="733" spans="1:9">
      <c r="A733" s="313" t="s">
        <v>457</v>
      </c>
      <c r="B733" s="313" t="s">
        <v>726</v>
      </c>
      <c r="C733" s="313" t="s">
        <v>4015</v>
      </c>
      <c r="D733" s="313" t="s">
        <v>4015</v>
      </c>
      <c r="E733" s="313" t="s">
        <v>3834</v>
      </c>
      <c r="F733" s="314" t="s">
        <v>4376</v>
      </c>
      <c r="G733" s="313">
        <v>320</v>
      </c>
      <c r="H733" s="313">
        <v>320</v>
      </c>
      <c r="I733" s="313">
        <v>2023.03</v>
      </c>
    </row>
    <row r="734" spans="1:9">
      <c r="A734" s="313" t="s">
        <v>457</v>
      </c>
      <c r="B734" s="313" t="s">
        <v>726</v>
      </c>
      <c r="C734" s="313" t="s">
        <v>4377</v>
      </c>
      <c r="D734" s="313" t="s">
        <v>4377</v>
      </c>
      <c r="E734" s="313" t="s">
        <v>3848</v>
      </c>
      <c r="F734" s="314" t="s">
        <v>4378</v>
      </c>
      <c r="G734" s="313">
        <v>127</v>
      </c>
      <c r="H734" s="313">
        <v>109</v>
      </c>
      <c r="I734" s="313">
        <v>2023.03</v>
      </c>
    </row>
    <row r="735" spans="1:9">
      <c r="A735" s="313" t="s">
        <v>457</v>
      </c>
      <c r="B735" s="313" t="s">
        <v>726</v>
      </c>
      <c r="C735" s="313" t="s">
        <v>4377</v>
      </c>
      <c r="D735" s="313" t="s">
        <v>4377</v>
      </c>
      <c r="E735" s="313" t="s">
        <v>3818</v>
      </c>
      <c r="F735" s="314" t="s">
        <v>4378</v>
      </c>
      <c r="G735" s="313">
        <v>180</v>
      </c>
      <c r="H735" s="313">
        <v>360</v>
      </c>
      <c r="I735" s="313">
        <v>2023.03</v>
      </c>
    </row>
    <row r="736" spans="1:9">
      <c r="A736" s="313" t="s">
        <v>457</v>
      </c>
      <c r="B736" s="313" t="s">
        <v>726</v>
      </c>
      <c r="C736" s="313" t="s">
        <v>4377</v>
      </c>
      <c r="D736" s="313" t="s">
        <v>4377</v>
      </c>
      <c r="E736" s="313" t="s">
        <v>3834</v>
      </c>
      <c r="F736" s="314" t="s">
        <v>4378</v>
      </c>
      <c r="G736" s="313">
        <v>180</v>
      </c>
      <c r="H736" s="313">
        <v>360</v>
      </c>
      <c r="I736" s="313">
        <v>2023.03</v>
      </c>
    </row>
    <row r="737" spans="1:9">
      <c r="A737" s="313" t="s">
        <v>457</v>
      </c>
      <c r="B737" s="313" t="s">
        <v>726</v>
      </c>
      <c r="C737" s="313" t="s">
        <v>4379</v>
      </c>
      <c r="D737" s="313" t="s">
        <v>4379</v>
      </c>
      <c r="E737" s="313" t="s">
        <v>3848</v>
      </c>
      <c r="F737" s="314" t="s">
        <v>4380</v>
      </c>
      <c r="G737" s="313">
        <v>127</v>
      </c>
      <c r="H737" s="313">
        <v>109</v>
      </c>
      <c r="I737" s="313">
        <v>2023.03</v>
      </c>
    </row>
    <row r="738" spans="1:9">
      <c r="A738" s="313" t="s">
        <v>457</v>
      </c>
      <c r="B738" s="313" t="s">
        <v>726</v>
      </c>
      <c r="C738" s="313" t="s">
        <v>4379</v>
      </c>
      <c r="D738" s="313" t="s">
        <v>4379</v>
      </c>
      <c r="E738" s="313" t="s">
        <v>3818</v>
      </c>
      <c r="F738" s="314" t="s">
        <v>4380</v>
      </c>
      <c r="G738" s="313">
        <v>320</v>
      </c>
      <c r="H738" s="313">
        <v>320</v>
      </c>
      <c r="I738" s="313">
        <v>2023.03</v>
      </c>
    </row>
    <row r="739" spans="1:9">
      <c r="A739" s="313" t="s">
        <v>485</v>
      </c>
      <c r="B739" s="313" t="s">
        <v>4381</v>
      </c>
      <c r="C739" s="313" t="s">
        <v>4043</v>
      </c>
      <c r="D739" s="313" t="s">
        <v>4043</v>
      </c>
      <c r="E739" s="313" t="s">
        <v>3854</v>
      </c>
      <c r="F739" s="314" t="s">
        <v>4382</v>
      </c>
      <c r="G739" s="313">
        <v>50</v>
      </c>
      <c r="H739" s="313">
        <v>150</v>
      </c>
      <c r="I739" s="313">
        <v>2023.03</v>
      </c>
    </row>
    <row r="740" spans="1:9">
      <c r="A740" s="313" t="s">
        <v>485</v>
      </c>
      <c r="B740" s="313" t="s">
        <v>4381</v>
      </c>
      <c r="C740" s="313" t="s">
        <v>4043</v>
      </c>
      <c r="D740" s="313" t="s">
        <v>4043</v>
      </c>
      <c r="E740" s="313" t="s">
        <v>3818</v>
      </c>
      <c r="F740" s="314" t="s">
        <v>4382</v>
      </c>
      <c r="G740" s="313">
        <v>251</v>
      </c>
      <c r="H740" s="313">
        <v>1501</v>
      </c>
      <c r="I740" s="313">
        <v>2023.03</v>
      </c>
    </row>
    <row r="741" spans="1:9">
      <c r="A741" s="313" t="s">
        <v>485</v>
      </c>
      <c r="B741" s="313" t="s">
        <v>4381</v>
      </c>
      <c r="C741" s="313" t="s">
        <v>4006</v>
      </c>
      <c r="D741" s="313" t="s">
        <v>2415</v>
      </c>
      <c r="E741" s="313" t="s">
        <v>3818</v>
      </c>
      <c r="F741" s="314" t="s">
        <v>4383</v>
      </c>
      <c r="G741" s="313">
        <v>251</v>
      </c>
      <c r="H741" s="313">
        <v>1501</v>
      </c>
      <c r="I741" s="313">
        <v>2023.03</v>
      </c>
    </row>
    <row r="742" spans="1:9">
      <c r="A742" s="313" t="s">
        <v>485</v>
      </c>
      <c r="B742" s="313" t="s">
        <v>4381</v>
      </c>
      <c r="C742" s="313" t="s">
        <v>3836</v>
      </c>
      <c r="D742" s="313" t="s">
        <v>3836</v>
      </c>
      <c r="E742" s="313" t="s">
        <v>3854</v>
      </c>
      <c r="F742" s="314" t="s">
        <v>487</v>
      </c>
      <c r="G742" s="313">
        <v>75</v>
      </c>
      <c r="H742" s="313">
        <v>150</v>
      </c>
      <c r="I742" s="313">
        <v>2023.03</v>
      </c>
    </row>
    <row r="743" spans="1:9">
      <c r="A743" s="313" t="s">
        <v>485</v>
      </c>
      <c r="B743" s="313" t="s">
        <v>4381</v>
      </c>
      <c r="C743" s="313" t="s">
        <v>4017</v>
      </c>
      <c r="D743" s="313" t="s">
        <v>4384</v>
      </c>
      <c r="E743" s="313" t="s">
        <v>3818</v>
      </c>
      <c r="F743" s="314" t="s">
        <v>4385</v>
      </c>
      <c r="G743" s="313">
        <v>250</v>
      </c>
      <c r="H743" s="313">
        <v>1500</v>
      </c>
      <c r="I743" s="313">
        <v>2023.03</v>
      </c>
    </row>
    <row r="744" spans="1:9">
      <c r="A744" s="313" t="s">
        <v>485</v>
      </c>
      <c r="B744" s="313" t="s">
        <v>4386</v>
      </c>
      <c r="C744" s="313" t="s">
        <v>4060</v>
      </c>
      <c r="D744" s="313" t="s">
        <v>4387</v>
      </c>
      <c r="E744" s="313" t="s">
        <v>3854</v>
      </c>
      <c r="F744" s="314" t="s">
        <v>4388</v>
      </c>
      <c r="G744" s="313">
        <v>833</v>
      </c>
      <c r="H744" s="313">
        <v>833</v>
      </c>
      <c r="I744" s="313">
        <v>2023.03</v>
      </c>
    </row>
    <row r="745" spans="1:9">
      <c r="A745" s="313" t="s">
        <v>485</v>
      </c>
      <c r="B745" s="313" t="s">
        <v>4386</v>
      </c>
      <c r="C745" s="313" t="s">
        <v>4060</v>
      </c>
      <c r="D745" s="313" t="s">
        <v>4387</v>
      </c>
      <c r="E745" s="313" t="s">
        <v>3820</v>
      </c>
      <c r="F745" s="314" t="s">
        <v>4388</v>
      </c>
      <c r="G745" s="313">
        <v>250</v>
      </c>
      <c r="H745" s="313">
        <v>250</v>
      </c>
      <c r="I745" s="313">
        <v>2023.03</v>
      </c>
    </row>
    <row r="746" spans="1:9">
      <c r="A746" s="313" t="s">
        <v>485</v>
      </c>
      <c r="B746" s="313" t="s">
        <v>4386</v>
      </c>
      <c r="C746" s="313" t="s">
        <v>4060</v>
      </c>
      <c r="D746" s="313" t="s">
        <v>4387</v>
      </c>
      <c r="E746" s="313" t="s">
        <v>3818</v>
      </c>
      <c r="F746" s="314" t="s">
        <v>4388</v>
      </c>
      <c r="G746" s="313">
        <v>241</v>
      </c>
      <c r="H746" s="313">
        <v>320</v>
      </c>
      <c r="I746" s="313">
        <v>2023.03</v>
      </c>
    </row>
    <row r="747" spans="1:9">
      <c r="A747" s="313" t="s">
        <v>485</v>
      </c>
      <c r="B747" s="313" t="s">
        <v>4386</v>
      </c>
      <c r="C747" s="313" t="s">
        <v>3836</v>
      </c>
      <c r="D747" s="313" t="s">
        <v>3836</v>
      </c>
      <c r="E747" s="313" t="s">
        <v>3820</v>
      </c>
      <c r="F747" s="314" t="s">
        <v>489</v>
      </c>
      <c r="G747" s="313">
        <v>138</v>
      </c>
      <c r="H747" s="313">
        <v>138</v>
      </c>
      <c r="I747" s="313">
        <v>2023.03</v>
      </c>
    </row>
    <row r="748" spans="1:9">
      <c r="A748" s="313" t="s">
        <v>485</v>
      </c>
      <c r="B748" s="313" t="s">
        <v>4386</v>
      </c>
      <c r="C748" s="313" t="s">
        <v>3836</v>
      </c>
      <c r="D748" s="313" t="s">
        <v>3836</v>
      </c>
      <c r="E748" s="313" t="s">
        <v>3937</v>
      </c>
      <c r="F748" s="314" t="s">
        <v>489</v>
      </c>
      <c r="G748" s="313">
        <v>164</v>
      </c>
      <c r="H748" s="313">
        <v>648</v>
      </c>
      <c r="I748" s="313">
        <v>2023.03</v>
      </c>
    </row>
    <row r="749" spans="1:9">
      <c r="A749" s="313" t="s">
        <v>498</v>
      </c>
      <c r="B749" s="313" t="s">
        <v>711</v>
      </c>
      <c r="C749" s="313" t="s">
        <v>4389</v>
      </c>
      <c r="D749" s="313" t="s">
        <v>4389</v>
      </c>
      <c r="E749" s="313" t="s">
        <v>3969</v>
      </c>
      <c r="F749" s="314" t="s">
        <v>4390</v>
      </c>
      <c r="G749" s="313">
        <v>250</v>
      </c>
      <c r="H749" s="313">
        <v>1500</v>
      </c>
      <c r="I749" s="313">
        <v>2023.04</v>
      </c>
    </row>
    <row r="750" spans="1:9">
      <c r="A750" s="313" t="s">
        <v>498</v>
      </c>
      <c r="B750" s="313" t="s">
        <v>711</v>
      </c>
      <c r="C750" s="313" t="s">
        <v>4389</v>
      </c>
      <c r="D750" s="313" t="s">
        <v>4389</v>
      </c>
      <c r="E750" s="313" t="s">
        <v>3854</v>
      </c>
      <c r="F750" s="314" t="s">
        <v>4390</v>
      </c>
      <c r="G750" s="313">
        <v>150</v>
      </c>
      <c r="H750" s="313">
        <v>440</v>
      </c>
      <c r="I750" s="313">
        <v>2023.04</v>
      </c>
    </row>
    <row r="751" spans="1:9">
      <c r="A751" s="313" t="s">
        <v>498</v>
      </c>
      <c r="B751" s="313" t="s">
        <v>711</v>
      </c>
      <c r="C751" s="313" t="s">
        <v>4389</v>
      </c>
      <c r="D751" s="313" t="s">
        <v>4389</v>
      </c>
      <c r="E751" s="313" t="s">
        <v>3848</v>
      </c>
      <c r="F751" s="314" t="s">
        <v>4390</v>
      </c>
      <c r="G751" s="313">
        <v>250</v>
      </c>
      <c r="H751" s="313">
        <v>1500</v>
      </c>
      <c r="I751" s="313">
        <v>2023.04</v>
      </c>
    </row>
    <row r="752" spans="1:9">
      <c r="A752" s="313" t="s">
        <v>498</v>
      </c>
      <c r="B752" s="313" t="s">
        <v>711</v>
      </c>
      <c r="C752" s="313" t="s">
        <v>4389</v>
      </c>
      <c r="D752" s="313" t="s">
        <v>4389</v>
      </c>
      <c r="E752" s="313" t="s">
        <v>3937</v>
      </c>
      <c r="F752" s="314" t="s">
        <v>4390</v>
      </c>
      <c r="G752" s="313">
        <v>221</v>
      </c>
      <c r="H752" s="313">
        <v>500</v>
      </c>
      <c r="I752" s="313">
        <v>2023.04</v>
      </c>
    </row>
    <row r="753" spans="1:9">
      <c r="A753" s="313" t="s">
        <v>498</v>
      </c>
      <c r="B753" s="313" t="s">
        <v>711</v>
      </c>
      <c r="C753" s="313" t="s">
        <v>4389</v>
      </c>
      <c r="D753" s="313" t="s">
        <v>4389</v>
      </c>
      <c r="E753" s="313" t="s">
        <v>3818</v>
      </c>
      <c r="F753" s="314" t="s">
        <v>4390</v>
      </c>
      <c r="G753" s="313">
        <v>250</v>
      </c>
      <c r="H753" s="313">
        <v>1500</v>
      </c>
      <c r="I753" s="313">
        <v>2023.04</v>
      </c>
    </row>
    <row r="754" spans="1:9">
      <c r="A754" s="313" t="s">
        <v>498</v>
      </c>
      <c r="B754" s="313" t="s">
        <v>711</v>
      </c>
      <c r="C754" s="313" t="s">
        <v>4391</v>
      </c>
      <c r="D754" s="313" t="s">
        <v>4392</v>
      </c>
      <c r="E754" s="313" t="s">
        <v>3969</v>
      </c>
      <c r="F754" s="314" t="s">
        <v>4393</v>
      </c>
      <c r="G754" s="313">
        <v>250</v>
      </c>
      <c r="H754" s="313">
        <v>1500</v>
      </c>
      <c r="I754" s="313">
        <v>2023.04</v>
      </c>
    </row>
    <row r="755" spans="1:9">
      <c r="A755" s="313" t="s">
        <v>498</v>
      </c>
      <c r="B755" s="313" t="s">
        <v>711</v>
      </c>
      <c r="C755" s="313" t="s">
        <v>4391</v>
      </c>
      <c r="D755" s="313" t="s">
        <v>4392</v>
      </c>
      <c r="E755" s="313" t="s">
        <v>3854</v>
      </c>
      <c r="F755" s="314" t="s">
        <v>4393</v>
      </c>
      <c r="G755" s="313">
        <v>150</v>
      </c>
      <c r="H755" s="313">
        <v>440</v>
      </c>
      <c r="I755" s="313">
        <v>2023.04</v>
      </c>
    </row>
    <row r="756" spans="1:9">
      <c r="A756" s="313" t="s">
        <v>498</v>
      </c>
      <c r="B756" s="313" t="s">
        <v>711</v>
      </c>
      <c r="C756" s="313" t="s">
        <v>4391</v>
      </c>
      <c r="D756" s="313" t="s">
        <v>4392</v>
      </c>
      <c r="E756" s="313" t="s">
        <v>3848</v>
      </c>
      <c r="F756" s="314" t="s">
        <v>4393</v>
      </c>
      <c r="G756" s="313">
        <v>250</v>
      </c>
      <c r="H756" s="313">
        <v>1500</v>
      </c>
      <c r="I756" s="313">
        <v>2023.04</v>
      </c>
    </row>
    <row r="757" spans="1:9">
      <c r="A757" s="313" t="s">
        <v>498</v>
      </c>
      <c r="B757" s="313" t="s">
        <v>711</v>
      </c>
      <c r="C757" s="313" t="s">
        <v>4391</v>
      </c>
      <c r="D757" s="313" t="s">
        <v>4392</v>
      </c>
      <c r="E757" s="313" t="s">
        <v>3878</v>
      </c>
      <c r="F757" s="314" t="s">
        <v>4393</v>
      </c>
      <c r="G757" s="313">
        <v>250</v>
      </c>
      <c r="H757" s="313">
        <v>1500</v>
      </c>
      <c r="I757" s="313">
        <v>2023.04</v>
      </c>
    </row>
    <row r="758" spans="1:9">
      <c r="A758" s="313" t="s">
        <v>498</v>
      </c>
      <c r="B758" s="313" t="s">
        <v>711</v>
      </c>
      <c r="C758" s="313" t="s">
        <v>4391</v>
      </c>
      <c r="D758" s="313" t="s">
        <v>4392</v>
      </c>
      <c r="E758" s="313" t="s">
        <v>3818</v>
      </c>
      <c r="F758" s="314" t="s">
        <v>4393</v>
      </c>
      <c r="G758" s="313">
        <v>522</v>
      </c>
      <c r="H758" s="313">
        <v>3126</v>
      </c>
      <c r="I758" s="313">
        <v>2023.04</v>
      </c>
    </row>
    <row r="759" spans="1:9">
      <c r="A759" s="313" t="s">
        <v>498</v>
      </c>
      <c r="B759" s="313" t="s">
        <v>711</v>
      </c>
      <c r="C759" s="313" t="s">
        <v>3836</v>
      </c>
      <c r="D759" s="313" t="s">
        <v>3836</v>
      </c>
      <c r="E759" s="313" t="s">
        <v>3848</v>
      </c>
      <c r="F759" s="314" t="s">
        <v>499</v>
      </c>
      <c r="G759" s="313">
        <v>247</v>
      </c>
      <c r="H759" s="313">
        <v>970</v>
      </c>
      <c r="I759" s="313">
        <v>2023.04</v>
      </c>
    </row>
    <row r="760" spans="1:9">
      <c r="A760" s="313" t="s">
        <v>498</v>
      </c>
      <c r="B760" s="313" t="s">
        <v>711</v>
      </c>
      <c r="C760" s="313" t="s">
        <v>3836</v>
      </c>
      <c r="D760" s="313" t="s">
        <v>3836</v>
      </c>
      <c r="E760" s="313" t="s">
        <v>3899</v>
      </c>
      <c r="F760" s="314" t="s">
        <v>499</v>
      </c>
      <c r="G760" s="313">
        <v>249</v>
      </c>
      <c r="H760" s="313">
        <v>300</v>
      </c>
      <c r="I760" s="313">
        <v>2023.04</v>
      </c>
    </row>
    <row r="761" spans="1:9">
      <c r="A761" s="313" t="s">
        <v>498</v>
      </c>
      <c r="B761" s="313" t="s">
        <v>711</v>
      </c>
      <c r="C761" s="313" t="s">
        <v>3836</v>
      </c>
      <c r="D761" s="313" t="s">
        <v>3836</v>
      </c>
      <c r="E761" s="313" t="s">
        <v>3900</v>
      </c>
      <c r="F761" s="314" t="s">
        <v>499</v>
      </c>
      <c r="G761" s="313">
        <v>250</v>
      </c>
      <c r="H761" s="313">
        <v>300</v>
      </c>
      <c r="I761" s="313">
        <v>2023.04</v>
      </c>
    </row>
    <row r="762" spans="1:9">
      <c r="A762" s="313" t="s">
        <v>498</v>
      </c>
      <c r="B762" s="313" t="s">
        <v>711</v>
      </c>
      <c r="C762" s="313" t="s">
        <v>3836</v>
      </c>
      <c r="D762" s="313" t="s">
        <v>3836</v>
      </c>
      <c r="E762" s="313" t="s">
        <v>3834</v>
      </c>
      <c r="F762" s="314" t="s">
        <v>499</v>
      </c>
      <c r="G762" s="313">
        <v>1200</v>
      </c>
      <c r="H762" s="313">
        <v>3000</v>
      </c>
      <c r="I762" s="313">
        <v>2023.04</v>
      </c>
    </row>
    <row r="763" spans="1:9">
      <c r="A763" s="313" t="s">
        <v>201</v>
      </c>
      <c r="B763" s="313" t="s">
        <v>711</v>
      </c>
      <c r="C763" s="313" t="s">
        <v>4394</v>
      </c>
      <c r="D763" s="313" t="s">
        <v>4394</v>
      </c>
      <c r="E763" s="313" t="s">
        <v>3820</v>
      </c>
      <c r="F763" s="314" t="s">
        <v>4395</v>
      </c>
      <c r="G763" s="313">
        <v>240</v>
      </c>
      <c r="H763" s="313">
        <v>240</v>
      </c>
      <c r="I763" s="313">
        <v>2023.04</v>
      </c>
    </row>
    <row r="764" spans="1:9">
      <c r="A764" s="313" t="s">
        <v>201</v>
      </c>
      <c r="B764" s="313" t="s">
        <v>711</v>
      </c>
      <c r="C764" s="313" t="s">
        <v>4394</v>
      </c>
      <c r="D764" s="313" t="s">
        <v>4394</v>
      </c>
      <c r="E764" s="313" t="s">
        <v>3818</v>
      </c>
      <c r="F764" s="314" t="s">
        <v>4395</v>
      </c>
      <c r="G764" s="313">
        <v>300</v>
      </c>
      <c r="H764" s="313">
        <v>1500</v>
      </c>
      <c r="I764" s="313">
        <v>2023.04</v>
      </c>
    </row>
    <row r="765" spans="1:9">
      <c r="A765" s="313" t="s">
        <v>201</v>
      </c>
      <c r="B765" s="313" t="s">
        <v>711</v>
      </c>
      <c r="C765" s="313" t="s">
        <v>3836</v>
      </c>
      <c r="D765" s="313" t="s">
        <v>3836</v>
      </c>
      <c r="E765" s="313" t="s">
        <v>3900</v>
      </c>
      <c r="F765" s="314" t="s">
        <v>197</v>
      </c>
      <c r="G765" s="313">
        <v>500</v>
      </c>
      <c r="H765" s="313">
        <v>1940</v>
      </c>
      <c r="I765" s="313">
        <v>2023.04</v>
      </c>
    </row>
    <row r="766" spans="1:9">
      <c r="A766" s="313" t="s">
        <v>201</v>
      </c>
      <c r="B766" s="313" t="s">
        <v>711</v>
      </c>
      <c r="C766" s="313" t="s">
        <v>3836</v>
      </c>
      <c r="D766" s="313" t="s">
        <v>3836</v>
      </c>
      <c r="E766" s="313" t="s">
        <v>3834</v>
      </c>
      <c r="F766" s="314" t="s">
        <v>197</v>
      </c>
      <c r="G766" s="313">
        <v>1200</v>
      </c>
      <c r="H766" s="313">
        <v>3000</v>
      </c>
      <c r="I766" s="313">
        <v>2023.04</v>
      </c>
    </row>
    <row r="767" spans="1:9">
      <c r="A767" s="313" t="s">
        <v>201</v>
      </c>
      <c r="B767" s="313" t="s">
        <v>711</v>
      </c>
      <c r="C767" s="313" t="s">
        <v>3828</v>
      </c>
      <c r="D767" s="313" t="s">
        <v>3828</v>
      </c>
      <c r="E767" s="313" t="s">
        <v>3854</v>
      </c>
      <c r="F767" s="314" t="s">
        <v>4396</v>
      </c>
      <c r="G767" s="313">
        <v>43</v>
      </c>
      <c r="H767" s="313">
        <v>130</v>
      </c>
      <c r="I767" s="313">
        <v>2023.04</v>
      </c>
    </row>
    <row r="768" spans="1:9">
      <c r="A768" s="313" t="s">
        <v>201</v>
      </c>
      <c r="B768" s="313" t="s">
        <v>711</v>
      </c>
      <c r="C768" s="313" t="s">
        <v>3975</v>
      </c>
      <c r="D768" s="313" t="s">
        <v>3975</v>
      </c>
      <c r="E768" s="313" t="s">
        <v>3818</v>
      </c>
      <c r="F768" s="314" t="s">
        <v>4397</v>
      </c>
      <c r="G768" s="313">
        <v>300</v>
      </c>
      <c r="H768" s="313">
        <v>1500</v>
      </c>
      <c r="I768" s="313">
        <v>2023.04</v>
      </c>
    </row>
    <row r="769" spans="1:9">
      <c r="A769" s="313" t="s">
        <v>201</v>
      </c>
      <c r="B769" s="313" t="s">
        <v>4398</v>
      </c>
      <c r="C769" s="313" t="s">
        <v>4039</v>
      </c>
      <c r="D769" s="313" t="s">
        <v>4039</v>
      </c>
      <c r="E769" s="313" t="s">
        <v>3834</v>
      </c>
      <c r="F769" s="314"/>
      <c r="G769" s="313">
        <v>200</v>
      </c>
      <c r="H769" s="313">
        <v>940</v>
      </c>
      <c r="I769" s="313">
        <v>2023.04</v>
      </c>
    </row>
    <row r="770" spans="1:9">
      <c r="A770" s="313" t="s">
        <v>201</v>
      </c>
      <c r="B770" s="313" t="s">
        <v>4398</v>
      </c>
      <c r="C770" s="313" t="s">
        <v>4060</v>
      </c>
      <c r="D770" s="313" t="s">
        <v>2415</v>
      </c>
      <c r="E770" s="313" t="s">
        <v>4089</v>
      </c>
      <c r="F770" s="314" t="s">
        <v>1216</v>
      </c>
      <c r="G770" s="313">
        <v>116</v>
      </c>
      <c r="H770" s="313">
        <v>940</v>
      </c>
      <c r="I770" s="313">
        <v>2023.04</v>
      </c>
    </row>
    <row r="771" spans="1:9">
      <c r="A771" s="313" t="s">
        <v>201</v>
      </c>
      <c r="B771" s="313" t="s">
        <v>4398</v>
      </c>
      <c r="C771" s="313" t="s">
        <v>4060</v>
      </c>
      <c r="D771" s="313" t="s">
        <v>2415</v>
      </c>
      <c r="E771" s="313" t="s">
        <v>3820</v>
      </c>
      <c r="F771" s="314" t="s">
        <v>1216</v>
      </c>
      <c r="G771" s="313">
        <v>240</v>
      </c>
      <c r="H771" s="313">
        <v>240</v>
      </c>
      <c r="I771" s="313">
        <v>2023.04</v>
      </c>
    </row>
    <row r="772" spans="1:9">
      <c r="A772" s="313" t="s">
        <v>201</v>
      </c>
      <c r="B772" s="313" t="s">
        <v>4398</v>
      </c>
      <c r="C772" s="313" t="s">
        <v>4060</v>
      </c>
      <c r="D772" s="313" t="s">
        <v>2415</v>
      </c>
      <c r="E772" s="313" t="s">
        <v>3818</v>
      </c>
      <c r="F772" s="314" t="s">
        <v>1216</v>
      </c>
      <c r="G772" s="313">
        <v>200</v>
      </c>
      <c r="H772" s="313">
        <v>940</v>
      </c>
      <c r="I772" s="313">
        <v>2023.04</v>
      </c>
    </row>
    <row r="773" spans="1:9">
      <c r="A773" s="313" t="s">
        <v>201</v>
      </c>
      <c r="B773" s="313" t="s">
        <v>4398</v>
      </c>
      <c r="C773" s="313" t="s">
        <v>4043</v>
      </c>
      <c r="D773" s="313" t="s">
        <v>4043</v>
      </c>
      <c r="E773" s="313" t="s">
        <v>4089</v>
      </c>
      <c r="F773" s="314" t="s">
        <v>1223</v>
      </c>
      <c r="G773" s="313">
        <v>116</v>
      </c>
      <c r="H773" s="313">
        <v>940</v>
      </c>
      <c r="I773" s="313">
        <v>2023.04</v>
      </c>
    </row>
    <row r="774" spans="1:9">
      <c r="A774" s="313" t="s">
        <v>201</v>
      </c>
      <c r="B774" s="313" t="s">
        <v>4398</v>
      </c>
      <c r="C774" s="313" t="s">
        <v>4043</v>
      </c>
      <c r="D774" s="313" t="s">
        <v>4043</v>
      </c>
      <c r="E774" s="313" t="s">
        <v>3818</v>
      </c>
      <c r="F774" s="314" t="s">
        <v>1223</v>
      </c>
      <c r="G774" s="313">
        <v>200</v>
      </c>
      <c r="H774" s="313">
        <v>940</v>
      </c>
      <c r="I774" s="313">
        <v>2023.04</v>
      </c>
    </row>
    <row r="775" spans="1:9">
      <c r="A775" s="313" t="s">
        <v>201</v>
      </c>
      <c r="B775" s="313" t="s">
        <v>4398</v>
      </c>
      <c r="C775" s="313" t="s">
        <v>4045</v>
      </c>
      <c r="D775" s="313" t="s">
        <v>4045</v>
      </c>
      <c r="E775" s="313" t="s">
        <v>4089</v>
      </c>
      <c r="F775" s="314" t="s">
        <v>1224</v>
      </c>
      <c r="G775" s="313">
        <v>116</v>
      </c>
      <c r="H775" s="313">
        <v>940</v>
      </c>
      <c r="I775" s="313">
        <v>2023.04</v>
      </c>
    </row>
    <row r="776" spans="1:9">
      <c r="A776" s="313" t="s">
        <v>201</v>
      </c>
      <c r="B776" s="313" t="s">
        <v>4398</v>
      </c>
      <c r="C776" s="313" t="s">
        <v>4045</v>
      </c>
      <c r="D776" s="313" t="s">
        <v>4045</v>
      </c>
      <c r="E776" s="313" t="s">
        <v>3818</v>
      </c>
      <c r="F776" s="314" t="s">
        <v>1224</v>
      </c>
      <c r="G776" s="313">
        <v>200</v>
      </c>
      <c r="H776" s="313">
        <v>940</v>
      </c>
      <c r="I776" s="313">
        <v>2023.04</v>
      </c>
    </row>
    <row r="777" spans="1:9">
      <c r="A777" s="313" t="s">
        <v>201</v>
      </c>
      <c r="B777" s="313" t="s">
        <v>4398</v>
      </c>
      <c r="C777" s="313" t="s">
        <v>3836</v>
      </c>
      <c r="D777" s="313" t="s">
        <v>3836</v>
      </c>
      <c r="E777" s="313" t="s">
        <v>3854</v>
      </c>
      <c r="F777" s="314" t="s">
        <v>203</v>
      </c>
      <c r="G777" s="313">
        <v>60</v>
      </c>
      <c r="H777" s="313">
        <v>58</v>
      </c>
      <c r="I777" s="313">
        <v>2023.04</v>
      </c>
    </row>
    <row r="778" spans="1:9">
      <c r="A778" s="313" t="s">
        <v>201</v>
      </c>
      <c r="B778" s="313" t="s">
        <v>4398</v>
      </c>
      <c r="C778" s="313" t="s">
        <v>3836</v>
      </c>
      <c r="D778" s="313" t="s">
        <v>3836</v>
      </c>
      <c r="E778" s="313" t="s">
        <v>3878</v>
      </c>
      <c r="F778" s="314" t="s">
        <v>203</v>
      </c>
      <c r="G778" s="313">
        <v>248</v>
      </c>
      <c r="H778" s="313">
        <v>310</v>
      </c>
      <c r="I778" s="313">
        <v>2023.04</v>
      </c>
    </row>
    <row r="779" spans="1:9">
      <c r="A779" s="313" t="s">
        <v>201</v>
      </c>
      <c r="B779" s="313" t="s">
        <v>4398</v>
      </c>
      <c r="C779" s="313" t="s">
        <v>3836</v>
      </c>
      <c r="D779" s="313" t="s">
        <v>3836</v>
      </c>
      <c r="E779" s="313" t="s">
        <v>3834</v>
      </c>
      <c r="F779" s="314" t="s">
        <v>203</v>
      </c>
      <c r="G779" s="313">
        <v>993</v>
      </c>
      <c r="H779" s="313">
        <v>3840</v>
      </c>
      <c r="I779" s="313">
        <v>2023.04</v>
      </c>
    </row>
    <row r="780" spans="1:9">
      <c r="A780" s="313" t="s">
        <v>201</v>
      </c>
      <c r="B780" s="313" t="s">
        <v>4398</v>
      </c>
      <c r="C780" s="313" t="s">
        <v>4399</v>
      </c>
      <c r="D780" s="313" t="s">
        <v>4399</v>
      </c>
      <c r="E780" s="313" t="s">
        <v>4089</v>
      </c>
      <c r="F780" s="314" t="s">
        <v>4400</v>
      </c>
      <c r="G780" s="313">
        <v>116</v>
      </c>
      <c r="H780" s="313">
        <v>940</v>
      </c>
      <c r="I780" s="313">
        <v>2023.04</v>
      </c>
    </row>
    <row r="781" spans="1:9">
      <c r="A781" s="313" t="s">
        <v>201</v>
      </c>
      <c r="B781" s="313" t="s">
        <v>4398</v>
      </c>
      <c r="C781" s="313" t="s">
        <v>4399</v>
      </c>
      <c r="D781" s="313" t="s">
        <v>4399</v>
      </c>
      <c r="E781" s="313" t="s">
        <v>3854</v>
      </c>
      <c r="F781" s="314" t="s">
        <v>4400</v>
      </c>
      <c r="G781" s="313">
        <v>60</v>
      </c>
      <c r="H781" s="313">
        <v>172</v>
      </c>
      <c r="I781" s="313">
        <v>2023.04</v>
      </c>
    </row>
    <row r="782" spans="1:9">
      <c r="A782" s="313" t="s">
        <v>201</v>
      </c>
      <c r="B782" s="313" t="s">
        <v>4398</v>
      </c>
      <c r="C782" s="313" t="s">
        <v>4399</v>
      </c>
      <c r="D782" s="313" t="s">
        <v>4399</v>
      </c>
      <c r="E782" s="313" t="s">
        <v>3820</v>
      </c>
      <c r="F782" s="314" t="s">
        <v>4400</v>
      </c>
      <c r="G782" s="313">
        <v>160</v>
      </c>
      <c r="H782" s="313">
        <v>285</v>
      </c>
      <c r="I782" s="313">
        <v>2023.04</v>
      </c>
    </row>
    <row r="783" spans="1:9">
      <c r="A783" s="313" t="s">
        <v>201</v>
      </c>
      <c r="B783" s="313" t="s">
        <v>4398</v>
      </c>
      <c r="C783" s="313" t="s">
        <v>4399</v>
      </c>
      <c r="D783" s="313" t="s">
        <v>4399</v>
      </c>
      <c r="E783" s="313" t="s">
        <v>3937</v>
      </c>
      <c r="F783" s="314" t="s">
        <v>4400</v>
      </c>
      <c r="G783" s="313">
        <v>84</v>
      </c>
      <c r="H783" s="313">
        <v>131</v>
      </c>
      <c r="I783" s="313">
        <v>2023.04</v>
      </c>
    </row>
    <row r="784" spans="1:9">
      <c r="A784" s="313" t="s">
        <v>201</v>
      </c>
      <c r="B784" s="313" t="s">
        <v>4398</v>
      </c>
      <c r="C784" s="313" t="s">
        <v>4399</v>
      </c>
      <c r="D784" s="313" t="s">
        <v>4399</v>
      </c>
      <c r="E784" s="313" t="s">
        <v>3834</v>
      </c>
      <c r="F784" s="314" t="s">
        <v>4400</v>
      </c>
      <c r="G784" s="313">
        <v>320</v>
      </c>
      <c r="H784" s="313">
        <v>1920</v>
      </c>
      <c r="I784" s="313">
        <v>2023.04</v>
      </c>
    </row>
    <row r="785" spans="1:9">
      <c r="A785" s="313" t="s">
        <v>201</v>
      </c>
      <c r="B785" s="313" t="s">
        <v>4398</v>
      </c>
      <c r="C785" s="313" t="s">
        <v>4401</v>
      </c>
      <c r="D785" s="313" t="s">
        <v>4401</v>
      </c>
      <c r="E785" s="313" t="s">
        <v>4089</v>
      </c>
      <c r="F785" s="314" t="s">
        <v>4402</v>
      </c>
      <c r="G785" s="313">
        <v>116</v>
      </c>
      <c r="H785" s="313">
        <v>940</v>
      </c>
      <c r="I785" s="313">
        <v>2023.04</v>
      </c>
    </row>
    <row r="786" spans="1:9">
      <c r="A786" s="313" t="s">
        <v>201</v>
      </c>
      <c r="B786" s="313" t="s">
        <v>4398</v>
      </c>
      <c r="C786" s="313" t="s">
        <v>4401</v>
      </c>
      <c r="D786" s="313" t="s">
        <v>4401</v>
      </c>
      <c r="E786" s="313" t="s">
        <v>3854</v>
      </c>
      <c r="F786" s="314" t="s">
        <v>4402</v>
      </c>
      <c r="G786" s="313">
        <v>60</v>
      </c>
      <c r="H786" s="313">
        <v>175</v>
      </c>
      <c r="I786" s="313">
        <v>2023.04</v>
      </c>
    </row>
    <row r="787" spans="1:9">
      <c r="A787" s="313" t="s">
        <v>201</v>
      </c>
      <c r="B787" s="313" t="s">
        <v>4398</v>
      </c>
      <c r="C787" s="313" t="s">
        <v>4401</v>
      </c>
      <c r="D787" s="313" t="s">
        <v>4401</v>
      </c>
      <c r="E787" s="313" t="s">
        <v>3820</v>
      </c>
      <c r="F787" s="314" t="s">
        <v>4402</v>
      </c>
      <c r="G787" s="313">
        <v>350</v>
      </c>
      <c r="H787" s="313">
        <v>622</v>
      </c>
      <c r="I787" s="313">
        <v>2023.04</v>
      </c>
    </row>
    <row r="788" spans="1:9">
      <c r="A788" s="313" t="s">
        <v>201</v>
      </c>
      <c r="B788" s="313" t="s">
        <v>4398</v>
      </c>
      <c r="C788" s="313" t="s">
        <v>4401</v>
      </c>
      <c r="D788" s="313" t="s">
        <v>4401</v>
      </c>
      <c r="E788" s="313" t="s">
        <v>3937</v>
      </c>
      <c r="F788" s="314" t="s">
        <v>4402</v>
      </c>
      <c r="G788" s="313">
        <v>84</v>
      </c>
      <c r="H788" s="313">
        <v>131</v>
      </c>
      <c r="I788" s="313">
        <v>2023.04</v>
      </c>
    </row>
    <row r="789" spans="1:9">
      <c r="A789" s="313" t="s">
        <v>201</v>
      </c>
      <c r="B789" s="313" t="s">
        <v>4398</v>
      </c>
      <c r="C789" s="313" t="s">
        <v>4401</v>
      </c>
      <c r="D789" s="313" t="s">
        <v>4401</v>
      </c>
      <c r="E789" s="313" t="s">
        <v>3818</v>
      </c>
      <c r="F789" s="314" t="s">
        <v>4402</v>
      </c>
      <c r="G789" s="313">
        <v>443</v>
      </c>
      <c r="H789" s="313">
        <v>1920</v>
      </c>
      <c r="I789" s="313">
        <v>2023.04</v>
      </c>
    </row>
    <row r="790" spans="1:9">
      <c r="A790" s="313" t="s">
        <v>201</v>
      </c>
      <c r="B790" s="313" t="s">
        <v>4398</v>
      </c>
      <c r="C790" s="313" t="s">
        <v>4401</v>
      </c>
      <c r="D790" s="313" t="s">
        <v>4401</v>
      </c>
      <c r="E790" s="313" t="s">
        <v>3834</v>
      </c>
      <c r="F790" s="314" t="s">
        <v>4402</v>
      </c>
      <c r="G790" s="313">
        <v>443</v>
      </c>
      <c r="H790" s="313">
        <v>1920</v>
      </c>
      <c r="I790" s="313">
        <v>2023.04</v>
      </c>
    </row>
    <row r="791" spans="1:9">
      <c r="A791" s="313" t="s">
        <v>201</v>
      </c>
      <c r="B791" s="313" t="s">
        <v>4398</v>
      </c>
      <c r="C791" s="313" t="s">
        <v>4403</v>
      </c>
      <c r="D791" s="313" t="s">
        <v>4039</v>
      </c>
      <c r="E791" s="313" t="s">
        <v>4089</v>
      </c>
      <c r="F791" s="314" t="s">
        <v>1218</v>
      </c>
      <c r="G791" s="313">
        <v>116</v>
      </c>
      <c r="H791" s="313">
        <v>940</v>
      </c>
      <c r="I791" s="313">
        <v>2023.04</v>
      </c>
    </row>
    <row r="792" spans="1:9">
      <c r="A792" s="313" t="s">
        <v>201</v>
      </c>
      <c r="B792" s="313" t="s">
        <v>4398</v>
      </c>
      <c r="C792" s="313" t="s">
        <v>4403</v>
      </c>
      <c r="D792" s="313" t="s">
        <v>4039</v>
      </c>
      <c r="E792" s="313" t="s">
        <v>4089</v>
      </c>
      <c r="F792" s="314"/>
      <c r="G792" s="313">
        <v>116</v>
      </c>
      <c r="H792" s="313">
        <v>940</v>
      </c>
      <c r="I792" s="313">
        <v>2023.04</v>
      </c>
    </row>
    <row r="793" spans="1:9">
      <c r="A793" s="313" t="s">
        <v>201</v>
      </c>
      <c r="B793" s="313" t="s">
        <v>4398</v>
      </c>
      <c r="C793" s="313" t="s">
        <v>4403</v>
      </c>
      <c r="D793" s="313" t="s">
        <v>4039</v>
      </c>
      <c r="E793" s="313" t="s">
        <v>3818</v>
      </c>
      <c r="F793" s="314" t="s">
        <v>1218</v>
      </c>
      <c r="G793" s="313">
        <v>200</v>
      </c>
      <c r="H793" s="313">
        <v>940</v>
      </c>
      <c r="I793" s="313">
        <v>2023.04</v>
      </c>
    </row>
    <row r="794" spans="1:9">
      <c r="A794" s="313" t="s">
        <v>201</v>
      </c>
      <c r="B794" s="313" t="s">
        <v>4398</v>
      </c>
      <c r="C794" s="313" t="s">
        <v>4403</v>
      </c>
      <c r="D794" s="313" t="s">
        <v>4039</v>
      </c>
      <c r="E794" s="313" t="s">
        <v>3818</v>
      </c>
      <c r="F794" s="314"/>
      <c r="G794" s="313">
        <v>200</v>
      </c>
      <c r="H794" s="313">
        <v>940</v>
      </c>
      <c r="I794" s="313">
        <v>2023.04</v>
      </c>
    </row>
    <row r="795" spans="1:9">
      <c r="A795" s="313" t="s">
        <v>201</v>
      </c>
      <c r="B795" s="313" t="s">
        <v>4398</v>
      </c>
      <c r="C795" s="313" t="s">
        <v>4404</v>
      </c>
      <c r="D795" s="313" t="s">
        <v>4404</v>
      </c>
      <c r="E795" s="313" t="s">
        <v>4089</v>
      </c>
      <c r="F795" s="314" t="s">
        <v>4405</v>
      </c>
      <c r="G795" s="313">
        <v>116</v>
      </c>
      <c r="H795" s="313">
        <v>940</v>
      </c>
      <c r="I795" s="313">
        <v>2023.04</v>
      </c>
    </row>
    <row r="796" spans="1:9">
      <c r="A796" s="313" t="s">
        <v>201</v>
      </c>
      <c r="B796" s="313" t="s">
        <v>4398</v>
      </c>
      <c r="C796" s="313" t="s">
        <v>4404</v>
      </c>
      <c r="D796" s="313" t="s">
        <v>4404</v>
      </c>
      <c r="E796" s="313" t="s">
        <v>3854</v>
      </c>
      <c r="F796" s="314" t="s">
        <v>4405</v>
      </c>
      <c r="G796" s="313">
        <v>60</v>
      </c>
      <c r="H796" s="313">
        <v>123</v>
      </c>
      <c r="I796" s="313">
        <v>2023.04</v>
      </c>
    </row>
    <row r="797" spans="1:9">
      <c r="A797" s="313" t="s">
        <v>201</v>
      </c>
      <c r="B797" s="313" t="s">
        <v>4398</v>
      </c>
      <c r="C797" s="313" t="s">
        <v>4404</v>
      </c>
      <c r="D797" s="313" t="s">
        <v>4404</v>
      </c>
      <c r="E797" s="313" t="s">
        <v>3820</v>
      </c>
      <c r="F797" s="314" t="s">
        <v>4405</v>
      </c>
      <c r="G797" s="313">
        <v>350</v>
      </c>
      <c r="H797" s="313">
        <v>622</v>
      </c>
      <c r="I797" s="313">
        <v>2023.04</v>
      </c>
    </row>
    <row r="798" spans="1:9">
      <c r="A798" s="313" t="s">
        <v>201</v>
      </c>
      <c r="B798" s="313" t="s">
        <v>4398</v>
      </c>
      <c r="C798" s="313" t="s">
        <v>4404</v>
      </c>
      <c r="D798" s="313" t="s">
        <v>4404</v>
      </c>
      <c r="E798" s="313" t="s">
        <v>3937</v>
      </c>
      <c r="F798" s="314" t="s">
        <v>4405</v>
      </c>
      <c r="G798" s="313">
        <v>84</v>
      </c>
      <c r="H798" s="313">
        <v>131</v>
      </c>
      <c r="I798" s="313">
        <v>2023.04</v>
      </c>
    </row>
    <row r="799" spans="1:9">
      <c r="A799" s="313" t="s">
        <v>201</v>
      </c>
      <c r="B799" s="313" t="s">
        <v>4398</v>
      </c>
      <c r="C799" s="313" t="s">
        <v>4404</v>
      </c>
      <c r="D799" s="313" t="s">
        <v>4404</v>
      </c>
      <c r="E799" s="313" t="s">
        <v>3818</v>
      </c>
      <c r="F799" s="314" t="s">
        <v>4405</v>
      </c>
      <c r="G799" s="313">
        <v>320</v>
      </c>
      <c r="H799" s="313">
        <v>1920</v>
      </c>
      <c r="I799" s="313">
        <v>2023.04</v>
      </c>
    </row>
    <row r="800" spans="1:9">
      <c r="A800" s="313" t="s">
        <v>201</v>
      </c>
      <c r="B800" s="313" t="s">
        <v>4398</v>
      </c>
      <c r="C800" s="313" t="s">
        <v>4404</v>
      </c>
      <c r="D800" s="313" t="s">
        <v>4404</v>
      </c>
      <c r="E800" s="313" t="s">
        <v>3834</v>
      </c>
      <c r="F800" s="314" t="s">
        <v>4405</v>
      </c>
      <c r="G800" s="313">
        <v>320</v>
      </c>
      <c r="H800" s="313">
        <v>1920</v>
      </c>
      <c r="I800" s="313">
        <v>2023.04</v>
      </c>
    </row>
    <row r="801" spans="1:9">
      <c r="A801" s="313" t="s">
        <v>201</v>
      </c>
      <c r="B801" s="313" t="s">
        <v>4398</v>
      </c>
      <c r="C801" s="313" t="s">
        <v>4406</v>
      </c>
      <c r="D801" s="313" t="s">
        <v>4407</v>
      </c>
      <c r="E801" s="313" t="s">
        <v>4089</v>
      </c>
      <c r="F801" s="314" t="s">
        <v>1222</v>
      </c>
      <c r="G801" s="313">
        <v>116</v>
      </c>
      <c r="H801" s="313">
        <v>940</v>
      </c>
      <c r="I801" s="313">
        <v>2023.04</v>
      </c>
    </row>
    <row r="802" spans="1:9">
      <c r="A802" s="313" t="s">
        <v>201</v>
      </c>
      <c r="B802" s="313" t="s">
        <v>4398</v>
      </c>
      <c r="C802" s="313" t="s">
        <v>4406</v>
      </c>
      <c r="D802" s="313" t="s">
        <v>4407</v>
      </c>
      <c r="E802" s="313" t="s">
        <v>3818</v>
      </c>
      <c r="F802" s="314" t="s">
        <v>1222</v>
      </c>
      <c r="G802" s="313">
        <v>200</v>
      </c>
      <c r="H802" s="313">
        <v>940</v>
      </c>
      <c r="I802" s="313">
        <v>2023.04</v>
      </c>
    </row>
    <row r="803" spans="1:9">
      <c r="A803" s="313" t="s">
        <v>201</v>
      </c>
      <c r="B803" s="313" t="s">
        <v>4398</v>
      </c>
      <c r="C803" s="313" t="s">
        <v>4408</v>
      </c>
      <c r="D803" s="313" t="s">
        <v>2421</v>
      </c>
      <c r="E803" s="313" t="s">
        <v>4089</v>
      </c>
      <c r="F803" s="314" t="s">
        <v>1217</v>
      </c>
      <c r="G803" s="313">
        <v>116</v>
      </c>
      <c r="H803" s="313">
        <v>940</v>
      </c>
      <c r="I803" s="313">
        <v>2023.04</v>
      </c>
    </row>
    <row r="804" spans="1:9">
      <c r="A804" s="313" t="s">
        <v>201</v>
      </c>
      <c r="B804" s="313" t="s">
        <v>4398</v>
      </c>
      <c r="C804" s="313" t="s">
        <v>4408</v>
      </c>
      <c r="D804" s="313" t="s">
        <v>2421</v>
      </c>
      <c r="E804" s="313" t="s">
        <v>3818</v>
      </c>
      <c r="F804" s="314" t="s">
        <v>1217</v>
      </c>
      <c r="G804" s="313">
        <v>200</v>
      </c>
      <c r="H804" s="313">
        <v>940</v>
      </c>
      <c r="I804" s="313">
        <v>2023.04</v>
      </c>
    </row>
    <row r="805" spans="1:9">
      <c r="A805" s="313" t="s">
        <v>201</v>
      </c>
      <c r="B805" s="313" t="s">
        <v>4409</v>
      </c>
      <c r="C805" s="313" t="s">
        <v>4410</v>
      </c>
      <c r="D805" s="313" t="s">
        <v>4410</v>
      </c>
      <c r="E805" s="313" t="s">
        <v>3854</v>
      </c>
      <c r="F805" s="314" t="s">
        <v>4411</v>
      </c>
      <c r="G805" s="313">
        <v>600</v>
      </c>
      <c r="H805" s="313">
        <v>600</v>
      </c>
      <c r="I805" s="313">
        <v>2023.04</v>
      </c>
    </row>
    <row r="806" spans="1:9">
      <c r="A806" s="313" t="s">
        <v>201</v>
      </c>
      <c r="B806" s="313" t="s">
        <v>4409</v>
      </c>
      <c r="C806" s="313" t="s">
        <v>4410</v>
      </c>
      <c r="D806" s="313" t="s">
        <v>4410</v>
      </c>
      <c r="E806" s="313" t="s">
        <v>3820</v>
      </c>
      <c r="F806" s="314" t="s">
        <v>4411</v>
      </c>
      <c r="G806" s="313">
        <v>542</v>
      </c>
      <c r="H806" s="313">
        <v>542</v>
      </c>
      <c r="I806" s="313">
        <v>2023.04</v>
      </c>
    </row>
    <row r="807" spans="1:9">
      <c r="A807" s="313" t="s">
        <v>201</v>
      </c>
      <c r="B807" s="313" t="s">
        <v>4409</v>
      </c>
      <c r="C807" s="313" t="s">
        <v>4410</v>
      </c>
      <c r="D807" s="313" t="s">
        <v>4410</v>
      </c>
      <c r="E807" s="313" t="s">
        <v>3908</v>
      </c>
      <c r="F807" s="314" t="s">
        <v>4411</v>
      </c>
      <c r="G807" s="313">
        <v>4400</v>
      </c>
      <c r="H807" s="313">
        <v>1200</v>
      </c>
      <c r="I807" s="313">
        <v>2023.04</v>
      </c>
    </row>
    <row r="808" spans="1:9">
      <c r="A808" s="313" t="s">
        <v>201</v>
      </c>
      <c r="B808" s="313" t="s">
        <v>4409</v>
      </c>
      <c r="C808" s="313" t="s">
        <v>4410</v>
      </c>
      <c r="D808" s="313" t="s">
        <v>4410</v>
      </c>
      <c r="E808" s="313" t="s">
        <v>3848</v>
      </c>
      <c r="F808" s="314" t="s">
        <v>4411</v>
      </c>
      <c r="G808" s="313">
        <v>240</v>
      </c>
      <c r="H808" s="313">
        <v>2208</v>
      </c>
      <c r="I808" s="313">
        <v>2023.04</v>
      </c>
    </row>
    <row r="809" spans="1:9">
      <c r="A809" s="313" t="s">
        <v>201</v>
      </c>
      <c r="B809" s="313" t="s">
        <v>4409</v>
      </c>
      <c r="C809" s="313" t="s">
        <v>4410</v>
      </c>
      <c r="D809" s="313" t="s">
        <v>4410</v>
      </c>
      <c r="E809" s="313" t="s">
        <v>3899</v>
      </c>
      <c r="F809" s="314" t="s">
        <v>4411</v>
      </c>
      <c r="G809" s="313">
        <v>4400</v>
      </c>
      <c r="H809" s="313">
        <v>1200</v>
      </c>
      <c r="I809" s="313">
        <v>2023.04</v>
      </c>
    </row>
    <row r="810" spans="1:9">
      <c r="A810" s="313" t="s">
        <v>201</v>
      </c>
      <c r="B810" s="313" t="s">
        <v>4409</v>
      </c>
      <c r="C810" s="313" t="s">
        <v>4410</v>
      </c>
      <c r="D810" s="313" t="s">
        <v>4410</v>
      </c>
      <c r="E810" s="313" t="s">
        <v>3834</v>
      </c>
      <c r="F810" s="314" t="s">
        <v>4411</v>
      </c>
      <c r="G810" s="313">
        <v>800</v>
      </c>
      <c r="H810" s="313">
        <v>4648</v>
      </c>
      <c r="I810" s="313">
        <v>2023.04</v>
      </c>
    </row>
    <row r="811" spans="1:9">
      <c r="A811" s="313" t="s">
        <v>201</v>
      </c>
      <c r="B811" s="313" t="s">
        <v>4409</v>
      </c>
      <c r="C811" s="313" t="s">
        <v>4039</v>
      </c>
      <c r="D811" s="313" t="s">
        <v>4039</v>
      </c>
      <c r="E811" s="313" t="s">
        <v>3908</v>
      </c>
      <c r="F811" s="314" t="s">
        <v>1294</v>
      </c>
      <c r="G811" s="313">
        <v>8800</v>
      </c>
      <c r="H811" s="313">
        <v>2400</v>
      </c>
      <c r="I811" s="313">
        <v>2023.04</v>
      </c>
    </row>
    <row r="812" spans="1:9">
      <c r="A812" s="313" t="s">
        <v>201</v>
      </c>
      <c r="B812" s="313" t="s">
        <v>4409</v>
      </c>
      <c r="C812" s="313" t="s">
        <v>4039</v>
      </c>
      <c r="D812" s="313" t="s">
        <v>4039</v>
      </c>
      <c r="E812" s="313" t="s">
        <v>3848</v>
      </c>
      <c r="F812" s="314" t="s">
        <v>1294</v>
      </c>
      <c r="G812" s="313">
        <v>90</v>
      </c>
      <c r="H812" s="313">
        <v>728</v>
      </c>
      <c r="I812" s="313">
        <v>2023.04</v>
      </c>
    </row>
    <row r="813" spans="1:9">
      <c r="A813" s="313" t="s">
        <v>201</v>
      </c>
      <c r="B813" s="313" t="s">
        <v>4409</v>
      </c>
      <c r="C813" s="313" t="s">
        <v>4039</v>
      </c>
      <c r="D813" s="313" t="s">
        <v>4039</v>
      </c>
      <c r="E813" s="313" t="s">
        <v>3899</v>
      </c>
      <c r="F813" s="314" t="s">
        <v>1294</v>
      </c>
      <c r="G813" s="313">
        <v>8800</v>
      </c>
      <c r="H813" s="313">
        <v>2400</v>
      </c>
      <c r="I813" s="313">
        <v>2023.04</v>
      </c>
    </row>
    <row r="814" spans="1:9">
      <c r="A814" s="313" t="s">
        <v>201</v>
      </c>
      <c r="B814" s="313" t="s">
        <v>4409</v>
      </c>
      <c r="C814" s="313" t="s">
        <v>4039</v>
      </c>
      <c r="D814" s="313" t="s">
        <v>4039</v>
      </c>
      <c r="E814" s="313" t="s">
        <v>3834</v>
      </c>
      <c r="F814" s="314" t="s">
        <v>1294</v>
      </c>
      <c r="G814" s="313">
        <v>800</v>
      </c>
      <c r="H814" s="313">
        <v>4648</v>
      </c>
      <c r="I814" s="313">
        <v>2023.04</v>
      </c>
    </row>
    <row r="815" spans="1:9">
      <c r="A815" s="313" t="s">
        <v>201</v>
      </c>
      <c r="B815" s="313" t="s">
        <v>4409</v>
      </c>
      <c r="C815" s="313" t="s">
        <v>4039</v>
      </c>
      <c r="D815" s="313" t="s">
        <v>4039</v>
      </c>
      <c r="E815" s="313" t="s">
        <v>3834</v>
      </c>
      <c r="F815" s="314"/>
      <c r="G815" s="313"/>
      <c r="H815" s="313"/>
      <c r="I815" s="313">
        <v>2023.04</v>
      </c>
    </row>
    <row r="816" spans="1:9">
      <c r="A816" s="313" t="s">
        <v>201</v>
      </c>
      <c r="B816" s="313" t="s">
        <v>4409</v>
      </c>
      <c r="C816" s="313" t="s">
        <v>3836</v>
      </c>
      <c r="D816" s="313" t="s">
        <v>3836</v>
      </c>
      <c r="E816" s="313" t="s">
        <v>3908</v>
      </c>
      <c r="F816" s="314" t="s">
        <v>207</v>
      </c>
      <c r="G816" s="313">
        <v>4400</v>
      </c>
      <c r="H816" s="313">
        <v>1200</v>
      </c>
      <c r="I816" s="313">
        <v>2023.04</v>
      </c>
    </row>
    <row r="817" spans="1:9">
      <c r="A817" s="313" t="s">
        <v>201</v>
      </c>
      <c r="B817" s="313" t="s">
        <v>4409</v>
      </c>
      <c r="C817" s="313" t="s">
        <v>3836</v>
      </c>
      <c r="D817" s="313" t="s">
        <v>3836</v>
      </c>
      <c r="E817" s="313" t="s">
        <v>3848</v>
      </c>
      <c r="F817" s="314" t="s">
        <v>207</v>
      </c>
      <c r="G817" s="313">
        <v>120</v>
      </c>
      <c r="H817" s="313">
        <v>1104</v>
      </c>
      <c r="I817" s="313">
        <v>2023.04</v>
      </c>
    </row>
    <row r="818" spans="1:9">
      <c r="A818" s="313" t="s">
        <v>201</v>
      </c>
      <c r="B818" s="313" t="s">
        <v>4409</v>
      </c>
      <c r="C818" s="313" t="s">
        <v>3836</v>
      </c>
      <c r="D818" s="313" t="s">
        <v>3836</v>
      </c>
      <c r="E818" s="313" t="s">
        <v>3899</v>
      </c>
      <c r="F818" s="314" t="s">
        <v>207</v>
      </c>
      <c r="G818" s="313">
        <v>2200</v>
      </c>
      <c r="H818" s="313">
        <v>600</v>
      </c>
      <c r="I818" s="313">
        <v>2023.04</v>
      </c>
    </row>
    <row r="819" spans="1:9">
      <c r="A819" s="313" t="s">
        <v>201</v>
      </c>
      <c r="B819" s="313" t="s">
        <v>4409</v>
      </c>
      <c r="C819" s="313" t="s">
        <v>3836</v>
      </c>
      <c r="D819" s="313" t="s">
        <v>3836</v>
      </c>
      <c r="E819" s="313" t="s">
        <v>3834</v>
      </c>
      <c r="F819" s="314" t="s">
        <v>207</v>
      </c>
      <c r="G819" s="313">
        <v>0</v>
      </c>
      <c r="H819" s="313">
        <v>0</v>
      </c>
      <c r="I819" s="313">
        <v>2023.04</v>
      </c>
    </row>
    <row r="820" spans="1:9">
      <c r="A820" s="313" t="s">
        <v>311</v>
      </c>
      <c r="B820" s="313" t="s">
        <v>4412</v>
      </c>
      <c r="C820" s="313" t="s">
        <v>3866</v>
      </c>
      <c r="D820" s="313" t="s">
        <v>4413</v>
      </c>
      <c r="E820" s="313" t="s">
        <v>3908</v>
      </c>
      <c r="F820" s="314" t="s">
        <v>4414</v>
      </c>
      <c r="G820" s="313">
        <v>600</v>
      </c>
      <c r="H820" s="313">
        <v>160</v>
      </c>
      <c r="I820" s="313">
        <v>2023.04</v>
      </c>
    </row>
    <row r="821" spans="1:9">
      <c r="A821" s="313" t="s">
        <v>311</v>
      </c>
      <c r="B821" s="313" t="s">
        <v>4412</v>
      </c>
      <c r="C821" s="313" t="s">
        <v>3866</v>
      </c>
      <c r="D821" s="313" t="s">
        <v>4413</v>
      </c>
      <c r="E821" s="313" t="s">
        <v>3818</v>
      </c>
      <c r="F821" s="314" t="s">
        <v>4414</v>
      </c>
      <c r="G821" s="313">
        <v>90</v>
      </c>
      <c r="H821" s="313">
        <v>970</v>
      </c>
      <c r="I821" s="313">
        <v>2023.04</v>
      </c>
    </row>
    <row r="822" spans="1:9">
      <c r="A822" s="313" t="s">
        <v>311</v>
      </c>
      <c r="B822" s="313" t="s">
        <v>4412</v>
      </c>
      <c r="C822" s="313" t="s">
        <v>3866</v>
      </c>
      <c r="D822" s="313" t="s">
        <v>4413</v>
      </c>
      <c r="E822" s="313" t="s">
        <v>3834</v>
      </c>
      <c r="F822" s="314" t="s">
        <v>4414</v>
      </c>
      <c r="G822" s="313">
        <v>315</v>
      </c>
      <c r="H822" s="313">
        <v>1240</v>
      </c>
      <c r="I822" s="313">
        <v>2023.04</v>
      </c>
    </row>
    <row r="823" spans="1:9">
      <c r="A823" s="313" t="s">
        <v>311</v>
      </c>
      <c r="B823" s="313" t="s">
        <v>4412</v>
      </c>
      <c r="C823" s="313" t="s">
        <v>3866</v>
      </c>
      <c r="D823" s="313" t="s">
        <v>4415</v>
      </c>
      <c r="E823" s="313" t="s">
        <v>3908</v>
      </c>
      <c r="F823" s="314" t="s">
        <v>4416</v>
      </c>
      <c r="G823" s="313">
        <v>600</v>
      </c>
      <c r="H823" s="313">
        <v>160</v>
      </c>
      <c r="I823" s="313">
        <v>2023.04</v>
      </c>
    </row>
    <row r="824" spans="1:9">
      <c r="A824" s="313" t="s">
        <v>311</v>
      </c>
      <c r="B824" s="313" t="s">
        <v>4412</v>
      </c>
      <c r="C824" s="313" t="s">
        <v>3866</v>
      </c>
      <c r="D824" s="313" t="s">
        <v>4415</v>
      </c>
      <c r="E824" s="313" t="s">
        <v>3818</v>
      </c>
      <c r="F824" s="314" t="s">
        <v>4416</v>
      </c>
      <c r="G824" s="313">
        <v>90</v>
      </c>
      <c r="H824" s="313">
        <v>970</v>
      </c>
      <c r="I824" s="313">
        <v>2023.04</v>
      </c>
    </row>
    <row r="825" spans="1:9">
      <c r="A825" s="313" t="s">
        <v>311</v>
      </c>
      <c r="B825" s="313" t="s">
        <v>4412</v>
      </c>
      <c r="C825" s="313" t="s">
        <v>4417</v>
      </c>
      <c r="D825" s="313" t="s">
        <v>4417</v>
      </c>
      <c r="E825" s="313" t="s">
        <v>3908</v>
      </c>
      <c r="F825" s="314" t="s">
        <v>4418</v>
      </c>
      <c r="G825" s="313">
        <v>600</v>
      </c>
      <c r="H825" s="313">
        <v>160</v>
      </c>
      <c r="I825" s="313">
        <v>2023.04</v>
      </c>
    </row>
    <row r="826" spans="1:9">
      <c r="A826" s="313" t="s">
        <v>311</v>
      </c>
      <c r="B826" s="313" t="s">
        <v>4412</v>
      </c>
      <c r="C826" s="313" t="s">
        <v>4417</v>
      </c>
      <c r="D826" s="313" t="s">
        <v>4417</v>
      </c>
      <c r="E826" s="313" t="s">
        <v>3818</v>
      </c>
      <c r="F826" s="314" t="s">
        <v>4418</v>
      </c>
      <c r="G826" s="313">
        <v>90</v>
      </c>
      <c r="H826" s="313">
        <v>970</v>
      </c>
      <c r="I826" s="313">
        <v>2023.04</v>
      </c>
    </row>
    <row r="827" spans="1:9">
      <c r="A827" s="313" t="s">
        <v>311</v>
      </c>
      <c r="B827" s="313" t="s">
        <v>4412</v>
      </c>
      <c r="C827" s="313" t="s">
        <v>4417</v>
      </c>
      <c r="D827" s="313" t="s">
        <v>4417</v>
      </c>
      <c r="E827" s="313" t="s">
        <v>3834</v>
      </c>
      <c r="F827" s="314" t="s">
        <v>4418</v>
      </c>
      <c r="G827" s="313">
        <v>315</v>
      </c>
      <c r="H827" s="313">
        <v>1240</v>
      </c>
      <c r="I827" s="313">
        <v>2023.04</v>
      </c>
    </row>
    <row r="828" spans="1:9">
      <c r="A828" s="313" t="s">
        <v>311</v>
      </c>
      <c r="B828" s="313" t="s">
        <v>4412</v>
      </c>
      <c r="C828" s="313" t="s">
        <v>3836</v>
      </c>
      <c r="D828" s="313" t="s">
        <v>3836</v>
      </c>
      <c r="E828" s="313" t="s">
        <v>3820</v>
      </c>
      <c r="F828" s="314" t="s">
        <v>4419</v>
      </c>
      <c r="G828" s="313">
        <v>94</v>
      </c>
      <c r="H828" s="313">
        <v>95</v>
      </c>
      <c r="I828" s="313">
        <v>2023.04</v>
      </c>
    </row>
    <row r="829" spans="1:9">
      <c r="A829" s="313" t="s">
        <v>311</v>
      </c>
      <c r="B829" s="313" t="s">
        <v>4412</v>
      </c>
      <c r="C829" s="313" t="s">
        <v>3836</v>
      </c>
      <c r="D829" s="313" t="s">
        <v>3836</v>
      </c>
      <c r="E829" s="313" t="s">
        <v>3848</v>
      </c>
      <c r="F829" s="314" t="s">
        <v>4419</v>
      </c>
      <c r="G829" s="313">
        <v>250</v>
      </c>
      <c r="H829" s="313">
        <v>970</v>
      </c>
      <c r="I829" s="313">
        <v>2023.04</v>
      </c>
    </row>
    <row r="830" spans="1:9">
      <c r="A830" s="313" t="s">
        <v>311</v>
      </c>
      <c r="B830" s="313" t="s">
        <v>4412</v>
      </c>
      <c r="C830" s="313" t="s">
        <v>3836</v>
      </c>
      <c r="D830" s="313" t="s">
        <v>3836</v>
      </c>
      <c r="E830" s="313" t="s">
        <v>3849</v>
      </c>
      <c r="F830" s="314" t="s">
        <v>4419</v>
      </c>
      <c r="G830" s="313">
        <v>295</v>
      </c>
      <c r="H830" s="313">
        <v>295</v>
      </c>
      <c r="I830" s="313">
        <v>2023.04</v>
      </c>
    </row>
    <row r="831" spans="1:9">
      <c r="A831" s="313" t="s">
        <v>311</v>
      </c>
      <c r="B831" s="313" t="s">
        <v>4412</v>
      </c>
      <c r="C831" s="313" t="s">
        <v>3836</v>
      </c>
      <c r="D831" s="313" t="s">
        <v>3836</v>
      </c>
      <c r="E831" s="313" t="s">
        <v>3878</v>
      </c>
      <c r="F831" s="314" t="s">
        <v>4419</v>
      </c>
      <c r="G831" s="313">
        <v>310</v>
      </c>
      <c r="H831" s="313">
        <v>198</v>
      </c>
      <c r="I831" s="313">
        <v>2023.04</v>
      </c>
    </row>
    <row r="832" spans="1:9">
      <c r="A832" s="313" t="s">
        <v>311</v>
      </c>
      <c r="B832" s="313" t="s">
        <v>4412</v>
      </c>
      <c r="C832" s="313" t="s">
        <v>3836</v>
      </c>
      <c r="D832" s="313" t="s">
        <v>3836</v>
      </c>
      <c r="E832" s="313" t="s">
        <v>3937</v>
      </c>
      <c r="F832" s="314" t="s">
        <v>4419</v>
      </c>
      <c r="G832" s="313">
        <v>295</v>
      </c>
      <c r="H832" s="313">
        <v>295</v>
      </c>
      <c r="I832" s="313">
        <v>2023.04</v>
      </c>
    </row>
    <row r="833" spans="1:9">
      <c r="A833" s="313" t="s">
        <v>311</v>
      </c>
      <c r="B833" s="313" t="s">
        <v>4412</v>
      </c>
      <c r="C833" s="313" t="s">
        <v>3836</v>
      </c>
      <c r="D833" s="313" t="s">
        <v>3836</v>
      </c>
      <c r="E833" s="313" t="s">
        <v>3834</v>
      </c>
      <c r="F833" s="314" t="s">
        <v>4419</v>
      </c>
      <c r="G833" s="313">
        <v>284</v>
      </c>
      <c r="H833" s="313">
        <v>1366</v>
      </c>
      <c r="I833" s="313">
        <v>2023.04</v>
      </c>
    </row>
    <row r="834" spans="1:9">
      <c r="A834" s="313" t="s">
        <v>311</v>
      </c>
      <c r="B834" s="313" t="s">
        <v>4412</v>
      </c>
      <c r="C834" s="313" t="s">
        <v>4420</v>
      </c>
      <c r="D834" s="313" t="s">
        <v>4420</v>
      </c>
      <c r="E834" s="313" t="s">
        <v>3908</v>
      </c>
      <c r="F834" s="314" t="s">
        <v>4421</v>
      </c>
      <c r="G834" s="313">
        <v>600</v>
      </c>
      <c r="H834" s="313">
        <v>160</v>
      </c>
      <c r="I834" s="313">
        <v>2023.04</v>
      </c>
    </row>
    <row r="835" spans="1:9">
      <c r="A835" s="313" t="s">
        <v>311</v>
      </c>
      <c r="B835" s="313" t="s">
        <v>4412</v>
      </c>
      <c r="C835" s="313" t="s">
        <v>4420</v>
      </c>
      <c r="D835" s="313" t="s">
        <v>4420</v>
      </c>
      <c r="E835" s="313" t="s">
        <v>3818</v>
      </c>
      <c r="F835" s="314" t="s">
        <v>4421</v>
      </c>
      <c r="G835" s="313">
        <v>90</v>
      </c>
      <c r="H835" s="313">
        <v>970</v>
      </c>
      <c r="I835" s="313">
        <v>2023.04</v>
      </c>
    </row>
    <row r="836" spans="1:9">
      <c r="A836" s="313" t="s">
        <v>311</v>
      </c>
      <c r="B836" s="313" t="s">
        <v>4412</v>
      </c>
      <c r="C836" s="313" t="s">
        <v>4422</v>
      </c>
      <c r="D836" s="313" t="s">
        <v>4422</v>
      </c>
      <c r="E836" s="313" t="s">
        <v>3908</v>
      </c>
      <c r="F836" s="314" t="s">
        <v>4423</v>
      </c>
      <c r="G836" s="313">
        <v>600</v>
      </c>
      <c r="H836" s="313">
        <v>160</v>
      </c>
      <c r="I836" s="313">
        <v>2023.04</v>
      </c>
    </row>
    <row r="837" spans="1:9">
      <c r="A837" s="313" t="s">
        <v>311</v>
      </c>
      <c r="B837" s="313" t="s">
        <v>4412</v>
      </c>
      <c r="C837" s="313" t="s">
        <v>4422</v>
      </c>
      <c r="D837" s="313" t="s">
        <v>4422</v>
      </c>
      <c r="E837" s="313" t="s">
        <v>3818</v>
      </c>
      <c r="F837" s="314" t="s">
        <v>4423</v>
      </c>
      <c r="G837" s="313">
        <v>90</v>
      </c>
      <c r="H837" s="313">
        <v>970</v>
      </c>
      <c r="I837" s="313">
        <v>2023.04</v>
      </c>
    </row>
    <row r="838" spans="1:9">
      <c r="A838" s="313" t="s">
        <v>311</v>
      </c>
      <c r="B838" s="313" t="s">
        <v>4412</v>
      </c>
      <c r="C838" s="313" t="s">
        <v>3163</v>
      </c>
      <c r="D838" s="313" t="s">
        <v>3163</v>
      </c>
      <c r="E838" s="313" t="s">
        <v>3908</v>
      </c>
      <c r="F838" s="314" t="s">
        <v>4424</v>
      </c>
      <c r="G838" s="313">
        <v>600</v>
      </c>
      <c r="H838" s="313">
        <v>160</v>
      </c>
      <c r="I838" s="313">
        <v>2023.04</v>
      </c>
    </row>
    <row r="839" spans="1:9">
      <c r="A839" s="313" t="s">
        <v>311</v>
      </c>
      <c r="B839" s="313" t="s">
        <v>4412</v>
      </c>
      <c r="C839" s="313" t="s">
        <v>3163</v>
      </c>
      <c r="D839" s="313" t="s">
        <v>3163</v>
      </c>
      <c r="E839" s="313" t="s">
        <v>3818</v>
      </c>
      <c r="F839" s="314" t="s">
        <v>4424</v>
      </c>
      <c r="G839" s="313">
        <v>90</v>
      </c>
      <c r="H839" s="313">
        <v>970</v>
      </c>
      <c r="I839" s="313">
        <v>2023.04</v>
      </c>
    </row>
    <row r="840" spans="1:9">
      <c r="A840" s="313" t="s">
        <v>311</v>
      </c>
      <c r="B840" s="313" t="s">
        <v>4412</v>
      </c>
      <c r="C840" s="313" t="s">
        <v>4073</v>
      </c>
      <c r="D840" s="313" t="s">
        <v>4073</v>
      </c>
      <c r="E840" s="313" t="s">
        <v>3908</v>
      </c>
      <c r="F840" s="314" t="s">
        <v>4425</v>
      </c>
      <c r="G840" s="313">
        <v>600</v>
      </c>
      <c r="H840" s="313">
        <v>160</v>
      </c>
      <c r="I840" s="313">
        <v>2023.04</v>
      </c>
    </row>
    <row r="841" spans="1:9">
      <c r="A841" s="313" t="s">
        <v>311</v>
      </c>
      <c r="B841" s="313" t="s">
        <v>4412</v>
      </c>
      <c r="C841" s="313" t="s">
        <v>4073</v>
      </c>
      <c r="D841" s="313" t="s">
        <v>4073</v>
      </c>
      <c r="E841" s="313" t="s">
        <v>3818</v>
      </c>
      <c r="F841" s="314" t="s">
        <v>4425</v>
      </c>
      <c r="G841" s="313">
        <v>90</v>
      </c>
      <c r="H841" s="313">
        <v>970</v>
      </c>
      <c r="I841" s="313">
        <v>2023.04</v>
      </c>
    </row>
    <row r="842" spans="1:9">
      <c r="A842" s="313" t="s">
        <v>311</v>
      </c>
      <c r="B842" s="313" t="s">
        <v>4412</v>
      </c>
      <c r="C842" s="313" t="s">
        <v>4426</v>
      </c>
      <c r="D842" s="313" t="s">
        <v>4426</v>
      </c>
      <c r="E842" s="313" t="s">
        <v>3908</v>
      </c>
      <c r="F842" s="314" t="s">
        <v>4427</v>
      </c>
      <c r="G842" s="313">
        <v>600</v>
      </c>
      <c r="H842" s="313">
        <v>160</v>
      </c>
      <c r="I842" s="313">
        <v>2023.04</v>
      </c>
    </row>
    <row r="843" spans="1:9">
      <c r="A843" s="313" t="s">
        <v>311</v>
      </c>
      <c r="B843" s="313" t="s">
        <v>4412</v>
      </c>
      <c r="C843" s="313" t="s">
        <v>4426</v>
      </c>
      <c r="D843" s="313" t="s">
        <v>4426</v>
      </c>
      <c r="E843" s="313" t="s">
        <v>3818</v>
      </c>
      <c r="F843" s="314" t="s">
        <v>4427</v>
      </c>
      <c r="G843" s="313">
        <v>90</v>
      </c>
      <c r="H843" s="313">
        <v>970</v>
      </c>
      <c r="I843" s="313">
        <v>2023.04</v>
      </c>
    </row>
    <row r="844" spans="1:9">
      <c r="A844" s="313" t="s">
        <v>311</v>
      </c>
      <c r="B844" s="313" t="s">
        <v>4412</v>
      </c>
      <c r="C844" s="313" t="s">
        <v>4426</v>
      </c>
      <c r="D844" s="313" t="s">
        <v>4426</v>
      </c>
      <c r="E844" s="313" t="s">
        <v>3834</v>
      </c>
      <c r="F844" s="314" t="s">
        <v>4427</v>
      </c>
      <c r="G844" s="313">
        <v>315</v>
      </c>
      <c r="H844" s="313">
        <v>1240</v>
      </c>
      <c r="I844" s="313">
        <v>2023.04</v>
      </c>
    </row>
    <row r="845" spans="1:9">
      <c r="A845" s="313" t="s">
        <v>345</v>
      </c>
      <c r="B845" s="313" t="s">
        <v>711</v>
      </c>
      <c r="C845" s="313" t="s">
        <v>4428</v>
      </c>
      <c r="D845" s="313" t="s">
        <v>4428</v>
      </c>
      <c r="E845" s="313" t="s">
        <v>4089</v>
      </c>
      <c r="F845" s="314" t="s">
        <v>4429</v>
      </c>
      <c r="G845" s="313">
        <v>500</v>
      </c>
      <c r="H845" s="313">
        <v>500</v>
      </c>
      <c r="I845" s="313">
        <v>2023.04</v>
      </c>
    </row>
    <row r="846" spans="1:9">
      <c r="A846" s="313" t="s">
        <v>345</v>
      </c>
      <c r="B846" s="313" t="s">
        <v>711</v>
      </c>
      <c r="C846" s="313" t="s">
        <v>4428</v>
      </c>
      <c r="D846" s="313" t="s">
        <v>4428</v>
      </c>
      <c r="E846" s="313" t="s">
        <v>3820</v>
      </c>
      <c r="F846" s="314" t="s">
        <v>4429</v>
      </c>
      <c r="G846" s="313">
        <v>240</v>
      </c>
      <c r="H846" s="313">
        <v>240</v>
      </c>
      <c r="I846" s="313">
        <v>2023.04</v>
      </c>
    </row>
    <row r="847" spans="1:9">
      <c r="A847" s="313" t="s">
        <v>345</v>
      </c>
      <c r="B847" s="313" t="s">
        <v>711</v>
      </c>
      <c r="C847" s="313" t="s">
        <v>4430</v>
      </c>
      <c r="D847" s="313" t="s">
        <v>4430</v>
      </c>
      <c r="E847" s="313" t="s">
        <v>3820</v>
      </c>
      <c r="F847" s="314" t="s">
        <v>4431</v>
      </c>
      <c r="G847" s="313">
        <v>385</v>
      </c>
      <c r="H847" s="313">
        <v>291</v>
      </c>
      <c r="I847" s="313">
        <v>2023.04</v>
      </c>
    </row>
    <row r="848" spans="1:9">
      <c r="A848" s="313" t="s">
        <v>345</v>
      </c>
      <c r="B848" s="313" t="s">
        <v>711</v>
      </c>
      <c r="C848" s="313" t="s">
        <v>4432</v>
      </c>
      <c r="D848" s="313" t="s">
        <v>4433</v>
      </c>
      <c r="E848" s="313" t="s">
        <v>3818</v>
      </c>
      <c r="F848" s="314" t="s">
        <v>4434</v>
      </c>
      <c r="G848" s="313">
        <v>300</v>
      </c>
      <c r="H848" s="313">
        <v>1500</v>
      </c>
      <c r="I848" s="313">
        <v>2023.04</v>
      </c>
    </row>
    <row r="849" spans="1:9">
      <c r="A849" s="313" t="s">
        <v>345</v>
      </c>
      <c r="B849" s="313" t="s">
        <v>711</v>
      </c>
      <c r="C849" s="313" t="s">
        <v>4435</v>
      </c>
      <c r="D849" s="313" t="s">
        <v>4435</v>
      </c>
      <c r="E849" s="313" t="s">
        <v>3900</v>
      </c>
      <c r="F849" s="314" t="s">
        <v>4436</v>
      </c>
      <c r="G849" s="313">
        <v>250</v>
      </c>
      <c r="H849" s="313">
        <v>970</v>
      </c>
      <c r="I849" s="313">
        <v>2023.04</v>
      </c>
    </row>
    <row r="850" spans="1:9">
      <c r="A850" s="313" t="s">
        <v>345</v>
      </c>
      <c r="B850" s="313" t="s">
        <v>711</v>
      </c>
      <c r="C850" s="313" t="s">
        <v>4435</v>
      </c>
      <c r="D850" s="313" t="s">
        <v>4435</v>
      </c>
      <c r="E850" s="313" t="s">
        <v>3834</v>
      </c>
      <c r="F850" s="314" t="s">
        <v>4436</v>
      </c>
      <c r="G850" s="313">
        <v>1200</v>
      </c>
      <c r="H850" s="313">
        <v>3000</v>
      </c>
      <c r="I850" s="313">
        <v>2023.04</v>
      </c>
    </row>
    <row r="851" spans="1:9">
      <c r="A851" s="313" t="s">
        <v>345</v>
      </c>
      <c r="B851" s="313" t="s">
        <v>711</v>
      </c>
      <c r="C851" s="313" t="s">
        <v>4437</v>
      </c>
      <c r="D851" s="313" t="s">
        <v>4437</v>
      </c>
      <c r="E851" s="313" t="s">
        <v>3820</v>
      </c>
      <c r="F851" s="314" t="s">
        <v>4438</v>
      </c>
      <c r="G851" s="313">
        <v>240</v>
      </c>
      <c r="H851" s="313">
        <v>240</v>
      </c>
      <c r="I851" s="313">
        <v>2023.04</v>
      </c>
    </row>
    <row r="852" spans="1:9">
      <c r="A852" s="313" t="s">
        <v>345</v>
      </c>
      <c r="B852" s="313" t="s">
        <v>711</v>
      </c>
      <c r="C852" s="313" t="s">
        <v>4437</v>
      </c>
      <c r="D852" s="313" t="s">
        <v>4437</v>
      </c>
      <c r="E852" s="313" t="s">
        <v>3820</v>
      </c>
      <c r="F852" s="314" t="s">
        <v>4439</v>
      </c>
      <c r="G852" s="313">
        <v>240</v>
      </c>
      <c r="H852" s="313">
        <v>240</v>
      </c>
      <c r="I852" s="313">
        <v>2023.04</v>
      </c>
    </row>
    <row r="853" spans="1:9">
      <c r="A853" s="313" t="s">
        <v>345</v>
      </c>
      <c r="B853" s="313" t="s">
        <v>711</v>
      </c>
      <c r="C853" s="313" t="s">
        <v>4437</v>
      </c>
      <c r="D853" s="313" t="s">
        <v>4437</v>
      </c>
      <c r="E853" s="313" t="s">
        <v>3818</v>
      </c>
      <c r="F853" s="314" t="s">
        <v>4439</v>
      </c>
      <c r="G853" s="313">
        <v>200</v>
      </c>
      <c r="H853" s="313">
        <v>1500</v>
      </c>
      <c r="I853" s="313">
        <v>2023.04</v>
      </c>
    </row>
    <row r="854" spans="1:9">
      <c r="A854" s="313" t="s">
        <v>345</v>
      </c>
      <c r="B854" s="313" t="s">
        <v>711</v>
      </c>
      <c r="C854" s="313" t="s">
        <v>4437</v>
      </c>
      <c r="D854" s="313" t="s">
        <v>4437</v>
      </c>
      <c r="E854" s="313" t="s">
        <v>3818</v>
      </c>
      <c r="F854" s="314" t="s">
        <v>4438</v>
      </c>
      <c r="G854" s="313">
        <v>180</v>
      </c>
      <c r="H854" s="313">
        <v>750</v>
      </c>
      <c r="I854" s="313">
        <v>2023.04</v>
      </c>
    </row>
    <row r="855" spans="1:9">
      <c r="A855" s="313" t="s">
        <v>345</v>
      </c>
      <c r="B855" s="313" t="s">
        <v>4440</v>
      </c>
      <c r="C855" s="313" t="s">
        <v>4060</v>
      </c>
      <c r="D855" s="313" t="s">
        <v>4060</v>
      </c>
      <c r="E855" s="313" t="s">
        <v>3848</v>
      </c>
      <c r="F855" s="314" t="s">
        <v>4441</v>
      </c>
      <c r="G855" s="313">
        <v>200</v>
      </c>
      <c r="H855" s="313">
        <v>1232</v>
      </c>
      <c r="I855" s="313">
        <v>2023.04</v>
      </c>
    </row>
    <row r="856" spans="1:9">
      <c r="A856" s="313" t="s">
        <v>345</v>
      </c>
      <c r="B856" s="313" t="s">
        <v>4440</v>
      </c>
      <c r="C856" s="313" t="s">
        <v>4060</v>
      </c>
      <c r="D856" s="313" t="s">
        <v>4060</v>
      </c>
      <c r="E856" s="313" t="s">
        <v>4442</v>
      </c>
      <c r="F856" s="314" t="s">
        <v>4441</v>
      </c>
      <c r="G856" s="313">
        <v>250</v>
      </c>
      <c r="H856" s="313">
        <v>250</v>
      </c>
      <c r="I856" s="313">
        <v>2023.04</v>
      </c>
    </row>
    <row r="857" spans="1:9">
      <c r="A857" s="313" t="s">
        <v>345</v>
      </c>
      <c r="B857" s="313" t="s">
        <v>4440</v>
      </c>
      <c r="C857" s="313" t="s">
        <v>4060</v>
      </c>
      <c r="D857" s="313" t="s">
        <v>4060</v>
      </c>
      <c r="E857" s="313" t="s">
        <v>3900</v>
      </c>
      <c r="F857" s="314" t="s">
        <v>4441</v>
      </c>
      <c r="G857" s="313">
        <v>250</v>
      </c>
      <c r="H857" s="313">
        <v>970</v>
      </c>
      <c r="I857" s="313">
        <v>2023.04</v>
      </c>
    </row>
    <row r="858" spans="1:9">
      <c r="A858" s="313" t="s">
        <v>345</v>
      </c>
      <c r="B858" s="313" t="s">
        <v>4440</v>
      </c>
      <c r="C858" s="313" t="s">
        <v>4060</v>
      </c>
      <c r="D858" s="313" t="s">
        <v>4060</v>
      </c>
      <c r="E858" s="313" t="s">
        <v>3818</v>
      </c>
      <c r="F858" s="314" t="s">
        <v>4441</v>
      </c>
      <c r="G858" s="313">
        <v>448</v>
      </c>
      <c r="H858" s="313">
        <v>1538</v>
      </c>
      <c r="I858" s="313">
        <v>2023.04</v>
      </c>
    </row>
    <row r="859" spans="1:9">
      <c r="A859" s="313" t="s">
        <v>345</v>
      </c>
      <c r="B859" s="313" t="s">
        <v>4440</v>
      </c>
      <c r="C859" s="313" t="s">
        <v>4060</v>
      </c>
      <c r="D859" s="313" t="s">
        <v>4060</v>
      </c>
      <c r="E859" s="313" t="s">
        <v>3834</v>
      </c>
      <c r="F859" s="314" t="s">
        <v>4441</v>
      </c>
      <c r="G859" s="313">
        <v>448</v>
      </c>
      <c r="H859" s="313">
        <v>1555</v>
      </c>
      <c r="I859" s="313">
        <v>2023.04</v>
      </c>
    </row>
    <row r="860" spans="1:9">
      <c r="A860" s="313" t="s">
        <v>345</v>
      </c>
      <c r="B860" s="313" t="s">
        <v>4440</v>
      </c>
      <c r="C860" s="313" t="s">
        <v>4443</v>
      </c>
      <c r="D860" s="313" t="s">
        <v>4443</v>
      </c>
      <c r="E860" s="313" t="s">
        <v>3854</v>
      </c>
      <c r="F860" s="314" t="s">
        <v>4444</v>
      </c>
      <c r="G860" s="313">
        <v>250</v>
      </c>
      <c r="H860" s="313">
        <v>250</v>
      </c>
      <c r="I860" s="313">
        <v>2023.04</v>
      </c>
    </row>
    <row r="861" spans="1:9">
      <c r="A861" s="313" t="s">
        <v>345</v>
      </c>
      <c r="B861" s="313" t="s">
        <v>4440</v>
      </c>
      <c r="C861" s="313" t="s">
        <v>4443</v>
      </c>
      <c r="D861" s="313" t="s">
        <v>4443</v>
      </c>
      <c r="E861" s="313" t="s">
        <v>3848</v>
      </c>
      <c r="F861" s="314" t="s">
        <v>4444</v>
      </c>
      <c r="G861" s="313">
        <v>200</v>
      </c>
      <c r="H861" s="313">
        <v>1232</v>
      </c>
      <c r="I861" s="313">
        <v>2023.04</v>
      </c>
    </row>
    <row r="862" spans="1:9">
      <c r="A862" s="313" t="s">
        <v>345</v>
      </c>
      <c r="B862" s="313" t="s">
        <v>4440</v>
      </c>
      <c r="C862" s="313" t="s">
        <v>4443</v>
      </c>
      <c r="D862" s="313" t="s">
        <v>4443</v>
      </c>
      <c r="E862" s="313" t="s">
        <v>4442</v>
      </c>
      <c r="F862" s="314" t="s">
        <v>4444</v>
      </c>
      <c r="G862" s="313">
        <v>250</v>
      </c>
      <c r="H862" s="313">
        <v>250</v>
      </c>
      <c r="I862" s="313">
        <v>2023.04</v>
      </c>
    </row>
    <row r="863" spans="1:9">
      <c r="A863" s="313" t="s">
        <v>345</v>
      </c>
      <c r="B863" s="313" t="s">
        <v>4440</v>
      </c>
      <c r="C863" s="313" t="s">
        <v>4443</v>
      </c>
      <c r="D863" s="313" t="s">
        <v>4443</v>
      </c>
      <c r="E863" s="313" t="s">
        <v>3900</v>
      </c>
      <c r="F863" s="314" t="s">
        <v>4444</v>
      </c>
      <c r="G863" s="313">
        <v>33</v>
      </c>
      <c r="H863" s="313">
        <v>1232</v>
      </c>
      <c r="I863" s="313">
        <v>2023.04</v>
      </c>
    </row>
    <row r="864" spans="1:9">
      <c r="A864" s="313" t="s">
        <v>345</v>
      </c>
      <c r="B864" s="313" t="s">
        <v>4440</v>
      </c>
      <c r="C864" s="313" t="s">
        <v>4443</v>
      </c>
      <c r="D864" s="313" t="s">
        <v>4443</v>
      </c>
      <c r="E864" s="313" t="s">
        <v>3818</v>
      </c>
      <c r="F864" s="314" t="s">
        <v>4444</v>
      </c>
      <c r="G864" s="313">
        <v>448</v>
      </c>
      <c r="H864" s="313">
        <v>1555</v>
      </c>
      <c r="I864" s="313">
        <v>2023.04</v>
      </c>
    </row>
    <row r="865" spans="1:9">
      <c r="A865" s="313" t="s">
        <v>345</v>
      </c>
      <c r="B865" s="313" t="s">
        <v>4440</v>
      </c>
      <c r="C865" s="313" t="s">
        <v>4443</v>
      </c>
      <c r="D865" s="313" t="s">
        <v>4443</v>
      </c>
      <c r="E865" s="313" t="s">
        <v>3834</v>
      </c>
      <c r="F865" s="314" t="s">
        <v>4444</v>
      </c>
      <c r="G865" s="313">
        <v>448</v>
      </c>
      <c r="H865" s="313">
        <v>1555</v>
      </c>
      <c r="I865" s="313">
        <v>2023.04</v>
      </c>
    </row>
    <row r="866" spans="1:9">
      <c r="A866" s="313" t="s">
        <v>345</v>
      </c>
      <c r="B866" s="313" t="s">
        <v>4440</v>
      </c>
      <c r="C866" s="313" t="s">
        <v>4443</v>
      </c>
      <c r="D866" s="313" t="s">
        <v>4445</v>
      </c>
      <c r="E866" s="313" t="s">
        <v>3854</v>
      </c>
      <c r="F866" s="314" t="s">
        <v>885</v>
      </c>
      <c r="G866" s="313">
        <v>250</v>
      </c>
      <c r="H866" s="313">
        <v>250</v>
      </c>
      <c r="I866" s="313">
        <v>2023.04</v>
      </c>
    </row>
    <row r="867" spans="1:9">
      <c r="A867" s="313" t="s">
        <v>345</v>
      </c>
      <c r="B867" s="313" t="s">
        <v>4440</v>
      </c>
      <c r="C867" s="313" t="s">
        <v>4443</v>
      </c>
      <c r="D867" s="313" t="s">
        <v>4445</v>
      </c>
      <c r="E867" s="313" t="s">
        <v>3848</v>
      </c>
      <c r="F867" s="314" t="s">
        <v>885</v>
      </c>
      <c r="G867" s="313">
        <v>240</v>
      </c>
      <c r="H867" s="313">
        <v>1232</v>
      </c>
      <c r="I867" s="313">
        <v>2023.04</v>
      </c>
    </row>
    <row r="868" spans="1:9">
      <c r="A868" s="313" t="s">
        <v>345</v>
      </c>
      <c r="B868" s="313" t="s">
        <v>4440</v>
      </c>
      <c r="C868" s="313" t="s">
        <v>4443</v>
      </c>
      <c r="D868" s="313" t="s">
        <v>4445</v>
      </c>
      <c r="E868" s="313" t="s">
        <v>3878</v>
      </c>
      <c r="F868" s="314" t="s">
        <v>885</v>
      </c>
      <c r="G868" s="313">
        <v>528</v>
      </c>
      <c r="H868" s="313">
        <v>1800</v>
      </c>
      <c r="I868" s="313">
        <v>2023.04</v>
      </c>
    </row>
    <row r="869" spans="1:9">
      <c r="A869" s="313" t="s">
        <v>345</v>
      </c>
      <c r="B869" s="313" t="s">
        <v>4440</v>
      </c>
      <c r="C869" s="313" t="s">
        <v>4443</v>
      </c>
      <c r="D869" s="313" t="s">
        <v>4445</v>
      </c>
      <c r="E869" s="313" t="s">
        <v>4442</v>
      </c>
      <c r="F869" s="314" t="s">
        <v>885</v>
      </c>
      <c r="G869" s="313">
        <v>250</v>
      </c>
      <c r="H869" s="313">
        <v>250</v>
      </c>
      <c r="I869" s="313">
        <v>2023.04</v>
      </c>
    </row>
    <row r="870" spans="1:9">
      <c r="A870" s="313" t="s">
        <v>345</v>
      </c>
      <c r="B870" s="313" t="s">
        <v>4440</v>
      </c>
      <c r="C870" s="313" t="s">
        <v>4443</v>
      </c>
      <c r="D870" s="313" t="s">
        <v>4445</v>
      </c>
      <c r="E870" s="313" t="s">
        <v>3937</v>
      </c>
      <c r="F870" s="314" t="s">
        <v>885</v>
      </c>
      <c r="G870" s="313">
        <v>1092</v>
      </c>
      <c r="H870" s="313">
        <v>1800</v>
      </c>
      <c r="I870" s="313">
        <v>2023.04</v>
      </c>
    </row>
    <row r="871" spans="1:9">
      <c r="A871" s="313" t="s">
        <v>345</v>
      </c>
      <c r="B871" s="313" t="s">
        <v>4440</v>
      </c>
      <c r="C871" s="313" t="s">
        <v>4443</v>
      </c>
      <c r="D871" s="313" t="s">
        <v>4445</v>
      </c>
      <c r="E871" s="313" t="s">
        <v>3900</v>
      </c>
      <c r="F871" s="314" t="s">
        <v>885</v>
      </c>
      <c r="G871" s="313">
        <v>90</v>
      </c>
      <c r="H871" s="313">
        <v>970</v>
      </c>
      <c r="I871" s="313">
        <v>2023.04</v>
      </c>
    </row>
    <row r="872" spans="1:9">
      <c r="A872" s="313" t="s">
        <v>345</v>
      </c>
      <c r="B872" s="313" t="s">
        <v>4440</v>
      </c>
      <c r="C872" s="313" t="s">
        <v>4443</v>
      </c>
      <c r="D872" s="313" t="s">
        <v>4445</v>
      </c>
      <c r="E872" s="313" t="s">
        <v>3818</v>
      </c>
      <c r="F872" s="314" t="s">
        <v>885</v>
      </c>
      <c r="G872" s="313">
        <v>448</v>
      </c>
      <c r="H872" s="313">
        <v>1555</v>
      </c>
      <c r="I872" s="313">
        <v>2023.04</v>
      </c>
    </row>
    <row r="873" spans="1:9">
      <c r="A873" s="313" t="s">
        <v>345</v>
      </c>
      <c r="B873" s="313" t="s">
        <v>4440</v>
      </c>
      <c r="C873" s="313" t="s">
        <v>4443</v>
      </c>
      <c r="D873" s="313" t="s">
        <v>4445</v>
      </c>
      <c r="E873" s="313" t="s">
        <v>3834</v>
      </c>
      <c r="F873" s="314" t="s">
        <v>885</v>
      </c>
      <c r="G873" s="313">
        <v>448</v>
      </c>
      <c r="H873" s="313">
        <v>1555</v>
      </c>
      <c r="I873" s="313">
        <v>2023.04</v>
      </c>
    </row>
    <row r="874" spans="1:9">
      <c r="A874" s="313" t="s">
        <v>345</v>
      </c>
      <c r="B874" s="313" t="s">
        <v>4440</v>
      </c>
      <c r="C874" s="313" t="s">
        <v>4443</v>
      </c>
      <c r="D874" s="313" t="s">
        <v>3975</v>
      </c>
      <c r="E874" s="313" t="s">
        <v>3820</v>
      </c>
      <c r="F874" s="314" t="s">
        <v>880</v>
      </c>
      <c r="G874" s="313">
        <v>250</v>
      </c>
      <c r="H874" s="313">
        <v>250</v>
      </c>
      <c r="I874" s="313">
        <v>2023.04</v>
      </c>
    </row>
    <row r="875" spans="1:9">
      <c r="A875" s="313" t="s">
        <v>345</v>
      </c>
      <c r="B875" s="313" t="s">
        <v>4440</v>
      </c>
      <c r="C875" s="313" t="s">
        <v>4443</v>
      </c>
      <c r="D875" s="313" t="s">
        <v>3975</v>
      </c>
      <c r="E875" s="313" t="s">
        <v>3848</v>
      </c>
      <c r="F875" s="314" t="s">
        <v>880</v>
      </c>
      <c r="G875" s="313">
        <v>528</v>
      </c>
      <c r="H875" s="313">
        <v>1800</v>
      </c>
      <c r="I875" s="313">
        <v>2023.04</v>
      </c>
    </row>
    <row r="876" spans="1:9">
      <c r="A876" s="313" t="s">
        <v>345</v>
      </c>
      <c r="B876" s="313" t="s">
        <v>4440</v>
      </c>
      <c r="C876" s="313" t="s">
        <v>4443</v>
      </c>
      <c r="D876" s="313" t="s">
        <v>3975</v>
      </c>
      <c r="E876" s="313" t="s">
        <v>3900</v>
      </c>
      <c r="F876" s="314" t="s">
        <v>880</v>
      </c>
      <c r="G876" s="313">
        <v>90</v>
      </c>
      <c r="H876" s="313">
        <v>970</v>
      </c>
      <c r="I876" s="313">
        <v>2023.04</v>
      </c>
    </row>
    <row r="877" spans="1:9">
      <c r="A877" s="313" t="s">
        <v>345</v>
      </c>
      <c r="B877" s="313" t="s">
        <v>4440</v>
      </c>
      <c r="C877" s="313" t="s">
        <v>4443</v>
      </c>
      <c r="D877" s="313" t="s">
        <v>3975</v>
      </c>
      <c r="E877" s="313" t="s">
        <v>3818</v>
      </c>
      <c r="F877" s="314" t="s">
        <v>880</v>
      </c>
      <c r="G877" s="313">
        <v>448</v>
      </c>
      <c r="H877" s="313">
        <v>1538</v>
      </c>
      <c r="I877" s="313">
        <v>2023.04</v>
      </c>
    </row>
    <row r="878" spans="1:9">
      <c r="A878" s="313" t="s">
        <v>345</v>
      </c>
      <c r="B878" s="313" t="s">
        <v>4440</v>
      </c>
      <c r="C878" s="313" t="s">
        <v>4043</v>
      </c>
      <c r="D878" s="313" t="s">
        <v>4043</v>
      </c>
      <c r="E878" s="313" t="s">
        <v>3854</v>
      </c>
      <c r="F878" s="314" t="s">
        <v>4446</v>
      </c>
      <c r="G878" s="313">
        <v>250</v>
      </c>
      <c r="H878" s="313">
        <v>250</v>
      </c>
      <c r="I878" s="313">
        <v>2023.04</v>
      </c>
    </row>
    <row r="879" spans="1:9">
      <c r="A879" s="313" t="s">
        <v>345</v>
      </c>
      <c r="B879" s="313" t="s">
        <v>4440</v>
      </c>
      <c r="C879" s="313" t="s">
        <v>4043</v>
      </c>
      <c r="D879" s="313" t="s">
        <v>4043</v>
      </c>
      <c r="E879" s="313" t="s">
        <v>3878</v>
      </c>
      <c r="F879" s="314" t="s">
        <v>4446</v>
      </c>
      <c r="G879" s="313">
        <v>1092</v>
      </c>
      <c r="H879" s="313">
        <v>1800</v>
      </c>
      <c r="I879" s="313">
        <v>2023.04</v>
      </c>
    </row>
    <row r="880" spans="1:9">
      <c r="A880" s="313" t="s">
        <v>345</v>
      </c>
      <c r="B880" s="313" t="s">
        <v>4440</v>
      </c>
      <c r="C880" s="313" t="s">
        <v>4043</v>
      </c>
      <c r="D880" s="313" t="s">
        <v>4043</v>
      </c>
      <c r="E880" s="313" t="s">
        <v>4442</v>
      </c>
      <c r="F880" s="314" t="s">
        <v>4446</v>
      </c>
      <c r="G880" s="313">
        <v>250</v>
      </c>
      <c r="H880" s="313">
        <v>250</v>
      </c>
      <c r="I880" s="313">
        <v>2023.04</v>
      </c>
    </row>
    <row r="881" spans="1:9">
      <c r="A881" s="313" t="s">
        <v>345</v>
      </c>
      <c r="B881" s="313" t="s">
        <v>4440</v>
      </c>
      <c r="C881" s="313" t="s">
        <v>4043</v>
      </c>
      <c r="D881" s="313" t="s">
        <v>4043</v>
      </c>
      <c r="E881" s="313" t="s">
        <v>3937</v>
      </c>
      <c r="F881" s="314" t="s">
        <v>4446</v>
      </c>
      <c r="G881" s="313">
        <v>1092</v>
      </c>
      <c r="H881" s="313">
        <v>1800</v>
      </c>
      <c r="I881" s="313">
        <v>2023.04</v>
      </c>
    </row>
    <row r="882" spans="1:9">
      <c r="A882" s="313" t="s">
        <v>345</v>
      </c>
      <c r="B882" s="313" t="s">
        <v>4440</v>
      </c>
      <c r="C882" s="313" t="s">
        <v>4043</v>
      </c>
      <c r="D882" s="313" t="s">
        <v>4043</v>
      </c>
      <c r="E882" s="313" t="s">
        <v>3900</v>
      </c>
      <c r="F882" s="314" t="s">
        <v>4446</v>
      </c>
      <c r="G882" s="313">
        <v>250</v>
      </c>
      <c r="H882" s="313">
        <v>970</v>
      </c>
      <c r="I882" s="313">
        <v>2023.04</v>
      </c>
    </row>
    <row r="883" spans="1:9">
      <c r="A883" s="313" t="s">
        <v>345</v>
      </c>
      <c r="B883" s="313" t="s">
        <v>4440</v>
      </c>
      <c r="C883" s="313" t="s">
        <v>4043</v>
      </c>
      <c r="D883" s="313" t="s">
        <v>4043</v>
      </c>
      <c r="E883" s="313" t="s">
        <v>3818</v>
      </c>
      <c r="F883" s="314" t="s">
        <v>4446</v>
      </c>
      <c r="G883" s="313">
        <v>448</v>
      </c>
      <c r="H883" s="313">
        <v>1555</v>
      </c>
      <c r="I883" s="313">
        <v>2023.04</v>
      </c>
    </row>
    <row r="884" spans="1:9">
      <c r="A884" s="313" t="s">
        <v>345</v>
      </c>
      <c r="B884" s="313" t="s">
        <v>4440</v>
      </c>
      <c r="C884" s="313" t="s">
        <v>4043</v>
      </c>
      <c r="D884" s="313" t="s">
        <v>4043</v>
      </c>
      <c r="E884" s="313" t="s">
        <v>3834</v>
      </c>
      <c r="F884" s="314" t="s">
        <v>4446</v>
      </c>
      <c r="G884" s="313">
        <v>448</v>
      </c>
      <c r="H884" s="313">
        <v>1555</v>
      </c>
      <c r="I884" s="313">
        <v>2023.04</v>
      </c>
    </row>
    <row r="885" spans="1:9">
      <c r="A885" s="313" t="s">
        <v>345</v>
      </c>
      <c r="B885" s="313" t="s">
        <v>4440</v>
      </c>
      <c r="C885" s="313" t="s">
        <v>3836</v>
      </c>
      <c r="D885" s="313" t="s">
        <v>3836</v>
      </c>
      <c r="E885" s="313" t="s">
        <v>3848</v>
      </c>
      <c r="F885" s="314" t="s">
        <v>4447</v>
      </c>
      <c r="G885" s="313">
        <v>233</v>
      </c>
      <c r="H885" s="313">
        <v>410</v>
      </c>
      <c r="I885" s="313">
        <v>2023.04</v>
      </c>
    </row>
    <row r="886" spans="1:9">
      <c r="A886" s="313" t="s">
        <v>345</v>
      </c>
      <c r="B886" s="313" t="s">
        <v>4440</v>
      </c>
      <c r="C886" s="313" t="s">
        <v>3836</v>
      </c>
      <c r="D886" s="313" t="s">
        <v>3836</v>
      </c>
      <c r="E886" s="313" t="s">
        <v>3878</v>
      </c>
      <c r="F886" s="314" t="s">
        <v>4447</v>
      </c>
      <c r="G886" s="313">
        <v>1092</v>
      </c>
      <c r="H886" s="313">
        <v>1800</v>
      </c>
      <c r="I886" s="313">
        <v>2023.04</v>
      </c>
    </row>
    <row r="887" spans="1:9">
      <c r="A887" s="313" t="s">
        <v>345</v>
      </c>
      <c r="B887" s="313" t="s">
        <v>4440</v>
      </c>
      <c r="C887" s="313" t="s">
        <v>3836</v>
      </c>
      <c r="D887" s="313" t="s">
        <v>3836</v>
      </c>
      <c r="E887" s="313" t="s">
        <v>4442</v>
      </c>
      <c r="F887" s="314" t="s">
        <v>4447</v>
      </c>
      <c r="G887" s="313">
        <v>250</v>
      </c>
      <c r="H887" s="313">
        <v>250</v>
      </c>
      <c r="I887" s="313">
        <v>2023.04</v>
      </c>
    </row>
    <row r="888" spans="1:9">
      <c r="A888" s="313" t="s">
        <v>345</v>
      </c>
      <c r="B888" s="313" t="s">
        <v>4440</v>
      </c>
      <c r="C888" s="313" t="s">
        <v>3836</v>
      </c>
      <c r="D888" s="313" t="s">
        <v>3836</v>
      </c>
      <c r="E888" s="313" t="s">
        <v>3937</v>
      </c>
      <c r="F888" s="314" t="s">
        <v>4447</v>
      </c>
      <c r="G888" s="313">
        <v>1092</v>
      </c>
      <c r="H888" s="313">
        <v>1800</v>
      </c>
      <c r="I888" s="313">
        <v>2023.04</v>
      </c>
    </row>
    <row r="889" spans="1:9">
      <c r="A889" s="313" t="s">
        <v>345</v>
      </c>
      <c r="B889" s="313" t="s">
        <v>4440</v>
      </c>
      <c r="C889" s="313" t="s">
        <v>3836</v>
      </c>
      <c r="D889" s="313" t="s">
        <v>3836</v>
      </c>
      <c r="E889" s="313" t="s">
        <v>3900</v>
      </c>
      <c r="F889" s="314" t="s">
        <v>4447</v>
      </c>
      <c r="G889" s="313">
        <v>123</v>
      </c>
      <c r="H889" s="313">
        <v>1232</v>
      </c>
      <c r="I889" s="313">
        <v>2023.04</v>
      </c>
    </row>
    <row r="890" spans="1:9">
      <c r="A890" s="313" t="s">
        <v>345</v>
      </c>
      <c r="B890" s="313" t="s">
        <v>4440</v>
      </c>
      <c r="C890" s="313" t="s">
        <v>3836</v>
      </c>
      <c r="D890" s="313" t="s">
        <v>3836</v>
      </c>
      <c r="E890" s="313" t="s">
        <v>3818</v>
      </c>
      <c r="F890" s="314" t="s">
        <v>4447</v>
      </c>
      <c r="G890" s="313">
        <v>344</v>
      </c>
      <c r="H890" s="313">
        <v>506</v>
      </c>
      <c r="I890" s="313">
        <v>2023.04</v>
      </c>
    </row>
    <row r="891" spans="1:9">
      <c r="A891" s="313" t="s">
        <v>345</v>
      </c>
      <c r="B891" s="313" t="s">
        <v>4440</v>
      </c>
      <c r="C891" s="313" t="s">
        <v>3836</v>
      </c>
      <c r="D891" s="313" t="s">
        <v>3836</v>
      </c>
      <c r="E891" s="313" t="s">
        <v>3834</v>
      </c>
      <c r="F891" s="314" t="s">
        <v>4447</v>
      </c>
      <c r="G891" s="313">
        <v>448</v>
      </c>
      <c r="H891" s="313">
        <v>1534</v>
      </c>
      <c r="I891" s="313">
        <v>2023.04</v>
      </c>
    </row>
    <row r="892" spans="1:9">
      <c r="A892" s="313" t="s">
        <v>345</v>
      </c>
      <c r="B892" s="313" t="s">
        <v>4440</v>
      </c>
      <c r="C892" s="313" t="s">
        <v>4448</v>
      </c>
      <c r="D892" s="313" t="s">
        <v>4448</v>
      </c>
      <c r="E892" s="313" t="s">
        <v>3854</v>
      </c>
      <c r="F892" s="314" t="s">
        <v>4449</v>
      </c>
      <c r="G892" s="313">
        <v>250</v>
      </c>
      <c r="H892" s="313">
        <v>250</v>
      </c>
      <c r="I892" s="313">
        <v>2023.04</v>
      </c>
    </row>
    <row r="893" spans="1:9">
      <c r="A893" s="313" t="s">
        <v>345</v>
      </c>
      <c r="B893" s="313" t="s">
        <v>4440</v>
      </c>
      <c r="C893" s="313" t="s">
        <v>4448</v>
      </c>
      <c r="D893" s="313" t="s">
        <v>4448</v>
      </c>
      <c r="E893" s="313" t="s">
        <v>3820</v>
      </c>
      <c r="F893" s="314" t="s">
        <v>4449</v>
      </c>
      <c r="G893" s="313">
        <v>250</v>
      </c>
      <c r="H893" s="313">
        <v>250</v>
      </c>
      <c r="I893" s="313">
        <v>2023.04</v>
      </c>
    </row>
    <row r="894" spans="1:9">
      <c r="A894" s="313" t="s">
        <v>345</v>
      </c>
      <c r="B894" s="313" t="s">
        <v>4440</v>
      </c>
      <c r="C894" s="313" t="s">
        <v>4448</v>
      </c>
      <c r="D894" s="313" t="s">
        <v>4448</v>
      </c>
      <c r="E894" s="313" t="s">
        <v>3848</v>
      </c>
      <c r="F894" s="314" t="s">
        <v>4449</v>
      </c>
      <c r="G894" s="313">
        <v>802</v>
      </c>
      <c r="H894" s="313">
        <v>1800</v>
      </c>
      <c r="I894" s="313">
        <v>2023.04</v>
      </c>
    </row>
    <row r="895" spans="1:9">
      <c r="A895" s="313" t="s">
        <v>345</v>
      </c>
      <c r="B895" s="313" t="s">
        <v>4440</v>
      </c>
      <c r="C895" s="313" t="s">
        <v>4448</v>
      </c>
      <c r="D895" s="313" t="s">
        <v>4448</v>
      </c>
      <c r="E895" s="313" t="s">
        <v>4442</v>
      </c>
      <c r="F895" s="314" t="s">
        <v>4449</v>
      </c>
      <c r="G895" s="313">
        <v>250</v>
      </c>
      <c r="H895" s="313">
        <v>250</v>
      </c>
      <c r="I895" s="313">
        <v>2023.04</v>
      </c>
    </row>
    <row r="896" spans="1:9">
      <c r="A896" s="313" t="s">
        <v>345</v>
      </c>
      <c r="B896" s="313" t="s">
        <v>4440</v>
      </c>
      <c r="C896" s="313" t="s">
        <v>4448</v>
      </c>
      <c r="D896" s="313" t="s">
        <v>4448</v>
      </c>
      <c r="E896" s="313" t="s">
        <v>3900</v>
      </c>
      <c r="F896" s="314" t="s">
        <v>4449</v>
      </c>
      <c r="G896" s="313">
        <v>90</v>
      </c>
      <c r="H896" s="313">
        <v>970</v>
      </c>
      <c r="I896" s="313">
        <v>2023.04</v>
      </c>
    </row>
    <row r="897" spans="1:9">
      <c r="A897" s="313" t="s">
        <v>345</v>
      </c>
      <c r="B897" s="313" t="s">
        <v>4440</v>
      </c>
      <c r="C897" s="313" t="s">
        <v>4448</v>
      </c>
      <c r="D897" s="313" t="s">
        <v>4448</v>
      </c>
      <c r="E897" s="313" t="s">
        <v>3818</v>
      </c>
      <c r="F897" s="314" t="s">
        <v>4449</v>
      </c>
      <c r="G897" s="313">
        <v>448</v>
      </c>
      <c r="H897" s="313">
        <v>1538</v>
      </c>
      <c r="I897" s="313">
        <v>2023.04</v>
      </c>
    </row>
    <row r="898" spans="1:9">
      <c r="A898" s="313" t="s">
        <v>345</v>
      </c>
      <c r="B898" s="313" t="s">
        <v>4440</v>
      </c>
      <c r="C898" s="313" t="s">
        <v>4450</v>
      </c>
      <c r="D898" s="313" t="s">
        <v>4450</v>
      </c>
      <c r="E898" s="313" t="s">
        <v>3854</v>
      </c>
      <c r="F898" s="314" t="s">
        <v>4451</v>
      </c>
      <c r="G898" s="313">
        <v>250</v>
      </c>
      <c r="H898" s="313">
        <v>250</v>
      </c>
      <c r="I898" s="313">
        <v>2023.04</v>
      </c>
    </row>
    <row r="899" spans="1:9">
      <c r="A899" s="313" t="s">
        <v>345</v>
      </c>
      <c r="B899" s="313" t="s">
        <v>4440</v>
      </c>
      <c r="C899" s="313" t="s">
        <v>4450</v>
      </c>
      <c r="D899" s="313" t="s">
        <v>4450</v>
      </c>
      <c r="E899" s="313" t="s">
        <v>3878</v>
      </c>
      <c r="F899" s="314" t="s">
        <v>4451</v>
      </c>
      <c r="G899" s="313">
        <v>802</v>
      </c>
      <c r="H899" s="313">
        <v>1800</v>
      </c>
      <c r="I899" s="313">
        <v>2023.04</v>
      </c>
    </row>
    <row r="900" spans="1:9">
      <c r="A900" s="313" t="s">
        <v>345</v>
      </c>
      <c r="B900" s="313" t="s">
        <v>4440</v>
      </c>
      <c r="C900" s="313" t="s">
        <v>4450</v>
      </c>
      <c r="D900" s="313" t="s">
        <v>4450</v>
      </c>
      <c r="E900" s="313" t="s">
        <v>4442</v>
      </c>
      <c r="F900" s="314" t="s">
        <v>4451</v>
      </c>
      <c r="G900" s="313">
        <v>250</v>
      </c>
      <c r="H900" s="313">
        <v>250</v>
      </c>
      <c r="I900" s="313">
        <v>2023.04</v>
      </c>
    </row>
    <row r="901" spans="1:9">
      <c r="A901" s="313" t="s">
        <v>345</v>
      </c>
      <c r="B901" s="313" t="s">
        <v>4440</v>
      </c>
      <c r="C901" s="313" t="s">
        <v>4450</v>
      </c>
      <c r="D901" s="313" t="s">
        <v>4450</v>
      </c>
      <c r="E901" s="313" t="s">
        <v>3937</v>
      </c>
      <c r="F901" s="314" t="s">
        <v>4451</v>
      </c>
      <c r="G901" s="313">
        <v>1092</v>
      </c>
      <c r="H901" s="313">
        <v>1800</v>
      </c>
      <c r="I901" s="313">
        <v>2023.04</v>
      </c>
    </row>
    <row r="902" spans="1:9">
      <c r="A902" s="313" t="s">
        <v>345</v>
      </c>
      <c r="B902" s="313" t="s">
        <v>4440</v>
      </c>
      <c r="C902" s="313" t="s">
        <v>4450</v>
      </c>
      <c r="D902" s="313" t="s">
        <v>4450</v>
      </c>
      <c r="E902" s="313" t="s">
        <v>3900</v>
      </c>
      <c r="F902" s="314" t="s">
        <v>4451</v>
      </c>
      <c r="G902" s="313">
        <v>90</v>
      </c>
      <c r="H902" s="313">
        <v>970</v>
      </c>
      <c r="I902" s="313">
        <v>2023.04</v>
      </c>
    </row>
    <row r="903" spans="1:9">
      <c r="A903" s="313" t="s">
        <v>345</v>
      </c>
      <c r="B903" s="313" t="s">
        <v>4440</v>
      </c>
      <c r="C903" s="313" t="s">
        <v>4450</v>
      </c>
      <c r="D903" s="313" t="s">
        <v>4450</v>
      </c>
      <c r="E903" s="313" t="s">
        <v>3818</v>
      </c>
      <c r="F903" s="314" t="s">
        <v>4451</v>
      </c>
      <c r="G903" s="313">
        <v>448</v>
      </c>
      <c r="H903" s="313">
        <v>1538</v>
      </c>
      <c r="I903" s="313">
        <v>2023.04</v>
      </c>
    </row>
    <row r="904" spans="1:9">
      <c r="A904" s="313" t="s">
        <v>345</v>
      </c>
      <c r="B904" s="313" t="s">
        <v>4440</v>
      </c>
      <c r="C904" s="313" t="s">
        <v>4450</v>
      </c>
      <c r="D904" s="313" t="s">
        <v>4450</v>
      </c>
      <c r="E904" s="313" t="s">
        <v>3834</v>
      </c>
      <c r="F904" s="314" t="s">
        <v>4451</v>
      </c>
      <c r="G904" s="313">
        <v>448</v>
      </c>
      <c r="H904" s="313">
        <v>1555</v>
      </c>
      <c r="I904" s="313">
        <v>2023.04</v>
      </c>
    </row>
    <row r="905" spans="1:9">
      <c r="A905" s="313" t="s">
        <v>345</v>
      </c>
      <c r="B905" s="313" t="s">
        <v>4440</v>
      </c>
      <c r="C905" s="313" t="s">
        <v>4450</v>
      </c>
      <c r="D905" s="313" t="s">
        <v>4012</v>
      </c>
      <c r="E905" s="313" t="s">
        <v>3854</v>
      </c>
      <c r="F905" s="314" t="s">
        <v>4452</v>
      </c>
      <c r="G905" s="313">
        <v>250</v>
      </c>
      <c r="H905" s="313">
        <v>250</v>
      </c>
      <c r="I905" s="313">
        <v>2023.04</v>
      </c>
    </row>
    <row r="906" spans="1:9">
      <c r="A906" s="313" t="s">
        <v>345</v>
      </c>
      <c r="B906" s="313" t="s">
        <v>4440</v>
      </c>
      <c r="C906" s="313" t="s">
        <v>4450</v>
      </c>
      <c r="D906" s="313" t="s">
        <v>4012</v>
      </c>
      <c r="E906" s="313" t="s">
        <v>3878</v>
      </c>
      <c r="F906" s="314" t="s">
        <v>4452</v>
      </c>
      <c r="G906" s="313">
        <v>1092</v>
      </c>
      <c r="H906" s="313">
        <v>1800</v>
      </c>
      <c r="I906" s="313">
        <v>2023.04</v>
      </c>
    </row>
    <row r="907" spans="1:9">
      <c r="A907" s="313" t="s">
        <v>345</v>
      </c>
      <c r="B907" s="313" t="s">
        <v>4440</v>
      </c>
      <c r="C907" s="313" t="s">
        <v>4450</v>
      </c>
      <c r="D907" s="313" t="s">
        <v>4012</v>
      </c>
      <c r="E907" s="313" t="s">
        <v>4442</v>
      </c>
      <c r="F907" s="314" t="s">
        <v>4452</v>
      </c>
      <c r="G907" s="313">
        <v>250</v>
      </c>
      <c r="H907" s="313">
        <v>250</v>
      </c>
      <c r="I907" s="313">
        <v>2023.04</v>
      </c>
    </row>
    <row r="908" spans="1:9">
      <c r="A908" s="313" t="s">
        <v>345</v>
      </c>
      <c r="B908" s="313" t="s">
        <v>4440</v>
      </c>
      <c r="C908" s="313" t="s">
        <v>4450</v>
      </c>
      <c r="D908" s="313" t="s">
        <v>4012</v>
      </c>
      <c r="E908" s="313" t="s">
        <v>3937</v>
      </c>
      <c r="F908" s="314" t="s">
        <v>4452</v>
      </c>
      <c r="G908" s="313">
        <v>1092</v>
      </c>
      <c r="H908" s="313">
        <v>1800</v>
      </c>
      <c r="I908" s="313">
        <v>2023.04</v>
      </c>
    </row>
    <row r="909" spans="1:9">
      <c r="A909" s="313" t="s">
        <v>345</v>
      </c>
      <c r="B909" s="313" t="s">
        <v>4440</v>
      </c>
      <c r="C909" s="313" t="s">
        <v>4450</v>
      </c>
      <c r="D909" s="313" t="s">
        <v>4012</v>
      </c>
      <c r="E909" s="313" t="s">
        <v>3900</v>
      </c>
      <c r="F909" s="314" t="s">
        <v>4452</v>
      </c>
      <c r="G909" s="313">
        <v>90</v>
      </c>
      <c r="H909" s="313">
        <v>970</v>
      </c>
      <c r="I909" s="313">
        <v>2023.04</v>
      </c>
    </row>
    <row r="910" spans="1:9">
      <c r="A910" s="313" t="s">
        <v>345</v>
      </c>
      <c r="B910" s="313" t="s">
        <v>4440</v>
      </c>
      <c r="C910" s="313" t="s">
        <v>4450</v>
      </c>
      <c r="D910" s="313" t="s">
        <v>4012</v>
      </c>
      <c r="E910" s="313" t="s">
        <v>3818</v>
      </c>
      <c r="F910" s="314" t="s">
        <v>4452</v>
      </c>
      <c r="G910" s="313">
        <v>448</v>
      </c>
      <c r="H910" s="313">
        <v>1555</v>
      </c>
      <c r="I910" s="313">
        <v>2023.04</v>
      </c>
    </row>
    <row r="911" spans="1:9">
      <c r="A911" s="313" t="s">
        <v>345</v>
      </c>
      <c r="B911" s="313" t="s">
        <v>4440</v>
      </c>
      <c r="C911" s="313" t="s">
        <v>4450</v>
      </c>
      <c r="D911" s="313" t="s">
        <v>4012</v>
      </c>
      <c r="E911" s="313" t="s">
        <v>3834</v>
      </c>
      <c r="F911" s="314" t="s">
        <v>4452</v>
      </c>
      <c r="G911" s="313">
        <v>448</v>
      </c>
      <c r="H911" s="313">
        <v>1555</v>
      </c>
      <c r="I911" s="313">
        <v>2023.04</v>
      </c>
    </row>
    <row r="912" spans="1:9">
      <c r="A912" s="313" t="s">
        <v>345</v>
      </c>
      <c r="B912" s="313" t="s">
        <v>4440</v>
      </c>
      <c r="C912" s="313" t="s">
        <v>4450</v>
      </c>
      <c r="D912" s="313" t="s">
        <v>2421</v>
      </c>
      <c r="E912" s="313" t="s">
        <v>3820</v>
      </c>
      <c r="F912" s="314" t="s">
        <v>4453</v>
      </c>
      <c r="G912" s="313">
        <v>250</v>
      </c>
      <c r="H912" s="313">
        <v>250</v>
      </c>
      <c r="I912" s="313">
        <v>2023.04</v>
      </c>
    </row>
    <row r="913" spans="1:9">
      <c r="A913" s="313" t="s">
        <v>345</v>
      </c>
      <c r="B913" s="313" t="s">
        <v>4440</v>
      </c>
      <c r="C913" s="313" t="s">
        <v>4450</v>
      </c>
      <c r="D913" s="313" t="s">
        <v>2421</v>
      </c>
      <c r="E913" s="313" t="s">
        <v>3900</v>
      </c>
      <c r="F913" s="314" t="s">
        <v>4453</v>
      </c>
      <c r="G913" s="313">
        <v>90</v>
      </c>
      <c r="H913" s="313">
        <v>970</v>
      </c>
      <c r="I913" s="313">
        <v>2023.04</v>
      </c>
    </row>
    <row r="914" spans="1:9">
      <c r="A914" s="313" t="s">
        <v>345</v>
      </c>
      <c r="B914" s="313" t="s">
        <v>4440</v>
      </c>
      <c r="C914" s="313" t="s">
        <v>4450</v>
      </c>
      <c r="D914" s="313" t="s">
        <v>2421</v>
      </c>
      <c r="E914" s="313" t="s">
        <v>3818</v>
      </c>
      <c r="F914" s="314" t="s">
        <v>4453</v>
      </c>
      <c r="G914" s="313">
        <v>448</v>
      </c>
      <c r="H914" s="313">
        <v>1538</v>
      </c>
      <c r="I914" s="313">
        <v>2023.04</v>
      </c>
    </row>
    <row r="915" spans="1:9">
      <c r="A915" s="313" t="s">
        <v>345</v>
      </c>
      <c r="B915" s="313" t="s">
        <v>4440</v>
      </c>
      <c r="C915" s="313" t="s">
        <v>4454</v>
      </c>
      <c r="D915" s="313" t="s">
        <v>4454</v>
      </c>
      <c r="E915" s="313" t="s">
        <v>3854</v>
      </c>
      <c r="F915" s="314" t="s">
        <v>4455</v>
      </c>
      <c r="G915" s="313">
        <v>250</v>
      </c>
      <c r="H915" s="313">
        <v>250</v>
      </c>
      <c r="I915" s="313">
        <v>2023.04</v>
      </c>
    </row>
    <row r="916" spans="1:9">
      <c r="A916" s="313" t="s">
        <v>345</v>
      </c>
      <c r="B916" s="313" t="s">
        <v>4440</v>
      </c>
      <c r="C916" s="313" t="s">
        <v>4454</v>
      </c>
      <c r="D916" s="313" t="s">
        <v>4454</v>
      </c>
      <c r="E916" s="313" t="s">
        <v>3878</v>
      </c>
      <c r="F916" s="314" t="s">
        <v>4455</v>
      </c>
      <c r="G916" s="313">
        <v>525</v>
      </c>
      <c r="H916" s="313">
        <v>1800</v>
      </c>
      <c r="I916" s="313">
        <v>2023.04</v>
      </c>
    </row>
    <row r="917" spans="1:9">
      <c r="A917" s="313" t="s">
        <v>345</v>
      </c>
      <c r="B917" s="313" t="s">
        <v>4440</v>
      </c>
      <c r="C917" s="313" t="s">
        <v>4454</v>
      </c>
      <c r="D917" s="313" t="s">
        <v>4454</v>
      </c>
      <c r="E917" s="313" t="s">
        <v>4442</v>
      </c>
      <c r="F917" s="314" t="s">
        <v>4455</v>
      </c>
      <c r="G917" s="313">
        <v>250</v>
      </c>
      <c r="H917" s="313">
        <v>250</v>
      </c>
      <c r="I917" s="313">
        <v>2023.04</v>
      </c>
    </row>
    <row r="918" spans="1:9">
      <c r="A918" s="313" t="s">
        <v>345</v>
      </c>
      <c r="B918" s="313" t="s">
        <v>4440</v>
      </c>
      <c r="C918" s="313" t="s">
        <v>4454</v>
      </c>
      <c r="D918" s="313" t="s">
        <v>4454</v>
      </c>
      <c r="E918" s="313" t="s">
        <v>3937</v>
      </c>
      <c r="F918" s="314" t="s">
        <v>4455</v>
      </c>
      <c r="G918" s="313">
        <v>1092</v>
      </c>
      <c r="H918" s="313">
        <v>1800</v>
      </c>
      <c r="I918" s="313">
        <v>2023.04</v>
      </c>
    </row>
    <row r="919" spans="1:9">
      <c r="A919" s="313" t="s">
        <v>345</v>
      </c>
      <c r="B919" s="313" t="s">
        <v>4440</v>
      </c>
      <c r="C919" s="313" t="s">
        <v>4454</v>
      </c>
      <c r="D919" s="313" t="s">
        <v>4454</v>
      </c>
      <c r="E919" s="313" t="s">
        <v>3900</v>
      </c>
      <c r="F919" s="314" t="s">
        <v>4455</v>
      </c>
      <c r="G919" s="313">
        <v>250</v>
      </c>
      <c r="H919" s="313">
        <v>970</v>
      </c>
      <c r="I919" s="313">
        <v>2023.04</v>
      </c>
    </row>
    <row r="920" spans="1:9">
      <c r="A920" s="313" t="s">
        <v>345</v>
      </c>
      <c r="B920" s="313" t="s">
        <v>4440</v>
      </c>
      <c r="C920" s="313" t="s">
        <v>4454</v>
      </c>
      <c r="D920" s="313" t="s">
        <v>4454</v>
      </c>
      <c r="E920" s="313" t="s">
        <v>3818</v>
      </c>
      <c r="F920" s="314" t="s">
        <v>4455</v>
      </c>
      <c r="G920" s="313">
        <v>448</v>
      </c>
      <c r="H920" s="313">
        <v>1538</v>
      </c>
      <c r="I920" s="313">
        <v>2023.04</v>
      </c>
    </row>
    <row r="921" spans="1:9">
      <c r="A921" s="313" t="s">
        <v>345</v>
      </c>
      <c r="B921" s="313" t="s">
        <v>4440</v>
      </c>
      <c r="C921" s="313" t="s">
        <v>4456</v>
      </c>
      <c r="D921" s="313" t="s">
        <v>4456</v>
      </c>
      <c r="E921" s="313" t="s">
        <v>3854</v>
      </c>
      <c r="F921" s="314" t="s">
        <v>877</v>
      </c>
      <c r="G921" s="313">
        <v>250</v>
      </c>
      <c r="H921" s="313">
        <v>250</v>
      </c>
      <c r="I921" s="313">
        <v>2023.04</v>
      </c>
    </row>
    <row r="922" spans="1:9">
      <c r="A922" s="313" t="s">
        <v>345</v>
      </c>
      <c r="B922" s="313" t="s">
        <v>4440</v>
      </c>
      <c r="C922" s="313" t="s">
        <v>4456</v>
      </c>
      <c r="D922" s="313" t="s">
        <v>4456</v>
      </c>
      <c r="E922" s="313" t="s">
        <v>3878</v>
      </c>
      <c r="F922" s="314" t="s">
        <v>877</v>
      </c>
      <c r="G922" s="313">
        <v>1092</v>
      </c>
      <c r="H922" s="313">
        <v>1800</v>
      </c>
      <c r="I922" s="313">
        <v>2023.04</v>
      </c>
    </row>
    <row r="923" spans="1:9">
      <c r="A923" s="313" t="s">
        <v>345</v>
      </c>
      <c r="B923" s="313" t="s">
        <v>4440</v>
      </c>
      <c r="C923" s="313" t="s">
        <v>4456</v>
      </c>
      <c r="D923" s="313" t="s">
        <v>4456</v>
      </c>
      <c r="E923" s="313" t="s">
        <v>4442</v>
      </c>
      <c r="F923" s="314" t="s">
        <v>877</v>
      </c>
      <c r="G923" s="313">
        <v>250</v>
      </c>
      <c r="H923" s="313">
        <v>250</v>
      </c>
      <c r="I923" s="313">
        <v>2023.04</v>
      </c>
    </row>
    <row r="924" spans="1:9">
      <c r="A924" s="313" t="s">
        <v>345</v>
      </c>
      <c r="B924" s="313" t="s">
        <v>4440</v>
      </c>
      <c r="C924" s="313" t="s">
        <v>4456</v>
      </c>
      <c r="D924" s="313" t="s">
        <v>4456</v>
      </c>
      <c r="E924" s="313" t="s">
        <v>3937</v>
      </c>
      <c r="F924" s="314" t="s">
        <v>877</v>
      </c>
      <c r="G924" s="313">
        <v>1092</v>
      </c>
      <c r="H924" s="313">
        <v>1800</v>
      </c>
      <c r="I924" s="313">
        <v>2023.04</v>
      </c>
    </row>
    <row r="925" spans="1:9">
      <c r="A925" s="313" t="s">
        <v>345</v>
      </c>
      <c r="B925" s="313" t="s">
        <v>4440</v>
      </c>
      <c r="C925" s="313" t="s">
        <v>4456</v>
      </c>
      <c r="D925" s="313" t="s">
        <v>4456</v>
      </c>
      <c r="E925" s="313" t="s">
        <v>3900</v>
      </c>
      <c r="F925" s="314" t="s">
        <v>877</v>
      </c>
      <c r="G925" s="313">
        <v>90</v>
      </c>
      <c r="H925" s="313">
        <v>970</v>
      </c>
      <c r="I925" s="313">
        <v>2023.04</v>
      </c>
    </row>
    <row r="926" spans="1:9">
      <c r="A926" s="313" t="s">
        <v>345</v>
      </c>
      <c r="B926" s="313" t="s">
        <v>4440</v>
      </c>
      <c r="C926" s="313" t="s">
        <v>4456</v>
      </c>
      <c r="D926" s="313" t="s">
        <v>4456</v>
      </c>
      <c r="E926" s="313" t="s">
        <v>3818</v>
      </c>
      <c r="F926" s="314" t="s">
        <v>877</v>
      </c>
      <c r="G926" s="313">
        <v>448</v>
      </c>
      <c r="H926" s="313">
        <v>1538</v>
      </c>
      <c r="I926" s="313">
        <v>2023.04</v>
      </c>
    </row>
    <row r="927" spans="1:9">
      <c r="A927" s="313" t="s">
        <v>345</v>
      </c>
      <c r="B927" s="313" t="s">
        <v>4440</v>
      </c>
      <c r="C927" s="313" t="s">
        <v>4456</v>
      </c>
      <c r="D927" s="313" t="s">
        <v>4456</v>
      </c>
      <c r="E927" s="313" t="s">
        <v>3834</v>
      </c>
      <c r="F927" s="314" t="s">
        <v>877</v>
      </c>
      <c r="G927" s="313">
        <v>448</v>
      </c>
      <c r="H927" s="313">
        <v>1555</v>
      </c>
      <c r="I927" s="313">
        <v>2023.04</v>
      </c>
    </row>
    <row r="928" spans="1:9">
      <c r="A928" s="313" t="s">
        <v>345</v>
      </c>
      <c r="B928" s="313" t="s">
        <v>4440</v>
      </c>
      <c r="C928" s="313" t="s">
        <v>4457</v>
      </c>
      <c r="D928" s="313" t="s">
        <v>4053</v>
      </c>
      <c r="E928" s="313" t="s">
        <v>3854</v>
      </c>
      <c r="F928" s="314" t="s">
        <v>879</v>
      </c>
      <c r="G928" s="313">
        <v>250</v>
      </c>
      <c r="H928" s="313">
        <v>250</v>
      </c>
      <c r="I928" s="313">
        <v>2023.04</v>
      </c>
    </row>
    <row r="929" spans="1:9">
      <c r="A929" s="313" t="s">
        <v>345</v>
      </c>
      <c r="B929" s="313" t="s">
        <v>4440</v>
      </c>
      <c r="C929" s="313" t="s">
        <v>4457</v>
      </c>
      <c r="D929" s="313" t="s">
        <v>4053</v>
      </c>
      <c r="E929" s="313" t="s">
        <v>3820</v>
      </c>
      <c r="F929" s="314" t="s">
        <v>879</v>
      </c>
      <c r="G929" s="313">
        <v>250</v>
      </c>
      <c r="H929" s="313">
        <v>250</v>
      </c>
      <c r="I929" s="313">
        <v>2023.04</v>
      </c>
    </row>
    <row r="930" spans="1:9">
      <c r="A930" s="313" t="s">
        <v>345</v>
      </c>
      <c r="B930" s="313" t="s">
        <v>4440</v>
      </c>
      <c r="C930" s="313" t="s">
        <v>4457</v>
      </c>
      <c r="D930" s="313" t="s">
        <v>4053</v>
      </c>
      <c r="E930" s="313" t="s">
        <v>3848</v>
      </c>
      <c r="F930" s="314" t="s">
        <v>879</v>
      </c>
      <c r="G930" s="313">
        <v>1092</v>
      </c>
      <c r="H930" s="313">
        <v>1800</v>
      </c>
      <c r="I930" s="313">
        <v>2023.04</v>
      </c>
    </row>
    <row r="931" spans="1:9">
      <c r="A931" s="313" t="s">
        <v>345</v>
      </c>
      <c r="B931" s="313" t="s">
        <v>4440</v>
      </c>
      <c r="C931" s="313" t="s">
        <v>4457</v>
      </c>
      <c r="D931" s="313" t="s">
        <v>4053</v>
      </c>
      <c r="E931" s="313" t="s">
        <v>3937</v>
      </c>
      <c r="F931" s="314" t="s">
        <v>879</v>
      </c>
      <c r="G931" s="313">
        <v>802</v>
      </c>
      <c r="H931" s="313">
        <v>1800</v>
      </c>
      <c r="I931" s="313">
        <v>2023.04</v>
      </c>
    </row>
    <row r="932" spans="1:9">
      <c r="A932" s="313" t="s">
        <v>345</v>
      </c>
      <c r="B932" s="313" t="s">
        <v>4440</v>
      </c>
      <c r="C932" s="313" t="s">
        <v>4457</v>
      </c>
      <c r="D932" s="313" t="s">
        <v>4053</v>
      </c>
      <c r="E932" s="313" t="s">
        <v>3900</v>
      </c>
      <c r="F932" s="314" t="s">
        <v>879</v>
      </c>
      <c r="G932" s="313">
        <v>90</v>
      </c>
      <c r="H932" s="313">
        <v>728</v>
      </c>
      <c r="I932" s="313">
        <v>2023.04</v>
      </c>
    </row>
    <row r="933" spans="1:9">
      <c r="A933" s="313" t="s">
        <v>345</v>
      </c>
      <c r="B933" s="313" t="s">
        <v>4440</v>
      </c>
      <c r="C933" s="313" t="s">
        <v>4457</v>
      </c>
      <c r="D933" s="313" t="s">
        <v>4053</v>
      </c>
      <c r="E933" s="313" t="s">
        <v>3834</v>
      </c>
      <c r="F933" s="314" t="s">
        <v>879</v>
      </c>
      <c r="G933" s="313">
        <v>448</v>
      </c>
      <c r="H933" s="313">
        <v>1555</v>
      </c>
      <c r="I933" s="313">
        <v>2023.04</v>
      </c>
    </row>
    <row r="934" spans="1:9">
      <c r="A934" s="313" t="s">
        <v>345</v>
      </c>
      <c r="B934" s="313" t="s">
        <v>4440</v>
      </c>
      <c r="C934" s="313" t="s">
        <v>4457</v>
      </c>
      <c r="D934" s="313" t="s">
        <v>4457</v>
      </c>
      <c r="E934" s="313" t="s">
        <v>3820</v>
      </c>
      <c r="F934" s="314" t="s">
        <v>4458</v>
      </c>
      <c r="G934" s="313">
        <v>250</v>
      </c>
      <c r="H934" s="313">
        <v>250</v>
      </c>
      <c r="I934" s="313">
        <v>2023.04</v>
      </c>
    </row>
    <row r="935" spans="1:9">
      <c r="A935" s="313" t="s">
        <v>345</v>
      </c>
      <c r="B935" s="313" t="s">
        <v>4440</v>
      </c>
      <c r="C935" s="313" t="s">
        <v>4457</v>
      </c>
      <c r="D935" s="313" t="s">
        <v>4457</v>
      </c>
      <c r="E935" s="313" t="s">
        <v>4442</v>
      </c>
      <c r="F935" s="314" t="s">
        <v>4458</v>
      </c>
      <c r="G935" s="313">
        <v>250</v>
      </c>
      <c r="H935" s="313">
        <v>250</v>
      </c>
      <c r="I935" s="313">
        <v>2023.04</v>
      </c>
    </row>
    <row r="936" spans="1:9">
      <c r="A936" s="313" t="s">
        <v>345</v>
      </c>
      <c r="B936" s="313" t="s">
        <v>4440</v>
      </c>
      <c r="C936" s="313" t="s">
        <v>4457</v>
      </c>
      <c r="D936" s="313" t="s">
        <v>4457</v>
      </c>
      <c r="E936" s="313" t="s">
        <v>3937</v>
      </c>
      <c r="F936" s="314" t="s">
        <v>4458</v>
      </c>
      <c r="G936" s="313">
        <v>1092</v>
      </c>
      <c r="H936" s="313">
        <v>1800</v>
      </c>
      <c r="I936" s="313">
        <v>2023.04</v>
      </c>
    </row>
    <row r="937" spans="1:9">
      <c r="A937" s="313" t="s">
        <v>345</v>
      </c>
      <c r="B937" s="313" t="s">
        <v>4440</v>
      </c>
      <c r="C937" s="313" t="s">
        <v>4457</v>
      </c>
      <c r="D937" s="313" t="s">
        <v>4457</v>
      </c>
      <c r="E937" s="313" t="s">
        <v>3900</v>
      </c>
      <c r="F937" s="314" t="s">
        <v>4458</v>
      </c>
      <c r="G937" s="313">
        <v>90</v>
      </c>
      <c r="H937" s="313">
        <v>728</v>
      </c>
      <c r="I937" s="313">
        <v>2023.04</v>
      </c>
    </row>
    <row r="938" spans="1:9">
      <c r="A938" s="313" t="s">
        <v>345</v>
      </c>
      <c r="B938" s="313" t="s">
        <v>4440</v>
      </c>
      <c r="C938" s="313" t="s">
        <v>4457</v>
      </c>
      <c r="D938" s="313" t="s">
        <v>4457</v>
      </c>
      <c r="E938" s="313" t="s">
        <v>3818</v>
      </c>
      <c r="F938" s="314" t="s">
        <v>4458</v>
      </c>
      <c r="G938" s="313">
        <v>448</v>
      </c>
      <c r="H938" s="313">
        <v>1555</v>
      </c>
      <c r="I938" s="313">
        <v>2023.04</v>
      </c>
    </row>
    <row r="939" spans="1:9">
      <c r="A939" s="313" t="s">
        <v>345</v>
      </c>
      <c r="B939" s="313" t="s">
        <v>4440</v>
      </c>
      <c r="C939" s="313" t="s">
        <v>4457</v>
      </c>
      <c r="D939" s="313" t="s">
        <v>4457</v>
      </c>
      <c r="E939" s="313" t="s">
        <v>3834</v>
      </c>
      <c r="F939" s="314" t="s">
        <v>4458</v>
      </c>
      <c r="G939" s="313">
        <v>448</v>
      </c>
      <c r="H939" s="313">
        <v>1555</v>
      </c>
      <c r="I939" s="313">
        <v>2023.04</v>
      </c>
    </row>
    <row r="940" spans="1:9">
      <c r="A940" s="313" t="s">
        <v>326</v>
      </c>
      <c r="B940" s="313" t="s">
        <v>4459</v>
      </c>
      <c r="C940" s="313" t="s">
        <v>4460</v>
      </c>
      <c r="D940" s="313" t="s">
        <v>4460</v>
      </c>
      <c r="E940" s="313" t="s">
        <v>3820</v>
      </c>
      <c r="F940" s="314" t="s">
        <v>4461</v>
      </c>
      <c r="G940" s="313">
        <v>334</v>
      </c>
      <c r="H940" s="313">
        <v>765</v>
      </c>
      <c r="I940" s="313">
        <v>2023.04</v>
      </c>
    </row>
    <row r="941" spans="1:9">
      <c r="A941" s="313" t="s">
        <v>326</v>
      </c>
      <c r="B941" s="313" t="s">
        <v>4459</v>
      </c>
      <c r="C941" s="313" t="s">
        <v>4460</v>
      </c>
      <c r="D941" s="313" t="s">
        <v>4460</v>
      </c>
      <c r="E941" s="313" t="s">
        <v>3878</v>
      </c>
      <c r="F941" s="314" t="s">
        <v>4461</v>
      </c>
      <c r="G941" s="313">
        <v>650</v>
      </c>
      <c r="H941" s="313">
        <v>650</v>
      </c>
      <c r="I941" s="313">
        <v>2023.04</v>
      </c>
    </row>
    <row r="942" spans="1:9">
      <c r="A942" s="313" t="s">
        <v>326</v>
      </c>
      <c r="B942" s="313" t="s">
        <v>4459</v>
      </c>
      <c r="C942" s="313" t="s">
        <v>4460</v>
      </c>
      <c r="D942" s="313" t="s">
        <v>4460</v>
      </c>
      <c r="E942" s="313" t="s">
        <v>3834</v>
      </c>
      <c r="F942" s="314" t="s">
        <v>4461</v>
      </c>
      <c r="G942" s="313">
        <v>380</v>
      </c>
      <c r="H942" s="313">
        <v>1280</v>
      </c>
      <c r="I942" s="313">
        <v>2023.04</v>
      </c>
    </row>
    <row r="943" spans="1:9">
      <c r="A943" s="313" t="s">
        <v>326</v>
      </c>
      <c r="B943" s="313" t="s">
        <v>4459</v>
      </c>
      <c r="C943" s="313" t="s">
        <v>4460</v>
      </c>
      <c r="D943" s="313" t="s">
        <v>2835</v>
      </c>
      <c r="E943" s="313" t="s">
        <v>3818</v>
      </c>
      <c r="F943" s="314" t="s">
        <v>4462</v>
      </c>
      <c r="G943" s="313">
        <v>380</v>
      </c>
      <c r="H943" s="313">
        <v>1070</v>
      </c>
      <c r="I943" s="313">
        <v>2023.04</v>
      </c>
    </row>
    <row r="944" spans="1:9">
      <c r="A944" s="313" t="s">
        <v>326</v>
      </c>
      <c r="B944" s="313" t="s">
        <v>4459</v>
      </c>
      <c r="C944" s="313" t="s">
        <v>3836</v>
      </c>
      <c r="D944" s="313" t="s">
        <v>3836</v>
      </c>
      <c r="E944" s="313" t="s">
        <v>3854</v>
      </c>
      <c r="F944" s="314" t="s">
        <v>466</v>
      </c>
      <c r="G944" s="313">
        <v>104</v>
      </c>
      <c r="H944" s="313">
        <v>230</v>
      </c>
      <c r="I944" s="313">
        <v>2023.04</v>
      </c>
    </row>
    <row r="945" spans="1:9">
      <c r="A945" s="313" t="s">
        <v>326</v>
      </c>
      <c r="B945" s="313" t="s">
        <v>4459</v>
      </c>
      <c r="C945" s="313" t="s">
        <v>3836</v>
      </c>
      <c r="D945" s="313" t="s">
        <v>3836</v>
      </c>
      <c r="E945" s="313" t="s">
        <v>3820</v>
      </c>
      <c r="F945" s="314" t="s">
        <v>466</v>
      </c>
      <c r="G945" s="313">
        <v>400</v>
      </c>
      <c r="H945" s="313">
        <v>400</v>
      </c>
      <c r="I945" s="313">
        <v>2023.04</v>
      </c>
    </row>
    <row r="946" spans="1:9">
      <c r="A946" s="313" t="s">
        <v>326</v>
      </c>
      <c r="B946" s="313" t="s">
        <v>4459</v>
      </c>
      <c r="C946" s="313" t="s">
        <v>3836</v>
      </c>
      <c r="D946" s="313" t="s">
        <v>3836</v>
      </c>
      <c r="E946" s="313" t="s">
        <v>3849</v>
      </c>
      <c r="F946" s="314" t="s">
        <v>466</v>
      </c>
      <c r="G946" s="313">
        <v>338</v>
      </c>
      <c r="H946" s="313">
        <v>220</v>
      </c>
      <c r="I946" s="313">
        <v>2023.04</v>
      </c>
    </row>
    <row r="947" spans="1:9">
      <c r="A947" s="313" t="s">
        <v>326</v>
      </c>
      <c r="B947" s="313" t="s">
        <v>4459</v>
      </c>
      <c r="C947" s="313" t="s">
        <v>3836</v>
      </c>
      <c r="D947" s="313" t="s">
        <v>3836</v>
      </c>
      <c r="E947" s="313" t="s">
        <v>3878</v>
      </c>
      <c r="F947" s="314" t="s">
        <v>466</v>
      </c>
      <c r="G947" s="313">
        <v>300</v>
      </c>
      <c r="H947" s="313">
        <v>1366</v>
      </c>
      <c r="I947" s="313">
        <v>2023.04</v>
      </c>
    </row>
    <row r="948" spans="1:9">
      <c r="A948" s="313" t="s">
        <v>326</v>
      </c>
      <c r="B948" s="313" t="s">
        <v>4459</v>
      </c>
      <c r="C948" s="313" t="s">
        <v>3836</v>
      </c>
      <c r="D948" s="313" t="s">
        <v>3836</v>
      </c>
      <c r="E948" s="313" t="s">
        <v>3834</v>
      </c>
      <c r="F948" s="314" t="s">
        <v>466</v>
      </c>
      <c r="G948" s="313">
        <v>495</v>
      </c>
      <c r="H948" s="313">
        <v>1680</v>
      </c>
      <c r="I948" s="313">
        <v>2023.04</v>
      </c>
    </row>
    <row r="949" spans="1:9">
      <c r="A949" s="313" t="s">
        <v>326</v>
      </c>
      <c r="B949" s="313" t="s">
        <v>4459</v>
      </c>
      <c r="C949" s="313" t="s">
        <v>4463</v>
      </c>
      <c r="D949" s="313" t="s">
        <v>4464</v>
      </c>
      <c r="E949" s="313" t="s">
        <v>3818</v>
      </c>
      <c r="F949" s="314" t="s">
        <v>4465</v>
      </c>
      <c r="G949" s="313">
        <v>150</v>
      </c>
      <c r="H949" s="313">
        <v>1070</v>
      </c>
      <c r="I949" s="313">
        <v>2023.04</v>
      </c>
    </row>
    <row r="950" spans="1:9">
      <c r="A950" s="313" t="s">
        <v>326</v>
      </c>
      <c r="B950" s="313" t="s">
        <v>4459</v>
      </c>
      <c r="C950" s="313" t="s">
        <v>4463</v>
      </c>
      <c r="D950" s="313" t="s">
        <v>4463</v>
      </c>
      <c r="E950" s="313" t="s">
        <v>3820</v>
      </c>
      <c r="F950" s="314" t="s">
        <v>4466</v>
      </c>
      <c r="G950" s="313">
        <v>400</v>
      </c>
      <c r="H950" s="313">
        <v>600</v>
      </c>
      <c r="I950" s="313">
        <v>2023.04</v>
      </c>
    </row>
    <row r="951" spans="1:9">
      <c r="A951" s="313" t="s">
        <v>326</v>
      </c>
      <c r="B951" s="313" t="s">
        <v>4459</v>
      </c>
      <c r="C951" s="313" t="s">
        <v>4463</v>
      </c>
      <c r="D951" s="313" t="s">
        <v>4463</v>
      </c>
      <c r="E951" s="313" t="s">
        <v>3878</v>
      </c>
      <c r="F951" s="314" t="s">
        <v>4466</v>
      </c>
      <c r="G951" s="313">
        <v>800</v>
      </c>
      <c r="H951" s="313">
        <v>800</v>
      </c>
      <c r="I951" s="313">
        <v>2023.04</v>
      </c>
    </row>
    <row r="952" spans="1:9">
      <c r="A952" s="313" t="s">
        <v>326</v>
      </c>
      <c r="B952" s="313" t="s">
        <v>4459</v>
      </c>
      <c r="C952" s="313" t="s">
        <v>4463</v>
      </c>
      <c r="D952" s="313" t="s">
        <v>4463</v>
      </c>
      <c r="E952" s="313" t="s">
        <v>3834</v>
      </c>
      <c r="F952" s="314" t="s">
        <v>4466</v>
      </c>
      <c r="G952" s="313">
        <v>380</v>
      </c>
      <c r="H952" s="313">
        <v>1200</v>
      </c>
      <c r="I952" s="313">
        <v>2023.04</v>
      </c>
    </row>
    <row r="953" spans="1:9">
      <c r="A953" s="313" t="s">
        <v>326</v>
      </c>
      <c r="B953" s="313" t="s">
        <v>4459</v>
      </c>
      <c r="C953" s="313" t="s">
        <v>4463</v>
      </c>
      <c r="D953" s="313" t="s">
        <v>4467</v>
      </c>
      <c r="E953" s="313" t="s">
        <v>3818</v>
      </c>
      <c r="F953" s="314" t="s">
        <v>4468</v>
      </c>
      <c r="G953" s="313">
        <v>150</v>
      </c>
      <c r="H953" s="313">
        <v>1070</v>
      </c>
      <c r="I953" s="313">
        <v>2023.04</v>
      </c>
    </row>
    <row r="954" spans="1:9">
      <c r="A954" s="313" t="s">
        <v>326</v>
      </c>
      <c r="B954" s="313" t="s">
        <v>4469</v>
      </c>
      <c r="C954" s="313" t="s">
        <v>4460</v>
      </c>
      <c r="D954" s="313" t="s">
        <v>4460</v>
      </c>
      <c r="E954" s="313" t="s">
        <v>3854</v>
      </c>
      <c r="F954" s="314" t="s">
        <v>4470</v>
      </c>
      <c r="G954" s="313">
        <v>130</v>
      </c>
      <c r="H954" s="313">
        <v>245</v>
      </c>
      <c r="I954" s="313">
        <v>2023.04</v>
      </c>
    </row>
    <row r="955" spans="1:9">
      <c r="A955" s="313" t="s">
        <v>326</v>
      </c>
      <c r="B955" s="313" t="s">
        <v>4469</v>
      </c>
      <c r="C955" s="313" t="s">
        <v>4460</v>
      </c>
      <c r="D955" s="313" t="s">
        <v>4460</v>
      </c>
      <c r="E955" s="313" t="s">
        <v>3848</v>
      </c>
      <c r="F955" s="314" t="s">
        <v>4470</v>
      </c>
      <c r="G955" s="313">
        <v>180</v>
      </c>
      <c r="H955" s="313">
        <v>1300</v>
      </c>
      <c r="I955" s="313">
        <v>2023.04</v>
      </c>
    </row>
    <row r="956" spans="1:9">
      <c r="A956" s="313" t="s">
        <v>326</v>
      </c>
      <c r="B956" s="313" t="s">
        <v>4469</v>
      </c>
      <c r="C956" s="313" t="s">
        <v>4460</v>
      </c>
      <c r="D956" s="313" t="s">
        <v>4460</v>
      </c>
      <c r="E956" s="313" t="s">
        <v>3878</v>
      </c>
      <c r="F956" s="314" t="s">
        <v>4470</v>
      </c>
      <c r="G956" s="313">
        <v>866</v>
      </c>
      <c r="H956" s="313">
        <v>472</v>
      </c>
      <c r="I956" s="313">
        <v>2023.04</v>
      </c>
    </row>
    <row r="957" spans="1:9">
      <c r="A957" s="313" t="s">
        <v>326</v>
      </c>
      <c r="B957" s="313" t="s">
        <v>4469</v>
      </c>
      <c r="C957" s="313" t="s">
        <v>4460</v>
      </c>
      <c r="D957" s="313" t="s">
        <v>4460</v>
      </c>
      <c r="E957" s="313" t="s">
        <v>3937</v>
      </c>
      <c r="F957" s="314" t="s">
        <v>4470</v>
      </c>
      <c r="G957" s="313">
        <v>256</v>
      </c>
      <c r="H957" s="313">
        <v>638</v>
      </c>
      <c r="I957" s="313">
        <v>2023.04</v>
      </c>
    </row>
    <row r="958" spans="1:9">
      <c r="A958" s="313" t="s">
        <v>326</v>
      </c>
      <c r="B958" s="313" t="s">
        <v>4469</v>
      </c>
      <c r="C958" s="313" t="s">
        <v>4460</v>
      </c>
      <c r="D958" s="313" t="s">
        <v>4460</v>
      </c>
      <c r="E958" s="313" t="s">
        <v>3834</v>
      </c>
      <c r="F958" s="314" t="s">
        <v>4470</v>
      </c>
      <c r="G958" s="313">
        <v>260</v>
      </c>
      <c r="H958" s="313">
        <v>1400</v>
      </c>
      <c r="I958" s="313">
        <v>2023.04</v>
      </c>
    </row>
    <row r="959" spans="1:9">
      <c r="A959" s="313" t="s">
        <v>326</v>
      </c>
      <c r="B959" s="313" t="s">
        <v>4469</v>
      </c>
      <c r="C959" s="313" t="s">
        <v>4460</v>
      </c>
      <c r="D959" s="313" t="s">
        <v>4471</v>
      </c>
      <c r="E959" s="313" t="s">
        <v>3854</v>
      </c>
      <c r="F959" s="314" t="s">
        <v>4472</v>
      </c>
      <c r="G959" s="313">
        <v>35</v>
      </c>
      <c r="H959" s="313">
        <v>158</v>
      </c>
      <c r="I959" s="313">
        <v>2023.04</v>
      </c>
    </row>
    <row r="960" spans="1:9">
      <c r="A960" s="313" t="s">
        <v>326</v>
      </c>
      <c r="B960" s="313" t="s">
        <v>4469</v>
      </c>
      <c r="C960" s="313" t="s">
        <v>4460</v>
      </c>
      <c r="D960" s="313" t="s">
        <v>4471</v>
      </c>
      <c r="E960" s="313" t="s">
        <v>3820</v>
      </c>
      <c r="F960" s="314" t="s">
        <v>4472</v>
      </c>
      <c r="G960" s="313">
        <v>212</v>
      </c>
      <c r="H960" s="313">
        <v>212</v>
      </c>
      <c r="I960" s="313">
        <v>2023.04</v>
      </c>
    </row>
    <row r="961" spans="1:9">
      <c r="A961" s="313" t="s">
        <v>326</v>
      </c>
      <c r="B961" s="313" t="s">
        <v>4469</v>
      </c>
      <c r="C961" s="313" t="s">
        <v>4460</v>
      </c>
      <c r="D961" s="313" t="s">
        <v>4471</v>
      </c>
      <c r="E961" s="313" t="s">
        <v>3878</v>
      </c>
      <c r="F961" s="314" t="s">
        <v>4472</v>
      </c>
      <c r="G961" s="313">
        <v>256</v>
      </c>
      <c r="H961" s="313">
        <v>638</v>
      </c>
      <c r="I961" s="313">
        <v>2023.04</v>
      </c>
    </row>
    <row r="962" spans="1:9">
      <c r="A962" s="313" t="s">
        <v>326</v>
      </c>
      <c r="B962" s="313" t="s">
        <v>4469</v>
      </c>
      <c r="C962" s="313" t="s">
        <v>4460</v>
      </c>
      <c r="D962" s="313" t="s">
        <v>4471</v>
      </c>
      <c r="E962" s="313" t="s">
        <v>3834</v>
      </c>
      <c r="F962" s="314" t="s">
        <v>4472</v>
      </c>
      <c r="G962" s="313">
        <v>260</v>
      </c>
      <c r="H962" s="313">
        <v>1400</v>
      </c>
      <c r="I962" s="313">
        <v>2023.04</v>
      </c>
    </row>
    <row r="963" spans="1:9">
      <c r="A963" s="313" t="s">
        <v>326</v>
      </c>
      <c r="B963" s="313" t="s">
        <v>4469</v>
      </c>
      <c r="C963" s="313" t="s">
        <v>4460</v>
      </c>
      <c r="D963" s="313" t="s">
        <v>4473</v>
      </c>
      <c r="E963" s="313" t="s">
        <v>3820</v>
      </c>
      <c r="F963" s="314" t="s">
        <v>4474</v>
      </c>
      <c r="G963" s="313">
        <v>272</v>
      </c>
      <c r="H963" s="313">
        <v>272</v>
      </c>
      <c r="I963" s="313">
        <v>2023.04</v>
      </c>
    </row>
    <row r="964" spans="1:9">
      <c r="A964" s="313" t="s">
        <v>326</v>
      </c>
      <c r="B964" s="313" t="s">
        <v>4469</v>
      </c>
      <c r="C964" s="313" t="s">
        <v>4460</v>
      </c>
      <c r="D964" s="313" t="s">
        <v>4473</v>
      </c>
      <c r="E964" s="313" t="s">
        <v>3818</v>
      </c>
      <c r="F964" s="314" t="s">
        <v>4474</v>
      </c>
      <c r="G964" s="313">
        <v>100</v>
      </c>
      <c r="H964" s="313">
        <v>1100</v>
      </c>
      <c r="I964" s="313">
        <v>2023.04</v>
      </c>
    </row>
    <row r="965" spans="1:9">
      <c r="A965" s="313" t="s">
        <v>326</v>
      </c>
      <c r="B965" s="313" t="s">
        <v>4469</v>
      </c>
      <c r="C965" s="313" t="s">
        <v>4460</v>
      </c>
      <c r="D965" s="313" t="s">
        <v>4467</v>
      </c>
      <c r="E965" s="313" t="s">
        <v>3820</v>
      </c>
      <c r="F965" s="314" t="s">
        <v>4475</v>
      </c>
      <c r="G965" s="313">
        <v>136</v>
      </c>
      <c r="H965" s="313">
        <v>136</v>
      </c>
      <c r="I965" s="313">
        <v>2023.04</v>
      </c>
    </row>
    <row r="966" spans="1:9">
      <c r="A966" s="313" t="s">
        <v>326</v>
      </c>
      <c r="B966" s="313" t="s">
        <v>4469</v>
      </c>
      <c r="C966" s="313" t="s">
        <v>4460</v>
      </c>
      <c r="D966" s="313" t="s">
        <v>4467</v>
      </c>
      <c r="E966" s="313" t="s">
        <v>3818</v>
      </c>
      <c r="F966" s="314" t="s">
        <v>4475</v>
      </c>
      <c r="G966" s="313">
        <v>100</v>
      </c>
      <c r="H966" s="313">
        <v>1100</v>
      </c>
      <c r="I966" s="313">
        <v>2023.04</v>
      </c>
    </row>
    <row r="967" spans="1:9">
      <c r="A967" s="313" t="s">
        <v>326</v>
      </c>
      <c r="B967" s="313" t="s">
        <v>4469</v>
      </c>
      <c r="C967" s="313" t="s">
        <v>4460</v>
      </c>
      <c r="D967" s="313" t="s">
        <v>4476</v>
      </c>
      <c r="E967" s="313" t="s">
        <v>3820</v>
      </c>
      <c r="F967" s="314" t="s">
        <v>4477</v>
      </c>
      <c r="G967" s="313">
        <v>136</v>
      </c>
      <c r="H967" s="313">
        <v>136</v>
      </c>
      <c r="I967" s="313">
        <v>2023.04</v>
      </c>
    </row>
    <row r="968" spans="1:9">
      <c r="A968" s="313" t="s">
        <v>326</v>
      </c>
      <c r="B968" s="313" t="s">
        <v>4469</v>
      </c>
      <c r="C968" s="313" t="s">
        <v>4460</v>
      </c>
      <c r="D968" s="313" t="s">
        <v>4476</v>
      </c>
      <c r="E968" s="313" t="s">
        <v>3818</v>
      </c>
      <c r="F968" s="314" t="s">
        <v>4477</v>
      </c>
      <c r="G968" s="313">
        <v>100</v>
      </c>
      <c r="H968" s="313">
        <v>1110</v>
      </c>
      <c r="I968" s="313">
        <v>2023.04</v>
      </c>
    </row>
    <row r="969" spans="1:9">
      <c r="A969" s="313" t="s">
        <v>326</v>
      </c>
      <c r="B969" s="313" t="s">
        <v>4469</v>
      </c>
      <c r="C969" s="313" t="s">
        <v>3836</v>
      </c>
      <c r="D969" s="313" t="s">
        <v>3836</v>
      </c>
      <c r="E969" s="313" t="s">
        <v>3854</v>
      </c>
      <c r="F969" s="314" t="s">
        <v>468</v>
      </c>
      <c r="G969" s="313">
        <v>0</v>
      </c>
      <c r="H969" s="313">
        <v>0</v>
      </c>
      <c r="I969" s="313">
        <v>2023.04</v>
      </c>
    </row>
    <row r="970" spans="1:9">
      <c r="A970" s="313" t="s">
        <v>326</v>
      </c>
      <c r="B970" s="313" t="s">
        <v>4469</v>
      </c>
      <c r="C970" s="313" t="s">
        <v>3836</v>
      </c>
      <c r="D970" s="313" t="s">
        <v>3836</v>
      </c>
      <c r="E970" s="313" t="s">
        <v>3820</v>
      </c>
      <c r="F970" s="314" t="s">
        <v>468</v>
      </c>
      <c r="G970" s="313">
        <v>147</v>
      </c>
      <c r="H970" s="313">
        <v>147</v>
      </c>
      <c r="I970" s="313">
        <v>2023.04</v>
      </c>
    </row>
    <row r="971" spans="1:9">
      <c r="A971" s="313" t="s">
        <v>326</v>
      </c>
      <c r="B971" s="313" t="s">
        <v>4469</v>
      </c>
      <c r="C971" s="313" t="s">
        <v>3836</v>
      </c>
      <c r="D971" s="313" t="s">
        <v>3836</v>
      </c>
      <c r="E971" s="313" t="s">
        <v>3848</v>
      </c>
      <c r="F971" s="314" t="s">
        <v>468</v>
      </c>
      <c r="G971" s="313">
        <v>180</v>
      </c>
      <c r="H971" s="313">
        <v>500</v>
      </c>
      <c r="I971" s="313">
        <v>2023.04</v>
      </c>
    </row>
    <row r="972" spans="1:9">
      <c r="A972" s="313" t="s">
        <v>326</v>
      </c>
      <c r="B972" s="313" t="s">
        <v>4469</v>
      </c>
      <c r="C972" s="313" t="s">
        <v>3836</v>
      </c>
      <c r="D972" s="313" t="s">
        <v>3836</v>
      </c>
      <c r="E972" s="313" t="s">
        <v>3849</v>
      </c>
      <c r="F972" s="314" t="s">
        <v>468</v>
      </c>
      <c r="G972" s="313">
        <v>656</v>
      </c>
      <c r="H972" s="313">
        <v>420</v>
      </c>
      <c r="I972" s="313">
        <v>2023.04</v>
      </c>
    </row>
    <row r="973" spans="1:9">
      <c r="A973" s="313" t="s">
        <v>326</v>
      </c>
      <c r="B973" s="313" t="s">
        <v>4469</v>
      </c>
      <c r="C973" s="313" t="s">
        <v>3836</v>
      </c>
      <c r="D973" s="313" t="s">
        <v>3836</v>
      </c>
      <c r="E973" s="313" t="s">
        <v>3878</v>
      </c>
      <c r="F973" s="314" t="s">
        <v>468</v>
      </c>
      <c r="G973" s="313">
        <v>1168</v>
      </c>
      <c r="H973" s="313">
        <v>766</v>
      </c>
      <c r="I973" s="313">
        <v>2023.04</v>
      </c>
    </row>
    <row r="974" spans="1:9">
      <c r="A974" s="313" t="s">
        <v>326</v>
      </c>
      <c r="B974" s="313" t="s">
        <v>4469</v>
      </c>
      <c r="C974" s="313" t="s">
        <v>3836</v>
      </c>
      <c r="D974" s="313" t="s">
        <v>3836</v>
      </c>
      <c r="E974" s="313" t="s">
        <v>4026</v>
      </c>
      <c r="F974" s="314" t="s">
        <v>468</v>
      </c>
      <c r="G974" s="313">
        <v>0</v>
      </c>
      <c r="H974" s="313">
        <v>0</v>
      </c>
      <c r="I974" s="313">
        <v>2023.04</v>
      </c>
    </row>
    <row r="975" spans="1:9">
      <c r="A975" s="313" t="s">
        <v>326</v>
      </c>
      <c r="B975" s="313" t="s">
        <v>4469</v>
      </c>
      <c r="C975" s="313" t="s">
        <v>3836</v>
      </c>
      <c r="D975" s="313" t="s">
        <v>3836</v>
      </c>
      <c r="E975" s="313" t="s">
        <v>4131</v>
      </c>
      <c r="F975" s="314" t="s">
        <v>468</v>
      </c>
      <c r="G975" s="313">
        <v>405</v>
      </c>
      <c r="H975" s="313">
        <v>288</v>
      </c>
      <c r="I975" s="313">
        <v>2023.04</v>
      </c>
    </row>
    <row r="976" spans="1:9">
      <c r="A976" s="313" t="s">
        <v>326</v>
      </c>
      <c r="B976" s="313" t="s">
        <v>4469</v>
      </c>
      <c r="C976" s="313" t="s">
        <v>3836</v>
      </c>
      <c r="D976" s="313" t="s">
        <v>3836</v>
      </c>
      <c r="E976" s="313" t="s">
        <v>3834</v>
      </c>
      <c r="F976" s="314" t="s">
        <v>468</v>
      </c>
      <c r="G976" s="313">
        <v>952</v>
      </c>
      <c r="H976" s="313">
        <v>2800</v>
      </c>
      <c r="I976" s="313">
        <v>2023.04</v>
      </c>
    </row>
    <row r="977" spans="1:9">
      <c r="A977" s="313" t="s">
        <v>378</v>
      </c>
      <c r="B977" s="313" t="s">
        <v>4478</v>
      </c>
      <c r="C977" s="313" t="s">
        <v>3836</v>
      </c>
      <c r="D977" s="313" t="s">
        <v>3836</v>
      </c>
      <c r="E977" s="313" t="s">
        <v>3969</v>
      </c>
      <c r="F977" s="314" t="s">
        <v>380</v>
      </c>
      <c r="G977" s="313">
        <v>320</v>
      </c>
      <c r="H977" s="313">
        <v>640</v>
      </c>
      <c r="I977" s="313">
        <v>2023.04</v>
      </c>
    </row>
    <row r="978" spans="1:9">
      <c r="A978" s="313" t="s">
        <v>378</v>
      </c>
      <c r="B978" s="313" t="s">
        <v>4478</v>
      </c>
      <c r="C978" s="313" t="s">
        <v>3836</v>
      </c>
      <c r="D978" s="313" t="s">
        <v>3836</v>
      </c>
      <c r="E978" s="313" t="s">
        <v>3848</v>
      </c>
      <c r="F978" s="314" t="s">
        <v>380</v>
      </c>
      <c r="G978" s="313">
        <v>360</v>
      </c>
      <c r="H978" s="313">
        <v>1150</v>
      </c>
      <c r="I978" s="313">
        <v>2023.04</v>
      </c>
    </row>
    <row r="979" spans="1:9">
      <c r="A979" s="313" t="s">
        <v>378</v>
      </c>
      <c r="B979" s="313" t="s">
        <v>4478</v>
      </c>
      <c r="C979" s="313" t="s">
        <v>3836</v>
      </c>
      <c r="D979" s="313" t="s">
        <v>3836</v>
      </c>
      <c r="E979" s="313" t="s">
        <v>3834</v>
      </c>
      <c r="F979" s="314" t="s">
        <v>380</v>
      </c>
      <c r="G979" s="313">
        <v>600</v>
      </c>
      <c r="H979" s="313">
        <v>1920</v>
      </c>
      <c r="I979" s="313">
        <v>2023.04</v>
      </c>
    </row>
    <row r="980" spans="1:9">
      <c r="A980" s="313" t="s">
        <v>378</v>
      </c>
      <c r="B980" s="313" t="s">
        <v>4478</v>
      </c>
      <c r="C980" s="313" t="s">
        <v>4479</v>
      </c>
      <c r="D980" s="313" t="s">
        <v>4479</v>
      </c>
      <c r="E980" s="313" t="s">
        <v>4326</v>
      </c>
      <c r="F980" s="314" t="s">
        <v>4480</v>
      </c>
      <c r="G980" s="313">
        <v>600</v>
      </c>
      <c r="H980" s="313">
        <v>1200</v>
      </c>
      <c r="I980" s="313">
        <v>2023.04</v>
      </c>
    </row>
    <row r="981" spans="1:9">
      <c r="A981" s="313" t="s">
        <v>378</v>
      </c>
      <c r="B981" s="313" t="s">
        <v>4478</v>
      </c>
      <c r="C981" s="313" t="s">
        <v>4479</v>
      </c>
      <c r="D981" s="313" t="s">
        <v>4479</v>
      </c>
      <c r="E981" s="313" t="s">
        <v>4326</v>
      </c>
      <c r="F981" s="314" t="s">
        <v>4481</v>
      </c>
      <c r="G981" s="313">
        <v>320</v>
      </c>
      <c r="H981" s="313">
        <v>640</v>
      </c>
      <c r="I981" s="313">
        <v>2023.04</v>
      </c>
    </row>
    <row r="982" spans="1:9">
      <c r="A982" s="313" t="s">
        <v>378</v>
      </c>
      <c r="B982" s="313" t="s">
        <v>4478</v>
      </c>
      <c r="C982" s="313" t="s">
        <v>4479</v>
      </c>
      <c r="D982" s="313" t="s">
        <v>4479</v>
      </c>
      <c r="E982" s="313" t="s">
        <v>4326</v>
      </c>
      <c r="F982" s="314" t="s">
        <v>4482</v>
      </c>
      <c r="G982" s="313">
        <v>320</v>
      </c>
      <c r="H982" s="313">
        <v>640</v>
      </c>
      <c r="I982" s="313">
        <v>2023.04</v>
      </c>
    </row>
    <row r="983" spans="1:9">
      <c r="A983" s="313" t="s">
        <v>378</v>
      </c>
      <c r="B983" s="313" t="s">
        <v>4478</v>
      </c>
      <c r="C983" s="313" t="s">
        <v>4479</v>
      </c>
      <c r="D983" s="313" t="s">
        <v>4479</v>
      </c>
      <c r="E983" s="313" t="s">
        <v>4326</v>
      </c>
      <c r="F983" s="314" t="s">
        <v>4483</v>
      </c>
      <c r="G983" s="313">
        <v>600</v>
      </c>
      <c r="H983" s="313">
        <v>1200</v>
      </c>
      <c r="I983" s="313">
        <v>2023.04</v>
      </c>
    </row>
    <row r="984" spans="1:9" ht="17.399999999999999">
      <c r="A984" s="313" t="s">
        <v>378</v>
      </c>
      <c r="B984" s="313" t="s">
        <v>4478</v>
      </c>
      <c r="C984" s="313" t="s">
        <v>4479</v>
      </c>
      <c r="D984" s="313" t="s">
        <v>4484</v>
      </c>
      <c r="E984" s="313" t="s">
        <v>4326</v>
      </c>
      <c r="F984" s="314" t="s">
        <v>4480</v>
      </c>
      <c r="G984" s="313">
        <v>600</v>
      </c>
      <c r="H984" s="313">
        <v>1200</v>
      </c>
      <c r="I984" s="313">
        <v>2023.04</v>
      </c>
    </row>
    <row r="985" spans="1:9">
      <c r="A985" s="313" t="s">
        <v>378</v>
      </c>
      <c r="B985" s="313" t="s">
        <v>4478</v>
      </c>
      <c r="C985" s="313" t="s">
        <v>4479</v>
      </c>
      <c r="D985" s="313" t="s">
        <v>4485</v>
      </c>
      <c r="E985" s="313" t="s">
        <v>4326</v>
      </c>
      <c r="F985" s="314" t="s">
        <v>4481</v>
      </c>
      <c r="G985" s="313">
        <v>600</v>
      </c>
      <c r="H985" s="313">
        <v>1200</v>
      </c>
      <c r="I985" s="313">
        <v>2023.04</v>
      </c>
    </row>
    <row r="986" spans="1:9">
      <c r="A986" s="313" t="s">
        <v>378</v>
      </c>
      <c r="B986" s="313" t="s">
        <v>4478</v>
      </c>
      <c r="C986" s="313" t="s">
        <v>4479</v>
      </c>
      <c r="D986" s="313" t="s">
        <v>4486</v>
      </c>
      <c r="E986" s="313" t="s">
        <v>4326</v>
      </c>
      <c r="F986" s="314" t="s">
        <v>4483</v>
      </c>
      <c r="G986" s="313">
        <v>600</v>
      </c>
      <c r="H986" s="313">
        <v>1200</v>
      </c>
      <c r="I986" s="313">
        <v>2023.04</v>
      </c>
    </row>
    <row r="987" spans="1:9">
      <c r="A987" s="313" t="s">
        <v>378</v>
      </c>
      <c r="B987" s="313" t="s">
        <v>4478</v>
      </c>
      <c r="C987" s="313" t="s">
        <v>4487</v>
      </c>
      <c r="D987" s="313" t="s">
        <v>2363</v>
      </c>
      <c r="E987" s="313" t="s">
        <v>4326</v>
      </c>
      <c r="F987" s="314" t="s">
        <v>4488</v>
      </c>
      <c r="G987" s="313">
        <v>600</v>
      </c>
      <c r="H987" s="313">
        <v>1200</v>
      </c>
      <c r="I987" s="313">
        <v>2023.04</v>
      </c>
    </row>
    <row r="988" spans="1:9">
      <c r="A988" s="313" t="s">
        <v>378</v>
      </c>
      <c r="B988" s="313" t="s">
        <v>4478</v>
      </c>
      <c r="C988" s="313" t="s">
        <v>4487</v>
      </c>
      <c r="D988" s="313" t="s">
        <v>4487</v>
      </c>
      <c r="E988" s="313" t="s">
        <v>4326</v>
      </c>
      <c r="F988" s="314" t="s">
        <v>4489</v>
      </c>
      <c r="G988" s="313">
        <v>600</v>
      </c>
      <c r="H988" s="313">
        <v>1200</v>
      </c>
      <c r="I988" s="313">
        <v>2023.04</v>
      </c>
    </row>
    <row r="989" spans="1:9">
      <c r="A989" s="313" t="s">
        <v>378</v>
      </c>
      <c r="B989" s="313" t="s">
        <v>4478</v>
      </c>
      <c r="C989" s="313" t="s">
        <v>4487</v>
      </c>
      <c r="D989" s="313" t="s">
        <v>4487</v>
      </c>
      <c r="E989" s="313" t="s">
        <v>4326</v>
      </c>
      <c r="F989" s="314" t="s">
        <v>4488</v>
      </c>
      <c r="G989" s="313">
        <v>600</v>
      </c>
      <c r="H989" s="313">
        <v>1200</v>
      </c>
      <c r="I989" s="313">
        <v>2023.04</v>
      </c>
    </row>
    <row r="990" spans="1:9">
      <c r="A990" s="313" t="s">
        <v>378</v>
      </c>
      <c r="B990" s="313" t="s">
        <v>4478</v>
      </c>
      <c r="C990" s="313" t="s">
        <v>4487</v>
      </c>
      <c r="D990" s="313" t="s">
        <v>4487</v>
      </c>
      <c r="E990" s="313" t="s">
        <v>4326</v>
      </c>
      <c r="F990" s="314" t="s">
        <v>4490</v>
      </c>
      <c r="G990" s="313">
        <v>600</v>
      </c>
      <c r="H990" s="313">
        <v>1200</v>
      </c>
      <c r="I990" s="313">
        <v>2023.04</v>
      </c>
    </row>
    <row r="991" spans="1:9">
      <c r="A991" s="313" t="s">
        <v>378</v>
      </c>
      <c r="B991" s="313" t="s">
        <v>4478</v>
      </c>
      <c r="C991" s="313" t="s">
        <v>4487</v>
      </c>
      <c r="D991" s="313" t="s">
        <v>4487</v>
      </c>
      <c r="E991" s="313" t="s">
        <v>4326</v>
      </c>
      <c r="F991" s="314" t="s">
        <v>4491</v>
      </c>
      <c r="G991" s="313">
        <v>600</v>
      </c>
      <c r="H991" s="313">
        <v>1200</v>
      </c>
      <c r="I991" s="313">
        <v>2023.04</v>
      </c>
    </row>
    <row r="992" spans="1:9">
      <c r="A992" s="313" t="s">
        <v>378</v>
      </c>
      <c r="B992" s="313" t="s">
        <v>4478</v>
      </c>
      <c r="C992" s="313" t="s">
        <v>4487</v>
      </c>
      <c r="D992" s="313" t="s">
        <v>4487</v>
      </c>
      <c r="E992" s="313" t="s">
        <v>4326</v>
      </c>
      <c r="F992" s="314" t="s">
        <v>4492</v>
      </c>
      <c r="G992" s="313">
        <v>321</v>
      </c>
      <c r="H992" s="313">
        <v>641</v>
      </c>
      <c r="I992" s="313">
        <v>2023.04</v>
      </c>
    </row>
    <row r="993" spans="1:9">
      <c r="A993" s="313" t="s">
        <v>378</v>
      </c>
      <c r="B993" s="313" t="s">
        <v>4478</v>
      </c>
      <c r="C993" s="313" t="s">
        <v>4487</v>
      </c>
      <c r="D993" s="313" t="s">
        <v>4493</v>
      </c>
      <c r="E993" s="313" t="s">
        <v>4326</v>
      </c>
      <c r="F993" s="314" t="s">
        <v>4490</v>
      </c>
      <c r="G993" s="313">
        <v>600</v>
      </c>
      <c r="H993" s="313">
        <v>1200</v>
      </c>
      <c r="I993" s="313">
        <v>2023.04</v>
      </c>
    </row>
    <row r="994" spans="1:9">
      <c r="A994" s="313" t="s">
        <v>378</v>
      </c>
      <c r="B994" s="313" t="s">
        <v>4478</v>
      </c>
      <c r="C994" s="313" t="s">
        <v>4494</v>
      </c>
      <c r="D994" s="313" t="s">
        <v>4493</v>
      </c>
      <c r="E994" s="313" t="s">
        <v>4326</v>
      </c>
      <c r="F994" s="314" t="s">
        <v>4490</v>
      </c>
      <c r="G994" s="313">
        <v>600</v>
      </c>
      <c r="H994" s="313">
        <v>1200</v>
      </c>
      <c r="I994" s="313">
        <v>2023.04</v>
      </c>
    </row>
    <row r="995" spans="1:9">
      <c r="A995" s="313" t="s">
        <v>378</v>
      </c>
      <c r="B995" s="313" t="s">
        <v>4478</v>
      </c>
      <c r="C995" s="313" t="s">
        <v>4495</v>
      </c>
      <c r="D995" s="313" t="s">
        <v>4495</v>
      </c>
      <c r="E995" s="313" t="s">
        <v>4326</v>
      </c>
      <c r="F995" s="314" t="s">
        <v>4496</v>
      </c>
      <c r="G995" s="313">
        <v>320</v>
      </c>
      <c r="H995" s="313">
        <v>640</v>
      </c>
      <c r="I995" s="313">
        <v>2023.04</v>
      </c>
    </row>
    <row r="996" spans="1:9">
      <c r="A996" s="313" t="s">
        <v>378</v>
      </c>
      <c r="B996" s="313" t="s">
        <v>4478</v>
      </c>
      <c r="C996" s="313" t="s">
        <v>4495</v>
      </c>
      <c r="D996" s="313" t="s">
        <v>4495</v>
      </c>
      <c r="E996" s="313" t="s">
        <v>4326</v>
      </c>
      <c r="F996" s="314" t="s">
        <v>4497</v>
      </c>
      <c r="G996" s="313">
        <v>320</v>
      </c>
      <c r="H996" s="313">
        <v>640</v>
      </c>
      <c r="I996" s="313">
        <v>2023.04</v>
      </c>
    </row>
    <row r="997" spans="1:9">
      <c r="A997" s="313" t="s">
        <v>378</v>
      </c>
      <c r="B997" s="313" t="s">
        <v>4478</v>
      </c>
      <c r="C997" s="313" t="s">
        <v>4495</v>
      </c>
      <c r="D997" s="313" t="s">
        <v>4498</v>
      </c>
      <c r="E997" s="313" t="s">
        <v>4326</v>
      </c>
      <c r="F997" s="314" t="s">
        <v>4497</v>
      </c>
      <c r="G997" s="313">
        <v>600</v>
      </c>
      <c r="H997" s="313">
        <v>1200</v>
      </c>
      <c r="I997" s="313">
        <v>2023.04</v>
      </c>
    </row>
    <row r="998" spans="1:9">
      <c r="A998" s="313" t="s">
        <v>378</v>
      </c>
      <c r="B998" s="313" t="s">
        <v>4478</v>
      </c>
      <c r="C998" s="313" t="s">
        <v>4499</v>
      </c>
      <c r="D998" s="313" t="s">
        <v>4500</v>
      </c>
      <c r="E998" s="313" t="s">
        <v>4326</v>
      </c>
      <c r="F998" s="314" t="s">
        <v>4501</v>
      </c>
      <c r="G998" s="313">
        <v>600</v>
      </c>
      <c r="H998" s="313">
        <v>1200</v>
      </c>
      <c r="I998" s="313">
        <v>2023.04</v>
      </c>
    </row>
    <row r="999" spans="1:9">
      <c r="A999" s="313" t="s">
        <v>378</v>
      </c>
      <c r="B999" s="313" t="s">
        <v>4478</v>
      </c>
      <c r="C999" s="313" t="s">
        <v>4499</v>
      </c>
      <c r="D999" s="313" t="s">
        <v>4499</v>
      </c>
      <c r="E999" s="313" t="s">
        <v>4326</v>
      </c>
      <c r="F999" s="314" t="s">
        <v>4501</v>
      </c>
      <c r="G999" s="313">
        <v>600</v>
      </c>
      <c r="H999" s="313">
        <v>1200</v>
      </c>
      <c r="I999" s="313">
        <v>2023.04</v>
      </c>
    </row>
    <row r="1000" spans="1:9">
      <c r="A1000" s="313" t="s">
        <v>378</v>
      </c>
      <c r="B1000" s="313" t="s">
        <v>4478</v>
      </c>
      <c r="C1000" s="313" t="s">
        <v>4499</v>
      </c>
      <c r="D1000" s="313" t="s">
        <v>4499</v>
      </c>
      <c r="E1000" s="313" t="s">
        <v>4326</v>
      </c>
      <c r="F1000" s="314" t="s">
        <v>4502</v>
      </c>
      <c r="G1000" s="313">
        <v>600</v>
      </c>
      <c r="H1000" s="313">
        <v>1200</v>
      </c>
      <c r="I1000" s="313">
        <v>2023.04</v>
      </c>
    </row>
    <row r="1001" spans="1:9">
      <c r="A1001" s="313" t="s">
        <v>382</v>
      </c>
      <c r="B1001" s="313" t="s">
        <v>4503</v>
      </c>
      <c r="C1001" s="313" t="s">
        <v>4504</v>
      </c>
      <c r="D1001" s="313" t="s">
        <v>4504</v>
      </c>
      <c r="E1001" s="313" t="s">
        <v>3899</v>
      </c>
      <c r="F1001" s="314" t="s">
        <v>4505</v>
      </c>
      <c r="G1001" s="313">
        <v>200</v>
      </c>
      <c r="H1001" s="313">
        <v>200</v>
      </c>
      <c r="I1001" s="313">
        <v>2023.04</v>
      </c>
    </row>
    <row r="1002" spans="1:9">
      <c r="A1002" s="313" t="s">
        <v>382</v>
      </c>
      <c r="B1002" s="313" t="s">
        <v>4503</v>
      </c>
      <c r="C1002" s="313" t="s">
        <v>4504</v>
      </c>
      <c r="D1002" s="313" t="s">
        <v>4504</v>
      </c>
      <c r="E1002" s="313" t="s">
        <v>3834</v>
      </c>
      <c r="F1002" s="314" t="s">
        <v>4505</v>
      </c>
      <c r="G1002" s="313">
        <v>336</v>
      </c>
      <c r="H1002" s="313">
        <v>851</v>
      </c>
      <c r="I1002" s="313">
        <v>2023.04</v>
      </c>
    </row>
    <row r="1003" spans="1:9">
      <c r="A1003" s="313" t="s">
        <v>382</v>
      </c>
      <c r="B1003" s="313" t="s">
        <v>4503</v>
      </c>
      <c r="C1003" s="313" t="s">
        <v>4506</v>
      </c>
      <c r="D1003" s="313" t="s">
        <v>4506</v>
      </c>
      <c r="E1003" s="313" t="s">
        <v>3899</v>
      </c>
      <c r="F1003" s="314" t="s">
        <v>4507</v>
      </c>
      <c r="G1003" s="313">
        <v>200</v>
      </c>
      <c r="H1003" s="313">
        <v>200</v>
      </c>
      <c r="I1003" s="313">
        <v>2023.04</v>
      </c>
    </row>
    <row r="1004" spans="1:9">
      <c r="A1004" s="313" t="s">
        <v>382</v>
      </c>
      <c r="B1004" s="313" t="s">
        <v>4503</v>
      </c>
      <c r="C1004" s="313" t="s">
        <v>4506</v>
      </c>
      <c r="D1004" s="313" t="s">
        <v>4506</v>
      </c>
      <c r="E1004" s="313" t="s">
        <v>3834</v>
      </c>
      <c r="F1004" s="314" t="s">
        <v>4507</v>
      </c>
      <c r="G1004" s="313">
        <v>150</v>
      </c>
      <c r="H1004" s="313">
        <v>841</v>
      </c>
      <c r="I1004" s="313">
        <v>2023.04</v>
      </c>
    </row>
    <row r="1005" spans="1:9">
      <c r="A1005" s="313" t="s">
        <v>382</v>
      </c>
      <c r="B1005" s="313" t="s">
        <v>4503</v>
      </c>
      <c r="C1005" s="313" t="s">
        <v>3836</v>
      </c>
      <c r="D1005" s="313" t="s">
        <v>3836</v>
      </c>
      <c r="E1005" s="313" t="s">
        <v>3908</v>
      </c>
      <c r="F1005" s="314" t="s">
        <v>4508</v>
      </c>
      <c r="G1005" s="313">
        <v>935</v>
      </c>
      <c r="H1005" s="313">
        <v>907</v>
      </c>
      <c r="I1005" s="313">
        <v>2023.04</v>
      </c>
    </row>
    <row r="1006" spans="1:9">
      <c r="A1006" s="313" t="s">
        <v>382</v>
      </c>
      <c r="B1006" s="313" t="s">
        <v>4503</v>
      </c>
      <c r="C1006" s="313" t="s">
        <v>3836</v>
      </c>
      <c r="D1006" s="313" t="s">
        <v>3836</v>
      </c>
      <c r="E1006" s="313" t="s">
        <v>3848</v>
      </c>
      <c r="F1006" s="314" t="s">
        <v>4508</v>
      </c>
      <c r="G1006" s="313">
        <v>750</v>
      </c>
      <c r="H1006" s="313">
        <v>1500</v>
      </c>
      <c r="I1006" s="313">
        <v>2023.04</v>
      </c>
    </row>
    <row r="1007" spans="1:9">
      <c r="A1007" s="313" t="s">
        <v>382</v>
      </c>
      <c r="B1007" s="313" t="s">
        <v>4503</v>
      </c>
      <c r="C1007" s="313" t="s">
        <v>3836</v>
      </c>
      <c r="D1007" s="313" t="s">
        <v>3836</v>
      </c>
      <c r="E1007" s="313" t="s">
        <v>3899</v>
      </c>
      <c r="F1007" s="314" t="s">
        <v>4508</v>
      </c>
      <c r="G1007" s="313">
        <v>500</v>
      </c>
      <c r="H1007" s="313">
        <v>750</v>
      </c>
      <c r="I1007" s="313">
        <v>2023.04</v>
      </c>
    </row>
    <row r="1008" spans="1:9">
      <c r="A1008" s="313" t="s">
        <v>382</v>
      </c>
      <c r="B1008" s="313" t="s">
        <v>4503</v>
      </c>
      <c r="C1008" s="313" t="s">
        <v>3836</v>
      </c>
      <c r="D1008" s="313" t="s">
        <v>3836</v>
      </c>
      <c r="E1008" s="313" t="s">
        <v>3834</v>
      </c>
      <c r="F1008" s="314" t="s">
        <v>4508</v>
      </c>
      <c r="G1008" s="313">
        <v>336</v>
      </c>
      <c r="H1008" s="313">
        <v>851</v>
      </c>
      <c r="I1008" s="313">
        <v>2023.04</v>
      </c>
    </row>
    <row r="1009" spans="1:9">
      <c r="A1009" s="313" t="s">
        <v>382</v>
      </c>
      <c r="B1009" s="313" t="s">
        <v>4503</v>
      </c>
      <c r="C1009" s="313" t="s">
        <v>4509</v>
      </c>
      <c r="D1009" s="313" t="s">
        <v>4509</v>
      </c>
      <c r="E1009" s="313" t="s">
        <v>3899</v>
      </c>
      <c r="F1009" s="314" t="s">
        <v>4510</v>
      </c>
      <c r="G1009" s="313">
        <v>200</v>
      </c>
      <c r="H1009" s="313">
        <v>200</v>
      </c>
      <c r="I1009" s="313">
        <v>2023.04</v>
      </c>
    </row>
    <row r="1010" spans="1:9">
      <c r="A1010" s="313" t="s">
        <v>382</v>
      </c>
      <c r="B1010" s="313" t="s">
        <v>4503</v>
      </c>
      <c r="C1010" s="313" t="s">
        <v>4509</v>
      </c>
      <c r="D1010" s="313" t="s">
        <v>4509</v>
      </c>
      <c r="E1010" s="313" t="s">
        <v>3834</v>
      </c>
      <c r="F1010" s="314" t="s">
        <v>4510</v>
      </c>
      <c r="G1010" s="313">
        <v>150</v>
      </c>
      <c r="H1010" s="313">
        <v>841</v>
      </c>
      <c r="I1010" s="313">
        <v>2023.04</v>
      </c>
    </row>
    <row r="1011" spans="1:9">
      <c r="A1011" s="313" t="s">
        <v>302</v>
      </c>
      <c r="B1011" s="313" t="s">
        <v>4511</v>
      </c>
      <c r="C1011" s="313" t="s">
        <v>3836</v>
      </c>
      <c r="D1011" s="313" t="s">
        <v>3836</v>
      </c>
      <c r="E1011" s="313" t="s">
        <v>3899</v>
      </c>
      <c r="F1011" s="314" t="s">
        <v>4512</v>
      </c>
      <c r="G1011" s="313">
        <v>250</v>
      </c>
      <c r="H1011" s="313">
        <v>300</v>
      </c>
      <c r="I1011" s="313">
        <v>2023.04</v>
      </c>
    </row>
    <row r="1012" spans="1:9">
      <c r="A1012" s="313" t="s">
        <v>302</v>
      </c>
      <c r="B1012" s="313" t="s">
        <v>4511</v>
      </c>
      <c r="C1012" s="313" t="s">
        <v>3836</v>
      </c>
      <c r="D1012" s="313" t="s">
        <v>3836</v>
      </c>
      <c r="E1012" s="313" t="s">
        <v>3900</v>
      </c>
      <c r="F1012" s="314" t="s">
        <v>4512</v>
      </c>
      <c r="G1012" s="313">
        <v>250</v>
      </c>
      <c r="H1012" s="313">
        <v>970</v>
      </c>
      <c r="I1012" s="313">
        <v>2023.04</v>
      </c>
    </row>
    <row r="1013" spans="1:9">
      <c r="A1013" s="313" t="s">
        <v>302</v>
      </c>
      <c r="B1013" s="313" t="s">
        <v>4511</v>
      </c>
      <c r="C1013" s="313" t="s">
        <v>4513</v>
      </c>
      <c r="D1013" s="313" t="s">
        <v>3975</v>
      </c>
      <c r="E1013" s="313" t="s">
        <v>3969</v>
      </c>
      <c r="F1013" s="314" t="s">
        <v>4514</v>
      </c>
      <c r="G1013" s="313">
        <v>300</v>
      </c>
      <c r="H1013" s="313">
        <v>1500</v>
      </c>
      <c r="I1013" s="313">
        <v>2023.04</v>
      </c>
    </row>
    <row r="1014" spans="1:9">
      <c r="A1014" s="313" t="s">
        <v>302</v>
      </c>
      <c r="B1014" s="313" t="s">
        <v>4511</v>
      </c>
      <c r="C1014" s="313" t="s">
        <v>4513</v>
      </c>
      <c r="D1014" s="313" t="s">
        <v>3975</v>
      </c>
      <c r="E1014" s="313" t="s">
        <v>3854</v>
      </c>
      <c r="F1014" s="314" t="s">
        <v>4514</v>
      </c>
      <c r="G1014" s="313">
        <v>400</v>
      </c>
      <c r="H1014" s="313">
        <v>400</v>
      </c>
      <c r="I1014" s="313">
        <v>2023.04</v>
      </c>
    </row>
    <row r="1015" spans="1:9">
      <c r="A1015" s="313" t="s">
        <v>302</v>
      </c>
      <c r="B1015" s="313" t="s">
        <v>4511</v>
      </c>
      <c r="C1015" s="313" t="s">
        <v>4513</v>
      </c>
      <c r="D1015" s="313" t="s">
        <v>3975</v>
      </c>
      <c r="E1015" s="313" t="s">
        <v>3937</v>
      </c>
      <c r="F1015" s="314" t="s">
        <v>4514</v>
      </c>
      <c r="G1015" s="313">
        <v>350</v>
      </c>
      <c r="H1015" s="313">
        <v>1500</v>
      </c>
      <c r="I1015" s="313">
        <v>2023.04</v>
      </c>
    </row>
    <row r="1016" spans="1:9">
      <c r="A1016" s="313" t="s">
        <v>302</v>
      </c>
      <c r="B1016" s="313" t="s">
        <v>4511</v>
      </c>
      <c r="C1016" s="313" t="s">
        <v>4515</v>
      </c>
      <c r="D1016" s="313" t="s">
        <v>4516</v>
      </c>
      <c r="E1016" s="313" t="s">
        <v>3969</v>
      </c>
      <c r="F1016" s="314" t="s">
        <v>4517</v>
      </c>
      <c r="G1016" s="313">
        <v>450</v>
      </c>
      <c r="H1016" s="313">
        <v>1242</v>
      </c>
      <c r="I1016" s="313">
        <v>2023.04</v>
      </c>
    </row>
    <row r="1017" spans="1:9">
      <c r="A1017" s="313" t="s">
        <v>302</v>
      </c>
      <c r="B1017" s="313" t="s">
        <v>4511</v>
      </c>
      <c r="C1017" s="313" t="s">
        <v>4515</v>
      </c>
      <c r="D1017" s="313" t="s">
        <v>4516</v>
      </c>
      <c r="E1017" s="313" t="s">
        <v>3854</v>
      </c>
      <c r="F1017" s="314" t="s">
        <v>4517</v>
      </c>
      <c r="G1017" s="313">
        <v>400</v>
      </c>
      <c r="H1017" s="313">
        <v>400</v>
      </c>
      <c r="I1017" s="313">
        <v>2023.04</v>
      </c>
    </row>
    <row r="1018" spans="1:9">
      <c r="A1018" s="313" t="s">
        <v>302</v>
      </c>
      <c r="B1018" s="313" t="s">
        <v>4511</v>
      </c>
      <c r="C1018" s="313" t="s">
        <v>4515</v>
      </c>
      <c r="D1018" s="313" t="s">
        <v>4516</v>
      </c>
      <c r="E1018" s="313" t="s">
        <v>3849</v>
      </c>
      <c r="F1018" s="314" t="s">
        <v>4517</v>
      </c>
      <c r="G1018" s="313">
        <v>61</v>
      </c>
      <c r="H1018" s="313">
        <v>184</v>
      </c>
      <c r="I1018" s="313">
        <v>2023.04</v>
      </c>
    </row>
    <row r="1019" spans="1:9">
      <c r="A1019" s="313" t="s">
        <v>302</v>
      </c>
      <c r="B1019" s="313" t="s">
        <v>4511</v>
      </c>
      <c r="C1019" s="313" t="s">
        <v>4515</v>
      </c>
      <c r="D1019" s="313" t="s">
        <v>4516</v>
      </c>
      <c r="E1019" s="313" t="s">
        <v>3937</v>
      </c>
      <c r="F1019" s="314" t="s">
        <v>4517</v>
      </c>
      <c r="G1019" s="313">
        <v>300</v>
      </c>
      <c r="H1019" s="313">
        <v>700</v>
      </c>
      <c r="I1019" s="313">
        <v>2023.04</v>
      </c>
    </row>
    <row r="1020" spans="1:9">
      <c r="A1020" s="313" t="s">
        <v>302</v>
      </c>
      <c r="B1020" s="313" t="s">
        <v>4511</v>
      </c>
      <c r="C1020" s="313" t="s">
        <v>4515</v>
      </c>
      <c r="D1020" s="313" t="s">
        <v>4518</v>
      </c>
      <c r="E1020" s="313" t="s">
        <v>3969</v>
      </c>
      <c r="F1020" s="314" t="s">
        <v>4519</v>
      </c>
      <c r="G1020" s="313">
        <v>300</v>
      </c>
      <c r="H1020" s="313">
        <v>1500</v>
      </c>
      <c r="I1020" s="313">
        <v>2023.04</v>
      </c>
    </row>
    <row r="1021" spans="1:9">
      <c r="A1021" s="313" t="s">
        <v>302</v>
      </c>
      <c r="B1021" s="313" t="s">
        <v>4511</v>
      </c>
      <c r="C1021" s="313" t="s">
        <v>4515</v>
      </c>
      <c r="D1021" s="313" t="s">
        <v>4518</v>
      </c>
      <c r="E1021" s="313" t="s">
        <v>3854</v>
      </c>
      <c r="F1021" s="314" t="s">
        <v>4519</v>
      </c>
      <c r="G1021" s="313">
        <v>434</v>
      </c>
      <c r="H1021" s="313">
        <v>434</v>
      </c>
      <c r="I1021" s="313">
        <v>2023.04</v>
      </c>
    </row>
    <row r="1022" spans="1:9">
      <c r="A1022" s="313" t="s">
        <v>302</v>
      </c>
      <c r="B1022" s="313" t="s">
        <v>4511</v>
      </c>
      <c r="C1022" s="313" t="s">
        <v>4515</v>
      </c>
      <c r="D1022" s="313" t="s">
        <v>4518</v>
      </c>
      <c r="E1022" s="313" t="s">
        <v>3820</v>
      </c>
      <c r="F1022" s="314" t="s">
        <v>4519</v>
      </c>
      <c r="G1022" s="313">
        <v>460</v>
      </c>
      <c r="H1022" s="313">
        <v>440</v>
      </c>
      <c r="I1022" s="313">
        <v>2023.04</v>
      </c>
    </row>
    <row r="1023" spans="1:9">
      <c r="A1023" s="313" t="s">
        <v>302</v>
      </c>
      <c r="B1023" s="313" t="s">
        <v>4511</v>
      </c>
      <c r="C1023" s="313" t="s">
        <v>4515</v>
      </c>
      <c r="D1023" s="313" t="s">
        <v>4518</v>
      </c>
      <c r="E1023" s="313" t="s">
        <v>3848</v>
      </c>
      <c r="F1023" s="314" t="s">
        <v>4519</v>
      </c>
      <c r="G1023" s="313">
        <v>450</v>
      </c>
      <c r="H1023" s="313">
        <v>1242</v>
      </c>
      <c r="I1023" s="313">
        <v>2023.04</v>
      </c>
    </row>
    <row r="1024" spans="1:9">
      <c r="A1024" s="313" t="s">
        <v>302</v>
      </c>
      <c r="B1024" s="313" t="s">
        <v>4511</v>
      </c>
      <c r="C1024" s="313" t="s">
        <v>4515</v>
      </c>
      <c r="D1024" s="313" t="s">
        <v>4518</v>
      </c>
      <c r="E1024" s="313" t="s">
        <v>3878</v>
      </c>
      <c r="F1024" s="314" t="s">
        <v>4519</v>
      </c>
      <c r="G1024" s="313">
        <v>460</v>
      </c>
      <c r="H1024" s="313">
        <v>440</v>
      </c>
      <c r="I1024" s="313">
        <v>2023.04</v>
      </c>
    </row>
    <row r="1025" spans="1:9">
      <c r="A1025" s="313" t="s">
        <v>302</v>
      </c>
      <c r="B1025" s="313" t="s">
        <v>4511</v>
      </c>
      <c r="C1025" s="313" t="s">
        <v>4515</v>
      </c>
      <c r="D1025" s="313" t="s">
        <v>4518</v>
      </c>
      <c r="E1025" s="313" t="s">
        <v>3818</v>
      </c>
      <c r="F1025" s="314" t="s">
        <v>4519</v>
      </c>
      <c r="G1025" s="313">
        <v>936</v>
      </c>
      <c r="H1025" s="313">
        <v>1500</v>
      </c>
      <c r="I1025" s="313">
        <v>2023.04</v>
      </c>
    </row>
    <row r="1026" spans="1:9">
      <c r="A1026" s="313" t="s">
        <v>302</v>
      </c>
      <c r="B1026" s="313" t="s">
        <v>4511</v>
      </c>
      <c r="C1026" s="313" t="s">
        <v>4515</v>
      </c>
      <c r="D1026" s="313" t="s">
        <v>4049</v>
      </c>
      <c r="E1026" s="313" t="s">
        <v>3969</v>
      </c>
      <c r="F1026" s="314" t="s">
        <v>4520</v>
      </c>
      <c r="G1026" s="313">
        <v>300</v>
      </c>
      <c r="H1026" s="313">
        <v>1500</v>
      </c>
      <c r="I1026" s="313">
        <v>2023.04</v>
      </c>
    </row>
    <row r="1027" spans="1:9">
      <c r="A1027" s="313" t="s">
        <v>302</v>
      </c>
      <c r="B1027" s="313" t="s">
        <v>4511</v>
      </c>
      <c r="C1027" s="313" t="s">
        <v>4515</v>
      </c>
      <c r="D1027" s="313" t="s">
        <v>4049</v>
      </c>
      <c r="E1027" s="313" t="s">
        <v>3854</v>
      </c>
      <c r="F1027" s="314" t="s">
        <v>4520</v>
      </c>
      <c r="G1027" s="313">
        <v>150</v>
      </c>
      <c r="H1027" s="313">
        <v>440</v>
      </c>
      <c r="I1027" s="313">
        <v>2023.04</v>
      </c>
    </row>
    <row r="1028" spans="1:9">
      <c r="A1028" s="313" t="s">
        <v>302</v>
      </c>
      <c r="B1028" s="313" t="s">
        <v>4511</v>
      </c>
      <c r="C1028" s="313" t="s">
        <v>4515</v>
      </c>
      <c r="D1028" s="313" t="s">
        <v>4049</v>
      </c>
      <c r="E1028" s="313" t="s">
        <v>3849</v>
      </c>
      <c r="F1028" s="314" t="s">
        <v>4520</v>
      </c>
      <c r="G1028" s="313">
        <v>423</v>
      </c>
      <c r="H1028" s="313">
        <v>184</v>
      </c>
      <c r="I1028" s="313">
        <v>2023.04</v>
      </c>
    </row>
    <row r="1029" spans="1:9">
      <c r="A1029" s="313" t="s">
        <v>302</v>
      </c>
      <c r="B1029" s="313" t="s">
        <v>4511</v>
      </c>
      <c r="C1029" s="313" t="s">
        <v>4515</v>
      </c>
      <c r="D1029" s="313" t="s">
        <v>4049</v>
      </c>
      <c r="E1029" s="313" t="s">
        <v>3937</v>
      </c>
      <c r="F1029" s="314" t="s">
        <v>4520</v>
      </c>
      <c r="G1029" s="313">
        <v>300</v>
      </c>
      <c r="H1029" s="313">
        <v>1500</v>
      </c>
      <c r="I1029" s="313">
        <v>2023.04</v>
      </c>
    </row>
    <row r="1030" spans="1:9">
      <c r="A1030" s="313" t="s">
        <v>302</v>
      </c>
      <c r="B1030" s="313" t="s">
        <v>4511</v>
      </c>
      <c r="C1030" s="313" t="s">
        <v>4515</v>
      </c>
      <c r="D1030" s="313" t="s">
        <v>4053</v>
      </c>
      <c r="E1030" s="313" t="s">
        <v>3969</v>
      </c>
      <c r="F1030" s="314" t="s">
        <v>4521</v>
      </c>
      <c r="G1030" s="313">
        <v>440</v>
      </c>
      <c r="H1030" s="313">
        <v>1500</v>
      </c>
      <c r="I1030" s="313">
        <v>2023.04</v>
      </c>
    </row>
    <row r="1031" spans="1:9">
      <c r="A1031" s="313" t="s">
        <v>302</v>
      </c>
      <c r="B1031" s="313" t="s">
        <v>4511</v>
      </c>
      <c r="C1031" s="313" t="s">
        <v>4515</v>
      </c>
      <c r="D1031" s="313" t="s">
        <v>4053</v>
      </c>
      <c r="E1031" s="313" t="s">
        <v>3854</v>
      </c>
      <c r="F1031" s="314" t="s">
        <v>4521</v>
      </c>
      <c r="G1031" s="313">
        <v>120</v>
      </c>
      <c r="H1031" s="313">
        <v>440</v>
      </c>
      <c r="I1031" s="313">
        <v>2023.04</v>
      </c>
    </row>
    <row r="1032" spans="1:9">
      <c r="A1032" s="313" t="s">
        <v>302</v>
      </c>
      <c r="B1032" s="313" t="s">
        <v>4511</v>
      </c>
      <c r="C1032" s="313" t="s">
        <v>4515</v>
      </c>
      <c r="D1032" s="313" t="s">
        <v>4053</v>
      </c>
      <c r="E1032" s="313" t="s">
        <v>3820</v>
      </c>
      <c r="F1032" s="314" t="s">
        <v>4521</v>
      </c>
      <c r="G1032" s="313">
        <v>400</v>
      </c>
      <c r="H1032" s="313">
        <v>400</v>
      </c>
      <c r="I1032" s="313">
        <v>2023.04</v>
      </c>
    </row>
    <row r="1033" spans="1:9">
      <c r="A1033" s="313" t="s">
        <v>302</v>
      </c>
      <c r="B1033" s="313" t="s">
        <v>4511</v>
      </c>
      <c r="C1033" s="313" t="s">
        <v>4515</v>
      </c>
      <c r="D1033" s="313" t="s">
        <v>4053</v>
      </c>
      <c r="E1033" s="313" t="s">
        <v>4442</v>
      </c>
      <c r="F1033" s="314" t="s">
        <v>4521</v>
      </c>
      <c r="G1033" s="313">
        <v>800</v>
      </c>
      <c r="H1033" s="313">
        <v>800</v>
      </c>
      <c r="I1033" s="313">
        <v>2023.04</v>
      </c>
    </row>
    <row r="1034" spans="1:9">
      <c r="A1034" s="313" t="s">
        <v>302</v>
      </c>
      <c r="B1034" s="313" t="s">
        <v>4511</v>
      </c>
      <c r="C1034" s="313" t="s">
        <v>4515</v>
      </c>
      <c r="D1034" s="313" t="s">
        <v>2421</v>
      </c>
      <c r="E1034" s="313" t="s">
        <v>3854</v>
      </c>
      <c r="F1034" s="314" t="s">
        <v>4522</v>
      </c>
      <c r="G1034" s="313">
        <v>460</v>
      </c>
      <c r="H1034" s="313">
        <v>440</v>
      </c>
      <c r="I1034" s="313">
        <v>2023.04</v>
      </c>
    </row>
    <row r="1035" spans="1:9">
      <c r="A1035" s="313" t="s">
        <v>302</v>
      </c>
      <c r="B1035" s="313" t="s">
        <v>4511</v>
      </c>
      <c r="C1035" s="313" t="s">
        <v>4515</v>
      </c>
      <c r="D1035" s="313" t="s">
        <v>2421</v>
      </c>
      <c r="E1035" s="313" t="s">
        <v>3849</v>
      </c>
      <c r="F1035" s="314" t="s">
        <v>4522</v>
      </c>
      <c r="G1035" s="313">
        <v>282</v>
      </c>
      <c r="H1035" s="313">
        <v>184</v>
      </c>
      <c r="I1035" s="313">
        <v>2023.04</v>
      </c>
    </row>
    <row r="1036" spans="1:9">
      <c r="A1036" s="313" t="s">
        <v>302</v>
      </c>
      <c r="B1036" s="313" t="s">
        <v>4511</v>
      </c>
      <c r="C1036" s="313" t="s">
        <v>4515</v>
      </c>
      <c r="D1036" s="313" t="s">
        <v>2421</v>
      </c>
      <c r="E1036" s="313" t="s">
        <v>4442</v>
      </c>
      <c r="F1036" s="314" t="s">
        <v>4522</v>
      </c>
      <c r="G1036" s="313">
        <v>505</v>
      </c>
      <c r="H1036" s="313">
        <v>434</v>
      </c>
      <c r="I1036" s="313">
        <v>2023.04</v>
      </c>
    </row>
    <row r="1037" spans="1:9">
      <c r="A1037" s="313" t="s">
        <v>302</v>
      </c>
      <c r="B1037" s="313" t="s">
        <v>4511</v>
      </c>
      <c r="C1037" s="313" t="s">
        <v>4515</v>
      </c>
      <c r="D1037" s="313" t="s">
        <v>2421</v>
      </c>
      <c r="E1037" s="313" t="s">
        <v>3937</v>
      </c>
      <c r="F1037" s="314" t="s">
        <v>4522</v>
      </c>
      <c r="G1037" s="313">
        <v>300</v>
      </c>
      <c r="H1037" s="313">
        <v>1500</v>
      </c>
      <c r="I1037" s="313">
        <v>2023.04</v>
      </c>
    </row>
    <row r="1038" spans="1:9">
      <c r="A1038" s="313" t="s">
        <v>302</v>
      </c>
      <c r="B1038" s="313" t="s">
        <v>4511</v>
      </c>
      <c r="C1038" s="313" t="s">
        <v>4515</v>
      </c>
      <c r="D1038" s="313" t="s">
        <v>2421</v>
      </c>
      <c r="E1038" s="313" t="s">
        <v>3818</v>
      </c>
      <c r="F1038" s="314" t="s">
        <v>4522</v>
      </c>
      <c r="G1038" s="313">
        <v>400</v>
      </c>
      <c r="H1038" s="313">
        <v>1500</v>
      </c>
      <c r="I1038" s="313">
        <v>2023.04</v>
      </c>
    </row>
    <row r="1039" spans="1:9">
      <c r="A1039" s="313" t="s">
        <v>302</v>
      </c>
      <c r="B1039" s="313" t="s">
        <v>4523</v>
      </c>
      <c r="C1039" s="313" t="s">
        <v>3836</v>
      </c>
      <c r="D1039" s="313" t="s">
        <v>3836</v>
      </c>
      <c r="E1039" s="313" t="s">
        <v>4089</v>
      </c>
      <c r="F1039" s="314" t="s">
        <v>306</v>
      </c>
      <c r="G1039" s="313">
        <v>438</v>
      </c>
      <c r="H1039" s="313">
        <v>3044</v>
      </c>
      <c r="I1039" s="313">
        <v>2023.04</v>
      </c>
    </row>
    <row r="1040" spans="1:9">
      <c r="A1040" s="313" t="s">
        <v>302</v>
      </c>
      <c r="B1040" s="313" t="s">
        <v>4523</v>
      </c>
      <c r="C1040" s="313" t="s">
        <v>3836</v>
      </c>
      <c r="D1040" s="313" t="s">
        <v>3836</v>
      </c>
      <c r="E1040" s="313" t="s">
        <v>3820</v>
      </c>
      <c r="F1040" s="314" t="s">
        <v>306</v>
      </c>
      <c r="G1040" s="313">
        <v>128</v>
      </c>
      <c r="H1040" s="313">
        <v>128</v>
      </c>
      <c r="I1040" s="313">
        <v>2023.04</v>
      </c>
    </row>
    <row r="1041" spans="1:9">
      <c r="A1041" s="313" t="s">
        <v>302</v>
      </c>
      <c r="B1041" s="313" t="s">
        <v>4523</v>
      </c>
      <c r="C1041" s="313" t="s">
        <v>3836</v>
      </c>
      <c r="D1041" s="313" t="s">
        <v>3836</v>
      </c>
      <c r="E1041" s="313" t="s">
        <v>3849</v>
      </c>
      <c r="F1041" s="314" t="s">
        <v>306</v>
      </c>
      <c r="G1041" s="313">
        <v>45</v>
      </c>
      <c r="H1041" s="313">
        <v>50</v>
      </c>
      <c r="I1041" s="313">
        <v>2023.04</v>
      </c>
    </row>
    <row r="1042" spans="1:9">
      <c r="A1042" s="313" t="s">
        <v>302</v>
      </c>
      <c r="B1042" s="313" t="s">
        <v>4523</v>
      </c>
      <c r="C1042" s="313" t="s">
        <v>3836</v>
      </c>
      <c r="D1042" s="313" t="s">
        <v>3836</v>
      </c>
      <c r="E1042" s="313" t="s">
        <v>4026</v>
      </c>
      <c r="F1042" s="314" t="s">
        <v>306</v>
      </c>
      <c r="G1042" s="313">
        <v>708</v>
      </c>
      <c r="H1042" s="313">
        <v>461</v>
      </c>
      <c r="I1042" s="313">
        <v>2023.04</v>
      </c>
    </row>
    <row r="1043" spans="1:9">
      <c r="A1043" s="313" t="s">
        <v>302</v>
      </c>
      <c r="B1043" s="313" t="s">
        <v>4523</v>
      </c>
      <c r="C1043" s="313" t="s">
        <v>3836</v>
      </c>
      <c r="D1043" s="313" t="s">
        <v>3836</v>
      </c>
      <c r="E1043" s="313" t="s">
        <v>3818</v>
      </c>
      <c r="F1043" s="314" t="s">
        <v>306</v>
      </c>
      <c r="G1043" s="313">
        <v>164</v>
      </c>
      <c r="H1043" s="313">
        <v>400</v>
      </c>
      <c r="I1043" s="313">
        <v>2023.04</v>
      </c>
    </row>
    <row r="1044" spans="1:9">
      <c r="A1044" s="313" t="s">
        <v>302</v>
      </c>
      <c r="B1044" s="313" t="s">
        <v>4523</v>
      </c>
      <c r="C1044" s="313" t="s">
        <v>4524</v>
      </c>
      <c r="D1044" s="313" t="s">
        <v>4524</v>
      </c>
      <c r="E1044" s="313" t="s">
        <v>3818</v>
      </c>
      <c r="F1044" s="314" t="s">
        <v>4525</v>
      </c>
      <c r="G1044" s="313">
        <v>518</v>
      </c>
      <c r="H1044" s="313">
        <v>1800</v>
      </c>
      <c r="I1044" s="313">
        <v>2023.04</v>
      </c>
    </row>
    <row r="1045" spans="1:9">
      <c r="A1045" s="313" t="s">
        <v>302</v>
      </c>
      <c r="B1045" s="313" t="s">
        <v>4523</v>
      </c>
      <c r="C1045" s="313" t="s">
        <v>4526</v>
      </c>
      <c r="D1045" s="313" t="s">
        <v>4049</v>
      </c>
      <c r="E1045" s="313" t="s">
        <v>3854</v>
      </c>
      <c r="F1045" s="314" t="s">
        <v>4527</v>
      </c>
      <c r="G1045" s="313">
        <v>254</v>
      </c>
      <c r="H1045" s="313">
        <v>620</v>
      </c>
      <c r="I1045" s="313">
        <v>2023.04</v>
      </c>
    </row>
    <row r="1046" spans="1:9">
      <c r="A1046" s="313" t="s">
        <v>302</v>
      </c>
      <c r="B1046" s="313" t="s">
        <v>4523</v>
      </c>
      <c r="C1046" s="313" t="s">
        <v>4526</v>
      </c>
      <c r="D1046" s="313" t="s">
        <v>2333</v>
      </c>
      <c r="E1046" s="313" t="s">
        <v>3854</v>
      </c>
      <c r="F1046" s="314" t="s">
        <v>4528</v>
      </c>
      <c r="G1046" s="313">
        <v>160</v>
      </c>
      <c r="H1046" s="313">
        <v>240</v>
      </c>
      <c r="I1046" s="313">
        <v>2023.04</v>
      </c>
    </row>
    <row r="1047" spans="1:9">
      <c r="A1047" s="313" t="s">
        <v>302</v>
      </c>
      <c r="B1047" s="313" t="s">
        <v>4523</v>
      </c>
      <c r="C1047" s="313" t="s">
        <v>4526</v>
      </c>
      <c r="D1047" s="313" t="s">
        <v>2333</v>
      </c>
      <c r="E1047" s="313" t="s">
        <v>3820</v>
      </c>
      <c r="F1047" s="314" t="s">
        <v>4528</v>
      </c>
      <c r="G1047" s="313">
        <v>258</v>
      </c>
      <c r="H1047" s="313">
        <v>480</v>
      </c>
      <c r="I1047" s="313">
        <v>2023.04</v>
      </c>
    </row>
    <row r="1048" spans="1:9">
      <c r="A1048" s="313" t="s">
        <v>307</v>
      </c>
      <c r="B1048" s="313" t="s">
        <v>711</v>
      </c>
      <c r="C1048" s="313" t="s">
        <v>3866</v>
      </c>
      <c r="D1048" s="313" t="s">
        <v>3866</v>
      </c>
      <c r="E1048" s="313" t="s">
        <v>4442</v>
      </c>
      <c r="F1048" s="314" t="s">
        <v>4529</v>
      </c>
      <c r="G1048" s="313">
        <v>240</v>
      </c>
      <c r="H1048" s="313">
        <v>240</v>
      </c>
      <c r="I1048" s="313">
        <v>2023.04</v>
      </c>
    </row>
    <row r="1049" spans="1:9">
      <c r="A1049" s="313" t="s">
        <v>307</v>
      </c>
      <c r="B1049" s="313" t="s">
        <v>711</v>
      </c>
      <c r="C1049" s="313" t="s">
        <v>3866</v>
      </c>
      <c r="D1049" s="313" t="s">
        <v>3866</v>
      </c>
      <c r="E1049" s="313" t="s">
        <v>4530</v>
      </c>
      <c r="F1049" s="314" t="s">
        <v>4529</v>
      </c>
      <c r="G1049" s="313">
        <v>384</v>
      </c>
      <c r="H1049" s="313">
        <v>957</v>
      </c>
      <c r="I1049" s="313">
        <v>2023.04</v>
      </c>
    </row>
    <row r="1050" spans="1:9">
      <c r="A1050" s="313" t="s">
        <v>307</v>
      </c>
      <c r="B1050" s="313" t="s">
        <v>711</v>
      </c>
      <c r="C1050" s="313" t="s">
        <v>3824</v>
      </c>
      <c r="D1050" s="313" t="s">
        <v>3824</v>
      </c>
      <c r="E1050" s="313" t="s">
        <v>3848</v>
      </c>
      <c r="F1050" s="314" t="s">
        <v>4531</v>
      </c>
      <c r="G1050" s="313">
        <v>589</v>
      </c>
      <c r="H1050" s="313">
        <v>1875</v>
      </c>
      <c r="I1050" s="313">
        <v>2023.04</v>
      </c>
    </row>
    <row r="1051" spans="1:9">
      <c r="A1051" s="313" t="s">
        <v>307</v>
      </c>
      <c r="B1051" s="313" t="s">
        <v>711</v>
      </c>
      <c r="C1051" s="313" t="s">
        <v>3824</v>
      </c>
      <c r="D1051" s="313" t="s">
        <v>3824</v>
      </c>
      <c r="E1051" s="313" t="s">
        <v>4530</v>
      </c>
      <c r="F1051" s="314" t="s">
        <v>4531</v>
      </c>
      <c r="G1051" s="313">
        <v>500</v>
      </c>
      <c r="H1051" s="313">
        <v>500</v>
      </c>
      <c r="I1051" s="313">
        <v>2023.04</v>
      </c>
    </row>
    <row r="1052" spans="1:9">
      <c r="A1052" s="313" t="s">
        <v>307</v>
      </c>
      <c r="B1052" s="313" t="s">
        <v>711</v>
      </c>
      <c r="C1052" s="313" t="s">
        <v>4532</v>
      </c>
      <c r="D1052" s="313" t="s">
        <v>4533</v>
      </c>
      <c r="E1052" s="313" t="s">
        <v>4534</v>
      </c>
      <c r="F1052" s="314" t="s">
        <v>4535</v>
      </c>
      <c r="G1052" s="313">
        <v>1356</v>
      </c>
      <c r="H1052" s="313">
        <v>3392</v>
      </c>
      <c r="I1052" s="313">
        <v>2023.04</v>
      </c>
    </row>
    <row r="1053" spans="1:9">
      <c r="A1053" s="313" t="s">
        <v>307</v>
      </c>
      <c r="B1053" s="313" t="s">
        <v>711</v>
      </c>
      <c r="C1053" s="313" t="s">
        <v>4532</v>
      </c>
      <c r="D1053" s="313" t="s">
        <v>4533</v>
      </c>
      <c r="E1053" s="313" t="s">
        <v>4442</v>
      </c>
      <c r="F1053" s="314" t="s">
        <v>4535</v>
      </c>
      <c r="G1053" s="313">
        <v>120</v>
      </c>
      <c r="H1053" s="313">
        <v>120</v>
      </c>
      <c r="I1053" s="313">
        <v>2023.04</v>
      </c>
    </row>
    <row r="1054" spans="1:9">
      <c r="A1054" s="313" t="s">
        <v>307</v>
      </c>
      <c r="B1054" s="313" t="s">
        <v>711</v>
      </c>
      <c r="C1054" s="313" t="s">
        <v>4533</v>
      </c>
      <c r="D1054" s="313" t="s">
        <v>4533</v>
      </c>
      <c r="E1054" s="313" t="s">
        <v>4442</v>
      </c>
      <c r="F1054" s="314" t="s">
        <v>4536</v>
      </c>
      <c r="G1054" s="313">
        <v>240</v>
      </c>
      <c r="H1054" s="313">
        <v>240</v>
      </c>
      <c r="I1054" s="313">
        <v>2023.04</v>
      </c>
    </row>
    <row r="1055" spans="1:9">
      <c r="A1055" s="313" t="s">
        <v>307</v>
      </c>
      <c r="B1055" s="313" t="s">
        <v>711</v>
      </c>
      <c r="C1055" s="313" t="s">
        <v>4533</v>
      </c>
      <c r="D1055" s="313" t="s">
        <v>4533</v>
      </c>
      <c r="E1055" s="313" t="s">
        <v>3818</v>
      </c>
      <c r="F1055" s="314" t="s">
        <v>4535</v>
      </c>
      <c r="G1055" s="313">
        <v>392</v>
      </c>
      <c r="H1055" s="313">
        <v>973</v>
      </c>
      <c r="I1055" s="313">
        <v>2023.04</v>
      </c>
    </row>
    <row r="1056" spans="1:9">
      <c r="A1056" s="313" t="s">
        <v>307</v>
      </c>
      <c r="B1056" s="313" t="s">
        <v>711</v>
      </c>
      <c r="C1056" s="313" t="s">
        <v>4533</v>
      </c>
      <c r="D1056" s="313" t="s">
        <v>4533</v>
      </c>
      <c r="E1056" s="313" t="s">
        <v>3818</v>
      </c>
      <c r="F1056" s="314" t="s">
        <v>4536</v>
      </c>
      <c r="G1056" s="313">
        <v>278</v>
      </c>
      <c r="H1056" s="313">
        <v>2560</v>
      </c>
      <c r="I1056" s="313">
        <v>2023.04</v>
      </c>
    </row>
    <row r="1057" spans="1:9">
      <c r="A1057" s="313" t="s">
        <v>307</v>
      </c>
      <c r="B1057" s="313" t="s">
        <v>711</v>
      </c>
      <c r="C1057" s="313" t="s">
        <v>4533</v>
      </c>
      <c r="D1057" s="313" t="s">
        <v>4533</v>
      </c>
      <c r="E1057" s="313" t="s">
        <v>4530</v>
      </c>
      <c r="F1057" s="314" t="s">
        <v>4535</v>
      </c>
      <c r="G1057" s="313">
        <v>1200</v>
      </c>
      <c r="H1057" s="313">
        <v>3000</v>
      </c>
      <c r="I1057" s="313">
        <v>2023.04</v>
      </c>
    </row>
    <row r="1058" spans="1:9">
      <c r="A1058" s="313" t="s">
        <v>307</v>
      </c>
      <c r="B1058" s="313" t="s">
        <v>711</v>
      </c>
      <c r="C1058" s="313" t="s">
        <v>4532</v>
      </c>
      <c r="D1058" s="313" t="s">
        <v>2407</v>
      </c>
      <c r="E1058" s="313" t="s">
        <v>4534</v>
      </c>
      <c r="F1058" s="314" t="s">
        <v>4537</v>
      </c>
      <c r="G1058" s="313">
        <v>960</v>
      </c>
      <c r="H1058" s="313">
        <v>1920</v>
      </c>
      <c r="I1058" s="313">
        <v>2023.04</v>
      </c>
    </row>
    <row r="1059" spans="1:9">
      <c r="A1059" s="313" t="s">
        <v>307</v>
      </c>
      <c r="B1059" s="313" t="s">
        <v>711</v>
      </c>
      <c r="C1059" s="313" t="s">
        <v>4532</v>
      </c>
      <c r="D1059" s="313" t="s">
        <v>4538</v>
      </c>
      <c r="E1059" s="313" t="s">
        <v>4534</v>
      </c>
      <c r="F1059" s="314" t="s">
        <v>4539</v>
      </c>
      <c r="G1059" s="313">
        <v>348</v>
      </c>
      <c r="H1059" s="313">
        <v>1377</v>
      </c>
      <c r="I1059" s="313">
        <v>2023.04</v>
      </c>
    </row>
    <row r="1060" spans="1:9">
      <c r="A1060" s="313" t="s">
        <v>307</v>
      </c>
      <c r="B1060" s="313" t="s">
        <v>711</v>
      </c>
      <c r="C1060" s="313" t="s">
        <v>4532</v>
      </c>
      <c r="D1060" s="313" t="s">
        <v>4538</v>
      </c>
      <c r="E1060" s="313" t="s">
        <v>4442</v>
      </c>
      <c r="F1060" s="314" t="s">
        <v>4539</v>
      </c>
      <c r="G1060" s="313">
        <v>120</v>
      </c>
      <c r="H1060" s="313">
        <v>120</v>
      </c>
      <c r="I1060" s="313">
        <v>2023.04</v>
      </c>
    </row>
    <row r="1061" spans="1:9">
      <c r="A1061" s="313" t="s">
        <v>307</v>
      </c>
      <c r="B1061" s="313" t="s">
        <v>711</v>
      </c>
      <c r="C1061" s="313" t="s">
        <v>4540</v>
      </c>
      <c r="D1061" s="313" t="s">
        <v>4540</v>
      </c>
      <c r="E1061" s="313" t="s">
        <v>4442</v>
      </c>
      <c r="F1061" s="314" t="s">
        <v>4541</v>
      </c>
      <c r="G1061" s="313">
        <v>320</v>
      </c>
      <c r="H1061" s="313">
        <v>294</v>
      </c>
      <c r="I1061" s="313">
        <v>2023.04</v>
      </c>
    </row>
    <row r="1062" spans="1:9">
      <c r="A1062" s="313" t="s">
        <v>307</v>
      </c>
      <c r="B1062" s="313" t="s">
        <v>711</v>
      </c>
      <c r="C1062" s="313" t="s">
        <v>4540</v>
      </c>
      <c r="D1062" s="313" t="s">
        <v>4540</v>
      </c>
      <c r="E1062" s="313" t="s">
        <v>4530</v>
      </c>
      <c r="F1062" s="314" t="s">
        <v>4541</v>
      </c>
      <c r="G1062" s="313">
        <v>333</v>
      </c>
      <c r="H1062" s="313">
        <v>500</v>
      </c>
      <c r="I1062" s="313">
        <v>2023.04</v>
      </c>
    </row>
    <row r="1063" spans="1:9">
      <c r="A1063" s="313" t="s">
        <v>307</v>
      </c>
      <c r="B1063" s="313" t="s">
        <v>711</v>
      </c>
      <c r="C1063" s="313" t="s">
        <v>4542</v>
      </c>
      <c r="D1063" s="313" t="s">
        <v>4542</v>
      </c>
      <c r="E1063" s="313" t="s">
        <v>4442</v>
      </c>
      <c r="F1063" s="314" t="s">
        <v>4543</v>
      </c>
      <c r="G1063" s="313">
        <v>240</v>
      </c>
      <c r="H1063" s="313">
        <v>240</v>
      </c>
      <c r="I1063" s="313">
        <v>2023.04</v>
      </c>
    </row>
    <row r="1064" spans="1:9">
      <c r="A1064" s="313" t="s">
        <v>307</v>
      </c>
      <c r="B1064" s="313" t="s">
        <v>711</v>
      </c>
      <c r="C1064" s="313" t="s">
        <v>4542</v>
      </c>
      <c r="D1064" s="313" t="s">
        <v>4542</v>
      </c>
      <c r="E1064" s="313" t="s">
        <v>3818</v>
      </c>
      <c r="F1064" s="314" t="s">
        <v>4543</v>
      </c>
      <c r="G1064" s="313">
        <v>278</v>
      </c>
      <c r="H1064" s="313">
        <v>2560</v>
      </c>
      <c r="I1064" s="313">
        <v>2023.04</v>
      </c>
    </row>
    <row r="1065" spans="1:9">
      <c r="A1065" s="313" t="s">
        <v>307</v>
      </c>
      <c r="B1065" s="313" t="s">
        <v>711</v>
      </c>
      <c r="C1065" s="313" t="s">
        <v>4542</v>
      </c>
      <c r="D1065" s="313" t="s">
        <v>4542</v>
      </c>
      <c r="E1065" s="313" t="s">
        <v>4530</v>
      </c>
      <c r="F1065" s="314" t="s">
        <v>4543</v>
      </c>
      <c r="G1065" s="313">
        <v>540</v>
      </c>
      <c r="H1065" s="313">
        <v>725</v>
      </c>
      <c r="I1065" s="313">
        <v>2023.04</v>
      </c>
    </row>
    <row r="1066" spans="1:9">
      <c r="A1066" s="313" t="s">
        <v>307</v>
      </c>
      <c r="B1066" s="313" t="s">
        <v>711</v>
      </c>
      <c r="C1066" s="313" t="s">
        <v>4544</v>
      </c>
      <c r="D1066" s="313" t="s">
        <v>4544</v>
      </c>
      <c r="E1066" s="313" t="s">
        <v>4534</v>
      </c>
      <c r="F1066" s="314" t="s">
        <v>4543</v>
      </c>
      <c r="G1066" s="313">
        <v>1200</v>
      </c>
      <c r="H1066" s="313">
        <v>3000</v>
      </c>
      <c r="I1066" s="313">
        <v>2023.04</v>
      </c>
    </row>
    <row r="1067" spans="1:9">
      <c r="A1067" s="313" t="s">
        <v>307</v>
      </c>
      <c r="B1067" s="313" t="s">
        <v>711</v>
      </c>
      <c r="C1067" s="313" t="s">
        <v>4544</v>
      </c>
      <c r="D1067" s="313" t="s">
        <v>4544</v>
      </c>
      <c r="E1067" s="313" t="s">
        <v>4442</v>
      </c>
      <c r="F1067" s="314" t="s">
        <v>4543</v>
      </c>
      <c r="G1067" s="313">
        <v>240</v>
      </c>
      <c r="H1067" s="313">
        <v>240</v>
      </c>
      <c r="I1067" s="313">
        <v>2023.04</v>
      </c>
    </row>
    <row r="1068" spans="1:9">
      <c r="A1068" s="313" t="s">
        <v>307</v>
      </c>
      <c r="B1068" s="313" t="s">
        <v>711</v>
      </c>
      <c r="C1068" s="313" t="s">
        <v>4545</v>
      </c>
      <c r="D1068" s="313" t="s">
        <v>4545</v>
      </c>
      <c r="E1068" s="313" t="s">
        <v>4442</v>
      </c>
      <c r="F1068" s="314" t="s">
        <v>4546</v>
      </c>
      <c r="G1068" s="313">
        <v>125</v>
      </c>
      <c r="H1068" s="313">
        <v>320</v>
      </c>
      <c r="I1068" s="313">
        <v>2023.04</v>
      </c>
    </row>
    <row r="1069" spans="1:9">
      <c r="A1069" s="313" t="s">
        <v>307</v>
      </c>
      <c r="B1069" s="313" t="s">
        <v>711</v>
      </c>
      <c r="C1069" s="313" t="s">
        <v>3836</v>
      </c>
      <c r="D1069" s="313" t="s">
        <v>3836</v>
      </c>
      <c r="E1069" s="313" t="s">
        <v>3818</v>
      </c>
      <c r="F1069" s="314" t="s">
        <v>4547</v>
      </c>
      <c r="G1069" s="313">
        <v>1200</v>
      </c>
      <c r="H1069" s="313">
        <v>3000</v>
      </c>
      <c r="I1069" s="313">
        <v>2023.04</v>
      </c>
    </row>
    <row r="1070" spans="1:9">
      <c r="A1070" s="313" t="s">
        <v>307</v>
      </c>
      <c r="B1070" s="313" t="s">
        <v>711</v>
      </c>
      <c r="C1070" s="313" t="s">
        <v>2407</v>
      </c>
      <c r="D1070" s="313" t="s">
        <v>2407</v>
      </c>
      <c r="E1070" s="313" t="s">
        <v>3848</v>
      </c>
      <c r="F1070" s="314" t="s">
        <v>4537</v>
      </c>
      <c r="G1070" s="313">
        <v>465</v>
      </c>
      <c r="H1070" s="313">
        <v>1868</v>
      </c>
      <c r="I1070" s="313">
        <v>2023.04</v>
      </c>
    </row>
    <row r="1071" spans="1:9">
      <c r="A1071" s="313" t="s">
        <v>307</v>
      </c>
      <c r="B1071" s="313" t="s">
        <v>711</v>
      </c>
      <c r="C1071" s="313" t="s">
        <v>4548</v>
      </c>
      <c r="D1071" s="313" t="s">
        <v>4548</v>
      </c>
      <c r="E1071" s="313" t="s">
        <v>3848</v>
      </c>
      <c r="F1071" s="314" t="s">
        <v>4539</v>
      </c>
      <c r="G1071" s="313">
        <v>90</v>
      </c>
      <c r="H1071" s="313">
        <v>1300</v>
      </c>
      <c r="I1071" s="313">
        <v>2023.04</v>
      </c>
    </row>
    <row r="1072" spans="1:9">
      <c r="A1072" s="313" t="s">
        <v>307</v>
      </c>
      <c r="B1072" s="313" t="s">
        <v>711</v>
      </c>
      <c r="C1072" s="313" t="s">
        <v>4548</v>
      </c>
      <c r="D1072" s="313" t="s">
        <v>4548</v>
      </c>
      <c r="E1072" s="313" t="s">
        <v>4442</v>
      </c>
      <c r="F1072" s="314" t="s">
        <v>4539</v>
      </c>
      <c r="G1072" s="313">
        <v>98</v>
      </c>
      <c r="H1072" s="313">
        <v>320</v>
      </c>
      <c r="I1072" s="313">
        <v>2023.04</v>
      </c>
    </row>
    <row r="1073" spans="1:9">
      <c r="A1073" s="313" t="s">
        <v>307</v>
      </c>
      <c r="B1073" s="313" t="s">
        <v>711</v>
      </c>
      <c r="C1073" s="313" t="s">
        <v>4548</v>
      </c>
      <c r="D1073" s="313" t="s">
        <v>4548</v>
      </c>
      <c r="E1073" s="313" t="s">
        <v>4530</v>
      </c>
      <c r="F1073" s="314" t="s">
        <v>4539</v>
      </c>
      <c r="G1073" s="313">
        <v>600</v>
      </c>
      <c r="H1073" s="313">
        <v>3000</v>
      </c>
      <c r="I1073" s="313">
        <v>2023.04</v>
      </c>
    </row>
    <row r="1074" spans="1:9">
      <c r="A1074" s="313" t="s">
        <v>307</v>
      </c>
      <c r="B1074" s="313" t="s">
        <v>711</v>
      </c>
      <c r="C1074" s="313" t="s">
        <v>2428</v>
      </c>
      <c r="D1074" s="313" t="s">
        <v>2428</v>
      </c>
      <c r="E1074" s="313" t="s">
        <v>4442</v>
      </c>
      <c r="F1074" s="314" t="s">
        <v>4549</v>
      </c>
      <c r="G1074" s="313">
        <v>222</v>
      </c>
      <c r="H1074" s="313">
        <v>320</v>
      </c>
      <c r="I1074" s="313">
        <v>2023.04</v>
      </c>
    </row>
    <row r="1075" spans="1:9">
      <c r="A1075" s="313" t="s">
        <v>307</v>
      </c>
      <c r="B1075" s="313" t="s">
        <v>711</v>
      </c>
      <c r="C1075" s="313" t="s">
        <v>4550</v>
      </c>
      <c r="D1075" s="313" t="s">
        <v>4550</v>
      </c>
      <c r="E1075" s="313" t="s">
        <v>3969</v>
      </c>
      <c r="F1075" s="314" t="s">
        <v>4551</v>
      </c>
      <c r="G1075" s="313">
        <v>26</v>
      </c>
      <c r="H1075" s="313">
        <v>160</v>
      </c>
      <c r="I1075" s="313">
        <v>2023.04</v>
      </c>
    </row>
    <row r="1076" spans="1:9">
      <c r="A1076" s="313" t="s">
        <v>307</v>
      </c>
      <c r="B1076" s="313" t="s">
        <v>711</v>
      </c>
      <c r="C1076" s="313" t="s">
        <v>4552</v>
      </c>
      <c r="D1076" s="313" t="s">
        <v>4552</v>
      </c>
      <c r="E1076" s="313" t="s">
        <v>4442</v>
      </c>
      <c r="F1076" s="314" t="s">
        <v>4553</v>
      </c>
      <c r="G1076" s="313">
        <v>320</v>
      </c>
      <c r="H1076" s="313">
        <v>252</v>
      </c>
      <c r="I1076" s="313">
        <v>2023.04</v>
      </c>
    </row>
    <row r="1077" spans="1:9">
      <c r="A1077" s="313" t="s">
        <v>410</v>
      </c>
      <c r="B1077" s="313" t="s">
        <v>4554</v>
      </c>
      <c r="C1077" s="313" t="s">
        <v>3836</v>
      </c>
      <c r="D1077" s="313" t="s">
        <v>3836</v>
      </c>
      <c r="E1077" s="313" t="s">
        <v>3878</v>
      </c>
      <c r="F1077" s="314" t="s">
        <v>4555</v>
      </c>
      <c r="G1077" s="313">
        <v>216</v>
      </c>
      <c r="H1077" s="313">
        <v>431</v>
      </c>
      <c r="I1077" s="313">
        <v>2023.04</v>
      </c>
    </row>
    <row r="1078" spans="1:9">
      <c r="A1078" s="313" t="s">
        <v>410</v>
      </c>
      <c r="B1078" s="313" t="s">
        <v>4554</v>
      </c>
      <c r="C1078" s="313" t="s">
        <v>3836</v>
      </c>
      <c r="D1078" s="313" t="s">
        <v>3836</v>
      </c>
      <c r="E1078" s="313" t="s">
        <v>3834</v>
      </c>
      <c r="F1078" s="314" t="s">
        <v>4555</v>
      </c>
      <c r="G1078" s="313">
        <v>443</v>
      </c>
      <c r="H1078" s="313">
        <v>1038</v>
      </c>
      <c r="I1078" s="313">
        <v>2023.04</v>
      </c>
    </row>
    <row r="1079" spans="1:9">
      <c r="A1079" s="313" t="s">
        <v>410</v>
      </c>
      <c r="B1079" s="313" t="s">
        <v>4554</v>
      </c>
      <c r="C1079" s="313" t="s">
        <v>4556</v>
      </c>
      <c r="D1079" s="313" t="s">
        <v>4556</v>
      </c>
      <c r="E1079" s="313" t="s">
        <v>3820</v>
      </c>
      <c r="F1079" s="314" t="s">
        <v>4557</v>
      </c>
      <c r="G1079" s="313">
        <v>180</v>
      </c>
      <c r="H1079" s="313">
        <v>180</v>
      </c>
      <c r="I1079" s="313">
        <v>2023.04</v>
      </c>
    </row>
    <row r="1080" spans="1:9">
      <c r="A1080" s="313" t="s">
        <v>331</v>
      </c>
      <c r="B1080" s="313" t="s">
        <v>4558</v>
      </c>
      <c r="C1080" s="313" t="s">
        <v>4099</v>
      </c>
      <c r="D1080" s="313" t="s">
        <v>4099</v>
      </c>
      <c r="E1080" s="313" t="s">
        <v>3854</v>
      </c>
      <c r="F1080" s="314" t="s">
        <v>4559</v>
      </c>
      <c r="G1080" s="313">
        <v>0</v>
      </c>
      <c r="H1080" s="313">
        <v>0</v>
      </c>
      <c r="I1080" s="313">
        <v>2023.04</v>
      </c>
    </row>
    <row r="1081" spans="1:9">
      <c r="A1081" s="313" t="s">
        <v>331</v>
      </c>
      <c r="B1081" s="313" t="s">
        <v>4558</v>
      </c>
      <c r="C1081" s="313" t="s">
        <v>4099</v>
      </c>
      <c r="D1081" s="313" t="s">
        <v>4099</v>
      </c>
      <c r="E1081" s="313" t="s">
        <v>3849</v>
      </c>
      <c r="F1081" s="314" t="s">
        <v>4559</v>
      </c>
      <c r="G1081" s="313">
        <v>340</v>
      </c>
      <c r="H1081" s="313">
        <v>1920</v>
      </c>
      <c r="I1081" s="313">
        <v>2023.04</v>
      </c>
    </row>
    <row r="1082" spans="1:9">
      <c r="A1082" s="313" t="s">
        <v>331</v>
      </c>
      <c r="B1082" s="313" t="s">
        <v>4558</v>
      </c>
      <c r="C1082" s="313" t="s">
        <v>4099</v>
      </c>
      <c r="D1082" s="313" t="s">
        <v>4099</v>
      </c>
      <c r="E1082" s="313" t="s">
        <v>3878</v>
      </c>
      <c r="F1082" s="314" t="s">
        <v>4559</v>
      </c>
      <c r="G1082" s="313">
        <v>0</v>
      </c>
      <c r="H1082" s="313">
        <v>0</v>
      </c>
      <c r="I1082" s="313">
        <v>2023.04</v>
      </c>
    </row>
    <row r="1083" spans="1:9">
      <c r="A1083" s="313" t="s">
        <v>331</v>
      </c>
      <c r="B1083" s="313" t="s">
        <v>4558</v>
      </c>
      <c r="C1083" s="313" t="s">
        <v>4099</v>
      </c>
      <c r="D1083" s="313" t="s">
        <v>4099</v>
      </c>
      <c r="E1083" s="313" t="s">
        <v>4026</v>
      </c>
      <c r="F1083" s="314" t="s">
        <v>4559</v>
      </c>
      <c r="G1083" s="313">
        <v>224</v>
      </c>
      <c r="H1083" s="313">
        <v>448</v>
      </c>
      <c r="I1083" s="313">
        <v>2023.04</v>
      </c>
    </row>
    <row r="1084" spans="1:9">
      <c r="A1084" s="313" t="s">
        <v>331</v>
      </c>
      <c r="B1084" s="313" t="s">
        <v>4558</v>
      </c>
      <c r="C1084" s="313" t="s">
        <v>3836</v>
      </c>
      <c r="D1084" s="313" t="s">
        <v>3836</v>
      </c>
      <c r="E1084" s="313" t="s">
        <v>3854</v>
      </c>
      <c r="F1084" s="314" t="s">
        <v>474</v>
      </c>
      <c r="G1084" s="313">
        <v>56</v>
      </c>
      <c r="H1084" s="313">
        <v>56</v>
      </c>
      <c r="I1084" s="313">
        <v>2023.04</v>
      </c>
    </row>
    <row r="1085" spans="1:9">
      <c r="A1085" s="313" t="s">
        <v>331</v>
      </c>
      <c r="B1085" s="313" t="s">
        <v>4558</v>
      </c>
      <c r="C1085" s="313" t="s">
        <v>3836</v>
      </c>
      <c r="D1085" s="313" t="s">
        <v>3836</v>
      </c>
      <c r="E1085" s="313" t="s">
        <v>3848</v>
      </c>
      <c r="F1085" s="314" t="s">
        <v>474</v>
      </c>
      <c r="G1085" s="313">
        <v>0</v>
      </c>
      <c r="H1085" s="313">
        <v>0</v>
      </c>
      <c r="I1085" s="313">
        <v>2023.04</v>
      </c>
    </row>
    <row r="1086" spans="1:9">
      <c r="A1086" s="313" t="s">
        <v>331</v>
      </c>
      <c r="B1086" s="313" t="s">
        <v>4558</v>
      </c>
      <c r="C1086" s="313" t="s">
        <v>3836</v>
      </c>
      <c r="D1086" s="313" t="s">
        <v>3836</v>
      </c>
      <c r="E1086" s="313" t="s">
        <v>3899</v>
      </c>
      <c r="F1086" s="314" t="s">
        <v>474</v>
      </c>
      <c r="G1086" s="313">
        <v>0</v>
      </c>
      <c r="H1086" s="313">
        <v>0</v>
      </c>
      <c r="I1086" s="313">
        <v>2023.04</v>
      </c>
    </row>
    <row r="1087" spans="1:9">
      <c r="A1087" s="313" t="s">
        <v>331</v>
      </c>
      <c r="B1087" s="313" t="s">
        <v>4558</v>
      </c>
      <c r="C1087" s="313" t="s">
        <v>4560</v>
      </c>
      <c r="D1087" s="313" t="s">
        <v>4560</v>
      </c>
      <c r="E1087" s="313" t="s">
        <v>3854</v>
      </c>
      <c r="F1087" s="314" t="s">
        <v>4561</v>
      </c>
      <c r="G1087" s="313">
        <v>0</v>
      </c>
      <c r="H1087" s="313">
        <v>0</v>
      </c>
      <c r="I1087" s="313">
        <v>2023.04</v>
      </c>
    </row>
    <row r="1088" spans="1:9">
      <c r="A1088" s="313" t="s">
        <v>331</v>
      </c>
      <c r="B1088" s="313" t="s">
        <v>4558</v>
      </c>
      <c r="C1088" s="313" t="s">
        <v>4560</v>
      </c>
      <c r="D1088" s="313" t="s">
        <v>4560</v>
      </c>
      <c r="E1088" s="313" t="s">
        <v>3820</v>
      </c>
      <c r="F1088" s="314" t="s">
        <v>4561</v>
      </c>
      <c r="G1088" s="313">
        <v>0</v>
      </c>
      <c r="H1088" s="313">
        <v>0</v>
      </c>
      <c r="I1088" s="313">
        <v>2023.04</v>
      </c>
    </row>
    <row r="1089" spans="1:9">
      <c r="A1089" s="313" t="s">
        <v>331</v>
      </c>
      <c r="B1089" s="313" t="s">
        <v>4558</v>
      </c>
      <c r="C1089" s="313" t="s">
        <v>4560</v>
      </c>
      <c r="D1089" s="313" t="s">
        <v>4560</v>
      </c>
      <c r="E1089" s="313" t="s">
        <v>3848</v>
      </c>
      <c r="F1089" s="314" t="s">
        <v>4561</v>
      </c>
      <c r="G1089" s="313">
        <v>0</v>
      </c>
      <c r="H1089" s="313">
        <v>0</v>
      </c>
      <c r="I1089" s="313">
        <v>2023.04</v>
      </c>
    </row>
    <row r="1090" spans="1:9">
      <c r="A1090" s="313" t="s">
        <v>331</v>
      </c>
      <c r="B1090" s="313" t="s">
        <v>4558</v>
      </c>
      <c r="C1090" s="313" t="s">
        <v>4560</v>
      </c>
      <c r="D1090" s="313" t="s">
        <v>4560</v>
      </c>
      <c r="E1090" s="313" t="s">
        <v>3849</v>
      </c>
      <c r="F1090" s="314" t="s">
        <v>4561</v>
      </c>
      <c r="G1090" s="313">
        <v>612</v>
      </c>
      <c r="H1090" s="313">
        <v>765</v>
      </c>
      <c r="I1090" s="313">
        <v>2023.04</v>
      </c>
    </row>
    <row r="1091" spans="1:9">
      <c r="A1091" s="313" t="s">
        <v>331</v>
      </c>
      <c r="B1091" s="313" t="s">
        <v>4558</v>
      </c>
      <c r="C1091" s="313" t="s">
        <v>4560</v>
      </c>
      <c r="D1091" s="313" t="s">
        <v>4560</v>
      </c>
      <c r="E1091" s="313" t="s">
        <v>3878</v>
      </c>
      <c r="F1091" s="314" t="s">
        <v>4561</v>
      </c>
      <c r="G1091" s="313">
        <v>0</v>
      </c>
      <c r="H1091" s="313">
        <v>0</v>
      </c>
      <c r="I1091" s="313">
        <v>2023.04</v>
      </c>
    </row>
    <row r="1092" spans="1:9">
      <c r="A1092" s="313" t="s">
        <v>331</v>
      </c>
      <c r="B1092" s="313" t="s">
        <v>4558</v>
      </c>
      <c r="C1092" s="313" t="s">
        <v>4560</v>
      </c>
      <c r="D1092" s="313" t="s">
        <v>4560</v>
      </c>
      <c r="E1092" s="313" t="s">
        <v>4442</v>
      </c>
      <c r="F1092" s="314" t="s">
        <v>4561</v>
      </c>
      <c r="G1092" s="313">
        <v>336</v>
      </c>
      <c r="H1092" s="313">
        <v>336</v>
      </c>
      <c r="I1092" s="313">
        <v>2023.04</v>
      </c>
    </row>
    <row r="1093" spans="1:9">
      <c r="A1093" s="313" t="s">
        <v>331</v>
      </c>
      <c r="B1093" s="313" t="s">
        <v>4558</v>
      </c>
      <c r="C1093" s="313" t="s">
        <v>4560</v>
      </c>
      <c r="D1093" s="313" t="s">
        <v>4560</v>
      </c>
      <c r="E1093" s="313" t="s">
        <v>4026</v>
      </c>
      <c r="F1093" s="314" t="s">
        <v>4561</v>
      </c>
      <c r="G1093" s="313">
        <v>450</v>
      </c>
      <c r="H1093" s="313">
        <v>900</v>
      </c>
      <c r="I1093" s="313">
        <v>2023.04</v>
      </c>
    </row>
    <row r="1094" spans="1:9">
      <c r="A1094" s="313" t="s">
        <v>390</v>
      </c>
      <c r="B1094" s="313" t="s">
        <v>4398</v>
      </c>
      <c r="C1094" s="313" t="s">
        <v>4506</v>
      </c>
      <c r="D1094" s="313" t="s">
        <v>4562</v>
      </c>
      <c r="E1094" s="313" t="s">
        <v>3848</v>
      </c>
      <c r="F1094" s="314" t="s">
        <v>4563</v>
      </c>
      <c r="G1094" s="313">
        <v>116</v>
      </c>
      <c r="H1094" s="313">
        <v>940</v>
      </c>
      <c r="I1094" s="313">
        <v>2023.04</v>
      </c>
    </row>
    <row r="1095" spans="1:9">
      <c r="A1095" s="313" t="s">
        <v>390</v>
      </c>
      <c r="B1095" s="313" t="s">
        <v>4398</v>
      </c>
      <c r="C1095" s="313" t="s">
        <v>4506</v>
      </c>
      <c r="D1095" s="313" t="s">
        <v>4562</v>
      </c>
      <c r="E1095" s="313" t="s">
        <v>3818</v>
      </c>
      <c r="F1095" s="314" t="s">
        <v>4563</v>
      </c>
      <c r="G1095" s="313">
        <v>116</v>
      </c>
      <c r="H1095" s="313">
        <v>940</v>
      </c>
      <c r="I1095" s="313">
        <v>2023.04</v>
      </c>
    </row>
    <row r="1096" spans="1:9">
      <c r="A1096" s="313" t="s">
        <v>390</v>
      </c>
      <c r="B1096" s="313" t="s">
        <v>4398</v>
      </c>
      <c r="C1096" s="313" t="s">
        <v>3836</v>
      </c>
      <c r="D1096" s="313" t="s">
        <v>3836</v>
      </c>
      <c r="E1096" s="313" t="s">
        <v>3969</v>
      </c>
      <c r="F1096" s="314" t="s">
        <v>4564</v>
      </c>
      <c r="G1096" s="313">
        <v>350</v>
      </c>
      <c r="H1096" s="313">
        <v>350</v>
      </c>
      <c r="I1096" s="313">
        <v>2023.04</v>
      </c>
    </row>
    <row r="1097" spans="1:9">
      <c r="A1097" s="313" t="s">
        <v>390</v>
      </c>
      <c r="B1097" s="313" t="s">
        <v>4398</v>
      </c>
      <c r="C1097" s="313" t="s">
        <v>3836</v>
      </c>
      <c r="D1097" s="313" t="s">
        <v>3836</v>
      </c>
      <c r="E1097" s="313" t="s">
        <v>3848</v>
      </c>
      <c r="F1097" s="314" t="s">
        <v>4564</v>
      </c>
      <c r="G1097" s="313">
        <v>350</v>
      </c>
      <c r="H1097" s="313">
        <v>350</v>
      </c>
      <c r="I1097" s="313">
        <v>2023.04</v>
      </c>
    </row>
    <row r="1098" spans="1:9">
      <c r="A1098" s="313" t="s">
        <v>390</v>
      </c>
      <c r="B1098" s="313" t="s">
        <v>4398</v>
      </c>
      <c r="C1098" s="313" t="s">
        <v>3836</v>
      </c>
      <c r="D1098" s="313" t="s">
        <v>3836</v>
      </c>
      <c r="E1098" s="313" t="s">
        <v>3834</v>
      </c>
      <c r="F1098" s="314" t="s">
        <v>4564</v>
      </c>
      <c r="G1098" s="313">
        <v>0</v>
      </c>
      <c r="H1098" s="313">
        <v>0</v>
      </c>
      <c r="I1098" s="313">
        <v>2023.04</v>
      </c>
    </row>
    <row r="1099" spans="1:9">
      <c r="A1099" s="313" t="s">
        <v>390</v>
      </c>
      <c r="B1099" s="313" t="s">
        <v>4398</v>
      </c>
      <c r="C1099" s="313" t="s">
        <v>4565</v>
      </c>
      <c r="D1099" s="313" t="s">
        <v>4001</v>
      </c>
      <c r="E1099" s="313" t="s">
        <v>3969</v>
      </c>
      <c r="F1099" s="314" t="s">
        <v>4566</v>
      </c>
      <c r="G1099" s="313">
        <v>658</v>
      </c>
      <c r="H1099" s="313">
        <v>1000</v>
      </c>
      <c r="I1099" s="313">
        <v>2023.04</v>
      </c>
    </row>
    <row r="1100" spans="1:9">
      <c r="A1100" s="313" t="s">
        <v>390</v>
      </c>
      <c r="B1100" s="313" t="s">
        <v>4398</v>
      </c>
      <c r="C1100" s="313" t="s">
        <v>4565</v>
      </c>
      <c r="D1100" s="313" t="s">
        <v>4001</v>
      </c>
      <c r="E1100" s="313" t="s">
        <v>3848</v>
      </c>
      <c r="F1100" s="314" t="s">
        <v>4566</v>
      </c>
      <c r="G1100" s="313">
        <v>614</v>
      </c>
      <c r="H1100" s="313">
        <v>1000</v>
      </c>
      <c r="I1100" s="313">
        <v>2023.04</v>
      </c>
    </row>
    <row r="1101" spans="1:9">
      <c r="A1101" s="313" t="s">
        <v>390</v>
      </c>
      <c r="B1101" s="313" t="s">
        <v>4398</v>
      </c>
      <c r="C1101" s="313" t="s">
        <v>4565</v>
      </c>
      <c r="D1101" s="313" t="s">
        <v>4001</v>
      </c>
      <c r="E1101" s="313" t="s">
        <v>3818</v>
      </c>
      <c r="F1101" s="314" t="s">
        <v>4566</v>
      </c>
      <c r="G1101" s="313">
        <v>200</v>
      </c>
      <c r="H1101" s="313">
        <v>940</v>
      </c>
      <c r="I1101" s="313">
        <v>2023.04</v>
      </c>
    </row>
    <row r="1102" spans="1:9">
      <c r="A1102" s="313" t="s">
        <v>390</v>
      </c>
      <c r="B1102" s="313" t="s">
        <v>4398</v>
      </c>
      <c r="C1102" s="313" t="s">
        <v>4565</v>
      </c>
      <c r="D1102" s="313" t="s">
        <v>4567</v>
      </c>
      <c r="E1102" s="313" t="s">
        <v>3848</v>
      </c>
      <c r="F1102" s="314" t="s">
        <v>4568</v>
      </c>
      <c r="G1102" s="313">
        <v>116</v>
      </c>
      <c r="H1102" s="313">
        <v>940</v>
      </c>
      <c r="I1102" s="313">
        <v>2023.04</v>
      </c>
    </row>
    <row r="1103" spans="1:9">
      <c r="A1103" s="313" t="s">
        <v>390</v>
      </c>
      <c r="B1103" s="313" t="s">
        <v>4398</v>
      </c>
      <c r="C1103" s="313" t="s">
        <v>4565</v>
      </c>
      <c r="D1103" s="313" t="s">
        <v>4567</v>
      </c>
      <c r="E1103" s="313" t="s">
        <v>3818</v>
      </c>
      <c r="F1103" s="314" t="s">
        <v>4568</v>
      </c>
      <c r="G1103" s="313">
        <v>200</v>
      </c>
      <c r="H1103" s="313">
        <v>940</v>
      </c>
      <c r="I1103" s="313">
        <v>2023.04</v>
      </c>
    </row>
    <row r="1104" spans="1:9">
      <c r="A1104" s="313" t="s">
        <v>390</v>
      </c>
      <c r="B1104" s="313" t="s">
        <v>4398</v>
      </c>
      <c r="C1104" s="313" t="s">
        <v>4565</v>
      </c>
      <c r="D1104" s="313" t="s">
        <v>4569</v>
      </c>
      <c r="E1104" s="313" t="s">
        <v>3848</v>
      </c>
      <c r="F1104" s="314" t="s">
        <v>4570</v>
      </c>
      <c r="G1104" s="313">
        <v>116</v>
      </c>
      <c r="H1104" s="313">
        <v>940</v>
      </c>
      <c r="I1104" s="313">
        <v>2023.04</v>
      </c>
    </row>
    <row r="1105" spans="1:9">
      <c r="A1105" s="313" t="s">
        <v>390</v>
      </c>
      <c r="B1105" s="313" t="s">
        <v>4398</v>
      </c>
      <c r="C1105" s="313" t="s">
        <v>4565</v>
      </c>
      <c r="D1105" s="313" t="s">
        <v>4569</v>
      </c>
      <c r="E1105" s="313" t="s">
        <v>3818</v>
      </c>
      <c r="F1105" s="314" t="s">
        <v>4570</v>
      </c>
      <c r="G1105" s="313">
        <v>200</v>
      </c>
      <c r="H1105" s="313">
        <v>940</v>
      </c>
      <c r="I1105" s="313">
        <v>2023.04</v>
      </c>
    </row>
    <row r="1106" spans="1:9">
      <c r="A1106" s="313" t="s">
        <v>390</v>
      </c>
      <c r="B1106" s="313" t="s">
        <v>4398</v>
      </c>
      <c r="C1106" s="313" t="s">
        <v>4565</v>
      </c>
      <c r="D1106" s="313" t="s">
        <v>4571</v>
      </c>
      <c r="E1106" s="313" t="s">
        <v>3848</v>
      </c>
      <c r="F1106" s="314" t="s">
        <v>4572</v>
      </c>
      <c r="G1106" s="313">
        <v>116</v>
      </c>
      <c r="H1106" s="313">
        <v>940</v>
      </c>
      <c r="I1106" s="313">
        <v>2023.04</v>
      </c>
    </row>
    <row r="1107" spans="1:9">
      <c r="A1107" s="313" t="s">
        <v>390</v>
      </c>
      <c r="B1107" s="313" t="s">
        <v>4398</v>
      </c>
      <c r="C1107" s="313" t="s">
        <v>4565</v>
      </c>
      <c r="D1107" s="313" t="s">
        <v>4571</v>
      </c>
      <c r="E1107" s="313" t="s">
        <v>3818</v>
      </c>
      <c r="F1107" s="314" t="s">
        <v>4572</v>
      </c>
      <c r="G1107" s="313">
        <v>200</v>
      </c>
      <c r="H1107" s="313">
        <v>940</v>
      </c>
      <c r="I1107" s="313">
        <v>2023.04</v>
      </c>
    </row>
    <row r="1108" spans="1:9">
      <c r="A1108" s="313" t="s">
        <v>390</v>
      </c>
      <c r="B1108" s="313" t="s">
        <v>4398</v>
      </c>
      <c r="C1108" s="313" t="s">
        <v>4565</v>
      </c>
      <c r="D1108" s="313" t="s">
        <v>4573</v>
      </c>
      <c r="E1108" s="313" t="s">
        <v>3848</v>
      </c>
      <c r="F1108" s="314" t="s">
        <v>4574</v>
      </c>
      <c r="G1108" s="313">
        <v>116</v>
      </c>
      <c r="H1108" s="313">
        <v>940</v>
      </c>
      <c r="I1108" s="313">
        <v>2023.04</v>
      </c>
    </row>
    <row r="1109" spans="1:9">
      <c r="A1109" s="313" t="s">
        <v>390</v>
      </c>
      <c r="B1109" s="313" t="s">
        <v>4398</v>
      </c>
      <c r="C1109" s="313" t="s">
        <v>4565</v>
      </c>
      <c r="D1109" s="313" t="s">
        <v>4573</v>
      </c>
      <c r="E1109" s="313" t="s">
        <v>3818</v>
      </c>
      <c r="F1109" s="314" t="s">
        <v>4574</v>
      </c>
      <c r="G1109" s="313">
        <v>200</v>
      </c>
      <c r="H1109" s="313">
        <v>940</v>
      </c>
      <c r="I1109" s="313">
        <v>2023.04</v>
      </c>
    </row>
    <row r="1110" spans="1:9">
      <c r="A1110" s="313" t="s">
        <v>390</v>
      </c>
      <c r="B1110" s="313" t="s">
        <v>4398</v>
      </c>
      <c r="C1110" s="313" t="s">
        <v>4565</v>
      </c>
      <c r="D1110" s="313" t="s">
        <v>4575</v>
      </c>
      <c r="E1110" s="313" t="s">
        <v>3848</v>
      </c>
      <c r="F1110" s="314" t="s">
        <v>4576</v>
      </c>
      <c r="G1110" s="313">
        <v>116</v>
      </c>
      <c r="H1110" s="313">
        <v>940</v>
      </c>
      <c r="I1110" s="313">
        <v>2023.04</v>
      </c>
    </row>
    <row r="1111" spans="1:9">
      <c r="A1111" s="313" t="s">
        <v>390</v>
      </c>
      <c r="B1111" s="313" t="s">
        <v>4398</v>
      </c>
      <c r="C1111" s="313" t="s">
        <v>4565</v>
      </c>
      <c r="D1111" s="313" t="s">
        <v>4575</v>
      </c>
      <c r="E1111" s="313" t="s">
        <v>3818</v>
      </c>
      <c r="F1111" s="314" t="s">
        <v>4576</v>
      </c>
      <c r="G1111" s="313">
        <v>200</v>
      </c>
      <c r="H1111" s="313">
        <v>940</v>
      </c>
      <c r="I1111" s="313">
        <v>2023.04</v>
      </c>
    </row>
    <row r="1112" spans="1:9">
      <c r="A1112" s="313" t="s">
        <v>390</v>
      </c>
      <c r="B1112" s="313" t="s">
        <v>4398</v>
      </c>
      <c r="C1112" s="313" t="s">
        <v>4565</v>
      </c>
      <c r="D1112" s="313" t="s">
        <v>4577</v>
      </c>
      <c r="E1112" s="313" t="s">
        <v>3848</v>
      </c>
      <c r="F1112" s="314" t="s">
        <v>4578</v>
      </c>
      <c r="G1112" s="313">
        <v>116</v>
      </c>
      <c r="H1112" s="313">
        <v>940</v>
      </c>
      <c r="I1112" s="313">
        <v>2023.04</v>
      </c>
    </row>
    <row r="1113" spans="1:9">
      <c r="A1113" s="313" t="s">
        <v>390</v>
      </c>
      <c r="B1113" s="313" t="s">
        <v>4398</v>
      </c>
      <c r="C1113" s="313" t="s">
        <v>4565</v>
      </c>
      <c r="D1113" s="313" t="s">
        <v>4577</v>
      </c>
      <c r="E1113" s="313" t="s">
        <v>3818</v>
      </c>
      <c r="F1113" s="314" t="s">
        <v>4578</v>
      </c>
      <c r="G1113" s="313">
        <v>200</v>
      </c>
      <c r="H1113" s="313">
        <v>940</v>
      </c>
      <c r="I1113" s="313">
        <v>2023.04</v>
      </c>
    </row>
    <row r="1114" spans="1:9">
      <c r="A1114" s="313" t="s">
        <v>390</v>
      </c>
      <c r="B1114" s="313" t="s">
        <v>4398</v>
      </c>
      <c r="C1114" s="313" t="s">
        <v>4565</v>
      </c>
      <c r="D1114" s="313" t="s">
        <v>4579</v>
      </c>
      <c r="E1114" s="313" t="s">
        <v>3848</v>
      </c>
      <c r="F1114" s="314" t="s">
        <v>4580</v>
      </c>
      <c r="G1114" s="313">
        <v>116</v>
      </c>
      <c r="H1114" s="313">
        <v>940</v>
      </c>
      <c r="I1114" s="313">
        <v>2023.04</v>
      </c>
    </row>
    <row r="1115" spans="1:9">
      <c r="A1115" s="313" t="s">
        <v>390</v>
      </c>
      <c r="B1115" s="313" t="s">
        <v>4398</v>
      </c>
      <c r="C1115" s="313" t="s">
        <v>4565</v>
      </c>
      <c r="D1115" s="313" t="s">
        <v>4579</v>
      </c>
      <c r="E1115" s="313" t="s">
        <v>3818</v>
      </c>
      <c r="F1115" s="314" t="s">
        <v>4580</v>
      </c>
      <c r="G1115" s="313">
        <v>200</v>
      </c>
      <c r="H1115" s="313">
        <v>940</v>
      </c>
      <c r="I1115" s="313">
        <v>2023.04</v>
      </c>
    </row>
    <row r="1116" spans="1:9">
      <c r="A1116" s="313" t="s">
        <v>390</v>
      </c>
      <c r="B1116" s="313" t="s">
        <v>4398</v>
      </c>
      <c r="C1116" s="313" t="s">
        <v>4565</v>
      </c>
      <c r="D1116" s="313" t="s">
        <v>4581</v>
      </c>
      <c r="E1116" s="313" t="s">
        <v>3848</v>
      </c>
      <c r="F1116" s="314" t="s">
        <v>4582</v>
      </c>
      <c r="G1116" s="313">
        <v>116</v>
      </c>
      <c r="H1116" s="313">
        <v>940</v>
      </c>
      <c r="I1116" s="313">
        <v>2023.04</v>
      </c>
    </row>
    <row r="1117" spans="1:9">
      <c r="A1117" s="313" t="s">
        <v>390</v>
      </c>
      <c r="B1117" s="313" t="s">
        <v>4398</v>
      </c>
      <c r="C1117" s="313" t="s">
        <v>4565</v>
      </c>
      <c r="D1117" s="313" t="s">
        <v>4581</v>
      </c>
      <c r="E1117" s="313" t="s">
        <v>3818</v>
      </c>
      <c r="F1117" s="314" t="s">
        <v>4582</v>
      </c>
      <c r="G1117" s="313">
        <v>200</v>
      </c>
      <c r="H1117" s="313">
        <v>940</v>
      </c>
      <c r="I1117" s="313">
        <v>2023.04</v>
      </c>
    </row>
    <row r="1118" spans="1:9">
      <c r="A1118" s="313" t="s">
        <v>390</v>
      </c>
      <c r="B1118" s="313" t="s">
        <v>4398</v>
      </c>
      <c r="C1118" s="313" t="s">
        <v>4565</v>
      </c>
      <c r="D1118" s="313" t="s">
        <v>4583</v>
      </c>
      <c r="E1118" s="313" t="s">
        <v>3848</v>
      </c>
      <c r="F1118" s="314" t="s">
        <v>4584</v>
      </c>
      <c r="G1118" s="313">
        <v>116</v>
      </c>
      <c r="H1118" s="313">
        <v>940</v>
      </c>
      <c r="I1118" s="313">
        <v>2023.04</v>
      </c>
    </row>
    <row r="1119" spans="1:9">
      <c r="A1119" s="313" t="s">
        <v>390</v>
      </c>
      <c r="B1119" s="313" t="s">
        <v>4398</v>
      </c>
      <c r="C1119" s="313" t="s">
        <v>4565</v>
      </c>
      <c r="D1119" s="313" t="s">
        <v>4583</v>
      </c>
      <c r="E1119" s="313" t="s">
        <v>3818</v>
      </c>
      <c r="F1119" s="314" t="s">
        <v>4584</v>
      </c>
      <c r="G1119" s="313">
        <v>200</v>
      </c>
      <c r="H1119" s="313">
        <v>940</v>
      </c>
      <c r="I1119" s="313">
        <v>2023.04</v>
      </c>
    </row>
    <row r="1120" spans="1:9">
      <c r="A1120" s="313" t="s">
        <v>390</v>
      </c>
      <c r="B1120" s="313" t="s">
        <v>4398</v>
      </c>
      <c r="C1120" s="313" t="s">
        <v>4565</v>
      </c>
      <c r="D1120" s="313" t="s">
        <v>4585</v>
      </c>
      <c r="E1120" s="313" t="s">
        <v>3969</v>
      </c>
      <c r="F1120" s="314" t="s">
        <v>4586</v>
      </c>
      <c r="G1120" s="313">
        <v>751</v>
      </c>
      <c r="H1120" s="313">
        <v>1000</v>
      </c>
      <c r="I1120" s="313">
        <v>2023.04</v>
      </c>
    </row>
    <row r="1121" spans="1:9">
      <c r="A1121" s="313" t="s">
        <v>390</v>
      </c>
      <c r="B1121" s="313" t="s">
        <v>4398</v>
      </c>
      <c r="C1121" s="313" t="s">
        <v>4565</v>
      </c>
      <c r="D1121" s="313" t="s">
        <v>4585</v>
      </c>
      <c r="E1121" s="313" t="s">
        <v>3848</v>
      </c>
      <c r="F1121" s="314" t="s">
        <v>4586</v>
      </c>
      <c r="G1121" s="313">
        <v>751</v>
      </c>
      <c r="H1121" s="313">
        <v>1000</v>
      </c>
      <c r="I1121" s="313">
        <v>2023.04</v>
      </c>
    </row>
    <row r="1122" spans="1:9">
      <c r="A1122" s="313" t="s">
        <v>390</v>
      </c>
      <c r="B1122" s="313" t="s">
        <v>4398</v>
      </c>
      <c r="C1122" s="313" t="s">
        <v>4565</v>
      </c>
      <c r="D1122" s="313" t="s">
        <v>4585</v>
      </c>
      <c r="E1122" s="313" t="s">
        <v>3818</v>
      </c>
      <c r="F1122" s="314" t="s">
        <v>4586</v>
      </c>
      <c r="G1122" s="313">
        <v>200</v>
      </c>
      <c r="H1122" s="313">
        <v>940</v>
      </c>
      <c r="I1122" s="313">
        <v>2023.04</v>
      </c>
    </row>
    <row r="1123" spans="1:9">
      <c r="A1123" s="313" t="s">
        <v>390</v>
      </c>
      <c r="B1123" s="313" t="s">
        <v>4398</v>
      </c>
      <c r="C1123" s="313" t="s">
        <v>4565</v>
      </c>
      <c r="D1123" s="313" t="s">
        <v>4587</v>
      </c>
      <c r="E1123" s="313" t="s">
        <v>3969</v>
      </c>
      <c r="F1123" s="314" t="s">
        <v>4588</v>
      </c>
      <c r="G1123" s="313">
        <v>116</v>
      </c>
      <c r="H1123" s="313">
        <v>940</v>
      </c>
      <c r="I1123" s="313">
        <v>2023.04</v>
      </c>
    </row>
    <row r="1124" spans="1:9">
      <c r="A1124" s="313" t="s">
        <v>390</v>
      </c>
      <c r="B1124" s="313" t="s">
        <v>4398</v>
      </c>
      <c r="C1124" s="313" t="s">
        <v>4565</v>
      </c>
      <c r="D1124" s="313" t="s">
        <v>4587</v>
      </c>
      <c r="E1124" s="313" t="s">
        <v>3848</v>
      </c>
      <c r="F1124" s="314" t="s">
        <v>4588</v>
      </c>
      <c r="G1124" s="313">
        <v>200</v>
      </c>
      <c r="H1124" s="313">
        <v>940</v>
      </c>
      <c r="I1124" s="313">
        <v>2023.04</v>
      </c>
    </row>
    <row r="1125" spans="1:9">
      <c r="A1125" s="313" t="s">
        <v>390</v>
      </c>
      <c r="B1125" s="313" t="s">
        <v>4398</v>
      </c>
      <c r="C1125" s="313" t="s">
        <v>4565</v>
      </c>
      <c r="D1125" s="313" t="s">
        <v>4587</v>
      </c>
      <c r="E1125" s="313" t="s">
        <v>3818</v>
      </c>
      <c r="F1125" s="314" t="s">
        <v>4588</v>
      </c>
      <c r="G1125" s="313">
        <v>200</v>
      </c>
      <c r="H1125" s="313">
        <v>940</v>
      </c>
      <c r="I1125" s="313">
        <v>2023.04</v>
      </c>
    </row>
    <row r="1126" spans="1:9">
      <c r="A1126" s="313" t="s">
        <v>390</v>
      </c>
      <c r="B1126" s="313" t="s">
        <v>4398</v>
      </c>
      <c r="C1126" s="313" t="s">
        <v>4565</v>
      </c>
      <c r="D1126" s="313" t="s">
        <v>4010</v>
      </c>
      <c r="E1126" s="313" t="s">
        <v>3969</v>
      </c>
      <c r="F1126" s="314" t="s">
        <v>4589</v>
      </c>
      <c r="G1126" s="313">
        <v>400</v>
      </c>
      <c r="H1126" s="313">
        <v>600</v>
      </c>
      <c r="I1126" s="313">
        <v>2023.04</v>
      </c>
    </row>
    <row r="1127" spans="1:9">
      <c r="A1127" s="313" t="s">
        <v>390</v>
      </c>
      <c r="B1127" s="313" t="s">
        <v>4398</v>
      </c>
      <c r="C1127" s="313" t="s">
        <v>4565</v>
      </c>
      <c r="D1127" s="313" t="s">
        <v>4010</v>
      </c>
      <c r="E1127" s="313" t="s">
        <v>3848</v>
      </c>
      <c r="F1127" s="314" t="s">
        <v>4589</v>
      </c>
      <c r="G1127" s="313">
        <v>400</v>
      </c>
      <c r="H1127" s="313">
        <v>600</v>
      </c>
      <c r="I1127" s="313">
        <v>2023.04</v>
      </c>
    </row>
    <row r="1128" spans="1:9">
      <c r="A1128" s="313" t="s">
        <v>390</v>
      </c>
      <c r="B1128" s="313" t="s">
        <v>4398</v>
      </c>
      <c r="C1128" s="313" t="s">
        <v>4565</v>
      </c>
      <c r="D1128" s="313" t="s">
        <v>4010</v>
      </c>
      <c r="E1128" s="313" t="s">
        <v>3818</v>
      </c>
      <c r="F1128" s="314" t="s">
        <v>4589</v>
      </c>
      <c r="G1128" s="313">
        <v>667</v>
      </c>
      <c r="H1128" s="313">
        <v>1000</v>
      </c>
      <c r="I1128" s="313">
        <v>2023.04</v>
      </c>
    </row>
    <row r="1129" spans="1:9">
      <c r="A1129" s="313" t="s">
        <v>390</v>
      </c>
      <c r="B1129" s="313" t="s">
        <v>4398</v>
      </c>
      <c r="C1129" s="313" t="s">
        <v>4565</v>
      </c>
      <c r="D1129" s="313" t="s">
        <v>4590</v>
      </c>
      <c r="E1129" s="313" t="s">
        <v>3848</v>
      </c>
      <c r="F1129" s="314" t="s">
        <v>4591</v>
      </c>
      <c r="G1129" s="313">
        <v>116</v>
      </c>
      <c r="H1129" s="313">
        <v>940</v>
      </c>
      <c r="I1129" s="313">
        <v>2023.04</v>
      </c>
    </row>
    <row r="1130" spans="1:9">
      <c r="A1130" s="313" t="s">
        <v>390</v>
      </c>
      <c r="B1130" s="313" t="s">
        <v>4398</v>
      </c>
      <c r="C1130" s="313" t="s">
        <v>4565</v>
      </c>
      <c r="D1130" s="313" t="s">
        <v>4590</v>
      </c>
      <c r="E1130" s="313" t="s">
        <v>3818</v>
      </c>
      <c r="F1130" s="314" t="s">
        <v>4591</v>
      </c>
      <c r="G1130" s="313">
        <v>200</v>
      </c>
      <c r="H1130" s="313">
        <v>940</v>
      </c>
      <c r="I1130" s="313">
        <v>2023.04</v>
      </c>
    </row>
    <row r="1131" spans="1:9">
      <c r="A1131" s="313" t="s">
        <v>390</v>
      </c>
      <c r="B1131" s="313" t="s">
        <v>4398</v>
      </c>
      <c r="C1131" s="313" t="s">
        <v>4565</v>
      </c>
      <c r="D1131" s="313" t="s">
        <v>4592</v>
      </c>
      <c r="E1131" s="313" t="s">
        <v>3848</v>
      </c>
      <c r="F1131" s="314" t="s">
        <v>4593</v>
      </c>
      <c r="G1131" s="313">
        <v>116</v>
      </c>
      <c r="H1131" s="313">
        <v>940</v>
      </c>
      <c r="I1131" s="313">
        <v>2023.04</v>
      </c>
    </row>
    <row r="1132" spans="1:9">
      <c r="A1132" s="313" t="s">
        <v>390</v>
      </c>
      <c r="B1132" s="313" t="s">
        <v>4398</v>
      </c>
      <c r="C1132" s="313" t="s">
        <v>4565</v>
      </c>
      <c r="D1132" s="313" t="s">
        <v>4592</v>
      </c>
      <c r="E1132" s="313" t="s">
        <v>3818</v>
      </c>
      <c r="F1132" s="314" t="s">
        <v>4593</v>
      </c>
      <c r="G1132" s="313">
        <v>200</v>
      </c>
      <c r="H1132" s="313">
        <v>940</v>
      </c>
      <c r="I1132" s="313">
        <v>2023.04</v>
      </c>
    </row>
    <row r="1133" spans="1:9">
      <c r="A1133" s="313" t="s">
        <v>390</v>
      </c>
      <c r="B1133" s="313" t="s">
        <v>4398</v>
      </c>
      <c r="C1133" s="313" t="s">
        <v>4565</v>
      </c>
      <c r="D1133" s="313" t="s">
        <v>4594</v>
      </c>
      <c r="E1133" s="313" t="s">
        <v>3848</v>
      </c>
      <c r="F1133" s="314" t="s">
        <v>4595</v>
      </c>
      <c r="G1133" s="313">
        <v>116</v>
      </c>
      <c r="H1133" s="313">
        <v>940</v>
      </c>
      <c r="I1133" s="313">
        <v>2023.04</v>
      </c>
    </row>
    <row r="1134" spans="1:9">
      <c r="A1134" s="313" t="s">
        <v>390</v>
      </c>
      <c r="B1134" s="313" t="s">
        <v>4398</v>
      </c>
      <c r="C1134" s="313" t="s">
        <v>4565</v>
      </c>
      <c r="D1134" s="313" t="s">
        <v>4594</v>
      </c>
      <c r="E1134" s="313" t="s">
        <v>3818</v>
      </c>
      <c r="F1134" s="314" t="s">
        <v>4595</v>
      </c>
      <c r="G1134" s="313">
        <v>200</v>
      </c>
      <c r="H1134" s="313">
        <v>940</v>
      </c>
      <c r="I1134" s="313">
        <v>2023.04</v>
      </c>
    </row>
    <row r="1135" spans="1:9">
      <c r="A1135" s="313" t="s">
        <v>390</v>
      </c>
      <c r="B1135" s="313" t="s">
        <v>4398</v>
      </c>
      <c r="C1135" s="313" t="s">
        <v>4565</v>
      </c>
      <c r="D1135" s="313" t="s">
        <v>4596</v>
      </c>
      <c r="E1135" s="313" t="s">
        <v>3848</v>
      </c>
      <c r="F1135" s="314" t="s">
        <v>4597</v>
      </c>
      <c r="G1135" s="313">
        <v>116</v>
      </c>
      <c r="H1135" s="313">
        <v>940</v>
      </c>
      <c r="I1135" s="313">
        <v>2023.04</v>
      </c>
    </row>
    <row r="1136" spans="1:9">
      <c r="A1136" s="313" t="s">
        <v>390</v>
      </c>
      <c r="B1136" s="313" t="s">
        <v>4398</v>
      </c>
      <c r="C1136" s="313" t="s">
        <v>4565</v>
      </c>
      <c r="D1136" s="313" t="s">
        <v>4596</v>
      </c>
      <c r="E1136" s="313" t="s">
        <v>3818</v>
      </c>
      <c r="F1136" s="314" t="s">
        <v>4597</v>
      </c>
      <c r="G1136" s="313">
        <v>200</v>
      </c>
      <c r="H1136" s="313">
        <v>940</v>
      </c>
      <c r="I1136" s="313">
        <v>2023.04</v>
      </c>
    </row>
    <row r="1137" spans="1:9">
      <c r="A1137" s="313" t="s">
        <v>390</v>
      </c>
      <c r="B1137" s="313" t="s">
        <v>4398</v>
      </c>
      <c r="C1137" s="313" t="s">
        <v>4565</v>
      </c>
      <c r="D1137" s="313" t="s">
        <v>4598</v>
      </c>
      <c r="E1137" s="313" t="s">
        <v>3848</v>
      </c>
      <c r="F1137" s="314" t="s">
        <v>4599</v>
      </c>
      <c r="G1137" s="313">
        <v>116</v>
      </c>
      <c r="H1137" s="313">
        <v>940</v>
      </c>
      <c r="I1137" s="313">
        <v>2023.04</v>
      </c>
    </row>
    <row r="1138" spans="1:9">
      <c r="A1138" s="313" t="s">
        <v>390</v>
      </c>
      <c r="B1138" s="313" t="s">
        <v>4398</v>
      </c>
      <c r="C1138" s="313" t="s">
        <v>4565</v>
      </c>
      <c r="D1138" s="313" t="s">
        <v>4598</v>
      </c>
      <c r="E1138" s="313" t="s">
        <v>3818</v>
      </c>
      <c r="F1138" s="314" t="s">
        <v>4599</v>
      </c>
      <c r="G1138" s="313">
        <v>200</v>
      </c>
      <c r="H1138" s="313">
        <v>940</v>
      </c>
      <c r="I1138" s="313">
        <v>2023.04</v>
      </c>
    </row>
    <row r="1139" spans="1:9">
      <c r="A1139" s="313" t="s">
        <v>390</v>
      </c>
      <c r="B1139" s="313" t="s">
        <v>4398</v>
      </c>
      <c r="C1139" s="313" t="s">
        <v>4565</v>
      </c>
      <c r="D1139" s="313" t="s">
        <v>4565</v>
      </c>
      <c r="E1139" s="313" t="s">
        <v>3848</v>
      </c>
      <c r="F1139" s="314" t="s">
        <v>4600</v>
      </c>
      <c r="G1139" s="313">
        <v>116</v>
      </c>
      <c r="H1139" s="313">
        <v>940</v>
      </c>
      <c r="I1139" s="313">
        <v>2023.04</v>
      </c>
    </row>
    <row r="1140" spans="1:9">
      <c r="A1140" s="313" t="s">
        <v>390</v>
      </c>
      <c r="B1140" s="313" t="s">
        <v>4398</v>
      </c>
      <c r="C1140" s="313" t="s">
        <v>4565</v>
      </c>
      <c r="D1140" s="313" t="s">
        <v>4565</v>
      </c>
      <c r="E1140" s="313" t="s">
        <v>3818</v>
      </c>
      <c r="F1140" s="314" t="s">
        <v>4600</v>
      </c>
      <c r="G1140" s="313">
        <v>200</v>
      </c>
      <c r="H1140" s="313">
        <v>940</v>
      </c>
      <c r="I1140" s="313">
        <v>2023.04</v>
      </c>
    </row>
    <row r="1141" spans="1:9">
      <c r="A1141" s="313" t="s">
        <v>480</v>
      </c>
      <c r="B1141" s="313" t="s">
        <v>482</v>
      </c>
      <c r="C1141" s="313" t="s">
        <v>4601</v>
      </c>
      <c r="D1141" s="313" t="s">
        <v>4602</v>
      </c>
      <c r="E1141" s="313" t="s">
        <v>3820</v>
      </c>
      <c r="F1141" s="314" t="s">
        <v>4603</v>
      </c>
      <c r="G1141" s="313">
        <v>153</v>
      </c>
      <c r="H1141" s="313">
        <v>188</v>
      </c>
      <c r="I1141" s="315">
        <v>2023.04</v>
      </c>
    </row>
    <row r="1142" spans="1:9">
      <c r="A1142" s="313" t="s">
        <v>480</v>
      </c>
      <c r="B1142" s="313" t="s">
        <v>482</v>
      </c>
      <c r="C1142" s="313" t="s">
        <v>4601</v>
      </c>
      <c r="D1142" s="313" t="s">
        <v>4602</v>
      </c>
      <c r="E1142" s="313" t="s">
        <v>3820</v>
      </c>
      <c r="F1142" s="314" t="s">
        <v>4604</v>
      </c>
      <c r="G1142" s="313">
        <v>153</v>
      </c>
      <c r="H1142" s="313">
        <v>188</v>
      </c>
      <c r="I1142" s="315">
        <v>2023.04</v>
      </c>
    </row>
    <row r="1143" spans="1:9">
      <c r="A1143" s="313" t="s">
        <v>480</v>
      </c>
      <c r="B1143" s="313" t="s">
        <v>482</v>
      </c>
      <c r="C1143" s="313" t="s">
        <v>3836</v>
      </c>
      <c r="D1143" s="313" t="s">
        <v>3836</v>
      </c>
      <c r="E1143" s="313" t="s">
        <v>4605</v>
      </c>
      <c r="F1143" s="314" t="s">
        <v>483</v>
      </c>
      <c r="G1143" s="313">
        <v>295</v>
      </c>
      <c r="H1143" s="313">
        <v>400</v>
      </c>
      <c r="I1143" s="315">
        <v>2023.04</v>
      </c>
    </row>
    <row r="1144" spans="1:9">
      <c r="A1144" s="313" t="s">
        <v>480</v>
      </c>
      <c r="B1144" s="313" t="s">
        <v>482</v>
      </c>
      <c r="C1144" s="313" t="s">
        <v>3836</v>
      </c>
      <c r="D1144" s="313" t="s">
        <v>3836</v>
      </c>
      <c r="E1144" s="313" t="s">
        <v>4606</v>
      </c>
      <c r="F1144" s="314" t="s">
        <v>483</v>
      </c>
      <c r="G1144" s="313">
        <v>432</v>
      </c>
      <c r="H1144" s="313">
        <v>322</v>
      </c>
      <c r="I1144" s="315">
        <v>2023.04</v>
      </c>
    </row>
    <row r="1145" spans="1:9">
      <c r="A1145" s="313" t="s">
        <v>480</v>
      </c>
      <c r="B1145" s="313" t="s">
        <v>482</v>
      </c>
      <c r="C1145" s="313" t="s">
        <v>3836</v>
      </c>
      <c r="D1145" s="313" t="s">
        <v>3836</v>
      </c>
      <c r="E1145" s="313" t="s">
        <v>4606</v>
      </c>
      <c r="F1145" s="314" t="s">
        <v>483</v>
      </c>
      <c r="G1145" s="313">
        <v>212</v>
      </c>
      <c r="H1145" s="313">
        <v>322</v>
      </c>
      <c r="I1145" s="315">
        <v>2023.04</v>
      </c>
    </row>
    <row r="1146" spans="1:9">
      <c r="A1146" s="313" t="s">
        <v>480</v>
      </c>
      <c r="B1146" s="313" t="s">
        <v>482</v>
      </c>
      <c r="C1146" s="313" t="s">
        <v>3836</v>
      </c>
      <c r="D1146" s="313" t="s">
        <v>3836</v>
      </c>
      <c r="E1146" s="313" t="s">
        <v>3884</v>
      </c>
      <c r="F1146" s="314" t="s">
        <v>483</v>
      </c>
      <c r="G1146" s="313">
        <v>290</v>
      </c>
      <c r="H1146" s="313">
        <v>322</v>
      </c>
      <c r="I1146" s="315">
        <v>2023.04</v>
      </c>
    </row>
    <row r="1147" spans="1:9">
      <c r="A1147" s="313" t="s">
        <v>480</v>
      </c>
      <c r="B1147" s="313" t="s">
        <v>482</v>
      </c>
      <c r="C1147" s="313" t="s">
        <v>3836</v>
      </c>
      <c r="D1147" s="313" t="s">
        <v>3836</v>
      </c>
      <c r="E1147" s="313" t="s">
        <v>3885</v>
      </c>
      <c r="F1147" s="316" t="s">
        <v>4607</v>
      </c>
      <c r="G1147" s="313">
        <v>472</v>
      </c>
      <c r="H1147" s="313">
        <v>1366</v>
      </c>
      <c r="I1147" s="315">
        <v>2023.04</v>
      </c>
    </row>
    <row r="1148" spans="1:9">
      <c r="A1148" s="313" t="s">
        <v>393</v>
      </c>
      <c r="B1148" s="313" t="s">
        <v>4608</v>
      </c>
      <c r="C1148" s="313" t="s">
        <v>3836</v>
      </c>
      <c r="D1148" s="313" t="s">
        <v>3836</v>
      </c>
      <c r="E1148" s="313" t="s">
        <v>3834</v>
      </c>
      <c r="F1148" s="314" t="s">
        <v>4609</v>
      </c>
      <c r="G1148" s="313">
        <v>800</v>
      </c>
      <c r="H1148" s="313">
        <v>692</v>
      </c>
      <c r="I1148" s="313">
        <v>2023.04</v>
      </c>
    </row>
    <row r="1149" spans="1:9">
      <c r="A1149" s="313" t="s">
        <v>393</v>
      </c>
      <c r="B1149" s="313" t="s">
        <v>4608</v>
      </c>
      <c r="C1149" s="313" t="s">
        <v>2333</v>
      </c>
      <c r="D1149" s="313" t="s">
        <v>4610</v>
      </c>
      <c r="E1149" s="313" t="s">
        <v>3834</v>
      </c>
      <c r="F1149" s="314" t="s">
        <v>4611</v>
      </c>
      <c r="G1149" s="313">
        <v>600</v>
      </c>
      <c r="H1149" s="313">
        <v>1920</v>
      </c>
      <c r="I1149" s="313">
        <v>2023.04</v>
      </c>
    </row>
    <row r="1150" spans="1:9">
      <c r="A1150" s="313" t="s">
        <v>211</v>
      </c>
      <c r="B1150" s="313" t="s">
        <v>4612</v>
      </c>
      <c r="C1150" s="313" t="s">
        <v>4092</v>
      </c>
      <c r="D1150" s="313" t="s">
        <v>4092</v>
      </c>
      <c r="E1150" s="313" t="s">
        <v>3834</v>
      </c>
      <c r="F1150" s="314" t="s">
        <v>4613</v>
      </c>
      <c r="G1150" s="313">
        <v>360</v>
      </c>
      <c r="H1150" s="313">
        <v>930</v>
      </c>
      <c r="I1150" s="313">
        <v>2023.04</v>
      </c>
    </row>
    <row r="1151" spans="1:9">
      <c r="A1151" s="313" t="s">
        <v>211</v>
      </c>
      <c r="B1151" s="313" t="s">
        <v>4612</v>
      </c>
      <c r="C1151" s="313" t="s">
        <v>4614</v>
      </c>
      <c r="D1151" s="313" t="s">
        <v>4615</v>
      </c>
      <c r="E1151" s="313" t="s">
        <v>3834</v>
      </c>
      <c r="F1151" s="314" t="s">
        <v>1057</v>
      </c>
      <c r="G1151" s="313">
        <v>380</v>
      </c>
      <c r="H1151" s="313">
        <v>1920</v>
      </c>
      <c r="I1151" s="313">
        <v>2023.04</v>
      </c>
    </row>
    <row r="1152" spans="1:9">
      <c r="A1152" s="313" t="s">
        <v>211</v>
      </c>
      <c r="B1152" s="313" t="s">
        <v>4612</v>
      </c>
      <c r="C1152" s="313" t="s">
        <v>4506</v>
      </c>
      <c r="D1152" s="313" t="s">
        <v>4367</v>
      </c>
      <c r="E1152" s="313" t="s">
        <v>3834</v>
      </c>
      <c r="F1152" s="314" t="s">
        <v>4616</v>
      </c>
      <c r="G1152" s="313">
        <v>260</v>
      </c>
      <c r="H1152" s="313">
        <v>1250</v>
      </c>
      <c r="I1152" s="313">
        <v>2023.04</v>
      </c>
    </row>
    <row r="1153" spans="1:9">
      <c r="A1153" s="313" t="s">
        <v>211</v>
      </c>
      <c r="B1153" s="313" t="s">
        <v>4612</v>
      </c>
      <c r="C1153" s="313" t="s">
        <v>4506</v>
      </c>
      <c r="D1153" s="313" t="s">
        <v>4617</v>
      </c>
      <c r="E1153" s="313" t="s">
        <v>3834</v>
      </c>
      <c r="F1153" s="314" t="s">
        <v>4618</v>
      </c>
      <c r="G1153" s="313">
        <v>260</v>
      </c>
      <c r="H1153" s="313">
        <v>1250</v>
      </c>
      <c r="I1153" s="313">
        <v>2023.04</v>
      </c>
    </row>
    <row r="1154" spans="1:9">
      <c r="A1154" s="313" t="s">
        <v>211</v>
      </c>
      <c r="B1154" s="313" t="s">
        <v>4612</v>
      </c>
      <c r="C1154" s="313" t="s">
        <v>3836</v>
      </c>
      <c r="D1154" s="313" t="s">
        <v>3836</v>
      </c>
      <c r="E1154" s="313" t="s">
        <v>3848</v>
      </c>
      <c r="F1154" s="314" t="s">
        <v>4619</v>
      </c>
      <c r="G1154" s="313">
        <v>200</v>
      </c>
      <c r="H1154" s="313">
        <v>300</v>
      </c>
      <c r="I1154" s="313">
        <v>2023.04</v>
      </c>
    </row>
    <row r="1155" spans="1:9">
      <c r="A1155" s="313" t="s">
        <v>211</v>
      </c>
      <c r="B1155" s="313" t="s">
        <v>4612</v>
      </c>
      <c r="C1155" s="313" t="s">
        <v>3836</v>
      </c>
      <c r="D1155" s="313" t="s">
        <v>3836</v>
      </c>
      <c r="E1155" s="313" t="s">
        <v>4026</v>
      </c>
      <c r="F1155" s="314" t="s">
        <v>4619</v>
      </c>
      <c r="G1155" s="313">
        <v>558</v>
      </c>
      <c r="H1155" s="313">
        <v>320</v>
      </c>
      <c r="I1155" s="313">
        <v>2023.04</v>
      </c>
    </row>
    <row r="1156" spans="1:9">
      <c r="A1156" s="313" t="s">
        <v>211</v>
      </c>
      <c r="B1156" s="313" t="s">
        <v>4612</v>
      </c>
      <c r="C1156" s="313" t="s">
        <v>3828</v>
      </c>
      <c r="D1156" s="313" t="s">
        <v>3828</v>
      </c>
      <c r="E1156" s="313" t="s">
        <v>3834</v>
      </c>
      <c r="F1156" s="314" t="s">
        <v>4620</v>
      </c>
      <c r="G1156" s="313">
        <v>360</v>
      </c>
      <c r="H1156" s="313">
        <v>1920</v>
      </c>
      <c r="I1156" s="313">
        <v>2023.04</v>
      </c>
    </row>
    <row r="1157" spans="1:9">
      <c r="A1157" s="313" t="s">
        <v>211</v>
      </c>
      <c r="B1157" s="313" t="s">
        <v>4612</v>
      </c>
      <c r="C1157" s="313" t="s">
        <v>4367</v>
      </c>
      <c r="D1157" s="313" t="s">
        <v>4043</v>
      </c>
      <c r="E1157" s="313" t="s">
        <v>3834</v>
      </c>
      <c r="F1157" s="314" t="s">
        <v>1059</v>
      </c>
      <c r="G1157" s="313">
        <v>260</v>
      </c>
      <c r="H1157" s="313">
        <v>1250</v>
      </c>
      <c r="I1157" s="313">
        <v>2023.04</v>
      </c>
    </row>
    <row r="1158" spans="1:9">
      <c r="A1158" s="313" t="s">
        <v>211</v>
      </c>
      <c r="B1158" s="313" t="s">
        <v>4612</v>
      </c>
      <c r="C1158" s="313" t="s">
        <v>4617</v>
      </c>
      <c r="D1158" s="313" t="s">
        <v>4621</v>
      </c>
      <c r="E1158" s="313" t="s">
        <v>3834</v>
      </c>
      <c r="F1158" s="314" t="s">
        <v>2254</v>
      </c>
      <c r="G1158" s="313">
        <v>260</v>
      </c>
      <c r="H1158" s="313">
        <v>1250</v>
      </c>
      <c r="I1158" s="313">
        <v>2023.04</v>
      </c>
    </row>
    <row r="1159" spans="1:9">
      <c r="A1159" s="313" t="s">
        <v>211</v>
      </c>
      <c r="B1159" s="313" t="s">
        <v>4612</v>
      </c>
      <c r="C1159" s="313" t="s">
        <v>4622</v>
      </c>
      <c r="D1159" s="313" t="s">
        <v>4623</v>
      </c>
      <c r="E1159" s="313" t="s">
        <v>3834</v>
      </c>
      <c r="F1159" s="314" t="s">
        <v>1058</v>
      </c>
      <c r="G1159" s="313">
        <v>380</v>
      </c>
      <c r="H1159" s="313">
        <v>1920</v>
      </c>
      <c r="I1159" s="313">
        <v>2023.04</v>
      </c>
    </row>
    <row r="1160" spans="1:9">
      <c r="A1160" s="313" t="s">
        <v>211</v>
      </c>
      <c r="B1160" s="313" t="s">
        <v>4612</v>
      </c>
      <c r="C1160" s="313" t="s">
        <v>4303</v>
      </c>
      <c r="D1160" s="313" t="s">
        <v>4303</v>
      </c>
      <c r="E1160" s="313" t="s">
        <v>3848</v>
      </c>
      <c r="F1160" s="314" t="s">
        <v>4624</v>
      </c>
      <c r="G1160" s="313">
        <v>400</v>
      </c>
      <c r="H1160" s="313">
        <v>600</v>
      </c>
      <c r="I1160" s="313">
        <v>2023.04</v>
      </c>
    </row>
    <row r="1161" spans="1:9">
      <c r="A1161" s="313" t="s">
        <v>211</v>
      </c>
      <c r="B1161" s="313" t="s">
        <v>4612</v>
      </c>
      <c r="C1161" s="313" t="s">
        <v>4625</v>
      </c>
      <c r="D1161" s="313" t="s">
        <v>4626</v>
      </c>
      <c r="E1161" s="313" t="s">
        <v>3834</v>
      </c>
      <c r="F1161" s="314" t="s">
        <v>1055</v>
      </c>
      <c r="G1161" s="313">
        <v>260</v>
      </c>
      <c r="H1161" s="313">
        <v>1250</v>
      </c>
      <c r="I1161" s="313">
        <v>2023.04</v>
      </c>
    </row>
    <row r="1162" spans="1:9">
      <c r="A1162" s="313" t="s">
        <v>211</v>
      </c>
      <c r="B1162" s="313" t="s">
        <v>4612</v>
      </c>
      <c r="C1162" s="313" t="s">
        <v>4017</v>
      </c>
      <c r="D1162" s="313" t="s">
        <v>3866</v>
      </c>
      <c r="E1162" s="313" t="s">
        <v>3834</v>
      </c>
      <c r="F1162" s="314" t="s">
        <v>4627</v>
      </c>
      <c r="G1162" s="313">
        <v>260</v>
      </c>
      <c r="H1162" s="313">
        <v>1250</v>
      </c>
      <c r="I1162" s="313">
        <v>2023.04</v>
      </c>
    </row>
    <row r="1163" spans="1:9">
      <c r="A1163" s="313" t="s">
        <v>211</v>
      </c>
      <c r="B1163" s="313" t="s">
        <v>4612</v>
      </c>
      <c r="C1163" s="313" t="s">
        <v>4017</v>
      </c>
      <c r="D1163" s="313" t="s">
        <v>4628</v>
      </c>
      <c r="E1163" s="313" t="s">
        <v>3834</v>
      </c>
      <c r="F1163" s="314" t="s">
        <v>4629</v>
      </c>
      <c r="G1163" s="313">
        <v>260</v>
      </c>
      <c r="H1163" s="313">
        <v>1250</v>
      </c>
      <c r="I1163" s="313">
        <v>2023.04</v>
      </c>
    </row>
    <row r="1164" spans="1:9">
      <c r="A1164" s="313" t="s">
        <v>211</v>
      </c>
      <c r="B1164" s="313" t="s">
        <v>4398</v>
      </c>
      <c r="C1164" s="313" t="s">
        <v>4630</v>
      </c>
      <c r="D1164" s="313" t="s">
        <v>4630</v>
      </c>
      <c r="E1164" s="313" t="s">
        <v>4326</v>
      </c>
      <c r="F1164" s="314" t="s">
        <v>4631</v>
      </c>
      <c r="G1164" s="313">
        <v>350</v>
      </c>
      <c r="H1164" s="313">
        <v>600</v>
      </c>
      <c r="I1164" s="313">
        <v>2023.04</v>
      </c>
    </row>
    <row r="1165" spans="1:9">
      <c r="A1165" s="313" t="s">
        <v>211</v>
      </c>
      <c r="B1165" s="313" t="s">
        <v>4398</v>
      </c>
      <c r="C1165" s="313" t="s">
        <v>3997</v>
      </c>
      <c r="D1165" s="313" t="s">
        <v>3997</v>
      </c>
      <c r="E1165" s="313" t="s">
        <v>3818</v>
      </c>
      <c r="F1165" s="314" t="s">
        <v>4632</v>
      </c>
      <c r="G1165" s="313">
        <v>450</v>
      </c>
      <c r="H1165" s="313">
        <v>1260</v>
      </c>
      <c r="I1165" s="313">
        <v>2023.04</v>
      </c>
    </row>
    <row r="1166" spans="1:9">
      <c r="A1166" s="313" t="s">
        <v>211</v>
      </c>
      <c r="B1166" s="313" t="s">
        <v>4398</v>
      </c>
      <c r="C1166" s="313" t="s">
        <v>3836</v>
      </c>
      <c r="D1166" s="313" t="s">
        <v>3836</v>
      </c>
      <c r="E1166" s="313" t="s">
        <v>3834</v>
      </c>
      <c r="F1166" s="314" t="s">
        <v>4633</v>
      </c>
      <c r="G1166" s="313">
        <v>2058</v>
      </c>
      <c r="H1166" s="313">
        <v>8000</v>
      </c>
      <c r="I1166" s="313">
        <v>2023.04</v>
      </c>
    </row>
    <row r="1167" spans="1:9">
      <c r="A1167" s="313" t="s">
        <v>211</v>
      </c>
      <c r="B1167" s="313" t="s">
        <v>4398</v>
      </c>
      <c r="C1167" s="313" t="s">
        <v>3828</v>
      </c>
      <c r="D1167" s="313" t="s">
        <v>3828</v>
      </c>
      <c r="E1167" s="313" t="s">
        <v>3818</v>
      </c>
      <c r="F1167" s="314" t="s">
        <v>1239</v>
      </c>
      <c r="G1167" s="313">
        <v>450</v>
      </c>
      <c r="H1167" s="313">
        <v>1260</v>
      </c>
      <c r="I1167" s="313">
        <v>2023.04</v>
      </c>
    </row>
    <row r="1168" spans="1:9">
      <c r="A1168" s="313" t="s">
        <v>211</v>
      </c>
      <c r="B1168" s="313" t="s">
        <v>747</v>
      </c>
      <c r="C1168" s="313" t="s">
        <v>3836</v>
      </c>
      <c r="D1168" s="313" t="s">
        <v>3836</v>
      </c>
      <c r="E1168" s="313" t="s">
        <v>3818</v>
      </c>
      <c r="F1168" s="314" t="s">
        <v>4634</v>
      </c>
      <c r="G1168" s="313">
        <v>418</v>
      </c>
      <c r="H1168" s="313">
        <v>1200</v>
      </c>
      <c r="I1168" s="313">
        <v>2023.04</v>
      </c>
    </row>
    <row r="1169" spans="1:9">
      <c r="A1169" s="313" t="s">
        <v>211</v>
      </c>
      <c r="B1169" s="313" t="s">
        <v>747</v>
      </c>
      <c r="C1169" s="313" t="s">
        <v>4367</v>
      </c>
      <c r="D1169" s="313" t="s">
        <v>2421</v>
      </c>
      <c r="E1169" s="313" t="s">
        <v>3834</v>
      </c>
      <c r="F1169" s="314" t="s">
        <v>4635</v>
      </c>
      <c r="G1169" s="313">
        <v>424</v>
      </c>
      <c r="H1169" s="313">
        <v>1200</v>
      </c>
      <c r="I1169" s="313">
        <v>2023.04</v>
      </c>
    </row>
    <row r="1170" spans="1:9">
      <c r="A1170" s="313" t="s">
        <v>211</v>
      </c>
      <c r="B1170" s="313" t="s">
        <v>747</v>
      </c>
      <c r="C1170" s="313" t="s">
        <v>4636</v>
      </c>
      <c r="D1170" s="313" t="s">
        <v>4637</v>
      </c>
      <c r="E1170" s="313" t="s">
        <v>4638</v>
      </c>
      <c r="F1170" s="314" t="s">
        <v>4639</v>
      </c>
      <c r="G1170" s="313">
        <v>480</v>
      </c>
      <c r="H1170" s="313">
        <v>1360</v>
      </c>
      <c r="I1170" s="313">
        <v>2023.04</v>
      </c>
    </row>
    <row r="1171" spans="1:9">
      <c r="A1171" s="313" t="s">
        <v>211</v>
      </c>
      <c r="B1171" s="313" t="s">
        <v>747</v>
      </c>
      <c r="C1171" s="313" t="s">
        <v>4636</v>
      </c>
      <c r="D1171" s="313" t="s">
        <v>4637</v>
      </c>
      <c r="E1171" s="313" t="s">
        <v>3834</v>
      </c>
      <c r="F1171" s="314" t="s">
        <v>4639</v>
      </c>
      <c r="G1171" s="313">
        <v>480</v>
      </c>
      <c r="H1171" s="313">
        <v>1360</v>
      </c>
      <c r="I1171" s="313">
        <v>2023.04</v>
      </c>
    </row>
    <row r="1172" spans="1:9">
      <c r="A1172" s="313" t="s">
        <v>211</v>
      </c>
      <c r="B1172" s="313" t="s">
        <v>747</v>
      </c>
      <c r="C1172" s="313" t="s">
        <v>4636</v>
      </c>
      <c r="D1172" s="313" t="s">
        <v>4636</v>
      </c>
      <c r="E1172" s="313" t="s">
        <v>4638</v>
      </c>
      <c r="F1172" s="314" t="s">
        <v>4640</v>
      </c>
      <c r="G1172" s="313">
        <v>480</v>
      </c>
      <c r="H1172" s="313">
        <v>1360</v>
      </c>
      <c r="I1172" s="313">
        <v>2023.04</v>
      </c>
    </row>
    <row r="1173" spans="1:9">
      <c r="A1173" s="313" t="s">
        <v>230</v>
      </c>
      <c r="B1173" s="313" t="s">
        <v>747</v>
      </c>
      <c r="C1173" s="313" t="s">
        <v>3836</v>
      </c>
      <c r="D1173" s="313" t="s">
        <v>3836</v>
      </c>
      <c r="E1173" s="313" t="s">
        <v>4641</v>
      </c>
      <c r="F1173" s="314" t="s">
        <v>4642</v>
      </c>
      <c r="G1173" s="313">
        <v>418</v>
      </c>
      <c r="H1173" s="313">
        <v>1200</v>
      </c>
      <c r="I1173" s="313">
        <v>2023.04</v>
      </c>
    </row>
    <row r="1174" spans="1:9">
      <c r="A1174" s="313" t="s">
        <v>230</v>
      </c>
      <c r="B1174" s="313" t="s">
        <v>747</v>
      </c>
      <c r="C1174" s="313" t="s">
        <v>4643</v>
      </c>
      <c r="D1174" s="313" t="s">
        <v>4643</v>
      </c>
      <c r="E1174" s="313" t="s">
        <v>3834</v>
      </c>
      <c r="F1174" s="314" t="s">
        <v>4644</v>
      </c>
      <c r="G1174" s="313">
        <v>300</v>
      </c>
      <c r="H1174" s="313">
        <v>1188</v>
      </c>
      <c r="I1174" s="313">
        <v>2023.04</v>
      </c>
    </row>
    <row r="1175" spans="1:9">
      <c r="A1175" s="313" t="s">
        <v>230</v>
      </c>
      <c r="B1175" s="313" t="s">
        <v>747</v>
      </c>
      <c r="C1175" s="313" t="s">
        <v>4645</v>
      </c>
      <c r="D1175" s="313" t="s">
        <v>4645</v>
      </c>
      <c r="E1175" s="313" t="s">
        <v>4646</v>
      </c>
      <c r="F1175" s="314" t="s">
        <v>4644</v>
      </c>
      <c r="G1175" s="313">
        <v>487</v>
      </c>
      <c r="H1175" s="313">
        <v>1367</v>
      </c>
      <c r="I1175" s="313">
        <v>2023.04</v>
      </c>
    </row>
    <row r="1176" spans="1:9">
      <c r="A1176" s="313" t="s">
        <v>230</v>
      </c>
      <c r="B1176" s="313" t="s">
        <v>747</v>
      </c>
      <c r="C1176" s="313" t="s">
        <v>4645</v>
      </c>
      <c r="D1176" s="313" t="s">
        <v>2421</v>
      </c>
      <c r="E1176" s="313" t="s">
        <v>4646</v>
      </c>
      <c r="F1176" s="314" t="s">
        <v>4647</v>
      </c>
      <c r="G1176" s="313">
        <v>480</v>
      </c>
      <c r="H1176" s="313">
        <v>1360</v>
      </c>
      <c r="I1176" s="313">
        <v>2023.04</v>
      </c>
    </row>
    <row r="1177" spans="1:9">
      <c r="A1177" s="313" t="s">
        <v>230</v>
      </c>
      <c r="B1177" s="313" t="s">
        <v>747</v>
      </c>
      <c r="C1177" s="313" t="s">
        <v>4648</v>
      </c>
      <c r="D1177" s="313" t="s">
        <v>4648</v>
      </c>
      <c r="E1177" s="313" t="s">
        <v>4649</v>
      </c>
      <c r="F1177" s="314" t="s">
        <v>4650</v>
      </c>
      <c r="G1177" s="313">
        <v>501</v>
      </c>
      <c r="H1177" s="313">
        <v>1381</v>
      </c>
      <c r="I1177" s="313">
        <v>2023.04</v>
      </c>
    </row>
    <row r="1178" spans="1:9">
      <c r="A1178" s="313" t="s">
        <v>230</v>
      </c>
      <c r="B1178" s="313" t="s">
        <v>747</v>
      </c>
      <c r="C1178" s="313" t="s">
        <v>3169</v>
      </c>
      <c r="D1178" s="313" t="s">
        <v>3169</v>
      </c>
      <c r="E1178" s="313" t="s">
        <v>3834</v>
      </c>
      <c r="F1178" s="314" t="s">
        <v>4647</v>
      </c>
      <c r="G1178" s="313">
        <v>481</v>
      </c>
      <c r="H1178" s="313">
        <v>1361</v>
      </c>
      <c r="I1178" s="313">
        <v>2023.04</v>
      </c>
    </row>
    <row r="1179" spans="1:9">
      <c r="A1179" s="313" t="s">
        <v>3489</v>
      </c>
      <c r="B1179" s="313" t="s">
        <v>398</v>
      </c>
      <c r="C1179" s="313" t="s">
        <v>4651</v>
      </c>
      <c r="D1179" s="313"/>
      <c r="E1179" s="313" t="s">
        <v>3854</v>
      </c>
      <c r="F1179" s="314" t="s">
        <v>4652</v>
      </c>
      <c r="G1179" s="313"/>
      <c r="H1179" s="313"/>
      <c r="I1179" s="315">
        <v>2023.04</v>
      </c>
    </row>
    <row r="1180" spans="1:9">
      <c r="A1180" s="313" t="s">
        <v>3489</v>
      </c>
      <c r="B1180" s="313" t="s">
        <v>398</v>
      </c>
      <c r="C1180" s="313" t="s">
        <v>3836</v>
      </c>
      <c r="D1180" s="313" t="s">
        <v>3836</v>
      </c>
      <c r="E1180" s="313" t="s">
        <v>4653</v>
      </c>
      <c r="F1180" s="314" t="s">
        <v>4654</v>
      </c>
      <c r="G1180" s="313"/>
      <c r="H1180" s="313"/>
      <c r="I1180" s="315">
        <v>2023.04</v>
      </c>
    </row>
    <row r="1181" spans="1:9">
      <c r="A1181" s="313" t="s">
        <v>3489</v>
      </c>
      <c r="B1181" s="313" t="s">
        <v>398</v>
      </c>
      <c r="C1181" s="313" t="s">
        <v>3836</v>
      </c>
      <c r="D1181" s="313" t="s">
        <v>3836</v>
      </c>
      <c r="E1181" s="313" t="s">
        <v>3883</v>
      </c>
      <c r="F1181" s="314" t="s">
        <v>4654</v>
      </c>
      <c r="G1181" s="313"/>
      <c r="H1181" s="313"/>
      <c r="I1181" s="315">
        <v>2023.04</v>
      </c>
    </row>
    <row r="1182" spans="1:9">
      <c r="A1182" s="313" t="s">
        <v>3489</v>
      </c>
      <c r="B1182" s="313" t="s">
        <v>398</v>
      </c>
      <c r="C1182" s="313" t="s">
        <v>3836</v>
      </c>
      <c r="D1182" s="313" t="s">
        <v>3836</v>
      </c>
      <c r="E1182" s="313" t="s">
        <v>4655</v>
      </c>
      <c r="F1182" s="314" t="s">
        <v>4654</v>
      </c>
      <c r="G1182" s="313"/>
      <c r="H1182" s="313"/>
      <c r="I1182" s="315">
        <v>2023.04</v>
      </c>
    </row>
    <row r="1183" spans="1:9">
      <c r="A1183" s="313" t="s">
        <v>3489</v>
      </c>
      <c r="B1183" s="313" t="s">
        <v>398</v>
      </c>
      <c r="C1183" s="313" t="s">
        <v>3836</v>
      </c>
      <c r="D1183" s="313" t="s">
        <v>3836</v>
      </c>
      <c r="E1183" s="313" t="s">
        <v>3885</v>
      </c>
      <c r="F1183" s="314" t="s">
        <v>4654</v>
      </c>
      <c r="G1183" s="313"/>
      <c r="H1183" s="313"/>
      <c r="I1183" s="315">
        <v>2023.04</v>
      </c>
    </row>
    <row r="1184" spans="1:9">
      <c r="A1184" s="313" t="s">
        <v>491</v>
      </c>
      <c r="B1184" s="313" t="s">
        <v>3844</v>
      </c>
      <c r="C1184" s="313" t="s">
        <v>4656</v>
      </c>
      <c r="D1184" s="313" t="s">
        <v>4656</v>
      </c>
      <c r="E1184" s="313" t="s">
        <v>3848</v>
      </c>
      <c r="F1184" s="314" t="s">
        <v>4657</v>
      </c>
      <c r="G1184" s="313">
        <v>1062</v>
      </c>
      <c r="H1184" s="313">
        <v>948</v>
      </c>
      <c r="I1184" s="313">
        <v>2023.04</v>
      </c>
    </row>
    <row r="1185" spans="1:9">
      <c r="A1185" s="313" t="s">
        <v>491</v>
      </c>
      <c r="B1185" s="313" t="s">
        <v>3844</v>
      </c>
      <c r="C1185" s="313" t="s">
        <v>4656</v>
      </c>
      <c r="D1185" s="313" t="s">
        <v>4656</v>
      </c>
      <c r="E1185" s="313" t="s">
        <v>3834</v>
      </c>
      <c r="F1185" s="314" t="s">
        <v>4657</v>
      </c>
      <c r="G1185" s="313">
        <v>330</v>
      </c>
      <c r="H1185" s="313">
        <v>1188</v>
      </c>
      <c r="I1185" s="313">
        <v>2023.04</v>
      </c>
    </row>
    <row r="1186" spans="1:9">
      <c r="A1186" s="313" t="s">
        <v>491</v>
      </c>
      <c r="B1186" s="313" t="s">
        <v>3844</v>
      </c>
      <c r="C1186" s="313" t="s">
        <v>3836</v>
      </c>
      <c r="D1186" s="313" t="s">
        <v>3836</v>
      </c>
      <c r="E1186" s="313" t="s">
        <v>3854</v>
      </c>
      <c r="F1186" s="314" t="s">
        <v>492</v>
      </c>
      <c r="G1186" s="313">
        <v>92</v>
      </c>
      <c r="H1186" s="313">
        <v>600</v>
      </c>
      <c r="I1186" s="313">
        <v>2023.04</v>
      </c>
    </row>
    <row r="1187" spans="1:9">
      <c r="A1187" s="313" t="s">
        <v>491</v>
      </c>
      <c r="B1187" s="313" t="s">
        <v>3844</v>
      </c>
      <c r="C1187" s="313" t="s">
        <v>3836</v>
      </c>
      <c r="D1187" s="313" t="s">
        <v>3836</v>
      </c>
      <c r="E1187" s="313" t="s">
        <v>3937</v>
      </c>
      <c r="F1187" s="314" t="s">
        <v>492</v>
      </c>
      <c r="G1187" s="313">
        <v>310</v>
      </c>
      <c r="H1187" s="313">
        <v>228</v>
      </c>
      <c r="I1187" s="313">
        <v>2023.04</v>
      </c>
    </row>
    <row r="1188" spans="1:9">
      <c r="A1188" s="313" t="s">
        <v>491</v>
      </c>
      <c r="B1188" s="313" t="s">
        <v>3844</v>
      </c>
      <c r="C1188" s="313" t="s">
        <v>3836</v>
      </c>
      <c r="D1188" s="313" t="s">
        <v>3836</v>
      </c>
      <c r="E1188" s="313" t="s">
        <v>3834</v>
      </c>
      <c r="F1188" s="314" t="s">
        <v>492</v>
      </c>
      <c r="G1188" s="313">
        <v>360</v>
      </c>
      <c r="H1188" s="313">
        <v>1188</v>
      </c>
      <c r="I1188" s="313">
        <v>2023.04</v>
      </c>
    </row>
    <row r="1189" spans="1:9">
      <c r="A1189" s="313" t="s">
        <v>491</v>
      </c>
      <c r="B1189" s="313" t="s">
        <v>3844</v>
      </c>
      <c r="C1189" s="313" t="s">
        <v>4658</v>
      </c>
      <c r="D1189" s="313" t="s">
        <v>4658</v>
      </c>
      <c r="E1189" s="313" t="s">
        <v>3848</v>
      </c>
      <c r="F1189" s="314" t="s">
        <v>4659</v>
      </c>
      <c r="G1189" s="313">
        <v>792</v>
      </c>
      <c r="H1189" s="313">
        <v>948</v>
      </c>
      <c r="I1189" s="313">
        <v>2023.04</v>
      </c>
    </row>
    <row r="1190" spans="1:9">
      <c r="A1190" s="313" t="s">
        <v>491</v>
      </c>
      <c r="B1190" s="313" t="s">
        <v>3844</v>
      </c>
      <c r="C1190" s="313" t="s">
        <v>4658</v>
      </c>
      <c r="D1190" s="313" t="s">
        <v>4658</v>
      </c>
      <c r="E1190" s="313" t="s">
        <v>3834</v>
      </c>
      <c r="F1190" s="314" t="s">
        <v>4659</v>
      </c>
      <c r="G1190" s="313">
        <v>330</v>
      </c>
      <c r="H1190" s="313">
        <v>1188</v>
      </c>
      <c r="I1190" s="313">
        <v>2023.04</v>
      </c>
    </row>
    <row r="1191" spans="1:9">
      <c r="A1191" s="313" t="s">
        <v>491</v>
      </c>
      <c r="B1191" s="313" t="s">
        <v>3844</v>
      </c>
      <c r="C1191" s="313" t="s">
        <v>4660</v>
      </c>
      <c r="D1191" s="313" t="s">
        <v>4660</v>
      </c>
      <c r="E1191" s="313" t="s">
        <v>3848</v>
      </c>
      <c r="F1191" s="314" t="s">
        <v>4661</v>
      </c>
      <c r="G1191" s="313">
        <v>792</v>
      </c>
      <c r="H1191" s="313">
        <v>948</v>
      </c>
      <c r="I1191" s="313">
        <v>2023.04</v>
      </c>
    </row>
    <row r="1192" spans="1:9">
      <c r="A1192" s="313" t="s">
        <v>491</v>
      </c>
      <c r="B1192" s="313" t="s">
        <v>4662</v>
      </c>
      <c r="C1192" s="313" t="s">
        <v>3836</v>
      </c>
      <c r="D1192" s="313" t="s">
        <v>3836</v>
      </c>
      <c r="E1192" s="313" t="s">
        <v>3854</v>
      </c>
      <c r="F1192" s="314" t="s">
        <v>4663</v>
      </c>
      <c r="G1192" s="313">
        <v>200</v>
      </c>
      <c r="H1192" s="313">
        <v>240</v>
      </c>
      <c r="I1192" s="313">
        <v>2023.04</v>
      </c>
    </row>
    <row r="1193" spans="1:9">
      <c r="A1193" s="313" t="s">
        <v>491</v>
      </c>
      <c r="B1193" s="313" t="s">
        <v>4662</v>
      </c>
      <c r="C1193" s="313" t="s">
        <v>3836</v>
      </c>
      <c r="D1193" s="313" t="s">
        <v>3836</v>
      </c>
      <c r="E1193" s="313" t="s">
        <v>3820</v>
      </c>
      <c r="F1193" s="314" t="s">
        <v>4663</v>
      </c>
      <c r="G1193" s="313">
        <v>220</v>
      </c>
      <c r="H1193" s="313">
        <v>220</v>
      </c>
      <c r="I1193" s="313">
        <v>2023.04</v>
      </c>
    </row>
    <row r="1194" spans="1:9">
      <c r="A1194" s="313" t="s">
        <v>491</v>
      </c>
      <c r="B1194" s="313" t="s">
        <v>4662</v>
      </c>
      <c r="C1194" s="313" t="s">
        <v>3836</v>
      </c>
      <c r="D1194" s="313" t="s">
        <v>3836</v>
      </c>
      <c r="E1194" s="313" t="s">
        <v>3937</v>
      </c>
      <c r="F1194" s="314" t="s">
        <v>4663</v>
      </c>
      <c r="G1194" s="313">
        <v>420</v>
      </c>
      <c r="H1194" s="313">
        <v>880</v>
      </c>
      <c r="I1194" s="313">
        <v>2023.04</v>
      </c>
    </row>
    <row r="1195" spans="1:9">
      <c r="A1195" s="313" t="s">
        <v>218</v>
      </c>
      <c r="B1195" s="313" t="s">
        <v>751</v>
      </c>
      <c r="C1195" s="313" t="s">
        <v>4664</v>
      </c>
      <c r="D1195" s="313" t="s">
        <v>4665</v>
      </c>
      <c r="E1195" s="313" t="s">
        <v>4666</v>
      </c>
      <c r="F1195" s="314" t="s">
        <v>4667</v>
      </c>
      <c r="G1195" s="313">
        <v>60</v>
      </c>
      <c r="H1195" s="313">
        <v>1000</v>
      </c>
      <c r="I1195" s="313">
        <v>2023.04</v>
      </c>
    </row>
    <row r="1196" spans="1:9">
      <c r="A1196" s="313" t="s">
        <v>218</v>
      </c>
      <c r="B1196" s="313" t="s">
        <v>751</v>
      </c>
      <c r="C1196" s="313" t="s">
        <v>4664</v>
      </c>
      <c r="D1196" s="313" t="s">
        <v>4668</v>
      </c>
      <c r="E1196" s="313" t="s">
        <v>4666</v>
      </c>
      <c r="F1196" s="314" t="s">
        <v>4669</v>
      </c>
      <c r="G1196" s="313">
        <v>60</v>
      </c>
      <c r="H1196" s="313">
        <v>1000</v>
      </c>
      <c r="I1196" s="313">
        <v>2023.04</v>
      </c>
    </row>
    <row r="1197" spans="1:9">
      <c r="A1197" s="313" t="s">
        <v>218</v>
      </c>
      <c r="B1197" s="313" t="s">
        <v>751</v>
      </c>
      <c r="C1197" s="313" t="s">
        <v>4664</v>
      </c>
      <c r="D1197" s="313" t="s">
        <v>4668</v>
      </c>
      <c r="E1197" s="313" t="s">
        <v>4670</v>
      </c>
      <c r="F1197" s="314" t="s">
        <v>4669</v>
      </c>
      <c r="G1197" s="313">
        <v>60</v>
      </c>
      <c r="H1197" s="313">
        <v>240</v>
      </c>
      <c r="I1197" s="313">
        <v>2023.04</v>
      </c>
    </row>
    <row r="1198" spans="1:9">
      <c r="A1198" s="313" t="s">
        <v>218</v>
      </c>
      <c r="B1198" s="313" t="s">
        <v>751</v>
      </c>
      <c r="C1198" s="313" t="s">
        <v>3836</v>
      </c>
      <c r="D1198" s="313" t="s">
        <v>3836</v>
      </c>
      <c r="E1198" s="313" t="s">
        <v>4671</v>
      </c>
      <c r="F1198" s="314" t="s">
        <v>4672</v>
      </c>
      <c r="G1198" s="313">
        <v>400</v>
      </c>
      <c r="H1198" s="313">
        <v>340</v>
      </c>
      <c r="I1198" s="313">
        <v>2023.04</v>
      </c>
    </row>
    <row r="1199" spans="1:9">
      <c r="A1199" s="313" t="s">
        <v>218</v>
      </c>
      <c r="B1199" s="313" t="s">
        <v>751</v>
      </c>
      <c r="C1199" s="313" t="s">
        <v>3836</v>
      </c>
      <c r="D1199" s="313" t="s">
        <v>3836</v>
      </c>
      <c r="E1199" s="313" t="s">
        <v>4673</v>
      </c>
      <c r="F1199" s="314" t="s">
        <v>4672</v>
      </c>
      <c r="G1199" s="313">
        <v>80</v>
      </c>
      <c r="H1199" s="313">
        <v>1220</v>
      </c>
      <c r="I1199" s="313">
        <v>2023.04</v>
      </c>
    </row>
    <row r="1200" spans="1:9">
      <c r="A1200" s="313" t="s">
        <v>218</v>
      </c>
      <c r="B1200" s="313" t="s">
        <v>751</v>
      </c>
      <c r="C1200" s="313" t="s">
        <v>3836</v>
      </c>
      <c r="D1200" s="313" t="s">
        <v>3836</v>
      </c>
      <c r="E1200" s="313" t="s">
        <v>4674</v>
      </c>
      <c r="F1200" s="314" t="s">
        <v>4672</v>
      </c>
      <c r="G1200" s="313">
        <v>200</v>
      </c>
      <c r="H1200" s="313">
        <v>400</v>
      </c>
      <c r="I1200" s="313">
        <v>2023.04</v>
      </c>
    </row>
    <row r="1201" spans="1:9">
      <c r="A1201" s="313" t="s">
        <v>218</v>
      </c>
      <c r="B1201" s="313" t="s">
        <v>751</v>
      </c>
      <c r="C1201" s="313" t="s">
        <v>3836</v>
      </c>
      <c r="D1201" s="313" t="s">
        <v>3836</v>
      </c>
      <c r="E1201" s="313" t="s">
        <v>3834</v>
      </c>
      <c r="F1201" s="314" t="s">
        <v>4672</v>
      </c>
      <c r="G1201" s="313">
        <v>370</v>
      </c>
      <c r="H1201" s="313">
        <v>818</v>
      </c>
      <c r="I1201" s="313">
        <v>2023.04</v>
      </c>
    </row>
    <row r="1202" spans="1:9" ht="17.399999999999999">
      <c r="A1202" s="313" t="s">
        <v>218</v>
      </c>
      <c r="B1202" s="313" t="s">
        <v>751</v>
      </c>
      <c r="C1202" s="313" t="s">
        <v>3836</v>
      </c>
      <c r="D1202" s="313" t="s">
        <v>3836</v>
      </c>
      <c r="E1202" s="313" t="s">
        <v>4675</v>
      </c>
      <c r="F1202" s="314" t="s">
        <v>4672</v>
      </c>
      <c r="G1202" s="313">
        <v>65</v>
      </c>
      <c r="H1202" s="313">
        <v>135</v>
      </c>
      <c r="I1202" s="313">
        <v>2023.04</v>
      </c>
    </row>
    <row r="1203" spans="1:9">
      <c r="A1203" s="313" t="s">
        <v>218</v>
      </c>
      <c r="B1203" s="313" t="s">
        <v>751</v>
      </c>
      <c r="C1203" s="313" t="s">
        <v>4676</v>
      </c>
      <c r="D1203" s="313" t="s">
        <v>4676</v>
      </c>
      <c r="E1203" s="313" t="s">
        <v>4677</v>
      </c>
      <c r="F1203" s="314" t="s">
        <v>4678</v>
      </c>
      <c r="G1203" s="313">
        <v>320</v>
      </c>
      <c r="H1203" s="313">
        <v>320</v>
      </c>
      <c r="I1203" s="313">
        <v>2023.04</v>
      </c>
    </row>
    <row r="1204" spans="1:9">
      <c r="A1204" s="313" t="s">
        <v>218</v>
      </c>
      <c r="B1204" s="313" t="s">
        <v>751</v>
      </c>
      <c r="C1204" s="313" t="s">
        <v>4679</v>
      </c>
      <c r="D1204" s="313" t="s">
        <v>4679</v>
      </c>
      <c r="E1204" s="313" t="s">
        <v>4680</v>
      </c>
      <c r="F1204" s="314" t="s">
        <v>4681</v>
      </c>
      <c r="G1204" s="313">
        <v>60</v>
      </c>
      <c r="H1204" s="313">
        <v>1000</v>
      </c>
      <c r="I1204" s="313">
        <v>2023.04</v>
      </c>
    </row>
    <row r="1205" spans="1:9">
      <c r="A1205" s="313" t="s">
        <v>218</v>
      </c>
      <c r="B1205" s="313" t="s">
        <v>751</v>
      </c>
      <c r="C1205" s="313" t="s">
        <v>4679</v>
      </c>
      <c r="D1205" s="313" t="s">
        <v>4679</v>
      </c>
      <c r="E1205" s="313" t="s">
        <v>4682</v>
      </c>
      <c r="F1205" s="314" t="s">
        <v>4681</v>
      </c>
      <c r="G1205" s="313">
        <v>450</v>
      </c>
      <c r="H1205" s="313">
        <v>1000</v>
      </c>
      <c r="I1205" s="313">
        <v>2023.04</v>
      </c>
    </row>
    <row r="1206" spans="1:9" ht="17.399999999999999">
      <c r="A1206" s="313" t="s">
        <v>218</v>
      </c>
      <c r="B1206" s="313" t="s">
        <v>751</v>
      </c>
      <c r="C1206" s="313" t="s">
        <v>4679</v>
      </c>
      <c r="D1206" s="313" t="s">
        <v>4683</v>
      </c>
      <c r="E1206" s="313" t="s">
        <v>4682</v>
      </c>
      <c r="F1206" s="314" t="s">
        <v>4684</v>
      </c>
      <c r="G1206" s="313">
        <v>370</v>
      </c>
      <c r="H1206" s="313">
        <v>818</v>
      </c>
      <c r="I1206" s="313">
        <v>2023.04</v>
      </c>
    </row>
    <row r="1207" spans="1:9" ht="17.399999999999999">
      <c r="A1207" s="313" t="s">
        <v>218</v>
      </c>
      <c r="B1207" s="313" t="s">
        <v>751</v>
      </c>
      <c r="C1207" s="313" t="s">
        <v>4679</v>
      </c>
      <c r="D1207" s="313" t="s">
        <v>4683</v>
      </c>
      <c r="E1207" s="313" t="s">
        <v>4685</v>
      </c>
      <c r="F1207" s="314" t="s">
        <v>4684</v>
      </c>
      <c r="G1207" s="313">
        <v>370</v>
      </c>
      <c r="H1207" s="313">
        <v>818</v>
      </c>
      <c r="I1207" s="313">
        <v>2023.04</v>
      </c>
    </row>
    <row r="1208" spans="1:9">
      <c r="A1208" s="313" t="s">
        <v>218</v>
      </c>
      <c r="B1208" s="313" t="s">
        <v>751</v>
      </c>
      <c r="C1208" s="313" t="s">
        <v>4679</v>
      </c>
      <c r="D1208" s="313" t="s">
        <v>4686</v>
      </c>
      <c r="E1208" s="313" t="s">
        <v>4670</v>
      </c>
      <c r="F1208" s="314" t="s">
        <v>2255</v>
      </c>
      <c r="G1208" s="313">
        <v>60</v>
      </c>
      <c r="H1208" s="313">
        <v>240</v>
      </c>
      <c r="I1208" s="313">
        <v>2023.04</v>
      </c>
    </row>
    <row r="1209" spans="1:9">
      <c r="A1209" s="313" t="s">
        <v>218</v>
      </c>
      <c r="B1209" s="313" t="s">
        <v>751</v>
      </c>
      <c r="C1209" s="313" t="s">
        <v>4679</v>
      </c>
      <c r="D1209" s="313" t="s">
        <v>4686</v>
      </c>
      <c r="E1209" s="313" t="s">
        <v>4687</v>
      </c>
      <c r="F1209" s="314" t="s">
        <v>2255</v>
      </c>
      <c r="G1209" s="313">
        <v>320</v>
      </c>
      <c r="H1209" s="313">
        <v>320</v>
      </c>
      <c r="I1209" s="313">
        <v>2023.04</v>
      </c>
    </row>
    <row r="1210" spans="1:9">
      <c r="A1210" s="313" t="s">
        <v>218</v>
      </c>
      <c r="B1210" s="313" t="s">
        <v>751</v>
      </c>
      <c r="C1210" s="313" t="s">
        <v>4679</v>
      </c>
      <c r="D1210" s="313" t="s">
        <v>4686</v>
      </c>
      <c r="E1210" s="313" t="s">
        <v>3849</v>
      </c>
      <c r="F1210" s="314" t="s">
        <v>2255</v>
      </c>
      <c r="G1210" s="313">
        <v>370</v>
      </c>
      <c r="H1210" s="313">
        <v>818</v>
      </c>
      <c r="I1210" s="313">
        <v>2023.04</v>
      </c>
    </row>
    <row r="1211" spans="1:9">
      <c r="A1211" s="313" t="s">
        <v>218</v>
      </c>
      <c r="B1211" s="313" t="s">
        <v>751</v>
      </c>
      <c r="C1211" s="313" t="s">
        <v>4679</v>
      </c>
      <c r="D1211" s="313" t="s">
        <v>4686</v>
      </c>
      <c r="E1211" s="313" t="s">
        <v>4685</v>
      </c>
      <c r="F1211" s="314" t="s">
        <v>2255</v>
      </c>
      <c r="G1211" s="313">
        <v>370</v>
      </c>
      <c r="H1211" s="313">
        <v>818</v>
      </c>
      <c r="I1211" s="313">
        <v>2023.04</v>
      </c>
    </row>
    <row r="1212" spans="1:9">
      <c r="A1212" s="313" t="s">
        <v>218</v>
      </c>
      <c r="B1212" s="313" t="s">
        <v>751</v>
      </c>
      <c r="C1212" s="313" t="s">
        <v>4679</v>
      </c>
      <c r="D1212" s="313" t="s">
        <v>4686</v>
      </c>
      <c r="E1212" s="313" t="s">
        <v>4688</v>
      </c>
      <c r="F1212" s="314" t="s">
        <v>2255</v>
      </c>
      <c r="G1212" s="313">
        <v>370</v>
      </c>
      <c r="H1212" s="313">
        <v>818</v>
      </c>
      <c r="I1212" s="313">
        <v>2023.04</v>
      </c>
    </row>
    <row r="1213" spans="1:9">
      <c r="A1213" s="313" t="s">
        <v>218</v>
      </c>
      <c r="B1213" s="313" t="s">
        <v>751</v>
      </c>
      <c r="C1213" s="313" t="s">
        <v>4679</v>
      </c>
      <c r="D1213" s="313" t="s">
        <v>4689</v>
      </c>
      <c r="E1213" s="313" t="s">
        <v>4670</v>
      </c>
      <c r="F1213" s="314" t="s">
        <v>4690</v>
      </c>
      <c r="G1213" s="313">
        <v>60</v>
      </c>
      <c r="H1213" s="313">
        <v>240</v>
      </c>
      <c r="I1213" s="313">
        <v>2023.04</v>
      </c>
    </row>
    <row r="1214" spans="1:9">
      <c r="A1214" s="313" t="s">
        <v>218</v>
      </c>
      <c r="B1214" s="313" t="s">
        <v>751</v>
      </c>
      <c r="C1214" s="313" t="s">
        <v>4679</v>
      </c>
      <c r="D1214" s="313" t="s">
        <v>4689</v>
      </c>
      <c r="E1214" s="313" t="s">
        <v>4687</v>
      </c>
      <c r="F1214" s="314" t="s">
        <v>4690</v>
      </c>
      <c r="G1214" s="313">
        <v>330</v>
      </c>
      <c r="H1214" s="313">
        <v>665</v>
      </c>
      <c r="I1214" s="313">
        <v>2023.04</v>
      </c>
    </row>
    <row r="1215" spans="1:9">
      <c r="A1215" s="313" t="s">
        <v>218</v>
      </c>
      <c r="B1215" s="313" t="s">
        <v>751</v>
      </c>
      <c r="C1215" s="313" t="s">
        <v>4679</v>
      </c>
      <c r="D1215" s="313" t="s">
        <v>4689</v>
      </c>
      <c r="E1215" s="313" t="s">
        <v>4691</v>
      </c>
      <c r="F1215" s="314" t="s">
        <v>4690</v>
      </c>
      <c r="G1215" s="313">
        <v>384</v>
      </c>
      <c r="H1215" s="313">
        <v>960</v>
      </c>
      <c r="I1215" s="313">
        <v>2023.04</v>
      </c>
    </row>
    <row r="1216" spans="1:9">
      <c r="A1216" s="313" t="s">
        <v>218</v>
      </c>
      <c r="B1216" s="313" t="s">
        <v>751</v>
      </c>
      <c r="C1216" s="313" t="s">
        <v>4679</v>
      </c>
      <c r="D1216" s="313" t="s">
        <v>4689</v>
      </c>
      <c r="E1216" s="313" t="s">
        <v>4692</v>
      </c>
      <c r="F1216" s="314" t="s">
        <v>4690</v>
      </c>
      <c r="G1216" s="313">
        <v>370</v>
      </c>
      <c r="H1216" s="313">
        <v>818</v>
      </c>
      <c r="I1216" s="313">
        <v>2023.04</v>
      </c>
    </row>
    <row r="1217" spans="1:9">
      <c r="A1217" s="313" t="s">
        <v>218</v>
      </c>
      <c r="B1217" s="313" t="s">
        <v>751</v>
      </c>
      <c r="C1217" s="313" t="s">
        <v>4679</v>
      </c>
      <c r="D1217" s="313" t="s">
        <v>4689</v>
      </c>
      <c r="E1217" s="313" t="s">
        <v>4693</v>
      </c>
      <c r="F1217" s="314" t="s">
        <v>4690</v>
      </c>
      <c r="G1217" s="313">
        <v>370</v>
      </c>
      <c r="H1217" s="313">
        <v>818</v>
      </c>
      <c r="I1217" s="313">
        <v>2023.04</v>
      </c>
    </row>
    <row r="1218" spans="1:9">
      <c r="A1218" s="313" t="s">
        <v>218</v>
      </c>
      <c r="B1218" s="313" t="s">
        <v>751</v>
      </c>
      <c r="C1218" s="313" t="s">
        <v>4679</v>
      </c>
      <c r="D1218" s="313" t="s">
        <v>4485</v>
      </c>
      <c r="E1218" s="313" t="s">
        <v>4666</v>
      </c>
      <c r="F1218" s="314" t="s">
        <v>4694</v>
      </c>
      <c r="G1218" s="313">
        <v>60</v>
      </c>
      <c r="H1218" s="313">
        <v>1000</v>
      </c>
      <c r="I1218" s="313">
        <v>2023.04</v>
      </c>
    </row>
    <row r="1219" spans="1:9">
      <c r="A1219" s="313" t="s">
        <v>218</v>
      </c>
      <c r="B1219" s="313" t="s">
        <v>751</v>
      </c>
      <c r="C1219" s="313" t="s">
        <v>4679</v>
      </c>
      <c r="D1219" s="313" t="s">
        <v>4485</v>
      </c>
      <c r="E1219" s="313" t="s">
        <v>4670</v>
      </c>
      <c r="F1219" s="314" t="s">
        <v>4694</v>
      </c>
      <c r="G1219" s="313">
        <v>60</v>
      </c>
      <c r="H1219" s="313">
        <v>240</v>
      </c>
      <c r="I1219" s="313">
        <v>2023.04</v>
      </c>
    </row>
    <row r="1220" spans="1:9">
      <c r="A1220" s="313" t="s">
        <v>218</v>
      </c>
      <c r="B1220" s="313" t="s">
        <v>751</v>
      </c>
      <c r="C1220" s="313" t="s">
        <v>4679</v>
      </c>
      <c r="D1220" s="313" t="s">
        <v>4485</v>
      </c>
      <c r="E1220" s="313" t="s">
        <v>4682</v>
      </c>
      <c r="F1220" s="314" t="s">
        <v>4694</v>
      </c>
      <c r="G1220" s="313">
        <v>371</v>
      </c>
      <c r="H1220" s="313">
        <v>819</v>
      </c>
      <c r="I1220" s="313">
        <v>2023.04</v>
      </c>
    </row>
    <row r="1221" spans="1:9">
      <c r="A1221" s="313" t="s">
        <v>218</v>
      </c>
      <c r="B1221" s="313" t="s">
        <v>751</v>
      </c>
      <c r="C1221" s="313" t="s">
        <v>4679</v>
      </c>
      <c r="D1221" s="313" t="s">
        <v>4485</v>
      </c>
      <c r="E1221" s="313" t="s">
        <v>4695</v>
      </c>
      <c r="F1221" s="314" t="s">
        <v>4694</v>
      </c>
      <c r="G1221" s="313">
        <v>370</v>
      </c>
      <c r="H1221" s="313">
        <v>818</v>
      </c>
      <c r="I1221" s="313">
        <v>2023.04</v>
      </c>
    </row>
    <row r="1222" spans="1:9">
      <c r="A1222" s="313" t="s">
        <v>218</v>
      </c>
      <c r="B1222" s="313" t="s">
        <v>751</v>
      </c>
      <c r="C1222" s="313" t="s">
        <v>4679</v>
      </c>
      <c r="D1222" s="313" t="s">
        <v>4485</v>
      </c>
      <c r="E1222" s="313" t="s">
        <v>4692</v>
      </c>
      <c r="F1222" s="314" t="s">
        <v>4694</v>
      </c>
      <c r="G1222" s="313">
        <v>600</v>
      </c>
      <c r="H1222" s="313">
        <v>1200</v>
      </c>
      <c r="I1222" s="313">
        <v>2023.04</v>
      </c>
    </row>
    <row r="1223" spans="1:9">
      <c r="A1223" s="313" t="s">
        <v>218</v>
      </c>
      <c r="B1223" s="313" t="s">
        <v>751</v>
      </c>
      <c r="C1223" s="313" t="s">
        <v>4679</v>
      </c>
      <c r="D1223" s="313" t="s">
        <v>4485</v>
      </c>
      <c r="E1223" s="313" t="s">
        <v>3818</v>
      </c>
      <c r="F1223" s="314" t="s">
        <v>4694</v>
      </c>
      <c r="G1223" s="313">
        <v>426</v>
      </c>
      <c r="H1223" s="313">
        <v>852</v>
      </c>
      <c r="I1223" s="313">
        <v>2023.04</v>
      </c>
    </row>
    <row r="1224" spans="1:9">
      <c r="A1224" s="313" t="s">
        <v>218</v>
      </c>
      <c r="B1224" s="313" t="s">
        <v>751</v>
      </c>
      <c r="C1224" s="313" t="s">
        <v>4679</v>
      </c>
      <c r="D1224" s="313" t="s">
        <v>4696</v>
      </c>
      <c r="E1224" s="313" t="s">
        <v>4670</v>
      </c>
      <c r="F1224" s="314" t="s">
        <v>4697</v>
      </c>
      <c r="G1224" s="313">
        <v>60</v>
      </c>
      <c r="H1224" s="313">
        <v>240</v>
      </c>
      <c r="I1224" s="313">
        <v>2023.04</v>
      </c>
    </row>
    <row r="1225" spans="1:9">
      <c r="A1225" s="313" t="s">
        <v>218</v>
      </c>
      <c r="B1225" s="313" t="s">
        <v>751</v>
      </c>
      <c r="C1225" s="313" t="s">
        <v>4679</v>
      </c>
      <c r="D1225" s="313" t="s">
        <v>4696</v>
      </c>
      <c r="E1225" s="313" t="s">
        <v>4687</v>
      </c>
      <c r="F1225" s="314" t="s">
        <v>4697</v>
      </c>
      <c r="G1225" s="313">
        <v>426</v>
      </c>
      <c r="H1225" s="313">
        <v>852</v>
      </c>
      <c r="I1225" s="313">
        <v>2023.04</v>
      </c>
    </row>
    <row r="1226" spans="1:9">
      <c r="A1226" s="313" t="s">
        <v>218</v>
      </c>
      <c r="B1226" s="313" t="s">
        <v>751</v>
      </c>
      <c r="C1226" s="313" t="s">
        <v>4679</v>
      </c>
      <c r="D1226" s="313" t="s">
        <v>4698</v>
      </c>
      <c r="E1226" s="313" t="s">
        <v>4670</v>
      </c>
      <c r="F1226" s="314" t="s">
        <v>4699</v>
      </c>
      <c r="G1226" s="313">
        <v>60</v>
      </c>
      <c r="H1226" s="313">
        <v>240</v>
      </c>
      <c r="I1226" s="313">
        <v>2023.04</v>
      </c>
    </row>
    <row r="1227" spans="1:9">
      <c r="A1227" s="313" t="s">
        <v>218</v>
      </c>
      <c r="B1227" s="313" t="s">
        <v>751</v>
      </c>
      <c r="C1227" s="313" t="s">
        <v>4679</v>
      </c>
      <c r="D1227" s="313" t="s">
        <v>4698</v>
      </c>
      <c r="E1227" s="313" t="s">
        <v>4677</v>
      </c>
      <c r="F1227" s="314" t="s">
        <v>4699</v>
      </c>
      <c r="G1227" s="313">
        <v>320</v>
      </c>
      <c r="H1227" s="313">
        <v>320</v>
      </c>
      <c r="I1227" s="313">
        <v>2023.04</v>
      </c>
    </row>
    <row r="1228" spans="1:9">
      <c r="A1228" s="313" t="s">
        <v>218</v>
      </c>
      <c r="B1228" s="313" t="s">
        <v>751</v>
      </c>
      <c r="C1228" s="313" t="s">
        <v>4679</v>
      </c>
      <c r="D1228" s="313" t="s">
        <v>4700</v>
      </c>
      <c r="E1228" s="313" t="s">
        <v>4670</v>
      </c>
      <c r="F1228" s="314" t="s">
        <v>4701</v>
      </c>
      <c r="G1228" s="313">
        <v>60</v>
      </c>
      <c r="H1228" s="313">
        <v>240</v>
      </c>
      <c r="I1228" s="313">
        <v>2023.04</v>
      </c>
    </row>
    <row r="1229" spans="1:9">
      <c r="A1229" s="313" t="s">
        <v>218</v>
      </c>
      <c r="B1229" s="313" t="s">
        <v>751</v>
      </c>
      <c r="C1229" s="313" t="s">
        <v>4679</v>
      </c>
      <c r="D1229" s="313" t="s">
        <v>4700</v>
      </c>
      <c r="E1229" s="313" t="s">
        <v>4682</v>
      </c>
      <c r="F1229" s="314" t="s">
        <v>4701</v>
      </c>
      <c r="G1229" s="313">
        <v>370</v>
      </c>
      <c r="H1229" s="313">
        <v>818</v>
      </c>
      <c r="I1229" s="313">
        <v>2023.04</v>
      </c>
    </row>
    <row r="1230" spans="1:9">
      <c r="A1230" s="313" t="s">
        <v>218</v>
      </c>
      <c r="B1230" s="313" t="s">
        <v>751</v>
      </c>
      <c r="C1230" s="313" t="s">
        <v>4679</v>
      </c>
      <c r="D1230" s="313" t="s">
        <v>4700</v>
      </c>
      <c r="E1230" s="313" t="s">
        <v>4677</v>
      </c>
      <c r="F1230" s="314" t="s">
        <v>4701</v>
      </c>
      <c r="G1230" s="313">
        <v>320</v>
      </c>
      <c r="H1230" s="313">
        <v>320</v>
      </c>
      <c r="I1230" s="313">
        <v>2023.04</v>
      </c>
    </row>
    <row r="1231" spans="1:9">
      <c r="A1231" s="313" t="s">
        <v>218</v>
      </c>
      <c r="B1231" s="313" t="s">
        <v>751</v>
      </c>
      <c r="C1231" s="313" t="s">
        <v>4679</v>
      </c>
      <c r="D1231" s="313" t="s">
        <v>4700</v>
      </c>
      <c r="E1231" s="313" t="s">
        <v>3818</v>
      </c>
      <c r="F1231" s="314" t="s">
        <v>4701</v>
      </c>
      <c r="G1231" s="313">
        <v>300</v>
      </c>
      <c r="H1231" s="313">
        <v>1000</v>
      </c>
      <c r="I1231" s="313">
        <v>2023.04</v>
      </c>
    </row>
    <row r="1232" spans="1:9" ht="17.399999999999999">
      <c r="A1232" s="313" t="s">
        <v>218</v>
      </c>
      <c r="B1232" s="313" t="s">
        <v>751</v>
      </c>
      <c r="C1232" s="313" t="s">
        <v>4679</v>
      </c>
      <c r="D1232" s="313" t="s">
        <v>4702</v>
      </c>
      <c r="E1232" s="313" t="s">
        <v>4670</v>
      </c>
      <c r="F1232" s="314" t="s">
        <v>4703</v>
      </c>
      <c r="G1232" s="313">
        <v>60</v>
      </c>
      <c r="H1232" s="313">
        <v>240</v>
      </c>
      <c r="I1232" s="313">
        <v>2023.04</v>
      </c>
    </row>
    <row r="1233" spans="1:9" ht="17.399999999999999">
      <c r="A1233" s="313" t="s">
        <v>218</v>
      </c>
      <c r="B1233" s="313" t="s">
        <v>751</v>
      </c>
      <c r="C1233" s="313" t="s">
        <v>4679</v>
      </c>
      <c r="D1233" s="313" t="s">
        <v>4702</v>
      </c>
      <c r="E1233" s="313" t="s">
        <v>4704</v>
      </c>
      <c r="F1233" s="314" t="s">
        <v>4703</v>
      </c>
      <c r="G1233" s="313">
        <v>1000</v>
      </c>
      <c r="H1233" s="313">
        <v>1000</v>
      </c>
      <c r="I1233" s="313">
        <v>2023.04</v>
      </c>
    </row>
    <row r="1234" spans="1:9" ht="17.399999999999999">
      <c r="A1234" s="313" t="s">
        <v>218</v>
      </c>
      <c r="B1234" s="313" t="s">
        <v>751</v>
      </c>
      <c r="C1234" s="313" t="s">
        <v>4679</v>
      </c>
      <c r="D1234" s="313" t="s">
        <v>4702</v>
      </c>
      <c r="E1234" s="313" t="s">
        <v>4691</v>
      </c>
      <c r="F1234" s="314" t="s">
        <v>4703</v>
      </c>
      <c r="G1234" s="313">
        <v>370</v>
      </c>
      <c r="H1234" s="313">
        <v>818</v>
      </c>
      <c r="I1234" s="313">
        <v>2023.04</v>
      </c>
    </row>
    <row r="1235" spans="1:9" ht="17.399999999999999">
      <c r="A1235" s="313" t="s">
        <v>218</v>
      </c>
      <c r="B1235" s="313" t="s">
        <v>751</v>
      </c>
      <c r="C1235" s="313" t="s">
        <v>4679</v>
      </c>
      <c r="D1235" s="313" t="s">
        <v>4702</v>
      </c>
      <c r="E1235" s="313" t="s">
        <v>3818</v>
      </c>
      <c r="F1235" s="314" t="s">
        <v>4703</v>
      </c>
      <c r="G1235" s="313">
        <v>300</v>
      </c>
      <c r="H1235" s="313">
        <v>1000</v>
      </c>
      <c r="I1235" s="313">
        <v>2023.04</v>
      </c>
    </row>
    <row r="1236" spans="1:9">
      <c r="A1236" s="313" t="s">
        <v>218</v>
      </c>
      <c r="B1236" s="313" t="s">
        <v>751</v>
      </c>
      <c r="C1236" s="313" t="s">
        <v>4679</v>
      </c>
      <c r="D1236" s="313" t="s">
        <v>4705</v>
      </c>
      <c r="E1236" s="313" t="s">
        <v>4687</v>
      </c>
      <c r="F1236" s="314" t="s">
        <v>4706</v>
      </c>
      <c r="G1236" s="313">
        <v>330</v>
      </c>
      <c r="H1236" s="313">
        <v>665</v>
      </c>
      <c r="I1236" s="313">
        <v>2023.04</v>
      </c>
    </row>
    <row r="1237" spans="1:9">
      <c r="A1237" s="313" t="s">
        <v>218</v>
      </c>
      <c r="B1237" s="313" t="s">
        <v>751</v>
      </c>
      <c r="C1237" s="313" t="s">
        <v>4679</v>
      </c>
      <c r="D1237" s="313" t="s">
        <v>4705</v>
      </c>
      <c r="E1237" s="313" t="s">
        <v>4691</v>
      </c>
      <c r="F1237" s="314" t="s">
        <v>4706</v>
      </c>
      <c r="G1237" s="313">
        <v>450</v>
      </c>
      <c r="H1237" s="313">
        <v>1000</v>
      </c>
      <c r="I1237" s="313">
        <v>2023.04</v>
      </c>
    </row>
    <row r="1238" spans="1:9">
      <c r="A1238" s="313" t="s">
        <v>218</v>
      </c>
      <c r="B1238" s="313" t="s">
        <v>751</v>
      </c>
      <c r="C1238" s="313" t="s">
        <v>4707</v>
      </c>
      <c r="D1238" s="313" t="s">
        <v>4686</v>
      </c>
      <c r="E1238" s="313" t="s">
        <v>4670</v>
      </c>
      <c r="F1238" s="314" t="s">
        <v>4708</v>
      </c>
      <c r="G1238" s="313">
        <v>60</v>
      </c>
      <c r="H1238" s="313">
        <v>240</v>
      </c>
      <c r="I1238" s="313">
        <v>2023.04</v>
      </c>
    </row>
    <row r="1239" spans="1:9">
      <c r="A1239" s="313" t="s">
        <v>218</v>
      </c>
      <c r="B1239" s="313" t="s">
        <v>751</v>
      </c>
      <c r="C1239" s="313" t="s">
        <v>4707</v>
      </c>
      <c r="D1239" s="313" t="s">
        <v>4686</v>
      </c>
      <c r="E1239" s="313" t="s">
        <v>4687</v>
      </c>
      <c r="F1239" s="314" t="s">
        <v>4708</v>
      </c>
      <c r="G1239" s="313">
        <v>330</v>
      </c>
      <c r="H1239" s="313">
        <v>665</v>
      </c>
      <c r="I1239" s="313">
        <v>2023.04</v>
      </c>
    </row>
    <row r="1240" spans="1:9">
      <c r="A1240" s="313" t="s">
        <v>218</v>
      </c>
      <c r="B1240" s="313" t="s">
        <v>751</v>
      </c>
      <c r="C1240" s="313" t="s">
        <v>4709</v>
      </c>
      <c r="D1240" s="313" t="s">
        <v>4710</v>
      </c>
      <c r="E1240" s="313" t="s">
        <v>4680</v>
      </c>
      <c r="F1240" s="314" t="s">
        <v>4711</v>
      </c>
      <c r="G1240" s="313">
        <v>60</v>
      </c>
      <c r="H1240" s="313">
        <v>1000</v>
      </c>
      <c r="I1240" s="313">
        <v>2023.04</v>
      </c>
    </row>
    <row r="1241" spans="1:9">
      <c r="A1241" s="313" t="s">
        <v>218</v>
      </c>
      <c r="B1241" s="313" t="s">
        <v>751</v>
      </c>
      <c r="C1241" s="313" t="s">
        <v>4709</v>
      </c>
      <c r="D1241" s="313" t="s">
        <v>4710</v>
      </c>
      <c r="E1241" s="313" t="s">
        <v>4670</v>
      </c>
      <c r="F1241" s="314" t="s">
        <v>4711</v>
      </c>
      <c r="G1241" s="313">
        <v>60</v>
      </c>
      <c r="H1241" s="313">
        <v>240</v>
      </c>
      <c r="I1241" s="313">
        <v>2023.04</v>
      </c>
    </row>
    <row r="1242" spans="1:9">
      <c r="A1242" s="313" t="s">
        <v>218</v>
      </c>
      <c r="B1242" s="313" t="s">
        <v>751</v>
      </c>
      <c r="C1242" s="313" t="s">
        <v>4712</v>
      </c>
      <c r="D1242" s="313" t="s">
        <v>4712</v>
      </c>
      <c r="E1242" s="313" t="s">
        <v>4682</v>
      </c>
      <c r="F1242" s="314" t="s">
        <v>4713</v>
      </c>
      <c r="G1242" s="313">
        <v>370</v>
      </c>
      <c r="H1242" s="313">
        <v>818</v>
      </c>
      <c r="I1242" s="313">
        <v>2023.04</v>
      </c>
    </row>
    <row r="1243" spans="1:9">
      <c r="A1243" s="313" t="s">
        <v>218</v>
      </c>
      <c r="B1243" s="313" t="s">
        <v>751</v>
      </c>
      <c r="C1243" s="313" t="s">
        <v>4712</v>
      </c>
      <c r="D1243" s="313" t="s">
        <v>4714</v>
      </c>
      <c r="E1243" s="313" t="s">
        <v>4682</v>
      </c>
      <c r="F1243" s="314" t="s">
        <v>4715</v>
      </c>
      <c r="G1243" s="313">
        <v>380</v>
      </c>
      <c r="H1243" s="313">
        <v>818</v>
      </c>
      <c r="I1243" s="313">
        <v>2023.04</v>
      </c>
    </row>
    <row r="1244" spans="1:9" ht="17.399999999999999">
      <c r="A1244" s="313" t="s">
        <v>218</v>
      </c>
      <c r="B1244" s="313" t="s">
        <v>751</v>
      </c>
      <c r="C1244" s="313" t="s">
        <v>4716</v>
      </c>
      <c r="D1244" s="313" t="s">
        <v>4717</v>
      </c>
      <c r="E1244" s="313" t="s">
        <v>4680</v>
      </c>
      <c r="F1244" s="314" t="s">
        <v>4718</v>
      </c>
      <c r="G1244" s="313">
        <v>60</v>
      </c>
      <c r="H1244" s="313">
        <v>1000</v>
      </c>
      <c r="I1244" s="313">
        <v>2023.04</v>
      </c>
    </row>
    <row r="1245" spans="1:9" ht="17.399999999999999">
      <c r="A1245" s="313" t="s">
        <v>218</v>
      </c>
      <c r="B1245" s="313" t="s">
        <v>751</v>
      </c>
      <c r="C1245" s="313" t="s">
        <v>4716</v>
      </c>
      <c r="D1245" s="313" t="s">
        <v>4717</v>
      </c>
      <c r="E1245" s="313" t="s">
        <v>4670</v>
      </c>
      <c r="F1245" s="314" t="s">
        <v>4718</v>
      </c>
      <c r="G1245" s="313">
        <v>60</v>
      </c>
      <c r="H1245" s="313">
        <v>240</v>
      </c>
      <c r="I1245" s="313">
        <v>2023.04</v>
      </c>
    </row>
    <row r="1246" spans="1:9">
      <c r="A1246" s="313" t="s">
        <v>359</v>
      </c>
      <c r="B1246" s="313" t="s">
        <v>4719</v>
      </c>
      <c r="C1246" s="313" t="s">
        <v>4060</v>
      </c>
      <c r="D1246" s="313" t="s">
        <v>4049</v>
      </c>
      <c r="E1246" s="313" t="s">
        <v>4089</v>
      </c>
      <c r="F1246" s="314" t="s">
        <v>4720</v>
      </c>
      <c r="G1246" s="313">
        <v>0</v>
      </c>
      <c r="H1246" s="313">
        <v>0</v>
      </c>
      <c r="I1246" s="313">
        <v>2023.04</v>
      </c>
    </row>
    <row r="1247" spans="1:9">
      <c r="A1247" s="313" t="s">
        <v>359</v>
      </c>
      <c r="B1247" s="313" t="s">
        <v>4719</v>
      </c>
      <c r="C1247" s="313" t="s">
        <v>4060</v>
      </c>
      <c r="D1247" s="313" t="s">
        <v>4049</v>
      </c>
      <c r="E1247" s="313" t="s">
        <v>3854</v>
      </c>
      <c r="F1247" s="314" t="s">
        <v>1251</v>
      </c>
      <c r="G1247" s="313">
        <v>50</v>
      </c>
      <c r="H1247" s="313">
        <v>115</v>
      </c>
      <c r="I1247" s="313">
        <v>2023.04</v>
      </c>
    </row>
    <row r="1248" spans="1:9">
      <c r="A1248" s="313" t="s">
        <v>359</v>
      </c>
      <c r="B1248" s="313" t="s">
        <v>4719</v>
      </c>
      <c r="C1248" s="313" t="s">
        <v>4060</v>
      </c>
      <c r="D1248" s="313" t="s">
        <v>4049</v>
      </c>
      <c r="E1248" s="313" t="s">
        <v>3854</v>
      </c>
      <c r="F1248" s="314" t="s">
        <v>4720</v>
      </c>
      <c r="G1248" s="313">
        <v>200</v>
      </c>
      <c r="H1248" s="313">
        <v>400</v>
      </c>
      <c r="I1248" s="313">
        <v>2023.04</v>
      </c>
    </row>
    <row r="1249" spans="1:9">
      <c r="A1249" s="313" t="s">
        <v>359</v>
      </c>
      <c r="B1249" s="313" t="s">
        <v>4719</v>
      </c>
      <c r="C1249" s="313" t="s">
        <v>4060</v>
      </c>
      <c r="D1249" s="313" t="s">
        <v>4049</v>
      </c>
      <c r="E1249" s="313" t="s">
        <v>3820</v>
      </c>
      <c r="F1249" s="314" t="s">
        <v>4720</v>
      </c>
      <c r="G1249" s="313">
        <v>400</v>
      </c>
      <c r="H1249" s="313">
        <v>400</v>
      </c>
      <c r="I1249" s="313">
        <v>2023.04</v>
      </c>
    </row>
    <row r="1250" spans="1:9">
      <c r="A1250" s="313" t="s">
        <v>359</v>
      </c>
      <c r="B1250" s="313" t="s">
        <v>4719</v>
      </c>
      <c r="C1250" s="313" t="s">
        <v>4060</v>
      </c>
      <c r="D1250" s="313" t="s">
        <v>4049</v>
      </c>
      <c r="E1250" s="313" t="s">
        <v>3820</v>
      </c>
      <c r="F1250" s="314" t="s">
        <v>1251</v>
      </c>
      <c r="G1250" s="313">
        <v>300</v>
      </c>
      <c r="H1250" s="313">
        <v>300</v>
      </c>
      <c r="I1250" s="313">
        <v>2023.04</v>
      </c>
    </row>
    <row r="1251" spans="1:9">
      <c r="A1251" s="313" t="s">
        <v>359</v>
      </c>
      <c r="B1251" s="313" t="s">
        <v>4719</v>
      </c>
      <c r="C1251" s="313" t="s">
        <v>4060</v>
      </c>
      <c r="D1251" s="313" t="s">
        <v>4049</v>
      </c>
      <c r="E1251" s="313" t="s">
        <v>3900</v>
      </c>
      <c r="F1251" s="314" t="s">
        <v>1251</v>
      </c>
      <c r="G1251" s="313">
        <v>151</v>
      </c>
      <c r="H1251" s="313">
        <v>1420</v>
      </c>
      <c r="I1251" s="313">
        <v>2023.04</v>
      </c>
    </row>
    <row r="1252" spans="1:9">
      <c r="A1252" s="313" t="s">
        <v>359</v>
      </c>
      <c r="B1252" s="313" t="s">
        <v>4719</v>
      </c>
      <c r="C1252" s="313" t="s">
        <v>4060</v>
      </c>
      <c r="D1252" s="313" t="s">
        <v>4049</v>
      </c>
      <c r="E1252" s="313" t="s">
        <v>3900</v>
      </c>
      <c r="F1252" s="314" t="s">
        <v>4720</v>
      </c>
      <c r="G1252" s="313">
        <v>151</v>
      </c>
      <c r="H1252" s="313">
        <v>1420</v>
      </c>
      <c r="I1252" s="313">
        <v>2023.04</v>
      </c>
    </row>
    <row r="1253" spans="1:9">
      <c r="A1253" s="313" t="s">
        <v>359</v>
      </c>
      <c r="B1253" s="313" t="s">
        <v>4719</v>
      </c>
      <c r="C1253" s="313" t="s">
        <v>4043</v>
      </c>
      <c r="D1253" s="313" t="s">
        <v>4043</v>
      </c>
      <c r="E1253" s="313" t="s">
        <v>3854</v>
      </c>
      <c r="F1253" s="314" t="s">
        <v>4721</v>
      </c>
      <c r="G1253" s="313">
        <v>150</v>
      </c>
      <c r="H1253" s="313">
        <v>1420</v>
      </c>
      <c r="I1253" s="313">
        <v>2023.04</v>
      </c>
    </row>
    <row r="1254" spans="1:9">
      <c r="A1254" s="313" t="s">
        <v>359</v>
      </c>
      <c r="B1254" s="313" t="s">
        <v>4719</v>
      </c>
      <c r="C1254" s="313" t="s">
        <v>4043</v>
      </c>
      <c r="D1254" s="313" t="s">
        <v>4043</v>
      </c>
      <c r="E1254" s="313" t="s">
        <v>3820</v>
      </c>
      <c r="F1254" s="314" t="s">
        <v>4721</v>
      </c>
      <c r="G1254" s="313">
        <v>0</v>
      </c>
      <c r="H1254" s="313">
        <v>0</v>
      </c>
      <c r="I1254" s="313">
        <v>2023.04</v>
      </c>
    </row>
    <row r="1255" spans="1:9">
      <c r="A1255" s="313" t="s">
        <v>359</v>
      </c>
      <c r="B1255" s="313" t="s">
        <v>4719</v>
      </c>
      <c r="C1255" s="313" t="s">
        <v>4043</v>
      </c>
      <c r="D1255" s="313" t="s">
        <v>4043</v>
      </c>
      <c r="E1255" s="313" t="s">
        <v>3900</v>
      </c>
      <c r="F1255" s="314" t="s">
        <v>4721</v>
      </c>
      <c r="G1255" s="313">
        <v>151</v>
      </c>
      <c r="H1255" s="313">
        <v>1420</v>
      </c>
      <c r="I1255" s="313">
        <v>2023.04</v>
      </c>
    </row>
    <row r="1256" spans="1:9">
      <c r="A1256" s="313" t="s">
        <v>359</v>
      </c>
      <c r="B1256" s="313" t="s">
        <v>4719</v>
      </c>
      <c r="C1256" s="313" t="s">
        <v>4722</v>
      </c>
      <c r="D1256" s="313" t="s">
        <v>4723</v>
      </c>
      <c r="E1256" s="313" t="s">
        <v>4089</v>
      </c>
      <c r="F1256" s="314" t="s">
        <v>4724</v>
      </c>
      <c r="G1256" s="313">
        <v>0</v>
      </c>
      <c r="H1256" s="313">
        <v>0</v>
      </c>
      <c r="I1256" s="313">
        <v>2023.04</v>
      </c>
    </row>
    <row r="1257" spans="1:9">
      <c r="A1257" s="313" t="s">
        <v>359</v>
      </c>
      <c r="B1257" s="313" t="s">
        <v>4719</v>
      </c>
      <c r="C1257" s="313" t="s">
        <v>4722</v>
      </c>
      <c r="D1257" s="313" t="s">
        <v>4723</v>
      </c>
      <c r="E1257" s="313" t="s">
        <v>3854</v>
      </c>
      <c r="F1257" s="314" t="s">
        <v>4724</v>
      </c>
      <c r="G1257" s="313">
        <v>50</v>
      </c>
      <c r="H1257" s="313">
        <v>115</v>
      </c>
      <c r="I1257" s="313">
        <v>2023.04</v>
      </c>
    </row>
    <row r="1258" spans="1:9">
      <c r="A1258" s="313" t="s">
        <v>359</v>
      </c>
      <c r="B1258" s="313" t="s">
        <v>4719</v>
      </c>
      <c r="C1258" s="313" t="s">
        <v>4725</v>
      </c>
      <c r="D1258" s="313" t="s">
        <v>4725</v>
      </c>
      <c r="E1258" s="313" t="s">
        <v>4089</v>
      </c>
      <c r="F1258" s="314" t="s">
        <v>4726</v>
      </c>
      <c r="G1258" s="313">
        <v>501</v>
      </c>
      <c r="H1258" s="313">
        <v>1801</v>
      </c>
      <c r="I1258" s="313">
        <v>2023.04</v>
      </c>
    </row>
    <row r="1259" spans="1:9">
      <c r="A1259" s="313" t="s">
        <v>359</v>
      </c>
      <c r="B1259" s="313" t="s">
        <v>4719</v>
      </c>
      <c r="C1259" s="313" t="s">
        <v>4725</v>
      </c>
      <c r="D1259" s="313" t="s">
        <v>4725</v>
      </c>
      <c r="E1259" s="313" t="s">
        <v>3854</v>
      </c>
      <c r="F1259" s="314" t="s">
        <v>4726</v>
      </c>
      <c r="G1259" s="313">
        <v>22</v>
      </c>
      <c r="H1259" s="313">
        <v>81</v>
      </c>
      <c r="I1259" s="313">
        <v>2023.04</v>
      </c>
    </row>
    <row r="1260" spans="1:9">
      <c r="A1260" s="313" t="s">
        <v>359</v>
      </c>
      <c r="B1260" s="313" t="s">
        <v>4719</v>
      </c>
      <c r="C1260" s="313" t="s">
        <v>4725</v>
      </c>
      <c r="D1260" s="313" t="s">
        <v>4725</v>
      </c>
      <c r="E1260" s="313" t="s">
        <v>3820</v>
      </c>
      <c r="F1260" s="314" t="s">
        <v>4726</v>
      </c>
      <c r="G1260" s="313">
        <v>275</v>
      </c>
      <c r="H1260" s="313">
        <v>275</v>
      </c>
      <c r="I1260" s="313">
        <v>2023.04</v>
      </c>
    </row>
    <row r="1261" spans="1:9">
      <c r="A1261" s="313" t="s">
        <v>359</v>
      </c>
      <c r="B1261" s="313" t="s">
        <v>4719</v>
      </c>
      <c r="C1261" s="313" t="s">
        <v>4727</v>
      </c>
      <c r="D1261" s="313" t="s">
        <v>4060</v>
      </c>
      <c r="E1261" s="313" t="s">
        <v>4089</v>
      </c>
      <c r="F1261" s="314" t="s">
        <v>4728</v>
      </c>
      <c r="G1261" s="313">
        <v>400</v>
      </c>
      <c r="H1261" s="313">
        <v>1420</v>
      </c>
      <c r="I1261" s="313">
        <v>2023.04</v>
      </c>
    </row>
    <row r="1262" spans="1:9">
      <c r="A1262" s="313" t="s">
        <v>359</v>
      </c>
      <c r="B1262" s="313" t="s">
        <v>4719</v>
      </c>
      <c r="C1262" s="313" t="s">
        <v>4727</v>
      </c>
      <c r="D1262" s="313" t="s">
        <v>4060</v>
      </c>
      <c r="E1262" s="313" t="s">
        <v>3854</v>
      </c>
      <c r="F1262" s="314" t="s">
        <v>4728</v>
      </c>
      <c r="G1262" s="313">
        <v>50</v>
      </c>
      <c r="H1262" s="313">
        <v>115</v>
      </c>
      <c r="I1262" s="313">
        <v>2023.04</v>
      </c>
    </row>
    <row r="1263" spans="1:9">
      <c r="A1263" s="313" t="s">
        <v>359</v>
      </c>
      <c r="B1263" s="313" t="s">
        <v>4719</v>
      </c>
      <c r="C1263" s="313" t="s">
        <v>4727</v>
      </c>
      <c r="D1263" s="313" t="s">
        <v>4060</v>
      </c>
      <c r="E1263" s="313" t="s">
        <v>3878</v>
      </c>
      <c r="F1263" s="314" t="s">
        <v>4728</v>
      </c>
      <c r="G1263" s="313">
        <v>250</v>
      </c>
      <c r="H1263" s="313">
        <v>416</v>
      </c>
      <c r="I1263" s="313">
        <v>2023.04</v>
      </c>
    </row>
    <row r="1264" spans="1:9">
      <c r="A1264" s="313" t="s">
        <v>359</v>
      </c>
      <c r="B1264" s="313" t="s">
        <v>4719</v>
      </c>
      <c r="C1264" s="313" t="s">
        <v>4727</v>
      </c>
      <c r="D1264" s="313" t="s">
        <v>4060</v>
      </c>
      <c r="E1264" s="313" t="s">
        <v>3900</v>
      </c>
      <c r="F1264" s="314" t="s">
        <v>4728</v>
      </c>
      <c r="G1264" s="313">
        <v>151</v>
      </c>
      <c r="H1264" s="313">
        <v>1420</v>
      </c>
      <c r="I1264" s="313">
        <v>2023.04</v>
      </c>
    </row>
    <row r="1265" spans="1:9">
      <c r="A1265" s="313" t="s">
        <v>359</v>
      </c>
      <c r="B1265" s="313" t="s">
        <v>4719</v>
      </c>
      <c r="C1265" s="313" t="s">
        <v>3836</v>
      </c>
      <c r="D1265" s="313" t="s">
        <v>3836</v>
      </c>
      <c r="E1265" s="313" t="s">
        <v>3854</v>
      </c>
      <c r="F1265" s="314" t="s">
        <v>4729</v>
      </c>
      <c r="G1265" s="313">
        <v>22</v>
      </c>
      <c r="H1265" s="313">
        <v>81</v>
      </c>
      <c r="I1265" s="313">
        <v>2023.04</v>
      </c>
    </row>
    <row r="1266" spans="1:9">
      <c r="A1266" s="313" t="s">
        <v>359</v>
      </c>
      <c r="B1266" s="313" t="s">
        <v>4719</v>
      </c>
      <c r="C1266" s="313" t="s">
        <v>3836</v>
      </c>
      <c r="D1266" s="313" t="s">
        <v>3836</v>
      </c>
      <c r="E1266" s="313" t="s">
        <v>3820</v>
      </c>
      <c r="F1266" s="314" t="s">
        <v>4729</v>
      </c>
      <c r="G1266" s="313">
        <v>300</v>
      </c>
      <c r="H1266" s="313">
        <v>300</v>
      </c>
      <c r="I1266" s="313">
        <v>2023.04</v>
      </c>
    </row>
    <row r="1267" spans="1:9">
      <c r="A1267" s="313" t="s">
        <v>359</v>
      </c>
      <c r="B1267" s="313" t="s">
        <v>4719</v>
      </c>
      <c r="C1267" s="313" t="s">
        <v>3836</v>
      </c>
      <c r="D1267" s="313" t="s">
        <v>3836</v>
      </c>
      <c r="E1267" s="313" t="s">
        <v>3834</v>
      </c>
      <c r="F1267" s="314" t="s">
        <v>4729</v>
      </c>
      <c r="G1267" s="313">
        <v>400</v>
      </c>
      <c r="H1267" s="313">
        <v>1440</v>
      </c>
      <c r="I1267" s="313">
        <v>2023.04</v>
      </c>
    </row>
    <row r="1268" spans="1:9">
      <c r="A1268" s="313" t="s">
        <v>359</v>
      </c>
      <c r="B1268" s="313" t="s">
        <v>4719</v>
      </c>
      <c r="C1268" s="313" t="s">
        <v>4730</v>
      </c>
      <c r="D1268" s="313" t="s">
        <v>4730</v>
      </c>
      <c r="E1268" s="313" t="s">
        <v>3854</v>
      </c>
      <c r="F1268" s="314" t="s">
        <v>4731</v>
      </c>
      <c r="G1268" s="313">
        <v>22</v>
      </c>
      <c r="H1268" s="313">
        <v>81</v>
      </c>
      <c r="I1268" s="313">
        <v>2023.04</v>
      </c>
    </row>
    <row r="1269" spans="1:9">
      <c r="A1269" s="313" t="s">
        <v>359</v>
      </c>
      <c r="B1269" s="313" t="s">
        <v>4719</v>
      </c>
      <c r="C1269" s="313" t="s">
        <v>4730</v>
      </c>
      <c r="D1269" s="313" t="s">
        <v>4730</v>
      </c>
      <c r="E1269" s="313" t="s">
        <v>3820</v>
      </c>
      <c r="F1269" s="314" t="s">
        <v>4731</v>
      </c>
      <c r="G1269" s="313">
        <v>300</v>
      </c>
      <c r="H1269" s="313">
        <v>300</v>
      </c>
      <c r="I1269" s="313">
        <v>2023.04</v>
      </c>
    </row>
    <row r="1270" spans="1:9">
      <c r="A1270" s="313" t="s">
        <v>359</v>
      </c>
      <c r="B1270" s="313" t="s">
        <v>4719</v>
      </c>
      <c r="C1270" s="313" t="s">
        <v>4730</v>
      </c>
      <c r="D1270" s="313" t="s">
        <v>4730</v>
      </c>
      <c r="E1270" s="313" t="s">
        <v>3900</v>
      </c>
      <c r="F1270" s="314" t="s">
        <v>4731</v>
      </c>
      <c r="G1270" s="313">
        <v>151</v>
      </c>
      <c r="H1270" s="313">
        <v>1420</v>
      </c>
      <c r="I1270" s="313">
        <v>2023.04</v>
      </c>
    </row>
    <row r="1271" spans="1:9">
      <c r="A1271" s="313" t="s">
        <v>359</v>
      </c>
      <c r="B1271" s="313" t="s">
        <v>4719</v>
      </c>
      <c r="C1271" s="313" t="s">
        <v>4732</v>
      </c>
      <c r="D1271" s="313" t="s">
        <v>4732</v>
      </c>
      <c r="E1271" s="313" t="s">
        <v>4089</v>
      </c>
      <c r="F1271" s="314" t="s">
        <v>4733</v>
      </c>
      <c r="G1271" s="313">
        <v>0</v>
      </c>
      <c r="H1271" s="313">
        <v>0</v>
      </c>
      <c r="I1271" s="313">
        <v>2023.04</v>
      </c>
    </row>
    <row r="1272" spans="1:9">
      <c r="A1272" s="313" t="s">
        <v>359</v>
      </c>
      <c r="B1272" s="313" t="s">
        <v>4719</v>
      </c>
      <c r="C1272" s="313" t="s">
        <v>4732</v>
      </c>
      <c r="D1272" s="313" t="s">
        <v>4732</v>
      </c>
      <c r="E1272" s="313" t="s">
        <v>3854</v>
      </c>
      <c r="F1272" s="314" t="s">
        <v>4733</v>
      </c>
      <c r="G1272" s="313">
        <v>200</v>
      </c>
      <c r="H1272" s="313">
        <v>400</v>
      </c>
      <c r="I1272" s="313">
        <v>2023.04</v>
      </c>
    </row>
    <row r="1273" spans="1:9">
      <c r="A1273" s="313" t="s">
        <v>359</v>
      </c>
      <c r="B1273" s="313" t="s">
        <v>4719</v>
      </c>
      <c r="C1273" s="313" t="s">
        <v>4732</v>
      </c>
      <c r="D1273" s="313" t="s">
        <v>4732</v>
      </c>
      <c r="E1273" s="313" t="s">
        <v>3820</v>
      </c>
      <c r="F1273" s="314" t="s">
        <v>4733</v>
      </c>
      <c r="G1273" s="313">
        <v>0</v>
      </c>
      <c r="H1273" s="313">
        <v>0</v>
      </c>
      <c r="I1273" s="313">
        <v>2023.04</v>
      </c>
    </row>
    <row r="1274" spans="1:9">
      <c r="A1274" s="313" t="s">
        <v>359</v>
      </c>
      <c r="B1274" s="313" t="s">
        <v>4719</v>
      </c>
      <c r="C1274" s="313" t="s">
        <v>4732</v>
      </c>
      <c r="D1274" s="313" t="s">
        <v>4732</v>
      </c>
      <c r="E1274" s="313" t="s">
        <v>3848</v>
      </c>
      <c r="F1274" s="314" t="s">
        <v>4733</v>
      </c>
      <c r="G1274" s="313">
        <v>0</v>
      </c>
      <c r="H1274" s="313">
        <v>0</v>
      </c>
      <c r="I1274" s="313">
        <v>2023.04</v>
      </c>
    </row>
    <row r="1275" spans="1:9">
      <c r="A1275" s="313" t="s">
        <v>359</v>
      </c>
      <c r="B1275" s="313" t="s">
        <v>4719</v>
      </c>
      <c r="C1275" s="313" t="s">
        <v>4732</v>
      </c>
      <c r="D1275" s="313" t="s">
        <v>4732</v>
      </c>
      <c r="E1275" s="313" t="s">
        <v>3900</v>
      </c>
      <c r="F1275" s="314" t="s">
        <v>4733</v>
      </c>
      <c r="G1275" s="313">
        <v>151</v>
      </c>
      <c r="H1275" s="313">
        <v>1420</v>
      </c>
      <c r="I1275" s="313">
        <v>2023.04</v>
      </c>
    </row>
    <row r="1276" spans="1:9">
      <c r="A1276" s="313" t="s">
        <v>359</v>
      </c>
      <c r="B1276" s="313" t="s">
        <v>4719</v>
      </c>
      <c r="C1276" s="313" t="s">
        <v>4734</v>
      </c>
      <c r="D1276" s="313" t="s">
        <v>4734</v>
      </c>
      <c r="E1276" s="313" t="s">
        <v>4089</v>
      </c>
      <c r="F1276" s="314" t="s">
        <v>4735</v>
      </c>
      <c r="G1276" s="313">
        <v>400</v>
      </c>
      <c r="H1276" s="313">
        <v>1420</v>
      </c>
      <c r="I1276" s="313">
        <v>2023.04</v>
      </c>
    </row>
    <row r="1277" spans="1:9">
      <c r="A1277" s="313" t="s">
        <v>359</v>
      </c>
      <c r="B1277" s="313" t="s">
        <v>4719</v>
      </c>
      <c r="C1277" s="313" t="s">
        <v>4734</v>
      </c>
      <c r="D1277" s="313" t="s">
        <v>4734</v>
      </c>
      <c r="E1277" s="313" t="s">
        <v>3854</v>
      </c>
      <c r="F1277" s="314" t="s">
        <v>4735</v>
      </c>
      <c r="G1277" s="313">
        <v>283</v>
      </c>
      <c r="H1277" s="313">
        <v>500</v>
      </c>
      <c r="I1277" s="313">
        <v>2023.04</v>
      </c>
    </row>
    <row r="1278" spans="1:9">
      <c r="A1278" s="313" t="s">
        <v>359</v>
      </c>
      <c r="B1278" s="313" t="s">
        <v>4719</v>
      </c>
      <c r="C1278" s="313" t="s">
        <v>4734</v>
      </c>
      <c r="D1278" s="313" t="s">
        <v>4734</v>
      </c>
      <c r="E1278" s="313" t="s">
        <v>3820</v>
      </c>
      <c r="F1278" s="314" t="s">
        <v>4735</v>
      </c>
      <c r="G1278" s="313">
        <v>0</v>
      </c>
      <c r="H1278" s="313">
        <v>0</v>
      </c>
      <c r="I1278" s="313">
        <v>2023.04</v>
      </c>
    </row>
    <row r="1279" spans="1:9">
      <c r="A1279" s="313" t="s">
        <v>359</v>
      </c>
      <c r="B1279" s="313" t="s">
        <v>4719</v>
      </c>
      <c r="C1279" s="313" t="s">
        <v>4734</v>
      </c>
      <c r="D1279" s="313" t="s">
        <v>4734</v>
      </c>
      <c r="E1279" s="313" t="s">
        <v>3900</v>
      </c>
      <c r="F1279" s="314" t="s">
        <v>4735</v>
      </c>
      <c r="G1279" s="313">
        <v>151</v>
      </c>
      <c r="H1279" s="313">
        <v>1420</v>
      </c>
      <c r="I1279" s="313">
        <v>2023.04</v>
      </c>
    </row>
    <row r="1280" spans="1:9">
      <c r="A1280" s="313" t="s">
        <v>359</v>
      </c>
      <c r="B1280" s="313" t="s">
        <v>4719</v>
      </c>
      <c r="C1280" s="313" t="s">
        <v>4736</v>
      </c>
      <c r="D1280" s="313" t="s">
        <v>4736</v>
      </c>
      <c r="E1280" s="313" t="s">
        <v>4089</v>
      </c>
      <c r="F1280" s="314" t="s">
        <v>4737</v>
      </c>
      <c r="G1280" s="313">
        <v>600</v>
      </c>
      <c r="H1280" s="313">
        <v>2130</v>
      </c>
      <c r="I1280" s="313">
        <v>2023.04</v>
      </c>
    </row>
    <row r="1281" spans="1:9">
      <c r="A1281" s="313" t="s">
        <v>359</v>
      </c>
      <c r="B1281" s="313" t="s">
        <v>4719</v>
      </c>
      <c r="C1281" s="313" t="s">
        <v>4736</v>
      </c>
      <c r="D1281" s="313" t="s">
        <v>4736</v>
      </c>
      <c r="E1281" s="313" t="s">
        <v>3854</v>
      </c>
      <c r="F1281" s="314" t="s">
        <v>4737</v>
      </c>
      <c r="G1281" s="313">
        <v>50</v>
      </c>
      <c r="H1281" s="313">
        <v>115</v>
      </c>
      <c r="I1281" s="313">
        <v>2023.04</v>
      </c>
    </row>
    <row r="1282" spans="1:9">
      <c r="A1282" s="313" t="s">
        <v>359</v>
      </c>
      <c r="B1282" s="313" t="s">
        <v>4719</v>
      </c>
      <c r="C1282" s="313" t="s">
        <v>4736</v>
      </c>
      <c r="D1282" s="313" t="s">
        <v>4736</v>
      </c>
      <c r="E1282" s="313" t="s">
        <v>3820</v>
      </c>
      <c r="F1282" s="314" t="s">
        <v>4737</v>
      </c>
      <c r="G1282" s="313">
        <v>300</v>
      </c>
      <c r="H1282" s="313">
        <v>300</v>
      </c>
      <c r="I1282" s="313">
        <v>2023.04</v>
      </c>
    </row>
    <row r="1283" spans="1:9">
      <c r="A1283" s="313" t="s">
        <v>359</v>
      </c>
      <c r="B1283" s="313" t="s">
        <v>4719</v>
      </c>
      <c r="C1283" s="313" t="s">
        <v>2421</v>
      </c>
      <c r="D1283" s="313" t="s">
        <v>2421</v>
      </c>
      <c r="E1283" s="313" t="s">
        <v>4089</v>
      </c>
      <c r="F1283" s="314" t="s">
        <v>1252</v>
      </c>
      <c r="G1283" s="313">
        <v>400</v>
      </c>
      <c r="H1283" s="313">
        <v>1440</v>
      </c>
      <c r="I1283" s="313">
        <v>2023.04</v>
      </c>
    </row>
    <row r="1284" spans="1:9">
      <c r="A1284" s="313" t="s">
        <v>359</v>
      </c>
      <c r="B1284" s="313" t="s">
        <v>4719</v>
      </c>
      <c r="C1284" s="313" t="s">
        <v>2421</v>
      </c>
      <c r="D1284" s="313" t="s">
        <v>2421</v>
      </c>
      <c r="E1284" s="313" t="s">
        <v>3854</v>
      </c>
      <c r="F1284" s="314" t="s">
        <v>1252</v>
      </c>
      <c r="G1284" s="313">
        <v>200</v>
      </c>
      <c r="H1284" s="313">
        <v>400</v>
      </c>
      <c r="I1284" s="313">
        <v>2023.04</v>
      </c>
    </row>
    <row r="1285" spans="1:9">
      <c r="A1285" s="313" t="s">
        <v>359</v>
      </c>
      <c r="B1285" s="313" t="s">
        <v>4719</v>
      </c>
      <c r="C1285" s="313" t="s">
        <v>2421</v>
      </c>
      <c r="D1285" s="313" t="s">
        <v>2421</v>
      </c>
      <c r="E1285" s="313" t="s">
        <v>3820</v>
      </c>
      <c r="F1285" s="314" t="s">
        <v>1252</v>
      </c>
      <c r="G1285" s="313">
        <v>0</v>
      </c>
      <c r="H1285" s="313">
        <v>0</v>
      </c>
      <c r="I1285" s="313">
        <v>2023.04</v>
      </c>
    </row>
    <row r="1286" spans="1:9">
      <c r="A1286" s="313" t="s">
        <v>237</v>
      </c>
      <c r="B1286" s="313" t="s">
        <v>4738</v>
      </c>
      <c r="C1286" s="313" t="s">
        <v>4739</v>
      </c>
      <c r="D1286" s="313" t="s">
        <v>4739</v>
      </c>
      <c r="E1286" s="313" t="s">
        <v>3834</v>
      </c>
      <c r="F1286" s="314" t="s">
        <v>1112</v>
      </c>
      <c r="G1286" s="313">
        <v>200</v>
      </c>
      <c r="H1286" s="313">
        <v>800</v>
      </c>
      <c r="I1286" s="313">
        <v>2023.04</v>
      </c>
    </row>
    <row r="1287" spans="1:9">
      <c r="A1287" s="313" t="s">
        <v>237</v>
      </c>
      <c r="B1287" s="313" t="s">
        <v>4738</v>
      </c>
      <c r="C1287" s="313" t="s">
        <v>4740</v>
      </c>
      <c r="D1287" s="313" t="s">
        <v>4740</v>
      </c>
      <c r="E1287" s="313" t="s">
        <v>3834</v>
      </c>
      <c r="F1287" s="314" t="s">
        <v>4741</v>
      </c>
      <c r="G1287" s="313">
        <v>378</v>
      </c>
      <c r="H1287" s="313">
        <v>1920</v>
      </c>
      <c r="I1287" s="313">
        <v>2023.04</v>
      </c>
    </row>
    <row r="1288" spans="1:9">
      <c r="A1288" s="313" t="s">
        <v>237</v>
      </c>
      <c r="B1288" s="313" t="s">
        <v>4738</v>
      </c>
      <c r="C1288" s="313" t="s">
        <v>4742</v>
      </c>
      <c r="D1288" s="313" t="s">
        <v>4742</v>
      </c>
      <c r="E1288" s="313" t="s">
        <v>3834</v>
      </c>
      <c r="F1288" s="314" t="s">
        <v>4741</v>
      </c>
      <c r="G1288" s="313">
        <v>200</v>
      </c>
      <c r="H1288" s="313">
        <v>800</v>
      </c>
      <c r="I1288" s="313">
        <v>2023.04</v>
      </c>
    </row>
    <row r="1289" spans="1:9">
      <c r="A1289" s="313" t="s">
        <v>237</v>
      </c>
      <c r="B1289" s="313" t="s">
        <v>4738</v>
      </c>
      <c r="C1289" s="313" t="s">
        <v>3836</v>
      </c>
      <c r="D1289" s="313" t="s">
        <v>3836</v>
      </c>
      <c r="E1289" s="313" t="s">
        <v>3834</v>
      </c>
      <c r="F1289" s="314" t="s">
        <v>241</v>
      </c>
      <c r="G1289" s="313">
        <v>210</v>
      </c>
      <c r="H1289" s="313">
        <v>390</v>
      </c>
      <c r="I1289" s="313">
        <v>2023.04</v>
      </c>
    </row>
    <row r="1290" spans="1:9">
      <c r="A1290" s="313" t="s">
        <v>237</v>
      </c>
      <c r="B1290" s="313" t="s">
        <v>4738</v>
      </c>
      <c r="C1290" s="313" t="s">
        <v>4743</v>
      </c>
      <c r="D1290" s="313" t="s">
        <v>4743</v>
      </c>
      <c r="E1290" s="313" t="s">
        <v>3834</v>
      </c>
      <c r="F1290" s="314" t="s">
        <v>1115</v>
      </c>
      <c r="G1290" s="313">
        <v>200</v>
      </c>
      <c r="H1290" s="313">
        <v>800</v>
      </c>
      <c r="I1290" s="313">
        <v>2023.04</v>
      </c>
    </row>
    <row r="1291" spans="1:9">
      <c r="A1291" s="313" t="s">
        <v>237</v>
      </c>
      <c r="B1291" s="313" t="s">
        <v>4738</v>
      </c>
      <c r="C1291" s="313" t="s">
        <v>4744</v>
      </c>
      <c r="D1291" s="313" t="s">
        <v>4744</v>
      </c>
      <c r="E1291" s="313" t="s">
        <v>3834</v>
      </c>
      <c r="F1291" s="314" t="s">
        <v>1115</v>
      </c>
      <c r="G1291" s="313">
        <v>200</v>
      </c>
      <c r="H1291" s="313">
        <v>800</v>
      </c>
      <c r="I1291" s="313">
        <v>2023.04</v>
      </c>
    </row>
    <row r="1292" spans="1:9">
      <c r="A1292" s="313" t="s">
        <v>237</v>
      </c>
      <c r="B1292" s="313" t="s">
        <v>4745</v>
      </c>
      <c r="C1292" s="313" t="s">
        <v>2346</v>
      </c>
      <c r="D1292" s="313" t="s">
        <v>4746</v>
      </c>
      <c r="E1292" s="313" t="s">
        <v>3834</v>
      </c>
      <c r="F1292" s="314" t="s">
        <v>4747</v>
      </c>
      <c r="G1292" s="313">
        <v>80</v>
      </c>
      <c r="H1292" s="313">
        <v>600</v>
      </c>
      <c r="I1292" s="313">
        <v>2023.04</v>
      </c>
    </row>
    <row r="1293" spans="1:9">
      <c r="A1293" s="313" t="s">
        <v>237</v>
      </c>
      <c r="B1293" s="313" t="s">
        <v>4745</v>
      </c>
      <c r="C1293" s="313" t="s">
        <v>2346</v>
      </c>
      <c r="D1293" s="313" t="s">
        <v>4748</v>
      </c>
      <c r="E1293" s="313" t="s">
        <v>3834</v>
      </c>
      <c r="F1293" s="314" t="s">
        <v>4747</v>
      </c>
      <c r="G1293" s="313">
        <v>80</v>
      </c>
      <c r="H1293" s="313">
        <v>600</v>
      </c>
      <c r="I1293" s="313">
        <v>2023.04</v>
      </c>
    </row>
    <row r="1294" spans="1:9">
      <c r="A1294" s="313" t="s">
        <v>237</v>
      </c>
      <c r="B1294" s="313" t="s">
        <v>4745</v>
      </c>
      <c r="C1294" s="313" t="s">
        <v>4060</v>
      </c>
      <c r="D1294" s="313" t="s">
        <v>4060</v>
      </c>
      <c r="E1294" s="313" t="s">
        <v>3849</v>
      </c>
      <c r="F1294" s="314" t="s">
        <v>4749</v>
      </c>
      <c r="G1294" s="313">
        <v>185</v>
      </c>
      <c r="H1294" s="313">
        <v>397</v>
      </c>
      <c r="I1294" s="313">
        <v>2023.04</v>
      </c>
    </row>
    <row r="1295" spans="1:9">
      <c r="A1295" s="313" t="s">
        <v>237</v>
      </c>
      <c r="B1295" s="313" t="s">
        <v>4745</v>
      </c>
      <c r="C1295" s="313" t="s">
        <v>4060</v>
      </c>
      <c r="D1295" s="313" t="s">
        <v>4060</v>
      </c>
      <c r="E1295" s="313" t="s">
        <v>3834</v>
      </c>
      <c r="F1295" s="314" t="s">
        <v>4749</v>
      </c>
      <c r="G1295" s="313">
        <v>198</v>
      </c>
      <c r="H1295" s="313">
        <v>396</v>
      </c>
      <c r="I1295" s="313">
        <v>2023.04</v>
      </c>
    </row>
    <row r="1296" spans="1:9">
      <c r="A1296" s="313" t="s">
        <v>237</v>
      </c>
      <c r="B1296" s="313" t="s">
        <v>4745</v>
      </c>
      <c r="C1296" s="313" t="s">
        <v>3469</v>
      </c>
      <c r="D1296" s="313" t="s">
        <v>4750</v>
      </c>
      <c r="E1296" s="313" t="s">
        <v>3834</v>
      </c>
      <c r="F1296" s="314" t="s">
        <v>4751</v>
      </c>
      <c r="G1296" s="313">
        <v>66</v>
      </c>
      <c r="H1296" s="313">
        <v>600</v>
      </c>
      <c r="I1296" s="313">
        <v>2023.04</v>
      </c>
    </row>
    <row r="1297" spans="1:9">
      <c r="A1297" s="313" t="s">
        <v>237</v>
      </c>
      <c r="B1297" s="313" t="s">
        <v>4745</v>
      </c>
      <c r="C1297" s="313" t="s">
        <v>3469</v>
      </c>
      <c r="D1297" s="313" t="s">
        <v>4752</v>
      </c>
      <c r="E1297" s="313" t="s">
        <v>3834</v>
      </c>
      <c r="F1297" s="314" t="s">
        <v>4753</v>
      </c>
      <c r="G1297" s="313">
        <v>185</v>
      </c>
      <c r="H1297" s="313">
        <v>396</v>
      </c>
      <c r="I1297" s="313">
        <v>2023.04</v>
      </c>
    </row>
    <row r="1298" spans="1:9">
      <c r="A1298" s="313" t="s">
        <v>237</v>
      </c>
      <c r="B1298" s="313" t="s">
        <v>4745</v>
      </c>
      <c r="C1298" s="313" t="s">
        <v>3469</v>
      </c>
      <c r="D1298" s="313" t="s">
        <v>4754</v>
      </c>
      <c r="E1298" s="313" t="s">
        <v>3834</v>
      </c>
      <c r="F1298" s="314" t="s">
        <v>4755</v>
      </c>
      <c r="G1298" s="313">
        <v>70</v>
      </c>
      <c r="H1298" s="313">
        <v>600</v>
      </c>
      <c r="I1298" s="313">
        <v>2023.04</v>
      </c>
    </row>
    <row r="1299" spans="1:9">
      <c r="A1299" s="313" t="s">
        <v>237</v>
      </c>
      <c r="B1299" s="313" t="s">
        <v>4745</v>
      </c>
      <c r="C1299" s="313" t="s">
        <v>4756</v>
      </c>
      <c r="D1299" s="313" t="s">
        <v>4756</v>
      </c>
      <c r="E1299" s="313" t="s">
        <v>3834</v>
      </c>
      <c r="F1299" s="314" t="s">
        <v>4757</v>
      </c>
      <c r="G1299" s="313">
        <v>185</v>
      </c>
      <c r="H1299" s="313">
        <v>396</v>
      </c>
      <c r="I1299" s="313">
        <v>2023.04</v>
      </c>
    </row>
    <row r="1300" spans="1:9">
      <c r="A1300" s="313" t="s">
        <v>237</v>
      </c>
      <c r="B1300" s="313" t="s">
        <v>4745</v>
      </c>
      <c r="C1300" s="313" t="s">
        <v>4621</v>
      </c>
      <c r="D1300" s="313" t="s">
        <v>4758</v>
      </c>
      <c r="E1300" s="313" t="s">
        <v>3834</v>
      </c>
      <c r="F1300" s="314" t="s">
        <v>4759</v>
      </c>
      <c r="G1300" s="313">
        <v>185</v>
      </c>
      <c r="H1300" s="313">
        <v>396</v>
      </c>
      <c r="I1300" s="313">
        <v>2023.04</v>
      </c>
    </row>
    <row r="1301" spans="1:9">
      <c r="A1301" s="313" t="s">
        <v>237</v>
      </c>
      <c r="B1301" s="313" t="s">
        <v>4745</v>
      </c>
      <c r="C1301" s="313" t="s">
        <v>4621</v>
      </c>
      <c r="D1301" s="313" t="s">
        <v>4760</v>
      </c>
      <c r="E1301" s="313" t="s">
        <v>3834</v>
      </c>
      <c r="F1301" s="314" t="s">
        <v>4761</v>
      </c>
      <c r="G1301" s="313">
        <v>0</v>
      </c>
      <c r="H1301" s="313">
        <v>0</v>
      </c>
      <c r="I1301" s="313">
        <v>2023.04</v>
      </c>
    </row>
    <row r="1302" spans="1:9">
      <c r="A1302" s="313" t="s">
        <v>237</v>
      </c>
      <c r="B1302" s="313" t="s">
        <v>4745</v>
      </c>
      <c r="C1302" s="313" t="s">
        <v>4621</v>
      </c>
      <c r="D1302" s="313" t="s">
        <v>4762</v>
      </c>
      <c r="E1302" s="313" t="s">
        <v>3834</v>
      </c>
      <c r="F1302" s="314" t="s">
        <v>4763</v>
      </c>
      <c r="G1302" s="313">
        <v>0</v>
      </c>
      <c r="H1302" s="313">
        <v>0</v>
      </c>
      <c r="I1302" s="313">
        <v>2023.04</v>
      </c>
    </row>
    <row r="1303" spans="1:9">
      <c r="A1303" s="313" t="s">
        <v>237</v>
      </c>
      <c r="B1303" s="313" t="s">
        <v>4745</v>
      </c>
      <c r="C1303" s="313" t="s">
        <v>4303</v>
      </c>
      <c r="D1303" s="313" t="s">
        <v>4764</v>
      </c>
      <c r="E1303" s="313" t="s">
        <v>3834</v>
      </c>
      <c r="F1303" s="314" t="s">
        <v>4765</v>
      </c>
      <c r="G1303" s="313">
        <v>66</v>
      </c>
      <c r="H1303" s="313">
        <v>600</v>
      </c>
      <c r="I1303" s="313">
        <v>2023.04</v>
      </c>
    </row>
    <row r="1304" spans="1:9">
      <c r="A1304" s="313" t="s">
        <v>237</v>
      </c>
      <c r="B1304" s="313" t="s">
        <v>4745</v>
      </c>
      <c r="C1304" s="313" t="s">
        <v>4303</v>
      </c>
      <c r="D1304" s="313" t="s">
        <v>2836</v>
      </c>
      <c r="E1304" s="313" t="s">
        <v>3834</v>
      </c>
      <c r="F1304" s="314" t="s">
        <v>4766</v>
      </c>
      <c r="G1304" s="313">
        <v>0</v>
      </c>
      <c r="H1304" s="313">
        <v>0</v>
      </c>
      <c r="I1304" s="313">
        <v>2023.04</v>
      </c>
    </row>
    <row r="1305" spans="1:9">
      <c r="A1305" s="313" t="s">
        <v>237</v>
      </c>
      <c r="B1305" s="313" t="s">
        <v>4745</v>
      </c>
      <c r="C1305" s="313" t="s">
        <v>4303</v>
      </c>
      <c r="D1305" s="313" t="s">
        <v>2838</v>
      </c>
      <c r="E1305" s="313" t="s">
        <v>3834</v>
      </c>
      <c r="F1305" s="314" t="s">
        <v>4767</v>
      </c>
      <c r="G1305" s="313">
        <v>80</v>
      </c>
      <c r="H1305" s="313">
        <v>600</v>
      </c>
      <c r="I1305" s="313">
        <v>2023.04</v>
      </c>
    </row>
    <row r="1306" spans="1:9">
      <c r="A1306" s="313" t="s">
        <v>237</v>
      </c>
      <c r="B1306" s="313" t="s">
        <v>4745</v>
      </c>
      <c r="C1306" s="313" t="s">
        <v>4303</v>
      </c>
      <c r="D1306" s="313" t="s">
        <v>4768</v>
      </c>
      <c r="E1306" s="313" t="s">
        <v>3834</v>
      </c>
      <c r="F1306" s="314" t="s">
        <v>4769</v>
      </c>
      <c r="G1306" s="313">
        <v>185</v>
      </c>
      <c r="H1306" s="313">
        <v>396</v>
      </c>
      <c r="I1306" s="313">
        <v>2023.04</v>
      </c>
    </row>
    <row r="1307" spans="1:9">
      <c r="A1307" s="313" t="s">
        <v>237</v>
      </c>
      <c r="B1307" s="313" t="s">
        <v>4745</v>
      </c>
      <c r="C1307" s="313" t="s">
        <v>4303</v>
      </c>
      <c r="D1307" s="313" t="s">
        <v>4770</v>
      </c>
      <c r="E1307" s="313" t="s">
        <v>3834</v>
      </c>
      <c r="F1307" s="314" t="s">
        <v>4771</v>
      </c>
      <c r="G1307" s="313">
        <v>70</v>
      </c>
      <c r="H1307" s="313">
        <v>600</v>
      </c>
      <c r="I1307" s="313">
        <v>2023.04</v>
      </c>
    </row>
    <row r="1308" spans="1:9">
      <c r="A1308" s="313" t="s">
        <v>237</v>
      </c>
      <c r="B1308" s="313" t="s">
        <v>4745</v>
      </c>
      <c r="C1308" s="313" t="s">
        <v>4303</v>
      </c>
      <c r="D1308" s="313" t="s">
        <v>4772</v>
      </c>
      <c r="E1308" s="313" t="s">
        <v>3834</v>
      </c>
      <c r="F1308" s="314" t="s">
        <v>4773</v>
      </c>
      <c r="G1308" s="313">
        <v>185</v>
      </c>
      <c r="H1308" s="313">
        <v>396</v>
      </c>
      <c r="I1308" s="313">
        <v>2023.04</v>
      </c>
    </row>
    <row r="1309" spans="1:9">
      <c r="A1309" s="313" t="s">
        <v>237</v>
      </c>
      <c r="B1309" s="313" t="s">
        <v>4745</v>
      </c>
      <c r="C1309" s="313" t="s">
        <v>4303</v>
      </c>
      <c r="D1309" s="313" t="s">
        <v>4774</v>
      </c>
      <c r="E1309" s="313" t="s">
        <v>3834</v>
      </c>
      <c r="F1309" s="314" t="s">
        <v>4775</v>
      </c>
      <c r="G1309" s="313">
        <v>0</v>
      </c>
      <c r="H1309" s="313">
        <v>0</v>
      </c>
      <c r="I1309" s="313">
        <v>2023.04</v>
      </c>
    </row>
    <row r="1310" spans="1:9">
      <c r="A1310" s="313" t="s">
        <v>237</v>
      </c>
      <c r="B1310" s="313" t="s">
        <v>4745</v>
      </c>
      <c r="C1310" s="313" t="s">
        <v>4303</v>
      </c>
      <c r="D1310" s="313" t="s">
        <v>4303</v>
      </c>
      <c r="E1310" s="313" t="s">
        <v>3834</v>
      </c>
      <c r="F1310" s="314" t="s">
        <v>4776</v>
      </c>
      <c r="G1310" s="313">
        <v>185</v>
      </c>
      <c r="H1310" s="313">
        <v>396</v>
      </c>
      <c r="I1310" s="313">
        <v>2023.04</v>
      </c>
    </row>
    <row r="1311" spans="1:9">
      <c r="A1311" s="313" t="s">
        <v>237</v>
      </c>
      <c r="B1311" s="313" t="s">
        <v>4745</v>
      </c>
      <c r="C1311" s="313" t="s">
        <v>2333</v>
      </c>
      <c r="D1311" s="313" t="s">
        <v>4777</v>
      </c>
      <c r="E1311" s="313" t="s">
        <v>3834</v>
      </c>
      <c r="F1311" s="314" t="s">
        <v>4778</v>
      </c>
      <c r="G1311" s="313">
        <v>185</v>
      </c>
      <c r="H1311" s="313">
        <v>396</v>
      </c>
      <c r="I1311" s="313">
        <v>2023.04</v>
      </c>
    </row>
    <row r="1312" spans="1:9">
      <c r="A1312" s="313" t="s">
        <v>237</v>
      </c>
      <c r="B1312" s="313" t="s">
        <v>4745</v>
      </c>
      <c r="C1312" s="313" t="s">
        <v>2333</v>
      </c>
      <c r="D1312" s="313" t="s">
        <v>4779</v>
      </c>
      <c r="E1312" s="313" t="s">
        <v>3834</v>
      </c>
      <c r="F1312" s="314" t="s">
        <v>4780</v>
      </c>
      <c r="G1312" s="313">
        <v>185</v>
      </c>
      <c r="H1312" s="313">
        <v>396</v>
      </c>
      <c r="I1312" s="313">
        <v>2023.04</v>
      </c>
    </row>
    <row r="1313" spans="1:9">
      <c r="A1313" s="313" t="s">
        <v>237</v>
      </c>
      <c r="B1313" s="313" t="s">
        <v>4745</v>
      </c>
      <c r="C1313" s="313" t="s">
        <v>2333</v>
      </c>
      <c r="D1313" s="313" t="s">
        <v>4781</v>
      </c>
      <c r="E1313" s="313" t="s">
        <v>3834</v>
      </c>
      <c r="F1313" s="314" t="s">
        <v>4782</v>
      </c>
      <c r="G1313" s="313">
        <v>0</v>
      </c>
      <c r="H1313" s="313">
        <v>0</v>
      </c>
      <c r="I1313" s="313">
        <v>2023.04</v>
      </c>
    </row>
    <row r="1314" spans="1:9">
      <c r="A1314" s="313" t="s">
        <v>237</v>
      </c>
      <c r="B1314" s="313" t="s">
        <v>4745</v>
      </c>
      <c r="C1314" s="313" t="s">
        <v>2333</v>
      </c>
      <c r="D1314" s="313" t="s">
        <v>4783</v>
      </c>
      <c r="E1314" s="313" t="s">
        <v>3834</v>
      </c>
      <c r="F1314" s="314" t="s">
        <v>4784</v>
      </c>
      <c r="G1314" s="313">
        <v>185</v>
      </c>
      <c r="H1314" s="313">
        <v>396</v>
      </c>
      <c r="I1314" s="313">
        <v>2023.04</v>
      </c>
    </row>
    <row r="1315" spans="1:9">
      <c r="A1315" s="313" t="s">
        <v>237</v>
      </c>
      <c r="B1315" s="313" t="s">
        <v>4745</v>
      </c>
      <c r="C1315" s="313" t="s">
        <v>2333</v>
      </c>
      <c r="D1315" s="313" t="s">
        <v>4785</v>
      </c>
      <c r="E1315" s="313" t="s">
        <v>3834</v>
      </c>
      <c r="F1315" s="314" t="s">
        <v>4786</v>
      </c>
      <c r="G1315" s="313">
        <v>185</v>
      </c>
      <c r="H1315" s="313">
        <v>396</v>
      </c>
      <c r="I1315" s="313">
        <v>2023.04</v>
      </c>
    </row>
    <row r="1316" spans="1:9">
      <c r="A1316" s="313" t="s">
        <v>237</v>
      </c>
      <c r="B1316" s="313" t="s">
        <v>4787</v>
      </c>
      <c r="C1316" s="313" t="s">
        <v>4788</v>
      </c>
      <c r="D1316" s="313" t="s">
        <v>4788</v>
      </c>
      <c r="E1316" s="313" t="s">
        <v>3834</v>
      </c>
      <c r="F1316" s="314" t="s">
        <v>4789</v>
      </c>
      <c r="G1316" s="313">
        <v>452</v>
      </c>
      <c r="H1316" s="313">
        <v>380</v>
      </c>
      <c r="I1316" s="313">
        <v>2023.04</v>
      </c>
    </row>
    <row r="1317" spans="1:9">
      <c r="A1317" s="313" t="s">
        <v>237</v>
      </c>
      <c r="B1317" s="313" t="s">
        <v>4787</v>
      </c>
      <c r="C1317" s="313" t="s">
        <v>4790</v>
      </c>
      <c r="D1317" s="313" t="s">
        <v>4790</v>
      </c>
      <c r="E1317" s="313" t="s">
        <v>3834</v>
      </c>
      <c r="F1317" s="314" t="s">
        <v>4791</v>
      </c>
      <c r="G1317" s="313">
        <v>360</v>
      </c>
      <c r="H1317" s="313">
        <v>1200</v>
      </c>
      <c r="I1317" s="313">
        <v>2023.04</v>
      </c>
    </row>
    <row r="1318" spans="1:9">
      <c r="A1318" s="313" t="s">
        <v>237</v>
      </c>
      <c r="B1318" s="313" t="s">
        <v>4787</v>
      </c>
      <c r="C1318" s="313" t="s">
        <v>3836</v>
      </c>
      <c r="D1318" s="313" t="s">
        <v>3836</v>
      </c>
      <c r="E1318" s="313" t="s">
        <v>3848</v>
      </c>
      <c r="F1318" s="314" t="s">
        <v>399</v>
      </c>
      <c r="G1318" s="313">
        <v>110</v>
      </c>
      <c r="H1318" s="313">
        <v>1200</v>
      </c>
      <c r="I1318" s="313">
        <v>2023.04</v>
      </c>
    </row>
    <row r="1319" spans="1:9">
      <c r="A1319" s="313" t="s">
        <v>237</v>
      </c>
      <c r="B1319" s="313" t="s">
        <v>4787</v>
      </c>
      <c r="C1319" s="313" t="s">
        <v>3836</v>
      </c>
      <c r="D1319" s="313" t="s">
        <v>3836</v>
      </c>
      <c r="E1319" s="313" t="s">
        <v>3899</v>
      </c>
      <c r="F1319" s="314" t="s">
        <v>399</v>
      </c>
      <c r="G1319" s="313">
        <v>180</v>
      </c>
      <c r="H1319" s="313">
        <v>600</v>
      </c>
      <c r="I1319" s="313">
        <v>2023.04</v>
      </c>
    </row>
    <row r="1320" spans="1:9">
      <c r="A1320" s="313" t="s">
        <v>237</v>
      </c>
      <c r="B1320" s="313" t="s">
        <v>4787</v>
      </c>
      <c r="C1320" s="313" t="s">
        <v>3836</v>
      </c>
      <c r="D1320" s="313" t="s">
        <v>3836</v>
      </c>
      <c r="E1320" s="313" t="s">
        <v>4026</v>
      </c>
      <c r="F1320" s="314" t="s">
        <v>399</v>
      </c>
      <c r="G1320" s="313">
        <v>452</v>
      </c>
      <c r="H1320" s="313">
        <v>380</v>
      </c>
      <c r="I1320" s="313">
        <v>2023.04</v>
      </c>
    </row>
    <row r="1321" spans="1:9">
      <c r="A1321" s="313" t="s">
        <v>237</v>
      </c>
      <c r="B1321" s="313" t="s">
        <v>4787</v>
      </c>
      <c r="C1321" s="313" t="s">
        <v>3836</v>
      </c>
      <c r="D1321" s="313" t="s">
        <v>3836</v>
      </c>
      <c r="E1321" s="313" t="s">
        <v>3834</v>
      </c>
      <c r="F1321" s="314" t="s">
        <v>399</v>
      </c>
      <c r="G1321" s="313">
        <v>270</v>
      </c>
      <c r="H1321" s="313">
        <v>900</v>
      </c>
      <c r="I1321" s="313">
        <v>2023.04</v>
      </c>
    </row>
  </sheetData>
  <phoneticPr fontId="2" type="noConversion"/>
  <hyperlinks>
    <hyperlink ref="F1147" r:id="rId1" xr:uid="{90F5E9F0-4E36-4882-B39A-641B57ADACA6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10D4-C534-4F17-BBAD-7B1A3B742B53}">
  <sheetPr>
    <tabColor theme="1" tint="0.499984740745262"/>
  </sheetPr>
  <dimension ref="A1"/>
  <sheetViews>
    <sheetView workbookViewId="0"/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0AA7-3084-4A58-BAED-8B8ACE6C7EB9}">
  <dimension ref="A1:F21"/>
  <sheetViews>
    <sheetView showGridLines="0" workbookViewId="0">
      <selection activeCell="L45" sqref="L45"/>
    </sheetView>
  </sheetViews>
  <sheetFormatPr defaultColWidth="9" defaultRowHeight="13.8"/>
  <cols>
    <col min="1" max="1" width="9" style="1"/>
    <col min="2" max="2" width="10.69921875" style="1" customWidth="1"/>
    <col min="3" max="3" width="15.69921875" style="1" customWidth="1"/>
    <col min="4" max="4" width="37" style="1" customWidth="1"/>
    <col min="5" max="5" width="4.5" style="1" customWidth="1"/>
    <col min="6" max="16384" width="9" style="1"/>
  </cols>
  <sheetData>
    <row r="1" spans="1:6" ht="14.4" thickBot="1">
      <c r="A1" s="32" t="s">
        <v>4792</v>
      </c>
      <c r="B1" s="32" t="s">
        <v>682</v>
      </c>
      <c r="C1" s="32" t="s">
        <v>683</v>
      </c>
      <c r="D1" s="32" t="s">
        <v>4793</v>
      </c>
      <c r="F1" s="25" t="s">
        <v>4794</v>
      </c>
    </row>
    <row r="2" spans="1:6">
      <c r="A2" s="33">
        <v>1</v>
      </c>
      <c r="B2" s="34" t="s">
        <v>359</v>
      </c>
      <c r="C2" s="34" t="s">
        <v>303</v>
      </c>
      <c r="D2" s="34" t="s">
        <v>4795</v>
      </c>
    </row>
    <row r="3" spans="1:6">
      <c r="A3" s="313">
        <v>2</v>
      </c>
      <c r="B3" s="317" t="s">
        <v>345</v>
      </c>
      <c r="C3" s="317" t="s">
        <v>350</v>
      </c>
      <c r="D3" s="317" t="s">
        <v>4796</v>
      </c>
    </row>
    <row r="4" spans="1:6">
      <c r="A4" s="313">
        <v>3</v>
      </c>
      <c r="B4" s="317" t="s">
        <v>359</v>
      </c>
      <c r="C4" s="317" t="s">
        <v>620</v>
      </c>
      <c r="D4" s="317" t="s">
        <v>4797</v>
      </c>
    </row>
    <row r="5" spans="1:6">
      <c r="A5" s="313">
        <v>4</v>
      </c>
      <c r="B5" s="317" t="s">
        <v>237</v>
      </c>
      <c r="C5" s="317" t="s">
        <v>238</v>
      </c>
      <c r="D5" s="317" t="s">
        <v>4798</v>
      </c>
    </row>
    <row r="6" spans="1:6">
      <c r="A6" s="313">
        <v>5</v>
      </c>
      <c r="B6" s="317" t="s">
        <v>271</v>
      </c>
      <c r="C6" s="317" t="s">
        <v>262</v>
      </c>
      <c r="D6" s="317" t="s">
        <v>4799</v>
      </c>
    </row>
    <row r="7" spans="1:6">
      <c r="A7" s="313">
        <v>6</v>
      </c>
      <c r="B7" s="317" t="s">
        <v>261</v>
      </c>
      <c r="C7" s="317" t="s">
        <v>262</v>
      </c>
      <c r="D7" s="317" t="s">
        <v>4800</v>
      </c>
    </row>
    <row r="8" spans="1:6">
      <c r="A8" s="313">
        <v>7</v>
      </c>
      <c r="B8" s="317" t="s">
        <v>285</v>
      </c>
      <c r="C8" s="317" t="s">
        <v>262</v>
      </c>
      <c r="D8" s="317" t="s">
        <v>4801</v>
      </c>
    </row>
    <row r="9" spans="1:6">
      <c r="A9" s="313">
        <v>8</v>
      </c>
      <c r="B9" s="317" t="s">
        <v>27</v>
      </c>
      <c r="C9" s="317" t="s">
        <v>262</v>
      </c>
      <c r="D9" s="317" t="s">
        <v>4802</v>
      </c>
    </row>
    <row r="10" spans="1:6">
      <c r="A10" s="313">
        <v>9</v>
      </c>
      <c r="B10" s="317" t="s">
        <v>251</v>
      </c>
      <c r="C10" s="317" t="s">
        <v>252</v>
      </c>
      <c r="D10" s="317" t="s">
        <v>4803</v>
      </c>
    </row>
    <row r="11" spans="1:6">
      <c r="A11" s="313">
        <v>10</v>
      </c>
      <c r="B11" s="317" t="s">
        <v>201</v>
      </c>
      <c r="C11" s="317" t="s">
        <v>209</v>
      </c>
      <c r="D11" s="317" t="s">
        <v>4804</v>
      </c>
    </row>
    <row r="12" spans="1:6">
      <c r="A12" s="313">
        <v>11</v>
      </c>
      <c r="B12" s="317" t="s">
        <v>201</v>
      </c>
      <c r="C12" s="317" t="s">
        <v>262</v>
      </c>
      <c r="D12" s="317" t="s">
        <v>4805</v>
      </c>
    </row>
    <row r="13" spans="1:6">
      <c r="A13" s="313">
        <v>12</v>
      </c>
      <c r="B13" s="317" t="s">
        <v>307</v>
      </c>
      <c r="C13" s="317" t="s">
        <v>262</v>
      </c>
      <c r="D13" s="317" t="s">
        <v>4806</v>
      </c>
    </row>
    <row r="14" spans="1:6">
      <c r="A14" s="313">
        <v>13</v>
      </c>
      <c r="B14" s="317" t="s">
        <v>345</v>
      </c>
      <c r="C14" s="317" t="s">
        <v>262</v>
      </c>
      <c r="D14" s="317" t="s">
        <v>4807</v>
      </c>
    </row>
    <row r="15" spans="1:6">
      <c r="A15" s="313">
        <v>14</v>
      </c>
      <c r="B15" s="317" t="s">
        <v>302</v>
      </c>
      <c r="C15" s="317" t="s">
        <v>303</v>
      </c>
      <c r="D15" s="317" t="s">
        <v>4808</v>
      </c>
    </row>
    <row r="16" spans="1:6">
      <c r="A16" s="313">
        <v>15</v>
      </c>
      <c r="B16" s="317" t="s">
        <v>359</v>
      </c>
      <c r="C16" s="317" t="s">
        <v>750</v>
      </c>
      <c r="D16" s="317" t="s">
        <v>4809</v>
      </c>
    </row>
    <row r="17" spans="1:4">
      <c r="A17" s="313">
        <v>16</v>
      </c>
      <c r="B17" s="317" t="s">
        <v>345</v>
      </c>
      <c r="C17" s="317" t="s">
        <v>348</v>
      </c>
      <c r="D17" s="317" t="s">
        <v>4810</v>
      </c>
    </row>
    <row r="18" spans="1:4">
      <c r="A18" s="313">
        <v>17</v>
      </c>
      <c r="B18" s="317" t="s">
        <v>237</v>
      </c>
      <c r="C18" s="317" t="s">
        <v>240</v>
      </c>
      <c r="D18" s="317" t="s">
        <v>4811</v>
      </c>
    </row>
    <row r="19" spans="1:4">
      <c r="A19" s="313">
        <v>18</v>
      </c>
      <c r="B19" s="317" t="s">
        <v>345</v>
      </c>
      <c r="C19" s="317" t="s">
        <v>352</v>
      </c>
      <c r="D19" s="317" t="s">
        <v>4812</v>
      </c>
    </row>
    <row r="20" spans="1:4">
      <c r="A20" s="313">
        <v>19</v>
      </c>
      <c r="B20" s="317" t="s">
        <v>345</v>
      </c>
      <c r="C20" s="317" t="s">
        <v>355</v>
      </c>
      <c r="D20" s="317" t="s">
        <v>4813</v>
      </c>
    </row>
    <row r="21" spans="1:4">
      <c r="A21" s="313">
        <v>20</v>
      </c>
      <c r="B21" s="317" t="s">
        <v>311</v>
      </c>
      <c r="C21" s="317" t="s">
        <v>262</v>
      </c>
      <c r="D21" s="317" t="s">
        <v>4814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41AF-EC15-4545-B333-93CD6DB38601}">
  <dimension ref="A1:J22"/>
  <sheetViews>
    <sheetView workbookViewId="0">
      <selection activeCell="L45" sqref="L45"/>
    </sheetView>
  </sheetViews>
  <sheetFormatPr defaultColWidth="8.69921875" defaultRowHeight="17.399999999999999"/>
  <cols>
    <col min="1" max="1" width="8.3984375" style="71" customWidth="1"/>
    <col min="2" max="2" width="19.09765625" style="71" customWidth="1"/>
    <col min="3" max="3" width="13.19921875" style="71" customWidth="1"/>
    <col min="4" max="4" width="26.09765625" style="71" customWidth="1"/>
    <col min="5" max="5" width="2.19921875" style="71" customWidth="1"/>
    <col min="6" max="6" width="30.69921875" style="71" bestFit="1" customWidth="1"/>
    <col min="7" max="7" width="8.69921875" style="71"/>
    <col min="8" max="8" width="27.69921875" style="71" bestFit="1" customWidth="1"/>
    <col min="9" max="9" width="15.69921875" style="71" customWidth="1"/>
    <col min="10" max="16384" width="8.69921875" style="71"/>
  </cols>
  <sheetData>
    <row r="1" spans="1:10">
      <c r="A1" s="70" t="s">
        <v>4815</v>
      </c>
      <c r="G1" s="70" t="s">
        <v>4816</v>
      </c>
    </row>
    <row r="2" spans="1:10">
      <c r="A2" s="23" t="s">
        <v>3807</v>
      </c>
      <c r="B2" s="23" t="s">
        <v>3808</v>
      </c>
      <c r="C2" s="23" t="s">
        <v>4817</v>
      </c>
      <c r="D2" s="23" t="s">
        <v>4818</v>
      </c>
      <c r="G2" s="318" t="s">
        <v>3807</v>
      </c>
      <c r="H2" s="318" t="s">
        <v>3808</v>
      </c>
      <c r="I2" s="318" t="s">
        <v>4817</v>
      </c>
      <c r="J2" s="318" t="s">
        <v>4819</v>
      </c>
    </row>
    <row r="3" spans="1:10">
      <c r="A3" s="72" t="s">
        <v>285</v>
      </c>
      <c r="B3" s="72" t="s">
        <v>264</v>
      </c>
      <c r="C3" s="72" t="s">
        <v>4820</v>
      </c>
      <c r="D3" s="72">
        <v>300</v>
      </c>
      <c r="E3" s="73"/>
      <c r="F3" s="319" t="str">
        <f>G3&amp;"_"&amp;H3</f>
        <v>ES_MEDIAMARKT</v>
      </c>
      <c r="G3" s="320" t="s">
        <v>285</v>
      </c>
      <c r="H3" s="320" t="s">
        <v>4821</v>
      </c>
      <c r="I3" s="320" t="s">
        <v>4820</v>
      </c>
      <c r="J3" s="321">
        <v>300</v>
      </c>
    </row>
    <row r="4" spans="1:10">
      <c r="A4" s="26" t="s">
        <v>261</v>
      </c>
      <c r="B4" s="26" t="s">
        <v>264</v>
      </c>
      <c r="C4" s="26" t="s">
        <v>4822</v>
      </c>
      <c r="D4" s="26">
        <v>300</v>
      </c>
      <c r="F4" s="319" t="str">
        <f t="shared" ref="F4:F16" si="0">G4&amp;"_"&amp;H4</f>
        <v>FR_FNAC</v>
      </c>
      <c r="G4" s="320" t="s">
        <v>251</v>
      </c>
      <c r="H4" s="320" t="s">
        <v>256</v>
      </c>
      <c r="I4" s="320" t="s">
        <v>4820</v>
      </c>
      <c r="J4" s="321">
        <v>500</v>
      </c>
    </row>
    <row r="5" spans="1:10">
      <c r="A5" s="26" t="s">
        <v>442</v>
      </c>
      <c r="B5" s="26" t="s">
        <v>264</v>
      </c>
      <c r="C5" s="26" t="s">
        <v>4820</v>
      </c>
      <c r="D5" s="26">
        <v>300</v>
      </c>
      <c r="F5" s="319" t="str">
        <f t="shared" si="0"/>
        <v>CA_BESTBUY</v>
      </c>
      <c r="G5" s="320" t="s">
        <v>345</v>
      </c>
      <c r="H5" s="320" t="s">
        <v>348</v>
      </c>
      <c r="I5" s="320" t="s">
        <v>4820</v>
      </c>
      <c r="J5" s="321">
        <v>1000</v>
      </c>
    </row>
    <row r="6" spans="1:10">
      <c r="A6" s="26" t="s">
        <v>430</v>
      </c>
      <c r="B6" s="26" t="s">
        <v>264</v>
      </c>
      <c r="C6" s="26" t="s">
        <v>4820</v>
      </c>
      <c r="D6" s="26">
        <v>300</v>
      </c>
      <c r="F6" s="319" t="str">
        <f t="shared" si="0"/>
        <v>US_BESTBUY</v>
      </c>
      <c r="G6" s="320" t="s">
        <v>359</v>
      </c>
      <c r="H6" s="320" t="s">
        <v>348</v>
      </c>
      <c r="I6" s="320" t="s">
        <v>4820</v>
      </c>
      <c r="J6" s="321">
        <v>1000</v>
      </c>
    </row>
    <row r="7" spans="1:10">
      <c r="A7" s="26" t="s">
        <v>416</v>
      </c>
      <c r="B7" s="26" t="s">
        <v>423</v>
      </c>
      <c r="C7" s="26" t="s">
        <v>4820</v>
      </c>
      <c r="D7" s="26">
        <v>300</v>
      </c>
      <c r="F7" s="319" t="str">
        <f t="shared" si="0"/>
        <v>FR_DARTY</v>
      </c>
      <c r="G7" s="320" t="s">
        <v>251</v>
      </c>
      <c r="H7" s="320" t="s">
        <v>4823</v>
      </c>
      <c r="I7" s="320" t="s">
        <v>4820</v>
      </c>
      <c r="J7" s="321">
        <v>300</v>
      </c>
    </row>
    <row r="8" spans="1:10">
      <c r="A8" s="72" t="s">
        <v>251</v>
      </c>
      <c r="B8" s="72" t="s">
        <v>256</v>
      </c>
      <c r="C8" s="72" t="s">
        <v>4820</v>
      </c>
      <c r="D8" s="72">
        <v>500</v>
      </c>
      <c r="F8" s="319" t="str">
        <f t="shared" si="0"/>
        <v>IT_UNIEURO</v>
      </c>
      <c r="G8" s="320" t="s">
        <v>271</v>
      </c>
      <c r="H8" s="320" t="s">
        <v>275</v>
      </c>
      <c r="I8" s="320" t="s">
        <v>4820</v>
      </c>
      <c r="J8" s="321">
        <v>500</v>
      </c>
    </row>
    <row r="9" spans="1:10">
      <c r="A9" s="26" t="s">
        <v>378</v>
      </c>
      <c r="B9" s="26" t="s">
        <v>379</v>
      </c>
      <c r="C9" s="26" t="s">
        <v>4820</v>
      </c>
      <c r="D9" s="26">
        <v>800</v>
      </c>
      <c r="F9" s="319" t="str">
        <f t="shared" si="0"/>
        <v>BR_MAGAZINELUIZA</v>
      </c>
      <c r="G9" s="320" t="s">
        <v>311</v>
      </c>
      <c r="H9" s="320" t="s">
        <v>318</v>
      </c>
      <c r="I9" s="320" t="s">
        <v>4820</v>
      </c>
      <c r="J9" s="321">
        <v>500</v>
      </c>
    </row>
    <row r="10" spans="1:10">
      <c r="A10" s="26" t="s">
        <v>251</v>
      </c>
      <c r="B10" s="26" t="s">
        <v>254</v>
      </c>
      <c r="C10" s="26" t="s">
        <v>4820</v>
      </c>
      <c r="D10" s="30">
        <v>1000</v>
      </c>
      <c r="F10" s="319" t="str">
        <f t="shared" si="0"/>
        <v>IN_FLIPKART</v>
      </c>
      <c r="G10" s="320" t="s">
        <v>302</v>
      </c>
      <c r="H10" s="320" t="s">
        <v>305</v>
      </c>
      <c r="I10" s="320" t="s">
        <v>4820</v>
      </c>
      <c r="J10" s="321">
        <v>1000</v>
      </c>
    </row>
    <row r="11" spans="1:10">
      <c r="A11" s="26" t="s">
        <v>457</v>
      </c>
      <c r="B11" s="26" t="s">
        <v>4824</v>
      </c>
      <c r="C11" s="26" t="s">
        <v>4820</v>
      </c>
      <c r="D11" s="30">
        <v>1000</v>
      </c>
      <c r="F11" s="319" t="str">
        <f t="shared" si="0"/>
        <v>CA_BESTBUY</v>
      </c>
      <c r="G11" s="320" t="s">
        <v>342</v>
      </c>
      <c r="H11" s="320" t="s">
        <v>348</v>
      </c>
      <c r="I11" s="320" t="s">
        <v>4820</v>
      </c>
      <c r="J11" s="321">
        <v>1000</v>
      </c>
    </row>
    <row r="12" spans="1:10">
      <c r="A12" s="26" t="s">
        <v>237</v>
      </c>
      <c r="B12" s="26" t="s">
        <v>398</v>
      </c>
      <c r="C12" s="26" t="s">
        <v>4820</v>
      </c>
      <c r="D12" s="26">
        <v>300</v>
      </c>
      <c r="F12" s="319" t="str">
        <f t="shared" si="0"/>
        <v>US_BESTBUY</v>
      </c>
      <c r="G12" s="320" t="s">
        <v>359</v>
      </c>
      <c r="H12" s="320" t="s">
        <v>348</v>
      </c>
      <c r="I12" s="320" t="s">
        <v>4820</v>
      </c>
      <c r="J12" s="321">
        <v>500</v>
      </c>
    </row>
    <row r="13" spans="1:10">
      <c r="A13" s="72" t="s">
        <v>271</v>
      </c>
      <c r="B13" s="72" t="s">
        <v>275</v>
      </c>
      <c r="C13" s="72" t="s">
        <v>4820</v>
      </c>
      <c r="D13" s="72">
        <v>500</v>
      </c>
      <c r="F13" s="319" t="str">
        <f t="shared" si="0"/>
        <v>ES_ELCORTEINGLES_ELECTRONICA</v>
      </c>
      <c r="G13" s="320" t="s">
        <v>285</v>
      </c>
      <c r="H13" s="320" t="s">
        <v>4825</v>
      </c>
      <c r="I13" s="320" t="s">
        <v>4820</v>
      </c>
      <c r="J13" s="321">
        <v>1000</v>
      </c>
    </row>
    <row r="14" spans="1:10">
      <c r="A14" s="26" t="s">
        <v>457</v>
      </c>
      <c r="B14" s="26" t="s">
        <v>460</v>
      </c>
      <c r="C14" s="26" t="s">
        <v>4820</v>
      </c>
      <c r="D14" s="26">
        <v>300</v>
      </c>
      <c r="F14" s="319" t="str">
        <f t="shared" si="0"/>
        <v>TW_MOMOSHOP</v>
      </c>
      <c r="G14" s="320" t="s">
        <v>3640</v>
      </c>
      <c r="H14" s="320" t="s">
        <v>4826</v>
      </c>
      <c r="I14" s="320" t="s">
        <v>4820</v>
      </c>
      <c r="J14" s="321">
        <v>500</v>
      </c>
    </row>
    <row r="15" spans="1:10">
      <c r="A15" s="72" t="s">
        <v>311</v>
      </c>
      <c r="B15" s="72" t="s">
        <v>318</v>
      </c>
      <c r="C15" s="72" t="s">
        <v>4820</v>
      </c>
      <c r="D15" s="72">
        <v>500</v>
      </c>
      <c r="F15" s="319" t="str">
        <f t="shared" si="0"/>
        <v>TH_LAZADA</v>
      </c>
      <c r="G15" s="320" t="s">
        <v>3489</v>
      </c>
      <c r="H15" s="320" t="s">
        <v>4827</v>
      </c>
      <c r="I15" s="320" t="s">
        <v>4820</v>
      </c>
      <c r="J15" s="321">
        <v>300</v>
      </c>
    </row>
    <row r="16" spans="1:10">
      <c r="A16" s="26" t="s">
        <v>416</v>
      </c>
      <c r="B16" s="26" t="s">
        <v>425</v>
      </c>
      <c r="C16" s="26" t="s">
        <v>4820</v>
      </c>
      <c r="D16" s="26">
        <v>500</v>
      </c>
      <c r="F16" s="319" t="str">
        <f t="shared" si="0"/>
        <v>SG_LAZADA</v>
      </c>
      <c r="G16" s="320" t="s">
        <v>4828</v>
      </c>
      <c r="H16" s="320" t="s">
        <v>4827</v>
      </c>
      <c r="I16" s="320" t="s">
        <v>4820</v>
      </c>
      <c r="J16" s="321">
        <v>300</v>
      </c>
    </row>
    <row r="17" spans="1:4">
      <c r="A17" s="26" t="s">
        <v>416</v>
      </c>
      <c r="B17" s="26" t="s">
        <v>421</v>
      </c>
      <c r="C17" s="26" t="s">
        <v>4820</v>
      </c>
      <c r="D17" s="26">
        <v>500</v>
      </c>
    </row>
    <row r="18" spans="1:4">
      <c r="A18" s="72" t="s">
        <v>302</v>
      </c>
      <c r="B18" s="72" t="s">
        <v>595</v>
      </c>
      <c r="C18" s="72" t="s">
        <v>4820</v>
      </c>
      <c r="D18" s="74">
        <v>1000</v>
      </c>
    </row>
    <row r="19" spans="1:4">
      <c r="A19" s="72" t="s">
        <v>345</v>
      </c>
      <c r="B19" s="72" t="s">
        <v>348</v>
      </c>
      <c r="C19" s="72" t="s">
        <v>4820</v>
      </c>
      <c r="D19" s="74">
        <v>1000</v>
      </c>
    </row>
    <row r="20" spans="1:4">
      <c r="A20" s="72" t="s">
        <v>359</v>
      </c>
      <c r="B20" s="72" t="s">
        <v>348</v>
      </c>
      <c r="C20" s="72" t="s">
        <v>4820</v>
      </c>
      <c r="D20" s="72">
        <v>500</v>
      </c>
    </row>
    <row r="21" spans="1:4">
      <c r="A21" s="72" t="s">
        <v>285</v>
      </c>
      <c r="B21" s="72" t="s">
        <v>287</v>
      </c>
      <c r="C21" s="72" t="s">
        <v>4820</v>
      </c>
      <c r="D21" s="74">
        <v>1000</v>
      </c>
    </row>
    <row r="22" spans="1:4">
      <c r="A22" s="26" t="s">
        <v>382</v>
      </c>
      <c r="B22" s="26" t="s">
        <v>383</v>
      </c>
      <c r="C22" s="26" t="s">
        <v>4820</v>
      </c>
      <c r="D22" s="30">
        <v>1000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52A4-2F40-4434-8949-99B52B7A9B17}">
  <dimension ref="A1:F23"/>
  <sheetViews>
    <sheetView showGridLines="0" workbookViewId="0">
      <selection activeCell="F3" sqref="F3:F5"/>
    </sheetView>
  </sheetViews>
  <sheetFormatPr defaultColWidth="9" defaultRowHeight="13.8"/>
  <cols>
    <col min="1" max="1" width="9" style="1"/>
    <col min="2" max="2" width="34.09765625" style="1" customWidth="1"/>
    <col min="3" max="3" width="21.69921875" style="1" customWidth="1"/>
    <col min="4" max="4" width="18.3984375" style="1" customWidth="1"/>
    <col min="5" max="5" width="5.3984375" style="1" customWidth="1"/>
    <col min="6" max="6" width="39" style="1" customWidth="1"/>
    <col min="7" max="16384" width="9" style="1"/>
  </cols>
  <sheetData>
    <row r="1" spans="1:6">
      <c r="A1" s="23" t="s">
        <v>3807</v>
      </c>
      <c r="B1" s="23" t="s">
        <v>3808</v>
      </c>
      <c r="C1" s="23" t="s">
        <v>4817</v>
      </c>
      <c r="D1" s="23" t="s">
        <v>4818</v>
      </c>
      <c r="E1" s="24"/>
      <c r="F1" s="25" t="s">
        <v>4794</v>
      </c>
    </row>
    <row r="2" spans="1:6">
      <c r="A2" s="26" t="s">
        <v>285</v>
      </c>
      <c r="B2" s="26" t="s">
        <v>264</v>
      </c>
      <c r="C2" s="26" t="s">
        <v>4820</v>
      </c>
      <c r="D2" s="26">
        <v>300</v>
      </c>
      <c r="E2" s="27"/>
    </row>
    <row r="3" spans="1:6">
      <c r="A3" s="26" t="s">
        <v>261</v>
      </c>
      <c r="B3" s="26" t="s">
        <v>264</v>
      </c>
      <c r="C3" s="26" t="s">
        <v>4822</v>
      </c>
      <c r="D3" s="26">
        <v>300</v>
      </c>
      <c r="E3" s="27"/>
      <c r="F3" s="28" t="s">
        <v>4829</v>
      </c>
    </row>
    <row r="4" spans="1:6">
      <c r="A4" s="26" t="s">
        <v>442</v>
      </c>
      <c r="B4" s="26" t="s">
        <v>264</v>
      </c>
      <c r="C4" s="26" t="s">
        <v>4820</v>
      </c>
      <c r="D4" s="26">
        <v>300</v>
      </c>
      <c r="E4" s="27"/>
      <c r="F4" s="29" t="s">
        <v>4830</v>
      </c>
    </row>
    <row r="5" spans="1:6">
      <c r="A5" s="26" t="s">
        <v>430</v>
      </c>
      <c r="B5" s="26" t="s">
        <v>264</v>
      </c>
      <c r="C5" s="26" t="s">
        <v>4820</v>
      </c>
      <c r="D5" s="26">
        <v>300</v>
      </c>
      <c r="E5" s="27"/>
      <c r="F5" s="15" t="s">
        <v>4831</v>
      </c>
    </row>
    <row r="6" spans="1:6">
      <c r="A6" s="26" t="s">
        <v>416</v>
      </c>
      <c r="B6" s="26" t="s">
        <v>423</v>
      </c>
      <c r="C6" s="26" t="s">
        <v>4820</v>
      </c>
      <c r="D6" s="26">
        <v>300</v>
      </c>
      <c r="E6" s="27"/>
    </row>
    <row r="7" spans="1:6">
      <c r="A7" s="26" t="s">
        <v>251</v>
      </c>
      <c r="B7" s="26" t="s">
        <v>256</v>
      </c>
      <c r="C7" s="26" t="s">
        <v>4820</v>
      </c>
      <c r="D7" s="26">
        <v>500</v>
      </c>
      <c r="E7" s="27"/>
    </row>
    <row r="8" spans="1:6">
      <c r="A8" s="26" t="s">
        <v>378</v>
      </c>
      <c r="B8" s="26" t="s">
        <v>379</v>
      </c>
      <c r="C8" s="26" t="s">
        <v>4820</v>
      </c>
      <c r="D8" s="26">
        <v>800</v>
      </c>
      <c r="E8" s="27"/>
    </row>
    <row r="9" spans="1:6">
      <c r="A9" s="26" t="s">
        <v>345</v>
      </c>
      <c r="B9" s="26" t="s">
        <v>348</v>
      </c>
      <c r="C9" s="26" t="s">
        <v>4820</v>
      </c>
      <c r="D9" s="30">
        <v>1000</v>
      </c>
      <c r="E9" s="31"/>
    </row>
    <row r="10" spans="1:6">
      <c r="A10" s="26" t="s">
        <v>359</v>
      </c>
      <c r="B10" s="26" t="s">
        <v>348</v>
      </c>
      <c r="C10" s="26" t="s">
        <v>4820</v>
      </c>
      <c r="D10" s="30">
        <v>1000</v>
      </c>
      <c r="E10" s="31"/>
    </row>
    <row r="11" spans="1:6">
      <c r="A11" s="26" t="s">
        <v>251</v>
      </c>
      <c r="B11" s="26" t="s">
        <v>254</v>
      </c>
      <c r="C11" s="26" t="s">
        <v>4820</v>
      </c>
      <c r="D11" s="30">
        <v>1000</v>
      </c>
      <c r="E11" s="31"/>
    </row>
    <row r="12" spans="1:6">
      <c r="A12" s="26" t="s">
        <v>457</v>
      </c>
      <c r="B12" s="26" t="s">
        <v>4824</v>
      </c>
      <c r="C12" s="26" t="s">
        <v>4820</v>
      </c>
      <c r="D12" s="30">
        <v>1000</v>
      </c>
      <c r="E12" s="31"/>
    </row>
    <row r="13" spans="1:6">
      <c r="A13" s="26" t="s">
        <v>237</v>
      </c>
      <c r="B13" s="26" t="s">
        <v>398</v>
      </c>
      <c r="C13" s="26" t="s">
        <v>4820</v>
      </c>
      <c r="D13" s="26">
        <v>300</v>
      </c>
      <c r="E13" s="27"/>
    </row>
    <row r="14" spans="1:6">
      <c r="A14" s="26" t="s">
        <v>271</v>
      </c>
      <c r="B14" s="26" t="s">
        <v>275</v>
      </c>
      <c r="C14" s="26" t="s">
        <v>4820</v>
      </c>
      <c r="D14" s="26">
        <v>500</v>
      </c>
      <c r="E14" s="27"/>
    </row>
    <row r="15" spans="1:6">
      <c r="A15" s="26" t="s">
        <v>457</v>
      </c>
      <c r="B15" s="26" t="s">
        <v>460</v>
      </c>
      <c r="C15" s="26" t="s">
        <v>4820</v>
      </c>
      <c r="D15" s="26">
        <v>300</v>
      </c>
      <c r="E15" s="27"/>
    </row>
    <row r="16" spans="1:6">
      <c r="A16" s="26" t="s">
        <v>311</v>
      </c>
      <c r="B16" s="26" t="s">
        <v>318</v>
      </c>
      <c r="C16" s="26" t="s">
        <v>4820</v>
      </c>
      <c r="D16" s="26">
        <v>500</v>
      </c>
      <c r="E16" s="27"/>
    </row>
    <row r="17" spans="1:5">
      <c r="A17" s="26" t="s">
        <v>416</v>
      </c>
      <c r="B17" s="26" t="s">
        <v>425</v>
      </c>
      <c r="C17" s="26" t="s">
        <v>4820</v>
      </c>
      <c r="D17" s="26">
        <v>500</v>
      </c>
      <c r="E17" s="27"/>
    </row>
    <row r="18" spans="1:5">
      <c r="A18" s="26" t="s">
        <v>416</v>
      </c>
      <c r="B18" s="26" t="s">
        <v>421</v>
      </c>
      <c r="C18" s="26" t="s">
        <v>4820</v>
      </c>
      <c r="D18" s="26">
        <v>500</v>
      </c>
      <c r="E18" s="27"/>
    </row>
    <row r="19" spans="1:5">
      <c r="A19" s="26" t="s">
        <v>302</v>
      </c>
      <c r="B19" s="26" t="s">
        <v>595</v>
      </c>
      <c r="C19" s="26" t="s">
        <v>4820</v>
      </c>
      <c r="D19" s="30">
        <v>1000</v>
      </c>
      <c r="E19" s="31"/>
    </row>
    <row r="20" spans="1:5">
      <c r="A20" s="26" t="s">
        <v>345</v>
      </c>
      <c r="B20" s="26" t="s">
        <v>348</v>
      </c>
      <c r="C20" s="26" t="s">
        <v>4820</v>
      </c>
      <c r="D20" s="30">
        <v>1000</v>
      </c>
      <c r="E20" s="31"/>
    </row>
    <row r="21" spans="1:5">
      <c r="A21" s="26" t="s">
        <v>359</v>
      </c>
      <c r="B21" s="26" t="s">
        <v>348</v>
      </c>
      <c r="C21" s="26" t="s">
        <v>4820</v>
      </c>
      <c r="D21" s="26">
        <v>500</v>
      </c>
      <c r="E21" s="27"/>
    </row>
    <row r="22" spans="1:5">
      <c r="A22" s="26" t="s">
        <v>285</v>
      </c>
      <c r="B22" s="26" t="s">
        <v>287</v>
      </c>
      <c r="C22" s="26" t="s">
        <v>4820</v>
      </c>
      <c r="D22" s="30">
        <v>1000</v>
      </c>
      <c r="E22" s="31"/>
    </row>
    <row r="23" spans="1:5">
      <c r="A23" s="26" t="s">
        <v>382</v>
      </c>
      <c r="B23" s="26" t="s">
        <v>383</v>
      </c>
      <c r="C23" s="26" t="s">
        <v>4820</v>
      </c>
      <c r="D23" s="30">
        <v>1000</v>
      </c>
      <c r="E23" s="31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5077-1142-482D-BD9F-A8298058F3BF}">
  <dimension ref="B2:I22"/>
  <sheetViews>
    <sheetView showGridLines="0" workbookViewId="0">
      <selection activeCell="F34" sqref="F34"/>
    </sheetView>
  </sheetViews>
  <sheetFormatPr defaultRowHeight="17.399999999999999"/>
  <cols>
    <col min="2" max="2" width="14.5" style="4" customWidth="1"/>
    <col min="3" max="4" width="13.69921875" style="4" customWidth="1"/>
    <col min="5" max="5" width="8.69921875" style="4"/>
    <col min="6" max="7" width="14" style="4" customWidth="1"/>
    <col min="8" max="8" width="6.69921875" style="4" customWidth="1"/>
    <col min="9" max="9" width="22.59765625" customWidth="1"/>
  </cols>
  <sheetData>
    <row r="2" spans="2:9">
      <c r="B2" s="7" t="s">
        <v>4832</v>
      </c>
    </row>
    <row r="3" spans="2:9">
      <c r="B3" s="6"/>
    </row>
    <row r="4" spans="2:9">
      <c r="C4" s="279" t="s">
        <v>4833</v>
      </c>
      <c r="D4" s="279" t="s">
        <v>155</v>
      </c>
      <c r="F4" s="279" t="s">
        <v>636</v>
      </c>
      <c r="G4" s="279" t="s">
        <v>637</v>
      </c>
      <c r="I4" s="279" t="s">
        <v>4834</v>
      </c>
    </row>
    <row r="5" spans="2:9">
      <c r="C5" s="322" t="s">
        <v>4835</v>
      </c>
      <c r="D5" s="322" t="s">
        <v>124</v>
      </c>
      <c r="F5" s="323" t="s">
        <v>656</v>
      </c>
      <c r="G5" s="322" t="s">
        <v>4836</v>
      </c>
      <c r="I5" s="322" t="s">
        <v>4837</v>
      </c>
    </row>
    <row r="6" spans="2:9">
      <c r="C6" s="322" t="s">
        <v>4838</v>
      </c>
      <c r="D6" s="322" t="s">
        <v>4839</v>
      </c>
      <c r="F6" s="322" t="s">
        <v>4840</v>
      </c>
      <c r="G6" s="322" t="s">
        <v>4841</v>
      </c>
      <c r="I6" s="322" t="s">
        <v>4842</v>
      </c>
    </row>
    <row r="7" spans="2:9">
      <c r="C7" s="322" t="s">
        <v>4843</v>
      </c>
      <c r="D7" s="322" t="s">
        <v>130</v>
      </c>
      <c r="F7" s="322"/>
      <c r="G7" s="322" t="s">
        <v>130</v>
      </c>
      <c r="I7" s="322" t="s">
        <v>2448</v>
      </c>
    </row>
    <row r="8" spans="2:9">
      <c r="C8" s="322" t="s">
        <v>4844</v>
      </c>
      <c r="D8" s="322" t="s">
        <v>4845</v>
      </c>
      <c r="I8" s="322" t="s">
        <v>4846</v>
      </c>
    </row>
    <row r="9" spans="2:9">
      <c r="I9" s="322" t="s">
        <v>4847</v>
      </c>
    </row>
    <row r="10" spans="2:9">
      <c r="I10" s="322" t="s">
        <v>4848</v>
      </c>
    </row>
    <row r="11" spans="2:9">
      <c r="I11" s="322" t="s">
        <v>2527</v>
      </c>
    </row>
    <row r="12" spans="2:9">
      <c r="I12" s="322" t="s">
        <v>166</v>
      </c>
    </row>
    <row r="13" spans="2:9">
      <c r="I13" s="322" t="s">
        <v>4849</v>
      </c>
    </row>
    <row r="14" spans="2:9">
      <c r="I14" s="322" t="s">
        <v>4850</v>
      </c>
    </row>
    <row r="15" spans="2:9">
      <c r="I15" s="322" t="s">
        <v>4851</v>
      </c>
    </row>
    <row r="16" spans="2:9">
      <c r="I16" s="322" t="s">
        <v>170</v>
      </c>
    </row>
    <row r="17" spans="9:9">
      <c r="I17" s="322" t="s">
        <v>4852</v>
      </c>
    </row>
    <row r="18" spans="9:9">
      <c r="I18" s="322" t="s">
        <v>4853</v>
      </c>
    </row>
    <row r="19" spans="9:9">
      <c r="I19" s="322" t="s">
        <v>4854</v>
      </c>
    </row>
    <row r="20" spans="9:9">
      <c r="I20" s="322" t="s">
        <v>4855</v>
      </c>
    </row>
    <row r="21" spans="9:9">
      <c r="I21" s="322" t="s">
        <v>4856</v>
      </c>
    </row>
    <row r="22" spans="9:9">
      <c r="I22" s="322" t="s">
        <v>520</v>
      </c>
    </row>
  </sheetData>
  <phoneticPr fontId="2" type="noConversion"/>
  <dataValidations count="1">
    <dataValidation type="list" allowBlank="1" showInputMessage="1" showErrorMessage="1" sqref="C4:C8" xr:uid="{3B9510AB-F285-44FC-BBAC-C09075EA750F}">
      <formula1>$C$5:$C$8+$C$5:$C$8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7E3DFB345DAC74393F3F09E88971F90" ma:contentTypeVersion="15" ma:contentTypeDescription="새 문서를 만듭니다." ma:contentTypeScope="" ma:versionID="43eacdb3ec90e5465c17181c0a86a2f8">
  <xsd:schema xmlns:xsd="http://www.w3.org/2001/XMLSchema" xmlns:xs="http://www.w3.org/2001/XMLSchema" xmlns:p="http://schemas.microsoft.com/office/2006/metadata/properties" xmlns:ns2="9caeb2e5-d126-42e2-8717-18fe2ea65dc5" xmlns:ns3="346295b5-5de2-4756-a0a6-95b34bbe7489" targetNamespace="http://schemas.microsoft.com/office/2006/metadata/properties" ma:root="true" ma:fieldsID="ee55da7e1aa42574695d720166bcf9f3" ns2:_="" ns3:_="">
    <xsd:import namespace="9caeb2e5-d126-42e2-8717-18fe2ea65dc5"/>
    <xsd:import namespace="346295b5-5de2-4756-a0a6-95b34bbe74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eb2e5-d126-42e2-8717-18fe2ea65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7fbd4038-13c0-4266-8e70-5a68fe662a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295b5-5de2-4756-a0a6-95b34bbe748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609e86c-af15-4596-bb11-41ac025f2a89}" ma:internalName="TaxCatchAll" ma:showField="CatchAllData" ma:web="346295b5-5de2-4756-a0a6-95b34bbe74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295b5-5de2-4756-a0a6-95b34bbe7489" xsi:nil="true"/>
    <lcf76f155ced4ddcb4097134ff3c332f xmlns="9caeb2e5-d126-42e2-8717-18fe2ea65d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847ED-7B3C-4F48-9853-D13170336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62F76-1604-4E27-AD06-8332C1166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eb2e5-d126-42e2-8717-18fe2ea65dc5"/>
    <ds:schemaRef ds:uri="346295b5-5de2-4756-a0a6-95b34bbe7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AFF4FF-EFBD-4541-A38E-FE83ADBA8C58}">
  <ds:schemaRefs>
    <ds:schemaRef ds:uri="http://schemas.microsoft.com/office/2006/metadata/properties"/>
    <ds:schemaRef ds:uri="http://schemas.microsoft.com/office/infopath/2007/PartnerControls"/>
    <ds:schemaRef ds:uri="346295b5-5de2-4756-a0a6-95b34bbe7489"/>
    <ds:schemaRef ds:uri="9caeb2e5-d126-42e2-8717-18fe2ea65dc5"/>
  </ds:schemaRefs>
</ds:datastoreItem>
</file>

<file path=docMetadata/LabelInfo.xml><?xml version="1.0" encoding="utf-8"?>
<clbl:labelList xmlns:clbl="http://schemas.microsoft.com/office/2020/mipLabelMetadata">
  <clbl:label id="{cc6ed9fc-fefc-4a0c-a6d6-10cf236c0d4f}" enabled="1" method="Privileged" siteId="{5069cde4-642a-45c0-8094-d0c2dec10b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유통리스트 관리 ▶</vt:lpstr>
      <vt:lpstr>Sheet3</vt:lpstr>
      <vt:lpstr>Sheet4</vt:lpstr>
      <vt:lpstr>Sheet5</vt:lpstr>
      <vt:lpstr>1_OSM Market Status</vt:lpstr>
      <vt:lpstr>수집 범위</vt:lpstr>
      <vt:lpstr>2_Change Log sheet</vt:lpstr>
      <vt:lpstr>유통 별 카테고리 수집 경로 ▶</vt:lpstr>
      <vt:lpstr>수집 URL</vt:lpstr>
      <vt:lpstr>수집 URL(과거)</vt:lpstr>
      <vt:lpstr>수집 키워드</vt:lpstr>
      <vt:lpstr>메모용</vt:lpstr>
      <vt:lpstr>수집 배너</vt:lpstr>
      <vt:lpstr>그 외 참고 ▶</vt:lpstr>
      <vt:lpstr>지역 설정값</vt:lpstr>
      <vt:lpstr>rank 수집제한 리스트 (신,구)</vt:lpstr>
      <vt:lpstr>수집 제한 유통리스트</vt:lpstr>
      <vt:lpstr>LIST 목록 관리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유인애/선임/글로벌데이터인사이트팀</dc:creator>
  <cp:keywords/>
  <dc:description/>
  <cp:lastModifiedBy>Haeun Choi</cp:lastModifiedBy>
  <cp:revision/>
  <dcterms:created xsi:type="dcterms:W3CDTF">2025-03-04T04:41:09Z</dcterms:created>
  <dcterms:modified xsi:type="dcterms:W3CDTF">2026-10-02T08:56:53Z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2025-03-04T04:46:08Z</vt:lpwstr>
  </property>
  <property fmtid="{D5CDD505-2E9C-101B-9397-08002B2CF9AE}" pid="4" name="MSIP_Label_cc6ed9fc-fefc-4a0c-a6d6-10cf236c0d4f_Method">
    <vt:lpwstr>Privileged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be9fbe7d-a850-42b8-86be-f31f8e8afb5e</vt:lpwstr>
  </property>
  <property fmtid="{D5CDD505-2E9C-101B-9397-08002B2CF9AE}" pid="8" name="MSIP_Label_cc6ed9fc-fefc-4a0c-a6d6-10cf236c0d4f_ContentBits">
    <vt:lpwstr>1</vt:lpwstr>
  </property>
  <property fmtid="{D5CDD505-2E9C-101B-9397-08002B2CF9AE}" pid="9" name="ContentTypeId">
    <vt:lpwstr>0x01010077E3DFB345DAC74393F3F09E88971F90</vt:lpwstr>
  </property>
  <property fmtid="{D5CDD505-2E9C-101B-9397-08002B2CF9AE}" pid="10" name="MediaServiceImageTags">
    <vt:lpwstr/>
  </property>
</Properties>
</file>